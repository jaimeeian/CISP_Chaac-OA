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tation 001" sheetId="1" state="visible" r:id="rId2"/>
    <sheet name="Station 002" sheetId="2" state="visible" r:id="rId3"/>
    <sheet name="Station 003" sheetId="3" state="visible" r:id="rId4"/>
    <sheet name="Station 004" sheetId="4" state="visible" r:id="rId5"/>
    <sheet name="Station 005" sheetId="5" state="visible" r:id="rId6"/>
    <sheet name="Station 006" sheetId="6" state="visible" r:id="rId7"/>
    <sheet name="Station 007" sheetId="7" state="visible" r:id="rId8"/>
  </sheets>
  <externalReferences>
    <externalReference r:id="rId9"/>
    <externalReference r:id="rId10"/>
  </externalReferences>
  <definedNames>
    <definedName function="false" hidden="false" name="Blanc" vbProcedure="false">"$#REF !.$O$15"</definedName>
    <definedName function="false" hidden="false" name="Blanc___0" vbProcedure="false">"$#REF !.$E$13"</definedName>
    <definedName function="false" hidden="false" name="Blanc___1" vbProcedure="false">"$#REF !.$O$15"</definedName>
    <definedName function="false" hidden="false" name="Blanc___10" vbProcedure="false">"$#REF !.$O$15"</definedName>
    <definedName function="false" hidden="false" name="Blanc___11" vbProcedure="false">"$#REF !.$O$15"</definedName>
    <definedName function="false" hidden="false" name="Blanc___12" vbProcedure="false">"$#REF !.$O$15"</definedName>
    <definedName function="false" hidden="false" name="Blanc___13" vbProcedure="false">"$#REF !.$O$15"</definedName>
    <definedName function="false" hidden="false" name="Blanc___14" vbProcedure="false">"$#REF !.$O$15"</definedName>
    <definedName function="false" hidden="false" name="Blanc___15" vbProcedure="false">"$#REF !.$O$15"</definedName>
    <definedName function="false" hidden="false" name="Blanc___16" vbProcedure="false">"$#REF !.$O$15"</definedName>
    <definedName function="false" hidden="false" name="Blanc___17" vbProcedure="false">"$#REF !.$O$15"</definedName>
    <definedName function="false" hidden="false" name="Blanc___18" vbProcedure="false">"$#REF !.$O$15"</definedName>
    <definedName function="false" hidden="false" name="Blanc___19" vbProcedure="false">"$#REF !.$O$15"</definedName>
    <definedName function="false" hidden="false" name="Blanc___20" vbProcedure="false">"$#REF !.$O$15"</definedName>
    <definedName function="false" hidden="false" name="Blanc___21" vbProcedure="false">"$#REF !.$O$15"</definedName>
    <definedName function="false" hidden="false" name="Blanc___22" vbProcedure="false">"$#REF !.$O$15"</definedName>
    <definedName function="false" hidden="false" name="Blanc___23" vbProcedure="false">"$#REF !.$O$15"</definedName>
    <definedName function="false" hidden="false" name="Blanc___24" vbProcedure="false">"$#REF !.$O$16"</definedName>
    <definedName function="false" hidden="false" name="Blanc___24_11" vbProcedure="false">"$#REF !.$O$16"</definedName>
    <definedName function="false" hidden="false" name="Blanc___24_13" vbProcedure="false">"$#REF !.$O$16"</definedName>
    <definedName function="false" hidden="false" name="Blanc___24_15" vbProcedure="false">"$#REF !.$O$16"</definedName>
    <definedName function="false" hidden="false" name="Blanc___24_17" vbProcedure="false">"$#REF !.$O$16"</definedName>
    <definedName function="false" hidden="false" name="Blanc___24_19" vbProcedure="false">"$#REF !.$O$16"</definedName>
    <definedName function="false" hidden="false" name="Blanc___24_21" vbProcedure="false">"$#REF !.$O$16"</definedName>
    <definedName function="false" hidden="false" name="Blanc___24_23" vbProcedure="false">"$#REF !.$O$16"</definedName>
    <definedName function="false" hidden="false" name="Blanc___24_25" vbProcedure="false">"$#REF !.$O$16"</definedName>
    <definedName function="false" hidden="false" name="Blanc___24_27" vbProcedure="false">"$#REF !.$O$16"</definedName>
    <definedName function="false" hidden="false" name="Blanc___24_29" vbProcedure="false">"$#REF !.$O$16"</definedName>
    <definedName function="false" hidden="false" name="Blanc___24_31" vbProcedure="false">"$#REF !.$O$16"</definedName>
    <definedName function="false" hidden="false" name="Blanc___24_33" vbProcedure="false">"$#REF !.$O$16"</definedName>
    <definedName function="false" hidden="false" name="Blanc___24_35" vbProcedure="false">"$#REF !.$O$16"</definedName>
    <definedName function="false" hidden="false" name="Blanc___24_37" vbProcedure="false">"$#REF !.$O$16"</definedName>
    <definedName function="false" hidden="false" name="Blanc___24_39" vbProcedure="false">"$#REF !.$O$16"</definedName>
    <definedName function="false" hidden="false" name="Blanc___24_41" vbProcedure="false">"$#REF !.$O$16"</definedName>
    <definedName function="false" hidden="false" name="Blanc___24_43" vbProcedure="false">"$#REF !.$O$16"</definedName>
    <definedName function="false" hidden="false" name="Blanc___24_45" vbProcedure="false">"$#REF !.$O$16"</definedName>
    <definedName function="false" hidden="false" name="Blanc___24_47" vbProcedure="false">"$#REF !.$O$16"</definedName>
    <definedName function="false" hidden="false" name="Blanc___24_49" vbProcedure="false">"$#REF !.$O$16"</definedName>
    <definedName function="false" hidden="false" name="Blanc___24_51" vbProcedure="false">"$#REF !.$O$16"</definedName>
    <definedName function="false" hidden="false" name="Blanc___24_53" vbProcedure="false">"$#REF !.$O$16"</definedName>
    <definedName function="false" hidden="false" name="Blanc___24_55" vbProcedure="false">"$#REF !.$O$16"</definedName>
    <definedName function="false" hidden="false" name="Blanc___24_57" vbProcedure="false">"$#REF !.$O$16"</definedName>
    <definedName function="false" hidden="false" name="Blanc___24_59" vbProcedure="false">"$#REF !.$O$16"</definedName>
    <definedName function="false" hidden="false" name="Blanc___24_61" vbProcedure="false">"$#REF !.$O$16"</definedName>
    <definedName function="false" hidden="false" name="Blanc___24_63" vbProcedure="false">"$#REF !.$O$16"</definedName>
    <definedName function="false" hidden="false" name="Blanc___24_65" vbProcedure="false">"$#REF !.$O$16"</definedName>
    <definedName function="false" hidden="false" name="Blanc___24_67" vbProcedure="false">"$#REF !.$O$16"</definedName>
    <definedName function="false" hidden="false" name="Blanc___24_69" vbProcedure="false">"$#REF !.$O$16"</definedName>
    <definedName function="false" hidden="false" name="Blanc___24_71" vbProcedure="false">"$#REF !.$O$16"</definedName>
    <definedName function="false" hidden="false" name="Blanc___24_73" vbProcedure="false">"$#REF !.$O$16"</definedName>
    <definedName function="false" hidden="false" name="Blanc___24_75" vbProcedure="false">"$#REF !.$O$16"</definedName>
    <definedName function="false" hidden="false" name="Blanc___24_77" vbProcedure="false">"$#REF !.$O$16"</definedName>
    <definedName function="false" hidden="false" name="Blanc___24_79" vbProcedure="false">"$#REF !.$O$16"</definedName>
    <definedName function="false" hidden="false" name="Blanc___24_81" vbProcedure="false">"$#REF !.$O$16"</definedName>
    <definedName function="false" hidden="false" name="Blanc___24_83" vbProcedure="false">'Station 001'!$O$15</definedName>
    <definedName function="false" hidden="false" name="Blanc___24_83_2" vbProcedure="false">"$#REF !.$O$16"</definedName>
    <definedName function="false" hidden="false" name="Blanc___24_83_3" vbProcedure="false">#REF!</definedName>
    <definedName function="false" hidden="false" name="Blanc___24_83_3_1" vbProcedure="false">"$#REF !.$O$16"</definedName>
    <definedName function="false" hidden="false" name="Blanc___24_83_4" vbProcedure="false">#REF!</definedName>
    <definedName function="false" hidden="false" name="Blanc___24_83_4_1" vbProcedure="false">"$#REF !.$O$16"</definedName>
    <definedName function="false" hidden="false" name="Blanc___24_83_5" vbProcedure="false">#REF!</definedName>
    <definedName function="false" hidden="false" name="Blanc___24_83_5_1" vbProcedure="false">"$#REF !.$O$16"</definedName>
    <definedName function="false" hidden="false" name="Blanc___24_83_6" vbProcedure="false">#REF!</definedName>
    <definedName function="false" hidden="false" name="Blanc___24_83_6_1" vbProcedure="false">"$#REF !.$O$16"</definedName>
    <definedName function="false" hidden="false" name="Blanc___24_83_7" vbProcedure="false">#REF!</definedName>
    <definedName function="false" hidden="false" name="Blanc___24_83_7_1" vbProcedure="false">"$#REF !.$O$16"</definedName>
    <definedName function="false" hidden="false" name="Blanc___25" vbProcedure="false">"$#REF !.$O$16"</definedName>
    <definedName function="false" hidden="false" name="Blanc___26" vbProcedure="false">"$#REF !.$O$16"</definedName>
    <definedName function="false" hidden="false" name="Blanc___27" vbProcedure="false">"$#REF !.$O$16"</definedName>
    <definedName function="false" hidden="false" name="Blanc___28" vbProcedure="false">"$#REF !.$O$16"</definedName>
    <definedName function="false" hidden="false" name="Blanc___3" vbProcedure="false">"$#REF !.$O$15"</definedName>
    <definedName function="false" hidden="false" name="Blanc___33" vbProcedure="false">"$#REF !.$O$15"</definedName>
    <definedName function="false" hidden="false" name="Blanc___33_89" vbProcedure="false">#REF!</definedName>
    <definedName function="false" hidden="false" name="Blanc___4" vbProcedure="false">"$#REF !.$O$15"</definedName>
    <definedName function="false" hidden="false" name="Blanc___5" vbProcedure="false">"$#REF !.$O$15"</definedName>
    <definedName function="false" hidden="false" name="Blanc___6" vbProcedure="false">"$#REF !.$O$15"</definedName>
    <definedName function="false" hidden="false" name="Blanc___7" vbProcedure="false">"$#REF !.$O$15"</definedName>
    <definedName function="false" hidden="false" name="Blanc___8" vbProcedure="false">"$#REF !.$O$15"</definedName>
    <definedName function="false" hidden="false" name="Blanc___9" vbProcedure="false">"$#REF !.$O$15"</definedName>
    <definedName function="false" hidden="false" name="CASSES_1" vbProcedure="false">#REF!</definedName>
    <definedName function="false" hidden="false" name="Correction_10ml" vbProcedure="false">[1]corrections_de_vol_!$G$9</definedName>
    <definedName function="false" hidden="false" name="correction_5ml" vbProcedure="false">#REF!</definedName>
    <definedName function="false" hidden="false" name="correction_react" vbProcedure="false">#REF!</definedName>
    <definedName function="false" hidden="false" name="densite_eau_pure_20" vbProcedure="false">[2]TITRE_IODATE!$F$14</definedName>
    <definedName function="false" hidden="false" name="Flacons_N" vbProcedure="false">#REF!</definedName>
    <definedName function="false" hidden="false" name="NORMALITE" vbProcedure="false">"$#REF !.$O$11"</definedName>
    <definedName function="false" hidden="false" name="NORMALITE___0" vbProcedure="false">"$#REF !.$O$11"</definedName>
    <definedName function="false" hidden="false" name="NORMALITE___0_89" vbProcedure="false">#REF!</definedName>
    <definedName function="false" hidden="false" name="NORMALITE___1" vbProcedure="false">"$#REF !.$O$11"</definedName>
    <definedName function="false" hidden="false" name="NORMALITE___10" vbProcedure="false">"$#REF !.$O$11"</definedName>
    <definedName function="false" hidden="false" name="NORMALITE___11" vbProcedure="false">"$#REF !.$O$11"</definedName>
    <definedName function="false" hidden="false" name="NORMALITE___12" vbProcedure="false">"$#REF !.$O$11"</definedName>
    <definedName function="false" hidden="false" name="NORMALITE___13" vbProcedure="false">"$#REF !.$O$11"</definedName>
    <definedName function="false" hidden="false" name="NORMALITE___14" vbProcedure="false">"$#REF !.$O$11"</definedName>
    <definedName function="false" hidden="false" name="NORMALITE___15" vbProcedure="false">"$#REF !.$O$11"</definedName>
    <definedName function="false" hidden="false" name="NORMALITE___16" vbProcedure="false">"$#REF !.$O$11"</definedName>
    <definedName function="false" hidden="false" name="NORMALITE___17" vbProcedure="false">"$#REF !.$O$11"</definedName>
    <definedName function="false" hidden="false" name="NORMALITE___18" vbProcedure="false">"$#REF !.$O$11"</definedName>
    <definedName function="false" hidden="false" name="NORMALITE___19" vbProcedure="false">"$#REF !.$O$11"</definedName>
    <definedName function="false" hidden="false" name="NORMALITE___20" vbProcedure="false">"$#REF !.$O$11"</definedName>
    <definedName function="false" hidden="false" name="NORMALITE___21" vbProcedure="false">"$#REF !.$O$11"</definedName>
    <definedName function="false" hidden="false" name="NORMALITE___22" vbProcedure="false">"$#REF !.$O$11"</definedName>
    <definedName function="false" hidden="false" name="NORMALITE___23" vbProcedure="false">"$#REF !.$O$11"</definedName>
    <definedName function="false" hidden="false" name="NORMALITE___24" vbProcedure="false">"$#REF !.$O$12"</definedName>
    <definedName function="false" hidden="false" name="NORMALITE___24_11" vbProcedure="false">"$#REF !.$O$12"</definedName>
    <definedName function="false" hidden="false" name="NORMALITE___24_13" vbProcedure="false">"$#REF !.$O$12"</definedName>
    <definedName function="false" hidden="false" name="NORMALITE___24_15" vbProcedure="false">"$#REF !.$O$12"</definedName>
    <definedName function="false" hidden="false" name="NORMALITE___24_17" vbProcedure="false">"$#REF !.$O$12"</definedName>
    <definedName function="false" hidden="false" name="NORMALITE___24_19" vbProcedure="false">"$#REF !.$O$12"</definedName>
    <definedName function="false" hidden="false" name="NORMALITE___24_21" vbProcedure="false">"$#REF !.$O$12"</definedName>
    <definedName function="false" hidden="false" name="NORMALITE___24_23" vbProcedure="false">"$#REF !.$O$12"</definedName>
    <definedName function="false" hidden="false" name="NORMALITE___24_25" vbProcedure="false">"$#REF !.$O$12"</definedName>
    <definedName function="false" hidden="false" name="NORMALITE___24_27" vbProcedure="false">"$#REF !.$O$12"</definedName>
    <definedName function="false" hidden="false" name="NORMALITE___24_29" vbProcedure="false">"$#REF !.$O$12"</definedName>
    <definedName function="false" hidden="false" name="NORMALITE___24_31" vbProcedure="false">"$#REF !.$O$12"</definedName>
    <definedName function="false" hidden="false" name="NORMALITE___24_33" vbProcedure="false">"$#REF !.$O$12"</definedName>
    <definedName function="false" hidden="false" name="NORMALITE___24_35" vbProcedure="false">"$#REF !.$O$12"</definedName>
    <definedName function="false" hidden="false" name="NORMALITE___24_37" vbProcedure="false">"$#REF !.$O$12"</definedName>
    <definedName function="false" hidden="false" name="NORMALITE___24_39" vbProcedure="false">"$#REF !.$O$12"</definedName>
    <definedName function="false" hidden="false" name="NORMALITE___24_41" vbProcedure="false">"$#REF !.$O$12"</definedName>
    <definedName function="false" hidden="false" name="NORMALITE___24_43" vbProcedure="false">"$#REF !.$O$12"</definedName>
    <definedName function="false" hidden="false" name="NORMALITE___24_45" vbProcedure="false">"$#REF !.$O$12"</definedName>
    <definedName function="false" hidden="false" name="NORMALITE___24_47" vbProcedure="false">"$#REF !.$O$12"</definedName>
    <definedName function="false" hidden="false" name="NORMALITE___24_49" vbProcedure="false">"$#REF !.$O$12"</definedName>
    <definedName function="false" hidden="false" name="NORMALITE___24_51" vbProcedure="false">"$#REF !.$O$12"</definedName>
    <definedName function="false" hidden="false" name="NORMALITE___24_53" vbProcedure="false">"$#REF !.$O$12"</definedName>
    <definedName function="false" hidden="false" name="NORMALITE___24_55" vbProcedure="false">"$#REF !.$O$12"</definedName>
    <definedName function="false" hidden="false" name="NORMALITE___24_57" vbProcedure="false">"$#REF !.$O$12"</definedName>
    <definedName function="false" hidden="false" name="NORMALITE___24_59" vbProcedure="false">"$#REF !.$O$12"</definedName>
    <definedName function="false" hidden="false" name="NORMALITE___24_61" vbProcedure="false">"$#REF !.$O$12"</definedName>
    <definedName function="false" hidden="false" name="NORMALITE___24_63" vbProcedure="false">"$#REF !.$O$12"</definedName>
    <definedName function="false" hidden="false" name="NORMALITE___24_65" vbProcedure="false">"$#REF !.$O$12"</definedName>
    <definedName function="false" hidden="false" name="NORMALITE___24_67" vbProcedure="false">"$#REF !.$O$12"</definedName>
    <definedName function="false" hidden="false" name="NORMALITE___24_69" vbProcedure="false">"$#REF !.$O$12"</definedName>
    <definedName function="false" hidden="false" name="NORMALITE___24_71" vbProcedure="false">"$#REF !.$O$12"</definedName>
    <definedName function="false" hidden="false" name="NORMALITE___24_73" vbProcedure="false">"$#REF !.$O$12"</definedName>
    <definedName function="false" hidden="false" name="NORMALITE___24_75" vbProcedure="false">"$#REF !.$O$12"</definedName>
    <definedName function="false" hidden="false" name="NORMALITE___24_77" vbProcedure="false">"$#REF !.$O$12"</definedName>
    <definedName function="false" hidden="false" name="NORMALITE___24_79" vbProcedure="false">"$#REF !.$O$12"</definedName>
    <definedName function="false" hidden="false" name="NORMALITE___24_81" vbProcedure="false">"$#REF !.$O$12"</definedName>
    <definedName function="false" hidden="false" name="NORMALITE___24_83" vbProcedure="false">'Station 001'!$O$11</definedName>
    <definedName function="false" hidden="false" name="NORMALITE___24_83_2" vbProcedure="false">"$#REF !.$O$12"</definedName>
    <definedName function="false" hidden="false" name="NORMALITE___24_83_3" vbProcedure="false">#REF!</definedName>
    <definedName function="false" hidden="false" name="NORMALITE___24_83_3_1" vbProcedure="false">"$#REF !.$O$12"</definedName>
    <definedName function="false" hidden="false" name="NORMALITE___24_83_4" vbProcedure="false">#REF!</definedName>
    <definedName function="false" hidden="false" name="NORMALITE___24_83_4_1" vbProcedure="false">"$#REF !.$O$12"</definedName>
    <definedName function="false" hidden="false" name="NORMALITE___24_83_5" vbProcedure="false">#REF!</definedName>
    <definedName function="false" hidden="false" name="NORMALITE___24_83_5_1" vbProcedure="false">"$#REF !.$O$12"</definedName>
    <definedName function="false" hidden="false" name="NORMALITE___24_83_6" vbProcedure="false">#REF!</definedName>
    <definedName function="false" hidden="false" name="NORMALITE___24_83_6_1" vbProcedure="false">"$#REF !.$O$12"</definedName>
    <definedName function="false" hidden="false" name="NORMALITE___24_83_7" vbProcedure="false">#REF!</definedName>
    <definedName function="false" hidden="false" name="NORMALITE___24_83_7_1" vbProcedure="false">"$#REF !.$O$12"</definedName>
    <definedName function="false" hidden="false" name="NORMALITE___25" vbProcedure="false">"$#REF !.$O$12"</definedName>
    <definedName function="false" hidden="false" name="NORMALITE___26" vbProcedure="false">"$#REF !.$O$12"</definedName>
    <definedName function="false" hidden="false" name="NORMALITE___27" vbProcedure="false">"$#REF !.$O$12"</definedName>
    <definedName function="false" hidden="false" name="NORMALITE___28" vbProcedure="false">"$#REF !.$O$12"</definedName>
    <definedName function="false" hidden="false" name="NORMALITE___3" vbProcedure="false">"$#REF !.$O$11"</definedName>
    <definedName function="false" hidden="false" name="NORMALITE___4" vbProcedure="false">"$#REF !.$O$11"</definedName>
    <definedName function="false" hidden="false" name="NORMALITE___5" vbProcedure="false">"$#REF !.$O$11"</definedName>
    <definedName function="false" hidden="false" name="NORMALITE___6" vbProcedure="false">"$#REF !.$O$11"</definedName>
    <definedName function="false" hidden="false" name="NORMALITE___7" vbProcedure="false">"$#REF !.$O$11"</definedName>
    <definedName function="false" hidden="false" name="NORMALITE___8" vbProcedure="false">"$#REF !.$O$11"</definedName>
    <definedName function="false" hidden="false" name="NORMALITE___9" vbProcedure="false">"$#REF !.$O$11"</definedName>
    <definedName function="false" hidden="false" name="N_iodate" vbProcedure="false">"$#REF !.$O$18"</definedName>
    <definedName function="false" hidden="false" name="N_iodate___0" vbProcedure="false">"$#REF !.$E$10"</definedName>
    <definedName function="false" hidden="false" name="N_iodate___1" vbProcedure="false">"$#REF !.$O$18"</definedName>
    <definedName function="false" hidden="false" name="N_iodate___10" vbProcedure="false">"$#REF !.$O$18"</definedName>
    <definedName function="false" hidden="false" name="N_iodate___11" vbProcedure="false">"$#REF !.$O$18"</definedName>
    <definedName function="false" hidden="false" name="N_iodate___12" vbProcedure="false">"$#REF !.$O$18"</definedName>
    <definedName function="false" hidden="false" name="N_iodate___13" vbProcedure="false">"$#REF !.$O$18"</definedName>
    <definedName function="false" hidden="false" name="N_iodate___14" vbProcedure="false">"$#REF !.$O$18"</definedName>
    <definedName function="false" hidden="false" name="N_iodate___15" vbProcedure="false">"$#REF !.$O$18"</definedName>
    <definedName function="false" hidden="false" name="N_iodate___16" vbProcedure="false">"$#REF !.$O$18"</definedName>
    <definedName function="false" hidden="false" name="N_iodate___17" vbProcedure="false">"$#REF !.$O$18"</definedName>
    <definedName function="false" hidden="false" name="N_iodate___18" vbProcedure="false">"$#REF !.$O$18"</definedName>
    <definedName function="false" hidden="false" name="N_iodate___19" vbProcedure="false">"$#REF !.$O$18"</definedName>
    <definedName function="false" hidden="false" name="N_iodate___20" vbProcedure="false">"$#REF !.$O$18"</definedName>
    <definedName function="false" hidden="false" name="N_iodate___21" vbProcedure="false">"$#REF !.$O$18"</definedName>
    <definedName function="false" hidden="false" name="N_iodate___22" vbProcedure="false">"$#REF !.$O$18"</definedName>
    <definedName function="false" hidden="false" name="N_iodate___23" vbProcedure="false">"$#REF !.$O$18"</definedName>
    <definedName function="false" hidden="false" name="N_iodate___24" vbProcedure="false">"$#REF !.$O$19"</definedName>
    <definedName function="false" hidden="false" name="N_iodate___24_11" vbProcedure="false">"$#REF !.$O$19"</definedName>
    <definedName function="false" hidden="false" name="N_iodate___24_13" vbProcedure="false">"$#REF !.$O$19"</definedName>
    <definedName function="false" hidden="false" name="N_iodate___24_15" vbProcedure="false">"$#REF !.$O$19"</definedName>
    <definedName function="false" hidden="false" name="N_iodate___24_17" vbProcedure="false">"$#REF !.$O$19"</definedName>
    <definedName function="false" hidden="false" name="N_iodate___24_19" vbProcedure="false">"$#REF !.$O$19"</definedName>
    <definedName function="false" hidden="false" name="N_iodate___24_21" vbProcedure="false">"$#REF !.$O$19"</definedName>
    <definedName function="false" hidden="false" name="N_iodate___24_23" vbProcedure="false">"$#REF !.$O$19"</definedName>
    <definedName function="false" hidden="false" name="N_iodate___24_25" vbProcedure="false">"$#REF !.$O$19"</definedName>
    <definedName function="false" hidden="false" name="N_iodate___24_27" vbProcedure="false">"$#REF !.$O$19"</definedName>
    <definedName function="false" hidden="false" name="N_iodate___24_29" vbProcedure="false">"$#REF !.$O$19"</definedName>
    <definedName function="false" hidden="false" name="N_iodate___24_31" vbProcedure="false">"$#REF !.$O$19"</definedName>
    <definedName function="false" hidden="false" name="N_iodate___24_33" vbProcedure="false">"$#REF !.$O$19"</definedName>
    <definedName function="false" hidden="false" name="N_iodate___24_35" vbProcedure="false">"$#REF !.$O$19"</definedName>
    <definedName function="false" hidden="false" name="N_iodate___24_37" vbProcedure="false">"$#REF !.$O$19"</definedName>
    <definedName function="false" hidden="false" name="N_iodate___24_39" vbProcedure="false">"$#REF !.$O$19"</definedName>
    <definedName function="false" hidden="false" name="N_iodate___24_41" vbProcedure="false">"$#REF !.$O$19"</definedName>
    <definedName function="false" hidden="false" name="N_iodate___24_43" vbProcedure="false">"$#REF !.$O$19"</definedName>
    <definedName function="false" hidden="false" name="N_iodate___24_45" vbProcedure="false">"$#REF !.$O$19"</definedName>
    <definedName function="false" hidden="false" name="N_iodate___24_47" vbProcedure="false">"$#REF !.$O$19"</definedName>
    <definedName function="false" hidden="false" name="N_iodate___24_49" vbProcedure="false">"$#REF !.$O$19"</definedName>
    <definedName function="false" hidden="false" name="N_iodate___24_51" vbProcedure="false">"$#REF !.$O$19"</definedName>
    <definedName function="false" hidden="false" name="N_iodate___24_53" vbProcedure="false">"$#REF !.$O$19"</definedName>
    <definedName function="false" hidden="false" name="N_iodate___24_55" vbProcedure="false">"$#REF !.$O$19"</definedName>
    <definedName function="false" hidden="false" name="N_iodate___24_57" vbProcedure="false">"$#REF !.$O$19"</definedName>
    <definedName function="false" hidden="false" name="N_iodate___24_59" vbProcedure="false">"$#REF !.$O$19"</definedName>
    <definedName function="false" hidden="false" name="N_iodate___24_61" vbProcedure="false">"$#REF !.$O$19"</definedName>
    <definedName function="false" hidden="false" name="N_iodate___24_63" vbProcedure="false">"$#REF !.$O$19"</definedName>
    <definedName function="false" hidden="false" name="N_iodate___24_65" vbProcedure="false">"$#REF !.$O$19"</definedName>
    <definedName function="false" hidden="false" name="N_iodate___24_67" vbProcedure="false">"$#REF !.$O$19"</definedName>
    <definedName function="false" hidden="false" name="N_iodate___24_69" vbProcedure="false">"$#REF !.$O$19"</definedName>
    <definedName function="false" hidden="false" name="N_iodate___24_71" vbProcedure="false">"$#REF !.$O$19"</definedName>
    <definedName function="false" hidden="false" name="N_iodate___24_73" vbProcedure="false">"$#REF !.$O$19"</definedName>
    <definedName function="false" hidden="false" name="N_iodate___24_75" vbProcedure="false">"$#REF !.$O$19"</definedName>
    <definedName function="false" hidden="false" name="N_iodate___24_77" vbProcedure="false">"$#REF !.$O$19"</definedName>
    <definedName function="false" hidden="false" name="N_iodate___24_79" vbProcedure="false">"$#REF !.$O$19"</definedName>
    <definedName function="false" hidden="false" name="N_iodate___24_81" vbProcedure="false">"$#REF !.$O$19"</definedName>
    <definedName function="false" hidden="false" name="N_iodate___24_83_2" vbProcedure="false">"$#REF !.$O$19"</definedName>
    <definedName function="false" hidden="false" name="N_iodate___24_83_3" vbProcedure="false">#REF!</definedName>
    <definedName function="false" hidden="false" name="N_iodate___24_83_3_1" vbProcedure="false">"$#REF !.$O$19"</definedName>
    <definedName function="false" hidden="false" name="N_iodate___24_83_4" vbProcedure="false">#REF!</definedName>
    <definedName function="false" hidden="false" name="N_iodate___24_83_4_1" vbProcedure="false">"$#REF !.$O$19"</definedName>
    <definedName function="false" hidden="false" name="N_iodate___24_83_5" vbProcedure="false">#REF!</definedName>
    <definedName function="false" hidden="false" name="N_iodate___24_83_5_1" vbProcedure="false">"$#REF !.$O$19"</definedName>
    <definedName function="false" hidden="false" name="N_iodate___24_83_6" vbProcedure="false">#REF!</definedName>
    <definedName function="false" hidden="false" name="N_iodate___24_83_6_1" vbProcedure="false">"$#REF !.$O$19"</definedName>
    <definedName function="false" hidden="false" name="N_iodate___24_83_7" vbProcedure="false">#REF!</definedName>
    <definedName function="false" hidden="false" name="N_iodate___24_83_7_1" vbProcedure="false">"$#REF !.$O$19"</definedName>
    <definedName function="false" hidden="false" name="N_iodate___25" vbProcedure="false">"$#REF !.$O$19"</definedName>
    <definedName function="false" hidden="false" name="N_iodate___26" vbProcedure="false">"$#REF !.$O$19"</definedName>
    <definedName function="false" hidden="false" name="N_iodate___27" vbProcedure="false">"$#REF !.$O$19"</definedName>
    <definedName function="false" hidden="false" name="N_iodate___28" vbProcedure="false">"$#REF !.$O$19"</definedName>
    <definedName function="false" hidden="false" name="N_iodate___3" vbProcedure="false">"$#REF !.$O$18"</definedName>
    <definedName function="false" hidden="false" name="N_iodate___33" vbProcedure="false">"$#REF !.$O$18"</definedName>
    <definedName function="false" hidden="false" name="N_iodate___33_89" vbProcedure="false">#REF!</definedName>
    <definedName function="false" hidden="false" name="N_iodate___4" vbProcedure="false">"$#REF !.$O$18"</definedName>
    <definedName function="false" hidden="false" name="N_iodate___5" vbProcedure="false">"$#REF !.$O$18"</definedName>
    <definedName function="false" hidden="false" name="N_iodate___6" vbProcedure="false">"$#REF !.$O$18"</definedName>
    <definedName function="false" hidden="false" name="N_iodate___7" vbProcedure="false">"$#REF !.$O$18"</definedName>
    <definedName function="false" hidden="false" name="N_iodate___8" vbProcedure="false">"$#REF !.$O$18"</definedName>
    <definedName function="false" hidden="false" name="N_iodate___9" vbProcedure="false">"$#REF !.$O$18"</definedName>
    <definedName function="false" hidden="false" name="Volume_du_flacon" vbProcedure="false">"$#REF !.$B$14"</definedName>
    <definedName function="false" hidden="false" name="Vol_Flacons" vbProcedure="false">#REF!</definedName>
    <definedName function="false" hidden="false" name="Vol_iodate" vbProcedure="false">"$#REF !.$O$12"</definedName>
    <definedName function="false" hidden="false" name="vol_iodate_tc" vbProcedure="false">"$#REF !.$O$13"</definedName>
    <definedName function="false" hidden="false" name="vol_iodate_tc___0" vbProcedure="false">"$#REF !.$O$13"</definedName>
    <definedName function="false" hidden="false" name="vol_iodate_tc___0_89" vbProcedure="false">#REF!</definedName>
    <definedName function="false" hidden="false" name="vol_iodate_tc___1" vbProcedure="false">"$#REF !.$O$13"</definedName>
    <definedName function="false" hidden="false" name="vol_iodate_tc___10" vbProcedure="false">"$#REF !.$O$13"</definedName>
    <definedName function="false" hidden="false" name="vol_iodate_tc___11" vbProcedure="false">"$#REF !.$O$13"</definedName>
    <definedName function="false" hidden="false" name="vol_iodate_tc___12" vbProcedure="false">"$#REF !.$O$13"</definedName>
    <definedName function="false" hidden="false" name="vol_iodate_tc___13" vbProcedure="false">"$#REF !.$O$13"</definedName>
    <definedName function="false" hidden="false" name="vol_iodate_tc___14" vbProcedure="false">"$#REF !.$O$13"</definedName>
    <definedName function="false" hidden="false" name="vol_iodate_tc___15" vbProcedure="false">"$#REF !.$O$13"</definedName>
    <definedName function="false" hidden="false" name="vol_iodate_tc___16" vbProcedure="false">"$#REF !.$O$13"</definedName>
    <definedName function="false" hidden="false" name="vol_iodate_tc___17" vbProcedure="false">"$#REF !.$O$13"</definedName>
    <definedName function="false" hidden="false" name="vol_iodate_tc___18" vbProcedure="false">"$#REF !.$O$13"</definedName>
    <definedName function="false" hidden="false" name="vol_iodate_tc___19" vbProcedure="false">"$#REF !.$O$13"</definedName>
    <definedName function="false" hidden="false" name="vol_iodate_tc___20" vbProcedure="false">"$#REF !.$O$13"</definedName>
    <definedName function="false" hidden="false" name="vol_iodate_tc___21" vbProcedure="false">"$#REF !.$O$13"</definedName>
    <definedName function="false" hidden="false" name="vol_iodate_tc___22" vbProcedure="false">"$#REF !.$O$13"</definedName>
    <definedName function="false" hidden="false" name="vol_iodate_tc___23" vbProcedure="false">"$#REF !.$O$13"</definedName>
    <definedName function="false" hidden="false" name="vol_iodate_tc___24" vbProcedure="false">"$#REF !.$O$14"</definedName>
    <definedName function="false" hidden="false" name="vol_iodate_tc___24_11" vbProcedure="false">"$#REF !.$O$14"</definedName>
    <definedName function="false" hidden="false" name="vol_iodate_tc___24_13" vbProcedure="false">"$#REF !.$O$14"</definedName>
    <definedName function="false" hidden="false" name="vol_iodate_tc___24_15" vbProcedure="false">"$#REF !.$O$14"</definedName>
    <definedName function="false" hidden="false" name="vol_iodate_tc___24_17" vbProcedure="false">"$#REF !.$O$14"</definedName>
    <definedName function="false" hidden="false" name="vol_iodate_tc___24_19" vbProcedure="false">"$#REF !.$O$14"</definedName>
    <definedName function="false" hidden="false" name="vol_iodate_tc___24_21" vbProcedure="false">"$#REF !.$O$14"</definedName>
    <definedName function="false" hidden="false" name="vol_iodate_tc___24_23" vbProcedure="false">"$#REF !.$O$14"</definedName>
    <definedName function="false" hidden="false" name="vol_iodate_tc___24_25" vbProcedure="false">"$#REF !.$O$14"</definedName>
    <definedName function="false" hidden="false" name="vol_iodate_tc___24_27" vbProcedure="false">"$#REF !.$O$14"</definedName>
    <definedName function="false" hidden="false" name="vol_iodate_tc___24_29" vbProcedure="false">"$#REF !.$O$14"</definedName>
    <definedName function="false" hidden="false" name="vol_iodate_tc___24_31" vbProcedure="false">"$#REF !.$O$14"</definedName>
    <definedName function="false" hidden="false" name="vol_iodate_tc___24_33" vbProcedure="false">"$#REF !.$O$14"</definedName>
    <definedName function="false" hidden="false" name="vol_iodate_tc___24_35" vbProcedure="false">"$#REF !.$O$14"</definedName>
    <definedName function="false" hidden="false" name="vol_iodate_tc___24_37" vbProcedure="false">"$#REF !.$O$14"</definedName>
    <definedName function="false" hidden="false" name="vol_iodate_tc___24_39" vbProcedure="false">"$#REF !.$O$14"</definedName>
    <definedName function="false" hidden="false" name="vol_iodate_tc___24_41" vbProcedure="false">"$#REF !.$O$14"</definedName>
    <definedName function="false" hidden="false" name="vol_iodate_tc___24_43" vbProcedure="false">"$#REF !.$O$14"</definedName>
    <definedName function="false" hidden="false" name="vol_iodate_tc___24_45" vbProcedure="false">"$#REF !.$O$14"</definedName>
    <definedName function="false" hidden="false" name="vol_iodate_tc___24_47" vbProcedure="false">"$#REF !.$O$14"</definedName>
    <definedName function="false" hidden="false" name="vol_iodate_tc___24_49" vbProcedure="false">"$#REF !.$O$14"</definedName>
    <definedName function="false" hidden="false" name="vol_iodate_tc___24_51" vbProcedure="false">"$#REF !.$O$14"</definedName>
    <definedName function="false" hidden="false" name="vol_iodate_tc___24_53" vbProcedure="false">"$#REF !.$O$14"</definedName>
    <definedName function="false" hidden="false" name="vol_iodate_tc___24_55" vbProcedure="false">"$#REF !.$O$14"</definedName>
    <definedName function="false" hidden="false" name="vol_iodate_tc___24_57" vbProcedure="false">"$#REF !.$O$14"</definedName>
    <definedName function="false" hidden="false" name="vol_iodate_tc___24_59" vbProcedure="false">"$#REF !.$O$14"</definedName>
    <definedName function="false" hidden="false" name="vol_iodate_tc___24_61" vbProcedure="false">"$#REF !.$O$14"</definedName>
    <definedName function="false" hidden="false" name="vol_iodate_tc___24_63" vbProcedure="false">"$#REF !.$O$14"</definedName>
    <definedName function="false" hidden="false" name="vol_iodate_tc___24_65" vbProcedure="false">"$#REF !.$O$14"</definedName>
    <definedName function="false" hidden="false" name="vol_iodate_tc___24_67" vbProcedure="false">"$#REF !.$O$14"</definedName>
    <definedName function="false" hidden="false" name="vol_iodate_tc___24_69" vbProcedure="false">"$#REF !.$O$14"</definedName>
    <definedName function="false" hidden="false" name="vol_iodate_tc___24_71" vbProcedure="false">"$#REF !.$O$14"</definedName>
    <definedName function="false" hidden="false" name="vol_iodate_tc___24_73" vbProcedure="false">"$#REF !.$O$14"</definedName>
    <definedName function="false" hidden="false" name="vol_iodate_tc___24_75" vbProcedure="false">"$#REF !.$O$14"</definedName>
    <definedName function="false" hidden="false" name="vol_iodate_tc___24_77" vbProcedure="false">"$#REF !.$O$14"</definedName>
    <definedName function="false" hidden="false" name="vol_iodate_tc___24_79" vbProcedure="false">"$#REF !.$O$14"</definedName>
    <definedName function="false" hidden="false" name="vol_iodate_tc___24_81" vbProcedure="false">"$#REF !.$O$14"</definedName>
    <definedName function="false" hidden="false" name="vol_iodate_tc___24_83" vbProcedure="false">'Station 001'!$O$13</definedName>
    <definedName function="false" hidden="false" name="vol_iodate_tc___24_83_2" vbProcedure="false">"$#REF !.$O$14"</definedName>
    <definedName function="false" hidden="false" name="vol_iodate_tc___24_83_3" vbProcedure="false">#REF!</definedName>
    <definedName function="false" hidden="false" name="vol_iodate_tc___24_83_3_1" vbProcedure="false">"$#REF !.$O$14"</definedName>
    <definedName function="false" hidden="false" name="vol_iodate_tc___24_83_4" vbProcedure="false">#REF!</definedName>
    <definedName function="false" hidden="false" name="vol_iodate_tc___24_83_4_1" vbProcedure="false">"$#REF !.$O$14"</definedName>
    <definedName function="false" hidden="false" name="vol_iodate_tc___24_83_5" vbProcedure="false">#REF!</definedName>
    <definedName function="false" hidden="false" name="vol_iodate_tc___24_83_5_1" vbProcedure="false">"$#REF !.$O$14"</definedName>
    <definedName function="false" hidden="false" name="vol_iodate_tc___24_83_6" vbProcedure="false">#REF!</definedName>
    <definedName function="false" hidden="false" name="vol_iodate_tc___24_83_6_1" vbProcedure="false">"$#REF !.$O$14"</definedName>
    <definedName function="false" hidden="false" name="vol_iodate_tc___24_83_7" vbProcedure="false">#REF!</definedName>
    <definedName function="false" hidden="false" name="vol_iodate_tc___24_83_7_1" vbProcedure="false">"$#REF !.$O$14"</definedName>
    <definedName function="false" hidden="false" name="vol_iodate_tc___25" vbProcedure="false">"$#REF !.$O$14"</definedName>
    <definedName function="false" hidden="false" name="vol_iodate_tc___26" vbProcedure="false">"$#REF !.$O$14"</definedName>
    <definedName function="false" hidden="false" name="vol_iodate_tc___27" vbProcedure="false">"$#REF !.$O$14"</definedName>
    <definedName function="false" hidden="false" name="vol_iodate_tc___28" vbProcedure="false">"$#REF !.$O$14"</definedName>
    <definedName function="false" hidden="false" name="vol_iodate_tc___3" vbProcedure="false">"$#REF !.$O$13"</definedName>
    <definedName function="false" hidden="false" name="vol_iodate_tc___4" vbProcedure="false">"$#REF !.$O$13"</definedName>
    <definedName function="false" hidden="false" name="vol_iodate_tc___5" vbProcedure="false">"$#REF !.$O$13"</definedName>
    <definedName function="false" hidden="false" name="vol_iodate_tc___6" vbProcedure="false">"$#REF !.$O$13"</definedName>
    <definedName function="false" hidden="false" name="vol_iodate_tc___7" vbProcedure="false">"$#REF !.$O$13"</definedName>
    <definedName function="false" hidden="false" name="vol_iodate_tc___8" vbProcedure="false">"$#REF !.$O$13"</definedName>
    <definedName function="false" hidden="false" name="vol_iodate_tc___9" vbProcedure="false">"$#REF !.$O$13"</definedName>
    <definedName function="false" hidden="false" name="Vol_iodate___0" vbProcedure="false">"$#REF !.$E$11"</definedName>
    <definedName function="false" hidden="false" name="Vol_iodate___1" vbProcedure="false">"$#REF !.$O$12"</definedName>
    <definedName function="false" hidden="false" name="Vol_iodate___10" vbProcedure="false">"$#REF !.$O$12"</definedName>
    <definedName function="false" hidden="false" name="Vol_iodate___11" vbProcedure="false">"$#REF !.$O$12"</definedName>
    <definedName function="false" hidden="false" name="Vol_iodate___12" vbProcedure="false">"$#REF !.$O$12"</definedName>
    <definedName function="false" hidden="false" name="Vol_iodate___13" vbProcedure="false">"$#REF !.$O$12"</definedName>
    <definedName function="false" hidden="false" name="Vol_iodate___14" vbProcedure="false">"$#REF !.$O$12"</definedName>
    <definedName function="false" hidden="false" name="Vol_iodate___15" vbProcedure="false">"$#REF !.$O$12"</definedName>
    <definedName function="false" hidden="false" name="Vol_iodate___16" vbProcedure="false">"$#REF !.$O$12"</definedName>
    <definedName function="false" hidden="false" name="Vol_iodate___17" vbProcedure="false">"$#REF !.$O$12"</definedName>
    <definedName function="false" hidden="false" name="Vol_iodate___18" vbProcedure="false">"$#REF !.$O$12"</definedName>
    <definedName function="false" hidden="false" name="Vol_iodate___19" vbProcedure="false">"$#REF !.$O$12"</definedName>
    <definedName function="false" hidden="false" name="Vol_iodate___20" vbProcedure="false">"$#REF !.$O$12"</definedName>
    <definedName function="false" hidden="false" name="Vol_iodate___21" vbProcedure="false">"$#REF !.$O$12"</definedName>
    <definedName function="false" hidden="false" name="Vol_iodate___22" vbProcedure="false">"$#REF !.$O$12"</definedName>
    <definedName function="false" hidden="false" name="Vol_iodate___23" vbProcedure="false">"$#REF !.$O$12"</definedName>
    <definedName function="false" hidden="false" name="Vol_iodate___24" vbProcedure="false">"$#REF !.$O$13"</definedName>
    <definedName function="false" hidden="false" name="Vol_iodate___24_11" vbProcedure="false">"$#REF !.$O$13"</definedName>
    <definedName function="false" hidden="false" name="Vol_iodate___24_13" vbProcedure="false">"$#REF !.$O$13"</definedName>
    <definedName function="false" hidden="false" name="Vol_iodate___24_15" vbProcedure="false">"$#REF !.$O$13"</definedName>
    <definedName function="false" hidden="false" name="Vol_iodate___24_17" vbProcedure="false">"$#REF !.$O$13"</definedName>
    <definedName function="false" hidden="false" name="Vol_iodate___24_19" vbProcedure="false">"$#REF !.$O$13"</definedName>
    <definedName function="false" hidden="false" name="Vol_iodate___24_21" vbProcedure="false">"$#REF !.$O$13"</definedName>
    <definedName function="false" hidden="false" name="Vol_iodate___24_23" vbProcedure="false">"$#REF !.$O$13"</definedName>
    <definedName function="false" hidden="false" name="Vol_iodate___24_25" vbProcedure="false">"$#REF !.$O$13"</definedName>
    <definedName function="false" hidden="false" name="Vol_iodate___24_27" vbProcedure="false">"$#REF !.$O$13"</definedName>
    <definedName function="false" hidden="false" name="Vol_iodate___24_29" vbProcedure="false">"$#REF !.$O$13"</definedName>
    <definedName function="false" hidden="false" name="Vol_iodate___24_31" vbProcedure="false">"$#REF !.$O$13"</definedName>
    <definedName function="false" hidden="false" name="Vol_iodate___24_33" vbProcedure="false">"$#REF !.$O$13"</definedName>
    <definedName function="false" hidden="false" name="Vol_iodate___24_35" vbProcedure="false">"$#REF !.$O$13"</definedName>
    <definedName function="false" hidden="false" name="Vol_iodate___24_37" vbProcedure="false">"$#REF !.$O$13"</definedName>
    <definedName function="false" hidden="false" name="Vol_iodate___24_39" vbProcedure="false">"$#REF !.$O$13"</definedName>
    <definedName function="false" hidden="false" name="Vol_iodate___24_41" vbProcedure="false">"$#REF !.$O$13"</definedName>
    <definedName function="false" hidden="false" name="Vol_iodate___24_43" vbProcedure="false">"$#REF !.$O$13"</definedName>
    <definedName function="false" hidden="false" name="Vol_iodate___24_45" vbProcedure="false">"$#REF !.$O$13"</definedName>
    <definedName function="false" hidden="false" name="Vol_iodate___24_47" vbProcedure="false">"$#REF !.$O$13"</definedName>
    <definedName function="false" hidden="false" name="Vol_iodate___24_49" vbProcedure="false">"$#REF !.$O$13"</definedName>
    <definedName function="false" hidden="false" name="Vol_iodate___24_51" vbProcedure="false">"$#REF !.$O$13"</definedName>
    <definedName function="false" hidden="false" name="Vol_iodate___24_53" vbProcedure="false">"$#REF !.$O$13"</definedName>
    <definedName function="false" hidden="false" name="Vol_iodate___24_55" vbProcedure="false">"$#REF !.$O$13"</definedName>
    <definedName function="false" hidden="false" name="Vol_iodate___24_57" vbProcedure="false">"$#REF !.$O$13"</definedName>
    <definedName function="false" hidden="false" name="Vol_iodate___24_59" vbProcedure="false">"$#REF !.$O$13"</definedName>
    <definedName function="false" hidden="false" name="Vol_iodate___24_61" vbProcedure="false">"$#REF !.$O$13"</definedName>
    <definedName function="false" hidden="false" name="Vol_iodate___24_63" vbProcedure="false">"$#REF !.$O$13"</definedName>
    <definedName function="false" hidden="false" name="Vol_iodate___24_65" vbProcedure="false">"$#REF !.$O$13"</definedName>
    <definedName function="false" hidden="false" name="Vol_iodate___24_67" vbProcedure="false">"$#REF !.$O$13"</definedName>
    <definedName function="false" hidden="false" name="Vol_iodate___24_69" vbProcedure="false">"$#REF !.$O$13"</definedName>
    <definedName function="false" hidden="false" name="Vol_iodate___24_71" vbProcedure="false">"$#REF !.$O$13"</definedName>
    <definedName function="false" hidden="false" name="Vol_iodate___24_73" vbProcedure="false">"$#REF !.$O$13"</definedName>
    <definedName function="false" hidden="false" name="Vol_iodate___24_75" vbProcedure="false">"$#REF !.$O$13"</definedName>
    <definedName function="false" hidden="false" name="Vol_iodate___24_77" vbProcedure="false">"$#REF !.$O$13"</definedName>
    <definedName function="false" hidden="false" name="Vol_iodate___24_79" vbProcedure="false">"$#REF !.$O$13"</definedName>
    <definedName function="false" hidden="false" name="Vol_iodate___24_81" vbProcedure="false">"$#REF !.$O$13"</definedName>
    <definedName function="false" hidden="false" name="Vol_iodate___24_83_2" vbProcedure="false">"$#REF !.$O$13"</definedName>
    <definedName function="false" hidden="false" name="Vol_iodate___24_83_3" vbProcedure="false">#REF!</definedName>
    <definedName function="false" hidden="false" name="Vol_iodate___24_83_3_1" vbProcedure="false">"$#REF !.$O$13"</definedName>
    <definedName function="false" hidden="false" name="Vol_iodate___24_83_4" vbProcedure="false">#REF!</definedName>
    <definedName function="false" hidden="false" name="Vol_iodate___24_83_4_1" vbProcedure="false">"$#REF !.$O$13"</definedName>
    <definedName function="false" hidden="false" name="Vol_iodate___24_83_5" vbProcedure="false">#REF!</definedName>
    <definedName function="false" hidden="false" name="Vol_iodate___24_83_5_1" vbProcedure="false">"$#REF !.$O$13"</definedName>
    <definedName function="false" hidden="false" name="Vol_iodate___24_83_6" vbProcedure="false">#REF!</definedName>
    <definedName function="false" hidden="false" name="Vol_iodate___24_83_6_1" vbProcedure="false">"$#REF !.$O$13"</definedName>
    <definedName function="false" hidden="false" name="Vol_iodate___24_83_7" vbProcedure="false">#REF!</definedName>
    <definedName function="false" hidden="false" name="Vol_iodate___24_83_7_1" vbProcedure="false">"$#REF !.$O$13"</definedName>
    <definedName function="false" hidden="false" name="Vol_iodate___25" vbProcedure="false">"$#REF !.$O$13"</definedName>
    <definedName function="false" hidden="false" name="Vol_iodate___26" vbProcedure="false">"$#REF !.$O$13"</definedName>
    <definedName function="false" hidden="false" name="Vol_iodate___27" vbProcedure="false">"$#REF !.$O$13"</definedName>
    <definedName function="false" hidden="false" name="Vol_iodate___28" vbProcedure="false">"$#REF !.$O$13"</definedName>
    <definedName function="false" hidden="false" name="Vol_iodate___3" vbProcedure="false">"$#REF !.$O$12"</definedName>
    <definedName function="false" hidden="false" name="Vol_iodate___33" vbProcedure="false">"$#REF !.$O$12"</definedName>
    <definedName function="false" hidden="false" name="Vol_iodate___33_89" vbProcedure="false">#REF!</definedName>
    <definedName function="false" hidden="false" name="Vol_iodate___4" vbProcedure="false">"$#REF !.$O$12"</definedName>
    <definedName function="false" hidden="false" name="Vol_iodate___5" vbProcedure="false">"$#REF !.$O$12"</definedName>
    <definedName function="false" hidden="false" name="Vol_iodate___6" vbProcedure="false">"$#REF !.$O$12"</definedName>
    <definedName function="false" hidden="false" name="Vol_iodate___7" vbProcedure="false">"$#REF !.$O$12"</definedName>
    <definedName function="false" hidden="false" name="Vol_iodate___8" vbProcedure="false">"$#REF !.$O$12"</definedName>
    <definedName function="false" hidden="false" name="Vol_iodate___9" vbProcedure="false">"$#REF !.$O$12"</definedName>
    <definedName function="false" hidden="false" name="Vol_reactif" vbProcedure="false">"$#REF !.$N$20"</definedName>
    <definedName function="false" hidden="false" name="Vol_reactif___0" vbProcedure="false">"$#REF !.$E$14"</definedName>
    <definedName function="false" hidden="false" name="Vol_reactif___1" vbProcedure="false">"$#REF !.$N$20"</definedName>
    <definedName function="false" hidden="false" name="Vol_reactif___10" vbProcedure="false">"$#REF !.$N$20"</definedName>
    <definedName function="false" hidden="false" name="Vol_reactif___11" vbProcedure="false">"$#REF !.$N$20"</definedName>
    <definedName function="false" hidden="false" name="Vol_reactif___12" vbProcedure="false">"$#REF !.$N$20"</definedName>
    <definedName function="false" hidden="false" name="Vol_reactif___13" vbProcedure="false">"$#REF !.$N$20"</definedName>
    <definedName function="false" hidden="false" name="Vol_reactif___14" vbProcedure="false">"$#REF !.$N$20"</definedName>
    <definedName function="false" hidden="false" name="Vol_reactif___15" vbProcedure="false">"$#REF !.$N$20"</definedName>
    <definedName function="false" hidden="false" name="Vol_reactif___16" vbProcedure="false">"$#REF !.$N$20"</definedName>
    <definedName function="false" hidden="false" name="Vol_reactif___17" vbProcedure="false">"$#REF !.$N$20"</definedName>
    <definedName function="false" hidden="false" name="Vol_reactif___18" vbProcedure="false">"$#REF !.$N$20"</definedName>
    <definedName function="false" hidden="false" name="Vol_reactif___19" vbProcedure="false">"$#REF !.$N$20"</definedName>
    <definedName function="false" hidden="false" name="Vol_reactif___20" vbProcedure="false">"$#REF !.$N$20"</definedName>
    <definedName function="false" hidden="false" name="Vol_reactif___21" vbProcedure="false">"$#REF !.$N$20"</definedName>
    <definedName function="false" hidden="false" name="Vol_reactif___22" vbProcedure="false">"$#REF !.$N$20"</definedName>
    <definedName function="false" hidden="false" name="Vol_reactif___23" vbProcedure="false">"$#REF !.$N$20"</definedName>
    <definedName function="false" hidden="false" name="Vol_reactif___24" vbProcedure="false">"$#REF !.$N$21"</definedName>
    <definedName function="false" hidden="false" name="Vol_reactif___24_11" vbProcedure="false">"$#REF !.$N$21"</definedName>
    <definedName function="false" hidden="false" name="Vol_reactif___24_13" vbProcedure="false">"$#REF !.$N$21"</definedName>
    <definedName function="false" hidden="false" name="Vol_reactif___24_15" vbProcedure="false">"$#REF !.$N$21"</definedName>
    <definedName function="false" hidden="false" name="Vol_reactif___24_17" vbProcedure="false">"$#REF !.$N$21"</definedName>
    <definedName function="false" hidden="false" name="Vol_reactif___24_19" vbProcedure="false">"$#REF !.$N$21"</definedName>
    <definedName function="false" hidden="false" name="Vol_reactif___24_21" vbProcedure="false">"$#REF !.$N$21"</definedName>
    <definedName function="false" hidden="false" name="Vol_reactif___24_23" vbProcedure="false">"$#REF !.$N$21"</definedName>
    <definedName function="false" hidden="false" name="Vol_reactif___24_25" vbProcedure="false">"$#REF !.$N$21"</definedName>
    <definedName function="false" hidden="false" name="Vol_reactif___24_27" vbProcedure="false">"$#REF !.$N$21"</definedName>
    <definedName function="false" hidden="false" name="Vol_reactif___24_29" vbProcedure="false">"$#REF !.$N$21"</definedName>
    <definedName function="false" hidden="false" name="Vol_reactif___24_31" vbProcedure="false">"$#REF !.$N$21"</definedName>
    <definedName function="false" hidden="false" name="Vol_reactif___24_33" vbProcedure="false">"$#REF !.$N$21"</definedName>
    <definedName function="false" hidden="false" name="Vol_reactif___24_35" vbProcedure="false">"$#REF !.$N$21"</definedName>
    <definedName function="false" hidden="false" name="Vol_reactif___24_37" vbProcedure="false">"$#REF !.$N$21"</definedName>
    <definedName function="false" hidden="false" name="Vol_reactif___24_39" vbProcedure="false">"$#REF !.$N$21"</definedName>
    <definedName function="false" hidden="false" name="Vol_reactif___24_41" vbProcedure="false">"$#REF !.$N$21"</definedName>
    <definedName function="false" hidden="false" name="Vol_reactif___24_43" vbProcedure="false">"$#REF !.$N$21"</definedName>
    <definedName function="false" hidden="false" name="Vol_reactif___24_45" vbProcedure="false">"$#REF !.$N$21"</definedName>
    <definedName function="false" hidden="false" name="Vol_reactif___24_47" vbProcedure="false">"$#REF !.$N$21"</definedName>
    <definedName function="false" hidden="false" name="Vol_reactif___24_49" vbProcedure="false">"$#REF !.$N$21"</definedName>
    <definedName function="false" hidden="false" name="Vol_reactif___24_51" vbProcedure="false">"$#REF !.$N$21"</definedName>
    <definedName function="false" hidden="false" name="Vol_reactif___24_53" vbProcedure="false">"$#REF !.$N$21"</definedName>
    <definedName function="false" hidden="false" name="Vol_reactif___24_55" vbProcedure="false">"$#REF !.$N$21"</definedName>
    <definedName function="false" hidden="false" name="Vol_reactif___24_57" vbProcedure="false">"$#REF !.$N$21"</definedName>
    <definedName function="false" hidden="false" name="Vol_reactif___24_59" vbProcedure="false">"$#REF !.$N$21"</definedName>
    <definedName function="false" hidden="false" name="Vol_reactif___24_61" vbProcedure="false">"$#REF !.$N$21"</definedName>
    <definedName function="false" hidden="false" name="Vol_reactif___24_63" vbProcedure="false">"$#REF !.$N$21"</definedName>
    <definedName function="false" hidden="false" name="Vol_reactif___24_65" vbProcedure="false">"$#REF !.$N$21"</definedName>
    <definedName function="false" hidden="false" name="Vol_reactif___24_67" vbProcedure="false">"$#REF !.$N$21"</definedName>
    <definedName function="false" hidden="false" name="Vol_reactif___24_69" vbProcedure="false">"$#REF !.$N$21"</definedName>
    <definedName function="false" hidden="false" name="Vol_reactif___24_71" vbProcedure="false">"$#REF !.$N$21"</definedName>
    <definedName function="false" hidden="false" name="Vol_reactif___24_73" vbProcedure="false">"$#REF !.$N$21"</definedName>
    <definedName function="false" hidden="false" name="Vol_reactif___24_75" vbProcedure="false">"$#REF !.$N$21"</definedName>
    <definedName function="false" hidden="false" name="Vol_reactif___24_77" vbProcedure="false">"$#REF !.$N$21"</definedName>
    <definedName function="false" hidden="false" name="Vol_reactif___24_79" vbProcedure="false">"$#REF !.$N$21"</definedName>
    <definedName function="false" hidden="false" name="Vol_reactif___24_81" vbProcedure="false">"$#REF !.$N$21"</definedName>
    <definedName function="false" hidden="false" name="Vol_reactif___24_83" vbProcedure="false">'Station 001'!$N$20</definedName>
    <definedName function="false" hidden="false" name="Vol_reactif___24_83_2" vbProcedure="false">"$#REF !.$N$21"</definedName>
    <definedName function="false" hidden="false" name="Vol_reactif___24_83_3" vbProcedure="false">#REF!</definedName>
    <definedName function="false" hidden="false" name="Vol_reactif___24_83_3_1" vbProcedure="false">"$#REF !.$N$21"</definedName>
    <definedName function="false" hidden="false" name="Vol_reactif___24_83_4" vbProcedure="false">#REF!</definedName>
    <definedName function="false" hidden="false" name="Vol_reactif___24_83_4_1" vbProcedure="false">"$#REF !.$N$21"</definedName>
    <definedName function="false" hidden="false" name="Vol_reactif___24_83_5" vbProcedure="false">#REF!</definedName>
    <definedName function="false" hidden="false" name="Vol_reactif___24_83_5_1" vbProcedure="false">"$#REF !.$N$21"</definedName>
    <definedName function="false" hidden="false" name="Vol_reactif___24_83_6" vbProcedure="false">#REF!</definedName>
    <definedName function="false" hidden="false" name="Vol_reactif___24_83_6_1" vbProcedure="false">"$#REF !.$N$21"</definedName>
    <definedName function="false" hidden="false" name="Vol_reactif___24_83_7" vbProcedure="false">#REF!</definedName>
    <definedName function="false" hidden="false" name="Vol_reactif___24_83_7_1" vbProcedure="false">"$#REF !.$N$21"</definedName>
    <definedName function="false" hidden="false" name="Vol_reactif___25" vbProcedure="false">"$#REF !.$N$21"</definedName>
    <definedName function="false" hidden="false" name="Vol_reactif___26" vbProcedure="false">"$#REF !.$N$21"</definedName>
    <definedName function="false" hidden="false" name="Vol_reactif___27" vbProcedure="false">"$#REF !.$N$21"</definedName>
    <definedName function="false" hidden="false" name="Vol_reactif___28" vbProcedure="false">"$#REF !.$N$21"</definedName>
    <definedName function="false" hidden="false" name="Vol_reactif___3" vbProcedure="false">"$#REF !.$N$20"</definedName>
    <definedName function="false" hidden="false" name="Vol_reactif___33" vbProcedure="false">"$#REF !.$N$20"</definedName>
    <definedName function="false" hidden="false" name="Vol_reactif___33_89" vbProcedure="false">#REF!</definedName>
    <definedName function="false" hidden="false" name="Vol_reactif___4" vbProcedure="false">"$#REF !.$N$20"</definedName>
    <definedName function="false" hidden="false" name="Vol_reactif___5" vbProcedure="false">"$#REF !.$N$20"</definedName>
    <definedName function="false" hidden="false" name="Vol_reactif___6" vbProcedure="false">"$#REF !.$N$20"</definedName>
    <definedName function="false" hidden="false" name="Vol_reactif___7" vbProcedure="false">"$#REF !.$N$20"</definedName>
    <definedName function="false" hidden="false" name="Vol_reactif___8" vbProcedure="false">"$#REF !.$N$20"</definedName>
    <definedName function="false" hidden="false" name="Vol_reactif___9" vbProcedure="false">"$#REF !.$N$20"</definedName>
    <definedName function="false" hidden="false" name="Vol_thio_iodate" vbProcedure="false">"$#REF !.$O$14"</definedName>
    <definedName function="false" hidden="false" name="Vol_thio_iodate___0" vbProcedure="false">"$#REF !.$E$12"</definedName>
    <definedName function="false" hidden="false" name="Vol_thio_iodate___1" vbProcedure="false">"$#REF !.$O$14"</definedName>
    <definedName function="false" hidden="false" name="Vol_thio_iodate___10" vbProcedure="false">"$#REF !.$O$14"</definedName>
    <definedName function="false" hidden="false" name="Vol_thio_iodate___11" vbProcedure="false">"$#REF !.$O$14"</definedName>
    <definedName function="false" hidden="false" name="Vol_thio_iodate___12" vbProcedure="false">"$#REF !.$O$14"</definedName>
    <definedName function="false" hidden="false" name="Vol_thio_iodate___13" vbProcedure="false">"$#REF !.$O$14"</definedName>
    <definedName function="false" hidden="false" name="Vol_thio_iodate___14" vbProcedure="false">"$#REF !.$O$14"</definedName>
    <definedName function="false" hidden="false" name="Vol_thio_iodate___15" vbProcedure="false">"$#REF !.$O$14"</definedName>
    <definedName function="false" hidden="false" name="Vol_thio_iodate___16" vbProcedure="false">"$#REF !.$O$14"</definedName>
    <definedName function="false" hidden="false" name="Vol_thio_iodate___17" vbProcedure="false">"$#REF !.$O$14"</definedName>
    <definedName function="false" hidden="false" name="Vol_thio_iodate___18" vbProcedure="false">"$#REF !.$O$14"</definedName>
    <definedName function="false" hidden="false" name="Vol_thio_iodate___19" vbProcedure="false">"$#REF !.$O$14"</definedName>
    <definedName function="false" hidden="false" name="Vol_thio_iodate___20" vbProcedure="false">"$#REF !.$O$14"</definedName>
    <definedName function="false" hidden="false" name="Vol_thio_iodate___21" vbProcedure="false">"$#REF !.$O$14"</definedName>
    <definedName function="false" hidden="false" name="Vol_thio_iodate___22" vbProcedure="false">"$#REF !.$O$14"</definedName>
    <definedName function="false" hidden="false" name="Vol_thio_iodate___23" vbProcedure="false">"$#REF !.$O$14"</definedName>
    <definedName function="false" hidden="false" name="Vol_thio_iodate___24" vbProcedure="false">"$#REF !.$O$15"</definedName>
    <definedName function="false" hidden="false" name="Vol_thio_iodate___24_11" vbProcedure="false">"$#REF !.$O$15"</definedName>
    <definedName function="false" hidden="false" name="Vol_thio_iodate___24_13" vbProcedure="false">"$#REF !.$O$15"</definedName>
    <definedName function="false" hidden="false" name="Vol_thio_iodate___24_15" vbProcedure="false">"$#REF !.$O$15"</definedName>
    <definedName function="false" hidden="false" name="Vol_thio_iodate___24_17" vbProcedure="false">"$#REF !.$O$15"</definedName>
    <definedName function="false" hidden="false" name="Vol_thio_iodate___24_19" vbProcedure="false">"$#REF !.$O$15"</definedName>
    <definedName function="false" hidden="false" name="Vol_thio_iodate___24_21" vbProcedure="false">"$#REF !.$O$15"</definedName>
    <definedName function="false" hidden="false" name="Vol_thio_iodate___24_23" vbProcedure="false">"$#REF !.$O$15"</definedName>
    <definedName function="false" hidden="false" name="Vol_thio_iodate___24_25" vbProcedure="false">"$#REF !.$O$15"</definedName>
    <definedName function="false" hidden="false" name="Vol_thio_iodate___24_27" vbProcedure="false">"$#REF !.$O$15"</definedName>
    <definedName function="false" hidden="false" name="Vol_thio_iodate___24_29" vbProcedure="false">"$#REF !.$O$15"</definedName>
    <definedName function="false" hidden="false" name="Vol_thio_iodate___24_31" vbProcedure="false">"$#REF !.$O$15"</definedName>
    <definedName function="false" hidden="false" name="Vol_thio_iodate___24_33" vbProcedure="false">"$#REF !.$O$15"</definedName>
    <definedName function="false" hidden="false" name="Vol_thio_iodate___24_35" vbProcedure="false">"$#REF !.$O$15"</definedName>
    <definedName function="false" hidden="false" name="Vol_thio_iodate___24_37" vbProcedure="false">"$#REF !.$O$15"</definedName>
    <definedName function="false" hidden="false" name="Vol_thio_iodate___24_39" vbProcedure="false">"$#REF !.$O$15"</definedName>
    <definedName function="false" hidden="false" name="Vol_thio_iodate___24_41" vbProcedure="false">"$#REF !.$O$15"</definedName>
    <definedName function="false" hidden="false" name="Vol_thio_iodate___24_43" vbProcedure="false">"$#REF !.$O$15"</definedName>
    <definedName function="false" hidden="false" name="Vol_thio_iodate___24_45" vbProcedure="false">"$#REF !.$O$15"</definedName>
    <definedName function="false" hidden="false" name="Vol_thio_iodate___24_47" vbProcedure="false">"$#REF !.$O$15"</definedName>
    <definedName function="false" hidden="false" name="Vol_thio_iodate___24_49" vbProcedure="false">"$#REF !.$O$15"</definedName>
    <definedName function="false" hidden="false" name="Vol_thio_iodate___24_51" vbProcedure="false">"$#REF !.$O$15"</definedName>
    <definedName function="false" hidden="false" name="Vol_thio_iodate___24_53" vbProcedure="false">"$#REF !.$O$15"</definedName>
    <definedName function="false" hidden="false" name="Vol_thio_iodate___24_55" vbProcedure="false">"$#REF !.$O$15"</definedName>
    <definedName function="false" hidden="false" name="Vol_thio_iodate___24_57" vbProcedure="false">"$#REF !.$O$15"</definedName>
    <definedName function="false" hidden="false" name="Vol_thio_iodate___24_59" vbProcedure="false">"$#REF !.$O$15"</definedName>
    <definedName function="false" hidden="false" name="Vol_thio_iodate___24_61" vbProcedure="false">"$#REF !.$O$15"</definedName>
    <definedName function="false" hidden="false" name="Vol_thio_iodate___24_63" vbProcedure="false">"$#REF !.$O$15"</definedName>
    <definedName function="false" hidden="false" name="Vol_thio_iodate___24_65" vbProcedure="false">"$#REF !.$O$15"</definedName>
    <definedName function="false" hidden="false" name="Vol_thio_iodate___24_67" vbProcedure="false">"$#REF !.$O$15"</definedName>
    <definedName function="false" hidden="false" name="Vol_thio_iodate___24_69" vbProcedure="false">"$#REF !.$O$15"</definedName>
    <definedName function="false" hidden="false" name="Vol_thio_iodate___24_71" vbProcedure="false">"$#REF !.$O$15"</definedName>
    <definedName function="false" hidden="false" name="Vol_thio_iodate___24_73" vbProcedure="false">"$#REF !.$O$15"</definedName>
    <definedName function="false" hidden="false" name="Vol_thio_iodate___24_75" vbProcedure="false">"$#REF !.$O$15"</definedName>
    <definedName function="false" hidden="false" name="Vol_thio_iodate___24_77" vbProcedure="false">"$#REF !.$O$15"</definedName>
    <definedName function="false" hidden="false" name="Vol_thio_iodate___24_79" vbProcedure="false">"$#REF !.$O$15"</definedName>
    <definedName function="false" hidden="false" name="Vol_thio_iodate___24_81" vbProcedure="false">"$#REF !.$O$15"</definedName>
    <definedName function="false" hidden="false" name="Vol_thio_iodate___24_83" vbProcedure="false">'Station 001'!$O$14</definedName>
    <definedName function="false" hidden="false" name="Vol_thio_iodate___24_83_2" vbProcedure="false">"$#REF !.$O$15"</definedName>
    <definedName function="false" hidden="false" name="Vol_thio_iodate___24_83_3" vbProcedure="false">#REF!</definedName>
    <definedName function="false" hidden="false" name="Vol_thio_iodate___24_83_3_1" vbProcedure="false">"$#REF !.$O$15"</definedName>
    <definedName function="false" hidden="false" name="Vol_thio_iodate___24_83_4" vbProcedure="false">#REF!</definedName>
    <definedName function="false" hidden="false" name="Vol_thio_iodate___24_83_4_1" vbProcedure="false">"$#REF !.$O$15"</definedName>
    <definedName function="false" hidden="false" name="Vol_thio_iodate___24_83_5" vbProcedure="false">#REF!</definedName>
    <definedName function="false" hidden="false" name="Vol_thio_iodate___24_83_5_1" vbProcedure="false">"$#REF !.$O$15"</definedName>
    <definedName function="false" hidden="false" name="Vol_thio_iodate___24_83_6" vbProcedure="false">#REF!</definedName>
    <definedName function="false" hidden="false" name="Vol_thio_iodate___24_83_6_1" vbProcedure="false">"$#REF !.$O$15"</definedName>
    <definedName function="false" hidden="false" name="Vol_thio_iodate___24_83_7" vbProcedure="false">#REF!</definedName>
    <definedName function="false" hidden="false" name="Vol_thio_iodate___24_83_7_1" vbProcedure="false">"$#REF !.$O$15"</definedName>
    <definedName function="false" hidden="false" name="Vol_thio_iodate___25" vbProcedure="false">"$#REF !.$O$15"</definedName>
    <definedName function="false" hidden="false" name="Vol_thio_iodate___26" vbProcedure="false">"$#REF !.$O$15"</definedName>
    <definedName function="false" hidden="false" name="Vol_thio_iodate___27" vbProcedure="false">"$#REF !.$O$15"</definedName>
    <definedName function="false" hidden="false" name="Vol_thio_iodate___28" vbProcedure="false">"$#REF !.$O$15"</definedName>
    <definedName function="false" hidden="false" name="Vol_thio_iodate___3" vbProcedure="false">"$#REF !.$O$14"</definedName>
    <definedName function="false" hidden="false" name="Vol_thio_iodate___33" vbProcedure="false">"$#REF !.$O$14"</definedName>
    <definedName function="false" hidden="false" name="Vol_thio_iodate___33_89" vbProcedure="false">#REF!</definedName>
    <definedName function="false" hidden="false" name="Vol_thio_iodate___4" vbProcedure="false">"$#REF !.$O$14"</definedName>
    <definedName function="false" hidden="false" name="Vol_thio_iodate___5" vbProcedure="false">"$#REF !.$O$14"</definedName>
    <definedName function="false" hidden="false" name="Vol_thio_iodate___6" vbProcedure="false">"$#REF !.$O$14"</definedName>
    <definedName function="false" hidden="false" name="Vol_thio_iodate___7" vbProcedure="false">"$#REF !.$O$14"</definedName>
    <definedName function="false" hidden="false" name="Vol_thio_iodate___8" vbProcedure="false">"$#REF !.$O$14"</definedName>
    <definedName function="false" hidden="false" name="Vol_thio_iodate___9" vbProcedure="false">"$#REF !.$O$14"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<sst xmlns="http://schemas.openxmlformats.org/spreadsheetml/2006/main" count="1476" uniqueCount="146">
  <si>
    <t xml:space="preserve">Campagne :</t>
  </si>
  <si>
    <t xml:space="preserve">PIRATA Fr18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</si>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</sst>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00"/>
    <numFmt numFmtId="166" formatCode="00"/>
    <numFmt numFmtId="167" formatCode="m/d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:mm:ss"/>
    <numFmt numFmtId="175" formatCode="yyyy\-mm\-dd\Thh:mm:ss\z"/>
    <numFmt numFmtId="176" formatCode="[$-F800]dddd&quot;, &quot;mmmm\ dd&quot;, &quot;yyyy"/>
    <numFmt numFmtId="177" formatCode="0.000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#,##0.000;[RED]#,##0.000"/>
    <numFmt numFmtId="183" formatCode="#,##0.0;[RED]#,##0.0"/>
    <numFmt numFmtId="184" formatCode="0.0"/>
  </numFmts>
  <fonts count="3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sz val="11"/>
      <color rgb="FF00206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0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30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3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4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Relationship Id="rId11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M:/Users/fbaurand/AppData/Roaming/Microsoft/Excel/Sel_Nut/PIRATA-FR24_Analyses_02_Sal_NUTRIEMENT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M:/PIRATA/PIRATA-FR18/data-final/CHIMIE/pirataFR20_o2_nettoye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tion 01"/>
      <sheetName val="station 02"/>
      <sheetName val="station 04"/>
      <sheetName val="station 05"/>
      <sheetName val="station 06"/>
      <sheetName val="station 07"/>
      <sheetName val="station 08"/>
      <sheetName val="station 09"/>
      <sheetName val="station 10"/>
      <sheetName val="station 11"/>
      <sheetName val="station 12"/>
      <sheetName val="station 13"/>
      <sheetName val="station 14"/>
      <sheetName val="station 15"/>
      <sheetName val="station 16"/>
      <sheetName val="station 17"/>
      <sheetName val="station 18"/>
      <sheetName val="station 19"/>
      <sheetName val="station 20"/>
      <sheetName val="station 21"/>
      <sheetName val="station 22"/>
      <sheetName val="station 23"/>
      <sheetName val="station 24"/>
      <sheetName val="station 25"/>
      <sheetName val="station 26"/>
      <sheetName val="station 27"/>
      <sheetName val="station 28"/>
      <sheetName val="station 29"/>
      <sheetName val="station 30"/>
      <sheetName val="station 31"/>
      <sheetName val="station 32"/>
      <sheetName val="station 33"/>
      <sheetName val="station 34"/>
      <sheetName val="station 35"/>
      <sheetName val="station 36"/>
      <sheetName val="station 37"/>
      <sheetName val="station 38"/>
      <sheetName val="station 39"/>
      <sheetName val="station 40"/>
      <sheetName val="station 41"/>
      <sheetName val="station 42"/>
      <sheetName val="station 43"/>
      <sheetName val="station 44"/>
      <sheetName val="station 45"/>
      <sheetName val="station 46"/>
      <sheetName val="station 47"/>
      <sheetName val="station 48"/>
      <sheetName val="exemple"/>
      <sheetName val="Volumétrie"/>
      <sheetName val="Feuil1"/>
      <sheetName val="TITRE_IODATE"/>
      <sheetName val="volumes"/>
      <sheetName val="corrections_de_vol_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ation_01"/>
      <sheetName val="station_02"/>
      <sheetName val="station_03"/>
      <sheetName val="station_04"/>
      <sheetName val="station_05"/>
      <sheetName val="station_06"/>
      <sheetName val="station_07"/>
      <sheetName val="station_08"/>
      <sheetName val="station_09"/>
      <sheetName val="station_10"/>
      <sheetName val="station_11"/>
      <sheetName val="station_12"/>
      <sheetName val="station_13"/>
      <sheetName val="station_14"/>
      <sheetName val="station_15"/>
      <sheetName val="station_16"/>
      <sheetName val="station_17"/>
      <sheetName val="station_18"/>
      <sheetName val="station_19"/>
      <sheetName val="station_20"/>
      <sheetName val="station_21"/>
      <sheetName val="station_22"/>
      <sheetName val="station_23"/>
      <sheetName val="station_24"/>
      <sheetName val="station_25"/>
      <sheetName val="station_ 26"/>
      <sheetName val="station_27"/>
      <sheetName val="station_28"/>
      <sheetName val="station_29"/>
      <sheetName val="station_30"/>
      <sheetName val="station_31"/>
      <sheetName val="TITRE_IODATE"/>
      <sheetName val="volumes"/>
      <sheetName val="corrections_de_vol_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38234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0.61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0°0,61</v>
      </c>
      <c r="P9" s="31" t="s">
        <v>13</v>
      </c>
      <c r="Q9" s="35" t="n">
        <f aca="false">IF(ISBLANK(I9),"",IF(ISBLANK(J9),"",IF(J9&gt;60,"ERREUR !!",O11*(I9+(J9/60)))))</f>
        <v>0.0101666666666667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0.05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-0°0,05</v>
      </c>
      <c r="P10" s="31" t="s">
        <v>17</v>
      </c>
      <c r="Q10" s="35" t="n">
        <f aca="false">IF(ISBLANK(I10),"",IF(ISBLANK(J10),"",IF(J10&gt;60,"ERREUR !!",O12*(I10+(J10/60)))))</f>
        <v>-0.000833333333333333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38233</v>
      </c>
      <c r="K11" s="40"/>
      <c r="L11" s="40"/>
      <c r="M11" s="40"/>
      <c r="N11" s="41" t="str">
        <f aca="false">I9&amp;"°"&amp;J9</f>
        <v>0°0,61</v>
      </c>
      <c r="O11" s="42" t="n">
        <f aca="false">IF(P9=M10,-1,1)</f>
        <v>1</v>
      </c>
      <c r="P11" s="43" t="str">
        <f aca="false">TEXT(J11,"aaaa-mm-jj")&amp;"T"&amp;TEXT(J12,"hh:mm:ss")&amp;"z"</f>
        <v>2008-09-04T16:00:00z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0.666666666666667</v>
      </c>
      <c r="K12" s="48"/>
      <c r="L12" s="48"/>
      <c r="M12" s="48"/>
      <c r="N12" s="49" t="str">
        <f aca="false">I10&amp;"°"&amp;J10</f>
        <v>0°0,05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34.9638</v>
      </c>
      <c r="H35" s="123" t="n">
        <v>2000</v>
      </c>
      <c r="I35" s="124" t="n">
        <v>2004</v>
      </c>
      <c r="J35" s="125"/>
      <c r="K35" s="126"/>
      <c r="L35" s="126"/>
      <c r="M35" s="126"/>
      <c r="N35" s="127"/>
      <c r="O35" s="126"/>
      <c r="P35" s="128" t="n">
        <v>5.527</v>
      </c>
      <c r="Q35" s="125"/>
      <c r="R35" s="125"/>
      <c r="S35" s="129" t="n">
        <v>240.2</v>
      </c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s">
        <v>99</v>
      </c>
      <c r="H36" s="124" t="n">
        <v>2000</v>
      </c>
      <c r="I36" s="124" t="n">
        <v>2005</v>
      </c>
      <c r="J36" s="136"/>
      <c r="K36" s="137"/>
      <c r="L36" s="137"/>
      <c r="M36" s="137"/>
      <c r="N36" s="138"/>
      <c r="O36" s="137"/>
      <c r="P36" s="139"/>
      <c r="Q36" s="136"/>
      <c r="R36" s="136"/>
      <c r="S36" s="14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s">
        <v>99</v>
      </c>
      <c r="H37" s="124" t="n">
        <v>1000</v>
      </c>
      <c r="I37" s="124" t="n">
        <v>1000</v>
      </c>
      <c r="J37" s="136"/>
      <c r="K37" s="137"/>
      <c r="L37" s="137"/>
      <c r="M37" s="137"/>
      <c r="N37" s="138"/>
      <c r="O37" s="137"/>
      <c r="P37" s="139"/>
      <c r="Q37" s="136"/>
      <c r="R37" s="136"/>
      <c r="S37" s="14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s">
        <v>99</v>
      </c>
      <c r="H38" s="124" t="n">
        <v>800</v>
      </c>
      <c r="I38" s="124" t="n">
        <v>797</v>
      </c>
      <c r="J38" s="136"/>
      <c r="K38" s="137"/>
      <c r="L38" s="137"/>
      <c r="M38" s="137"/>
      <c r="N38" s="138"/>
      <c r="O38" s="137"/>
      <c r="P38" s="139"/>
      <c r="Q38" s="136"/>
      <c r="R38" s="136"/>
      <c r="S38" s="14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41"/>
    </row>
    <row r="39" customFormat="false" ht="1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34.6396</v>
      </c>
      <c r="H39" s="124" t="n">
        <v>500</v>
      </c>
      <c r="I39" s="124" t="n">
        <v>501</v>
      </c>
      <c r="J39" s="136"/>
      <c r="K39" s="137"/>
      <c r="L39" s="137"/>
      <c r="M39" s="137"/>
      <c r="N39" s="138"/>
      <c r="O39" s="137"/>
      <c r="P39" s="139" t="n">
        <v>2.605</v>
      </c>
      <c r="Q39" s="136"/>
      <c r="R39" s="136"/>
      <c r="S39" s="140" t="n">
        <v>113.3</v>
      </c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35.0986</v>
      </c>
      <c r="H40" s="124" t="n">
        <v>300</v>
      </c>
      <c r="I40" s="124" t="n">
        <v>299</v>
      </c>
      <c r="J40" s="136"/>
      <c r="K40" s="137"/>
      <c r="L40" s="137"/>
      <c r="M40" s="137"/>
      <c r="N40" s="138"/>
      <c r="O40" s="137"/>
      <c r="P40" s="139" t="n">
        <v>1.63</v>
      </c>
      <c r="Q40" s="136"/>
      <c r="R40" s="136"/>
      <c r="S40" s="140" t="n">
        <v>70.9</v>
      </c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35.2894</v>
      </c>
      <c r="H41" s="124" t="n">
        <v>20</v>
      </c>
      <c r="I41" s="124" t="n">
        <v>20</v>
      </c>
      <c r="J41" s="136"/>
      <c r="K41" s="137"/>
      <c r="L41" s="137"/>
      <c r="M41" s="137"/>
      <c r="N41" s="138"/>
      <c r="O41" s="137"/>
      <c r="P41" s="139" t="n">
        <v>4.578</v>
      </c>
      <c r="Q41" s="136"/>
      <c r="R41" s="136"/>
      <c r="S41" s="140" t="n">
        <v>199.8</v>
      </c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35.2855</v>
      </c>
      <c r="H42" s="124" t="n">
        <v>0</v>
      </c>
      <c r="I42" s="124" t="n">
        <v>1</v>
      </c>
      <c r="J42" s="136"/>
      <c r="K42" s="137"/>
      <c r="L42" s="137"/>
      <c r="M42" s="137"/>
      <c r="N42" s="138"/>
      <c r="O42" s="137"/>
      <c r="P42" s="139" t="n">
        <v>4.565</v>
      </c>
      <c r="Q42" s="136"/>
      <c r="R42" s="136"/>
      <c r="S42" s="140" t="n">
        <v>199.2</v>
      </c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s">
        <v>99</v>
      </c>
      <c r="H43" s="124" t="s">
        <v>145</v>
      </c>
      <c r="I43" s="147" t="s">
        <v>99</v>
      </c>
      <c r="J43" s="136"/>
      <c r="K43" s="137"/>
      <c r="L43" s="137"/>
      <c r="M43" s="137"/>
      <c r="N43" s="138"/>
      <c r="O43" s="137"/>
      <c r="P43" s="139" t="s">
        <v>99</v>
      </c>
      <c r="Q43" s="136"/>
      <c r="R43" s="136"/>
      <c r="S43" s="136" t="s">
        <v>99</v>
      </c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24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39" t="s">
        <v>99</v>
      </c>
      <c r="Q44" s="136"/>
      <c r="R44" s="136"/>
      <c r="S44" s="136" t="s">
        <v>99</v>
      </c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41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24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39" t="s">
        <v>99</v>
      </c>
      <c r="Q45" s="136"/>
      <c r="R45" s="136"/>
      <c r="S45" s="136" t="s">
        <v>99</v>
      </c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</row>
    <row r="46" customFormat="false" ht="1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Z1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4" min="11" style="0" width="10.66"/>
    <col collapsed="false" customWidth="true" hidden="true" outlineLevel="0" max="15" min="15" style="0" width="1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38234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0.46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0°0,46</v>
      </c>
      <c r="P9" s="31" t="s">
        <v>13</v>
      </c>
      <c r="Q9" s="35" t="n">
        <f aca="false">IF(ISBLANK(I9),"",IF(ISBLANK(J9),"",IF(J9&gt;60,"ERREUR !!",O11*(I9+(J9/60)))))</f>
        <v>0.00766666666666667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0.63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-0°0,63</v>
      </c>
      <c r="P10" s="31" t="s">
        <v>17</v>
      </c>
      <c r="Q10" s="35" t="n">
        <f aca="false">IF(ISBLANK(I10),"",IF(ISBLANK(J10),"",IF(J10&gt;60,"ERREUR !!",O12*(I10+(J10/60)))))</f>
        <v>-0.0105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38233</v>
      </c>
      <c r="K11" s="40"/>
      <c r="L11" s="40"/>
      <c r="M11" s="40"/>
      <c r="N11" s="41" t="str">
        <f aca="false">I9&amp;"°"&amp;J9</f>
        <v>0°0,46</v>
      </c>
      <c r="O11" s="42" t="n">
        <f aca="false">IF(P9=M10,-1,1)</f>
        <v>1</v>
      </c>
      <c r="P11" s="43" t="str">
        <f aca="false">TEXT(J11,"aaaa-mm-jj")&amp;"T"&amp;TEXT(J12,"hh:mm:ss")&amp;"z"</f>
        <v>2008-09-04T18:30:00z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0.770833333333333</v>
      </c>
      <c r="K12" s="48"/>
      <c r="L12" s="48"/>
      <c r="M12" s="48"/>
      <c r="N12" s="49" t="str">
        <f aca="false">I10&amp;"°"&amp;J10</f>
        <v>0°0,63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34.615</v>
      </c>
      <c r="H35" s="124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77" t="n">
        <v>3.279</v>
      </c>
      <c r="Q35" s="125"/>
      <c r="R35" s="125"/>
      <c r="S35" s="178" t="n">
        <v>142.5</v>
      </c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34.6985</v>
      </c>
      <c r="H36" s="124" t="n">
        <v>1000</v>
      </c>
      <c r="I36" s="124" t="n">
        <v>1000</v>
      </c>
      <c r="J36" s="136"/>
      <c r="K36" s="137"/>
      <c r="L36" s="137"/>
      <c r="M36" s="137"/>
      <c r="N36" s="138"/>
      <c r="O36" s="137"/>
      <c r="P36" s="177" t="n">
        <v>3.284</v>
      </c>
      <c r="Q36" s="136"/>
      <c r="R36" s="136"/>
      <c r="S36" s="178" t="n">
        <v>142.8</v>
      </c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34.6135</v>
      </c>
      <c r="H37" s="124" t="n">
        <v>1000</v>
      </c>
      <c r="I37" s="124" t="n">
        <v>1000</v>
      </c>
      <c r="J37" s="136"/>
      <c r="K37" s="137"/>
      <c r="L37" s="137"/>
      <c r="M37" s="137"/>
      <c r="N37" s="138"/>
      <c r="O37" s="137"/>
      <c r="P37" s="177" t="n">
        <v>3.44</v>
      </c>
      <c r="Q37" s="136"/>
      <c r="R37" s="136"/>
      <c r="S37" s="178" t="n">
        <v>149.5</v>
      </c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34.6107</v>
      </c>
      <c r="H38" s="124" t="n">
        <v>1000</v>
      </c>
      <c r="I38" s="124" t="n">
        <v>1000</v>
      </c>
      <c r="J38" s="136"/>
      <c r="K38" s="137"/>
      <c r="L38" s="137"/>
      <c r="M38" s="137"/>
      <c r="N38" s="138"/>
      <c r="O38" s="137"/>
      <c r="P38" s="177" t="n">
        <v>3.432</v>
      </c>
      <c r="Q38" s="136"/>
      <c r="R38" s="136"/>
      <c r="S38" s="178" t="n">
        <v>149.2</v>
      </c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34.612</v>
      </c>
      <c r="H39" s="124" t="n">
        <v>1000</v>
      </c>
      <c r="I39" s="124" t="n">
        <v>1000</v>
      </c>
      <c r="J39" s="136"/>
      <c r="K39" s="137"/>
      <c r="L39" s="137"/>
      <c r="M39" s="137"/>
      <c r="N39" s="138"/>
      <c r="O39" s="137"/>
      <c r="P39" s="177" t="n">
        <v>3.234</v>
      </c>
      <c r="Q39" s="136"/>
      <c r="R39" s="136"/>
      <c r="S39" s="178" t="n">
        <v>140.6</v>
      </c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2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34.6112</v>
      </c>
      <c r="H40" s="124" t="n">
        <v>1000</v>
      </c>
      <c r="I40" s="124" t="n">
        <v>1000</v>
      </c>
      <c r="J40" s="136"/>
      <c r="K40" s="137"/>
      <c r="L40" s="137"/>
      <c r="M40" s="137"/>
      <c r="N40" s="138"/>
      <c r="O40" s="137"/>
      <c r="P40" s="177" t="n">
        <v>3.447</v>
      </c>
      <c r="Q40" s="136"/>
      <c r="R40" s="136"/>
      <c r="S40" s="178" t="n">
        <v>149.8</v>
      </c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2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s">
        <v>99</v>
      </c>
      <c r="H41" s="124" t="n">
        <v>1000</v>
      </c>
      <c r="I41" s="124" t="n">
        <v>1000</v>
      </c>
      <c r="J41" s="136"/>
      <c r="K41" s="137"/>
      <c r="L41" s="137"/>
      <c r="M41" s="137"/>
      <c r="N41" s="138"/>
      <c r="O41" s="137"/>
      <c r="P41" s="177" t="n">
        <v>3.438</v>
      </c>
      <c r="Q41" s="136"/>
      <c r="R41" s="136"/>
      <c r="S41" s="178" t="n">
        <v>149.4</v>
      </c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2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s">
        <v>99</v>
      </c>
      <c r="H42" s="124" t="n">
        <v>1000</v>
      </c>
      <c r="I42" s="124" t="n">
        <v>1000</v>
      </c>
      <c r="J42" s="136"/>
      <c r="K42" s="137"/>
      <c r="L42" s="137"/>
      <c r="M42" s="137"/>
      <c r="N42" s="138"/>
      <c r="O42" s="137"/>
      <c r="P42" s="177" t="n">
        <v>3.401</v>
      </c>
      <c r="Q42" s="136"/>
      <c r="R42" s="136"/>
      <c r="S42" s="178" t="n">
        <v>147.8</v>
      </c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2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34.6163</v>
      </c>
      <c r="H43" s="124" t="n">
        <v>1000</v>
      </c>
      <c r="I43" s="124" t="n">
        <v>1000</v>
      </c>
      <c r="J43" s="136"/>
      <c r="K43" s="137"/>
      <c r="L43" s="137"/>
      <c r="M43" s="137"/>
      <c r="N43" s="138"/>
      <c r="O43" s="137"/>
      <c r="P43" s="177" t="n">
        <v>3.434</v>
      </c>
      <c r="Q43" s="136"/>
      <c r="R43" s="136"/>
      <c r="S43" s="178" t="n">
        <v>149.3</v>
      </c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2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47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77" t="s">
        <v>99</v>
      </c>
      <c r="Q44" s="136"/>
      <c r="R44" s="136"/>
      <c r="S44" s="178" t="s">
        <v>99</v>
      </c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2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47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77" t="s">
        <v>99</v>
      </c>
      <c r="Q45" s="136"/>
      <c r="R45" s="136"/>
      <c r="S45" s="178" t="s">
        <v>99</v>
      </c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2"/>
    </row>
    <row r="46" customFormat="false" ht="1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33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n">
        <v>0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58.16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-9°58,16</v>
      </c>
      <c r="P9" s="31" t="s">
        <v>16</v>
      </c>
      <c r="Q9" s="35" t="n">
        <f aca="false">IF(ISBLANK(I9),"",IF(ISBLANK(J9),"",IF(J9&gt;60,"ERREUR !!",O11*(I9+(J9/60)))))</f>
        <v>-9.96933333333333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58.57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-9°58,57</v>
      </c>
      <c r="P10" s="31" t="s">
        <v>17</v>
      </c>
      <c r="Q10" s="35" t="n">
        <f aca="false">IF(ISBLANK(I10),"",IF(ISBLANK(J10),"",IF(J10&gt;60,"ERREUR !!",O12*(I10+(J10/60)))))</f>
        <v>-9.97616666666667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38244</v>
      </c>
      <c r="K11" s="40"/>
      <c r="L11" s="40"/>
      <c r="M11" s="40"/>
      <c r="N11" s="41" t="str">
        <f aca="false">I9&amp;"°"&amp;J9</f>
        <v>9°58,16</v>
      </c>
      <c r="O11" s="42" t="n">
        <f aca="false">IF(P9=M10,-1,1)</f>
        <v>-1</v>
      </c>
      <c r="P11" s="43" t="str">
        <f aca="false">TEXT(J11,"aaaa-mm-jj")&amp;"T"&amp;TEXT(J12,"hh:mm:ss")&amp;"z"</f>
        <v>2008-09-15T04:00:00z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0.166666666666667</v>
      </c>
      <c r="K12" s="48"/>
      <c r="L12" s="48"/>
      <c r="M12" s="48"/>
      <c r="N12" s="49" t="str">
        <f aca="false">I10&amp;"°"&amp;J10</f>
        <v>9°58,57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34.9289</v>
      </c>
      <c r="H35" s="124" t="n">
        <v>2000</v>
      </c>
      <c r="I35" s="124" t="n">
        <v>2000</v>
      </c>
      <c r="J35" s="125"/>
      <c r="K35" s="126"/>
      <c r="L35" s="126"/>
      <c r="M35" s="126"/>
      <c r="N35" s="127"/>
      <c r="O35" s="126"/>
      <c r="P35" s="179" t="n">
        <v>5.26</v>
      </c>
      <c r="Q35" s="125"/>
      <c r="R35" s="125"/>
      <c r="S35" s="180" t="n">
        <v>228.6</v>
      </c>
      <c r="T35" s="125"/>
      <c r="U35" s="125"/>
      <c r="V35" s="34"/>
      <c r="W35" s="34"/>
      <c r="X35" s="125"/>
      <c r="Y35" s="125"/>
      <c r="Z35" s="125"/>
      <c r="AA35" s="125"/>
      <c r="AB35" s="125"/>
      <c r="AC35" s="125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34.9303</v>
      </c>
      <c r="H36" s="124" t="n">
        <v>2000</v>
      </c>
      <c r="I36" s="124" t="n">
        <v>2000</v>
      </c>
      <c r="J36" s="136"/>
      <c r="K36" s="137"/>
      <c r="L36" s="137"/>
      <c r="M36" s="137"/>
      <c r="N36" s="138"/>
      <c r="O36" s="137"/>
      <c r="P36" s="181" t="n">
        <v>5.236</v>
      </c>
      <c r="Q36" s="136"/>
      <c r="R36" s="136"/>
      <c r="S36" s="161" t="n">
        <v>227.6</v>
      </c>
      <c r="T36" s="136"/>
      <c r="U36" s="136"/>
      <c r="V36" s="34"/>
      <c r="W36" s="34"/>
      <c r="X36" s="136"/>
      <c r="Y36" s="136"/>
      <c r="Z36" s="136"/>
      <c r="AA36" s="136"/>
      <c r="AB36" s="136"/>
      <c r="AC36" s="136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34.5653</v>
      </c>
      <c r="H37" s="124" t="n">
        <v>1000</v>
      </c>
      <c r="I37" s="124" t="n">
        <v>1000</v>
      </c>
      <c r="J37" s="136"/>
      <c r="K37" s="137"/>
      <c r="L37" s="137"/>
      <c r="M37" s="137"/>
      <c r="N37" s="138"/>
      <c r="O37" s="137"/>
      <c r="P37" s="181" t="n">
        <v>3.542</v>
      </c>
      <c r="Q37" s="136"/>
      <c r="R37" s="136"/>
      <c r="S37" s="161" t="n">
        <v>154</v>
      </c>
      <c r="T37" s="136"/>
      <c r="U37" s="136"/>
      <c r="V37" s="34"/>
      <c r="W37" s="34"/>
      <c r="X37" s="136"/>
      <c r="Y37" s="136"/>
      <c r="Z37" s="136"/>
      <c r="AA37" s="136"/>
      <c r="AB37" s="136"/>
      <c r="AC37" s="136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34.6645</v>
      </c>
      <c r="H38" s="124" t="n">
        <v>500</v>
      </c>
      <c r="I38" s="124" t="n">
        <v>500</v>
      </c>
      <c r="J38" s="136"/>
      <c r="K38" s="137"/>
      <c r="L38" s="137"/>
      <c r="M38" s="137"/>
      <c r="N38" s="138"/>
      <c r="O38" s="137"/>
      <c r="P38" s="181" t="n">
        <v>1.724</v>
      </c>
      <c r="Q38" s="136"/>
      <c r="R38" s="136"/>
      <c r="S38" s="161" t="n">
        <v>75</v>
      </c>
      <c r="T38" s="136"/>
      <c r="U38" s="136"/>
      <c r="V38" s="34"/>
      <c r="W38" s="34"/>
      <c r="X38" s="136"/>
      <c r="Y38" s="136"/>
      <c r="Z38" s="136"/>
      <c r="AA38" s="136"/>
      <c r="AB38" s="136"/>
      <c r="AC38" s="136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41"/>
    </row>
    <row r="39" customFormat="false" ht="1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34.9015</v>
      </c>
      <c r="H39" s="124" t="n">
        <v>300</v>
      </c>
      <c r="I39" s="124" t="n">
        <v>300</v>
      </c>
      <c r="J39" s="136"/>
      <c r="K39" s="137"/>
      <c r="L39" s="137"/>
      <c r="M39" s="137"/>
      <c r="N39" s="138"/>
      <c r="O39" s="137"/>
      <c r="P39" s="181" t="n">
        <v>1.41</v>
      </c>
      <c r="Q39" s="136"/>
      <c r="R39" s="136"/>
      <c r="S39" s="161" t="n">
        <v>61.3</v>
      </c>
      <c r="T39" s="136"/>
      <c r="U39" s="136"/>
      <c r="V39" s="34"/>
      <c r="W39" s="34"/>
      <c r="X39" s="136"/>
      <c r="Y39" s="136"/>
      <c r="Z39" s="136"/>
      <c r="AA39" s="136"/>
      <c r="AB39" s="136"/>
      <c r="AC39" s="136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2"/>
    </row>
    <row r="40" customFormat="false" ht="1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36.3735</v>
      </c>
      <c r="H40" s="124" t="n">
        <v>100</v>
      </c>
      <c r="I40" s="124" t="n">
        <v>100</v>
      </c>
      <c r="J40" s="136"/>
      <c r="K40" s="137"/>
      <c r="L40" s="137"/>
      <c r="M40" s="137"/>
      <c r="N40" s="138"/>
      <c r="O40" s="137"/>
      <c r="P40" s="181" t="n">
        <v>4.121</v>
      </c>
      <c r="Q40" s="136"/>
      <c r="R40" s="136"/>
      <c r="S40" s="161" t="n">
        <v>179.5</v>
      </c>
      <c r="T40" s="136"/>
      <c r="U40" s="136"/>
      <c r="V40" s="34"/>
      <c r="W40" s="34"/>
      <c r="X40" s="136"/>
      <c r="Y40" s="136"/>
      <c r="Z40" s="136"/>
      <c r="AA40" s="136"/>
      <c r="AB40" s="136"/>
      <c r="AC40" s="136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41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36.2824</v>
      </c>
      <c r="H41" s="124" t="n">
        <v>10</v>
      </c>
      <c r="I41" s="124" t="n">
        <v>10</v>
      </c>
      <c r="J41" s="136"/>
      <c r="K41" s="137"/>
      <c r="L41" s="137"/>
      <c r="M41" s="137"/>
      <c r="N41" s="138"/>
      <c r="O41" s="137"/>
      <c r="P41" s="181" t="n">
        <v>4.648</v>
      </c>
      <c r="Q41" s="136"/>
      <c r="R41" s="136"/>
      <c r="S41" s="161" t="n">
        <v>202.6</v>
      </c>
      <c r="T41" s="136"/>
      <c r="U41" s="136"/>
      <c r="V41" s="34"/>
      <c r="W41" s="34"/>
      <c r="X41" s="136"/>
      <c r="Y41" s="136"/>
      <c r="Z41" s="136"/>
      <c r="AA41" s="136"/>
      <c r="AB41" s="136"/>
      <c r="AC41" s="136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41"/>
    </row>
    <row r="42" customFormat="false" ht="1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36.2822</v>
      </c>
      <c r="H42" s="124" t="n">
        <v>0</v>
      </c>
      <c r="I42" s="124" t="n">
        <v>2.1</v>
      </c>
      <c r="J42" s="136"/>
      <c r="K42" s="137"/>
      <c r="L42" s="137"/>
      <c r="M42" s="137"/>
      <c r="N42" s="138"/>
      <c r="O42" s="137"/>
      <c r="P42" s="181" t="n">
        <v>4.67</v>
      </c>
      <c r="Q42" s="136"/>
      <c r="R42" s="136"/>
      <c r="S42" s="161" t="n">
        <v>203.5</v>
      </c>
      <c r="T42" s="136"/>
      <c r="U42" s="136"/>
      <c r="V42" s="34"/>
      <c r="W42" s="34"/>
      <c r="X42" s="136"/>
      <c r="Y42" s="136"/>
      <c r="Z42" s="136"/>
      <c r="AA42" s="136"/>
      <c r="AB42" s="136"/>
      <c r="AC42" s="136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2"/>
    </row>
    <row r="43" customFormat="false" ht="1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s">
        <v>99</v>
      </c>
      <c r="H43" s="124" t="s">
        <v>99</v>
      </c>
      <c r="I43" s="147" t="s">
        <v>99</v>
      </c>
      <c r="J43" s="136"/>
      <c r="K43" s="137"/>
      <c r="L43" s="137"/>
      <c r="M43" s="137"/>
      <c r="N43" s="138"/>
      <c r="O43" s="137"/>
      <c r="P43" s="181" t="s">
        <v>99</v>
      </c>
      <c r="Q43" s="136"/>
      <c r="R43" s="136"/>
      <c r="S43" s="182" t="s">
        <v>99</v>
      </c>
      <c r="T43" s="136"/>
      <c r="U43" s="136"/>
      <c r="V43" s="34"/>
      <c r="W43" s="34"/>
      <c r="X43" s="136"/>
      <c r="Y43" s="136"/>
      <c r="Z43" s="136"/>
      <c r="AA43" s="136"/>
      <c r="AB43" s="136"/>
      <c r="AC43" s="136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41"/>
    </row>
    <row r="44" customFormat="false" ht="1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24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81" t="s">
        <v>99</v>
      </c>
      <c r="Q44" s="136"/>
      <c r="R44" s="136"/>
      <c r="S44" s="182" t="s">
        <v>99</v>
      </c>
      <c r="T44" s="136"/>
      <c r="U44" s="136"/>
      <c r="V44" s="34"/>
      <c r="W44" s="34"/>
      <c r="X44" s="136"/>
      <c r="Y44" s="136"/>
      <c r="Z44" s="136"/>
      <c r="AA44" s="136"/>
      <c r="AB44" s="136"/>
      <c r="AC44" s="136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41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24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81" t="s">
        <v>99</v>
      </c>
      <c r="Q45" s="136"/>
      <c r="R45" s="136"/>
      <c r="S45" s="182" t="s">
        <v>99</v>
      </c>
      <c r="T45" s="136"/>
      <c r="U45" s="136"/>
      <c r="V45" s="34"/>
      <c r="W45" s="34"/>
      <c r="X45" s="136"/>
      <c r="Y45" s="136"/>
      <c r="Z45" s="136"/>
      <c r="AA45" s="136"/>
      <c r="AB45" s="136"/>
      <c r="AC45" s="136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41"/>
    </row>
    <row r="46" customFormat="false" ht="1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30.14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-9°30,14</v>
      </c>
      <c r="P9" s="31" t="s">
        <v>16</v>
      </c>
      <c r="Q9" s="35" t="n">
        <f aca="false">IF(ISBLANK(I9),"",IF(ISBLANK(J9),"",IF(J9&gt;60,"ERREUR !!",O11*(I9+(J9/60)))))</f>
        <v>-9.50233333333333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0.46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-10°0,46</v>
      </c>
      <c r="P10" s="31" t="s">
        <v>17</v>
      </c>
      <c r="Q10" s="35" t="n">
        <f aca="false">IF(ISBLANK(I10),"",IF(ISBLANK(J10),"",IF(J10&gt;60,"ERREUR !!",O12*(I10+(J10/60)))))</f>
        <v>-10.0076666666667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38244</v>
      </c>
      <c r="K11" s="40"/>
      <c r="L11" s="40"/>
      <c r="M11" s="40"/>
      <c r="N11" s="41" t="str">
        <f aca="false">I9&amp;"°"&amp;J9</f>
        <v>9°30,14</v>
      </c>
      <c r="O11" s="42" t="n">
        <f aca="false">IF(P9=M10,-1,1)</f>
        <v>-1</v>
      </c>
      <c r="P11" s="43" t="str">
        <f aca="false">TEXT(J11,"aaaa-mm-jj")&amp;"T"&amp;TEXT(J12,"hh:mm:ss")&amp;"z"</f>
        <v>2008-09-15T10:00:00z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0.416666666666667</v>
      </c>
      <c r="K12" s="48"/>
      <c r="L12" s="48"/>
      <c r="M12" s="48"/>
      <c r="N12" s="49" t="str">
        <f aca="false">I10&amp;"°"&amp;J10</f>
        <v>10°0,46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34.659</v>
      </c>
      <c r="H35" s="124" t="n">
        <v>500</v>
      </c>
      <c r="I35" s="124" t="n">
        <v>500</v>
      </c>
      <c r="J35" s="125"/>
      <c r="K35" s="126"/>
      <c r="L35" s="126"/>
      <c r="M35" s="126"/>
      <c r="N35" s="127"/>
      <c r="O35" s="126"/>
      <c r="P35" s="183" t="n">
        <v>1.938</v>
      </c>
      <c r="Q35" s="125"/>
      <c r="R35" s="121"/>
      <c r="S35" s="184" t="n">
        <v>84.3</v>
      </c>
      <c r="T35" s="125"/>
      <c r="U35" s="125"/>
      <c r="V35" s="34"/>
      <c r="W35" s="34"/>
      <c r="X35" s="125"/>
      <c r="Y35" s="125"/>
      <c r="Z35" s="125"/>
      <c r="AA35" s="125"/>
      <c r="AB35" s="125"/>
      <c r="AC35" s="125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34.8499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83" t="n">
        <v>1.815</v>
      </c>
      <c r="Q36" s="136"/>
      <c r="R36" s="135"/>
      <c r="S36" s="185" t="n">
        <v>79</v>
      </c>
      <c r="T36" s="136"/>
      <c r="U36" s="136"/>
      <c r="V36" s="34"/>
      <c r="W36" s="34"/>
      <c r="X36" s="136"/>
      <c r="Y36" s="136"/>
      <c r="Z36" s="136"/>
      <c r="AA36" s="136"/>
      <c r="AB36" s="136"/>
      <c r="AC36" s="136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34.8545</v>
      </c>
      <c r="H37" s="124" t="n">
        <v>300</v>
      </c>
      <c r="I37" s="124" t="n">
        <v>300</v>
      </c>
      <c r="J37" s="136"/>
      <c r="K37" s="137"/>
      <c r="L37" s="137"/>
      <c r="M37" s="137"/>
      <c r="N37" s="138"/>
      <c r="O37" s="137"/>
      <c r="P37" s="183" t="n">
        <v>1.845</v>
      </c>
      <c r="Q37" s="136"/>
      <c r="R37" s="142"/>
      <c r="S37" s="186" t="n">
        <v>80.3</v>
      </c>
      <c r="T37" s="136"/>
      <c r="U37" s="136"/>
      <c r="V37" s="34"/>
      <c r="W37" s="34"/>
      <c r="X37" s="136"/>
      <c r="Y37" s="136"/>
      <c r="Z37" s="136"/>
      <c r="AA37" s="136"/>
      <c r="AB37" s="136"/>
      <c r="AC37" s="136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36.3348</v>
      </c>
      <c r="H38" s="124" t="n">
        <v>100</v>
      </c>
      <c r="I38" s="124" t="n">
        <v>100</v>
      </c>
      <c r="J38" s="136"/>
      <c r="K38" s="137"/>
      <c r="L38" s="137"/>
      <c r="M38" s="137"/>
      <c r="N38" s="138"/>
      <c r="O38" s="137"/>
      <c r="P38" s="183" t="n">
        <v>4.24</v>
      </c>
      <c r="Q38" s="136"/>
      <c r="R38" s="144"/>
      <c r="S38" s="187" t="n">
        <v>184.6</v>
      </c>
      <c r="T38" s="136"/>
      <c r="U38" s="136"/>
      <c r="V38" s="34"/>
      <c r="W38" s="34"/>
      <c r="X38" s="136"/>
      <c r="Y38" s="136"/>
      <c r="Z38" s="136"/>
      <c r="AA38" s="136"/>
      <c r="AB38" s="136"/>
      <c r="AC38" s="136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41"/>
    </row>
    <row r="39" customFormat="false" ht="1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36.1412</v>
      </c>
      <c r="H39" s="124" t="n">
        <v>10</v>
      </c>
      <c r="I39" s="124" t="n">
        <v>10</v>
      </c>
      <c r="J39" s="136"/>
      <c r="K39" s="137"/>
      <c r="L39" s="137"/>
      <c r="M39" s="137"/>
      <c r="N39" s="138"/>
      <c r="O39" s="137"/>
      <c r="P39" s="183" t="n">
        <v>4.652</v>
      </c>
      <c r="Q39" s="136"/>
      <c r="R39" s="142"/>
      <c r="S39" s="186" t="n">
        <v>202.8</v>
      </c>
      <c r="T39" s="136"/>
      <c r="U39" s="136"/>
      <c r="V39" s="34"/>
      <c r="W39" s="34"/>
      <c r="X39" s="136"/>
      <c r="Y39" s="136"/>
      <c r="Z39" s="136"/>
      <c r="AA39" s="136"/>
      <c r="AB39" s="136"/>
      <c r="AC39" s="136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2"/>
    </row>
    <row r="40" customFormat="false" ht="1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36.1412</v>
      </c>
      <c r="H40" s="124" t="n">
        <v>0</v>
      </c>
      <c r="I40" s="124" t="n">
        <v>2</v>
      </c>
      <c r="J40" s="136"/>
      <c r="K40" s="137"/>
      <c r="L40" s="137"/>
      <c r="M40" s="137"/>
      <c r="N40" s="138"/>
      <c r="O40" s="137"/>
      <c r="P40" s="183" t="n">
        <v>4.672</v>
      </c>
      <c r="Q40" s="136"/>
      <c r="R40" s="142"/>
      <c r="S40" s="186" t="n">
        <v>203.6</v>
      </c>
      <c r="T40" s="136"/>
      <c r="U40" s="136"/>
      <c r="V40" s="34"/>
      <c r="W40" s="34"/>
      <c r="X40" s="136"/>
      <c r="Y40" s="136"/>
      <c r="Z40" s="136"/>
      <c r="AA40" s="136"/>
      <c r="AB40" s="136"/>
      <c r="AC40" s="136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41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s">
        <v>99</v>
      </c>
      <c r="H41" s="124" t="s">
        <v>99</v>
      </c>
      <c r="I41" s="147" t="s">
        <v>99</v>
      </c>
      <c r="J41" s="136"/>
      <c r="K41" s="137"/>
      <c r="L41" s="137"/>
      <c r="M41" s="137"/>
      <c r="N41" s="138"/>
      <c r="O41" s="137"/>
      <c r="P41" s="177" t="s">
        <v>99</v>
      </c>
      <c r="Q41" s="136"/>
      <c r="R41" s="142"/>
      <c r="S41" s="177" t="s">
        <v>99</v>
      </c>
      <c r="T41" s="136"/>
      <c r="U41" s="136"/>
      <c r="V41" s="34"/>
      <c r="W41" s="34"/>
      <c r="X41" s="136"/>
      <c r="Y41" s="136"/>
      <c r="Z41" s="136"/>
      <c r="AA41" s="136"/>
      <c r="AB41" s="136"/>
      <c r="AC41" s="136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41"/>
    </row>
    <row r="42" customFormat="false" ht="1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s">
        <v>99</v>
      </c>
      <c r="H42" s="124" t="s">
        <v>99</v>
      </c>
      <c r="I42" s="147" t="s">
        <v>99</v>
      </c>
      <c r="J42" s="136"/>
      <c r="K42" s="137"/>
      <c r="L42" s="137"/>
      <c r="M42" s="137"/>
      <c r="N42" s="138"/>
      <c r="O42" s="137"/>
      <c r="P42" s="177" t="s">
        <v>99</v>
      </c>
      <c r="Q42" s="136"/>
      <c r="R42" s="142"/>
      <c r="S42" s="177" t="s">
        <v>99</v>
      </c>
      <c r="T42" s="136"/>
      <c r="U42" s="136"/>
      <c r="V42" s="34"/>
      <c r="W42" s="34"/>
      <c r="X42" s="136"/>
      <c r="Y42" s="136"/>
      <c r="Z42" s="136"/>
      <c r="AA42" s="136"/>
      <c r="AB42" s="136"/>
      <c r="AC42" s="136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2"/>
    </row>
    <row r="43" customFormat="false" ht="1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s">
        <v>99</v>
      </c>
      <c r="H43" s="124" t="s">
        <v>99</v>
      </c>
      <c r="I43" s="147" t="s">
        <v>99</v>
      </c>
      <c r="J43" s="136"/>
      <c r="K43" s="137"/>
      <c r="L43" s="137"/>
      <c r="M43" s="137"/>
      <c r="N43" s="138"/>
      <c r="O43" s="137"/>
      <c r="P43" s="177" t="s">
        <v>99</v>
      </c>
      <c r="Q43" s="136"/>
      <c r="R43" s="142"/>
      <c r="S43" s="177" t="s">
        <v>99</v>
      </c>
      <c r="T43" s="136"/>
      <c r="U43" s="136"/>
      <c r="V43" s="34"/>
      <c r="W43" s="34"/>
      <c r="X43" s="136"/>
      <c r="Y43" s="136"/>
      <c r="Z43" s="136"/>
      <c r="AA43" s="136"/>
      <c r="AB43" s="136"/>
      <c r="AC43" s="136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41"/>
    </row>
    <row r="44" customFormat="false" ht="1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24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77" t="s">
        <v>99</v>
      </c>
      <c r="Q44" s="136"/>
      <c r="R44" s="142"/>
      <c r="S44" s="177" t="s">
        <v>99</v>
      </c>
      <c r="T44" s="136"/>
      <c r="U44" s="136"/>
      <c r="V44" s="34"/>
      <c r="W44" s="34"/>
      <c r="X44" s="136"/>
      <c r="Y44" s="136"/>
      <c r="Z44" s="136"/>
      <c r="AA44" s="136"/>
      <c r="AB44" s="136"/>
      <c r="AC44" s="136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41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24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77" t="s">
        <v>99</v>
      </c>
      <c r="Q45" s="136"/>
      <c r="R45" s="142"/>
      <c r="S45" s="177" t="s">
        <v>99</v>
      </c>
      <c r="T45" s="136"/>
      <c r="U45" s="136"/>
      <c r="V45" s="34"/>
      <c r="W45" s="34"/>
      <c r="X45" s="136"/>
      <c r="Y45" s="136"/>
      <c r="Z45" s="136"/>
      <c r="AA45" s="136"/>
      <c r="AB45" s="136"/>
      <c r="AC45" s="136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41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75"/>
      <c r="Y46" s="175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0.51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-6°0,51</v>
      </c>
      <c r="P9" s="31" t="s">
        <v>16</v>
      </c>
      <c r="Q9" s="35" t="n">
        <f aca="false">IF(ISBLANK(I9),"",IF(ISBLANK(J9),"",IF(J9&gt;60,"ERREUR !!",O11*(I9+(J9/60)))))</f>
        <v>-6.0085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0.84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-10°0,84</v>
      </c>
      <c r="P10" s="31" t="s">
        <v>17</v>
      </c>
      <c r="Q10" s="35" t="n">
        <f aca="false">IF(ISBLANK(I10),"",IF(ISBLANK(J10),"",IF(J10&gt;60,"ERREUR !!",O12*(I10+(J10/60)))))</f>
        <v>-10.014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38245</v>
      </c>
      <c r="K11" s="40"/>
      <c r="L11" s="40"/>
      <c r="M11" s="40"/>
      <c r="N11" s="41" t="str">
        <f aca="false">I9&amp;"°"&amp;J9</f>
        <v>6°0,51</v>
      </c>
      <c r="O11" s="42" t="n">
        <f aca="false">IF(P9=M10,-1,1)</f>
        <v>-1</v>
      </c>
      <c r="P11" s="43" t="str">
        <f aca="false">TEXT(J11,"aaaa-mm-jj")&amp;"T"&amp;TEXT(J12,"hh:mm:ss")&amp;"z"</f>
        <v>2008-09-16T23:45:00z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0.989583333333333</v>
      </c>
      <c r="K12" s="48"/>
      <c r="L12" s="48"/>
      <c r="M12" s="48"/>
      <c r="N12" s="49" t="str">
        <f aca="false">I10&amp;"°"&amp;J10</f>
        <v>10°0,84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34.95355</v>
      </c>
      <c r="H35" s="124" t="n">
        <v>2000</v>
      </c>
      <c r="I35" s="124" t="n">
        <v>2000</v>
      </c>
      <c r="J35" s="125"/>
      <c r="K35" s="126"/>
      <c r="L35" s="126"/>
      <c r="M35" s="126"/>
      <c r="N35" s="127"/>
      <c r="O35" s="126"/>
      <c r="P35" s="177" t="n">
        <v>5.36</v>
      </c>
      <c r="Q35" s="125"/>
      <c r="R35" s="125"/>
      <c r="S35" s="129" t="n">
        <v>233</v>
      </c>
      <c r="T35" s="125"/>
      <c r="U35" s="125"/>
      <c r="V35" s="34"/>
      <c r="W35" s="34"/>
      <c r="X35" s="125"/>
      <c r="Y35" s="125"/>
      <c r="Z35" s="125"/>
      <c r="AA35" s="125"/>
      <c r="AB35" s="125"/>
      <c r="AC35" s="125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34.5552</v>
      </c>
      <c r="H36" s="124" t="n">
        <v>1000</v>
      </c>
      <c r="I36" s="124" t="n">
        <v>1000</v>
      </c>
      <c r="J36" s="136"/>
      <c r="K36" s="137"/>
      <c r="L36" s="137"/>
      <c r="M36" s="137"/>
      <c r="N36" s="138"/>
      <c r="O36" s="137"/>
      <c r="P36" s="177" t="n">
        <v>3.198</v>
      </c>
      <c r="Q36" s="136"/>
      <c r="R36" s="136"/>
      <c r="S36" s="140" t="n">
        <v>139</v>
      </c>
      <c r="T36" s="136"/>
      <c r="U36" s="136"/>
      <c r="V36" s="34"/>
      <c r="W36" s="34"/>
      <c r="X36" s="136"/>
      <c r="Y36" s="136"/>
      <c r="Z36" s="136"/>
      <c r="AA36" s="136"/>
      <c r="AB36" s="136"/>
      <c r="AC36" s="136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34.5619</v>
      </c>
      <c r="H37" s="124" t="n">
        <v>1000</v>
      </c>
      <c r="I37" s="124" t="n">
        <v>1000</v>
      </c>
      <c r="J37" s="136"/>
      <c r="K37" s="137"/>
      <c r="L37" s="137"/>
      <c r="M37" s="137"/>
      <c r="N37" s="138"/>
      <c r="O37" s="137"/>
      <c r="P37" s="177" t="n">
        <v>3.232</v>
      </c>
      <c r="Q37" s="136"/>
      <c r="R37" s="136"/>
      <c r="S37" s="140" t="n">
        <v>140.5</v>
      </c>
      <c r="T37" s="136"/>
      <c r="U37" s="136"/>
      <c r="V37" s="34"/>
      <c r="W37" s="34"/>
      <c r="X37" s="136"/>
      <c r="Y37" s="136"/>
      <c r="Z37" s="136"/>
      <c r="AA37" s="136"/>
      <c r="AB37" s="136"/>
      <c r="AC37" s="136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34.6428</v>
      </c>
      <c r="H38" s="124" t="n">
        <v>500</v>
      </c>
      <c r="I38" s="124" t="n">
        <v>500</v>
      </c>
      <c r="J38" s="136"/>
      <c r="K38" s="137"/>
      <c r="L38" s="137"/>
      <c r="M38" s="137"/>
      <c r="N38" s="138"/>
      <c r="O38" s="137"/>
      <c r="P38" s="177" t="n">
        <v>2.079</v>
      </c>
      <c r="Q38" s="136"/>
      <c r="R38" s="136"/>
      <c r="S38" s="140" t="n">
        <v>90.4</v>
      </c>
      <c r="T38" s="136"/>
      <c r="U38" s="136"/>
      <c r="V38" s="34"/>
      <c r="W38" s="34"/>
      <c r="X38" s="136"/>
      <c r="Y38" s="136"/>
      <c r="Z38" s="136"/>
      <c r="AA38" s="136"/>
      <c r="AB38" s="136"/>
      <c r="AC38" s="136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41"/>
    </row>
    <row r="39" customFormat="false" ht="1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34.6449</v>
      </c>
      <c r="H39" s="124" t="n">
        <v>500</v>
      </c>
      <c r="I39" s="124" t="n">
        <v>500</v>
      </c>
      <c r="J39" s="136"/>
      <c r="K39" s="137"/>
      <c r="L39" s="137"/>
      <c r="M39" s="137"/>
      <c r="N39" s="138"/>
      <c r="O39" s="137"/>
      <c r="P39" s="177" t="n">
        <v>2.085</v>
      </c>
      <c r="Q39" s="136"/>
      <c r="R39" s="136"/>
      <c r="S39" s="140" t="n">
        <v>90.7</v>
      </c>
      <c r="T39" s="136"/>
      <c r="U39" s="136"/>
      <c r="V39" s="34"/>
      <c r="W39" s="34"/>
      <c r="X39" s="136"/>
      <c r="Y39" s="136"/>
      <c r="Z39" s="136"/>
      <c r="AA39" s="136"/>
      <c r="AB39" s="136"/>
      <c r="AC39" s="136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2"/>
    </row>
    <row r="40" customFormat="false" ht="1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34.9114</v>
      </c>
      <c r="H40" s="124" t="n">
        <v>300</v>
      </c>
      <c r="I40" s="124" t="n">
        <v>300</v>
      </c>
      <c r="J40" s="136"/>
      <c r="K40" s="137"/>
      <c r="L40" s="137"/>
      <c r="M40" s="137"/>
      <c r="N40" s="138"/>
      <c r="O40" s="137"/>
      <c r="P40" s="177" t="n">
        <v>1.627</v>
      </c>
      <c r="Q40" s="136"/>
      <c r="R40" s="136"/>
      <c r="S40" s="140" t="n">
        <v>70.8</v>
      </c>
      <c r="T40" s="136"/>
      <c r="U40" s="136"/>
      <c r="V40" s="34"/>
      <c r="W40" s="34"/>
      <c r="X40" s="136"/>
      <c r="Y40" s="136"/>
      <c r="Z40" s="136"/>
      <c r="AA40" s="136"/>
      <c r="AB40" s="136"/>
      <c r="AC40" s="136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41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35.5029</v>
      </c>
      <c r="H41" s="124" t="n">
        <v>100</v>
      </c>
      <c r="I41" s="124" t="n">
        <v>100</v>
      </c>
      <c r="J41" s="136"/>
      <c r="K41" s="137"/>
      <c r="L41" s="137"/>
      <c r="M41" s="137"/>
      <c r="N41" s="138"/>
      <c r="O41" s="137"/>
      <c r="P41" s="177" t="n">
        <v>1.639</v>
      </c>
      <c r="Q41" s="136"/>
      <c r="R41" s="136"/>
      <c r="S41" s="140" t="n">
        <v>71.4</v>
      </c>
      <c r="T41" s="136"/>
      <c r="U41" s="136"/>
      <c r="V41" s="34"/>
      <c r="W41" s="34"/>
      <c r="X41" s="136"/>
      <c r="Y41" s="136"/>
      <c r="Z41" s="136"/>
      <c r="AA41" s="136"/>
      <c r="AB41" s="136"/>
      <c r="AC41" s="136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41"/>
    </row>
    <row r="42" customFormat="false" ht="1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36.0646</v>
      </c>
      <c r="H42" s="124" t="n">
        <v>10</v>
      </c>
      <c r="I42" s="124" t="n">
        <v>10</v>
      </c>
      <c r="J42" s="136"/>
      <c r="K42" s="137"/>
      <c r="L42" s="137"/>
      <c r="M42" s="137"/>
      <c r="N42" s="138"/>
      <c r="O42" s="137"/>
      <c r="P42" s="177" t="n">
        <v>4.678</v>
      </c>
      <c r="Q42" s="136"/>
      <c r="R42" s="136"/>
      <c r="S42" s="140" t="n">
        <v>203.9</v>
      </c>
      <c r="T42" s="136"/>
      <c r="U42" s="136"/>
      <c r="V42" s="34"/>
      <c r="W42" s="34"/>
      <c r="X42" s="136"/>
      <c r="Y42" s="136"/>
      <c r="Z42" s="136"/>
      <c r="AA42" s="136"/>
      <c r="AB42" s="136"/>
      <c r="AC42" s="136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2"/>
    </row>
    <row r="43" customFormat="false" ht="1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36.0655</v>
      </c>
      <c r="H43" s="124" t="n">
        <v>0</v>
      </c>
      <c r="I43" s="124" t="n">
        <v>2</v>
      </c>
      <c r="J43" s="136"/>
      <c r="K43" s="137"/>
      <c r="L43" s="137"/>
      <c r="M43" s="137"/>
      <c r="N43" s="138"/>
      <c r="O43" s="137"/>
      <c r="P43" s="177" t="n">
        <v>4.689</v>
      </c>
      <c r="Q43" s="136"/>
      <c r="R43" s="136"/>
      <c r="S43" s="140" t="n">
        <v>204.4</v>
      </c>
      <c r="T43" s="136"/>
      <c r="U43" s="136"/>
      <c r="V43" s="34"/>
      <c r="W43" s="34"/>
      <c r="X43" s="136"/>
      <c r="Y43" s="136"/>
      <c r="Z43" s="136"/>
      <c r="AA43" s="136"/>
      <c r="AB43" s="136"/>
      <c r="AC43" s="136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41"/>
    </row>
    <row r="44" customFormat="false" ht="1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24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77" t="s">
        <v>99</v>
      </c>
      <c r="Q44" s="136"/>
      <c r="R44" s="136"/>
      <c r="S44" s="178" t="s">
        <v>99</v>
      </c>
      <c r="T44" s="136"/>
      <c r="U44" s="136"/>
      <c r="V44" s="34"/>
      <c r="W44" s="34"/>
      <c r="X44" s="136"/>
      <c r="Y44" s="136"/>
      <c r="Z44" s="136"/>
      <c r="AA44" s="136"/>
      <c r="AB44" s="136"/>
      <c r="AC44" s="136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41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24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77" t="s">
        <v>99</v>
      </c>
      <c r="Q45" s="136"/>
      <c r="R45" s="136"/>
      <c r="S45" s="178" t="s">
        <v>99</v>
      </c>
      <c r="T45" s="136"/>
      <c r="U45" s="136"/>
      <c r="V45" s="34"/>
      <c r="W45" s="34"/>
      <c r="X45" s="136"/>
      <c r="Y45" s="136"/>
      <c r="Z45" s="136"/>
      <c r="AA45" s="136"/>
      <c r="AB45" s="136"/>
      <c r="AC45" s="136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41"/>
    </row>
    <row r="46" customFormat="false" ht="1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33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38248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1.5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0°1,5</v>
      </c>
      <c r="P9" s="31" t="s">
        <v>13</v>
      </c>
      <c r="Q9" s="35" t="n">
        <f aca="false">IF(ISBLANK(I9),"",IF(ISBLANK(J9),"",IF(J9&gt;60,"ERREUR !!",O11*(I9+(J9/60)))))</f>
        <v>0.025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54.56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-9°54,56</v>
      </c>
      <c r="P10" s="31" t="s">
        <v>17</v>
      </c>
      <c r="Q10" s="35" t="n">
        <f aca="false">IF(ISBLANK(I10),"",IF(ISBLANK(J10),"",IF(J10&gt;60,"ERREUR !!",O12*(I10+(J10/60)))))</f>
        <v>-9.90933333333333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38248</v>
      </c>
      <c r="K11" s="40"/>
      <c r="L11" s="40"/>
      <c r="M11" s="40"/>
      <c r="N11" s="41" t="str">
        <f aca="false">I9&amp;"°"&amp;J9</f>
        <v>0°1,5</v>
      </c>
      <c r="O11" s="42" t="n">
        <f aca="false">IF(P9=M10,-1,1)</f>
        <v>1</v>
      </c>
      <c r="P11" s="43" t="str">
        <f aca="false">TEXT(J11,"aaaa-mm-jj")&amp;"T"&amp;TEXT(J12,"hh:mm:ss")&amp;"z"</f>
        <v>2008-09-19T06:00:00z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0.25</v>
      </c>
      <c r="K12" s="48"/>
      <c r="L12" s="48"/>
      <c r="M12" s="48"/>
      <c r="N12" s="49" t="str">
        <f aca="false">I10&amp;"°"&amp;J10</f>
        <v>9°54,56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34.6356</v>
      </c>
      <c r="H35" s="123" t="n">
        <v>500</v>
      </c>
      <c r="I35" s="124" t="n">
        <v>505</v>
      </c>
      <c r="J35" s="125"/>
      <c r="K35" s="126"/>
      <c r="L35" s="126"/>
      <c r="M35" s="126"/>
      <c r="N35" s="127"/>
      <c r="O35" s="126"/>
      <c r="P35" s="177" t="n">
        <v>2.69</v>
      </c>
      <c r="Q35" s="125"/>
      <c r="R35" s="125"/>
      <c r="S35" s="129" t="n">
        <v>117</v>
      </c>
      <c r="T35" s="125"/>
      <c r="U35" s="125"/>
      <c r="V35" s="34"/>
      <c r="W35" s="34"/>
      <c r="X35" s="125"/>
      <c r="Y35" s="125"/>
      <c r="Z35" s="125"/>
      <c r="AA35" s="125"/>
      <c r="AB35" s="125"/>
      <c r="AC35" s="125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34.6353</v>
      </c>
      <c r="H36" s="123" t="n">
        <v>500</v>
      </c>
      <c r="I36" s="124" t="n">
        <v>505</v>
      </c>
      <c r="J36" s="136"/>
      <c r="K36" s="137"/>
      <c r="L36" s="137"/>
      <c r="M36" s="137"/>
      <c r="N36" s="138"/>
      <c r="O36" s="137"/>
      <c r="P36" s="177" t="n">
        <v>2.826</v>
      </c>
      <c r="Q36" s="136"/>
      <c r="R36" s="136"/>
      <c r="S36" s="140" t="n">
        <v>122.9</v>
      </c>
      <c r="T36" s="136"/>
      <c r="U36" s="136"/>
      <c r="V36" s="34"/>
      <c r="W36" s="34"/>
      <c r="X36" s="136"/>
      <c r="Y36" s="136"/>
      <c r="Z36" s="136"/>
      <c r="AA36" s="136"/>
      <c r="AB36" s="136"/>
      <c r="AC36" s="136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34.6356</v>
      </c>
      <c r="H37" s="124" t="n">
        <v>500</v>
      </c>
      <c r="I37" s="124" t="n">
        <v>505</v>
      </c>
      <c r="J37" s="136"/>
      <c r="K37" s="137"/>
      <c r="L37" s="137"/>
      <c r="M37" s="137"/>
      <c r="N37" s="138"/>
      <c r="O37" s="137"/>
      <c r="P37" s="177" t="n">
        <v>2.698</v>
      </c>
      <c r="Q37" s="136"/>
      <c r="R37" s="136"/>
      <c r="S37" s="140" t="n">
        <v>117.3</v>
      </c>
      <c r="T37" s="136"/>
      <c r="U37" s="136"/>
      <c r="V37" s="34"/>
      <c r="W37" s="34"/>
      <c r="X37" s="136"/>
      <c r="Y37" s="136"/>
      <c r="Z37" s="136"/>
      <c r="AA37" s="136"/>
      <c r="AB37" s="136"/>
      <c r="AC37" s="136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34.6364</v>
      </c>
      <c r="H38" s="124" t="n">
        <v>500</v>
      </c>
      <c r="I38" s="124" t="n">
        <v>505</v>
      </c>
      <c r="J38" s="136"/>
      <c r="K38" s="137"/>
      <c r="L38" s="137"/>
      <c r="M38" s="137"/>
      <c r="N38" s="138"/>
      <c r="O38" s="137"/>
      <c r="P38" s="177" t="n">
        <v>2.719</v>
      </c>
      <c r="Q38" s="136"/>
      <c r="R38" s="136"/>
      <c r="S38" s="140" t="n">
        <v>118.3</v>
      </c>
      <c r="T38" s="136"/>
      <c r="U38" s="136"/>
      <c r="V38" s="34"/>
      <c r="W38" s="34"/>
      <c r="X38" s="136"/>
      <c r="Y38" s="136"/>
      <c r="Z38" s="136"/>
      <c r="AA38" s="136"/>
      <c r="AB38" s="136"/>
      <c r="AC38" s="136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2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34.6343</v>
      </c>
      <c r="H39" s="124" t="n">
        <v>500</v>
      </c>
      <c r="I39" s="124" t="n">
        <v>505</v>
      </c>
      <c r="J39" s="136"/>
      <c r="K39" s="137"/>
      <c r="L39" s="137"/>
      <c r="M39" s="137"/>
      <c r="N39" s="138"/>
      <c r="O39" s="137"/>
      <c r="P39" s="177" t="n">
        <v>2.691</v>
      </c>
      <c r="Q39" s="136"/>
      <c r="R39" s="136"/>
      <c r="S39" s="140" t="n">
        <v>117</v>
      </c>
      <c r="T39" s="136"/>
      <c r="U39" s="136"/>
      <c r="V39" s="34"/>
      <c r="W39" s="34"/>
      <c r="X39" s="136"/>
      <c r="Y39" s="136"/>
      <c r="Z39" s="136"/>
      <c r="AA39" s="136"/>
      <c r="AB39" s="136"/>
      <c r="AC39" s="136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41"/>
    </row>
    <row r="40" customFormat="false" ht="1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35.0525</v>
      </c>
      <c r="H40" s="124" t="n">
        <v>300</v>
      </c>
      <c r="I40" s="124" t="n">
        <v>300</v>
      </c>
      <c r="J40" s="136"/>
      <c r="K40" s="137"/>
      <c r="L40" s="137"/>
      <c r="M40" s="137"/>
      <c r="N40" s="138"/>
      <c r="O40" s="137"/>
      <c r="P40" s="177" t="n">
        <v>1.91</v>
      </c>
      <c r="Q40" s="136"/>
      <c r="R40" s="136"/>
      <c r="S40" s="140" t="n">
        <v>83.1</v>
      </c>
      <c r="T40" s="136"/>
      <c r="U40" s="136"/>
      <c r="V40" s="34"/>
      <c r="W40" s="34"/>
      <c r="X40" s="136"/>
      <c r="Y40" s="136"/>
      <c r="Z40" s="136"/>
      <c r="AA40" s="136"/>
      <c r="AB40" s="136"/>
      <c r="AC40" s="136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2"/>
    </row>
    <row r="41" customFormat="false" ht="1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35.7569</v>
      </c>
      <c r="H41" s="124" t="n">
        <v>100</v>
      </c>
      <c r="I41" s="124" t="n">
        <v>99</v>
      </c>
      <c r="J41" s="136"/>
      <c r="K41" s="137"/>
      <c r="L41" s="137"/>
      <c r="M41" s="137"/>
      <c r="N41" s="138"/>
      <c r="O41" s="137"/>
      <c r="P41" s="177" t="n">
        <v>3.544</v>
      </c>
      <c r="Q41" s="136"/>
      <c r="R41" s="136"/>
      <c r="S41" s="140" t="n">
        <v>154.2</v>
      </c>
      <c r="T41" s="136"/>
      <c r="U41" s="136"/>
      <c r="V41" s="34"/>
      <c r="W41" s="34"/>
      <c r="X41" s="136"/>
      <c r="Y41" s="136"/>
      <c r="Z41" s="136"/>
      <c r="AA41" s="136"/>
      <c r="AB41" s="136"/>
      <c r="AC41" s="136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41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35.8996</v>
      </c>
      <c r="H42" s="124" t="n">
        <v>10</v>
      </c>
      <c r="I42" s="124" t="n">
        <v>10</v>
      </c>
      <c r="J42" s="136"/>
      <c r="K42" s="137"/>
      <c r="L42" s="137"/>
      <c r="M42" s="137"/>
      <c r="N42" s="138"/>
      <c r="O42" s="137"/>
      <c r="P42" s="177" t="n">
        <v>4.667</v>
      </c>
      <c r="Q42" s="136"/>
      <c r="R42" s="136"/>
      <c r="S42" s="140" t="n">
        <v>203.4</v>
      </c>
      <c r="T42" s="136"/>
      <c r="U42" s="136"/>
      <c r="V42" s="34"/>
      <c r="W42" s="34"/>
      <c r="X42" s="136"/>
      <c r="Y42" s="136"/>
      <c r="Z42" s="136"/>
      <c r="AA42" s="136"/>
      <c r="AB42" s="136"/>
      <c r="AC42" s="136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41"/>
    </row>
    <row r="43" customFormat="false" ht="1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35.9018</v>
      </c>
      <c r="H43" s="124" t="n">
        <v>0</v>
      </c>
      <c r="I43" s="124" t="n">
        <v>2</v>
      </c>
      <c r="J43" s="136"/>
      <c r="K43" s="137"/>
      <c r="L43" s="137"/>
      <c r="M43" s="137"/>
      <c r="N43" s="138"/>
      <c r="O43" s="137"/>
      <c r="P43" s="177" t="n">
        <v>4.704</v>
      </c>
      <c r="Q43" s="136"/>
      <c r="R43" s="136"/>
      <c r="S43" s="140" t="n">
        <v>205</v>
      </c>
      <c r="T43" s="136"/>
      <c r="U43" s="136"/>
      <c r="V43" s="34"/>
      <c r="W43" s="34"/>
      <c r="X43" s="136"/>
      <c r="Y43" s="136"/>
      <c r="Z43" s="136"/>
      <c r="AA43" s="136"/>
      <c r="AB43" s="136"/>
      <c r="AC43" s="136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2"/>
    </row>
    <row r="44" customFormat="false" ht="1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24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77" t="s">
        <v>99</v>
      </c>
      <c r="Q44" s="136"/>
      <c r="R44" s="136"/>
      <c r="S44" s="178" t="s">
        <v>99</v>
      </c>
      <c r="T44" s="136"/>
      <c r="U44" s="136"/>
      <c r="V44" s="34"/>
      <c r="W44" s="34"/>
      <c r="X44" s="136"/>
      <c r="Y44" s="136"/>
      <c r="Z44" s="136"/>
      <c r="AA44" s="136"/>
      <c r="AB44" s="136"/>
      <c r="AC44" s="136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41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24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77" t="s">
        <v>99</v>
      </c>
      <c r="Q45" s="136"/>
      <c r="R45" s="136"/>
      <c r="S45" s="178" t="s">
        <v>99</v>
      </c>
      <c r="T45" s="136"/>
      <c r="U45" s="136"/>
      <c r="V45" s="34"/>
      <c r="W45" s="34"/>
      <c r="X45" s="136"/>
      <c r="Y45" s="136"/>
      <c r="Z45" s="136"/>
      <c r="AA45" s="136"/>
      <c r="AB45" s="136"/>
      <c r="AC45" s="136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41"/>
    </row>
    <row r="46" customFormat="false" ht="1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D33" activeCellId="0" sqref="AD33"/>
    </sheetView>
  </sheetViews>
  <sheetFormatPr defaultColWidth="11.445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38251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0.53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-0°0,53</v>
      </c>
      <c r="P9" s="31" t="s">
        <v>16</v>
      </c>
      <c r="Q9" s="35" t="n">
        <f aca="false">IF(ISBLANK(I9),"",IF(ISBLANK(J9),"",IF(J9&gt;60,"ERREUR !!",O11*(I9+(J9/60)))))</f>
        <v>-0.00883333333333333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0.9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-0°0,9</v>
      </c>
      <c r="P10" s="31" t="s">
        <v>17</v>
      </c>
      <c r="Q10" s="35" t="n">
        <f aca="false">IF(ISBLANK(I10),"",IF(ISBLANK(J10),"",IF(J10&gt;60,"ERREUR !!",O12*(I10+(J10/60)))))</f>
        <v>-0.015</v>
      </c>
      <c r="R10" s="35"/>
      <c r="S10" s="37"/>
      <c r="T10" s="37"/>
    </row>
    <row r="11" customFormat="false" ht="14.25" hidden="false" customHeight="false" outlineLevel="0" collapsed="false">
      <c r="G11" s="38" t="s">
        <v>18</v>
      </c>
      <c r="H11" s="38"/>
      <c r="I11" s="39" t="s">
        <v>19</v>
      </c>
      <c r="J11" s="40" t="n">
        <v>38251</v>
      </c>
      <c r="K11" s="40"/>
      <c r="L11" s="40"/>
      <c r="M11" s="40"/>
      <c r="N11" s="41" t="str">
        <f aca="false">I9&amp;"°"&amp;J9</f>
        <v>0°0,53</v>
      </c>
      <c r="O11" s="42" t="n">
        <f aca="false">IF(P9=M10,-1,1)</f>
        <v>-1</v>
      </c>
      <c r="P11" s="43" t="str">
        <f aca="false">TEXT(J11,"aaaa-mm-jj")&amp;"T"&amp;TEXT(J12,"hh:mm:ss")&amp;"z"</f>
        <v>2008-09-22T11:30:00z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0.479166666666667</v>
      </c>
      <c r="K12" s="48"/>
      <c r="L12" s="48"/>
      <c r="M12" s="48"/>
      <c r="N12" s="49" t="str">
        <f aca="false">I10&amp;"°"&amp;J10</f>
        <v>0°0,9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2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2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2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2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2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2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2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#REF!</v>
      </c>
      <c r="Q24" s="74" t="s">
        <v>13</v>
      </c>
      <c r="R24" s="6"/>
    </row>
    <row r="25" customFormat="false" ht="14.2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2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5.7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34.6624</v>
      </c>
      <c r="H35" s="124" t="n">
        <v>500</v>
      </c>
      <c r="I35" s="124" t="n">
        <v>500</v>
      </c>
      <c r="J35" s="125"/>
      <c r="K35" s="126"/>
      <c r="L35" s="126"/>
      <c r="M35" s="126"/>
      <c r="N35" s="127"/>
      <c r="O35" s="126"/>
      <c r="P35" s="125" t="n">
        <v>2.549</v>
      </c>
      <c r="Q35" s="125"/>
      <c r="R35" s="125"/>
      <c r="S35" s="129" t="n">
        <v>110.9</v>
      </c>
      <c r="T35" s="125"/>
      <c r="U35" s="125"/>
      <c r="V35" s="34"/>
      <c r="W35" s="34"/>
      <c r="X35" s="125"/>
      <c r="Y35" s="125"/>
      <c r="Z35" s="125"/>
      <c r="AA35" s="125"/>
      <c r="AB35" s="125"/>
      <c r="AC35" s="125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34.6609</v>
      </c>
      <c r="H36" s="124" t="n">
        <v>500</v>
      </c>
      <c r="I36" s="124" t="n">
        <v>500</v>
      </c>
      <c r="J36" s="136"/>
      <c r="K36" s="137"/>
      <c r="L36" s="137"/>
      <c r="M36" s="137"/>
      <c r="N36" s="138"/>
      <c r="O36" s="137"/>
      <c r="P36" s="136" t="n">
        <v>2.595</v>
      </c>
      <c r="Q36" s="136"/>
      <c r="R36" s="136"/>
      <c r="S36" s="140" t="n">
        <v>112.9</v>
      </c>
      <c r="T36" s="136"/>
      <c r="U36" s="136"/>
      <c r="V36" s="34"/>
      <c r="W36" s="34"/>
      <c r="X36" s="136"/>
      <c r="Y36" s="136"/>
      <c r="Z36" s="136"/>
      <c r="AA36" s="136"/>
      <c r="AB36" s="136"/>
      <c r="AC36" s="136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34.661</v>
      </c>
      <c r="H37" s="124" t="n">
        <v>500</v>
      </c>
      <c r="I37" s="124" t="n">
        <v>500</v>
      </c>
      <c r="J37" s="136"/>
      <c r="K37" s="137"/>
      <c r="L37" s="137"/>
      <c r="M37" s="137"/>
      <c r="N37" s="138"/>
      <c r="O37" s="137"/>
      <c r="P37" s="136" t="n">
        <v>2.569</v>
      </c>
      <c r="Q37" s="136"/>
      <c r="R37" s="136"/>
      <c r="S37" s="140" t="n">
        <v>111.7</v>
      </c>
      <c r="T37" s="136"/>
      <c r="U37" s="136"/>
      <c r="V37" s="34"/>
      <c r="W37" s="34"/>
      <c r="X37" s="136"/>
      <c r="Y37" s="136"/>
      <c r="Z37" s="136"/>
      <c r="AA37" s="136"/>
      <c r="AB37" s="136"/>
      <c r="AC37" s="136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41"/>
    </row>
    <row r="38" customFormat="false" ht="1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34.6605</v>
      </c>
      <c r="H38" s="124" t="n">
        <v>500</v>
      </c>
      <c r="I38" s="124" t="n">
        <v>500</v>
      </c>
      <c r="J38" s="136"/>
      <c r="K38" s="137"/>
      <c r="L38" s="137"/>
      <c r="M38" s="137"/>
      <c r="N38" s="138"/>
      <c r="O38" s="137"/>
      <c r="P38" s="136" t="n">
        <v>2.607</v>
      </c>
      <c r="Q38" s="136"/>
      <c r="R38" s="136"/>
      <c r="S38" s="140" t="n">
        <v>113.4</v>
      </c>
      <c r="T38" s="136"/>
      <c r="U38" s="136"/>
      <c r="V38" s="34"/>
      <c r="W38" s="34"/>
      <c r="X38" s="136"/>
      <c r="Y38" s="136"/>
      <c r="Z38" s="136"/>
      <c r="AA38" s="136"/>
      <c r="AB38" s="136"/>
      <c r="AC38" s="136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2"/>
      <c r="AY38" s="131"/>
      <c r="AZ38" s="131"/>
      <c r="BA38" s="131"/>
      <c r="BB38" s="132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34.6609</v>
      </c>
      <c r="H39" s="124" t="n">
        <v>500</v>
      </c>
      <c r="I39" s="124" t="n">
        <v>500</v>
      </c>
      <c r="J39" s="136"/>
      <c r="K39" s="137"/>
      <c r="L39" s="137"/>
      <c r="M39" s="137"/>
      <c r="N39" s="138"/>
      <c r="O39" s="137"/>
      <c r="P39" s="136" t="n">
        <v>2.552</v>
      </c>
      <c r="Q39" s="136"/>
      <c r="R39" s="136"/>
      <c r="S39" s="140" t="n">
        <v>111</v>
      </c>
      <c r="T39" s="136"/>
      <c r="U39" s="136"/>
      <c r="V39" s="34"/>
      <c r="W39" s="34"/>
      <c r="X39" s="136"/>
      <c r="Y39" s="136"/>
      <c r="Z39" s="136"/>
      <c r="AA39" s="136"/>
      <c r="AB39" s="136"/>
      <c r="AC39" s="136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41"/>
      <c r="AY39" s="130"/>
      <c r="AZ39" s="130"/>
      <c r="BA39" s="130"/>
      <c r="BB39" s="141"/>
    </row>
    <row r="40" customFormat="false" ht="1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35.1425</v>
      </c>
      <c r="H40" s="124" t="n">
        <v>300</v>
      </c>
      <c r="I40" s="124" t="n">
        <v>300</v>
      </c>
      <c r="J40" s="136"/>
      <c r="K40" s="137"/>
      <c r="L40" s="137"/>
      <c r="M40" s="137"/>
      <c r="N40" s="138"/>
      <c r="O40" s="137"/>
      <c r="P40" s="136" t="n">
        <v>1.669</v>
      </c>
      <c r="Q40" s="136"/>
      <c r="R40" s="136"/>
      <c r="S40" s="140" t="n">
        <v>72.6</v>
      </c>
      <c r="T40" s="136"/>
      <c r="U40" s="136"/>
      <c r="V40" s="34"/>
      <c r="W40" s="34"/>
      <c r="X40" s="136"/>
      <c r="Y40" s="136"/>
      <c r="Z40" s="136"/>
      <c r="AA40" s="136"/>
      <c r="AB40" s="136"/>
      <c r="AC40" s="136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2"/>
      <c r="AY40" s="130"/>
      <c r="AZ40" s="130"/>
      <c r="BA40" s="130"/>
      <c r="BB40" s="141"/>
    </row>
    <row r="41" customFormat="false" ht="1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35.65</v>
      </c>
      <c r="H41" s="124" t="n">
        <v>100</v>
      </c>
      <c r="I41" s="124" t="n">
        <v>98</v>
      </c>
      <c r="J41" s="136"/>
      <c r="K41" s="137"/>
      <c r="L41" s="137"/>
      <c r="M41" s="137"/>
      <c r="N41" s="138"/>
      <c r="O41" s="137"/>
      <c r="P41" s="136" t="n">
        <v>3.029</v>
      </c>
      <c r="Q41" s="136"/>
      <c r="R41" s="136"/>
      <c r="S41" s="140" t="n">
        <v>131.9</v>
      </c>
      <c r="T41" s="136"/>
      <c r="U41" s="136"/>
      <c r="V41" s="34"/>
      <c r="W41" s="34"/>
      <c r="X41" s="136"/>
      <c r="Y41" s="136"/>
      <c r="Z41" s="136"/>
      <c r="AA41" s="136"/>
      <c r="AB41" s="136"/>
      <c r="AC41" s="136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41"/>
      <c r="AY41" s="130"/>
      <c r="AZ41" s="130"/>
      <c r="BA41" s="130"/>
      <c r="BB41" s="141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35.2841</v>
      </c>
      <c r="H42" s="124" t="n">
        <v>10</v>
      </c>
      <c r="I42" s="124" t="n">
        <v>10</v>
      </c>
      <c r="J42" s="136"/>
      <c r="K42" s="137"/>
      <c r="L42" s="137"/>
      <c r="M42" s="137"/>
      <c r="N42" s="138"/>
      <c r="O42" s="137"/>
      <c r="P42" s="136" t="n">
        <v>4.481</v>
      </c>
      <c r="Q42" s="136"/>
      <c r="R42" s="136"/>
      <c r="S42" s="140" t="n">
        <v>195.6</v>
      </c>
      <c r="T42" s="136"/>
      <c r="U42" s="136"/>
      <c r="V42" s="34"/>
      <c r="W42" s="34"/>
      <c r="X42" s="136"/>
      <c r="Y42" s="136"/>
      <c r="Z42" s="136"/>
      <c r="AA42" s="136"/>
      <c r="AB42" s="136"/>
      <c r="AC42" s="136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41"/>
      <c r="AY42" s="130"/>
      <c r="AZ42" s="130"/>
      <c r="BA42" s="130"/>
      <c r="BB42" s="141"/>
    </row>
    <row r="43" customFormat="false" ht="1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35.2839</v>
      </c>
      <c r="H43" s="124" t="n">
        <v>0</v>
      </c>
      <c r="I43" s="124" t="n">
        <v>1.5</v>
      </c>
      <c r="J43" s="136"/>
      <c r="K43" s="137"/>
      <c r="L43" s="137"/>
      <c r="M43" s="137"/>
      <c r="N43" s="138"/>
      <c r="O43" s="137"/>
      <c r="P43" s="136" t="n">
        <v>4.489</v>
      </c>
      <c r="Q43" s="136"/>
      <c r="R43" s="136"/>
      <c r="S43" s="140" t="n">
        <v>195.9</v>
      </c>
      <c r="T43" s="136"/>
      <c r="U43" s="136"/>
      <c r="V43" s="34"/>
      <c r="W43" s="34"/>
      <c r="X43" s="136"/>
      <c r="Y43" s="136"/>
      <c r="Z43" s="136"/>
      <c r="AA43" s="136"/>
      <c r="AB43" s="136"/>
      <c r="AC43" s="136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2"/>
      <c r="AY43" s="131"/>
      <c r="AZ43" s="131"/>
      <c r="BA43" s="131"/>
      <c r="BB43" s="132"/>
    </row>
    <row r="44" customFormat="false" ht="1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s">
        <v>99</v>
      </c>
      <c r="H44" s="124" t="s">
        <v>99</v>
      </c>
      <c r="I44" s="147" t="s">
        <v>99</v>
      </c>
      <c r="J44" s="136"/>
      <c r="K44" s="137"/>
      <c r="L44" s="137"/>
      <c r="M44" s="137"/>
      <c r="N44" s="138"/>
      <c r="O44" s="137"/>
      <c r="P44" s="136" t="n">
        <v>2.586</v>
      </c>
      <c r="Q44" s="136"/>
      <c r="R44" s="136"/>
      <c r="S44" s="140" t="n">
        <v>112.5</v>
      </c>
      <c r="T44" s="136"/>
      <c r="U44" s="136"/>
      <c r="V44" s="34"/>
      <c r="W44" s="34"/>
      <c r="X44" s="136"/>
      <c r="Y44" s="136"/>
      <c r="Z44" s="136"/>
      <c r="AA44" s="136"/>
      <c r="AB44" s="136"/>
      <c r="AC44" s="136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41"/>
      <c r="AY44" s="130"/>
      <c r="AZ44" s="130"/>
      <c r="BA44" s="130"/>
      <c r="BB44" s="141"/>
    </row>
    <row r="45" customFormat="false" ht="1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s">
        <v>99</v>
      </c>
      <c r="H45" s="124" t="s">
        <v>99</v>
      </c>
      <c r="I45" s="147" t="s">
        <v>99</v>
      </c>
      <c r="J45" s="136"/>
      <c r="K45" s="137"/>
      <c r="L45" s="137"/>
      <c r="M45" s="137"/>
      <c r="N45" s="138"/>
      <c r="O45" s="137"/>
      <c r="P45" s="181" t="s">
        <v>99</v>
      </c>
      <c r="Q45" s="136"/>
      <c r="R45" s="136"/>
      <c r="S45" s="140" t="s">
        <v>99</v>
      </c>
      <c r="T45" s="136"/>
      <c r="U45" s="136"/>
      <c r="V45" s="34"/>
      <c r="W45" s="34"/>
      <c r="X45" s="136"/>
      <c r="Y45" s="136"/>
      <c r="Z45" s="136"/>
      <c r="AA45" s="136"/>
      <c r="AB45" s="136"/>
      <c r="AC45" s="136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41"/>
      <c r="AY45" s="130"/>
      <c r="AZ45" s="130"/>
      <c r="BA45" s="130"/>
      <c r="BB45" s="141"/>
    </row>
    <row r="46" customFormat="false" ht="1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8"/>
      <c r="E46" s="148"/>
      <c r="F46" s="149"/>
      <c r="G46" s="150"/>
      <c r="H46" s="148"/>
      <c r="I46" s="151"/>
      <c r="J46" s="136" t="str">
        <f aca="false">IF(ISBLANK(D46),"",IF(VLOOKUP(D46,#REF!,2)=0,"",IF(D46&gt;#REF!,"Mauvais numéro",IF(D46&lt;#REF!,"Mauvais numéro",(VLOOKUP(D46,#REF!,3))))))</f>
        <v/>
      </c>
      <c r="K46" s="152" t="str">
        <f aca="false">IF(ISBLANK(E46),"",(0.000824493-(0.0000040899*E46)+(0.000000076438*E46^2)-(0.00000000082467*E46^3)+(0.0000000000053875*E46^4)))</f>
        <v/>
      </c>
      <c r="L46" s="152" t="str">
        <f aca="false">IF(ISBLANK(E46),"",(-0.00000572466+(0.00000010227*E46)-(0.0000000016546*E46^2)))</f>
        <v/>
      </c>
      <c r="M46" s="152" t="str">
        <f aca="false">IF(ISBLANK(E46),"",IF(ISBLANK(G46),(O46+(K46*35)+(L46*35^1.5)+(0.00000048314*35^2)),(O46+(K46*G46)+(L46*G46^1.5)+(0.00000048314*G46^2))))</f>
        <v/>
      </c>
      <c r="N46" s="153" t="str">
        <f aca="false">IF(ISBLANK(D46),"",IF(ISBLANK(G46),J46*(1+0.00001*(35-20)),J46*(1+0.00001*(G46-20))))</f>
        <v/>
      </c>
      <c r="O46" s="152" t="str">
        <f aca="false">IF(ISBLANK(E46),"",(0.999842594+(0.00006793952*E46)-(0.00000909529*E46^2)+(0.0000001001685*E46^3)-(0.000000001120083*E46^4)+(0.000000000006536332*E46^5)))</f>
        <v/>
      </c>
      <c r="P46" s="154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5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6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41"/>
    </row>
    <row r="47" customFormat="false" ht="1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7"/>
      <c r="E47" s="157"/>
      <c r="F47" s="158"/>
      <c r="G47" s="159"/>
      <c r="H47" s="157"/>
      <c r="I47" s="157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60"/>
      <c r="Q47" s="155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41"/>
    </row>
    <row r="48" customFormat="false" ht="1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7"/>
      <c r="E48" s="157"/>
      <c r="F48" s="158"/>
      <c r="G48" s="159"/>
      <c r="H48" s="157"/>
      <c r="I48" s="157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60"/>
      <c r="Q48" s="155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41"/>
    </row>
    <row r="49" customFormat="false" ht="1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7"/>
      <c r="E49" s="157"/>
      <c r="F49" s="158"/>
      <c r="G49" s="162"/>
      <c r="H49" s="157"/>
      <c r="I49" s="157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3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5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4"/>
      <c r="W49" s="164"/>
      <c r="X49" s="164"/>
      <c r="Y49" s="164"/>
      <c r="Z49" s="34"/>
      <c r="AA49" s="34"/>
      <c r="AB49" s="164"/>
      <c r="AC49" s="164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41"/>
    </row>
    <row r="50" customFormat="false" ht="1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7"/>
      <c r="E50" s="157"/>
      <c r="F50" s="158"/>
      <c r="G50" s="162"/>
      <c r="H50" s="157"/>
      <c r="I50" s="157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3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5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41"/>
    </row>
    <row r="51" customFormat="false" ht="1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7"/>
      <c r="E51" s="157"/>
      <c r="F51" s="158"/>
      <c r="G51" s="162"/>
      <c r="H51" s="157"/>
      <c r="I51" s="157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3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5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4"/>
      <c r="W51" s="164"/>
      <c r="X51" s="164"/>
      <c r="Y51" s="164"/>
      <c r="Z51" s="34"/>
      <c r="AA51" s="34"/>
      <c r="AB51" s="164"/>
      <c r="AC51" s="164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41"/>
    </row>
    <row r="52" customFormat="false" ht="1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7"/>
      <c r="E52" s="157"/>
      <c r="F52" s="158"/>
      <c r="G52" s="162"/>
      <c r="H52" s="157"/>
      <c r="I52" s="157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3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5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41"/>
    </row>
    <row r="53" customFormat="false" ht="1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7"/>
      <c r="E53" s="157"/>
      <c r="F53" s="158"/>
      <c r="G53" s="162"/>
      <c r="H53" s="157"/>
      <c r="I53" s="157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3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5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41"/>
    </row>
    <row r="54" customFormat="false" ht="1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7"/>
      <c r="E54" s="157"/>
      <c r="F54" s="158"/>
      <c r="G54" s="162"/>
      <c r="H54" s="157"/>
      <c r="I54" s="157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3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5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41"/>
    </row>
    <row r="55" customFormat="false" ht="1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7"/>
      <c r="E55" s="157"/>
      <c r="F55" s="158"/>
      <c r="G55" s="162"/>
      <c r="H55" s="157"/>
      <c r="I55" s="157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3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5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41"/>
    </row>
    <row r="56" customFormat="false" ht="1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7"/>
      <c r="E56" s="157"/>
      <c r="F56" s="158"/>
      <c r="G56" s="162"/>
      <c r="H56" s="157"/>
      <c r="I56" s="157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3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5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4"/>
      <c r="W56" s="164"/>
      <c r="X56" s="164"/>
      <c r="Y56" s="164"/>
      <c r="Z56" s="34"/>
      <c r="AA56" s="34"/>
      <c r="AB56" s="164"/>
      <c r="AC56" s="164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41"/>
    </row>
    <row r="57" customFormat="false" ht="1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7"/>
      <c r="E57" s="157"/>
      <c r="F57" s="158"/>
      <c r="G57" s="162"/>
      <c r="H57" s="157"/>
      <c r="I57" s="157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3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5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41"/>
    </row>
    <row r="58" customFormat="false" ht="15.7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5" t="n">
        <v>24</v>
      </c>
      <c r="D58" s="166"/>
      <c r="E58" s="166"/>
      <c r="F58" s="167"/>
      <c r="G58" s="168"/>
      <c r="H58" s="166"/>
      <c r="I58" s="166"/>
      <c r="J58" s="169" t="str">
        <f aca="false">IF(ISBLANK(D58),"",IF(VLOOKUP(D58,#REF!,2)=0,"",IF(D58&gt;#REF!,"Mauvais numéro",IF(D58&lt;#REF!,"Mauvais numéro",(VLOOKUP(D58,#REF!,3))))))</f>
        <v/>
      </c>
      <c r="K58" s="170" t="str">
        <f aca="false">IF(ISBLANK(E58),"",(0.000824493-(0.0000040899*E58)+(0.000000076438*E58^2)-(0.00000000082467*E58^3)+(0.0000000000053875*E58^4)))</f>
        <v/>
      </c>
      <c r="L58" s="170" t="str">
        <f aca="false">IF(ISBLANK(E58),"",(-0.00000572466+(0.00000010227*E58)-(0.0000000016546*E58^2)))</f>
        <v/>
      </c>
      <c r="M58" s="170" t="str">
        <f aca="false">IF(ISBLANK(E58),"",IF(ISBLANK(G58),(O58+(K58*35)+(L58*35^1.5)+(0.00000048314*35^2)),(O58+(K58*G58)+(L58*G58^1.5)+(0.00000048314*G58^2))))</f>
        <v/>
      </c>
      <c r="N58" s="171" t="str">
        <f aca="false">IF(ISBLANK(D58),"",IF(ISBLANK(G58),J58*(1+0.00001*(35-20)),J58*(1+0.00001*(G58-20))))</f>
        <v/>
      </c>
      <c r="O58" s="170" t="str">
        <f aca="false">IF(ISBLANK(E58),"",(0.999842594+(0.00006793952*E58)-(0.00000909529*E58^2)+(0.0000001001685*E58^3)-(0.000000001120083*E58^4)+(0.000000000006536332*E58^5)))</f>
        <v/>
      </c>
      <c r="P58" s="17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6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en-US</dc:language>
  <cp:lastModifiedBy/>
  <cp:lastPrinted>2015-02-05T12:58:17Z</cp:lastPrinted>
  <dcterms:modified xsi:type="dcterms:W3CDTF">2023-10-12T15:30:04Z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