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2.xml" ContentType="application/vnd.openxmlformats-officedocument.drawingml.chart+xml"/>
  <Override PartName="/xl/charts/chart11.xml" ContentType="application/vnd.openxmlformats-officedocument.drawingml.chart+xml"/>
  <Override PartName="/xl/charts/chart10.xml" ContentType="application/vnd.openxmlformats-officedocument.drawingml.chart+xml"/>
  <Override PartName="/xl/charts/chart9.xml" ContentType="application/vnd.openxmlformats-officedocument.drawingml.chart+xml"/>
  <Override PartName="/xl/charts/chart17.xml" ContentType="application/vnd.openxmlformats-officedocument.drawingml.chart+xml"/>
  <Override PartName="/xl/charts/chart5.xml" ContentType="application/vnd.openxmlformats-officedocument.drawingml.chart+xml"/>
  <Override PartName="/xl/charts/chart16.xml" ContentType="application/vnd.openxmlformats-officedocument.drawingml.chart+xml"/>
  <Override PartName="/xl/charts/chart4.xml" ContentType="application/vnd.openxmlformats-officedocument.drawingml.chart+xml"/>
  <Override PartName="/xl/charts/chart15.xml" ContentType="application/vnd.openxmlformats-officedocument.drawingml.chart+xml"/>
  <Override PartName="/xl/charts/chart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3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 001" sheetId="1" state="visible" r:id="rId2"/>
    <sheet name="Station 002" sheetId="2" state="visible" r:id="rId3"/>
    <sheet name="Station 003" sheetId="3" state="visible" r:id="rId4"/>
    <sheet name="Station 004" sheetId="4" state="visible" r:id="rId5"/>
    <sheet name="Station 005" sheetId="5" state="visible" r:id="rId6"/>
    <sheet name="Station 006" sheetId="6" state="visible" r:id="rId7"/>
    <sheet name="Station 007" sheetId="7" state="visible" r:id="rId8"/>
    <sheet name="Station 008" sheetId="8" state="visible" r:id="rId9"/>
    <sheet name="Volumes flacons" sheetId="9" state="visible" r:id="rId10"/>
    <sheet name="Titre d'iodate" sheetId="10" state="visible" r:id="rId11"/>
    <sheet name="Correction de volume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<sst xmlns="http://schemas.openxmlformats.org/spreadsheetml/2006/main" count="2263" uniqueCount="195">
  <si>
    <t xml:space="preserve">Campagne :</t>
  </si>
  <si>
    <t xml:space="preserve">PIRATA FR25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</si>
  <si>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</si>
  <si>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</si>
  <si>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</si>
  <si>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</si>
  <si>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</si>
  <si>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</si>
  <si>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</si>
  <si>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</si>
  <si>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</si>
  <si>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</si>
  <si>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</si>
  <si>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</si>
  <si>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</si>
  <si>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</si>
  <si>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</si>
  <si>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</si>
  <si>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</si>
  <si>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</si>
  <si>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2015-03-21T13:00:00z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</si>
  <si>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</si>
  <si>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</si>
  <si>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</si>
  <si>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</si>
  <si>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</si>
  <si>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</si>
  <si>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</si>
  <si>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</si>
  <si>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</si>
  <si>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</si>
  <si>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</si>
  <si>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</si>
  <si>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</si>
  <si>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</si>
  <si>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</si>
  <si>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</si>
  <si>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</si>
  <si>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</si>
  <si>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</si>
  <si>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</si>
  <si>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</si>
  <si>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</si>
  <si>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</si>
  <si>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</si>
  <si>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</si>
  <si>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</si>
  <si>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</si>
  <si>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</si>
  <si>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</si>
  <si>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</si>
  <si>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</si>
  <si>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</si>
  <si>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LPO</t>
  </si>
  <si>
    <t xml:space="preserve">IRD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</si>
  <si>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</si>
  <si>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</si>
  <si>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</si>
  <si>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</si>
  <si>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</si>
  <si>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</si>
  <si>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</si>
  <si>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</si>
  <si>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</si>
  <si>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</si>
  <si>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</si>
  <si>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</si>
  <si>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</si>
  <si>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</si>
  <si>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</si>
  <si>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</si>
  <si>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</si>
  <si>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</si>
  <si>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</si>
  <si>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</si>
  <si>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</si>
  <si>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</si>
  <si>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</si>
  <si>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</si>
  <si>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</si>
  <si>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</si>
  <si>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</si>
  <si>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</si>
  <si>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</si>
  <si>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</si>
  <si>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</si>
  <si>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</si>
  <si>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</si>
  <si>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</si>
  <si>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</si>
  <si>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</si>
  <si>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</si>
  <si>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</si>
  <si>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</si>
  <si>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</si>
  <si>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</si>
  <si>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</si>
  <si>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</si>
  <si>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</si>
  <si>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</si>
  <si>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</si>
  <si>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</si>
  <si>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</si>
  <si>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</si>
  <si>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</si>
  <si>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</si>
  <si>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</si>
  <si>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</si>
  <si>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</si>
  <si>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</si>
  <si>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</si>
  <si>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</si>
  <si>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</si>
  <si>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</si>
  <si>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</si>
  <si>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</si>
  <si>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</si>
  <si>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</si>
  <si>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</si>
  <si>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</si>
  <si>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</si>
  <si>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</si>
  <si>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</si>
  <si>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</si>
  <si>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</si>
  <si>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</si>
  <si>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</si>
  <si>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</si>
  <si>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</si>
  <si>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</si>
  <si>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</si>
  <si>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</si>
  <si>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</si>
  <si>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</si>
  <si>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</si>
  <si>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</si>
  <si>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</si>
  <si>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</si>
  <si>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</si>
  <si>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</si>
  <si>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</si>
  <si>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</si>
  <si>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</si>
  <si>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</si>
  <si>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</si>
  <si>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</si>
  <si>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Profils des mesures en profondeur</t>
  </si>
  <si>
    <t xml:space="preserve">2015-03-22T15:00:00z</t>
  </si>
  <si>
    <t xml:space="preserve">2015-03-23T15:00:00z</t>
  </si>
  <si>
    <t xml:space="preserve">2015-03-28T15:14:00z</t>
  </si>
  <si>
    <t xml:space="preserve">2015-03-31T08:00:00z</t>
  </si>
  <si>
    <t xml:space="preserve">2015-04-04T03:45:00z</t>
  </si>
  <si>
    <t xml:space="preserve">2015-04-06T05:11:00z</t>
  </si>
  <si>
    <t xml:space="preserve">2015-04-11T06:00:00z</t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</si>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</sst>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000"/>
    <numFmt numFmtId="166" formatCode="00"/>
    <numFmt numFmtId="167" formatCode="m/d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h:mm:ss"/>
    <numFmt numFmtId="175" formatCode="yyyy\-mm\-dd\Thh:mm:ss\z"/>
    <numFmt numFmtId="176" formatCode="[$-F800]dddd&quot;, &quot;mmmm\ dd&quot;, &quot;yyyy"/>
    <numFmt numFmtId="177" formatCode="0.000"/>
    <numFmt numFmtId="178" formatCode="0.0000"/>
    <numFmt numFmtId="179" formatCode="#,##0.00;[RED]&quot;Erreur !&quot;;[RED]&quot;Erreur !&quot;;[RED]General"/>
    <numFmt numFmtId="180" formatCode="0.00000000"/>
    <numFmt numFmtId="181" formatCode="0.0"/>
    <numFmt numFmtId="182" formatCode="[hh]\°mm\'ss.00&quot;''&quot;"/>
    <numFmt numFmtId="183" formatCode="0"/>
    <numFmt numFmtId="184" formatCode="0.00000"/>
    <numFmt numFmtId="185" formatCode="00.00&quot; °C&quot;"/>
    <numFmt numFmtId="186" formatCode="0.000&quot; litres&quot;"/>
    <numFmt numFmtId="187" formatCode="00.00000E+0&quot; N&quot;"/>
    <numFmt numFmtId="188" formatCode="0%"/>
  </numFmts>
  <fonts count="3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99CC"/>
        <bgColor rgb="FFFF8080"/>
      </patternFill>
    </fill>
    <fill>
      <patternFill patternType="solid">
        <fgColor rgb="FFFCD5B5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8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7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7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6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6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3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3" borderId="1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3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36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4" fontId="4" fillId="2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4" fillId="2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6" fontId="4" fillId="0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8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9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3" borderId="2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3" borderId="2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1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39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1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3959000640615"/>
          <c:y val="0.0744186046511628"/>
          <c:w val="0.77498398462524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001'!$S$35:$S$45</c:f>
              <c:numCache>
                <c:formatCode>General</c:formatCode>
                <c:ptCount val="11"/>
                <c:pt idx="0">
                  <c:v>237.5</c:v>
                </c:pt>
                <c:pt idx="1">
                  <c:v>236.3</c:v>
                </c:pt>
                <c:pt idx="2">
                  <c:v>199.3</c:v>
                </c:pt>
                <c:pt idx="3">
                  <c:v>236.3</c:v>
                </c:pt>
                <c:pt idx="4">
                  <c:v>236.5</c:v>
                </c:pt>
                <c:pt idx="5">
                  <c:v>237.3</c:v>
                </c:pt>
                <c:pt idx="6">
                  <c:v>236</c:v>
                </c:pt>
                <c:pt idx="7">
                  <c:v>236.5</c:v>
                </c:pt>
                <c:pt idx="8">
                  <c:v>236.2</c:v>
                </c:pt>
                <c:pt idx="9">
                  <c:v>239.3</c:v>
                </c:pt>
                <c:pt idx="10">
                  <c:v>237.4</c:v>
                </c:pt>
              </c:numCache>
            </c:numRef>
          </c:xVal>
          <c:yVal>
            <c:numRef>
              <c:f>'Station 001'!$H$35:$H$58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</c:numCache>
            </c:numRef>
          </c:yVal>
          <c:smooth val="1"/>
        </c:ser>
        <c:axId val="97071011"/>
        <c:axId val="24731523"/>
      </c:scatterChart>
      <c:valAx>
        <c:axId val="97071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14718129404228"/>
              <c:y val="0.0737258782780802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31523"/>
        <c:crosses val="autoZero"/>
        <c:crossBetween val="midCat"/>
      </c:valAx>
      <c:valAx>
        <c:axId val="2473152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269058296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10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1578947368"/>
          <c:y val="0.0776843146956952"/>
          <c:w val="0.780270676691729"/>
          <c:h val="0.89163780306778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001'!$G$35:$G$58</c:f>
              <c:numCache>
                <c:formatCode>General</c:formatCode>
                <c:ptCount val="24"/>
                <c:pt idx="0">
                  <c:v>34.951</c:v>
                </c:pt>
                <c:pt idx="1">
                  <c:v>34.947</c:v>
                </c:pt>
                <c:pt idx="2">
                  <c:v>35.003</c:v>
                </c:pt>
                <c:pt idx="3">
                  <c:v>34.947</c:v>
                </c:pt>
                <c:pt idx="4">
                  <c:v>34.939</c:v>
                </c:pt>
                <c:pt idx="5">
                  <c:v>34.947</c:v>
                </c:pt>
                <c:pt idx="6">
                  <c:v>34.952</c:v>
                </c:pt>
                <c:pt idx="7">
                  <c:v>34.946</c:v>
                </c:pt>
                <c:pt idx="8">
                  <c:v>34.946</c:v>
                </c:pt>
                <c:pt idx="9">
                  <c:v>34.947</c:v>
                </c:pt>
                <c:pt idx="10">
                  <c:v>34.946</c:v>
                </c:pt>
              </c:numCache>
            </c:numRef>
          </c:xVal>
          <c:yVal>
            <c:numRef>
              <c:f>'Station 001'!$H$35:$H$58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</c:numCache>
            </c:numRef>
          </c:yVal>
          <c:smooth val="1"/>
        </c:ser>
        <c:axId val="88490889"/>
        <c:axId val="68140145"/>
      </c:scatterChart>
      <c:valAx>
        <c:axId val="88490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81203007518797"/>
              <c:y val="0.0737258782780802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40145"/>
        <c:crosses val="autoZero"/>
        <c:crossBetween val="midCat"/>
      </c:valAx>
      <c:valAx>
        <c:axId val="6814014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2330827068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9088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4003405836365"/>
          <c:y val="0.0744186046511628"/>
          <c:w val="0.774905178419382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001'!$C$35:$C$45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'Station 001'!$S$35:$S$45</c:f>
              <c:numCache>
                <c:formatCode>General</c:formatCode>
                <c:ptCount val="11"/>
                <c:pt idx="0">
                  <c:v>237.5</c:v>
                </c:pt>
                <c:pt idx="1">
                  <c:v>236.3</c:v>
                </c:pt>
                <c:pt idx="2">
                  <c:v>199.3</c:v>
                </c:pt>
                <c:pt idx="3">
                  <c:v>236.3</c:v>
                </c:pt>
                <c:pt idx="4">
                  <c:v>236.5</c:v>
                </c:pt>
                <c:pt idx="5">
                  <c:v>237.3</c:v>
                </c:pt>
                <c:pt idx="6">
                  <c:v>236</c:v>
                </c:pt>
                <c:pt idx="7">
                  <c:v>236.5</c:v>
                </c:pt>
                <c:pt idx="8">
                  <c:v>236.2</c:v>
                </c:pt>
                <c:pt idx="9">
                  <c:v>239.3</c:v>
                </c:pt>
                <c:pt idx="10">
                  <c:v>237.4</c:v>
                </c:pt>
              </c:numCache>
            </c:numRef>
          </c:yVal>
          <c:smooth val="1"/>
        </c:ser>
        <c:axId val="10503239"/>
        <c:axId val="18916811"/>
      </c:scatterChart>
      <c:valAx>
        <c:axId val="105032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14660577444075"/>
              <c:y val="0.07372587827808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16811"/>
        <c:crosses val="autoZero"/>
        <c:crossBetween val="midCat"/>
      </c:valAx>
      <c:valAx>
        <c:axId val="18916811"/>
        <c:scaling>
          <c:orientation val="maxMin"/>
          <c:max val="300"/>
          <c:min val="2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796269061073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0323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3959000640615"/>
          <c:y val="0.0744186046511628"/>
          <c:w val="0.77498398462524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002'!$S$35:$S$45</c:f>
              <c:numCache>
                <c:formatCode>General</c:formatCode>
                <c:ptCount val="11"/>
                <c:pt idx="0">
                  <c:v>248.7</c:v>
                </c:pt>
                <c:pt idx="1">
                  <c:v>260.7</c:v>
                </c:pt>
                <c:pt idx="2">
                  <c:v>157.5</c:v>
                </c:pt>
                <c:pt idx="3">
                  <c:v>97.3</c:v>
                </c:pt>
                <c:pt idx="4">
                  <c:v>97.1</c:v>
                </c:pt>
                <c:pt idx="5">
                  <c:v>101.7</c:v>
                </c:pt>
                <c:pt idx="6">
                  <c:v>122.1</c:v>
                </c:pt>
                <c:pt idx="7">
                  <c:v>184.3</c:v>
                </c:pt>
                <c:pt idx="8">
                  <c:v>207.8</c:v>
                </c:pt>
                <c:pt idx="9">
                  <c:v>203.9</c:v>
                </c:pt>
                <c:pt idx="10">
                  <c:v>200.7</c:v>
                </c:pt>
              </c:numCache>
            </c:numRef>
          </c:xVal>
          <c:yVal>
            <c:numRef>
              <c:f>'Station 002'!$H$35:$H$58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6573474"/>
        <c:axId val="16477228"/>
      </c:scatterChart>
      <c:valAx>
        <c:axId val="16573474"/>
        <c:scaling>
          <c:orientation val="minMax"/>
          <c:max val="3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36739269698911"/>
              <c:y val="0.859574468085106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77228"/>
        <c:crosses val="autoZero"/>
        <c:crossBetween val="midCat"/>
      </c:valAx>
      <c:valAx>
        <c:axId val="1647722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269058296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7347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1578947368"/>
          <c:y val="0.0776843146956952"/>
          <c:w val="0.780270676691729"/>
          <c:h val="0.89163780306778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002'!$G$35:$G$58</c:f>
              <c:numCache>
                <c:formatCode>General</c:formatCode>
                <c:ptCount val="24"/>
                <c:pt idx="0">
                  <c:v>34.957</c:v>
                </c:pt>
                <c:pt idx="1">
                  <c:v>34.955</c:v>
                </c:pt>
                <c:pt idx="2">
                  <c:v>34.647</c:v>
                </c:pt>
                <c:pt idx="3">
                  <c:v>34.68</c:v>
                </c:pt>
                <c:pt idx="4">
                  <c:v>35.63</c:v>
                </c:pt>
                <c:pt idx="5">
                  <c:v>35.753</c:v>
                </c:pt>
                <c:pt idx="6">
                  <c:v>35.8</c:v>
                </c:pt>
                <c:pt idx="7">
                  <c:v>35.809</c:v>
                </c:pt>
                <c:pt idx="8">
                  <c:v>35.348</c:v>
                </c:pt>
                <c:pt idx="9">
                  <c:v>35.064</c:v>
                </c:pt>
                <c:pt idx="10">
                  <c:v>35.069</c:v>
                </c:pt>
              </c:numCache>
            </c:numRef>
          </c:xVal>
          <c:yVal>
            <c:numRef>
              <c:f>'Station 002'!$I$35:$I$45</c:f>
              <c:numCache>
                <c:formatCode>General</c:formatCode>
                <c:ptCount val="11"/>
                <c:pt idx="0">
                  <c:v>2021</c:v>
                </c:pt>
                <c:pt idx="1">
                  <c:v>2021</c:v>
                </c:pt>
                <c:pt idx="2">
                  <c:v>1008.8</c:v>
                </c:pt>
                <c:pt idx="3">
                  <c:v>503.1</c:v>
                </c:pt>
                <c:pt idx="4">
                  <c:v>101</c:v>
                </c:pt>
                <c:pt idx="5">
                  <c:v>80.3</c:v>
                </c:pt>
                <c:pt idx="6">
                  <c:v>60.5</c:v>
                </c:pt>
                <c:pt idx="7">
                  <c:v>42.1</c:v>
                </c:pt>
                <c:pt idx="8">
                  <c:v>21.5</c:v>
                </c:pt>
                <c:pt idx="9">
                  <c:v>11.3</c:v>
                </c:pt>
                <c:pt idx="10">
                  <c:v>2.9</c:v>
                </c:pt>
              </c:numCache>
            </c:numRef>
          </c:yVal>
          <c:smooth val="1"/>
        </c:ser>
        <c:axId val="73968310"/>
        <c:axId val="70981507"/>
      </c:scatterChart>
      <c:valAx>
        <c:axId val="739683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7990977443609"/>
              <c:y val="0.862840178129639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81507"/>
        <c:crosses val="autoZero"/>
        <c:crossBetween val="midCat"/>
      </c:valAx>
      <c:valAx>
        <c:axId val="7098150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2330827068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6831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3959000640615"/>
          <c:y val="0.0744186046511628"/>
          <c:w val="0.77498398462524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003'!$S$35:$S$45</c:f>
              <c:numCache>
                <c:formatCode>General</c:formatCode>
                <c:ptCount val="11"/>
                <c:pt idx="0">
                  <c:v>250.4</c:v>
                </c:pt>
                <c:pt idx="1">
                  <c:v>160.7</c:v>
                </c:pt>
                <c:pt idx="2">
                  <c:v>166.5</c:v>
                </c:pt>
                <c:pt idx="3">
                  <c:v>127</c:v>
                </c:pt>
                <c:pt idx="4">
                  <c:v>163.6</c:v>
                </c:pt>
                <c:pt idx="5">
                  <c:v>157.2</c:v>
                </c:pt>
                <c:pt idx="6">
                  <c:v>182</c:v>
                </c:pt>
                <c:pt idx="7">
                  <c:v>203.1</c:v>
                </c:pt>
                <c:pt idx="8">
                  <c:v>200.9</c:v>
                </c:pt>
                <c:pt idx="9">
                  <c:v>199.7</c:v>
                </c:pt>
                <c:pt idx="10">
                  <c:v>200.3</c:v>
                </c:pt>
              </c:numCache>
            </c:numRef>
          </c:xVal>
          <c:yVal>
            <c:numRef>
              <c:f>'Station 003'!$H$35:$H$58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5848460"/>
        <c:axId val="93229592"/>
      </c:scatterChart>
      <c:valAx>
        <c:axId val="45848460"/>
        <c:scaling>
          <c:orientation val="minMax"/>
          <c:max val="300"/>
          <c:min val="10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316303651505445"/>
              <c:y val="0.866204849084612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29592"/>
        <c:crosses val="autoZero"/>
        <c:crossBetween val="midCat"/>
      </c:valAx>
      <c:valAx>
        <c:axId val="9322959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269058296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4846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1578947368"/>
          <c:y val="0.0776843146956952"/>
          <c:w val="0.780270676691729"/>
          <c:h val="0.89163780306778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003'!$G$35:$G$58</c:f>
              <c:numCache>
                <c:formatCode>General</c:formatCode>
                <c:ptCount val="24"/>
                <c:pt idx="0">
                  <c:v>34.963</c:v>
                </c:pt>
                <c:pt idx="1">
                  <c:v>34.654</c:v>
                </c:pt>
                <c:pt idx="2">
                  <c:v>34.752</c:v>
                </c:pt>
                <c:pt idx="3">
                  <c:v>34.612</c:v>
                </c:pt>
                <c:pt idx="4">
                  <c:v>35.603</c:v>
                </c:pt>
                <c:pt idx="5">
                  <c:v>35.935</c:v>
                </c:pt>
                <c:pt idx="6">
                  <c:v>36.404</c:v>
                </c:pt>
                <c:pt idx="7">
                  <c:v>36.188</c:v>
                </c:pt>
                <c:pt idx="8">
                  <c:v>35.623</c:v>
                </c:pt>
                <c:pt idx="9">
                  <c:v>35.19</c:v>
                </c:pt>
                <c:pt idx="10">
                  <c:v>35</c:v>
                </c:pt>
              </c:numCache>
            </c:numRef>
          </c:xVal>
          <c:yVal>
            <c:numRef>
              <c:f>'Station 003'!$H$35:$H$58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6644603"/>
        <c:axId val="51049503"/>
      </c:scatterChart>
      <c:valAx>
        <c:axId val="366446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800360902255639"/>
              <c:y val="0.846313706086096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49503"/>
        <c:crosses val="autoZero"/>
        <c:crossBetween val="midCat"/>
      </c:valAx>
      <c:valAx>
        <c:axId val="5104950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2330827068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4460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3959000640615"/>
          <c:y val="0.0744186046511628"/>
          <c:w val="0.77498398462524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004'!$S$35:$S$45</c:f>
              <c:numCache>
                <c:formatCode>General</c:formatCode>
                <c:ptCount val="11"/>
                <c:pt idx="0">
                  <c:v>248.2</c:v>
                </c:pt>
                <c:pt idx="1">
                  <c:v>162.9</c:v>
                </c:pt>
                <c:pt idx="2">
                  <c:v>112.2</c:v>
                </c:pt>
                <c:pt idx="3">
                  <c:v>112.2</c:v>
                </c:pt>
                <c:pt idx="4">
                  <c:v>148.4</c:v>
                </c:pt>
                <c:pt idx="5">
                  <c:v>162.6</c:v>
                </c:pt>
                <c:pt idx="6">
                  <c:v>172.1</c:v>
                </c:pt>
                <c:pt idx="7">
                  <c:v>207.9</c:v>
                </c:pt>
                <c:pt idx="8">
                  <c:v>201.9</c:v>
                </c:pt>
                <c:pt idx="9">
                  <c:v>201.5</c:v>
                </c:pt>
                <c:pt idx="10">
                  <c:v>201.2</c:v>
                </c:pt>
              </c:numCache>
            </c:numRef>
          </c:xVal>
          <c:yVal>
            <c:numRef>
              <c:f>'Station 004'!$I$35:$I$45</c:f>
              <c:numCache>
                <c:formatCode>General</c:formatCode>
                <c:ptCount val="11"/>
                <c:pt idx="0">
                  <c:v>2020</c:v>
                </c:pt>
                <c:pt idx="1">
                  <c:v>1009</c:v>
                </c:pt>
                <c:pt idx="2">
                  <c:v>503</c:v>
                </c:pt>
                <c:pt idx="3">
                  <c:v>503</c:v>
                </c:pt>
                <c:pt idx="4">
                  <c:v>100</c:v>
                </c:pt>
                <c:pt idx="5">
                  <c:v>79.4</c:v>
                </c:pt>
                <c:pt idx="6">
                  <c:v>61.2</c:v>
                </c:pt>
                <c:pt idx="7">
                  <c:v>41.7</c:v>
                </c:pt>
                <c:pt idx="8">
                  <c:v>21.2</c:v>
                </c:pt>
                <c:pt idx="9">
                  <c:v>11.3</c:v>
                </c:pt>
                <c:pt idx="10">
                  <c:v>2.6</c:v>
                </c:pt>
              </c:numCache>
            </c:numRef>
          </c:yVal>
          <c:smooth val="1"/>
        </c:ser>
        <c:axId val="91066538"/>
        <c:axId val="63801687"/>
      </c:scatterChart>
      <c:valAx>
        <c:axId val="91066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39654067905189"/>
              <c:y val="0.872835230084117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01687"/>
        <c:crosses val="autoZero"/>
        <c:crossBetween val="midCat"/>
      </c:valAx>
      <c:valAx>
        <c:axId val="6380168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269058296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6653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1578947368"/>
          <c:y val="0.0776843146956952"/>
          <c:w val="0.780270676691729"/>
          <c:h val="0.89163780306778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004'!$G$35:$G$58</c:f>
              <c:numCache>
                <c:formatCode>General</c:formatCode>
                <c:ptCount val="24"/>
                <c:pt idx="0">
                  <c:v>34.963</c:v>
                </c:pt>
                <c:pt idx="1">
                  <c:v>34.667</c:v>
                </c:pt>
                <c:pt idx="2">
                  <c:v>34.619</c:v>
                </c:pt>
                <c:pt idx="3">
                  <c:v>34.62</c:v>
                </c:pt>
                <c:pt idx="4">
                  <c:v>35.841</c:v>
                </c:pt>
                <c:pt idx="5">
                  <c:v>36.107</c:v>
                </c:pt>
                <c:pt idx="6">
                  <c:v>36.27</c:v>
                </c:pt>
                <c:pt idx="7">
                  <c:v>35.927</c:v>
                </c:pt>
                <c:pt idx="8">
                  <c:v>34.092</c:v>
                </c:pt>
                <c:pt idx="9">
                  <c:v>34.079</c:v>
                </c:pt>
                <c:pt idx="10">
                  <c:v>34.085</c:v>
                </c:pt>
              </c:numCache>
            </c:numRef>
          </c:xVal>
          <c:yVal>
            <c:numRef>
              <c:f>'Station 004'!$I$35:$I$45</c:f>
              <c:numCache>
                <c:formatCode>General</c:formatCode>
                <c:ptCount val="11"/>
                <c:pt idx="0">
                  <c:v>2020</c:v>
                </c:pt>
                <c:pt idx="1">
                  <c:v>1009</c:v>
                </c:pt>
                <c:pt idx="2">
                  <c:v>503</c:v>
                </c:pt>
                <c:pt idx="3">
                  <c:v>503</c:v>
                </c:pt>
                <c:pt idx="4">
                  <c:v>100</c:v>
                </c:pt>
                <c:pt idx="5">
                  <c:v>79.4</c:v>
                </c:pt>
                <c:pt idx="6">
                  <c:v>61.2</c:v>
                </c:pt>
                <c:pt idx="7">
                  <c:v>41.7</c:v>
                </c:pt>
                <c:pt idx="8">
                  <c:v>21.2</c:v>
                </c:pt>
                <c:pt idx="9">
                  <c:v>11.3</c:v>
                </c:pt>
                <c:pt idx="10">
                  <c:v>2.6</c:v>
                </c:pt>
              </c:numCache>
            </c:numRef>
          </c:yVal>
          <c:smooth val="1"/>
        </c:ser>
        <c:axId val="27288522"/>
        <c:axId val="79135493"/>
      </c:scatterChart>
      <c:valAx>
        <c:axId val="27288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803248120300752"/>
              <c:y val="0.846313706086096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35493"/>
        <c:crosses val="autoZero"/>
        <c:crossBetween val="midCat"/>
      </c:valAx>
      <c:valAx>
        <c:axId val="7913549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2330827068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8852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3959000640615"/>
          <c:y val="0.0744186046511628"/>
          <c:w val="0.77498398462524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005'!$S$35:$S$45</c:f>
              <c:numCache>
                <c:formatCode>General</c:formatCode>
                <c:ptCount val="11"/>
                <c:pt idx="0">
                  <c:v>236.6</c:v>
                </c:pt>
                <c:pt idx="1">
                  <c:v>147.7</c:v>
                </c:pt>
                <c:pt idx="2">
                  <c:v>68.4</c:v>
                </c:pt>
                <c:pt idx="3">
                  <c:v>81.3</c:v>
                </c:pt>
                <c:pt idx="4">
                  <c:v>81.5</c:v>
                </c:pt>
                <c:pt idx="5">
                  <c:v>102</c:v>
                </c:pt>
                <c:pt idx="6">
                  <c:v>107.4</c:v>
                </c:pt>
                <c:pt idx="7">
                  <c:v>136</c:v>
                </c:pt>
                <c:pt idx="8">
                  <c:v>201.7</c:v>
                </c:pt>
                <c:pt idx="9">
                  <c:v>202.9</c:v>
                </c:pt>
                <c:pt idx="10">
                  <c:v>201.4</c:v>
                </c:pt>
              </c:numCache>
            </c:numRef>
          </c:xVal>
          <c:yVal>
            <c:numRef>
              <c:f>'Station 005'!$I$35:$I$45</c:f>
              <c:numCache>
                <c:formatCode>General</c:formatCode>
                <c:ptCount val="11"/>
                <c:pt idx="0">
                  <c:v>2020</c:v>
                </c:pt>
                <c:pt idx="1">
                  <c:v>1009</c:v>
                </c:pt>
                <c:pt idx="2">
                  <c:v>505</c:v>
                </c:pt>
                <c:pt idx="3">
                  <c:v>102</c:v>
                </c:pt>
                <c:pt idx="4">
                  <c:v>102</c:v>
                </c:pt>
                <c:pt idx="5">
                  <c:v>82</c:v>
                </c:pt>
                <c:pt idx="6">
                  <c:v>61</c:v>
                </c:pt>
                <c:pt idx="7">
                  <c:v>41</c:v>
                </c:pt>
                <c:pt idx="8">
                  <c:v>21</c:v>
                </c:pt>
                <c:pt idx="9">
                  <c:v>11</c:v>
                </c:pt>
                <c:pt idx="10">
                  <c:v>3</c:v>
                </c:pt>
              </c:numCache>
            </c:numRef>
          </c:yVal>
          <c:smooth val="1"/>
        </c:ser>
        <c:axId val="39419230"/>
        <c:axId val="12828112"/>
      </c:scatterChart>
      <c:valAx>
        <c:axId val="394192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338244714926329"/>
              <c:y val="0.862939139040079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28112"/>
        <c:crosses val="autoZero"/>
        <c:crossBetween val="midCat"/>
      </c:valAx>
      <c:valAx>
        <c:axId val="1282811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269058296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192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1578947368"/>
          <c:y val="0.0776843146956952"/>
          <c:w val="0.780270676691729"/>
          <c:h val="0.89163780306778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005'!$G$35:$G$58</c:f>
              <c:numCache>
                <c:formatCode>General</c:formatCode>
                <c:ptCount val="24"/>
                <c:pt idx="0">
                  <c:v>34.94</c:v>
                </c:pt>
                <c:pt idx="1">
                  <c:v>34.612</c:v>
                </c:pt>
                <c:pt idx="2">
                  <c:v>34.684</c:v>
                </c:pt>
                <c:pt idx="3">
                  <c:v>35.623</c:v>
                </c:pt>
                <c:pt idx="4">
                  <c:v>35.623</c:v>
                </c:pt>
                <c:pt idx="5">
                  <c:v>35.707</c:v>
                </c:pt>
                <c:pt idx="6">
                  <c:v>35.758</c:v>
                </c:pt>
                <c:pt idx="7">
                  <c:v>35.752</c:v>
                </c:pt>
                <c:pt idx="8">
                  <c:v>35.533</c:v>
                </c:pt>
                <c:pt idx="9">
                  <c:v>33.595</c:v>
                </c:pt>
                <c:pt idx="10">
                  <c:v>31.86</c:v>
                </c:pt>
              </c:numCache>
            </c:numRef>
          </c:xVal>
          <c:yVal>
            <c:numRef>
              <c:f>'Station 005'!$I$35:$I$45</c:f>
              <c:numCache>
                <c:formatCode>General</c:formatCode>
                <c:ptCount val="11"/>
                <c:pt idx="0">
                  <c:v>2020</c:v>
                </c:pt>
                <c:pt idx="1">
                  <c:v>1009</c:v>
                </c:pt>
                <c:pt idx="2">
                  <c:v>505</c:v>
                </c:pt>
                <c:pt idx="3">
                  <c:v>102</c:v>
                </c:pt>
                <c:pt idx="4">
                  <c:v>102</c:v>
                </c:pt>
                <c:pt idx="5">
                  <c:v>82</c:v>
                </c:pt>
                <c:pt idx="6">
                  <c:v>61</c:v>
                </c:pt>
                <c:pt idx="7">
                  <c:v>41</c:v>
                </c:pt>
                <c:pt idx="8">
                  <c:v>21</c:v>
                </c:pt>
                <c:pt idx="9">
                  <c:v>11</c:v>
                </c:pt>
                <c:pt idx="10">
                  <c:v>3</c:v>
                </c:pt>
              </c:numCache>
            </c:numRef>
          </c:yVal>
          <c:smooth val="1"/>
        </c:ser>
        <c:axId val="77400991"/>
        <c:axId val="96604140"/>
      </c:scatterChart>
      <c:valAx>
        <c:axId val="77400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68240601503759"/>
              <c:y val="0.869470559129144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04140"/>
        <c:crosses val="autoZero"/>
        <c:crossBetween val="midCat"/>
      </c:valAx>
      <c:valAx>
        <c:axId val="9660414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2330827068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009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3959000640615"/>
          <c:y val="0.0744186046511628"/>
          <c:w val="0.77498398462524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006'!$S$35:$S$45</c:f>
              <c:numCache>
                <c:formatCode>General</c:formatCode>
                <c:ptCount val="11"/>
                <c:pt idx="0">
                  <c:v>239.4</c:v>
                </c:pt>
                <c:pt idx="1">
                  <c:v>160.8</c:v>
                </c:pt>
                <c:pt idx="2">
                  <c:v>91.4</c:v>
                </c:pt>
                <c:pt idx="3">
                  <c:v>159.6</c:v>
                </c:pt>
                <c:pt idx="4">
                  <c:v>228</c:v>
                </c:pt>
                <c:pt idx="5">
                  <c:v>228.2</c:v>
                </c:pt>
                <c:pt idx="6">
                  <c:v>226.1</c:v>
                </c:pt>
                <c:pt idx="7">
                  <c:v>210.5</c:v>
                </c:pt>
                <c:pt idx="8">
                  <c:v>202.9</c:v>
                </c:pt>
                <c:pt idx="9">
                  <c:v>202.8</c:v>
                </c:pt>
                <c:pt idx="10">
                  <c:v>203</c:v>
                </c:pt>
              </c:numCache>
            </c:numRef>
          </c:xVal>
          <c:yVal>
            <c:numRef>
              <c:f>'Station 006'!$I$35:$I$45</c:f>
              <c:numCache>
                <c:formatCode>General</c:formatCode>
                <c:ptCount val="11"/>
                <c:pt idx="0">
                  <c:v>2021</c:v>
                </c:pt>
                <c:pt idx="1">
                  <c:v>1009</c:v>
                </c:pt>
                <c:pt idx="2">
                  <c:v>505</c:v>
                </c:pt>
                <c:pt idx="3">
                  <c:v>101.5</c:v>
                </c:pt>
                <c:pt idx="4">
                  <c:v>80.5</c:v>
                </c:pt>
                <c:pt idx="5">
                  <c:v>80.5</c:v>
                </c:pt>
                <c:pt idx="6">
                  <c:v>62</c:v>
                </c:pt>
                <c:pt idx="7">
                  <c:v>41</c:v>
                </c:pt>
                <c:pt idx="8">
                  <c:v>21</c:v>
                </c:pt>
                <c:pt idx="9">
                  <c:v>11</c:v>
                </c:pt>
                <c:pt idx="10">
                  <c:v>2.2</c:v>
                </c:pt>
              </c:numCache>
            </c:numRef>
          </c:yVal>
          <c:smooth val="1"/>
        </c:ser>
        <c:axId val="821778"/>
        <c:axId val="97071196"/>
      </c:scatterChart>
      <c:valAx>
        <c:axId val="821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345531710442024"/>
              <c:y val="0.86956952003958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1196"/>
        <c:crosses val="autoZero"/>
        <c:crossBetween val="midCat"/>
      </c:valAx>
      <c:valAx>
        <c:axId val="9707119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269058296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7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1578947368"/>
          <c:y val="0.0776843146956952"/>
          <c:w val="0.780270676691729"/>
          <c:h val="0.89163780306778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006'!$G$35:$G$58</c:f>
              <c:numCache>
                <c:formatCode>General</c:formatCode>
                <c:ptCount val="24"/>
                <c:pt idx="0">
                  <c:v>34.93</c:v>
                </c:pt>
                <c:pt idx="1">
                  <c:v>34.574</c:v>
                </c:pt>
                <c:pt idx="2">
                  <c:v>34.644</c:v>
                </c:pt>
                <c:pt idx="3">
                  <c:v>36.173</c:v>
                </c:pt>
                <c:pt idx="4">
                  <c:v>36.709</c:v>
                </c:pt>
                <c:pt idx="5">
                  <c:v>36.709</c:v>
                </c:pt>
                <c:pt idx="6">
                  <c:v>36.725</c:v>
                </c:pt>
                <c:pt idx="7">
                  <c:v>36.541</c:v>
                </c:pt>
                <c:pt idx="8">
                  <c:v>36.48</c:v>
                </c:pt>
                <c:pt idx="9">
                  <c:v>36.48</c:v>
                </c:pt>
                <c:pt idx="10">
                  <c:v>36.481</c:v>
                </c:pt>
              </c:numCache>
            </c:numRef>
          </c:xVal>
          <c:yVal>
            <c:numRef>
              <c:f>'Station 006'!$I$35:$I$45</c:f>
              <c:numCache>
                <c:formatCode>General</c:formatCode>
                <c:ptCount val="11"/>
                <c:pt idx="0">
                  <c:v>2021</c:v>
                </c:pt>
                <c:pt idx="1">
                  <c:v>1009</c:v>
                </c:pt>
                <c:pt idx="2">
                  <c:v>505</c:v>
                </c:pt>
                <c:pt idx="3">
                  <c:v>101.5</c:v>
                </c:pt>
                <c:pt idx="4">
                  <c:v>80.5</c:v>
                </c:pt>
                <c:pt idx="5">
                  <c:v>80.5</c:v>
                </c:pt>
                <c:pt idx="6">
                  <c:v>62</c:v>
                </c:pt>
                <c:pt idx="7">
                  <c:v>41</c:v>
                </c:pt>
                <c:pt idx="8">
                  <c:v>21</c:v>
                </c:pt>
                <c:pt idx="9">
                  <c:v>11</c:v>
                </c:pt>
                <c:pt idx="10">
                  <c:v>2.2</c:v>
                </c:pt>
              </c:numCache>
            </c:numRef>
          </c:yVal>
          <c:smooth val="1"/>
        </c:ser>
        <c:axId val="63910600"/>
        <c:axId val="31947778"/>
      </c:scatterChart>
      <c:valAx>
        <c:axId val="63910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803248120300752"/>
              <c:y val="0.859574468085106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47778"/>
        <c:crosses val="autoZero"/>
        <c:crossBetween val="midCat"/>
      </c:valAx>
      <c:valAx>
        <c:axId val="3194777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2330827068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106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3959000640615"/>
          <c:y val="0.0744186046511628"/>
          <c:w val="0.77498398462524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007'!$S$35:$S$45</c:f>
              <c:numCache>
                <c:formatCode>General</c:formatCode>
                <c:ptCount val="11"/>
                <c:pt idx="0">
                  <c:v>243.6</c:v>
                </c:pt>
                <c:pt idx="1">
                  <c:v>159.2</c:v>
                </c:pt>
                <c:pt idx="2">
                  <c:v>89.2</c:v>
                </c:pt>
                <c:pt idx="3">
                  <c:v>138.8</c:v>
                </c:pt>
                <c:pt idx="4">
                  <c:v>168.6</c:v>
                </c:pt>
                <c:pt idx="5">
                  <c:v>210.8</c:v>
                </c:pt>
                <c:pt idx="6">
                  <c:v>211.6</c:v>
                </c:pt>
                <c:pt idx="7">
                  <c:v>199.9</c:v>
                </c:pt>
                <c:pt idx="8">
                  <c:v>199.6</c:v>
                </c:pt>
                <c:pt idx="9">
                  <c:v>199.7</c:v>
                </c:pt>
                <c:pt idx="10">
                  <c:v>199.6</c:v>
                </c:pt>
              </c:numCache>
            </c:numRef>
          </c:xVal>
          <c:yVal>
            <c:numRef>
              <c:f>'Station 007'!$I$35:$I$45</c:f>
              <c:numCache>
                <c:formatCode>General</c:formatCode>
                <c:ptCount val="11"/>
                <c:pt idx="0">
                  <c:v>2021</c:v>
                </c:pt>
                <c:pt idx="1">
                  <c:v>1008</c:v>
                </c:pt>
                <c:pt idx="2">
                  <c:v>502.4</c:v>
                </c:pt>
                <c:pt idx="3">
                  <c:v>100.3</c:v>
                </c:pt>
                <c:pt idx="4">
                  <c:v>80.8</c:v>
                </c:pt>
                <c:pt idx="5">
                  <c:v>61.5</c:v>
                </c:pt>
                <c:pt idx="6">
                  <c:v>61.5</c:v>
                </c:pt>
                <c:pt idx="7">
                  <c:v>40.6</c:v>
                </c:pt>
                <c:pt idx="8">
                  <c:v>20.9</c:v>
                </c:pt>
                <c:pt idx="9">
                  <c:v>10.1</c:v>
                </c:pt>
                <c:pt idx="10">
                  <c:v>2.3</c:v>
                </c:pt>
              </c:numCache>
            </c:numRef>
          </c:yVal>
          <c:smooth val="1"/>
        </c:ser>
        <c:axId val="73297205"/>
        <c:axId val="37109320"/>
      </c:scatterChart>
      <c:valAx>
        <c:axId val="732972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330957719410634"/>
              <c:y val="0.86956952003958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09320"/>
        <c:crosses val="autoZero"/>
        <c:crossBetween val="midCat"/>
      </c:valAx>
      <c:valAx>
        <c:axId val="3710932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269058296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972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1578947368"/>
          <c:y val="0.0776843146956952"/>
          <c:w val="0.780270676691729"/>
          <c:h val="0.89163780306778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007'!$G$35:$G$58</c:f>
              <c:numCache>
                <c:formatCode>General</c:formatCode>
                <c:ptCount val="24"/>
                <c:pt idx="0">
                  <c:v>34.942</c:v>
                </c:pt>
                <c:pt idx="1">
                  <c:v>34.59</c:v>
                </c:pt>
                <c:pt idx="2">
                  <c:v>34.61</c:v>
                </c:pt>
                <c:pt idx="3">
                  <c:v>35.924</c:v>
                </c:pt>
                <c:pt idx="4">
                  <c:v>36.052</c:v>
                </c:pt>
                <c:pt idx="5">
                  <c:v>36.129</c:v>
                </c:pt>
                <c:pt idx="6">
                  <c:v>36.135</c:v>
                </c:pt>
                <c:pt idx="7">
                  <c:v>36.244</c:v>
                </c:pt>
                <c:pt idx="8">
                  <c:v>36.243</c:v>
                </c:pt>
                <c:pt idx="9">
                  <c:v>36.244</c:v>
                </c:pt>
                <c:pt idx="10">
                  <c:v>36.244</c:v>
                </c:pt>
              </c:numCache>
            </c:numRef>
          </c:xVal>
          <c:yVal>
            <c:numRef>
              <c:f>'Station 007'!$I$35:$I$45</c:f>
              <c:numCache>
                <c:formatCode>General</c:formatCode>
                <c:ptCount val="11"/>
                <c:pt idx="0">
                  <c:v>2021</c:v>
                </c:pt>
                <c:pt idx="1">
                  <c:v>1008</c:v>
                </c:pt>
                <c:pt idx="2">
                  <c:v>502.4</c:v>
                </c:pt>
                <c:pt idx="3">
                  <c:v>100.3</c:v>
                </c:pt>
                <c:pt idx="4">
                  <c:v>80.8</c:v>
                </c:pt>
                <c:pt idx="5">
                  <c:v>61.5</c:v>
                </c:pt>
                <c:pt idx="6">
                  <c:v>61.5</c:v>
                </c:pt>
                <c:pt idx="7">
                  <c:v>40.6</c:v>
                </c:pt>
                <c:pt idx="8">
                  <c:v>20.9</c:v>
                </c:pt>
                <c:pt idx="9">
                  <c:v>10.1</c:v>
                </c:pt>
                <c:pt idx="10">
                  <c:v>2.3</c:v>
                </c:pt>
              </c:numCache>
            </c:numRef>
          </c:yVal>
          <c:smooth val="1"/>
        </c:ser>
        <c:axId val="41284545"/>
        <c:axId val="1869601"/>
      </c:scatterChart>
      <c:valAx>
        <c:axId val="412845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81203007518797"/>
              <c:y val="0.0737258782780802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9601"/>
        <c:crosses val="autoZero"/>
        <c:crossBetween val="midCat"/>
      </c:valAx>
      <c:valAx>
        <c:axId val="186960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2330827068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8454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3959000640615"/>
          <c:y val="0.0744186046511628"/>
          <c:w val="0.77498398462524"/>
          <c:h val="0.8949035131123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008'!$S$35:$S$45</c:f>
              <c:numCache>
                <c:formatCode>General</c:formatCode>
                <c:ptCount val="11"/>
                <c:pt idx="0">
                  <c:v>252.9</c:v>
                </c:pt>
                <c:pt idx="1">
                  <c:v>157.6</c:v>
                </c:pt>
                <c:pt idx="2">
                  <c:v>126.2</c:v>
                </c:pt>
                <c:pt idx="3">
                  <c:v>166.9</c:v>
                </c:pt>
                <c:pt idx="4">
                  <c:v>184.1</c:v>
                </c:pt>
                <c:pt idx="5">
                  <c:v>204.6</c:v>
                </c:pt>
                <c:pt idx="6">
                  <c:v>206.6</c:v>
                </c:pt>
                <c:pt idx="7">
                  <c:v>206.4</c:v>
                </c:pt>
                <c:pt idx="8">
                  <c:v>205.2</c:v>
                </c:pt>
                <c:pt idx="9">
                  <c:v>203.4</c:v>
                </c:pt>
                <c:pt idx="10">
                  <c:v>206.3</c:v>
                </c:pt>
              </c:numCache>
            </c:numRef>
          </c:xVal>
          <c:yVal>
            <c:numRef>
              <c:f>'Station 008'!$I$35:$I$45</c:f>
              <c:numCache>
                <c:formatCode>General</c:formatCode>
                <c:ptCount val="11"/>
                <c:pt idx="0">
                  <c:v>2020</c:v>
                </c:pt>
                <c:pt idx="1">
                  <c:v>1009</c:v>
                </c:pt>
                <c:pt idx="2">
                  <c:v>504.1</c:v>
                </c:pt>
                <c:pt idx="3">
                  <c:v>100.5</c:v>
                </c:pt>
                <c:pt idx="4">
                  <c:v>81.3</c:v>
                </c:pt>
                <c:pt idx="5">
                  <c:v>61.5</c:v>
                </c:pt>
                <c:pt idx="6">
                  <c:v>41.7</c:v>
                </c:pt>
                <c:pt idx="7">
                  <c:v>41.7</c:v>
                </c:pt>
                <c:pt idx="8">
                  <c:v>21.4</c:v>
                </c:pt>
                <c:pt idx="9">
                  <c:v>11.2</c:v>
                </c:pt>
                <c:pt idx="10">
                  <c:v>2.5</c:v>
                </c:pt>
              </c:numCache>
            </c:numRef>
          </c:yVal>
          <c:smooth val="1"/>
        </c:ser>
        <c:axId val="79425749"/>
        <c:axId val="78870941"/>
      </c:scatterChart>
      <c:valAx>
        <c:axId val="794257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14718129404228"/>
              <c:y val="0.0737258782780802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70941"/>
        <c:crosses val="autoZero"/>
        <c:crossBetween val="midCat"/>
      </c:valAx>
      <c:valAx>
        <c:axId val="7887094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269058296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2574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1578947368"/>
          <c:y val="0.0776843146956952"/>
          <c:w val="0.780270676691729"/>
          <c:h val="0.89163780306778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'Station 008'!$G$35:$G$58</c:f>
              <c:numCache>
                <c:formatCode>General</c:formatCode>
                <c:ptCount val="24"/>
                <c:pt idx="0">
                  <c:v>34.964</c:v>
                </c:pt>
                <c:pt idx="1">
                  <c:v>34.61</c:v>
                </c:pt>
                <c:pt idx="2">
                  <c:v>34.644</c:v>
                </c:pt>
                <c:pt idx="3">
                  <c:v>35.995</c:v>
                </c:pt>
                <c:pt idx="4">
                  <c:v>36.388</c:v>
                </c:pt>
                <c:pt idx="5">
                  <c:v>36.466</c:v>
                </c:pt>
                <c:pt idx="6">
                  <c:v>36.138</c:v>
                </c:pt>
                <c:pt idx="7">
                  <c:v>36.132</c:v>
                </c:pt>
                <c:pt idx="8">
                  <c:v>35.87</c:v>
                </c:pt>
                <c:pt idx="9">
                  <c:v>35.379</c:v>
                </c:pt>
                <c:pt idx="10">
                  <c:v>35.125</c:v>
                </c:pt>
              </c:numCache>
            </c:numRef>
          </c:xVal>
          <c:yVal>
            <c:numRef>
              <c:f>'Station 008'!$I$35:$I$45</c:f>
              <c:numCache>
                <c:formatCode>General</c:formatCode>
                <c:ptCount val="11"/>
                <c:pt idx="0">
                  <c:v>2020</c:v>
                </c:pt>
                <c:pt idx="1">
                  <c:v>1009</c:v>
                </c:pt>
                <c:pt idx="2">
                  <c:v>504.1</c:v>
                </c:pt>
                <c:pt idx="3">
                  <c:v>100.5</c:v>
                </c:pt>
                <c:pt idx="4">
                  <c:v>81.3</c:v>
                </c:pt>
                <c:pt idx="5">
                  <c:v>61.5</c:v>
                </c:pt>
                <c:pt idx="6">
                  <c:v>41.7</c:v>
                </c:pt>
                <c:pt idx="7">
                  <c:v>41.7</c:v>
                </c:pt>
                <c:pt idx="8">
                  <c:v>21.4</c:v>
                </c:pt>
                <c:pt idx="9">
                  <c:v>11.2</c:v>
                </c:pt>
                <c:pt idx="10">
                  <c:v>2.5</c:v>
                </c:pt>
              </c:numCache>
            </c:numRef>
          </c:yVal>
          <c:smooth val="1"/>
        </c:ser>
        <c:axId val="86845852"/>
        <c:axId val="19410963"/>
      </c:scatterChart>
      <c:valAx>
        <c:axId val="868458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81203007518797"/>
              <c:y val="0.0737258782780802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10963"/>
        <c:crosses val="autoZero"/>
        <c:crossBetween val="midCat"/>
      </c:valAx>
      <c:valAx>
        <c:axId val="1941096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2330827068"/>
              <c:y val="0.789411182582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4585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17640</xdr:rowOff>
    </xdr:to>
    <xdr:graphicFrame>
      <xdr:nvGraphicFramePr>
        <xdr:cNvPr id="0" name="Graphique 1"/>
        <xdr:cNvGraphicFramePr/>
      </xdr:nvGraphicFramePr>
      <xdr:xfrm>
        <a:off x="158760" y="10113480"/>
        <a:ext cx="449532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917640</xdr:colOff>
      <xdr:row>83</xdr:row>
      <xdr:rowOff>17640</xdr:rowOff>
    </xdr:to>
    <xdr:graphicFrame>
      <xdr:nvGraphicFramePr>
        <xdr:cNvPr id="1" name="Graphique 2"/>
        <xdr:cNvGraphicFramePr/>
      </xdr:nvGraphicFramePr>
      <xdr:xfrm>
        <a:off x="4664520" y="10113480"/>
        <a:ext cx="598464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63</xdr:row>
      <xdr:rowOff>0</xdr:rowOff>
    </xdr:from>
    <xdr:to>
      <xdr:col>25</xdr:col>
      <xdr:colOff>56160</xdr:colOff>
      <xdr:row>83</xdr:row>
      <xdr:rowOff>17640</xdr:rowOff>
    </xdr:to>
    <xdr:graphicFrame>
      <xdr:nvGraphicFramePr>
        <xdr:cNvPr id="2" name="Graphique 3"/>
        <xdr:cNvGraphicFramePr/>
      </xdr:nvGraphicFramePr>
      <xdr:xfrm>
        <a:off x="11568960" y="10113480"/>
        <a:ext cx="465048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17640</xdr:rowOff>
    </xdr:to>
    <xdr:graphicFrame>
      <xdr:nvGraphicFramePr>
        <xdr:cNvPr id="3" name="Graphique 1"/>
        <xdr:cNvGraphicFramePr/>
      </xdr:nvGraphicFramePr>
      <xdr:xfrm>
        <a:off x="158760" y="10113480"/>
        <a:ext cx="449532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917640</xdr:colOff>
      <xdr:row>83</xdr:row>
      <xdr:rowOff>17640</xdr:rowOff>
    </xdr:to>
    <xdr:graphicFrame>
      <xdr:nvGraphicFramePr>
        <xdr:cNvPr id="4" name="Graphique 2"/>
        <xdr:cNvGraphicFramePr/>
      </xdr:nvGraphicFramePr>
      <xdr:xfrm>
        <a:off x="4664520" y="10113480"/>
        <a:ext cx="598464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17640</xdr:rowOff>
    </xdr:to>
    <xdr:graphicFrame>
      <xdr:nvGraphicFramePr>
        <xdr:cNvPr id="5" name="Graphique 1"/>
        <xdr:cNvGraphicFramePr/>
      </xdr:nvGraphicFramePr>
      <xdr:xfrm>
        <a:off x="158760" y="10113480"/>
        <a:ext cx="449532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917640</xdr:colOff>
      <xdr:row>83</xdr:row>
      <xdr:rowOff>17640</xdr:rowOff>
    </xdr:to>
    <xdr:graphicFrame>
      <xdr:nvGraphicFramePr>
        <xdr:cNvPr id="6" name="Graphique 2"/>
        <xdr:cNvGraphicFramePr/>
      </xdr:nvGraphicFramePr>
      <xdr:xfrm>
        <a:off x="4664520" y="10113480"/>
        <a:ext cx="598464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17640</xdr:rowOff>
    </xdr:to>
    <xdr:graphicFrame>
      <xdr:nvGraphicFramePr>
        <xdr:cNvPr id="7" name="Graphique 1"/>
        <xdr:cNvGraphicFramePr/>
      </xdr:nvGraphicFramePr>
      <xdr:xfrm>
        <a:off x="158760" y="10113480"/>
        <a:ext cx="449532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917640</xdr:colOff>
      <xdr:row>83</xdr:row>
      <xdr:rowOff>17640</xdr:rowOff>
    </xdr:to>
    <xdr:graphicFrame>
      <xdr:nvGraphicFramePr>
        <xdr:cNvPr id="8" name="Graphique 2"/>
        <xdr:cNvGraphicFramePr/>
      </xdr:nvGraphicFramePr>
      <xdr:xfrm>
        <a:off x="4664520" y="10113480"/>
        <a:ext cx="598464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17640</xdr:rowOff>
    </xdr:to>
    <xdr:graphicFrame>
      <xdr:nvGraphicFramePr>
        <xdr:cNvPr id="9" name="Graphique 1"/>
        <xdr:cNvGraphicFramePr/>
      </xdr:nvGraphicFramePr>
      <xdr:xfrm>
        <a:off x="158760" y="10113480"/>
        <a:ext cx="449532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917640</xdr:colOff>
      <xdr:row>83</xdr:row>
      <xdr:rowOff>17640</xdr:rowOff>
    </xdr:to>
    <xdr:graphicFrame>
      <xdr:nvGraphicFramePr>
        <xdr:cNvPr id="10" name="Graphique 2"/>
        <xdr:cNvGraphicFramePr/>
      </xdr:nvGraphicFramePr>
      <xdr:xfrm>
        <a:off x="4664520" y="10113480"/>
        <a:ext cx="598464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17640</xdr:rowOff>
    </xdr:to>
    <xdr:graphicFrame>
      <xdr:nvGraphicFramePr>
        <xdr:cNvPr id="11" name="Graphique 1"/>
        <xdr:cNvGraphicFramePr/>
      </xdr:nvGraphicFramePr>
      <xdr:xfrm>
        <a:off x="158760" y="10113480"/>
        <a:ext cx="449532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917640</xdr:colOff>
      <xdr:row>83</xdr:row>
      <xdr:rowOff>17640</xdr:rowOff>
    </xdr:to>
    <xdr:graphicFrame>
      <xdr:nvGraphicFramePr>
        <xdr:cNvPr id="12" name="Graphique 2"/>
        <xdr:cNvGraphicFramePr/>
      </xdr:nvGraphicFramePr>
      <xdr:xfrm>
        <a:off x="4664520" y="10113480"/>
        <a:ext cx="598464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17640</xdr:rowOff>
    </xdr:to>
    <xdr:graphicFrame>
      <xdr:nvGraphicFramePr>
        <xdr:cNvPr id="13" name="Graphique 1"/>
        <xdr:cNvGraphicFramePr/>
      </xdr:nvGraphicFramePr>
      <xdr:xfrm>
        <a:off x="158760" y="10113480"/>
        <a:ext cx="449532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917640</xdr:colOff>
      <xdr:row>83</xdr:row>
      <xdr:rowOff>17640</xdr:rowOff>
    </xdr:to>
    <xdr:graphicFrame>
      <xdr:nvGraphicFramePr>
        <xdr:cNvPr id="14" name="Graphique 2"/>
        <xdr:cNvGraphicFramePr/>
      </xdr:nvGraphicFramePr>
      <xdr:xfrm>
        <a:off x="4664520" y="10113480"/>
        <a:ext cx="598464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17640</xdr:rowOff>
    </xdr:to>
    <xdr:graphicFrame>
      <xdr:nvGraphicFramePr>
        <xdr:cNvPr id="15" name="Graphique 1"/>
        <xdr:cNvGraphicFramePr/>
      </xdr:nvGraphicFramePr>
      <xdr:xfrm>
        <a:off x="158760" y="10113480"/>
        <a:ext cx="449532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917640</xdr:colOff>
      <xdr:row>83</xdr:row>
      <xdr:rowOff>17640</xdr:rowOff>
    </xdr:to>
    <xdr:graphicFrame>
      <xdr:nvGraphicFramePr>
        <xdr:cNvPr id="16" name="Graphique 2"/>
        <xdr:cNvGraphicFramePr/>
      </xdr:nvGraphicFramePr>
      <xdr:xfrm>
        <a:off x="4664520" y="10113480"/>
        <a:ext cx="5984640" cy="36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0" activeCellId="0" sqref="Q10:R10"/>
    </sheetView>
  </sheetViews>
  <sheetFormatPr defaultColWidth="10.5429687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11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40625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6°0</v>
      </c>
      <c r="P9" s="29" t="s">
        <v>13</v>
      </c>
      <c r="Q9" s="0" t="n">
        <v>6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15</v>
      </c>
      <c r="J10" s="29" t="n">
        <v>10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3" t="str">
        <f aca="false">IF(ISBLANK(I10),"",IF(ISBLANK(J10),"",IF(P10=N10,L10&amp;N12,N12)))</f>
        <v>-15°10</v>
      </c>
      <c r="P10" s="29" t="s">
        <v>17</v>
      </c>
      <c r="Q10" s="0" t="n">
        <v>-15.17</v>
      </c>
      <c r="S10" s="34"/>
      <c r="T10" s="34"/>
    </row>
    <row r="11" customFormat="false" ht="13.8" hidden="false" customHeight="false" outlineLevel="0" collapsed="false">
      <c r="G11" s="35" t="s">
        <v>18</v>
      </c>
      <c r="H11" s="35"/>
      <c r="I11" s="36" t="s">
        <v>19</v>
      </c>
      <c r="J11" s="37" t="n">
        <v>40622</v>
      </c>
      <c r="K11" s="37"/>
      <c r="L11" s="37"/>
      <c r="M11" s="37"/>
      <c r="N11" s="38" t="str">
        <f aca="false">I9&amp;"°"&amp;J9</f>
        <v>6°0</v>
      </c>
      <c r="O11" s="39" t="n">
        <f aca="false">IF(P9=M10,-1,1)</f>
        <v>1</v>
      </c>
      <c r="P11" s="0" t="s">
        <v>20</v>
      </c>
      <c r="T11" s="40"/>
      <c r="U11" s="40"/>
      <c r="V11" s="5"/>
      <c r="W11" s="5"/>
    </row>
    <row r="12" customFormat="false" ht="13.8" hidden="false" customHeight="false" outlineLevel="0" collapsed="false">
      <c r="G12" s="35"/>
      <c r="H12" s="35"/>
      <c r="I12" s="41" t="s">
        <v>21</v>
      </c>
      <c r="J12" s="42" t="n">
        <v>0.541666666666667</v>
      </c>
      <c r="K12" s="42"/>
      <c r="L12" s="42"/>
      <c r="M12" s="42"/>
      <c r="N12" s="43" t="str">
        <f aca="false">I10&amp;"°"&amp;J10</f>
        <v>15°10</v>
      </c>
      <c r="O12" s="39" t="n">
        <f aca="false">IF(P10=N10,-1,1)</f>
        <v>-1</v>
      </c>
      <c r="T12" s="40"/>
      <c r="U12" s="40"/>
      <c r="V12" s="5"/>
      <c r="W12" s="5"/>
    </row>
    <row r="13" customFormat="false" ht="15" hidden="false" customHeight="false" outlineLevel="0" collapsed="false">
      <c r="C13" s="44" t="s">
        <v>22</v>
      </c>
      <c r="D13" s="44"/>
      <c r="E13" s="5"/>
      <c r="K13" s="45"/>
      <c r="L13" s="45"/>
      <c r="M13" s="45"/>
      <c r="N13" s="45"/>
      <c r="O13" s="45"/>
      <c r="P13" s="45"/>
      <c r="Q13" s="46"/>
    </row>
    <row r="14" customFormat="false" ht="15" hidden="false" customHeight="true" outlineLevel="0" collapsed="false">
      <c r="C14" s="47" t="s">
        <v>23</v>
      </c>
      <c r="D14" s="48"/>
      <c r="E14" s="48"/>
      <c r="F14" s="48"/>
      <c r="G14" s="48"/>
      <c r="H14" s="49"/>
      <c r="I14" s="49"/>
      <c r="J14" s="49"/>
      <c r="K14" s="48"/>
      <c r="L14" s="48"/>
      <c r="M14" s="48"/>
      <c r="N14" s="49"/>
      <c r="O14" s="50"/>
      <c r="P14" s="49"/>
      <c r="Q14" s="50" t="s">
        <v>24</v>
      </c>
      <c r="R14" s="51" t="n">
        <v>24.1</v>
      </c>
      <c r="S14" s="52" t="s">
        <v>25</v>
      </c>
    </row>
    <row r="15" customFormat="false" ht="14.25" hidden="false" customHeight="true" outlineLevel="0" collapsed="false">
      <c r="C15" s="53" t="s">
        <v>26</v>
      </c>
      <c r="D15" s="54"/>
      <c r="E15" s="54"/>
      <c r="F15" s="54"/>
      <c r="G15" s="54"/>
      <c r="H15" s="55"/>
      <c r="I15" s="55"/>
      <c r="J15" s="55"/>
      <c r="K15" s="54"/>
      <c r="L15" s="54"/>
      <c r="M15" s="54"/>
      <c r="N15" s="55"/>
      <c r="O15" s="56"/>
      <c r="P15" s="55"/>
      <c r="Q15" s="56" t="s">
        <v>27</v>
      </c>
      <c r="R15" s="57" t="n">
        <v>24.3</v>
      </c>
      <c r="S15" s="58" t="s">
        <v>25</v>
      </c>
    </row>
    <row r="16" customFormat="false" ht="15" hidden="false" customHeight="false" outlineLevel="0" collapsed="false">
      <c r="C16" s="53" t="s">
        <v>28</v>
      </c>
      <c r="D16" s="54"/>
      <c r="E16" s="54"/>
      <c r="F16" s="54"/>
      <c r="G16" s="54"/>
      <c r="H16" s="55"/>
      <c r="I16" s="55"/>
      <c r="J16" s="55"/>
      <c r="K16" s="54"/>
      <c r="L16" s="54"/>
      <c r="M16" s="54"/>
      <c r="N16" s="55"/>
      <c r="O16" s="56"/>
      <c r="P16" s="55"/>
      <c r="Q16" s="56" t="s">
        <v>29</v>
      </c>
      <c r="R16" s="59" t="n">
        <v>5.009</v>
      </c>
      <c r="S16" s="58" t="s">
        <v>30</v>
      </c>
    </row>
    <row r="17" customFormat="false" ht="15" hidden="false" customHeight="false" outlineLevel="0" collapsed="false">
      <c r="C17" s="60" t="s">
        <v>31</v>
      </c>
      <c r="D17" s="61"/>
      <c r="E17" s="61"/>
      <c r="F17" s="61"/>
      <c r="G17" s="61"/>
      <c r="H17" s="62"/>
      <c r="I17" s="62"/>
      <c r="J17" s="62"/>
      <c r="K17" s="61"/>
      <c r="L17" s="61"/>
      <c r="M17" s="61"/>
      <c r="N17" s="62"/>
      <c r="O17" s="63"/>
      <c r="P17" s="62"/>
      <c r="Q17" s="63" t="s">
        <v>32</v>
      </c>
      <c r="R17" s="64" t="n">
        <v>0.006</v>
      </c>
      <c r="S17" s="65" t="s">
        <v>30</v>
      </c>
    </row>
    <row r="18" customFormat="false" ht="14.25" hidden="true" customHeight="false" outlineLevel="0" collapsed="false">
      <c r="C18" s="66" t="s">
        <v>33</v>
      </c>
      <c r="D18" s="67"/>
      <c r="E18" s="67"/>
      <c r="F18" s="67"/>
      <c r="G18" s="67"/>
      <c r="H18" s="67"/>
      <c r="I18" s="67"/>
      <c r="J18" s="67"/>
      <c r="K18" s="68"/>
      <c r="L18" s="68"/>
      <c r="M18" s="68"/>
      <c r="N18" s="68"/>
      <c r="O18" s="69" t="s">
        <v>34</v>
      </c>
      <c r="P18" s="70" t="n">
        <f aca="false">(0.999842594+(0.00006793952*$R$14)-(0.00000909529*$R$14^2)+(0.0000001001685*$R$14^3)-(0.000000001120083*$R$14^4)+(0.000000000006536332*$R$14^5))</f>
        <v>0.997274702369966</v>
      </c>
      <c r="Q18" s="68"/>
      <c r="R18" s="6"/>
    </row>
    <row r="19" customFormat="false" ht="14.25" hidden="true" customHeight="false" outlineLevel="0" collapsed="false">
      <c r="C19" s="66" t="s">
        <v>35</v>
      </c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9" t="s">
        <v>36</v>
      </c>
      <c r="P19" s="70" t="n">
        <f aca="false">$P$24*($P$18/'Titre d''iodate'!E19)</f>
        <v>0.0199776368033</v>
      </c>
      <c r="Q19" s="68" t="s">
        <v>13</v>
      </c>
      <c r="R19" s="6"/>
    </row>
    <row r="20" customFormat="false" ht="14.25" hidden="true" customHeight="false" outlineLevel="0" collapsed="false">
      <c r="C20" s="66" t="s">
        <v>37</v>
      </c>
      <c r="D20" s="67"/>
      <c r="E20" s="67"/>
      <c r="F20" s="67"/>
      <c r="G20" s="67"/>
      <c r="H20" s="67"/>
      <c r="I20" s="67"/>
      <c r="J20" s="67"/>
      <c r="K20" s="68"/>
      <c r="L20" s="68"/>
      <c r="M20" s="68"/>
      <c r="N20" s="68"/>
      <c r="O20" s="69" t="s">
        <v>38</v>
      </c>
      <c r="P20" s="70" t="n">
        <f aca="false">5+'Correction de volume'!G8</f>
        <v>5.00308998756</v>
      </c>
      <c r="Q20" s="68" t="s">
        <v>30</v>
      </c>
      <c r="R20" s="6"/>
    </row>
    <row r="21" customFormat="false" ht="14.25" hidden="true" customHeight="false" outlineLevel="0" collapsed="false">
      <c r="C21" s="66" t="s">
        <v>39</v>
      </c>
      <c r="D21" s="67"/>
      <c r="E21" s="67"/>
      <c r="F21" s="67"/>
      <c r="G21" s="67"/>
      <c r="H21" s="67"/>
      <c r="I21" s="67"/>
      <c r="J21" s="67"/>
      <c r="K21" s="68"/>
      <c r="L21" s="68"/>
      <c r="M21" s="68"/>
      <c r="N21" s="68"/>
      <c r="O21" s="69" t="s">
        <v>40</v>
      </c>
      <c r="P21" s="70" t="n">
        <f aca="false">P20*(1+0.00001*(R14-20))</f>
        <v>5.00329511424949</v>
      </c>
      <c r="Q21" s="68" t="s">
        <v>30</v>
      </c>
      <c r="R21" s="6"/>
    </row>
    <row r="22" customFormat="false" ht="14.25" hidden="true" customHeight="false" outlineLevel="0" collapsed="false">
      <c r="C22" s="66" t="s">
        <v>41</v>
      </c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9" t="s">
        <v>42</v>
      </c>
      <c r="P22" s="71" t="n">
        <f aca="false">$R$16*(1+0.00001*(20-$R$14))</f>
        <v>5.008794631</v>
      </c>
      <c r="Q22" s="68" t="s">
        <v>30</v>
      </c>
      <c r="R22" s="6"/>
    </row>
    <row r="23" customFormat="false" ht="14.25" hidden="true" customHeight="false" outlineLevel="0" collapsed="false">
      <c r="C23" s="66" t="s">
        <v>43</v>
      </c>
      <c r="D23" s="67"/>
      <c r="E23" s="67"/>
      <c r="F23" s="67"/>
      <c r="G23" s="67"/>
      <c r="H23" s="67"/>
      <c r="I23" s="67"/>
      <c r="J23" s="67"/>
      <c r="K23" s="68"/>
      <c r="L23" s="68"/>
      <c r="M23" s="68"/>
      <c r="N23" s="68"/>
      <c r="O23" s="69" t="s">
        <v>44</v>
      </c>
      <c r="P23" s="71" t="n">
        <f aca="false">$R$17*(1+0.00001*(20-$R$14))</f>
        <v>0.005999754</v>
      </c>
      <c r="Q23" s="68" t="s">
        <v>30</v>
      </c>
      <c r="R23" s="6"/>
    </row>
    <row r="24" customFormat="false" ht="14.25" hidden="true" customHeight="false" outlineLevel="0" collapsed="false">
      <c r="C24" s="66" t="s">
        <v>45</v>
      </c>
      <c r="D24" s="67"/>
      <c r="E24" s="67"/>
      <c r="F24" s="67"/>
      <c r="G24" s="67"/>
      <c r="H24" s="67"/>
      <c r="I24" s="67"/>
      <c r="J24" s="67"/>
      <c r="K24" s="68"/>
      <c r="L24" s="68"/>
      <c r="M24" s="68"/>
      <c r="N24" s="68"/>
      <c r="O24" s="69" t="s">
        <v>46</v>
      </c>
      <c r="P24" s="55" t="n">
        <f aca="false">MAX('Titre d''iodate'!F7:F10)</f>
        <v>0.0199962991701183</v>
      </c>
      <c r="Q24" s="68" t="s">
        <v>13</v>
      </c>
      <c r="R24" s="6"/>
    </row>
    <row r="25" customFormat="false" ht="14.25" hidden="true" customHeight="false" outlineLevel="0" collapsed="false">
      <c r="C25" s="66" t="s">
        <v>47</v>
      </c>
      <c r="D25" s="67"/>
      <c r="E25" s="67"/>
      <c r="F25" s="67"/>
      <c r="G25" s="67"/>
      <c r="H25" s="67"/>
      <c r="I25" s="67"/>
      <c r="J25" s="67"/>
      <c r="K25" s="68"/>
      <c r="L25" s="68"/>
      <c r="M25" s="68"/>
      <c r="N25" s="68"/>
      <c r="O25" s="69" t="s">
        <v>48</v>
      </c>
      <c r="P25" s="55" t="n">
        <f aca="false">IF(ISBLANK(R14),"",IF(ISBLANK(P21),"",IF(ISBLANK(R17),"",(($P$24*$P$18)/($P$22-$P$23)))))</f>
        <v>0.0039861325106615</v>
      </c>
      <c r="Q25" s="68" t="s">
        <v>13</v>
      </c>
      <c r="R25" s="6"/>
    </row>
    <row r="26" customFormat="false" ht="14.25" hidden="true" customHeight="false" outlineLevel="0" collapsed="false">
      <c r="C26" s="72" t="s">
        <v>49</v>
      </c>
      <c r="D26" s="73"/>
      <c r="E26" s="73"/>
      <c r="F26" s="73"/>
      <c r="G26" s="73"/>
      <c r="H26" s="73"/>
      <c r="I26" s="73"/>
      <c r="J26" s="73"/>
      <c r="K26" s="68"/>
      <c r="L26" s="68"/>
      <c r="M26" s="68"/>
      <c r="N26" s="68"/>
      <c r="O26" s="69" t="s">
        <v>50</v>
      </c>
      <c r="P26" s="55" t="n">
        <f aca="false">2+('Correction de volume'!G10+'Correction de volume'!G9)</f>
        <v>2.0163939508</v>
      </c>
      <c r="Q26" s="68" t="s">
        <v>30</v>
      </c>
      <c r="R26" s="6"/>
    </row>
    <row r="27" customFormat="false" ht="15" hidden="true" customHeight="false" outlineLevel="0" collapsed="false">
      <c r="C27" s="74"/>
      <c r="D27" s="75"/>
      <c r="E27" s="75"/>
      <c r="F27" s="75"/>
      <c r="G27" s="75"/>
      <c r="H27" s="75"/>
      <c r="I27" s="75"/>
      <c r="J27" s="75"/>
      <c r="K27" s="76"/>
      <c r="L27" s="76"/>
      <c r="M27" s="76"/>
      <c r="N27" s="76"/>
      <c r="O27" s="77" t="s">
        <v>51</v>
      </c>
      <c r="P27" s="62" t="n">
        <v>0.0017</v>
      </c>
      <c r="Q27" s="76"/>
      <c r="R27" s="78"/>
    </row>
    <row r="29" customFormat="false" ht="15" hidden="false" customHeight="false" outlineLevel="0" collapsed="false">
      <c r="E29" s="18" t="s">
        <v>52</v>
      </c>
      <c r="F29" s="18"/>
      <c r="G29" s="18"/>
      <c r="H29" s="18"/>
      <c r="I29" s="79" t="s">
        <v>53</v>
      </c>
      <c r="K29" s="80"/>
      <c r="L29" s="80"/>
      <c r="M29" s="80"/>
      <c r="N29" s="81"/>
      <c r="O29" s="80" t="s">
        <v>54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2"/>
      <c r="K30" s="17"/>
      <c r="L30" s="17"/>
      <c r="M30" s="17"/>
      <c r="N30" s="81"/>
      <c r="O30" s="81" t="s">
        <v>53</v>
      </c>
      <c r="P30" s="81"/>
    </row>
    <row r="31" customFormat="false" ht="15.75" hidden="false" customHeight="true" outlineLevel="0" collapsed="false">
      <c r="C31" s="83" t="s">
        <v>55</v>
      </c>
      <c r="D31" s="84" t="s">
        <v>56</v>
      </c>
      <c r="E31" s="84" t="s">
        <v>57</v>
      </c>
      <c r="F31" s="84" t="s">
        <v>58</v>
      </c>
      <c r="G31" s="84" t="s">
        <v>59</v>
      </c>
      <c r="H31" s="84" t="s">
        <v>60</v>
      </c>
      <c r="I31" s="84" t="s">
        <v>61</v>
      </c>
      <c r="J31" s="84" t="s">
        <v>62</v>
      </c>
      <c r="K31" s="84" t="s">
        <v>63</v>
      </c>
      <c r="L31" s="84" t="s">
        <v>64</v>
      </c>
      <c r="M31" s="84" t="s">
        <v>65</v>
      </c>
      <c r="N31" s="84" t="s">
        <v>66</v>
      </c>
      <c r="O31" s="84" t="s">
        <v>67</v>
      </c>
      <c r="P31" s="85" t="s">
        <v>68</v>
      </c>
      <c r="Q31" s="85"/>
      <c r="R31" s="85"/>
      <c r="S31" s="85"/>
      <c r="T31" s="86" t="s">
        <v>69</v>
      </c>
      <c r="U31" s="86"/>
      <c r="V31" s="86" t="s">
        <v>70</v>
      </c>
      <c r="W31" s="86"/>
      <c r="X31" s="86" t="s">
        <v>71</v>
      </c>
      <c r="Y31" s="86"/>
      <c r="Z31" s="86" t="s">
        <v>72</v>
      </c>
      <c r="AA31" s="86"/>
      <c r="AB31" s="87" t="s">
        <v>73</v>
      </c>
      <c r="AC31" s="87"/>
      <c r="AD31" s="88" t="s">
        <v>74</v>
      </c>
      <c r="AE31" s="88" t="s">
        <v>75</v>
      </c>
      <c r="AF31" s="88" t="s">
        <v>76</v>
      </c>
      <c r="AG31" s="89" t="s">
        <v>77</v>
      </c>
      <c r="AH31" s="88" t="s">
        <v>78</v>
      </c>
      <c r="AI31" s="88" t="s">
        <v>79</v>
      </c>
      <c r="AJ31" s="88" t="s">
        <v>80</v>
      </c>
      <c r="AK31" s="88" t="s">
        <v>81</v>
      </c>
      <c r="AL31" s="89" t="s">
        <v>82</v>
      </c>
      <c r="AM31" s="88" t="s">
        <v>83</v>
      </c>
      <c r="AN31" s="88" t="s">
        <v>84</v>
      </c>
      <c r="AO31" s="88" t="s">
        <v>85</v>
      </c>
      <c r="AP31" s="88" t="s">
        <v>86</v>
      </c>
      <c r="AQ31" s="88" t="s">
        <v>87</v>
      </c>
      <c r="AR31" s="89" t="s">
        <v>88</v>
      </c>
      <c r="AS31" s="89" t="s">
        <v>89</v>
      </c>
      <c r="AT31" s="89" t="s">
        <v>90</v>
      </c>
      <c r="AU31" s="88" t="s">
        <v>91</v>
      </c>
      <c r="AV31" s="88" t="s">
        <v>92</v>
      </c>
      <c r="AW31" s="90" t="s">
        <v>93</v>
      </c>
      <c r="AX31" s="88" t="s">
        <v>94</v>
      </c>
      <c r="AY31" s="88" t="s">
        <v>95</v>
      </c>
      <c r="AZ31" s="89" t="s">
        <v>96</v>
      </c>
      <c r="BA31" s="88" t="s">
        <v>97</v>
      </c>
      <c r="BB31" s="91" t="s">
        <v>98</v>
      </c>
    </row>
    <row r="32" customFormat="false" ht="15.75" hidden="false" customHeight="true" outlineLevel="0" collapsed="false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  <c r="Q32" s="85"/>
      <c r="R32" s="85"/>
      <c r="S32" s="85"/>
      <c r="T32" s="86"/>
      <c r="U32" s="86"/>
      <c r="V32" s="86"/>
      <c r="W32" s="86"/>
      <c r="X32" s="86"/>
      <c r="Y32" s="86"/>
      <c r="Z32" s="86"/>
      <c r="AA32" s="86"/>
      <c r="AB32" s="87"/>
      <c r="AC32" s="87"/>
      <c r="AD32" s="88"/>
      <c r="AE32" s="88"/>
      <c r="AF32" s="88"/>
      <c r="AG32" s="89"/>
      <c r="AH32" s="88"/>
      <c r="AI32" s="88"/>
      <c r="AJ32" s="88"/>
      <c r="AK32" s="88"/>
      <c r="AL32" s="89"/>
      <c r="AM32" s="88"/>
      <c r="AN32" s="88"/>
      <c r="AO32" s="88"/>
      <c r="AP32" s="88"/>
      <c r="AQ32" s="88"/>
      <c r="AR32" s="89"/>
      <c r="AS32" s="89"/>
      <c r="AT32" s="89"/>
      <c r="AU32" s="88"/>
      <c r="AV32" s="88"/>
      <c r="AW32" s="90"/>
      <c r="AX32" s="88"/>
      <c r="AY32" s="88"/>
      <c r="AZ32" s="89"/>
      <c r="BA32" s="88"/>
      <c r="BB32" s="91"/>
    </row>
    <row r="33" customFormat="false" ht="15.75" hidden="false" customHeight="true" outlineLevel="0" collapsed="false">
      <c r="C33" s="92" t="s">
        <v>99</v>
      </c>
      <c r="D33" s="93" t="s">
        <v>100</v>
      </c>
      <c r="E33" s="93" t="s">
        <v>25</v>
      </c>
      <c r="F33" s="94" t="s">
        <v>101</v>
      </c>
      <c r="G33" s="95"/>
      <c r="H33" s="94" t="s">
        <v>102</v>
      </c>
      <c r="I33" s="94" t="s">
        <v>102</v>
      </c>
      <c r="J33" s="94" t="s">
        <v>101</v>
      </c>
      <c r="K33" s="95"/>
      <c r="L33" s="95"/>
      <c r="M33" s="95"/>
      <c r="N33" s="95"/>
      <c r="O33" s="95"/>
      <c r="P33" s="96" t="s">
        <v>103</v>
      </c>
      <c r="Q33" s="96"/>
      <c r="R33" s="96" t="s">
        <v>104</v>
      </c>
      <c r="S33" s="96" t="s">
        <v>105</v>
      </c>
      <c r="T33" s="97" t="s">
        <v>106</v>
      </c>
      <c r="U33" s="97" t="s">
        <v>107</v>
      </c>
      <c r="V33" s="97" t="s">
        <v>108</v>
      </c>
      <c r="W33" s="97" t="s">
        <v>109</v>
      </c>
      <c r="X33" s="97" t="s">
        <v>110</v>
      </c>
      <c r="Y33" s="97" t="s">
        <v>111</v>
      </c>
      <c r="Z33" s="97" t="s">
        <v>112</v>
      </c>
      <c r="AA33" s="97" t="s">
        <v>113</v>
      </c>
      <c r="AB33" s="97" t="s">
        <v>114</v>
      </c>
      <c r="AC33" s="98" t="s">
        <v>115</v>
      </c>
      <c r="AD33" s="99" t="s">
        <v>116</v>
      </c>
      <c r="AE33" s="99" t="s">
        <v>117</v>
      </c>
      <c r="AF33" s="99" t="s">
        <v>118</v>
      </c>
      <c r="AG33" s="99" t="s">
        <v>119</v>
      </c>
      <c r="AH33" s="99" t="s">
        <v>120</v>
      </c>
      <c r="AI33" s="100" t="s">
        <v>121</v>
      </c>
      <c r="AJ33" s="99" t="s">
        <v>122</v>
      </c>
      <c r="AK33" s="100" t="s">
        <v>123</v>
      </c>
      <c r="AL33" s="99" t="s">
        <v>124</v>
      </c>
      <c r="AM33" s="99" t="s">
        <v>125</v>
      </c>
      <c r="AN33" s="99" t="s">
        <v>126</v>
      </c>
      <c r="AO33" s="99" t="s">
        <v>127</v>
      </c>
      <c r="AP33" s="99" t="s">
        <v>128</v>
      </c>
      <c r="AQ33" s="100" t="s">
        <v>129</v>
      </c>
      <c r="AR33" s="99" t="s">
        <v>130</v>
      </c>
      <c r="AS33" s="99" t="s">
        <v>131</v>
      </c>
      <c r="AT33" s="100" t="s">
        <v>132</v>
      </c>
      <c r="AU33" s="101" t="s">
        <v>133</v>
      </c>
      <c r="AV33" s="101" t="s">
        <v>134</v>
      </c>
      <c r="AW33" s="101" t="s">
        <v>135</v>
      </c>
      <c r="AX33" s="99" t="s">
        <v>136</v>
      </c>
      <c r="AY33" s="99" t="s">
        <v>137</v>
      </c>
      <c r="AZ33" s="99" t="s">
        <v>138</v>
      </c>
      <c r="BA33" s="99" t="s">
        <v>139</v>
      </c>
      <c r="BB33" s="102" t="s">
        <v>140</v>
      </c>
    </row>
    <row r="34" customFormat="false" ht="14.25" hidden="false" customHeight="true" outlineLevel="0" collapsed="false">
      <c r="C34" s="92"/>
      <c r="D34" s="93"/>
      <c r="E34" s="93"/>
      <c r="F34" s="94"/>
      <c r="G34" s="95"/>
      <c r="H34" s="94"/>
      <c r="I34" s="94"/>
      <c r="J34" s="94"/>
      <c r="K34" s="103"/>
      <c r="L34" s="103"/>
      <c r="M34" s="103"/>
      <c r="N34" s="104" t="s">
        <v>30</v>
      </c>
      <c r="O34" s="103"/>
      <c r="P34" s="104" t="s">
        <v>141</v>
      </c>
      <c r="Q34" s="104" t="s">
        <v>142</v>
      </c>
      <c r="R34" s="104" t="s">
        <v>143</v>
      </c>
      <c r="S34" s="104" t="s">
        <v>144</v>
      </c>
      <c r="T34" s="105" t="s">
        <v>143</v>
      </c>
      <c r="U34" s="105" t="s">
        <v>144</v>
      </c>
      <c r="V34" s="105" t="s">
        <v>143</v>
      </c>
      <c r="W34" s="105" t="s">
        <v>144</v>
      </c>
      <c r="X34" s="105" t="s">
        <v>143</v>
      </c>
      <c r="Y34" s="105" t="s">
        <v>144</v>
      </c>
      <c r="Z34" s="105" t="s">
        <v>143</v>
      </c>
      <c r="AA34" s="105" t="s">
        <v>144</v>
      </c>
      <c r="AB34" s="105" t="s">
        <v>143</v>
      </c>
      <c r="AC34" s="106" t="s">
        <v>144</v>
      </c>
      <c r="AD34" s="107" t="s">
        <v>145</v>
      </c>
      <c r="AE34" s="107" t="s">
        <v>145</v>
      </c>
      <c r="AF34" s="107" t="s">
        <v>145</v>
      </c>
      <c r="AG34" s="107" t="s">
        <v>145</v>
      </c>
      <c r="AH34" s="107" t="s">
        <v>145</v>
      </c>
      <c r="AI34" s="107" t="s">
        <v>145</v>
      </c>
      <c r="AJ34" s="107" t="s">
        <v>145</v>
      </c>
      <c r="AK34" s="107" t="s">
        <v>145</v>
      </c>
      <c r="AL34" s="107" t="s">
        <v>145</v>
      </c>
      <c r="AM34" s="107" t="s">
        <v>145</v>
      </c>
      <c r="AN34" s="107" t="s">
        <v>145</v>
      </c>
      <c r="AO34" s="107" t="s">
        <v>145</v>
      </c>
      <c r="AP34" s="107" t="s">
        <v>145</v>
      </c>
      <c r="AQ34" s="107" t="s">
        <v>145</v>
      </c>
      <c r="AR34" s="107" t="s">
        <v>145</v>
      </c>
      <c r="AS34" s="107" t="s">
        <v>145</v>
      </c>
      <c r="AT34" s="107" t="s">
        <v>145</v>
      </c>
      <c r="AU34" s="107" t="s">
        <v>145</v>
      </c>
      <c r="AV34" s="107" t="s">
        <v>145</v>
      </c>
      <c r="AW34" s="107" t="s">
        <v>145</v>
      </c>
      <c r="AX34" s="107" t="s">
        <v>145</v>
      </c>
      <c r="AY34" s="107" t="s">
        <v>145</v>
      </c>
      <c r="AZ34" s="107" t="s">
        <v>145</v>
      </c>
      <c r="BA34" s="107" t="s">
        <v>145</v>
      </c>
      <c r="BB34" s="107" t="s">
        <v>145</v>
      </c>
    </row>
    <row r="35" customFormat="false" ht="15" hidden="false" customHeight="false" outlineLevel="0" collapsed="false">
      <c r="A35" s="108" t="n">
        <f aca="false">IF(ISBLANK(VLOOKUP(D35,'Volumes flacons'!A5:C623,3)),0,1)</f>
        <v>1</v>
      </c>
      <c r="B35" s="109" t="n">
        <f aca="false">IF(ISBLANK(D35),0,IF(ISBLANK(E35),0,IF(ISBLANK(F35),0,1)))</f>
        <v>1</v>
      </c>
      <c r="C35" s="110" t="n">
        <v>1</v>
      </c>
      <c r="D35" s="111" t="n">
        <v>326</v>
      </c>
      <c r="E35" s="111" t="n">
        <v>7.5</v>
      </c>
      <c r="F35" s="112" t="n">
        <v>5.711</v>
      </c>
      <c r="G35" s="113" t="n">
        <v>34.951</v>
      </c>
      <c r="H35" s="111" t="n">
        <v>2000</v>
      </c>
      <c r="I35" s="111" t="n">
        <v>2000</v>
      </c>
      <c r="J35" s="114" t="n">
        <v>118.59</v>
      </c>
      <c r="K35" s="115" t="n">
        <f aca="false">IF(ISBLANK(E35),"",(0.000824493-(0.0000040899*E35)+(0.000000076438*E35^2)-(0.00000000082467*E35^3)+(0.0000000000053875*E35^4)))</f>
        <v>0.000797787526230469</v>
      </c>
      <c r="L35" s="115" t="n">
        <f aca="false">IF(ISBLANK(E35),"",(-0.00000572466+(0.00000010227*E35)-(0.0000000016546*E35^2)))</f>
        <v>-5.05070625E-006</v>
      </c>
      <c r="M35" s="115" t="n">
        <f aca="false">IF(ISBLANK(E35),"",IF(ISBLANK(G35),(O35+(K35*35)+(L35*35^1.5)+(0.00000048314*35^2)),(O35+(K35*G35)+(L35*G35^1.5)+(0.00000048314*G35^2))))</f>
        <v>1.02730944443954</v>
      </c>
      <c r="N35" s="116" t="n">
        <f aca="false">IF(ISBLANK(D35),"",IF(ISBLANK(G35),J35*(1+0.00001*(35-20)),J35*(1+0.00001*(G35-20))))</f>
        <v>118.6077303909</v>
      </c>
      <c r="O35" s="115" t="n">
        <f aca="false">IF(ISBLANK(E35),"",(0.999842594+(0.00006793952*E35)-(0.00000909529*E35^2)+(0.0000001001685*E35^3)-(0.000000001120083*E35^4)+(0.000000000006536332*E35^5)))</f>
        <v>0.999879400021043</v>
      </c>
      <c r="P35" s="117" t="n">
        <v>5.464</v>
      </c>
      <c r="Q35" s="118" t="n">
        <v>5.318</v>
      </c>
      <c r="R35" s="119" t="n">
        <v>244</v>
      </c>
      <c r="S35" s="119" t="n">
        <v>237.5</v>
      </c>
      <c r="T35" s="120" t="n">
        <v>0</v>
      </c>
      <c r="U35" s="120" t="n">
        <v>0</v>
      </c>
      <c r="V35" s="121" t="n">
        <v>22.1</v>
      </c>
      <c r="W35" s="121" t="n">
        <v>21.6</v>
      </c>
      <c r="X35" s="121" t="n">
        <v>22.1</v>
      </c>
      <c r="Y35" s="121" t="n">
        <v>21.6</v>
      </c>
      <c r="Z35" s="120" t="n">
        <v>1.45</v>
      </c>
      <c r="AA35" s="120" t="n">
        <v>1.41</v>
      </c>
      <c r="AB35" s="121" t="n">
        <v>25.6</v>
      </c>
      <c r="AC35" s="121" t="n">
        <v>25</v>
      </c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3"/>
    </row>
    <row r="36" customFormat="false" ht="15" hidden="false" customHeight="false" outlineLevel="0" collapsed="false">
      <c r="A36" s="108" t="n">
        <f aca="false">IF(ISBLANK(VLOOKUP(D36,'Volumes flacons'!A5:C623,3)),0,1)</f>
        <v>1</v>
      </c>
      <c r="B36" s="109" t="n">
        <f aca="false">IF(ISBLANK(D36),0,IF(ISBLANK(E36),0,IF(ISBLANK(F36),0,1)))</f>
        <v>1</v>
      </c>
      <c r="C36" s="124" t="n">
        <v>2</v>
      </c>
      <c r="D36" s="125" t="n">
        <v>333</v>
      </c>
      <c r="E36" s="125" t="n">
        <v>7.4</v>
      </c>
      <c r="F36" s="126" t="n">
        <v>5.652</v>
      </c>
      <c r="G36" s="127" t="n">
        <v>34.947</v>
      </c>
      <c r="H36" s="125" t="n">
        <v>2000</v>
      </c>
      <c r="I36" s="125" t="n">
        <v>2000</v>
      </c>
      <c r="J36" s="128" t="n">
        <v>117.98</v>
      </c>
      <c r="K36" s="129" t="n">
        <f aca="false">IF(ISBLANK(E36),"",(0.000824493-(0.0000040899*E36)+(0.000000076438*E36^2)-(0.00000000082467*E36^3)+(0.0000000000053875*E36^4)))</f>
        <v>0.00079809546407174</v>
      </c>
      <c r="L36" s="129" t="n">
        <f aca="false">IF(ISBLANK(E36),"",(-0.00000572466+(0.00000010227*E36)-(0.0000000016546*E36^2)))</f>
        <v>-5.058467896E-006</v>
      </c>
      <c r="M36" s="129" t="n">
        <f aca="false">IF(ISBLANK(E36),"",IF(ISBLANK(G36),(O36+(K36*35)+(L36*35^1.5)+(0.00000048314*35^2)),(O36+(K36*G36)+(L36*G36^1.5)+(0.00000048314*G36^2))))</f>
        <v>1.0273207206868</v>
      </c>
      <c r="N36" s="130" t="n">
        <f aca="false">IF(ISBLANK(D36),"",IF(ISBLANK(G36),J36*(1+0.00001*(35-20)),J36*(1+0.00001*(G36-20))))</f>
        <v>117.9976344706</v>
      </c>
      <c r="O36" s="129" t="n">
        <f aca="false">IF(ISBLANK(E36),"",(0.999842594+(0.00006793952*E36)-(0.00000909529*E36^2)+(0.0000001001685*E36^3)-(0.000000001120083*E36^4)+(0.000000000006536332*E36^5)))</f>
        <v>0.999884665344083</v>
      </c>
      <c r="P36" s="131" t="n">
        <v>5.435</v>
      </c>
      <c r="Q36" s="132" t="n">
        <v>5.291</v>
      </c>
      <c r="R36" s="133" t="n">
        <v>242.7</v>
      </c>
      <c r="S36" s="133" t="n">
        <v>236.3</v>
      </c>
      <c r="T36" s="32" t="n">
        <v>0</v>
      </c>
      <c r="U36" s="32" t="n">
        <v>0</v>
      </c>
      <c r="V36" s="134" t="n">
        <v>22.1</v>
      </c>
      <c r="W36" s="134" t="n">
        <v>21.6</v>
      </c>
      <c r="X36" s="134" t="n">
        <v>22.1</v>
      </c>
      <c r="Y36" s="134" t="n">
        <v>21.6</v>
      </c>
      <c r="Z36" s="32" t="n">
        <v>1.48</v>
      </c>
      <c r="AA36" s="32" t="n">
        <v>1.44</v>
      </c>
      <c r="AB36" s="134" t="n">
        <v>24.9</v>
      </c>
      <c r="AC36" s="134" t="n">
        <v>24.4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" hidden="false" customHeight="false" outlineLevel="0" collapsed="false">
      <c r="A37" s="108" t="n">
        <f aca="false">IF(ISBLANK(VLOOKUP(D37,'Volumes flacons'!A5:C623,3)),0,1)</f>
        <v>1</v>
      </c>
      <c r="B37" s="109" t="n">
        <f aca="false">IF(ISBLANK(D37),0,IF(ISBLANK(E37),0,IF(ISBLANK(F37),0,1)))</f>
        <v>1</v>
      </c>
      <c r="C37" s="124" t="n">
        <v>3</v>
      </c>
      <c r="D37" s="125" t="n">
        <v>334</v>
      </c>
      <c r="E37" s="125" t="n">
        <v>10.9</v>
      </c>
      <c r="F37" s="126" t="n">
        <v>4.754</v>
      </c>
      <c r="G37" s="127" t="n">
        <v>35.003</v>
      </c>
      <c r="H37" s="125" t="n">
        <v>2000</v>
      </c>
      <c r="I37" s="125" t="n">
        <v>2000</v>
      </c>
      <c r="J37" s="128" t="n">
        <v>117.64</v>
      </c>
      <c r="K37" s="129" t="n">
        <f aca="false">IF(ISBLANK(E37),"",(0.000824493-(0.0000040899*E37)+(0.000000076438*E37^2)-(0.00000000082467*E37^3)+(0.0000000000053875*E37^4)))</f>
        <v>0.000788002766173809</v>
      </c>
      <c r="L37" s="129" t="n">
        <f aca="false">IF(ISBLANK(E37),"",(-0.00000572466+(0.00000010227*E37)-(0.0000000016546*E37^2)))</f>
        <v>-4.806500026E-006</v>
      </c>
      <c r="M37" s="129" t="n">
        <f aca="false">IF(ISBLANK(E37),"",IF(ISBLANK(G37),(O37+(K37*35)+(L37*35^1.5)+(0.00000048314*35^2)),(O37+(K37*G37)+(L37*G37^1.5)+(0.00000048314*G37^2))))</f>
        <v>1.02679647279346</v>
      </c>
      <c r="N37" s="130" t="n">
        <f aca="false">IF(ISBLANK(D37),"",IF(ISBLANK(G37),J37*(1+0.00001*(35-20)),J37*(1+0.00001*(G37-20))))</f>
        <v>117.6576495292</v>
      </c>
      <c r="O37" s="129" t="n">
        <f aca="false">IF(ISBLANK(E37),"",(0.999842594+(0.00006793952*E37)-(0.00000909529*E37^2)+(0.0000001001685*E37^3)-(0.000000001120083*E37^4)+(0.000000000006536332*E37^5)))</f>
        <v>0.999617439285541</v>
      </c>
      <c r="P37" s="137" t="n">
        <v>4.583</v>
      </c>
      <c r="Q37" s="138" t="n">
        <v>4.463</v>
      </c>
      <c r="R37" s="139" t="n">
        <v>204.7</v>
      </c>
      <c r="S37" s="139" t="n">
        <v>199.3</v>
      </c>
      <c r="T37" s="32" t="n">
        <v>0.01</v>
      </c>
      <c r="U37" s="32" t="n">
        <v>0.01</v>
      </c>
      <c r="V37" s="134" t="n">
        <v>23.4</v>
      </c>
      <c r="W37" s="134" t="n">
        <v>22.9</v>
      </c>
      <c r="X37" s="134" t="n">
        <v>23.4</v>
      </c>
      <c r="Y37" s="134" t="n">
        <v>22.8</v>
      </c>
      <c r="Z37" s="32" t="n">
        <v>1.55</v>
      </c>
      <c r="AA37" s="32" t="n">
        <v>1.51</v>
      </c>
      <c r="AB37" s="134" t="n">
        <v>22.5</v>
      </c>
      <c r="AC37" s="134" t="n">
        <v>22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" hidden="false" customHeight="false" outlineLevel="0" collapsed="false">
      <c r="A38" s="108" t="n">
        <f aca="false">IF(ISBLANK(VLOOKUP(D38,'Volumes flacons'!A5:C623,3)),0,1)</f>
        <v>1</v>
      </c>
      <c r="B38" s="109" t="n">
        <f aca="false">IF(ISBLANK(D38),0,IF(ISBLANK(E38),0,IF(ISBLANK(F38),0,1)))</f>
        <v>1</v>
      </c>
      <c r="C38" s="124" t="n">
        <v>4</v>
      </c>
      <c r="D38" s="125" t="n">
        <v>336</v>
      </c>
      <c r="E38" s="125" t="n">
        <v>9.3</v>
      </c>
      <c r="F38" s="126" t="n">
        <v>5.651</v>
      </c>
      <c r="G38" s="127" t="n">
        <v>34.947</v>
      </c>
      <c r="H38" s="125" t="n">
        <v>2000</v>
      </c>
      <c r="I38" s="125" t="n">
        <v>2000</v>
      </c>
      <c r="J38" s="128" t="n">
        <v>118.01</v>
      </c>
      <c r="K38" s="129" t="n">
        <f aca="false">IF(ISBLANK(E38),"",(0.000824493-(0.0000040899*E38)+(0.000000076438*E38^2)-(0.00000000082467*E38^3)+(0.0000000000053875*E38^4)))</f>
        <v>0.000792445024834849</v>
      </c>
      <c r="L38" s="129" t="n">
        <f aca="false">IF(ISBLANK(E38),"",(-0.00000572466+(0.00000010227*E38)-(0.0000000016546*E38^2)))</f>
        <v>-4.916655354E-006</v>
      </c>
      <c r="M38" s="129" t="n">
        <f aca="false">IF(ISBLANK(E38),"",IF(ISBLANK(G38),(O38+(K38*35)+(L38*35^1.5)+(0.00000048314*35^2)),(O38+(K38*G38)+(L38*G38^1.5)+(0.00000048314*G38^2))))</f>
        <v>1.02702831393013</v>
      </c>
      <c r="N38" s="130" t="n">
        <f aca="false">IF(ISBLANK(D38),"",IF(ISBLANK(G38),J38*(1+0.00001*(35-20)),J38*(1+0.00001*(G38-20))))</f>
        <v>118.0276389547</v>
      </c>
      <c r="O38" s="129" t="n">
        <f aca="false">IF(ISBLANK(E38),"",(0.999842594+(0.00006793952*E38)-(0.00000909529*E38^2)+(0.0000001001685*E38^3)-(0.000000001120083*E38^4)+(0.000000000006536332*E38^5)))</f>
        <v>0.999760427059674</v>
      </c>
      <c r="P38" s="131" t="n">
        <v>5.433</v>
      </c>
      <c r="Q38" s="132" t="n">
        <v>5.29</v>
      </c>
      <c r="R38" s="133" t="n">
        <v>242.6</v>
      </c>
      <c r="S38" s="133" t="n">
        <v>236.3</v>
      </c>
      <c r="T38" s="32" t="n">
        <v>0</v>
      </c>
      <c r="U38" s="32" t="n">
        <v>0</v>
      </c>
      <c r="V38" s="134" t="n">
        <v>22.2</v>
      </c>
      <c r="W38" s="134" t="n">
        <v>21.6</v>
      </c>
      <c r="X38" s="134" t="n">
        <v>22.1</v>
      </c>
      <c r="Y38" s="134" t="n">
        <v>21.6</v>
      </c>
      <c r="Z38" s="32" t="n">
        <v>1.49</v>
      </c>
      <c r="AA38" s="32" t="n">
        <v>1.45</v>
      </c>
      <c r="AB38" s="134" t="n">
        <v>25.4</v>
      </c>
      <c r="AC38" s="134" t="n">
        <v>24.8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" hidden="false" customHeight="false" outlineLevel="0" collapsed="false">
      <c r="A39" s="108" t="n">
        <f aca="false">IF(ISBLANK(VLOOKUP(D39,'Volumes flacons'!A5:C623,3)),0,1)</f>
        <v>1</v>
      </c>
      <c r="B39" s="109" t="n">
        <f aca="false">IF(ISBLANK(D39),0,IF(ISBLANK(E39),0,IF(ISBLANK(F39),0,1)))</f>
        <v>1</v>
      </c>
      <c r="C39" s="124" t="n">
        <v>5</v>
      </c>
      <c r="D39" s="125" t="n">
        <v>337</v>
      </c>
      <c r="E39" s="125" t="n">
        <v>9.5</v>
      </c>
      <c r="F39" s="126" t="n">
        <v>5.662</v>
      </c>
      <c r="G39" s="127" t="n">
        <v>34.939</v>
      </c>
      <c r="H39" s="125" t="n">
        <v>2000</v>
      </c>
      <c r="I39" s="125" t="n">
        <v>2000</v>
      </c>
      <c r="J39" s="128" t="n">
        <v>118.14</v>
      </c>
      <c r="K39" s="129" t="n">
        <f aca="false">IF(ISBLANK(E39),"",(0.000824493-(0.0000040899*E39)+(0.000000076438*E39^2)-(0.00000000082467*E39^3)+(0.0000000000053875*E39^4)))</f>
        <v>0.000791874309582969</v>
      </c>
      <c r="L39" s="129" t="n">
        <f aca="false">IF(ISBLANK(E39),"",(-0.00000572466+(0.00000010227*E39)-(0.0000000016546*E39^2)))</f>
        <v>-4.90242265E-006</v>
      </c>
      <c r="M39" s="129" t="n">
        <f aca="false">IF(ISBLANK(E39),"",IF(ISBLANK(G39),(O39+(K39*35)+(L39*35^1.5)+(0.00000048314*35^2)),(O39+(K39*G39)+(L39*G39^1.5)+(0.00000048314*G39^2))))</f>
        <v>1.02698905920624</v>
      </c>
      <c r="N39" s="130" t="n">
        <f aca="false">IF(ISBLANK(D39),"",IF(ISBLANK(G39),J39*(1+0.00001*(35-20)),J39*(1+0.00001*(G39-20))))</f>
        <v>118.1576489346</v>
      </c>
      <c r="O39" s="129" t="n">
        <f aca="false">IF(ISBLANK(E39),"",(0.999842594+(0.00006793952*E39)-(0.00000909529*E39^2)+(0.0000001001685*E39^3)-(0.000000001120083*E39^4)+(0.000000000006536332*E39^5)))</f>
        <v>0.999744434108058</v>
      </c>
      <c r="P39" s="131" t="n">
        <v>5.438</v>
      </c>
      <c r="Q39" s="132" t="n">
        <v>5.295</v>
      </c>
      <c r="R39" s="133" t="n">
        <v>242.8</v>
      </c>
      <c r="S39" s="133" t="n">
        <v>236.5</v>
      </c>
      <c r="T39" s="32" t="n">
        <v>0</v>
      </c>
      <c r="U39" s="32" t="n">
        <v>0</v>
      </c>
      <c r="V39" s="134" t="n">
        <v>22.2</v>
      </c>
      <c r="W39" s="134" t="n">
        <v>21.7</v>
      </c>
      <c r="X39" s="134" t="n">
        <v>22.2</v>
      </c>
      <c r="Y39" s="134" t="n">
        <v>21.7</v>
      </c>
      <c r="Z39" s="32" t="n">
        <v>1.53</v>
      </c>
      <c r="AA39" s="32" t="n">
        <v>1.49</v>
      </c>
      <c r="AB39" s="134" t="n">
        <v>25.5</v>
      </c>
      <c r="AC39" s="134" t="n">
        <v>24.9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" hidden="false" customHeight="false" outlineLevel="0" collapsed="false">
      <c r="A40" s="108" t="n">
        <f aca="false">IF(ISBLANK(VLOOKUP(D40,'Volumes flacons'!A5:C623,3)),0,1)</f>
        <v>1</v>
      </c>
      <c r="B40" s="109" t="n">
        <f aca="false">IF(ISBLANK(D40),0,IF(ISBLANK(E40),0,IF(ISBLANK(F40),0,1)))</f>
        <v>1</v>
      </c>
      <c r="C40" s="124" t="n">
        <v>6</v>
      </c>
      <c r="D40" s="125" t="n">
        <v>339</v>
      </c>
      <c r="E40" s="125" t="n">
        <v>10.2</v>
      </c>
      <c r="F40" s="126" t="n">
        <v>5.59</v>
      </c>
      <c r="G40" s="127" t="n">
        <v>34.947</v>
      </c>
      <c r="H40" s="125" t="n">
        <v>2000</v>
      </c>
      <c r="I40" s="125" t="n">
        <v>2000</v>
      </c>
      <c r="J40" s="128" t="n">
        <v>116.25</v>
      </c>
      <c r="K40" s="129" t="n">
        <f aca="false">IF(ISBLANK(E40),"",(0.000824493-(0.0000040899*E40)+(0.000000076438*E40^2)-(0.00000000082467*E40^3)+(0.0000000000053875*E40^4)))</f>
        <v>0.00078991179915126</v>
      </c>
      <c r="L40" s="129" t="n">
        <f aca="false">IF(ISBLANK(E40),"",(-0.00000572466+(0.00000010227*E40)-(0.0000000016546*E40^2)))</f>
        <v>-4.853650584E-006</v>
      </c>
      <c r="M40" s="129" t="n">
        <f aca="false">IF(ISBLANK(E40),"",IF(ISBLANK(G40),(O40+(K40*35)+(L40*35^1.5)+(0.00000048314*35^2)),(O40+(K40*G40)+(L40*G40^1.5)+(0.00000048314*G40^2))))</f>
        <v>1.0268765748256</v>
      </c>
      <c r="N40" s="130" t="n">
        <f aca="false">IF(ISBLANK(D40),"",IF(ISBLANK(G40),J40*(1+0.00001*(35-20)),J40*(1+0.00001*(G40-20))))</f>
        <v>116.2673758875</v>
      </c>
      <c r="O40" s="129" t="n">
        <f aca="false">IF(ISBLANK(E40),"",(0.999842594+(0.00006793952*E40)-(0.00000909529*E40^2)+(0.0000001001685*E40^3)-(0.000000001120083*E40^4)+(0.000000000006536332*E40^5)))</f>
        <v>0.999684200271206</v>
      </c>
      <c r="P40" s="131" t="n">
        <v>5.457</v>
      </c>
      <c r="Q40" s="132" t="n">
        <v>5.314</v>
      </c>
      <c r="R40" s="133" t="n">
        <v>243.7</v>
      </c>
      <c r="S40" s="133" t="n">
        <v>237.3</v>
      </c>
      <c r="T40" s="32" t="n">
        <v>0</v>
      </c>
      <c r="U40" s="32" t="n">
        <v>0</v>
      </c>
      <c r="V40" s="134" t="n">
        <v>22.3</v>
      </c>
      <c r="W40" s="134" t="n">
        <v>21.8</v>
      </c>
      <c r="X40" s="134" t="n">
        <v>22.3</v>
      </c>
      <c r="Y40" s="134" t="n">
        <v>21.8</v>
      </c>
      <c r="Z40" s="32" t="n">
        <v>1.51</v>
      </c>
      <c r="AA40" s="32" t="n">
        <v>1.47</v>
      </c>
      <c r="AB40" s="134" t="n">
        <v>26</v>
      </c>
      <c r="AC40" s="134" t="n">
        <v>25.4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" hidden="false" customHeight="false" outlineLevel="0" collapsed="false">
      <c r="A41" s="108" t="n">
        <f aca="false">IF(ISBLANK(VLOOKUP(D41,'Volumes flacons'!A5:C623,3)),0,1)</f>
        <v>1</v>
      </c>
      <c r="B41" s="109" t="n">
        <f aca="false">IF(ISBLANK(D41),0,IF(ISBLANK(E41),0,IF(ISBLANK(F41),0,1)))</f>
        <v>1</v>
      </c>
      <c r="C41" s="124" t="n">
        <v>7</v>
      </c>
      <c r="D41" s="125" t="n">
        <v>340</v>
      </c>
      <c r="E41" s="125" t="n">
        <v>10.2</v>
      </c>
      <c r="F41" s="126" t="n">
        <v>5.63</v>
      </c>
      <c r="G41" s="127" t="n">
        <v>34.952</v>
      </c>
      <c r="H41" s="125" t="n">
        <v>2000</v>
      </c>
      <c r="I41" s="125" t="n">
        <v>2000</v>
      </c>
      <c r="J41" s="128" t="n">
        <v>117.73</v>
      </c>
      <c r="K41" s="129" t="n">
        <f aca="false">IF(ISBLANK(E41),"",(0.000824493-(0.0000040899*E41)+(0.000000076438*E41^2)-(0.00000000082467*E41^3)+(0.0000000000053875*E41^4)))</f>
        <v>0.00078991179915126</v>
      </c>
      <c r="L41" s="129" t="n">
        <f aca="false">IF(ISBLANK(E41),"",(-0.00000572466+(0.00000010227*E41)-(0.0000000016546*E41^2)))</f>
        <v>-4.853650584E-006</v>
      </c>
      <c r="M41" s="129" t="n">
        <f aca="false">IF(ISBLANK(E41),"",IF(ISBLANK(G41),(O41+(K41*35)+(L41*35^1.5)+(0.00000048314*35^2)),(O41+(K41*G41)+(L41*G41^1.5)+(0.00000048314*G41^2))))</f>
        <v>1.02688047803565</v>
      </c>
      <c r="N41" s="130" t="n">
        <f aca="false">IF(ISBLANK(D41),"",IF(ISBLANK(G41),J41*(1+0.00001*(35-20)),J41*(1+0.00001*(G41-20))))</f>
        <v>117.7476029896</v>
      </c>
      <c r="O41" s="129" t="n">
        <f aca="false">IF(ISBLANK(E41),"",(0.999842594+(0.00006793952*E41)-(0.00000909529*E41^2)+(0.0000001001685*E41^3)-(0.000000001120083*E41^4)+(0.000000000006536332*E41^5)))</f>
        <v>0.999684200271206</v>
      </c>
      <c r="P41" s="131" t="n">
        <v>5.426</v>
      </c>
      <c r="Q41" s="132" t="n">
        <v>5.284</v>
      </c>
      <c r="R41" s="133" t="n">
        <v>242.3</v>
      </c>
      <c r="S41" s="133" t="n">
        <v>236</v>
      </c>
      <c r="T41" s="32" t="n">
        <v>0</v>
      </c>
      <c r="U41" s="32" t="n">
        <v>0</v>
      </c>
      <c r="V41" s="134" t="n">
        <v>22.2</v>
      </c>
      <c r="W41" s="134" t="n">
        <v>21.7</v>
      </c>
      <c r="X41" s="134" t="n">
        <v>22.2</v>
      </c>
      <c r="Y41" s="134" t="n">
        <v>21.7</v>
      </c>
      <c r="Z41" s="32" t="n">
        <v>1.54</v>
      </c>
      <c r="AA41" s="32" t="n">
        <v>1.5</v>
      </c>
      <c r="AB41" s="134" t="n">
        <v>25.6</v>
      </c>
      <c r="AC41" s="134" t="n">
        <v>25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" hidden="false" customHeight="false" outlineLevel="0" collapsed="false">
      <c r="A42" s="108" t="n">
        <f aca="false">IF(ISBLANK(VLOOKUP(D42,'Volumes flacons'!A5:C623,3)),0,1)</f>
        <v>1</v>
      </c>
      <c r="B42" s="109" t="n">
        <f aca="false">IF(ISBLANK(D42),0,IF(ISBLANK(E42),0,IF(ISBLANK(F42),0,1)))</f>
        <v>1</v>
      </c>
      <c r="C42" s="124" t="n">
        <v>8</v>
      </c>
      <c r="D42" s="125" t="n">
        <v>346</v>
      </c>
      <c r="E42" s="125" t="n">
        <v>10.4</v>
      </c>
      <c r="F42" s="126" t="n">
        <v>5.692</v>
      </c>
      <c r="G42" s="127" t="n">
        <v>34.946</v>
      </c>
      <c r="H42" s="125" t="n">
        <v>2000</v>
      </c>
      <c r="I42" s="125" t="n">
        <v>2000</v>
      </c>
      <c r="J42" s="128" t="n">
        <v>118.77</v>
      </c>
      <c r="K42" s="129" t="n">
        <f aca="false">IF(ISBLANK(E42),"",(0.000824493-(0.0000040899*E42)+(0.000000076438*E42^2)-(0.00000000082467*E42^3)+(0.0000000000053875*E42^4)))</f>
        <v>0.00078936095861504</v>
      </c>
      <c r="L42" s="129" t="n">
        <f aca="false">IF(ISBLANK(E42),"",(-0.00000572466+(0.00000010227*E42)-(0.0000000016546*E42^2)))</f>
        <v>-4.840013536E-006</v>
      </c>
      <c r="M42" s="129" t="n">
        <f aca="false">IF(ISBLANK(E42),"",IF(ISBLANK(G42),(O42+(K42*35)+(L42*35^1.5)+(0.00000048314*35^2)),(O42+(K42*G42)+(L42*G42^1.5)+(0.00000048314*G42^2))))</f>
        <v>1.02684094767197</v>
      </c>
      <c r="N42" s="130" t="n">
        <f aca="false">IF(ISBLANK(D42),"",IF(ISBLANK(G42),J42*(1+0.00001*(35-20)),J42*(1+0.00001*(G42-20))))</f>
        <v>118.7877513642</v>
      </c>
      <c r="O42" s="129" t="n">
        <f aca="false">IF(ISBLANK(E42),"",(0.999842594+(0.00006793952*E42)-(0.00000909529*E42^2)+(0.0000001001685*E42^3)-(0.000000001120083*E42^4)+(0.000000000006536332*E42^5)))</f>
        <v>0.999665786239059</v>
      </c>
      <c r="P42" s="131" t="n">
        <v>5.437</v>
      </c>
      <c r="Q42" s="132" t="n">
        <v>5.295</v>
      </c>
      <c r="R42" s="133" t="n">
        <v>242.8</v>
      </c>
      <c r="S42" s="133" t="n">
        <v>236.5</v>
      </c>
      <c r="T42" s="32" t="n">
        <v>0</v>
      </c>
      <c r="U42" s="32" t="n">
        <v>0</v>
      </c>
      <c r="V42" s="134" t="n">
        <v>22.1</v>
      </c>
      <c r="W42" s="134" t="n">
        <v>21.6</v>
      </c>
      <c r="X42" s="134" t="n">
        <v>22.1</v>
      </c>
      <c r="Y42" s="134" t="n">
        <v>21.6</v>
      </c>
      <c r="Z42" s="32" t="n">
        <v>1.55</v>
      </c>
      <c r="AA42" s="32" t="n">
        <v>1.51</v>
      </c>
      <c r="AB42" s="134" t="n">
        <v>25.7</v>
      </c>
      <c r="AC42" s="134" t="n">
        <v>25.1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" hidden="false" customHeight="false" outlineLevel="0" collapsed="false">
      <c r="A43" s="108" t="n">
        <f aca="false">IF(ISBLANK(VLOOKUP(D43,'Volumes flacons'!A5:C623,3)),0,1)</f>
        <v>1</v>
      </c>
      <c r="B43" s="109" t="n">
        <f aca="false">IF(ISBLANK(D43),0,IF(ISBLANK(E43),0,IF(ISBLANK(F43),0,1)))</f>
        <v>1</v>
      </c>
      <c r="C43" s="124" t="n">
        <v>9</v>
      </c>
      <c r="D43" s="125" t="n">
        <v>349</v>
      </c>
      <c r="E43" s="125" t="n">
        <v>11.2</v>
      </c>
      <c r="F43" s="126" t="n">
        <v>5.681</v>
      </c>
      <c r="G43" s="127" t="n">
        <v>34.946</v>
      </c>
      <c r="H43" s="125" t="n">
        <v>2000</v>
      </c>
      <c r="I43" s="125" t="n">
        <v>2000</v>
      </c>
      <c r="J43" s="128" t="n">
        <v>118.69</v>
      </c>
      <c r="K43" s="129" t="n">
        <f aca="false">IF(ISBLANK(E43),"",(0.000824493-(0.0000040899*E43)+(0.000000076438*E43^2)-(0.00000000082467*E43^3)+(0.0000000000053875*E43^4)))</f>
        <v>0.00078720067410176</v>
      </c>
      <c r="L43" s="129" t="n">
        <f aca="false">IF(ISBLANK(E43),"",(-0.00000572466+(0.00000010227*E43)-(0.0000000016546*E43^2)))</f>
        <v>-4.786789024E-006</v>
      </c>
      <c r="M43" s="129" t="n">
        <f aca="false">IF(ISBLANK(E43),"",IF(ISBLANK(G43),(O43+(K43*35)+(L43*35^1.5)+(0.00000048314*35^2)),(O43+(K43*G43)+(L43*G43^1.5)+(0.00000048314*G43^2))))</f>
        <v>1.02669752362986</v>
      </c>
      <c r="N43" s="130" t="n">
        <f aca="false">IF(ISBLANK(D43),"",IF(ISBLANK(G43),J43*(1+0.00001*(35-20)),J43*(1+0.00001*(G43-20))))</f>
        <v>118.7077394074</v>
      </c>
      <c r="O43" s="129" t="n">
        <f aca="false">IF(ISBLANK(E43),"",(0.999842594+(0.00006793952*E43)-(0.00000909529*E43^2)+(0.0000001001685*E43^3)-(0.000000001120083*E43^4)+(0.000000000006536332*E43^5)))</f>
        <v>0.999586860178949</v>
      </c>
      <c r="P43" s="131" t="n">
        <v>5.43</v>
      </c>
      <c r="Q43" s="132" t="n">
        <v>5.289</v>
      </c>
      <c r="R43" s="133" t="n">
        <v>242.5</v>
      </c>
      <c r="S43" s="133" t="n">
        <v>236.2</v>
      </c>
      <c r="T43" s="32" t="n">
        <v>0</v>
      </c>
      <c r="U43" s="32" t="n">
        <v>0</v>
      </c>
      <c r="V43" s="134" t="n">
        <v>22</v>
      </c>
      <c r="W43" s="134" t="n">
        <v>21.5</v>
      </c>
      <c r="X43" s="134" t="n">
        <v>22</v>
      </c>
      <c r="Y43" s="134" t="n">
        <v>21.5</v>
      </c>
      <c r="Z43" s="32" t="n">
        <v>1.54</v>
      </c>
      <c r="AA43" s="32" t="n">
        <v>1.51</v>
      </c>
      <c r="AB43" s="134" t="n">
        <v>25.6</v>
      </c>
      <c r="AC43" s="134" t="n">
        <v>25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" hidden="false" customHeight="false" outlineLevel="0" collapsed="false">
      <c r="A44" s="108" t="n">
        <f aca="false">IF(ISBLANK(VLOOKUP(D44,'Volumes flacons'!A5:C623,3)),0,1)</f>
        <v>1</v>
      </c>
      <c r="B44" s="109" t="n">
        <f aca="false">IF(ISBLANK(D44),0,IF(ISBLANK(E44),0,IF(ISBLANK(F44),0,1)))</f>
        <v>1</v>
      </c>
      <c r="C44" s="124" t="n">
        <v>10</v>
      </c>
      <c r="D44" s="125" t="n">
        <v>353</v>
      </c>
      <c r="E44" s="125" t="n">
        <v>12</v>
      </c>
      <c r="F44" s="126" t="n">
        <v>5.749</v>
      </c>
      <c r="G44" s="127" t="n">
        <v>34.947</v>
      </c>
      <c r="H44" s="125" t="n">
        <v>2000</v>
      </c>
      <c r="I44" s="125" t="n">
        <v>2000</v>
      </c>
      <c r="J44" s="128" t="n">
        <v>118.58</v>
      </c>
      <c r="K44" s="129" t="n">
        <f aca="false">IF(ISBLANK(E44),"",(0.000824493-(0.0000040899*E44)+(0.000000076438*E44^2)-(0.00000000082467*E44^3)+(0.0000000000053875*E44^4)))</f>
        <v>0.00078510795744</v>
      </c>
      <c r="L44" s="129" t="n">
        <f aca="false">IF(ISBLANK(E44),"",(-0.00000572466+(0.00000010227*E44)-(0.0000000016546*E44^2)))</f>
        <v>-4.7356824E-006</v>
      </c>
      <c r="M44" s="129" t="n">
        <f aca="false">IF(ISBLANK(E44),"",IF(ISBLANK(G44),(O44+(K44*35)+(L44*35^1.5)+(0.00000048314*35^2)),(O44+(K44*G44)+(L44*G44^1.5)+(0.00000048314*G44^2))))</f>
        <v>1.02654850411241</v>
      </c>
      <c r="N44" s="130" t="n">
        <f aca="false">IF(ISBLANK(D44),"",IF(ISBLANK(G44),J44*(1+0.00001*(35-20)),J44*(1+0.00001*(G44-20))))</f>
        <v>118.5977241526</v>
      </c>
      <c r="O44" s="129" t="n">
        <f aca="false">IF(ISBLANK(E44),"",(0.999842594+(0.00006793952*E44)-(0.00000909529*E44^2)+(0.0000001001685*E44^3)-(0.000000001120083*E44^4)+(0.000000000006536332*E44^5)))</f>
        <v>0.999499638055476</v>
      </c>
      <c r="P44" s="131" t="n">
        <v>5.501</v>
      </c>
      <c r="Q44" s="132" t="n">
        <v>5.358</v>
      </c>
      <c r="R44" s="133" t="n">
        <v>245.7</v>
      </c>
      <c r="S44" s="133" t="n">
        <v>239.3</v>
      </c>
      <c r="T44" s="32" t="n">
        <v>0.01</v>
      </c>
      <c r="U44" s="32" t="n">
        <v>0.01</v>
      </c>
      <c r="V44" s="134" t="n">
        <v>22.1</v>
      </c>
      <c r="W44" s="134" t="n">
        <v>21.6</v>
      </c>
      <c r="X44" s="134" t="n">
        <v>22.1</v>
      </c>
      <c r="Y44" s="134" t="n">
        <v>21.6</v>
      </c>
      <c r="Z44" s="32" t="n">
        <v>1.58</v>
      </c>
      <c r="AA44" s="32" t="n">
        <v>1.54</v>
      </c>
      <c r="AB44" s="134" t="n">
        <v>25.6</v>
      </c>
      <c r="AC44" s="134" t="n">
        <v>25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" hidden="false" customHeight="false" outlineLevel="0" collapsed="false">
      <c r="A45" s="108" t="n">
        <f aca="false">IF(ISBLANK(VLOOKUP(D45,'Volumes flacons'!A5:C623,3)),0,1)</f>
        <v>1</v>
      </c>
      <c r="B45" s="109" t="n">
        <f aca="false">IF(ISBLANK(D45),0,IF(ISBLANK(E45),0,IF(ISBLANK(F45),0,1)))</f>
        <v>1</v>
      </c>
      <c r="C45" s="124" t="n">
        <v>11</v>
      </c>
      <c r="D45" s="125" t="n">
        <v>355</v>
      </c>
      <c r="E45" s="125" t="n">
        <v>14.6</v>
      </c>
      <c r="F45" s="126" t="n">
        <v>5.767</v>
      </c>
      <c r="G45" s="127" t="n">
        <v>34.946</v>
      </c>
      <c r="H45" s="125" t="n">
        <v>2000</v>
      </c>
      <c r="I45" s="125" t="n">
        <v>2000</v>
      </c>
      <c r="J45" s="128" t="n">
        <v>119.95</v>
      </c>
      <c r="K45" s="129" t="n">
        <f aca="false">IF(ISBLANK(E45),"",(0.000824493-(0.0000040899*E45)+(0.000000076438*E45^2)-(0.00000000082467*E45^3)+(0.0000000000053875*E45^4)))</f>
        <v>0.0007787522917223</v>
      </c>
      <c r="L45" s="129" t="n">
        <f aca="false">IF(ISBLANK(E45),"",(-0.00000572466+(0.00000010227*E45)-(0.0000000016546*E45^2)))</f>
        <v>-4.584212536E-006</v>
      </c>
      <c r="M45" s="129" t="n">
        <f aca="false">IF(ISBLANK(E45),"",IF(ISBLANK(G45),(O45+(K45*35)+(L45*35^1.5)+(0.00000048314*35^2)),(O45+(K45*G45)+(L45*G45^1.5)+(0.00000048314*G45^2))))</f>
        <v>1.02601821493816</v>
      </c>
      <c r="N45" s="130" t="n">
        <f aca="false">IF(ISBLANK(D45),"",IF(ISBLANK(G45),J45*(1+0.00001*(35-20)),J45*(1+0.00001*(G45-20))))</f>
        <v>119.967927727</v>
      </c>
      <c r="O45" s="129" t="n">
        <f aca="false">IF(ISBLANK(E45),"",(0.999842594+(0.00006793952*E45)-(0.00000909529*E45^2)+(0.0000001001685*E45^3)-(0.000000001120083*E45^4)+(0.000000000006536332*E45^5)))</f>
        <v>0.999160939642299</v>
      </c>
      <c r="P45" s="131" t="n">
        <v>5.454</v>
      </c>
      <c r="Q45" s="132" t="n">
        <v>5.315</v>
      </c>
      <c r="R45" s="133" t="n">
        <v>243.6</v>
      </c>
      <c r="S45" s="133" t="n">
        <v>237.4</v>
      </c>
      <c r="T45" s="32" t="n">
        <v>0</v>
      </c>
      <c r="U45" s="32" t="n">
        <v>0</v>
      </c>
      <c r="V45" s="134" t="n">
        <v>21.8</v>
      </c>
      <c r="W45" s="134" t="n">
        <v>21.3</v>
      </c>
      <c r="X45" s="134" t="n">
        <v>21.8</v>
      </c>
      <c r="Y45" s="134" t="n">
        <v>21.3</v>
      </c>
      <c r="Z45" s="32" t="n">
        <v>1.52</v>
      </c>
      <c r="AA45" s="32" t="n">
        <v>1.49</v>
      </c>
      <c r="AB45" s="134" t="n">
        <v>23.9</v>
      </c>
      <c r="AC45" s="134" t="n">
        <v>23.3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" hidden="false" customHeight="false" outlineLevel="0" collapsed="false">
      <c r="A46" s="108" t="n">
        <f aca="false">IF(ISBLANK(VLOOKUP(D46,'Volumes flacons'!A5:C623,3)),0,1)</f>
        <v>1</v>
      </c>
      <c r="B46" s="109" t="n">
        <f aca="false">IF(ISBLANK(D46),0,IF(ISBLANK(E46),0,IF(ISBLANK(F46),0,1)))</f>
        <v>0</v>
      </c>
      <c r="C46" s="124" t="n">
        <v>12</v>
      </c>
      <c r="D46" s="125"/>
      <c r="E46" s="125"/>
      <c r="F46" s="126"/>
      <c r="G46" s="127"/>
      <c r="H46" s="125"/>
      <c r="I46" s="125"/>
      <c r="J46" s="128" t="str">
        <f aca="false">IF(ISBLANK(D46),"",IF(VLOOKUP(D46,'Volumes flacons'!$A$5:$C$623,2)=0,"",IF(D46&gt;'Volumes flacons'!$A$623,"Mauvais numéro",IF(D46&lt;'Volumes flacons'!$A$5,"Mauvais numéro",(VLOOKUP(D46,'Volumes flacons'!$A$5:$C$623,3))))))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Flac.",P46*M46)))))))))</f>
        <v/>
      </c>
      <c r="R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08" t="n">
        <f aca="false">IF(ISBLANK(VLOOKUP(D47,'Volumes flacons'!A5:C623,3)),0,1)</f>
        <v>1</v>
      </c>
      <c r="B47" s="109" t="n">
        <f aca="false">IF(ISBLANK(D47),0,IF(ISBLANK(E47),0,IF(ISBLANK(F47),0,1)))</f>
        <v>0</v>
      </c>
      <c r="C47" s="124" t="n">
        <v>13</v>
      </c>
      <c r="D47" s="125"/>
      <c r="E47" s="125"/>
      <c r="F47" s="126"/>
      <c r="G47" s="127"/>
      <c r="H47" s="125"/>
      <c r="I47" s="125"/>
      <c r="J47" s="128" t="str">
        <f aca="false">IF(ISBLANK(D47),"",IF(VLOOKUP(D47,'Volumes flacons'!$A$5:$C$623,2)=0,"",IF(D47&gt;'Volumes flacons'!$A$623,"Mauvais numéro",IF(D47&lt;'Volumes flacons'!$A$5,"Mauvais numéro",(VLOOKUP(D47,'Volumes flacons'!$A$5:$C$623,3))))))</f>
        <v/>
      </c>
      <c r="K47" s="129" t="str">
        <f aca="false">IF(ISBLANK(E47),"",(0.000824493-(0.0000040899*E47)+(0.000000076438*E47^2)-(0.00000000082467*E47^3)+(0.0000000000053875*E47^4)))</f>
        <v/>
      </c>
      <c r="L47" s="129" t="str">
        <f aca="false">IF(ISBLANK(E47),"",(-0.00000572466+(0.00000010227*E47)-(0.0000000016546*E47^2)))</f>
        <v/>
      </c>
      <c r="M47" s="129" t="str">
        <f aca="false">IF(ISBLANK(E47),"",IF(ISBLANK(G47),(O47+(K47*35)+(L47*35^1.5)+(0.00000048314*35^2)),(O47+(K47*G47)+(L47*G47^1.5)+(0.00000048314*G47^2))))</f>
        <v/>
      </c>
      <c r="N47" s="130" t="str">
        <f aca="false">IF(ISBLANK(D47),"",IF(ISBLANK(G47),J47*(1+0.00001*(35-20)),J47*(1+0.00001*(G47-20))))</f>
        <v/>
      </c>
      <c r="O47" s="129" t="str">
        <f aca="false">IF(ISBLANK(E47),"",(0.999842594+(0.00006793952*E47)-(0.00000909529*E47^2)+(0.0000001001685*E47^3)-(0.000000001120083*E47^4)+(0.000000000006536332*E47^5)))</f>
        <v/>
      </c>
      <c r="P47" s="13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Flac.",P47*M47)))))))))</f>
        <v/>
      </c>
      <c r="R47" s="133"/>
      <c r="S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08" t="n">
        <f aca="false">IF(ISBLANK(VLOOKUP(D48,'Volumes flacons'!A5:C623,3)),0,1)</f>
        <v>1</v>
      </c>
      <c r="B48" s="109" t="n">
        <f aca="false">IF(ISBLANK(D48),0,IF(ISBLANK(E48),0,IF(ISBLANK(F48),0,1)))</f>
        <v>0</v>
      </c>
      <c r="C48" s="124" t="n">
        <v>14</v>
      </c>
      <c r="D48" s="125"/>
      <c r="E48" s="125"/>
      <c r="F48" s="126"/>
      <c r="G48" s="127"/>
      <c r="H48" s="125"/>
      <c r="I48" s="125"/>
      <c r="J48" s="128" t="str">
        <f aca="false">IF(ISBLANK(D48),"",IF(VLOOKUP(D48,'Volumes flacons'!$A$5:$C$623,2)=0,"",IF(D48&gt;'Volumes flacons'!$A$623,"Mauvais numéro",IF(D48&lt;'Volumes flacons'!$A$5,"Mauvais numéro",(VLOOKUP(D48,'Volumes flacons'!$A$5:$C$623,3))))))</f>
        <v/>
      </c>
      <c r="K48" s="129" t="str">
        <f aca="false">IF(ISBLANK(E48),"",(0.000824493-(0.0000040899*E48)+(0.000000076438*E48^2)-(0.00000000082467*E48^3)+(0.0000000000053875*E48^4)))</f>
        <v/>
      </c>
      <c r="L48" s="129" t="str">
        <f aca="false">IF(ISBLANK(E48),"",(-0.00000572466+(0.00000010227*E48)-(0.0000000016546*E48^2)))</f>
        <v/>
      </c>
      <c r="M48" s="129" t="str">
        <f aca="false">IF(ISBLANK(E48),"",IF(ISBLANK(G48),(O48+(K48*35)+(L48*35^1.5)+(0.00000048314*35^2)),(O48+(K48*G48)+(L48*G48^1.5)+(0.00000048314*G48^2))))</f>
        <v/>
      </c>
      <c r="N48" s="130" t="str">
        <f aca="false">IF(ISBLANK(D48),"",IF(ISBLANK(G48),J48*(1+0.00001*(35-20)),J48*(1+0.00001*(G48-20))))</f>
        <v/>
      </c>
      <c r="O48" s="129" t="str">
        <f aca="false">IF(ISBLANK(E48),"",(0.999842594+(0.00006793952*E48)-(0.00000909529*E48^2)+(0.0000001001685*E48^3)-(0.000000001120083*E48^4)+(0.000000000006536332*E48^5)))</f>
        <v/>
      </c>
      <c r="P48" s="13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Flac.",P48*M48)))))))))</f>
        <v/>
      </c>
      <c r="R48" s="133"/>
      <c r="S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08" t="n">
        <f aca="false">IF(ISBLANK(VLOOKUP(D49,'Volumes flacons'!A5:C623,3)),0,1)</f>
        <v>1</v>
      </c>
      <c r="B49" s="109" t="n">
        <f aca="false">IF(ISBLANK(D49),0,IF(ISBLANK(E49),0,IF(ISBLANK(F49),0,1)))</f>
        <v>0</v>
      </c>
      <c r="C49" s="124" t="n">
        <v>15</v>
      </c>
      <c r="D49" s="125"/>
      <c r="E49" s="125"/>
      <c r="F49" s="126"/>
      <c r="G49" s="127"/>
      <c r="H49" s="125"/>
      <c r="I49" s="125"/>
      <c r="J49" s="128" t="str">
        <f aca="false">IF(ISBLANK(D49),"",IF(VLOOKUP(D49,'Volumes flacons'!$A$5:$C$623,2)=0,"",IF(D49&gt;'Volumes flacons'!$A$623,"Mauvais numéro",IF(D49&lt;'Volumes flacons'!$A$5,"Mauvais numéro",(VLOOKUP(D49,'Volumes flacons'!$A$5:$C$623,3))))))</f>
        <v/>
      </c>
      <c r="K49" s="129" t="str">
        <f aca="false">IF(ISBLANK(E49),"",(0.000824493-(0.0000040899*E49)+(0.000000076438*E49^2)-(0.00000000082467*E49^3)+(0.0000000000053875*E49^4)))</f>
        <v/>
      </c>
      <c r="L49" s="129" t="str">
        <f aca="false">IF(ISBLANK(E49),"",(-0.00000572466+(0.00000010227*E49)-(0.0000000016546*E49^2)))</f>
        <v/>
      </c>
      <c r="M49" s="129" t="str">
        <f aca="false">IF(ISBLANK(E49),"",IF(ISBLANK(G49),(O49+(K49*35)+(L49*35^1.5)+(0.00000048314*35^2)),(O49+(K49*G49)+(L49*G49^1.5)+(0.00000048314*G49^2))))</f>
        <v/>
      </c>
      <c r="N49" s="130" t="str">
        <f aca="false">IF(ISBLANK(D49),"",IF(ISBLANK(G49),J49*(1+0.00001*(35-20)),J49*(1+0.00001*(G49-20))))</f>
        <v/>
      </c>
      <c r="O49" s="129" t="str">
        <f aca="false">IF(ISBLANK(E49),"",(0.999842594+(0.00006793952*E49)-(0.00000909529*E49^2)+(0.0000001001685*E49^3)-(0.000000001120083*E49^4)+(0.000000000006536332*E49^5)))</f>
        <v/>
      </c>
      <c r="P49" s="13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Flac.",P49*M49)))))))))</f>
        <v/>
      </c>
      <c r="R49" s="133"/>
      <c r="S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08" t="n">
        <f aca="false">IF(ISBLANK(VLOOKUP(D50,'Volumes flacons'!A5:C623,3)),0,1)</f>
        <v>1</v>
      </c>
      <c r="B50" s="109" t="n">
        <f aca="false">IF(ISBLANK(D50),0,IF(ISBLANK(E50),0,IF(ISBLANK(F50),0,1)))</f>
        <v>0</v>
      </c>
      <c r="C50" s="124" t="n">
        <v>16</v>
      </c>
      <c r="D50" s="125"/>
      <c r="E50" s="125"/>
      <c r="F50" s="126"/>
      <c r="G50" s="127"/>
      <c r="H50" s="125"/>
      <c r="I50" s="125"/>
      <c r="J50" s="128" t="str">
        <f aca="false">IF(ISBLANK(D50),"",IF(VLOOKUP(D50,'Volumes flacons'!$A$5:$C$623,2)=0,"",IF(D50&gt;'Volumes flacons'!$A$623,"Mauvais numéro",IF(D50&lt;'Volumes flacons'!$A$5,"Mauvais numéro",(VLOOKUP(D50,'Volumes flacons'!$A$5:$C$623,3))))))</f>
        <v/>
      </c>
      <c r="K50" s="129" t="str">
        <f aca="false">IF(ISBLANK(E50),"",(0.000824493-(0.0000040899*E50)+(0.000000076438*E50^2)-(0.00000000082467*E50^3)+(0.0000000000053875*E50^4)))</f>
        <v/>
      </c>
      <c r="L50" s="129" t="str">
        <f aca="false">IF(ISBLANK(E50),"",(-0.00000572466+(0.00000010227*E50)-(0.0000000016546*E50^2)))</f>
        <v/>
      </c>
      <c r="M50" s="129" t="str">
        <f aca="false">IF(ISBLANK(E50),"",IF(ISBLANK(G50),(O50+(K50*35)+(L50*35^1.5)+(0.00000048314*35^2)),(O50+(K50*G50)+(L50*G50^1.5)+(0.00000048314*G50^2))))</f>
        <v/>
      </c>
      <c r="N50" s="130" t="str">
        <f aca="false">IF(ISBLANK(D50),"",IF(ISBLANK(G50),J50*(1+0.00001*(35-20)),J50*(1+0.00001*(G50-20))))</f>
        <v/>
      </c>
      <c r="O50" s="129" t="str">
        <f aca="false">IF(ISBLANK(E50),"",(0.999842594+(0.00006793952*E50)-(0.00000909529*E50^2)+(0.0000001001685*E50^3)-(0.000000001120083*E50^4)+(0.000000000006536332*E50^5)))</f>
        <v/>
      </c>
      <c r="P50" s="13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Flac.",P50*M50)))))))))</f>
        <v/>
      </c>
      <c r="R50" s="133"/>
      <c r="S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08" t="n">
        <f aca="false">IF(ISBLANK(VLOOKUP(D51,'Volumes flacons'!A5:C623,3)),0,1)</f>
        <v>1</v>
      </c>
      <c r="B51" s="109" t="n">
        <f aca="false">IF(ISBLANK(D51),0,IF(ISBLANK(E51),0,IF(ISBLANK(F51),0,1)))</f>
        <v>0</v>
      </c>
      <c r="C51" s="124" t="n">
        <v>17</v>
      </c>
      <c r="D51" s="125"/>
      <c r="E51" s="125"/>
      <c r="F51" s="126"/>
      <c r="G51" s="127"/>
      <c r="H51" s="125"/>
      <c r="I51" s="125"/>
      <c r="J51" s="128" t="str">
        <f aca="false">IF(ISBLANK(D51),"",IF(VLOOKUP(D51,'Volumes flacons'!$A$5:$C$623,2)=0,"",IF(D51&gt;'Volumes flacons'!$A$623,"Mauvais numéro",IF(D51&lt;'Volumes flacons'!$A$5,"Mauvais numéro",(VLOOKUP(D51,'Volumes flacons'!$A$5:$C$623,3))))))</f>
        <v/>
      </c>
      <c r="K51" s="129" t="str">
        <f aca="false">IF(ISBLANK(E51),"",(0.000824493-(0.0000040899*E51)+(0.000000076438*E51^2)-(0.00000000082467*E51^3)+(0.0000000000053875*E51^4)))</f>
        <v/>
      </c>
      <c r="L51" s="129" t="str">
        <f aca="false">IF(ISBLANK(E51),"",(-0.00000572466+(0.00000010227*E51)-(0.0000000016546*E51^2)))</f>
        <v/>
      </c>
      <c r="M51" s="129" t="str">
        <f aca="false">IF(ISBLANK(E51),"",IF(ISBLANK(G51),(O51+(K51*35)+(L51*35^1.5)+(0.00000048314*35^2)),(O51+(K51*G51)+(L51*G51^1.5)+(0.00000048314*G51^2))))</f>
        <v/>
      </c>
      <c r="N51" s="130" t="str">
        <f aca="false">IF(ISBLANK(D51),"",IF(ISBLANK(G51),J51*(1+0.00001*(35-20)),J51*(1+0.00001*(G51-20))))</f>
        <v/>
      </c>
      <c r="O51" s="129" t="str">
        <f aca="false">IF(ISBLANK(E51),"",(0.999842594+(0.00006793952*E51)-(0.00000909529*E51^2)+(0.0000001001685*E51^3)-(0.000000001120083*E51^4)+(0.000000000006536332*E51^5)))</f>
        <v/>
      </c>
      <c r="P51" s="13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Flac.",P51*M51)))))))))</f>
        <v/>
      </c>
      <c r="R51" s="133"/>
      <c r="S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08" t="n">
        <f aca="false">IF(ISBLANK(VLOOKUP(D52,'Volumes flacons'!A5:C623,3)),0,1)</f>
        <v>1</v>
      </c>
      <c r="B52" s="109" t="n">
        <f aca="false">IF(ISBLANK(D52),0,IF(ISBLANK(E52),0,IF(ISBLANK(F52),0,1)))</f>
        <v>0</v>
      </c>
      <c r="C52" s="124" t="n">
        <v>18</v>
      </c>
      <c r="D52" s="125"/>
      <c r="E52" s="125"/>
      <c r="F52" s="126"/>
      <c r="G52" s="127"/>
      <c r="H52" s="125"/>
      <c r="I52" s="125"/>
      <c r="J52" s="128" t="str">
        <f aca="false">IF(ISBLANK(D52),"",IF(VLOOKUP(D52,'Volumes flacons'!$A$5:$C$623,2)=0,"",IF(D52&gt;'Volumes flacons'!$A$623,"Mauvais numéro",IF(D52&lt;'Volumes flacons'!$A$5,"Mauvais numéro",(VLOOKUP(D52,'Volumes flacons'!$A$5:$C$623,3))))))</f>
        <v/>
      </c>
      <c r="K52" s="129" t="str">
        <f aca="false">IF(ISBLANK(E52),"",(0.000824493-(0.0000040899*E52)+(0.000000076438*E52^2)-(0.00000000082467*E52^3)+(0.0000000000053875*E52^4)))</f>
        <v/>
      </c>
      <c r="L52" s="129" t="str">
        <f aca="false">IF(ISBLANK(E52),"",(-0.00000572466+(0.00000010227*E52)-(0.0000000016546*E52^2)))</f>
        <v/>
      </c>
      <c r="M52" s="129" t="str">
        <f aca="false">IF(ISBLANK(E52),"",IF(ISBLANK(G52),(O52+(K52*35)+(L52*35^1.5)+(0.00000048314*35^2)),(O52+(K52*G52)+(L52*G52^1.5)+(0.00000048314*G52^2))))</f>
        <v/>
      </c>
      <c r="N52" s="130" t="str">
        <f aca="false">IF(ISBLANK(D52),"",IF(ISBLANK(G52),J52*(1+0.00001*(35-20)),J52*(1+0.00001*(G52-20))))</f>
        <v/>
      </c>
      <c r="O52" s="129" t="str">
        <f aca="false">IF(ISBLANK(E52),"",(0.999842594+(0.00006793952*E52)-(0.00000909529*E52^2)+(0.0000001001685*E52^3)-(0.000000001120083*E52^4)+(0.000000000006536332*E52^5)))</f>
        <v/>
      </c>
      <c r="P52" s="13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Flac.",P52*M52)))))))))</f>
        <v/>
      </c>
      <c r="R52" s="133"/>
      <c r="S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08" t="n">
        <f aca="false">IF(ISBLANK(VLOOKUP(D53,'Volumes flacons'!A5:C623,3)),0,1)</f>
        <v>1</v>
      </c>
      <c r="B53" s="109" t="n">
        <f aca="false">IF(ISBLANK(D53),0,IF(ISBLANK(E53),0,IF(ISBLANK(F53),0,1)))</f>
        <v>0</v>
      </c>
      <c r="C53" s="124" t="n">
        <v>19</v>
      </c>
      <c r="D53" s="125"/>
      <c r="E53" s="125"/>
      <c r="F53" s="126"/>
      <c r="G53" s="127"/>
      <c r="H53" s="125"/>
      <c r="I53" s="125"/>
      <c r="J53" s="128" t="str">
        <f aca="false">IF(ISBLANK(D53),"",IF(VLOOKUP(D53,'Volumes flacons'!$A$5:$C$623,2)=0,"",IF(D53&gt;'Volumes flacons'!$A$623,"Mauvais numéro",IF(D53&lt;'Volumes flacons'!$A$5,"Mauvais numéro",(VLOOKUP(D53,'Volumes flacons'!$A$5:$C$623,3))))))</f>
        <v/>
      </c>
      <c r="K53" s="129" t="str">
        <f aca="false">IF(ISBLANK(E53),"",(0.000824493-(0.0000040899*E53)+(0.000000076438*E53^2)-(0.00000000082467*E53^3)+(0.0000000000053875*E53^4)))</f>
        <v/>
      </c>
      <c r="L53" s="129" t="str">
        <f aca="false">IF(ISBLANK(E53),"",(-0.00000572466+(0.00000010227*E53)-(0.0000000016546*E53^2)))</f>
        <v/>
      </c>
      <c r="M53" s="129" t="str">
        <f aca="false">IF(ISBLANK(E53),"",IF(ISBLANK(G53),(O53+(K53*35)+(L53*35^1.5)+(0.00000048314*35^2)),(O53+(K53*G53)+(L53*G53^1.5)+(0.00000048314*G53^2))))</f>
        <v/>
      </c>
      <c r="N53" s="130" t="str">
        <f aca="false">IF(ISBLANK(D53),"",IF(ISBLANK(G53),J53*(1+0.00001*(35-20)),J53*(1+0.00001*(G53-20))))</f>
        <v/>
      </c>
      <c r="O53" s="129" t="str">
        <f aca="false">IF(ISBLANK(E53),"",(0.999842594+(0.00006793952*E53)-(0.00000909529*E53^2)+(0.0000001001685*E53^3)-(0.000000001120083*E53^4)+(0.000000000006536332*E53^5)))</f>
        <v/>
      </c>
      <c r="P53" s="13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Flac.",P53*M53)))))))))</f>
        <v/>
      </c>
      <c r="R53" s="133"/>
      <c r="S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08" t="n">
        <f aca="false">IF(ISBLANK(VLOOKUP(D54,'Volumes flacons'!A5:C623,3)),0,1)</f>
        <v>1</v>
      </c>
      <c r="B54" s="109" t="n">
        <f aca="false">IF(ISBLANK(D54),0,IF(ISBLANK(E54),0,IF(ISBLANK(F54),0,1)))</f>
        <v>0</v>
      </c>
      <c r="C54" s="124" t="n">
        <v>20</v>
      </c>
      <c r="D54" s="125"/>
      <c r="E54" s="125"/>
      <c r="F54" s="126"/>
      <c r="G54" s="127"/>
      <c r="H54" s="125"/>
      <c r="I54" s="125"/>
      <c r="J54" s="128" t="str">
        <f aca="false">IF(ISBLANK(D54),"",IF(VLOOKUP(D54,'Volumes flacons'!$A$5:$C$623,2)=0,"",IF(D54&gt;'Volumes flacons'!$A$623,"Mauvais numéro",IF(D54&lt;'Volumes flacons'!$A$5,"Mauvais numéro",(VLOOKUP(D54,'Volumes flacons'!$A$5:$C$623,3))))))</f>
        <v/>
      </c>
      <c r="K54" s="129" t="str">
        <f aca="false">IF(ISBLANK(E54),"",(0.000824493-(0.0000040899*E54)+(0.000000076438*E54^2)-(0.00000000082467*E54^3)+(0.0000000000053875*E54^4)))</f>
        <v/>
      </c>
      <c r="L54" s="129" t="str">
        <f aca="false">IF(ISBLANK(E54),"",(-0.00000572466+(0.00000010227*E54)-(0.0000000016546*E54^2)))</f>
        <v/>
      </c>
      <c r="M54" s="129" t="str">
        <f aca="false">IF(ISBLANK(E54),"",IF(ISBLANK(G54),(O54+(K54*35)+(L54*35^1.5)+(0.00000048314*35^2)),(O54+(K54*G54)+(L54*G54^1.5)+(0.00000048314*G54^2))))</f>
        <v/>
      </c>
      <c r="N54" s="130" t="str">
        <f aca="false">IF(ISBLANK(D54),"",IF(ISBLANK(G54),J54*(1+0.00001*(35-20)),J54*(1+0.00001*(G54-20))))</f>
        <v/>
      </c>
      <c r="O54" s="129" t="str">
        <f aca="false">IF(ISBLANK(E54),"",(0.999842594+(0.00006793952*E54)-(0.00000909529*E54^2)+(0.0000001001685*E54^3)-(0.000000001120083*E54^4)+(0.000000000006536332*E54^5)))</f>
        <v/>
      </c>
      <c r="P54" s="13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Flac.",P54*M54)))))))))</f>
        <v/>
      </c>
      <c r="R54" s="133"/>
      <c r="S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08" t="n">
        <f aca="false">IF(ISBLANK(VLOOKUP(D55,'Volumes flacons'!A5:C623,3)),0,1)</f>
        <v>1</v>
      </c>
      <c r="B55" s="109" t="n">
        <f aca="false">IF(ISBLANK(D55),0,IF(ISBLANK(E55),0,IF(ISBLANK(F55),0,1)))</f>
        <v>0</v>
      </c>
      <c r="C55" s="124" t="n">
        <v>21</v>
      </c>
      <c r="D55" s="125"/>
      <c r="E55" s="125"/>
      <c r="F55" s="126"/>
      <c r="G55" s="127"/>
      <c r="H55" s="125"/>
      <c r="I55" s="125"/>
      <c r="J55" s="128" t="str">
        <f aca="false">IF(ISBLANK(D55),"",IF(VLOOKUP(D55,'Volumes flacons'!$A$5:$C$623,2)=0,"",IF(D55&gt;'Volumes flacons'!$A$623,"Mauvais numéro",IF(D55&lt;'Volumes flacons'!$A$5,"Mauvais numéro",(VLOOKUP(D55,'Volumes flacons'!$A$5:$C$623,3))))))</f>
        <v/>
      </c>
      <c r="K55" s="129" t="str">
        <f aca="false">IF(ISBLANK(E55),"",(0.000824493-(0.0000040899*E55)+(0.000000076438*E55^2)-(0.00000000082467*E55^3)+(0.0000000000053875*E55^4)))</f>
        <v/>
      </c>
      <c r="L55" s="129" t="str">
        <f aca="false">IF(ISBLANK(E55),"",(-0.00000572466+(0.00000010227*E55)-(0.0000000016546*E55^2)))</f>
        <v/>
      </c>
      <c r="M55" s="129" t="str">
        <f aca="false">IF(ISBLANK(E55),"",IF(ISBLANK(G55),(O55+(K55*35)+(L55*35^1.5)+(0.00000048314*35^2)),(O55+(K55*G55)+(L55*G55^1.5)+(0.00000048314*G55^2))))</f>
        <v/>
      </c>
      <c r="N55" s="130" t="str">
        <f aca="false">IF(ISBLANK(D55),"",IF(ISBLANK(G55),J55*(1+0.00001*(35-20)),J55*(1+0.00001*(G55-20))))</f>
        <v/>
      </c>
      <c r="O55" s="129" t="str">
        <f aca="false">IF(ISBLANK(E55),"",(0.999842594+(0.00006793952*E55)-(0.00000909529*E55^2)+(0.0000001001685*E55^3)-(0.000000001120083*E55^4)+(0.000000000006536332*E55^5)))</f>
        <v/>
      </c>
      <c r="P55" s="13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Flac.",P55*M55)))))))))</f>
        <v/>
      </c>
      <c r="R55" s="133"/>
      <c r="S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08" t="n">
        <f aca="false">IF(ISBLANK(VLOOKUP(D56,'Volumes flacons'!A5:C623,3)),0,1)</f>
        <v>1</v>
      </c>
      <c r="B56" s="109" t="n">
        <f aca="false">IF(ISBLANK(D56),0,IF(ISBLANK(E56),0,IF(ISBLANK(F56),0,1)))</f>
        <v>0</v>
      </c>
      <c r="C56" s="124" t="n">
        <v>22</v>
      </c>
      <c r="D56" s="125"/>
      <c r="E56" s="125"/>
      <c r="F56" s="126"/>
      <c r="G56" s="127"/>
      <c r="H56" s="125"/>
      <c r="I56" s="125"/>
      <c r="J56" s="128" t="str">
        <f aca="false">IF(ISBLANK(D56),"",IF(VLOOKUP(D56,'Volumes flacons'!$A$5:$C$623,2)=0,"",IF(D56&gt;'Volumes flacons'!$A$623,"Mauvais numéro",IF(D56&lt;'Volumes flacons'!$A$5,"Mauvais numéro",(VLOOKUP(D56,'Volumes flacons'!$A$5:$C$623,3))))))</f>
        <v/>
      </c>
      <c r="K56" s="129" t="str">
        <f aca="false">IF(ISBLANK(E56),"",(0.000824493-(0.0000040899*E56)+(0.000000076438*E56^2)-(0.00000000082467*E56^3)+(0.0000000000053875*E56^4)))</f>
        <v/>
      </c>
      <c r="L56" s="129" t="str">
        <f aca="false">IF(ISBLANK(E56),"",(-0.00000572466+(0.00000010227*E56)-(0.0000000016546*E56^2)))</f>
        <v/>
      </c>
      <c r="M56" s="129" t="str">
        <f aca="false">IF(ISBLANK(E56),"",IF(ISBLANK(G56),(O56+(K56*35)+(L56*35^1.5)+(0.00000048314*35^2)),(O56+(K56*G56)+(L56*G56^1.5)+(0.00000048314*G56^2))))</f>
        <v/>
      </c>
      <c r="N56" s="130" t="str">
        <f aca="false">IF(ISBLANK(D56),"",IF(ISBLANK(G56),J56*(1+0.00001*(35-20)),J56*(1+0.00001*(G56-20))))</f>
        <v/>
      </c>
      <c r="O56" s="129" t="str">
        <f aca="false">IF(ISBLANK(E56),"",(0.999842594+(0.00006793952*E56)-(0.00000909529*E56^2)+(0.0000001001685*E56^3)-(0.000000001120083*E56^4)+(0.000000000006536332*E56^5)))</f>
        <v/>
      </c>
      <c r="P56" s="13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Flac.",P56*M56)))))))))</f>
        <v/>
      </c>
      <c r="R56" s="133"/>
      <c r="S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08" t="n">
        <f aca="false">IF(ISBLANK(VLOOKUP(D57,'Volumes flacons'!A5:C623,3)),0,1)</f>
        <v>1</v>
      </c>
      <c r="B57" s="109" t="n">
        <f aca="false">IF(ISBLANK(D57),0,IF(ISBLANK(E57),0,IF(ISBLANK(F57),0,1)))</f>
        <v>0</v>
      </c>
      <c r="C57" s="124" t="n">
        <v>23</v>
      </c>
      <c r="D57" s="125"/>
      <c r="E57" s="125"/>
      <c r="F57" s="126"/>
      <c r="G57" s="127"/>
      <c r="H57" s="125"/>
      <c r="I57" s="125"/>
      <c r="J57" s="128" t="str">
        <f aca="false">IF(ISBLANK(D57),"",IF(VLOOKUP(D57,'Volumes flacons'!$A$5:$C$623,2)=0,"",IF(D57&gt;'Volumes flacons'!$A$623,"Mauvais numéro",IF(D57&lt;'Volumes flacons'!$A$5,"Mauvais numéro",(VLOOKUP(D57,'Volumes flacons'!$A$5:$C$623,3))))))</f>
        <v/>
      </c>
      <c r="K57" s="129" t="str">
        <f aca="false">IF(ISBLANK(E57),"",(0.000824493-(0.0000040899*E57)+(0.000000076438*E57^2)-(0.00000000082467*E57^3)+(0.0000000000053875*E57^4)))</f>
        <v/>
      </c>
      <c r="L57" s="129" t="str">
        <f aca="false">IF(ISBLANK(E57),"",(-0.00000572466+(0.00000010227*E57)-(0.0000000016546*E57^2)))</f>
        <v/>
      </c>
      <c r="M57" s="129" t="str">
        <f aca="false">IF(ISBLANK(E57),"",IF(ISBLANK(G57),(O57+(K57*35)+(L57*35^1.5)+(0.00000048314*35^2)),(O57+(K57*G57)+(L57*G57^1.5)+(0.00000048314*G57^2))))</f>
        <v/>
      </c>
      <c r="N57" s="130" t="str">
        <f aca="false">IF(ISBLANK(D57),"",IF(ISBLANK(G57),J57*(1+0.00001*(35-20)),J57*(1+0.00001*(G57-20))))</f>
        <v/>
      </c>
      <c r="O57" s="129" t="str">
        <f aca="false">IF(ISBLANK(E57),"",(0.999842594+(0.00006793952*E57)-(0.00000909529*E57^2)+(0.0000001001685*E57^3)-(0.000000001120083*E57^4)+(0.000000000006536332*E57^5)))</f>
        <v/>
      </c>
      <c r="P57" s="13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Flac.",P57*M57)))))))))</f>
        <v/>
      </c>
      <c r="R57" s="133"/>
      <c r="S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5.75" hidden="false" customHeight="false" outlineLevel="0" collapsed="false">
      <c r="A58" s="108" t="n">
        <f aca="false">IF(ISBLANK(VLOOKUP(D58,'Volumes flacons'!A5:C623,3)),0,1)</f>
        <v>1</v>
      </c>
      <c r="B58" s="109" t="n">
        <f aca="false">IF(ISBLANK(D58),0,IF(ISBLANK(E58),0,IF(ISBLANK(F58),0,1)))</f>
        <v>0</v>
      </c>
      <c r="C58" s="141" t="n">
        <v>24</v>
      </c>
      <c r="D58" s="142"/>
      <c r="E58" s="142"/>
      <c r="F58" s="143"/>
      <c r="G58" s="144"/>
      <c r="H58" s="142"/>
      <c r="I58" s="142"/>
      <c r="J58" s="145" t="str">
        <f aca="false">IF(ISBLANK(D58),"",IF(VLOOKUP(D58,'Volumes flacons'!$A$5:$C$623,2)=0,"",IF(D58&gt;'Volumes flacons'!$A$623,"Mauvais numéro",IF(D58&lt;'Volumes flacons'!$A$5,"Mauvais numéro",(VLOOKUP(D58,'Volumes flacons'!$A$5:$C$623,3))))))</f>
        <v/>
      </c>
      <c r="K58" s="146" t="str">
        <f aca="false">IF(ISBLANK(E58),"",(0.000824493-(0.0000040899*E58)+(0.000000076438*E58^2)-(0.00000000082467*E58^3)+(0.0000000000053875*E58^4)))</f>
        <v/>
      </c>
      <c r="L58" s="146" t="str">
        <f aca="false">IF(ISBLANK(E58),"",(-0.00000572466+(0.00000010227*E58)-(0.0000000016546*E58^2)))</f>
        <v/>
      </c>
      <c r="M58" s="146" t="str">
        <f aca="false">IF(ISBLANK(E58),"",IF(ISBLANK(G58),(O58+(K58*35)+(L58*35^1.5)+(0.00000048314*35^2)),(O58+(K58*G58)+(L58*G58^1.5)+(0.00000048314*G58^2))))</f>
        <v/>
      </c>
      <c r="N58" s="147" t="str">
        <f aca="false">IF(ISBLANK(D58),"",IF(ISBLANK(G58),J58*(1+0.00001*(35-20)),J58*(1+0.00001*(G58-20))))</f>
        <v/>
      </c>
      <c r="O58" s="146" t="str">
        <f aca="false">IF(ISBLANK(E58),"",(0.999842594+(0.00006793952*E58)-(0.00000909529*E58^2)+(0.0000001001685*E58^3)-(0.000000001120083*E58^4)+(0.000000000006536332*E58^5)))</f>
        <v/>
      </c>
      <c r="P58" s="14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4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Flac.",P58*M58)))))))))</f>
        <v/>
      </c>
      <c r="R58" s="150"/>
      <c r="S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2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53" t="s">
        <v>146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Q11" activeCellId="1" sqref="Q10:R10 Q1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11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40625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3°0</v>
      </c>
      <c r="P9" s="29" t="s">
        <v>13</v>
      </c>
      <c r="Q9" s="0" t="n">
        <v>3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12</v>
      </c>
      <c r="J10" s="29" t="n">
        <v>30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3" t="str">
        <f aca="false">IF(ISBLANK(I10),"",IF(ISBLANK(J10),"",IF(P10=N10,L10&amp;N12,N12)))</f>
        <v>-12°30</v>
      </c>
      <c r="P10" s="29" t="s">
        <v>17</v>
      </c>
      <c r="Q10" s="0" t="n">
        <v>-12.5</v>
      </c>
      <c r="S10" s="34"/>
      <c r="T10" s="34"/>
    </row>
    <row r="11" customFormat="false" ht="13.8" hidden="false" customHeight="false" outlineLevel="0" collapsed="false">
      <c r="G11" s="35" t="s">
        <v>18</v>
      </c>
      <c r="H11" s="35"/>
      <c r="I11" s="36" t="s">
        <v>19</v>
      </c>
      <c r="J11" s="37" t="n">
        <v>40623</v>
      </c>
      <c r="K11" s="37"/>
      <c r="L11" s="37"/>
      <c r="M11" s="37"/>
      <c r="N11" s="38" t="str">
        <f aca="false">I9&amp;"°"&amp;J9</f>
        <v>3°0</v>
      </c>
      <c r="O11" s="39" t="n">
        <f aca="false">IF(P9=M10,-1,1)</f>
        <v>1</v>
      </c>
      <c r="P11" s="0" t="s">
        <v>147</v>
      </c>
      <c r="T11" s="40"/>
      <c r="U11" s="40"/>
      <c r="V11" s="5"/>
      <c r="W11" s="5"/>
    </row>
    <row r="12" customFormat="false" ht="13.8" hidden="false" customHeight="false" outlineLevel="0" collapsed="false">
      <c r="G12" s="35"/>
      <c r="H12" s="35"/>
      <c r="I12" s="41" t="s">
        <v>21</v>
      </c>
      <c r="J12" s="42" t="n">
        <v>0.625</v>
      </c>
      <c r="K12" s="42"/>
      <c r="L12" s="42"/>
      <c r="M12" s="42"/>
      <c r="N12" s="43" t="str">
        <f aca="false">I10&amp;"°"&amp;J10</f>
        <v>12°30</v>
      </c>
      <c r="O12" s="39" t="n">
        <f aca="false">IF(P10=N10,-1,1)</f>
        <v>-1</v>
      </c>
      <c r="T12" s="40"/>
      <c r="U12" s="40"/>
      <c r="V12" s="5"/>
      <c r="W12" s="5"/>
    </row>
    <row r="13" customFormat="false" ht="15" hidden="false" customHeight="false" outlineLevel="0" collapsed="false">
      <c r="C13" s="44" t="s">
        <v>22</v>
      </c>
      <c r="D13" s="44"/>
      <c r="E13" s="5"/>
      <c r="K13" s="45"/>
      <c r="L13" s="45"/>
      <c r="M13" s="45"/>
      <c r="N13" s="45"/>
      <c r="O13" s="45"/>
      <c r="P13" s="45"/>
      <c r="Q13" s="46"/>
    </row>
    <row r="14" customFormat="false" ht="15" hidden="false" customHeight="true" outlineLevel="0" collapsed="false">
      <c r="C14" s="47" t="s">
        <v>23</v>
      </c>
      <c r="D14" s="48"/>
      <c r="E14" s="48"/>
      <c r="F14" s="48"/>
      <c r="G14" s="48"/>
      <c r="H14" s="49"/>
      <c r="I14" s="49"/>
      <c r="J14" s="49"/>
      <c r="K14" s="48"/>
      <c r="L14" s="48"/>
      <c r="M14" s="48"/>
      <c r="N14" s="49"/>
      <c r="O14" s="50"/>
      <c r="P14" s="49"/>
      <c r="Q14" s="50" t="s">
        <v>24</v>
      </c>
      <c r="R14" s="51" t="n">
        <v>24.1</v>
      </c>
      <c r="S14" s="52" t="s">
        <v>25</v>
      </c>
    </row>
    <row r="15" customFormat="false" ht="14.25" hidden="false" customHeight="true" outlineLevel="0" collapsed="false">
      <c r="C15" s="53" t="s">
        <v>26</v>
      </c>
      <c r="D15" s="54"/>
      <c r="E15" s="54"/>
      <c r="F15" s="54"/>
      <c r="G15" s="54"/>
      <c r="H15" s="55"/>
      <c r="I15" s="55"/>
      <c r="J15" s="55"/>
      <c r="K15" s="54"/>
      <c r="L15" s="54"/>
      <c r="M15" s="54"/>
      <c r="N15" s="55"/>
      <c r="O15" s="56"/>
      <c r="P15" s="55"/>
      <c r="Q15" s="56" t="s">
        <v>27</v>
      </c>
      <c r="R15" s="57" t="n">
        <v>24.3</v>
      </c>
      <c r="S15" s="58" t="s">
        <v>25</v>
      </c>
    </row>
    <row r="16" customFormat="false" ht="15" hidden="false" customHeight="false" outlineLevel="0" collapsed="false">
      <c r="C16" s="53" t="s">
        <v>28</v>
      </c>
      <c r="D16" s="54"/>
      <c r="E16" s="54"/>
      <c r="F16" s="54"/>
      <c r="G16" s="54"/>
      <c r="H16" s="55"/>
      <c r="I16" s="55"/>
      <c r="J16" s="55"/>
      <c r="K16" s="54"/>
      <c r="L16" s="54"/>
      <c r="M16" s="54"/>
      <c r="N16" s="55"/>
      <c r="O16" s="56"/>
      <c r="P16" s="55"/>
      <c r="Q16" s="56" t="s">
        <v>29</v>
      </c>
      <c r="R16" s="59" t="n">
        <v>5.009</v>
      </c>
      <c r="S16" s="58" t="s">
        <v>30</v>
      </c>
    </row>
    <row r="17" customFormat="false" ht="15" hidden="false" customHeight="false" outlineLevel="0" collapsed="false">
      <c r="C17" s="60" t="s">
        <v>31</v>
      </c>
      <c r="D17" s="61"/>
      <c r="E17" s="61"/>
      <c r="F17" s="61"/>
      <c r="G17" s="61"/>
      <c r="H17" s="62"/>
      <c r="I17" s="62"/>
      <c r="J17" s="62"/>
      <c r="K17" s="61"/>
      <c r="L17" s="61"/>
      <c r="M17" s="61"/>
      <c r="N17" s="62"/>
      <c r="O17" s="63"/>
      <c r="P17" s="62"/>
      <c r="Q17" s="63" t="s">
        <v>32</v>
      </c>
      <c r="R17" s="64" t="n">
        <v>0.006</v>
      </c>
      <c r="S17" s="65" t="s">
        <v>30</v>
      </c>
    </row>
    <row r="18" customFormat="false" ht="14.25" hidden="true" customHeight="false" outlineLevel="0" collapsed="false">
      <c r="C18" s="66" t="s">
        <v>33</v>
      </c>
      <c r="D18" s="67"/>
      <c r="E18" s="67"/>
      <c r="F18" s="67"/>
      <c r="G18" s="67"/>
      <c r="H18" s="67"/>
      <c r="I18" s="67"/>
      <c r="J18" s="67"/>
      <c r="K18" s="68"/>
      <c r="L18" s="68"/>
      <c r="M18" s="68"/>
      <c r="N18" s="68"/>
      <c r="O18" s="69" t="s">
        <v>34</v>
      </c>
      <c r="P18" s="70" t="n">
        <f aca="false">(0.999842594+(0.00006793952*$R$14)-(0.00000909529*$R$14^2)+(0.0000001001685*$R$14^3)-(0.000000001120083*$R$14^4)+(0.000000000006536332*$R$14^5))</f>
        <v>0.997274702369966</v>
      </c>
      <c r="Q18" s="68"/>
      <c r="R18" s="6"/>
    </row>
    <row r="19" customFormat="false" ht="14.25" hidden="true" customHeight="false" outlineLevel="0" collapsed="false">
      <c r="C19" s="66" t="s">
        <v>35</v>
      </c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9" t="s">
        <v>36</v>
      </c>
      <c r="P19" s="70" t="n">
        <f aca="false">$P$24*($P$18/'Titre d''iodate'!E19)</f>
        <v>0.0199776368033</v>
      </c>
      <c r="Q19" s="68" t="s">
        <v>13</v>
      </c>
      <c r="R19" s="6"/>
    </row>
    <row r="20" customFormat="false" ht="14.25" hidden="true" customHeight="false" outlineLevel="0" collapsed="false">
      <c r="C20" s="66" t="s">
        <v>37</v>
      </c>
      <c r="D20" s="67"/>
      <c r="E20" s="67"/>
      <c r="F20" s="67"/>
      <c r="G20" s="67"/>
      <c r="H20" s="67"/>
      <c r="I20" s="67"/>
      <c r="J20" s="67"/>
      <c r="K20" s="68"/>
      <c r="L20" s="68"/>
      <c r="M20" s="68"/>
      <c r="N20" s="68"/>
      <c r="O20" s="69" t="s">
        <v>38</v>
      </c>
      <c r="P20" s="70" t="n">
        <f aca="false">5+'Correction de volume'!G8</f>
        <v>5.00308998756</v>
      </c>
      <c r="Q20" s="68" t="s">
        <v>30</v>
      </c>
      <c r="R20" s="6"/>
    </row>
    <row r="21" customFormat="false" ht="14.25" hidden="true" customHeight="false" outlineLevel="0" collapsed="false">
      <c r="C21" s="66" t="s">
        <v>39</v>
      </c>
      <c r="D21" s="67"/>
      <c r="E21" s="67"/>
      <c r="F21" s="67"/>
      <c r="G21" s="67"/>
      <c r="H21" s="67"/>
      <c r="I21" s="67"/>
      <c r="J21" s="67"/>
      <c r="K21" s="68"/>
      <c r="L21" s="68"/>
      <c r="M21" s="68"/>
      <c r="N21" s="68"/>
      <c r="O21" s="69" t="s">
        <v>40</v>
      </c>
      <c r="P21" s="70" t="n">
        <f aca="false">P20*(1+0.00001*(R14-20))</f>
        <v>5.00329511424949</v>
      </c>
      <c r="Q21" s="68" t="s">
        <v>30</v>
      </c>
      <c r="R21" s="6"/>
    </row>
    <row r="22" customFormat="false" ht="14.25" hidden="true" customHeight="false" outlineLevel="0" collapsed="false">
      <c r="C22" s="66" t="s">
        <v>41</v>
      </c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9" t="s">
        <v>42</v>
      </c>
      <c r="P22" s="71" t="n">
        <f aca="false">$R$16*(1+0.00001*(20-$R$14))</f>
        <v>5.008794631</v>
      </c>
      <c r="Q22" s="68" t="s">
        <v>30</v>
      </c>
      <c r="R22" s="6"/>
    </row>
    <row r="23" customFormat="false" ht="14.25" hidden="true" customHeight="false" outlineLevel="0" collapsed="false">
      <c r="C23" s="66" t="s">
        <v>43</v>
      </c>
      <c r="D23" s="67"/>
      <c r="E23" s="67"/>
      <c r="F23" s="67"/>
      <c r="G23" s="67"/>
      <c r="H23" s="67"/>
      <c r="I23" s="67"/>
      <c r="J23" s="67"/>
      <c r="K23" s="68"/>
      <c r="L23" s="68"/>
      <c r="M23" s="68"/>
      <c r="N23" s="68"/>
      <c r="O23" s="69" t="s">
        <v>44</v>
      </c>
      <c r="P23" s="71" t="n">
        <f aca="false">$R$17*(1+0.00001*(20-$R$14))</f>
        <v>0.005999754</v>
      </c>
      <c r="Q23" s="68" t="s">
        <v>30</v>
      </c>
      <c r="R23" s="6"/>
    </row>
    <row r="24" customFormat="false" ht="14.25" hidden="true" customHeight="false" outlineLevel="0" collapsed="false">
      <c r="C24" s="66" t="s">
        <v>45</v>
      </c>
      <c r="D24" s="67"/>
      <c r="E24" s="67"/>
      <c r="F24" s="67"/>
      <c r="G24" s="67"/>
      <c r="H24" s="67"/>
      <c r="I24" s="67"/>
      <c r="J24" s="67"/>
      <c r="K24" s="68"/>
      <c r="L24" s="68"/>
      <c r="M24" s="68"/>
      <c r="N24" s="68"/>
      <c r="O24" s="69" t="s">
        <v>46</v>
      </c>
      <c r="P24" s="55" t="n">
        <f aca="false">MAX('Titre d''iodate'!F7:F10)</f>
        <v>0.0199962991701183</v>
      </c>
      <c r="Q24" s="68" t="s">
        <v>13</v>
      </c>
      <c r="R24" s="6"/>
    </row>
    <row r="25" customFormat="false" ht="14.25" hidden="true" customHeight="false" outlineLevel="0" collapsed="false">
      <c r="C25" s="66" t="s">
        <v>47</v>
      </c>
      <c r="D25" s="67"/>
      <c r="E25" s="67"/>
      <c r="F25" s="67"/>
      <c r="G25" s="67"/>
      <c r="H25" s="67"/>
      <c r="I25" s="67"/>
      <c r="J25" s="67"/>
      <c r="K25" s="68"/>
      <c r="L25" s="68"/>
      <c r="M25" s="68"/>
      <c r="N25" s="68"/>
      <c r="O25" s="69" t="s">
        <v>48</v>
      </c>
      <c r="P25" s="55" t="n">
        <f aca="false">IF(ISBLANK(R14),"",IF(ISBLANK(P21),"",IF(ISBLANK(R17),"",(($P$24*$P$18)/($P$22-$P$23)))))</f>
        <v>0.0039861325106615</v>
      </c>
      <c r="Q25" s="68" t="s">
        <v>13</v>
      </c>
      <c r="R25" s="6"/>
    </row>
    <row r="26" customFormat="false" ht="14.25" hidden="true" customHeight="false" outlineLevel="0" collapsed="false">
      <c r="C26" s="72" t="s">
        <v>49</v>
      </c>
      <c r="D26" s="73"/>
      <c r="E26" s="73"/>
      <c r="F26" s="73"/>
      <c r="G26" s="73"/>
      <c r="H26" s="73"/>
      <c r="I26" s="73"/>
      <c r="J26" s="73"/>
      <c r="K26" s="68"/>
      <c r="L26" s="68"/>
      <c r="M26" s="68"/>
      <c r="N26" s="68"/>
      <c r="O26" s="69" t="s">
        <v>50</v>
      </c>
      <c r="P26" s="55" t="n">
        <f aca="false">2+('Correction de volume'!G10+'Correction de volume'!G9)</f>
        <v>2.0163939508</v>
      </c>
      <c r="Q26" s="68" t="s">
        <v>30</v>
      </c>
      <c r="R26" s="6"/>
    </row>
    <row r="27" customFormat="false" ht="15" hidden="true" customHeight="false" outlineLevel="0" collapsed="false">
      <c r="C27" s="74"/>
      <c r="D27" s="75"/>
      <c r="E27" s="75"/>
      <c r="F27" s="75"/>
      <c r="G27" s="75"/>
      <c r="H27" s="75"/>
      <c r="I27" s="75"/>
      <c r="J27" s="75"/>
      <c r="K27" s="76"/>
      <c r="L27" s="76"/>
      <c r="M27" s="76"/>
      <c r="N27" s="76"/>
      <c r="O27" s="77" t="s">
        <v>51</v>
      </c>
      <c r="P27" s="62" t="n">
        <v>0.0017</v>
      </c>
      <c r="Q27" s="76"/>
      <c r="R27" s="78"/>
    </row>
    <row r="29" customFormat="false" ht="15" hidden="false" customHeight="false" outlineLevel="0" collapsed="false">
      <c r="E29" s="18" t="s">
        <v>52</v>
      </c>
      <c r="F29" s="18"/>
      <c r="G29" s="18"/>
      <c r="H29" s="18"/>
      <c r="I29" s="79" t="s">
        <v>53</v>
      </c>
      <c r="K29" s="80"/>
      <c r="L29" s="80"/>
      <c r="M29" s="80"/>
      <c r="N29" s="81"/>
      <c r="O29" s="80" t="s">
        <v>54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2"/>
      <c r="K30" s="17"/>
      <c r="L30" s="17"/>
      <c r="M30" s="17"/>
      <c r="N30" s="81"/>
      <c r="O30" s="81" t="s">
        <v>53</v>
      </c>
      <c r="P30" s="81"/>
    </row>
    <row r="31" customFormat="false" ht="15.75" hidden="false" customHeight="true" outlineLevel="0" collapsed="false">
      <c r="C31" s="83" t="s">
        <v>55</v>
      </c>
      <c r="D31" s="84" t="s">
        <v>56</v>
      </c>
      <c r="E31" s="84" t="s">
        <v>57</v>
      </c>
      <c r="F31" s="84" t="s">
        <v>58</v>
      </c>
      <c r="G31" s="84" t="s">
        <v>59</v>
      </c>
      <c r="H31" s="84" t="s">
        <v>60</v>
      </c>
      <c r="I31" s="84" t="s">
        <v>61</v>
      </c>
      <c r="J31" s="84" t="s">
        <v>62</v>
      </c>
      <c r="K31" s="84" t="s">
        <v>63</v>
      </c>
      <c r="L31" s="84" t="s">
        <v>64</v>
      </c>
      <c r="M31" s="84" t="s">
        <v>65</v>
      </c>
      <c r="N31" s="84" t="s">
        <v>66</v>
      </c>
      <c r="O31" s="84" t="s">
        <v>67</v>
      </c>
      <c r="P31" s="85" t="s">
        <v>68</v>
      </c>
      <c r="Q31" s="85"/>
      <c r="R31" s="85"/>
      <c r="S31" s="85"/>
      <c r="T31" s="86" t="s">
        <v>69</v>
      </c>
      <c r="U31" s="86"/>
      <c r="V31" s="86" t="s">
        <v>70</v>
      </c>
      <c r="W31" s="86"/>
      <c r="X31" s="86" t="s">
        <v>71</v>
      </c>
      <c r="Y31" s="86"/>
      <c r="Z31" s="86" t="s">
        <v>72</v>
      </c>
      <c r="AA31" s="86"/>
      <c r="AB31" s="87" t="s">
        <v>73</v>
      </c>
      <c r="AC31" s="87"/>
      <c r="AD31" s="88" t="s">
        <v>74</v>
      </c>
      <c r="AE31" s="88" t="s">
        <v>75</v>
      </c>
      <c r="AF31" s="88" t="s">
        <v>76</v>
      </c>
      <c r="AG31" s="89" t="s">
        <v>77</v>
      </c>
      <c r="AH31" s="88" t="s">
        <v>78</v>
      </c>
      <c r="AI31" s="88" t="s">
        <v>79</v>
      </c>
      <c r="AJ31" s="88" t="s">
        <v>80</v>
      </c>
      <c r="AK31" s="88" t="s">
        <v>81</v>
      </c>
      <c r="AL31" s="89" t="s">
        <v>82</v>
      </c>
      <c r="AM31" s="88" t="s">
        <v>83</v>
      </c>
      <c r="AN31" s="88" t="s">
        <v>84</v>
      </c>
      <c r="AO31" s="88" t="s">
        <v>85</v>
      </c>
      <c r="AP31" s="88" t="s">
        <v>86</v>
      </c>
      <c r="AQ31" s="88" t="s">
        <v>87</v>
      </c>
      <c r="AR31" s="89" t="s">
        <v>88</v>
      </c>
      <c r="AS31" s="89" t="s">
        <v>89</v>
      </c>
      <c r="AT31" s="89" t="s">
        <v>90</v>
      </c>
      <c r="AU31" s="88" t="s">
        <v>91</v>
      </c>
      <c r="AV31" s="88" t="s">
        <v>92</v>
      </c>
      <c r="AW31" s="90" t="s">
        <v>93</v>
      </c>
      <c r="AX31" s="88" t="s">
        <v>94</v>
      </c>
      <c r="AY31" s="88" t="s">
        <v>95</v>
      </c>
      <c r="AZ31" s="89" t="s">
        <v>96</v>
      </c>
      <c r="BA31" s="88" t="s">
        <v>97</v>
      </c>
      <c r="BB31" s="91" t="s">
        <v>98</v>
      </c>
    </row>
    <row r="32" customFormat="false" ht="15.75" hidden="false" customHeight="true" outlineLevel="0" collapsed="false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  <c r="Q32" s="85"/>
      <c r="R32" s="85"/>
      <c r="S32" s="85"/>
      <c r="T32" s="86"/>
      <c r="U32" s="86"/>
      <c r="V32" s="86"/>
      <c r="W32" s="86"/>
      <c r="X32" s="86"/>
      <c r="Y32" s="86"/>
      <c r="Z32" s="86"/>
      <c r="AA32" s="86"/>
      <c r="AB32" s="87"/>
      <c r="AC32" s="87"/>
      <c r="AD32" s="88"/>
      <c r="AE32" s="88"/>
      <c r="AF32" s="88"/>
      <c r="AG32" s="89"/>
      <c r="AH32" s="88"/>
      <c r="AI32" s="88"/>
      <c r="AJ32" s="88"/>
      <c r="AK32" s="88"/>
      <c r="AL32" s="89"/>
      <c r="AM32" s="88"/>
      <c r="AN32" s="88"/>
      <c r="AO32" s="88"/>
      <c r="AP32" s="88"/>
      <c r="AQ32" s="88"/>
      <c r="AR32" s="89"/>
      <c r="AS32" s="89"/>
      <c r="AT32" s="89"/>
      <c r="AU32" s="88"/>
      <c r="AV32" s="88"/>
      <c r="AW32" s="90"/>
      <c r="AX32" s="88"/>
      <c r="AY32" s="88"/>
      <c r="AZ32" s="89"/>
      <c r="BA32" s="88"/>
      <c r="BB32" s="91"/>
    </row>
    <row r="33" customFormat="false" ht="15.75" hidden="false" customHeight="true" outlineLevel="0" collapsed="false">
      <c r="C33" s="154" t="s">
        <v>99</v>
      </c>
      <c r="D33" s="93" t="s">
        <v>100</v>
      </c>
      <c r="E33" s="93" t="s">
        <v>25</v>
      </c>
      <c r="F33" s="94" t="s">
        <v>101</v>
      </c>
      <c r="G33" s="95"/>
      <c r="H33" s="94" t="s">
        <v>102</v>
      </c>
      <c r="I33" s="94" t="s">
        <v>102</v>
      </c>
      <c r="J33" s="94" t="s">
        <v>101</v>
      </c>
      <c r="K33" s="95"/>
      <c r="L33" s="95"/>
      <c r="M33" s="95"/>
      <c r="N33" s="95"/>
      <c r="O33" s="95"/>
      <c r="P33" s="96" t="s">
        <v>103</v>
      </c>
      <c r="Q33" s="96"/>
      <c r="R33" s="96" t="s">
        <v>104</v>
      </c>
      <c r="S33" s="96" t="s">
        <v>105</v>
      </c>
      <c r="T33" s="97" t="s">
        <v>106</v>
      </c>
      <c r="U33" s="97" t="s">
        <v>107</v>
      </c>
      <c r="V33" s="97" t="s">
        <v>108</v>
      </c>
      <c r="W33" s="97" t="s">
        <v>109</v>
      </c>
      <c r="X33" s="97" t="s">
        <v>110</v>
      </c>
      <c r="Y33" s="97" t="s">
        <v>111</v>
      </c>
      <c r="Z33" s="97" t="s">
        <v>112</v>
      </c>
      <c r="AA33" s="97" t="s">
        <v>113</v>
      </c>
      <c r="AB33" s="97" t="s">
        <v>114</v>
      </c>
      <c r="AC33" s="98" t="s">
        <v>115</v>
      </c>
      <c r="AD33" s="99" t="s">
        <v>116</v>
      </c>
      <c r="AE33" s="99" t="s">
        <v>117</v>
      </c>
      <c r="AF33" s="99" t="s">
        <v>118</v>
      </c>
      <c r="AG33" s="99" t="s">
        <v>119</v>
      </c>
      <c r="AH33" s="99" t="s">
        <v>120</v>
      </c>
      <c r="AI33" s="100" t="s">
        <v>121</v>
      </c>
      <c r="AJ33" s="99" t="s">
        <v>122</v>
      </c>
      <c r="AK33" s="100" t="s">
        <v>123</v>
      </c>
      <c r="AL33" s="99" t="s">
        <v>124</v>
      </c>
      <c r="AM33" s="99" t="s">
        <v>125</v>
      </c>
      <c r="AN33" s="99" t="s">
        <v>126</v>
      </c>
      <c r="AO33" s="99" t="s">
        <v>127</v>
      </c>
      <c r="AP33" s="99" t="s">
        <v>128</v>
      </c>
      <c r="AQ33" s="100" t="s">
        <v>129</v>
      </c>
      <c r="AR33" s="99" t="s">
        <v>130</v>
      </c>
      <c r="AS33" s="99" t="s">
        <v>131</v>
      </c>
      <c r="AT33" s="100" t="s">
        <v>132</v>
      </c>
      <c r="AU33" s="101" t="s">
        <v>133</v>
      </c>
      <c r="AV33" s="101" t="s">
        <v>134</v>
      </c>
      <c r="AW33" s="101" t="s">
        <v>135</v>
      </c>
      <c r="AX33" s="99" t="s">
        <v>136</v>
      </c>
      <c r="AY33" s="99" t="s">
        <v>137</v>
      </c>
      <c r="AZ33" s="99" t="s">
        <v>138</v>
      </c>
      <c r="BA33" s="99" t="s">
        <v>139</v>
      </c>
      <c r="BB33" s="102" t="s">
        <v>140</v>
      </c>
    </row>
    <row r="34" customFormat="false" ht="14.25" hidden="false" customHeight="true" outlineLevel="0" collapsed="false">
      <c r="C34" s="154"/>
      <c r="D34" s="93"/>
      <c r="E34" s="93"/>
      <c r="F34" s="94"/>
      <c r="G34" s="95"/>
      <c r="H34" s="94"/>
      <c r="I34" s="94"/>
      <c r="J34" s="94"/>
      <c r="K34" s="103"/>
      <c r="L34" s="103"/>
      <c r="M34" s="103"/>
      <c r="N34" s="104" t="s">
        <v>30</v>
      </c>
      <c r="O34" s="103"/>
      <c r="P34" s="104" t="s">
        <v>141</v>
      </c>
      <c r="Q34" s="104" t="s">
        <v>142</v>
      </c>
      <c r="R34" s="104" t="s">
        <v>143</v>
      </c>
      <c r="S34" s="104" t="s">
        <v>144</v>
      </c>
      <c r="T34" s="105" t="s">
        <v>143</v>
      </c>
      <c r="U34" s="105" t="s">
        <v>144</v>
      </c>
      <c r="V34" s="105" t="s">
        <v>143</v>
      </c>
      <c r="W34" s="105" t="s">
        <v>144</v>
      </c>
      <c r="X34" s="105" t="s">
        <v>143</v>
      </c>
      <c r="Y34" s="105" t="s">
        <v>144</v>
      </c>
      <c r="Z34" s="105" t="s">
        <v>143</v>
      </c>
      <c r="AA34" s="105" t="s">
        <v>144</v>
      </c>
      <c r="AB34" s="105" t="s">
        <v>143</v>
      </c>
      <c r="AC34" s="106" t="s">
        <v>144</v>
      </c>
      <c r="AD34" s="107" t="s">
        <v>145</v>
      </c>
      <c r="AE34" s="107" t="s">
        <v>145</v>
      </c>
      <c r="AF34" s="107" t="s">
        <v>145</v>
      </c>
      <c r="AG34" s="107" t="s">
        <v>145</v>
      </c>
      <c r="AH34" s="107" t="s">
        <v>145</v>
      </c>
      <c r="AI34" s="107" t="s">
        <v>145</v>
      </c>
      <c r="AJ34" s="107" t="s">
        <v>145</v>
      </c>
      <c r="AK34" s="107" t="s">
        <v>145</v>
      </c>
      <c r="AL34" s="107" t="s">
        <v>145</v>
      </c>
      <c r="AM34" s="107" t="s">
        <v>145</v>
      </c>
      <c r="AN34" s="107" t="s">
        <v>145</v>
      </c>
      <c r="AO34" s="107" t="s">
        <v>145</v>
      </c>
      <c r="AP34" s="107" t="s">
        <v>145</v>
      </c>
      <c r="AQ34" s="107" t="s">
        <v>145</v>
      </c>
      <c r="AR34" s="107" t="s">
        <v>145</v>
      </c>
      <c r="AS34" s="107" t="s">
        <v>145</v>
      </c>
      <c r="AT34" s="107" t="s">
        <v>145</v>
      </c>
      <c r="AU34" s="107" t="s">
        <v>145</v>
      </c>
      <c r="AV34" s="107" t="s">
        <v>145</v>
      </c>
      <c r="AW34" s="107" t="s">
        <v>145</v>
      </c>
      <c r="AX34" s="107" t="s">
        <v>145</v>
      </c>
      <c r="AY34" s="107" t="s">
        <v>145</v>
      </c>
      <c r="AZ34" s="107" t="s">
        <v>145</v>
      </c>
      <c r="BA34" s="107" t="s">
        <v>145</v>
      </c>
      <c r="BB34" s="107" t="s">
        <v>145</v>
      </c>
    </row>
    <row r="35" customFormat="false" ht="15" hidden="false" customHeight="false" outlineLevel="0" collapsed="false">
      <c r="A35" s="108" t="n">
        <f aca="false">IF(ISBLANK(VLOOKUP(D35,'Volumes flacons'!A5:C623,3)),0,1)</f>
        <v>1</v>
      </c>
      <c r="B35" s="109" t="n">
        <f aca="false">IF(ISBLANK(D35),0,IF(ISBLANK(E35),0,IF(ISBLANK(F35),0,1)))</f>
        <v>1</v>
      </c>
      <c r="C35" s="155" t="n">
        <v>1</v>
      </c>
      <c r="D35" s="156" t="n">
        <v>26</v>
      </c>
      <c r="E35" s="111" t="n">
        <v>7.3</v>
      </c>
      <c r="F35" s="112" t="n">
        <v>6.471</v>
      </c>
      <c r="G35" s="113" t="n">
        <v>34.957</v>
      </c>
      <c r="H35" s="111" t="n">
        <v>2000</v>
      </c>
      <c r="I35" s="111" t="n">
        <v>2021</v>
      </c>
      <c r="J35" s="114" t="n">
        <v>128.22</v>
      </c>
      <c r="K35" s="115" t="n">
        <f aca="false">IF(ISBLANK(E35),"",(0.000824493-(0.0000040899*E35)+(0.000000076438*E35^2)-(0.00000000082467*E35^3)+(0.0000000000053875*E35^4)))</f>
        <v>0.000798404599922949</v>
      </c>
      <c r="L35" s="115" t="n">
        <f aca="false">IF(ISBLANK(E35),"",(-0.00000572466+(0.00000010227*E35)-(0.0000000016546*E35^2)))</f>
        <v>-5.066262634E-006</v>
      </c>
      <c r="M35" s="115" t="n">
        <f aca="false">IF(ISBLANK(E35),"",IF(ISBLANK(G35),(O35+(K35*35)+(L35*35^1.5)+(0.00000048314*35^2)),(O35+(K35*G35)+(L35*G35^1.5)+(0.00000048314*G35^2))))</f>
        <v>1.02734290728557</v>
      </c>
      <c r="N35" s="116" t="n">
        <f aca="false">IF(ISBLANK(D35),"",IF(ISBLANK(G35),J35*(1+0.00001*(35-20)),J35*(1+0.00001*(G35-20))))</f>
        <v>128.2391778654</v>
      </c>
      <c r="O35" s="115" t="n">
        <f aca="false">IF(ISBLANK(E35),"",(0.999842594+(0.00006793952*E35)-(0.00000909529*E35^2)+(0.0000001001685*E35^3)-(0.000000001120083*E35^4)+(0.000000000006536332*E35^5)))</f>
        <v>0.999889786405409</v>
      </c>
      <c r="P35" s="117" t="n">
        <v>5.72</v>
      </c>
      <c r="Q35" s="118" t="n">
        <v>5.568</v>
      </c>
      <c r="R35" s="119" t="n">
        <v>255.5</v>
      </c>
      <c r="S35" s="119" t="n">
        <v>248.7</v>
      </c>
      <c r="T35" s="120" t="n">
        <v>0</v>
      </c>
      <c r="U35" s="120" t="n">
        <v>0</v>
      </c>
      <c r="V35" s="121" t="n">
        <v>20.8</v>
      </c>
      <c r="W35" s="121" t="n">
        <v>20.3</v>
      </c>
      <c r="X35" s="121" t="n">
        <v>20.8</v>
      </c>
      <c r="Y35" s="121" t="n">
        <v>20.3</v>
      </c>
      <c r="Z35" s="120" t="n">
        <v>1.43</v>
      </c>
      <c r="AA35" s="120" t="n">
        <v>1.39</v>
      </c>
      <c r="AB35" s="121" t="n">
        <v>23.5</v>
      </c>
      <c r="AC35" s="121" t="n">
        <v>23</v>
      </c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3"/>
    </row>
    <row r="36" customFormat="false" ht="15" hidden="false" customHeight="false" outlineLevel="0" collapsed="false">
      <c r="A36" s="108" t="n">
        <f aca="false">IF(ISBLANK(VLOOKUP(D36,'Volumes flacons'!A5:C623,3)),0,1)</f>
        <v>1</v>
      </c>
      <c r="B36" s="109" t="n">
        <f aca="false">IF(ISBLANK(D36),0,IF(ISBLANK(E36),0,IF(ISBLANK(F36),0,1)))</f>
        <v>1</v>
      </c>
      <c r="C36" s="157" t="n">
        <v>2</v>
      </c>
      <c r="D36" s="158" t="n">
        <v>32</v>
      </c>
      <c r="E36" s="125" t="n">
        <v>7.6</v>
      </c>
      <c r="F36" s="126" t="n">
        <v>6.6262</v>
      </c>
      <c r="G36" s="127" t="n">
        <v>34.955</v>
      </c>
      <c r="H36" s="125" t="n">
        <v>2000</v>
      </c>
      <c r="I36" s="125" t="n">
        <v>2021</v>
      </c>
      <c r="J36" s="128" t="n">
        <v>125.28</v>
      </c>
      <c r="K36" s="129" t="n">
        <f aca="false">IF(ISBLANK(E36),"",(0.000824493-(0.0000040899*E36)+(0.000000076438*E36^2)-(0.00000000082467*E36^3)+(0.0000000000053875*E36^4)))</f>
        <v>0.0007974807824144</v>
      </c>
      <c r="L36" s="129" t="n">
        <f aca="false">IF(ISBLANK(E36),"",(-0.00000572466+(0.00000010227*E36)-(0.0000000016546*E36^2)))</f>
        <v>-5.042977696E-006</v>
      </c>
      <c r="M36" s="129" t="n">
        <f aca="false">IF(ISBLANK(E36),"",IF(ISBLANK(G36),(O36+(K36*35)+(L36*35^1.5)+(0.00000048314*35^2)),(O36+(K36*G36)+(L36*G36^1.5)+(0.00000048314*G36^2))))</f>
        <v>1.02729805734366</v>
      </c>
      <c r="N36" s="130" t="n">
        <f aca="false">IF(ISBLANK(D36),"",IF(ISBLANK(G36),J36*(1+0.00001*(35-20)),J36*(1+0.00001*(G36-20))))</f>
        <v>125.298735624</v>
      </c>
      <c r="O36" s="129" t="n">
        <f aca="false">IF(ISBLANK(E36),"",(0.999842594+(0.00006793952*E36)-(0.00000909529*E36^2)+(0.0000001001685*E36^3)-(0.000000001120083*E36^4)+(0.000000000006536332*E36^5)))</f>
        <v>0.999873990858795</v>
      </c>
      <c r="P36" s="131" t="n">
        <v>5.997</v>
      </c>
      <c r="Q36" s="132" t="n">
        <v>5.838</v>
      </c>
      <c r="R36" s="133" t="n">
        <v>267.8</v>
      </c>
      <c r="S36" s="133" t="n">
        <v>260.7</v>
      </c>
      <c r="T36" s="32" t="n">
        <v>0.01</v>
      </c>
      <c r="U36" s="32" t="n">
        <v>0.01</v>
      </c>
      <c r="V36" s="134" t="n">
        <v>20.9</v>
      </c>
      <c r="W36" s="134" t="n">
        <v>20.4</v>
      </c>
      <c r="X36" s="134" t="n">
        <v>20.9</v>
      </c>
      <c r="Y36" s="134" t="n">
        <v>20.4</v>
      </c>
      <c r="Z36" s="32" t="n">
        <v>1.44</v>
      </c>
      <c r="AA36" s="32" t="n">
        <v>1.41</v>
      </c>
      <c r="AB36" s="134" t="n">
        <v>24.1</v>
      </c>
      <c r="AC36" s="134" t="n">
        <v>23.5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" hidden="false" customHeight="false" outlineLevel="0" collapsed="false">
      <c r="A37" s="108" t="n">
        <f aca="false">IF(ISBLANK(VLOOKUP(D37,'Volumes flacons'!A5:C623,3)),0,1)</f>
        <v>1</v>
      </c>
      <c r="B37" s="109" t="n">
        <f aca="false">IF(ISBLANK(D37),0,IF(ISBLANK(E37),0,IF(ISBLANK(F37),0,1)))</f>
        <v>1</v>
      </c>
      <c r="C37" s="157" t="n">
        <v>3</v>
      </c>
      <c r="D37" s="158" t="n">
        <v>40</v>
      </c>
      <c r="E37" s="125" t="n">
        <v>10.8</v>
      </c>
      <c r="F37" s="126" t="n">
        <v>3.91</v>
      </c>
      <c r="G37" s="127" t="n">
        <v>34.647</v>
      </c>
      <c r="H37" s="125" t="n">
        <v>1000</v>
      </c>
      <c r="I37" s="125" t="n">
        <v>1008.8</v>
      </c>
      <c r="J37" s="128" t="n">
        <v>122.34</v>
      </c>
      <c r="K37" s="129" t="n">
        <f aca="false">IF(ISBLANK(E37),"",(0.000824493-(0.0000040899*E37)+(0.000000076438*E37^2)-(0.00000000082467*E37^3)+(0.0000000000053875*E37^4)))</f>
        <v>0.00078827225796768</v>
      </c>
      <c r="L37" s="129" t="n">
        <f aca="false">IF(ISBLANK(E37),"",(-0.00000572466+(0.00000010227*E37)-(0.0000000016546*E37^2)))</f>
        <v>-4.813136544E-006</v>
      </c>
      <c r="M37" s="129" t="n">
        <f aca="false">IF(ISBLANK(E37),"",IF(ISBLANK(G37),(O37+(K37*35)+(L37*35^1.5)+(0.00000048314*35^2)),(O37+(K37*G37)+(L37*G37^1.5)+(0.00000048314*G37^2))))</f>
        <v>1.02653702656944</v>
      </c>
      <c r="N37" s="130" t="n">
        <f aca="false">IF(ISBLANK(D37),"",IF(ISBLANK(G37),J37*(1+0.00001*(35-20)),J37*(1+0.00001*(G37-20))))</f>
        <v>122.3579191398</v>
      </c>
      <c r="O37" s="129" t="n">
        <f aca="false">IF(ISBLANK(E37),"",(0.999842594+(0.00006793952*E37)-(0.00000909529*E37^2)+(0.0000001001685*E37^3)-(0.000000001120083*E37^4)+(0.000000000006536332*E37^5)))</f>
        <v>0.999627371447927</v>
      </c>
      <c r="P37" s="137" t="n">
        <v>3.62</v>
      </c>
      <c r="Q37" s="138" t="n">
        <v>3.526</v>
      </c>
      <c r="R37" s="139" t="n">
        <v>161.7</v>
      </c>
      <c r="S37" s="139" t="n">
        <v>157.5</v>
      </c>
      <c r="T37" s="32" t="n">
        <v>0.01</v>
      </c>
      <c r="U37" s="32" t="n">
        <v>0.01</v>
      </c>
      <c r="V37" s="134" t="n">
        <v>33.7</v>
      </c>
      <c r="W37" s="134" t="n">
        <v>33</v>
      </c>
      <c r="X37" s="134" t="n">
        <v>33.7</v>
      </c>
      <c r="Y37" s="134" t="n">
        <v>33</v>
      </c>
      <c r="Z37" s="32" t="n">
        <v>2.46</v>
      </c>
      <c r="AA37" s="32" t="n">
        <v>2.41</v>
      </c>
      <c r="AB37" s="134" t="n">
        <v>29.1</v>
      </c>
      <c r="AC37" s="134" t="n">
        <v>28.4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" hidden="false" customHeight="false" outlineLevel="0" collapsed="false">
      <c r="A38" s="108" t="n">
        <f aca="false">IF(ISBLANK(VLOOKUP(D38,'Volumes flacons'!A5:C623,3)),0,1)</f>
        <v>1</v>
      </c>
      <c r="B38" s="109" t="n">
        <f aca="false">IF(ISBLANK(D38),0,IF(ISBLANK(E38),0,IF(ISBLANK(F38),0,1)))</f>
        <v>1</v>
      </c>
      <c r="C38" s="157" t="n">
        <v>4</v>
      </c>
      <c r="D38" s="158" t="n">
        <v>44</v>
      </c>
      <c r="E38" s="125" t="n">
        <v>11.4</v>
      </c>
      <c r="F38" s="126" t="n">
        <v>2.568</v>
      </c>
      <c r="G38" s="127" t="n">
        <v>34.68</v>
      </c>
      <c r="H38" s="125" t="n">
        <v>500</v>
      </c>
      <c r="I38" s="125" t="n">
        <v>503.1</v>
      </c>
      <c r="J38" s="128" t="n">
        <v>129.67</v>
      </c>
      <c r="K38" s="129" t="n">
        <f aca="false">IF(ISBLANK(E38),"",(0.000824493-(0.0000040899*E38)+(0.000000076438*E38^2)-(0.00000000082467*E38^3)+(0.0000000000053875*E38^4)))</f>
        <v>0.00078667123031814</v>
      </c>
      <c r="L38" s="129" t="n">
        <f aca="false">IF(ISBLANK(E38),"",(-0.00000572466+(0.00000010227*E38)-(0.0000000016546*E38^2)))</f>
        <v>-4.773813816E-006</v>
      </c>
      <c r="M38" s="129" t="n">
        <f aca="false">IF(ISBLANK(E38),"",IF(ISBLANK(G38),(O38+(K38*35)+(L38*35^1.5)+(0.00000048314*35^2)),(O38+(K38*G38)+(L38*G38^1.5)+(0.00000048314*G38^2))))</f>
        <v>1.02645370337808</v>
      </c>
      <c r="N38" s="130" t="n">
        <f aca="false">IF(ISBLANK(D38),"",IF(ISBLANK(G38),J38*(1+0.00001*(35-20)),J38*(1+0.00001*(G38-20))))</f>
        <v>129.689035556</v>
      </c>
      <c r="O38" s="129" t="n">
        <f aca="false">IF(ISBLANK(E38),"",(0.999842594+(0.00006793952*E38)-(0.00000909529*E38^2)+(0.0000001001685*E38^3)-(0.000000001120083*E38^4)+(0.000000000006536332*E38^5)))</f>
        <v>0.99956582543903</v>
      </c>
      <c r="P38" s="131" t="n">
        <v>2.236</v>
      </c>
      <c r="Q38" s="132" t="n">
        <v>2.178</v>
      </c>
      <c r="R38" s="133" t="n">
        <v>99.9</v>
      </c>
      <c r="S38" s="133" t="n">
        <v>97.3</v>
      </c>
      <c r="T38" s="32" t="n">
        <v>0.01</v>
      </c>
      <c r="U38" s="32" t="n">
        <v>0.01</v>
      </c>
      <c r="V38" s="134" t="n">
        <v>35.9</v>
      </c>
      <c r="W38" s="134" t="n">
        <v>35.1</v>
      </c>
      <c r="X38" s="134" t="n">
        <v>35.9</v>
      </c>
      <c r="Y38" s="134" t="n">
        <v>35</v>
      </c>
      <c r="Z38" s="32" t="n">
        <v>2.48</v>
      </c>
      <c r="AA38" s="32" t="n">
        <v>2.42</v>
      </c>
      <c r="AB38" s="134" t="n">
        <v>19</v>
      </c>
      <c r="AC38" s="134" t="n">
        <v>18.5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" hidden="false" customHeight="false" outlineLevel="0" collapsed="false">
      <c r="A39" s="108" t="n">
        <f aca="false">IF(ISBLANK(VLOOKUP(D39,'Volumes flacons'!A5:C623,3)),0,1)</f>
        <v>1</v>
      </c>
      <c r="B39" s="109" t="n">
        <f aca="false">IF(ISBLANK(D39),0,IF(ISBLANK(E39),0,IF(ISBLANK(F39),0,1)))</f>
        <v>1</v>
      </c>
      <c r="C39" s="157" t="n">
        <v>5</v>
      </c>
      <c r="D39" s="158" t="n">
        <v>55</v>
      </c>
      <c r="E39" s="125" t="n">
        <v>17.5</v>
      </c>
      <c r="F39" s="126" t="n">
        <v>2.502</v>
      </c>
      <c r="G39" s="127" t="n">
        <v>35.63</v>
      </c>
      <c r="H39" s="125" t="n">
        <v>100</v>
      </c>
      <c r="I39" s="125" t="n">
        <v>101</v>
      </c>
      <c r="J39" s="128" t="n">
        <v>126.67</v>
      </c>
      <c r="K39" s="129" t="n">
        <f aca="false">IF(ISBLANK(E39),"",(0.000824493-(0.0000040899*E39)+(0.000000076438*E39^2)-(0.00000000082467*E39^3)+(0.0000000000053875*E39^4)))</f>
        <v>0.000772414460292969</v>
      </c>
      <c r="L39" s="129" t="n">
        <f aca="false">IF(ISBLANK(E39),"",(-0.00000572466+(0.00000010227*E39)-(0.0000000016546*E39^2)))</f>
        <v>-4.44165625E-006</v>
      </c>
      <c r="M39" s="129" t="n">
        <f aca="false">IF(ISBLANK(E39),"",IF(ISBLANK(G39),(O39+(K39*35)+(L39*35^1.5)+(0.00000048314*35^2)),(O39+(K39*G39)+(L39*G39^1.5)+(0.00000048314*G39^2))))</f>
        <v>1.02587844704412</v>
      </c>
      <c r="N39" s="130" t="n">
        <f aca="false">IF(ISBLANK(D39),"",IF(ISBLANK(G39),J39*(1+0.00001*(35-20)),J39*(1+0.00001*(G39-20))))</f>
        <v>126.689798521</v>
      </c>
      <c r="O39" s="129" t="n">
        <f aca="false">IF(ISBLANK(E39),"",(0.999842594+(0.00006793952*E39)-(0.00000909529*E39^2)+(0.0000001001685*E39^3)-(0.000000001120083*E39^4)+(0.000000000006536332*E39^5)))</f>
        <v>0.998688620195578</v>
      </c>
      <c r="P39" s="131" t="n">
        <v>2.231</v>
      </c>
      <c r="Q39" s="132" t="n">
        <v>2.174</v>
      </c>
      <c r="R39" s="133" t="n">
        <v>99.6</v>
      </c>
      <c r="S39" s="133" t="n">
        <v>97.1</v>
      </c>
      <c r="T39" s="32" t="n">
        <v>0.03</v>
      </c>
      <c r="U39" s="32" t="n">
        <v>0.03</v>
      </c>
      <c r="V39" s="134" t="n">
        <v>20.9</v>
      </c>
      <c r="W39" s="134" t="n">
        <v>20.4</v>
      </c>
      <c r="X39" s="134" t="n">
        <v>20.9</v>
      </c>
      <c r="Y39" s="134" t="n">
        <v>20.4</v>
      </c>
      <c r="Z39" s="32" t="n">
        <v>1.35</v>
      </c>
      <c r="AA39" s="32" t="n">
        <v>1.32</v>
      </c>
      <c r="AB39" s="134" t="n">
        <v>6.7</v>
      </c>
      <c r="AC39" s="134" t="n">
        <v>6.6</v>
      </c>
      <c r="AD39" s="159" t="n">
        <v>0.0311</v>
      </c>
      <c r="AE39" s="159" t="n">
        <v>0.0155</v>
      </c>
      <c r="AF39" s="159" t="n">
        <v>0.0018</v>
      </c>
      <c r="AG39" s="159" t="n">
        <v>0.0293</v>
      </c>
      <c r="AH39" s="159" t="n">
        <v>0.0211</v>
      </c>
      <c r="AI39" s="159" t="n">
        <v>0.0021</v>
      </c>
      <c r="AJ39" s="159" t="n">
        <v>0.0026</v>
      </c>
      <c r="AK39" s="159" t="n">
        <v>0.0012</v>
      </c>
      <c r="AL39" s="159" t="n">
        <v>0.0467</v>
      </c>
      <c r="AM39" s="159" t="n">
        <v>0.0034</v>
      </c>
      <c r="AN39" s="159" t="n">
        <v>-99999</v>
      </c>
      <c r="AO39" s="159" t="n">
        <v>-99999</v>
      </c>
      <c r="AP39" s="159" t="n">
        <v>0.0077</v>
      </c>
      <c r="AQ39" s="159"/>
      <c r="AR39" s="159" t="n">
        <v>0.0573</v>
      </c>
      <c r="AS39" s="159" t="n">
        <v>0.0371</v>
      </c>
      <c r="AT39" s="159"/>
      <c r="AU39" s="159" t="n">
        <v>0.0202</v>
      </c>
      <c r="AV39" s="159" t="n">
        <v>-99999</v>
      </c>
      <c r="AW39" s="159"/>
      <c r="AX39" s="159" t="n">
        <v>0.0369</v>
      </c>
      <c r="AY39" s="159" t="n">
        <v>0.1121</v>
      </c>
      <c r="AZ39" s="159"/>
      <c r="BA39" s="159" t="n">
        <v>0.0017</v>
      </c>
      <c r="BB39" s="136"/>
    </row>
    <row r="40" customFormat="false" ht="15" hidden="false" customHeight="false" outlineLevel="0" collapsed="false">
      <c r="A40" s="108" t="n">
        <f aca="false">IF(ISBLANK(VLOOKUP(D40,'Volumes flacons'!A5:C623,3)),0,1)</f>
        <v>1</v>
      </c>
      <c r="B40" s="109" t="n">
        <f aca="false">IF(ISBLANK(D40),0,IF(ISBLANK(E40),0,IF(ISBLANK(F40),0,1)))</f>
        <v>1</v>
      </c>
      <c r="C40" s="157" t="n">
        <v>6</v>
      </c>
      <c r="D40" s="158" t="n">
        <v>98</v>
      </c>
      <c r="E40" s="125" t="n">
        <v>18.4</v>
      </c>
      <c r="F40" s="126" t="n">
        <v>2.625</v>
      </c>
      <c r="G40" s="127" t="n">
        <v>35.753</v>
      </c>
      <c r="H40" s="125" t="n">
        <v>80</v>
      </c>
      <c r="I40" s="125" t="n">
        <v>80.3</v>
      </c>
      <c r="J40" s="128" t="n">
        <v>126.98</v>
      </c>
      <c r="K40" s="129" t="n">
        <f aca="false">IF(ISBLANK(E40),"",(0.000824493-(0.0000040899*E40)+(0.000000076438*E40^2)-(0.00000000082467*E40^3)+(0.0000000000053875*E40^4)))</f>
        <v>0.00077059793494784</v>
      </c>
      <c r="L40" s="129" t="n">
        <f aca="false">IF(ISBLANK(E40),"",(-0.00000572466+(0.00000010227*E40)-(0.0000000016546*E40^2)))</f>
        <v>-4.403073376E-006</v>
      </c>
      <c r="M40" s="129" t="n">
        <f aca="false">IF(ISBLANK(E40),"",IF(ISBLANK(G40),(O40+(K40*35)+(L40*35^1.5)+(0.00000048314*35^2)),(O40+(K40*G40)+(L40*G40^1.5)+(0.00000048314*G40^2))))</f>
        <v>1.02575026034375</v>
      </c>
      <c r="N40" s="130" t="n">
        <f aca="false">IF(ISBLANK(D40),"",IF(ISBLANK(G40),J40*(1+0.00001*(35-20)),J40*(1+0.00001*(G40-20))))</f>
        <v>127.0000031594</v>
      </c>
      <c r="O40" s="129" t="n">
        <f aca="false">IF(ISBLANK(E40),"",(0.999842594+(0.00006793952*E40)-(0.00000909529*E40^2)+(0.0000001001685*E40^3)-(0.000000001120083*E40^4)+(0.000000000006536332*E40^5)))</f>
        <v>0.998522778246976</v>
      </c>
      <c r="P40" s="131" t="n">
        <v>2.335</v>
      </c>
      <c r="Q40" s="132" t="n">
        <v>2.277</v>
      </c>
      <c r="R40" s="133" t="n">
        <v>104.3</v>
      </c>
      <c r="S40" s="133" t="n">
        <v>101.7</v>
      </c>
      <c r="T40" s="32" t="n">
        <v>0.08</v>
      </c>
      <c r="U40" s="32" t="n">
        <v>0.07</v>
      </c>
      <c r="V40" s="134" t="n">
        <v>19.5</v>
      </c>
      <c r="W40" s="134" t="n">
        <v>19</v>
      </c>
      <c r="X40" s="134" t="n">
        <v>19.4</v>
      </c>
      <c r="Y40" s="134" t="n">
        <v>19</v>
      </c>
      <c r="Z40" s="32" t="n">
        <v>1.28</v>
      </c>
      <c r="AA40" s="32" t="n">
        <v>1.25</v>
      </c>
      <c r="AB40" s="134" t="n">
        <v>5.6</v>
      </c>
      <c r="AC40" s="134" t="n">
        <v>5.5</v>
      </c>
      <c r="AD40" s="159" t="n">
        <v>0.0662</v>
      </c>
      <c r="AE40" s="159" t="n">
        <v>0.0365</v>
      </c>
      <c r="AF40" s="159" t="n">
        <v>0.0061</v>
      </c>
      <c r="AG40" s="159" t="n">
        <v>0.0689</v>
      </c>
      <c r="AH40" s="159" t="n">
        <v>0.0465</v>
      </c>
      <c r="AI40" s="159" t="n">
        <v>0.0043</v>
      </c>
      <c r="AJ40" s="159" t="n">
        <v>0.0055</v>
      </c>
      <c r="AK40" s="159" t="n">
        <v>0.002</v>
      </c>
      <c r="AL40" s="159" t="n">
        <v>0.079</v>
      </c>
      <c r="AM40" s="159" t="n">
        <v>0.0075</v>
      </c>
      <c r="AN40" s="159" t="n">
        <v>0.0014</v>
      </c>
      <c r="AO40" s="159" t="n">
        <v>-99999</v>
      </c>
      <c r="AP40" s="159" t="n">
        <v>0.0272</v>
      </c>
      <c r="AQ40" s="159"/>
      <c r="AR40" s="159" t="n">
        <v>0.1129</v>
      </c>
      <c r="AS40" s="159" t="n">
        <v>0.0604</v>
      </c>
      <c r="AT40" s="159"/>
      <c r="AU40" s="159" t="n">
        <v>0.0371</v>
      </c>
      <c r="AV40" s="159" t="n">
        <v>-99999</v>
      </c>
      <c r="AW40" s="159"/>
      <c r="AX40" s="159" t="n">
        <v>0.0773</v>
      </c>
      <c r="AY40" s="159" t="n">
        <v>0.2393</v>
      </c>
      <c r="AZ40" s="159"/>
      <c r="BA40" s="159" t="n">
        <v>0.0043</v>
      </c>
      <c r="BB40" s="136"/>
    </row>
    <row r="41" customFormat="false" ht="15" hidden="false" customHeight="false" outlineLevel="0" collapsed="false">
      <c r="A41" s="108" t="n">
        <f aca="false">IF(ISBLANK(VLOOKUP(D41,'Volumes flacons'!A5:C623,3)),0,1)</f>
        <v>1</v>
      </c>
      <c r="B41" s="109" t="n">
        <f aca="false">IF(ISBLANK(D41),0,IF(ISBLANK(E41),0,IF(ISBLANK(F41),0,1)))</f>
        <v>1</v>
      </c>
      <c r="C41" s="157" t="n">
        <v>7</v>
      </c>
      <c r="D41" s="158" t="n">
        <v>104</v>
      </c>
      <c r="E41" s="125" t="n">
        <v>19.2</v>
      </c>
      <c r="F41" s="126" t="n">
        <v>3.157</v>
      </c>
      <c r="G41" s="127" t="n">
        <v>35.8</v>
      </c>
      <c r="H41" s="125" t="n">
        <v>60</v>
      </c>
      <c r="I41" s="125" t="n">
        <v>60.5</v>
      </c>
      <c r="J41" s="128" t="n">
        <v>127.33</v>
      </c>
      <c r="K41" s="129" t="n">
        <f aca="false">IF(ISBLANK(E41),"",(0.000824493-(0.0000040899*E41)+(0.000000076438*E41^2)-(0.00000000082467*E41^3)+(0.0000000000053875*E41^4)))</f>
        <v>0.00076904023915776</v>
      </c>
      <c r="L41" s="129" t="n">
        <f aca="false">IF(ISBLANK(E41),"",(-0.00000572466+(0.00000010227*E41)-(0.0000000016546*E41^2)))</f>
        <v>-4.371027744E-006</v>
      </c>
      <c r="M41" s="129" t="n">
        <f aca="false">IF(ISBLANK(E41),"",IF(ISBLANK(G41),(O41+(K41*35)+(L41*35^1.5)+(0.00000048314*35^2)),(O41+(K41*G41)+(L41*G41^1.5)+(0.00000048314*G41^2))))</f>
        <v>1.02558253389992</v>
      </c>
      <c r="N41" s="130" t="n">
        <f aca="false">IF(ISBLANK(D41),"",IF(ISBLANK(G41),J41*(1+0.00001*(35-20)),J41*(1+0.00001*(G41-20))))</f>
        <v>127.35011814</v>
      </c>
      <c r="O41" s="129" t="n">
        <f aca="false">IF(ISBLANK(E41),"",(0.999842594+(0.00006793952*E41)-(0.00000909529*E41^2)+(0.0000001001685*E41^3)-(0.000000001120083*E41^4)+(0.000000000006536332*E41^5)))</f>
        <v>0.99836796686895</v>
      </c>
      <c r="P41" s="131" t="n">
        <v>2.803</v>
      </c>
      <c r="Q41" s="132" t="n">
        <v>2.733</v>
      </c>
      <c r="R41" s="133" t="n">
        <v>125.2</v>
      </c>
      <c r="S41" s="133" t="n">
        <v>122.1</v>
      </c>
      <c r="T41" s="32" t="n">
        <v>0.43</v>
      </c>
      <c r="U41" s="32" t="n">
        <v>0.42</v>
      </c>
      <c r="V41" s="134" t="n">
        <v>15.8</v>
      </c>
      <c r="W41" s="134" t="n">
        <v>15.4</v>
      </c>
      <c r="X41" s="134" t="n">
        <v>15.4</v>
      </c>
      <c r="Y41" s="134" t="n">
        <v>15</v>
      </c>
      <c r="Z41" s="32" t="n">
        <v>1.01</v>
      </c>
      <c r="AA41" s="32" t="n">
        <v>0.99</v>
      </c>
      <c r="AB41" s="134" t="n">
        <v>4</v>
      </c>
      <c r="AC41" s="134" t="n">
        <v>3.9</v>
      </c>
      <c r="AD41" s="159" t="n">
        <v>0.0922</v>
      </c>
      <c r="AE41" s="159" t="n">
        <v>0.0593</v>
      </c>
      <c r="AF41" s="159" t="n">
        <v>0.0088</v>
      </c>
      <c r="AG41" s="159" t="n">
        <v>0.1024</v>
      </c>
      <c r="AH41" s="159" t="n">
        <v>0.0432</v>
      </c>
      <c r="AI41" s="159" t="n">
        <v>0.017</v>
      </c>
      <c r="AJ41" s="159" t="n">
        <v>0.0298</v>
      </c>
      <c r="AK41" s="159" t="n">
        <v>0.0055</v>
      </c>
      <c r="AL41" s="159" t="n">
        <v>0.1257</v>
      </c>
      <c r="AM41" s="159" t="n">
        <v>0.0117</v>
      </c>
      <c r="AN41" s="159" t="n">
        <v>0.0056</v>
      </c>
      <c r="AO41" s="159" t="n">
        <v>-99999</v>
      </c>
      <c r="AP41" s="159" t="n">
        <v>0.0429</v>
      </c>
      <c r="AQ41" s="159"/>
      <c r="AR41" s="159" t="n">
        <v>0.072</v>
      </c>
      <c r="AS41" s="159" t="n">
        <v>0.2017</v>
      </c>
      <c r="AT41" s="159"/>
      <c r="AU41" s="159" t="n">
        <v>0.0403</v>
      </c>
      <c r="AV41" s="159" t="n">
        <v>-99999</v>
      </c>
      <c r="AW41" s="159"/>
      <c r="AX41" s="159" t="n">
        <v>0.0805</v>
      </c>
      <c r="AY41" s="159" t="n">
        <v>0.4869</v>
      </c>
      <c r="AZ41" s="159"/>
      <c r="BA41" s="159" t="n">
        <v>-99999</v>
      </c>
      <c r="BB41" s="136"/>
    </row>
    <row r="42" customFormat="false" ht="15" hidden="false" customHeight="false" outlineLevel="0" collapsed="false">
      <c r="A42" s="108" t="n">
        <f aca="false">IF(ISBLANK(VLOOKUP(D42,'Volumes flacons'!A5:C623,3)),0,1)</f>
        <v>1</v>
      </c>
      <c r="B42" s="109" t="n">
        <f aca="false">IF(ISBLANK(D42),0,IF(ISBLANK(E42),0,IF(ISBLANK(F42),0,1)))</f>
        <v>1</v>
      </c>
      <c r="C42" s="157" t="n">
        <v>8</v>
      </c>
      <c r="D42" s="158" t="n">
        <v>109</v>
      </c>
      <c r="E42" s="125" t="n">
        <v>23.2</v>
      </c>
      <c r="F42" s="126" t="n">
        <v>4.685</v>
      </c>
      <c r="G42" s="127" t="n">
        <v>35.809</v>
      </c>
      <c r="H42" s="125" t="n">
        <v>40</v>
      </c>
      <c r="I42" s="125" t="n">
        <v>42.1</v>
      </c>
      <c r="J42" s="128" t="n">
        <v>125.56</v>
      </c>
      <c r="K42" s="129" t="n">
        <f aca="false">IF(ISBLANK(E42),"",(0.000824493-(0.0000040899*E42)+(0.000000076438*E42^2)-(0.00000000082467*E42^3)+(0.0000000000053875*E42^4)))</f>
        <v>0.00076201228741376</v>
      </c>
      <c r="L42" s="129" t="n">
        <f aca="false">IF(ISBLANK(E42),"",(-0.00000572466+(0.00000010227*E42)-(0.0000000016546*E42^2)))</f>
        <v>-4.242567904E-006</v>
      </c>
      <c r="M42" s="129" t="n">
        <f aca="false">IF(ISBLANK(E42),"",IF(ISBLANK(G42),(O42+(K42*35)+(L42*35^1.5)+(0.00000048314*35^2)),(O42+(K42*G42)+(L42*G42^1.5)+(0.00000048314*G42^2))))</f>
        <v>1.02449091309007</v>
      </c>
      <c r="N42" s="130" t="n">
        <f aca="false">IF(ISBLANK(D42),"",IF(ISBLANK(G42),J42*(1+0.00001*(35-20)),J42*(1+0.00001*(G42-20))))</f>
        <v>125.5798497804</v>
      </c>
      <c r="O42" s="129" t="n">
        <f aca="false">IF(ISBLANK(E42),"",(0.999842594+(0.00006793952*E42)-(0.00000909529*E42^2)+(0.0000001001685*E42^3)-(0.000000001120083*E42^4)+(0.000000000006536332*E42^5)))</f>
        <v>0.997493603540845</v>
      </c>
      <c r="P42" s="131" t="n">
        <v>4.227</v>
      </c>
      <c r="Q42" s="132" t="n">
        <v>4.126</v>
      </c>
      <c r="R42" s="133" t="n">
        <v>188.8</v>
      </c>
      <c r="S42" s="133" t="n">
        <v>184.3</v>
      </c>
      <c r="T42" s="32" t="n">
        <v>0.02</v>
      </c>
      <c r="U42" s="32" t="n">
        <v>0.02</v>
      </c>
      <c r="V42" s="134" t="n">
        <v>0.5</v>
      </c>
      <c r="W42" s="134" t="n">
        <v>0.5</v>
      </c>
      <c r="X42" s="134" t="n">
        <v>0.5</v>
      </c>
      <c r="Y42" s="134" t="n">
        <v>0.5</v>
      </c>
      <c r="Z42" s="32" t="n">
        <v>0.06</v>
      </c>
      <c r="AA42" s="32" t="n">
        <v>0.06</v>
      </c>
      <c r="AB42" s="134" t="n">
        <v>1.7</v>
      </c>
      <c r="AC42" s="134" t="n">
        <v>1.7</v>
      </c>
      <c r="AD42" s="159" t="n">
        <v>0.0473</v>
      </c>
      <c r="AE42" s="159" t="n">
        <v>0.1253</v>
      </c>
      <c r="AF42" s="159" t="n">
        <v>0.0292</v>
      </c>
      <c r="AG42" s="159" t="n">
        <v>0.1535</v>
      </c>
      <c r="AH42" s="159" t="n">
        <v>0.0607</v>
      </c>
      <c r="AI42" s="159" t="n">
        <v>0.0118</v>
      </c>
      <c r="AJ42" s="159" t="n">
        <v>0.0282</v>
      </c>
      <c r="AK42" s="159" t="n">
        <v>0.0182</v>
      </c>
      <c r="AL42" s="159" t="n">
        <v>0.3104</v>
      </c>
      <c r="AM42" s="159" t="n">
        <v>0.0311</v>
      </c>
      <c r="AN42" s="159" t="n">
        <v>0.0084</v>
      </c>
      <c r="AO42" s="159" t="n">
        <v>-99999</v>
      </c>
      <c r="AP42" s="159" t="n">
        <v>0.1334</v>
      </c>
      <c r="AQ42" s="159"/>
      <c r="AR42" s="159" t="n">
        <v>0.0319</v>
      </c>
      <c r="AS42" s="159" t="n">
        <v>0.2129</v>
      </c>
      <c r="AT42" s="159"/>
      <c r="AU42" s="159" t="n">
        <v>0.0665</v>
      </c>
      <c r="AV42" s="159" t="n">
        <v>-99999</v>
      </c>
      <c r="AW42" s="159"/>
      <c r="AX42" s="159" t="n">
        <v>0.1459</v>
      </c>
      <c r="AY42" s="159" t="n">
        <v>0.9194</v>
      </c>
      <c r="AZ42" s="159"/>
      <c r="BA42" s="159" t="n">
        <v>-99999</v>
      </c>
      <c r="BB42" s="136"/>
    </row>
    <row r="43" customFormat="false" ht="15" hidden="false" customHeight="false" outlineLevel="0" collapsed="false">
      <c r="A43" s="108" t="n">
        <f aca="false">IF(ISBLANK(VLOOKUP(D43,'Volumes flacons'!A5:C623,3)),0,1)</f>
        <v>1</v>
      </c>
      <c r="B43" s="109" t="n">
        <f aca="false">IF(ISBLANK(D43),0,IF(ISBLANK(E43),0,IF(ISBLANK(F43),0,1)))</f>
        <v>1</v>
      </c>
      <c r="C43" s="157" t="n">
        <v>9</v>
      </c>
      <c r="D43" s="158" t="n">
        <v>130</v>
      </c>
      <c r="E43" s="125" t="n">
        <v>28.8</v>
      </c>
      <c r="F43" s="126" t="n">
        <v>5.14</v>
      </c>
      <c r="G43" s="127" t="n">
        <v>35.348</v>
      </c>
      <c r="H43" s="125" t="n">
        <v>20</v>
      </c>
      <c r="I43" s="125" t="n">
        <v>21.5</v>
      </c>
      <c r="J43" s="128" t="n">
        <v>122.45</v>
      </c>
      <c r="K43" s="129" t="n">
        <f aca="false">IF(ISBLANK(E43),"",(0.000824493-(0.0000040899*E43)+(0.000000076438*E43^2)-(0.00000000082467*E43^3)+(0.0000000000053875*E43^4)))</f>
        <v>0.00075411144553728</v>
      </c>
      <c r="L43" s="129" t="n">
        <f aca="false">IF(ISBLANK(E43),"",(-0.00000572466+(0.00000010227*E43)-(0.0000000016546*E43^2)))</f>
        <v>-4.151675424E-006</v>
      </c>
      <c r="M43" s="129" t="n">
        <f aca="false">IF(ISBLANK(E43),"",IF(ISBLANK(G43),(O43+(K43*35)+(L43*35^1.5)+(0.00000048314*35^2)),(O43+(K43*G43)+(L43*G43^1.5)+(0.00000048314*G43^2))))</f>
        <v>1.02239448600389</v>
      </c>
      <c r="N43" s="130" t="n">
        <f aca="false">IF(ISBLANK(D43),"",IF(ISBLANK(G43),J43*(1+0.00001*(35-20)),J43*(1+0.00001*(G43-20))))</f>
        <v>122.468793626</v>
      </c>
      <c r="O43" s="129" t="n">
        <f aca="false">IF(ISBLANK(E43),"",(0.999842594+(0.00006793952*E43)-(0.00000909529*E43^2)+(0.0000001001685*E43^3)-(0.000000001120083*E43^4)+(0.000000000006536332*E43^5)))</f>
        <v>0.996006990827753</v>
      </c>
      <c r="P43" s="131" t="n">
        <v>4.758</v>
      </c>
      <c r="Q43" s="132" t="n">
        <v>4.654</v>
      </c>
      <c r="R43" s="133" t="n">
        <v>212.5</v>
      </c>
      <c r="S43" s="133" t="n">
        <v>207.8</v>
      </c>
      <c r="T43" s="32" t="n">
        <v>0</v>
      </c>
      <c r="U43" s="32" t="n">
        <v>0</v>
      </c>
      <c r="V43" s="134" t="n">
        <v>0.1</v>
      </c>
      <c r="W43" s="134" t="n">
        <v>0.1</v>
      </c>
      <c r="X43" s="134" t="n">
        <v>0.1</v>
      </c>
      <c r="Y43" s="134" t="n">
        <v>0.1</v>
      </c>
      <c r="Z43" s="32" t="n">
        <v>0</v>
      </c>
      <c r="AA43" s="32" t="n">
        <v>0</v>
      </c>
      <c r="AB43" s="134" t="n">
        <v>1.2</v>
      </c>
      <c r="AC43" s="134" t="n">
        <v>1.1</v>
      </c>
      <c r="AD43" s="159" t="n">
        <v>0.0076</v>
      </c>
      <c r="AE43" s="159" t="n">
        <v>0.0143</v>
      </c>
      <c r="AF43" s="159" t="n">
        <v>0.0097</v>
      </c>
      <c r="AG43" s="159" t="n">
        <v>0.0089</v>
      </c>
      <c r="AH43" s="159" t="n">
        <v>0.0083</v>
      </c>
      <c r="AI43" s="159" t="n">
        <v>0.0012</v>
      </c>
      <c r="AJ43" s="159" t="n">
        <v>-99999</v>
      </c>
      <c r="AK43" s="159" t="n">
        <v>0.0022</v>
      </c>
      <c r="AL43" s="159" t="n">
        <v>0.0326</v>
      </c>
      <c r="AM43" s="159" t="n">
        <v>0.0094</v>
      </c>
      <c r="AN43" s="159" t="n">
        <v>-99999</v>
      </c>
      <c r="AO43" s="159" t="n">
        <v>-99999</v>
      </c>
      <c r="AP43" s="159" t="n">
        <v>0.1324</v>
      </c>
      <c r="AQ43" s="159"/>
      <c r="AR43" s="159" t="n">
        <v>0.0057</v>
      </c>
      <c r="AS43" s="159" t="n">
        <v>0.0116</v>
      </c>
      <c r="AT43" s="159"/>
      <c r="AU43" s="159" t="n">
        <v>0.025</v>
      </c>
      <c r="AV43" s="159" t="n">
        <v>-99999</v>
      </c>
      <c r="AW43" s="159"/>
      <c r="AX43" s="159" t="n">
        <v>0.0838</v>
      </c>
      <c r="AY43" s="159" t="n">
        <v>0.1342</v>
      </c>
      <c r="AZ43" s="159"/>
      <c r="BA43" s="159" t="n">
        <v>-99999</v>
      </c>
      <c r="BB43" s="136"/>
    </row>
    <row r="44" customFormat="false" ht="15" hidden="false" customHeight="false" outlineLevel="0" collapsed="false">
      <c r="A44" s="108" t="n">
        <f aca="false">IF(ISBLANK(VLOOKUP(D44,'Volumes flacons'!A5:C623,3)),0,1)</f>
        <v>1</v>
      </c>
      <c r="B44" s="109" t="n">
        <f aca="false">IF(ISBLANK(D44),0,IF(ISBLANK(E44),0,IF(ISBLANK(F44),0,1)))</f>
        <v>1</v>
      </c>
      <c r="C44" s="157" t="n">
        <v>10</v>
      </c>
      <c r="D44" s="158" t="n">
        <v>135</v>
      </c>
      <c r="E44" s="125" t="n">
        <v>29.2</v>
      </c>
      <c r="F44" s="126" t="n">
        <v>4.984</v>
      </c>
      <c r="G44" s="127" t="n">
        <v>35.064</v>
      </c>
      <c r="H44" s="125" t="n">
        <v>10</v>
      </c>
      <c r="I44" s="125" t="n">
        <v>11.3</v>
      </c>
      <c r="J44" s="128" t="n">
        <v>121.11</v>
      </c>
      <c r="K44" s="129" t="n">
        <f aca="false">IF(ISBLANK(E44),"",(0.000824493-(0.0000040899*E44)+(0.000000076438*E44^2)-(0.00000000082467*E44^3)+(0.0000000000053875*E44^4)))</f>
        <v>0.00075362682015776</v>
      </c>
      <c r="L44" s="129" t="n">
        <f aca="false">IF(ISBLANK(E44),"",(-0.00000572466+(0.00000010227*E44)-(0.0000000016546*E44^2)))</f>
        <v>-4.149154144E-006</v>
      </c>
      <c r="M44" s="129" t="n">
        <f aca="false">IF(ISBLANK(E44),"",IF(ISBLANK(G44),(O44+(K44*35)+(L44*35^1.5)+(0.00000048314*35^2)),(O44+(K44*G44)+(L44*G44^1.5)+(0.00000048314*G44^2))))</f>
        <v>1.02204747484357</v>
      </c>
      <c r="N44" s="130" t="n">
        <f aca="false">IF(ISBLANK(D44),"",IF(ISBLANK(G44),J44*(1+0.00001*(35-20)),J44*(1+0.00001*(G44-20))))</f>
        <v>121.1282440104</v>
      </c>
      <c r="O44" s="129" t="n">
        <f aca="false">IF(ISBLANK(E44),"",(0.999842594+(0.00006793952*E44)-(0.00000909529*E44^2)+(0.0000001001685*E44^3)-(0.000000001120083*E44^4)+(0.000000000006536332*E44^5)))</f>
        <v>0.995889784081315</v>
      </c>
      <c r="P44" s="131" t="n">
        <v>4.665</v>
      </c>
      <c r="Q44" s="132" t="n">
        <v>4.565</v>
      </c>
      <c r="R44" s="133" t="n">
        <v>208.4</v>
      </c>
      <c r="S44" s="133" t="n">
        <v>203.9</v>
      </c>
      <c r="T44" s="32" t="n">
        <v>0</v>
      </c>
      <c r="U44" s="32" t="n">
        <v>0</v>
      </c>
      <c r="V44" s="134" t="n">
        <v>0.1</v>
      </c>
      <c r="W44" s="134" t="n">
        <v>0.1</v>
      </c>
      <c r="X44" s="134" t="n">
        <v>0.1</v>
      </c>
      <c r="Y44" s="134" t="n">
        <v>0.1</v>
      </c>
      <c r="Z44" s="32" t="n">
        <v>0</v>
      </c>
      <c r="AA44" s="32" t="n">
        <v>0</v>
      </c>
      <c r="AB44" s="134" t="n">
        <v>1.3</v>
      </c>
      <c r="AC44" s="134" t="n">
        <v>1.2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" hidden="false" customHeight="false" outlineLevel="0" collapsed="false">
      <c r="A45" s="108" t="n">
        <f aca="false">IF(ISBLANK(VLOOKUP(D45,'Volumes flacons'!A5:C623,3)),0,1)</f>
        <v>1</v>
      </c>
      <c r="B45" s="109" t="n">
        <f aca="false">IF(ISBLANK(D45),0,IF(ISBLANK(E45),0,IF(ISBLANK(F45),0,1)))</f>
        <v>1</v>
      </c>
      <c r="C45" s="157" t="n">
        <v>11</v>
      </c>
      <c r="D45" s="158" t="n">
        <v>146</v>
      </c>
      <c r="E45" s="125" t="n">
        <v>29.5</v>
      </c>
      <c r="F45" s="126" t="n">
        <v>5.126</v>
      </c>
      <c r="G45" s="127" t="n">
        <v>35.069</v>
      </c>
      <c r="H45" s="125" t="n">
        <v>0</v>
      </c>
      <c r="I45" s="125" t="n">
        <v>2.9</v>
      </c>
      <c r="J45" s="128" t="n">
        <v>126.45</v>
      </c>
      <c r="K45" s="129" t="n">
        <f aca="false">IF(ISBLANK(E45),"",(0.000824493-(0.0000040899*E45)+(0.000000076438*E45^2)-(0.00000000082467*E45^3)+(0.0000000000053875*E45^4)))</f>
        <v>0.000753270024657969</v>
      </c>
      <c r="L45" s="129" t="n">
        <f aca="false">IF(ISBLANK(E45),"",(-0.00000572466+(0.00000010227*E45)-(0.0000000016546*E45^2)))</f>
        <v>-4.14761065E-006</v>
      </c>
      <c r="M45" s="129" t="n">
        <f aca="false">IF(ISBLANK(E45),"",IF(ISBLANK(G45),(O45+(K45*35)+(L45*35^1.5)+(0.00000048314*35^2)),(O45+(K45*G45)+(L45*G45^1.5)+(0.00000048314*G45^2))))</f>
        <v>1.02195020171503</v>
      </c>
      <c r="N45" s="130" t="n">
        <f aca="false">IF(ISBLANK(D45),"",IF(ISBLANK(G45),J45*(1+0.00001*(35-20)),J45*(1+0.00001*(G45-20))))</f>
        <v>126.4690547505</v>
      </c>
      <c r="O45" s="129" t="n">
        <f aca="false">IF(ISBLANK(E45),"",(0.999842594+(0.00006793952*E45)-(0.00000909529*E45^2)+(0.0000001001685*E45^3)-(0.000000001120083*E45^4)+(0.000000000006536332*E45^5)))</f>
        <v>0.995800949589288</v>
      </c>
      <c r="P45" s="131" t="n">
        <v>4.593</v>
      </c>
      <c r="Q45" s="132" t="n">
        <v>4.494</v>
      </c>
      <c r="R45" s="133" t="n">
        <v>205.1</v>
      </c>
      <c r="S45" s="133" t="n">
        <v>200.7</v>
      </c>
      <c r="T45" s="32" t="n">
        <v>0</v>
      </c>
      <c r="U45" s="32" t="n">
        <v>0</v>
      </c>
      <c r="V45" s="134" t="n">
        <v>0</v>
      </c>
      <c r="W45" s="134" t="n">
        <v>0</v>
      </c>
      <c r="X45" s="134" t="n">
        <v>0</v>
      </c>
      <c r="Y45" s="134" t="n">
        <v>0</v>
      </c>
      <c r="Z45" s="32" t="n">
        <v>0</v>
      </c>
      <c r="AA45" s="32" t="n">
        <v>0</v>
      </c>
      <c r="AB45" s="134" t="n">
        <v>1.1</v>
      </c>
      <c r="AC45" s="134" t="n">
        <v>1</v>
      </c>
      <c r="AD45" s="159" t="n">
        <v>0.0049</v>
      </c>
      <c r="AE45" s="159" t="n">
        <v>0.0081</v>
      </c>
      <c r="AF45" s="159" t="n">
        <v>0.0048</v>
      </c>
      <c r="AG45" s="159" t="n">
        <v>0.0052</v>
      </c>
      <c r="AH45" s="159" t="n">
        <v>0.0065</v>
      </c>
      <c r="AI45" s="159" t="n">
        <v>0.001</v>
      </c>
      <c r="AJ45" s="159" t="n">
        <v>-99999</v>
      </c>
      <c r="AK45" s="159" t="n">
        <v>0.0032</v>
      </c>
      <c r="AL45" s="159" t="n">
        <v>0.0221</v>
      </c>
      <c r="AM45" s="159" t="n">
        <v>0.0099</v>
      </c>
      <c r="AN45" s="159" t="n">
        <v>-99999</v>
      </c>
      <c r="AO45" s="159" t="n">
        <v>-99999</v>
      </c>
      <c r="AP45" s="159" t="n">
        <v>0.1345</v>
      </c>
      <c r="AQ45" s="159"/>
      <c r="AR45" s="159" t="n">
        <v>0.0024</v>
      </c>
      <c r="AS45" s="159" t="n">
        <v>0.0067</v>
      </c>
      <c r="AT45" s="159"/>
      <c r="AU45" s="159" t="n">
        <v>0.0186</v>
      </c>
      <c r="AV45" s="159" t="n">
        <v>-99999</v>
      </c>
      <c r="AW45" s="159"/>
      <c r="AX45" s="159" t="n">
        <v>0.0622</v>
      </c>
      <c r="AY45" s="159" t="n">
        <v>0.0919</v>
      </c>
      <c r="AZ45" s="159"/>
      <c r="BA45" s="159" t="n">
        <v>-99999</v>
      </c>
      <c r="BB45" s="136"/>
    </row>
    <row r="46" customFormat="false" ht="15" hidden="false" customHeight="false" outlineLevel="0" collapsed="false">
      <c r="A46" s="108" t="n">
        <f aca="false">IF(ISBLANK(VLOOKUP(D46,'Volumes flacons'!A5:C623,3)),0,1)</f>
        <v>1</v>
      </c>
      <c r="B46" s="109" t="n">
        <f aca="false">IF(ISBLANK(D46),0,IF(ISBLANK(E46),0,IF(ISBLANK(F46),0,1)))</f>
        <v>0</v>
      </c>
      <c r="C46" s="157" t="n">
        <v>12</v>
      </c>
      <c r="D46" s="158"/>
      <c r="E46" s="125"/>
      <c r="F46" s="126"/>
      <c r="G46" s="127"/>
      <c r="H46" s="125"/>
      <c r="I46" s="125"/>
      <c r="J46" s="128" t="str">
        <f aca="false">IF(ISBLANK(D46),"",IF(VLOOKUP(D46,'Volumes flacons'!$A$5:$C$623,2)=0,"",IF(D46&gt;'Volumes flacons'!$A$623,"Mauvais numéro",IF(D46&lt;'Volumes flacons'!$A$5,"Mauvais numéro",(VLOOKUP(D46,'Volumes flacons'!$A$5:$C$623,3))))))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Flac.",P46*M46)))))))))</f>
        <v/>
      </c>
      <c r="R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08" t="n">
        <f aca="false">IF(ISBLANK(VLOOKUP(D47,'Volumes flacons'!A5:C623,3)),0,1)</f>
        <v>1</v>
      </c>
      <c r="B47" s="109" t="n">
        <f aca="false">IF(ISBLANK(D47),0,IF(ISBLANK(E47),0,IF(ISBLANK(F47),0,1)))</f>
        <v>0</v>
      </c>
      <c r="C47" s="157" t="n">
        <v>13</v>
      </c>
      <c r="D47" s="158"/>
      <c r="E47" s="125"/>
      <c r="F47" s="126"/>
      <c r="G47" s="127"/>
      <c r="H47" s="125"/>
      <c r="I47" s="125"/>
      <c r="J47" s="128" t="str">
        <f aca="false">IF(ISBLANK(D47),"",IF(VLOOKUP(D47,'Volumes flacons'!$A$5:$C$623,2)=0,"",IF(D47&gt;'Volumes flacons'!$A$623,"Mauvais numéro",IF(D47&lt;'Volumes flacons'!$A$5,"Mauvais numéro",(VLOOKUP(D47,'Volumes flacons'!$A$5:$C$623,3))))))</f>
        <v/>
      </c>
      <c r="K47" s="129" t="str">
        <f aca="false">IF(ISBLANK(E47),"",(0.000824493-(0.0000040899*E47)+(0.000000076438*E47^2)-(0.00000000082467*E47^3)+(0.0000000000053875*E47^4)))</f>
        <v/>
      </c>
      <c r="L47" s="129" t="str">
        <f aca="false">IF(ISBLANK(E47),"",(-0.00000572466+(0.00000010227*E47)-(0.0000000016546*E47^2)))</f>
        <v/>
      </c>
      <c r="M47" s="129" t="str">
        <f aca="false">IF(ISBLANK(E47),"",IF(ISBLANK(G47),(O47+(K47*35)+(L47*35^1.5)+(0.00000048314*35^2)),(O47+(K47*G47)+(L47*G47^1.5)+(0.00000048314*G47^2))))</f>
        <v/>
      </c>
      <c r="N47" s="130" t="str">
        <f aca="false">IF(ISBLANK(D47),"",IF(ISBLANK(G47),J47*(1+0.00001*(35-20)),J47*(1+0.00001*(G47-20))))</f>
        <v/>
      </c>
      <c r="O47" s="129" t="str">
        <f aca="false">IF(ISBLANK(E47),"",(0.999842594+(0.00006793952*E47)-(0.00000909529*E47^2)+(0.0000001001685*E47^3)-(0.000000001120083*E47^4)+(0.000000000006536332*E47^5)))</f>
        <v/>
      </c>
      <c r="P47" s="13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Flac.",P47*M47)))))))))</f>
        <v/>
      </c>
      <c r="R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08" t="n">
        <f aca="false">IF(ISBLANK(VLOOKUP(D48,'Volumes flacons'!A5:C623,3)),0,1)</f>
        <v>1</v>
      </c>
      <c r="B48" s="109" t="n">
        <f aca="false">IF(ISBLANK(D48),0,IF(ISBLANK(E48),0,IF(ISBLANK(F48),0,1)))</f>
        <v>0</v>
      </c>
      <c r="C48" s="157" t="n">
        <v>14</v>
      </c>
      <c r="D48" s="158"/>
      <c r="E48" s="125"/>
      <c r="F48" s="126"/>
      <c r="G48" s="127"/>
      <c r="H48" s="125"/>
      <c r="I48" s="125"/>
      <c r="J48" s="128" t="str">
        <f aca="false">IF(ISBLANK(D48),"",IF(VLOOKUP(D48,'Volumes flacons'!$A$5:$C$623,2)=0,"",IF(D48&gt;'Volumes flacons'!$A$623,"Mauvais numéro",IF(D48&lt;'Volumes flacons'!$A$5,"Mauvais numéro",(VLOOKUP(D48,'Volumes flacons'!$A$5:$C$623,3))))))</f>
        <v/>
      </c>
      <c r="K48" s="129" t="str">
        <f aca="false">IF(ISBLANK(E48),"",(0.000824493-(0.0000040899*E48)+(0.000000076438*E48^2)-(0.00000000082467*E48^3)+(0.0000000000053875*E48^4)))</f>
        <v/>
      </c>
      <c r="L48" s="129" t="str">
        <f aca="false">IF(ISBLANK(E48),"",(-0.00000572466+(0.00000010227*E48)-(0.0000000016546*E48^2)))</f>
        <v/>
      </c>
      <c r="M48" s="129" t="str">
        <f aca="false">IF(ISBLANK(E48),"",IF(ISBLANK(G48),(O48+(K48*35)+(L48*35^1.5)+(0.00000048314*35^2)),(O48+(K48*G48)+(L48*G48^1.5)+(0.00000048314*G48^2))))</f>
        <v/>
      </c>
      <c r="N48" s="130" t="str">
        <f aca="false">IF(ISBLANK(D48),"",IF(ISBLANK(G48),J48*(1+0.00001*(35-20)),J48*(1+0.00001*(G48-20))))</f>
        <v/>
      </c>
      <c r="O48" s="129" t="str">
        <f aca="false">IF(ISBLANK(E48),"",(0.999842594+(0.00006793952*E48)-(0.00000909529*E48^2)+(0.0000001001685*E48^3)-(0.000000001120083*E48^4)+(0.000000000006536332*E48^5)))</f>
        <v/>
      </c>
      <c r="P48" s="13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Flac.",P48*M48)))))))))</f>
        <v/>
      </c>
      <c r="R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08" t="n">
        <f aca="false">IF(ISBLANK(VLOOKUP(D49,'Volumes flacons'!A5:C623,3)),0,1)</f>
        <v>1</v>
      </c>
      <c r="B49" s="109" t="n">
        <f aca="false">IF(ISBLANK(D49),0,IF(ISBLANK(E49),0,IF(ISBLANK(F49),0,1)))</f>
        <v>0</v>
      </c>
      <c r="C49" s="157" t="n">
        <v>15</v>
      </c>
      <c r="D49" s="158"/>
      <c r="E49" s="125"/>
      <c r="F49" s="126"/>
      <c r="G49" s="127"/>
      <c r="H49" s="125"/>
      <c r="I49" s="125"/>
      <c r="J49" s="128" t="str">
        <f aca="false">IF(ISBLANK(D49),"",IF(VLOOKUP(D49,'Volumes flacons'!$A$5:$C$623,2)=0,"",IF(D49&gt;'Volumes flacons'!$A$623,"Mauvais numéro",IF(D49&lt;'Volumes flacons'!$A$5,"Mauvais numéro",(VLOOKUP(D49,'Volumes flacons'!$A$5:$C$623,3))))))</f>
        <v/>
      </c>
      <c r="K49" s="129" t="str">
        <f aca="false">IF(ISBLANK(E49),"",(0.000824493-(0.0000040899*E49)+(0.000000076438*E49^2)-(0.00000000082467*E49^3)+(0.0000000000053875*E49^4)))</f>
        <v/>
      </c>
      <c r="L49" s="129" t="str">
        <f aca="false">IF(ISBLANK(E49),"",(-0.00000572466+(0.00000010227*E49)-(0.0000000016546*E49^2)))</f>
        <v/>
      </c>
      <c r="M49" s="129" t="str">
        <f aca="false">IF(ISBLANK(E49),"",IF(ISBLANK(G49),(O49+(K49*35)+(L49*35^1.5)+(0.00000048314*35^2)),(O49+(K49*G49)+(L49*G49^1.5)+(0.00000048314*G49^2))))</f>
        <v/>
      </c>
      <c r="N49" s="130" t="str">
        <f aca="false">IF(ISBLANK(D49),"",IF(ISBLANK(G49),J49*(1+0.00001*(35-20)),J49*(1+0.00001*(G49-20))))</f>
        <v/>
      </c>
      <c r="O49" s="129" t="str">
        <f aca="false">IF(ISBLANK(E49),"",(0.999842594+(0.00006793952*E49)-(0.00000909529*E49^2)+(0.0000001001685*E49^3)-(0.000000001120083*E49^4)+(0.000000000006536332*E49^5)))</f>
        <v/>
      </c>
      <c r="P49" s="13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Flac.",P49*M49)))))))))</f>
        <v/>
      </c>
      <c r="R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08" t="n">
        <f aca="false">IF(ISBLANK(VLOOKUP(D50,'Volumes flacons'!A5:C623,3)),0,1)</f>
        <v>1</v>
      </c>
      <c r="B50" s="109" t="n">
        <f aca="false">IF(ISBLANK(D50),0,IF(ISBLANK(E50),0,IF(ISBLANK(F50),0,1)))</f>
        <v>0</v>
      </c>
      <c r="C50" s="157" t="n">
        <v>16</v>
      </c>
      <c r="D50" s="158"/>
      <c r="E50" s="125"/>
      <c r="F50" s="126"/>
      <c r="G50" s="127"/>
      <c r="H50" s="125"/>
      <c r="I50" s="125"/>
      <c r="J50" s="128" t="str">
        <f aca="false">IF(ISBLANK(D50),"",IF(VLOOKUP(D50,'Volumes flacons'!$A$5:$C$623,2)=0,"",IF(D50&gt;'Volumes flacons'!$A$623,"Mauvais numéro",IF(D50&lt;'Volumes flacons'!$A$5,"Mauvais numéro",(VLOOKUP(D50,'Volumes flacons'!$A$5:$C$623,3))))))</f>
        <v/>
      </c>
      <c r="K50" s="129" t="str">
        <f aca="false">IF(ISBLANK(E50),"",(0.000824493-(0.0000040899*E50)+(0.000000076438*E50^2)-(0.00000000082467*E50^3)+(0.0000000000053875*E50^4)))</f>
        <v/>
      </c>
      <c r="L50" s="129" t="str">
        <f aca="false">IF(ISBLANK(E50),"",(-0.00000572466+(0.00000010227*E50)-(0.0000000016546*E50^2)))</f>
        <v/>
      </c>
      <c r="M50" s="129" t="str">
        <f aca="false">IF(ISBLANK(E50),"",IF(ISBLANK(G50),(O50+(K50*35)+(L50*35^1.5)+(0.00000048314*35^2)),(O50+(K50*G50)+(L50*G50^1.5)+(0.00000048314*G50^2))))</f>
        <v/>
      </c>
      <c r="N50" s="130" t="str">
        <f aca="false">IF(ISBLANK(D50),"",IF(ISBLANK(G50),J50*(1+0.00001*(35-20)),J50*(1+0.00001*(G50-20))))</f>
        <v/>
      </c>
      <c r="O50" s="129" t="str">
        <f aca="false">IF(ISBLANK(E50),"",(0.999842594+(0.00006793952*E50)-(0.00000909529*E50^2)+(0.0000001001685*E50^3)-(0.000000001120083*E50^4)+(0.000000000006536332*E50^5)))</f>
        <v/>
      </c>
      <c r="P50" s="13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Flac.",P50*M50)))))))))</f>
        <v/>
      </c>
      <c r="R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08" t="n">
        <f aca="false">IF(ISBLANK(VLOOKUP(D51,'Volumes flacons'!A5:C623,3)),0,1)</f>
        <v>1</v>
      </c>
      <c r="B51" s="109" t="n">
        <f aca="false">IF(ISBLANK(D51),0,IF(ISBLANK(E51),0,IF(ISBLANK(F51),0,1)))</f>
        <v>0</v>
      </c>
      <c r="C51" s="157" t="n">
        <v>17</v>
      </c>
      <c r="D51" s="158"/>
      <c r="E51" s="125"/>
      <c r="F51" s="126"/>
      <c r="G51" s="127"/>
      <c r="H51" s="125"/>
      <c r="I51" s="125"/>
      <c r="J51" s="128" t="str">
        <f aca="false">IF(ISBLANK(D51),"",IF(VLOOKUP(D51,'Volumes flacons'!$A$5:$C$623,2)=0,"",IF(D51&gt;'Volumes flacons'!$A$623,"Mauvais numéro",IF(D51&lt;'Volumes flacons'!$A$5,"Mauvais numéro",(VLOOKUP(D51,'Volumes flacons'!$A$5:$C$623,3))))))</f>
        <v/>
      </c>
      <c r="K51" s="129" t="str">
        <f aca="false">IF(ISBLANK(E51),"",(0.000824493-(0.0000040899*E51)+(0.000000076438*E51^2)-(0.00000000082467*E51^3)+(0.0000000000053875*E51^4)))</f>
        <v/>
      </c>
      <c r="L51" s="129" t="str">
        <f aca="false">IF(ISBLANK(E51),"",(-0.00000572466+(0.00000010227*E51)-(0.0000000016546*E51^2)))</f>
        <v/>
      </c>
      <c r="M51" s="129" t="str">
        <f aca="false">IF(ISBLANK(E51),"",IF(ISBLANK(G51),(O51+(K51*35)+(L51*35^1.5)+(0.00000048314*35^2)),(O51+(K51*G51)+(L51*G51^1.5)+(0.00000048314*G51^2))))</f>
        <v/>
      </c>
      <c r="N51" s="130" t="str">
        <f aca="false">IF(ISBLANK(D51),"",IF(ISBLANK(G51),J51*(1+0.00001*(35-20)),J51*(1+0.00001*(G51-20))))</f>
        <v/>
      </c>
      <c r="O51" s="129" t="str">
        <f aca="false">IF(ISBLANK(E51),"",(0.999842594+(0.00006793952*E51)-(0.00000909529*E51^2)+(0.0000001001685*E51^3)-(0.000000001120083*E51^4)+(0.000000000006536332*E51^5)))</f>
        <v/>
      </c>
      <c r="P51" s="13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Flac.",P51*M51)))))))))</f>
        <v/>
      </c>
      <c r="R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08" t="n">
        <f aca="false">IF(ISBLANK(VLOOKUP(D52,'Volumes flacons'!A5:C623,3)),0,1)</f>
        <v>1</v>
      </c>
      <c r="B52" s="109" t="n">
        <f aca="false">IF(ISBLANK(D52),0,IF(ISBLANK(E52),0,IF(ISBLANK(F52),0,1)))</f>
        <v>0</v>
      </c>
      <c r="C52" s="157" t="n">
        <v>18</v>
      </c>
      <c r="D52" s="158"/>
      <c r="E52" s="125"/>
      <c r="F52" s="126"/>
      <c r="G52" s="127"/>
      <c r="H52" s="125"/>
      <c r="I52" s="125"/>
      <c r="J52" s="128" t="str">
        <f aca="false">IF(ISBLANK(D52),"",IF(VLOOKUP(D52,'Volumes flacons'!$A$5:$C$623,2)=0,"",IF(D52&gt;'Volumes flacons'!$A$623,"Mauvais numéro",IF(D52&lt;'Volumes flacons'!$A$5,"Mauvais numéro",(VLOOKUP(D52,'Volumes flacons'!$A$5:$C$623,3))))))</f>
        <v/>
      </c>
      <c r="K52" s="129" t="str">
        <f aca="false">IF(ISBLANK(E52),"",(0.000824493-(0.0000040899*E52)+(0.000000076438*E52^2)-(0.00000000082467*E52^3)+(0.0000000000053875*E52^4)))</f>
        <v/>
      </c>
      <c r="L52" s="129" t="str">
        <f aca="false">IF(ISBLANK(E52),"",(-0.00000572466+(0.00000010227*E52)-(0.0000000016546*E52^2)))</f>
        <v/>
      </c>
      <c r="M52" s="129" t="str">
        <f aca="false">IF(ISBLANK(E52),"",IF(ISBLANK(G52),(O52+(K52*35)+(L52*35^1.5)+(0.00000048314*35^2)),(O52+(K52*G52)+(L52*G52^1.5)+(0.00000048314*G52^2))))</f>
        <v/>
      </c>
      <c r="N52" s="130" t="str">
        <f aca="false">IF(ISBLANK(D52),"",IF(ISBLANK(G52),J52*(1+0.00001*(35-20)),J52*(1+0.00001*(G52-20))))</f>
        <v/>
      </c>
      <c r="O52" s="129" t="str">
        <f aca="false">IF(ISBLANK(E52),"",(0.999842594+(0.00006793952*E52)-(0.00000909529*E52^2)+(0.0000001001685*E52^3)-(0.000000001120083*E52^4)+(0.000000000006536332*E52^5)))</f>
        <v/>
      </c>
      <c r="P52" s="13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Flac.",P52*M52)))))))))</f>
        <v/>
      </c>
      <c r="R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08" t="n">
        <f aca="false">IF(ISBLANK(VLOOKUP(D53,'Volumes flacons'!A5:C623,3)),0,1)</f>
        <v>1</v>
      </c>
      <c r="B53" s="109" t="n">
        <f aca="false">IF(ISBLANK(D53),0,IF(ISBLANK(E53),0,IF(ISBLANK(F53),0,1)))</f>
        <v>0</v>
      </c>
      <c r="C53" s="157" t="n">
        <v>19</v>
      </c>
      <c r="D53" s="158"/>
      <c r="E53" s="125"/>
      <c r="F53" s="126"/>
      <c r="G53" s="127"/>
      <c r="H53" s="125"/>
      <c r="I53" s="125"/>
      <c r="J53" s="128" t="str">
        <f aca="false">IF(ISBLANK(D53),"",IF(VLOOKUP(D53,'Volumes flacons'!$A$5:$C$623,2)=0,"",IF(D53&gt;'Volumes flacons'!$A$623,"Mauvais numéro",IF(D53&lt;'Volumes flacons'!$A$5,"Mauvais numéro",(VLOOKUP(D53,'Volumes flacons'!$A$5:$C$623,3))))))</f>
        <v/>
      </c>
      <c r="K53" s="129" t="str">
        <f aca="false">IF(ISBLANK(E53),"",(0.000824493-(0.0000040899*E53)+(0.000000076438*E53^2)-(0.00000000082467*E53^3)+(0.0000000000053875*E53^4)))</f>
        <v/>
      </c>
      <c r="L53" s="129" t="str">
        <f aca="false">IF(ISBLANK(E53),"",(-0.00000572466+(0.00000010227*E53)-(0.0000000016546*E53^2)))</f>
        <v/>
      </c>
      <c r="M53" s="129" t="str">
        <f aca="false">IF(ISBLANK(E53),"",IF(ISBLANK(G53),(O53+(K53*35)+(L53*35^1.5)+(0.00000048314*35^2)),(O53+(K53*G53)+(L53*G53^1.5)+(0.00000048314*G53^2))))</f>
        <v/>
      </c>
      <c r="N53" s="130" t="str">
        <f aca="false">IF(ISBLANK(D53),"",IF(ISBLANK(G53),J53*(1+0.00001*(35-20)),J53*(1+0.00001*(G53-20))))</f>
        <v/>
      </c>
      <c r="O53" s="129" t="str">
        <f aca="false">IF(ISBLANK(E53),"",(0.999842594+(0.00006793952*E53)-(0.00000909529*E53^2)+(0.0000001001685*E53^3)-(0.000000001120083*E53^4)+(0.000000000006536332*E53^5)))</f>
        <v/>
      </c>
      <c r="P53" s="13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Flac.",P53*M53)))))))))</f>
        <v/>
      </c>
      <c r="R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08" t="n">
        <f aca="false">IF(ISBLANK(VLOOKUP(D54,'Volumes flacons'!A5:C623,3)),0,1)</f>
        <v>1</v>
      </c>
      <c r="B54" s="109" t="n">
        <f aca="false">IF(ISBLANK(D54),0,IF(ISBLANK(E54),0,IF(ISBLANK(F54),0,1)))</f>
        <v>0</v>
      </c>
      <c r="C54" s="157" t="n">
        <v>20</v>
      </c>
      <c r="D54" s="158"/>
      <c r="E54" s="125"/>
      <c r="F54" s="126"/>
      <c r="G54" s="127"/>
      <c r="H54" s="125"/>
      <c r="I54" s="125"/>
      <c r="J54" s="128" t="str">
        <f aca="false">IF(ISBLANK(D54),"",IF(VLOOKUP(D54,'Volumes flacons'!$A$5:$C$623,2)=0,"",IF(D54&gt;'Volumes flacons'!$A$623,"Mauvais numéro",IF(D54&lt;'Volumes flacons'!$A$5,"Mauvais numéro",(VLOOKUP(D54,'Volumes flacons'!$A$5:$C$623,3))))))</f>
        <v/>
      </c>
      <c r="K54" s="129" t="str">
        <f aca="false">IF(ISBLANK(E54),"",(0.000824493-(0.0000040899*E54)+(0.000000076438*E54^2)-(0.00000000082467*E54^3)+(0.0000000000053875*E54^4)))</f>
        <v/>
      </c>
      <c r="L54" s="129" t="str">
        <f aca="false">IF(ISBLANK(E54),"",(-0.00000572466+(0.00000010227*E54)-(0.0000000016546*E54^2)))</f>
        <v/>
      </c>
      <c r="M54" s="129" t="str">
        <f aca="false">IF(ISBLANK(E54),"",IF(ISBLANK(G54),(O54+(K54*35)+(L54*35^1.5)+(0.00000048314*35^2)),(O54+(K54*G54)+(L54*G54^1.5)+(0.00000048314*G54^2))))</f>
        <v/>
      </c>
      <c r="N54" s="130" t="str">
        <f aca="false">IF(ISBLANK(D54),"",IF(ISBLANK(G54),J54*(1+0.00001*(35-20)),J54*(1+0.00001*(G54-20))))</f>
        <v/>
      </c>
      <c r="O54" s="129" t="str">
        <f aca="false">IF(ISBLANK(E54),"",(0.999842594+(0.00006793952*E54)-(0.00000909529*E54^2)+(0.0000001001685*E54^3)-(0.000000001120083*E54^4)+(0.000000000006536332*E54^5)))</f>
        <v/>
      </c>
      <c r="P54" s="13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Flac.",P54*M54)))))))))</f>
        <v/>
      </c>
      <c r="R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08" t="n">
        <f aca="false">IF(ISBLANK(VLOOKUP(D55,'Volumes flacons'!A5:C623,3)),0,1)</f>
        <v>1</v>
      </c>
      <c r="B55" s="109" t="n">
        <f aca="false">IF(ISBLANK(D55),0,IF(ISBLANK(E55),0,IF(ISBLANK(F55),0,1)))</f>
        <v>0</v>
      </c>
      <c r="C55" s="157" t="n">
        <v>21</v>
      </c>
      <c r="D55" s="158"/>
      <c r="E55" s="125"/>
      <c r="F55" s="126"/>
      <c r="G55" s="127"/>
      <c r="H55" s="125"/>
      <c r="I55" s="125"/>
      <c r="J55" s="128" t="str">
        <f aca="false">IF(ISBLANK(D55),"",IF(VLOOKUP(D55,'Volumes flacons'!$A$5:$C$623,2)=0,"",IF(D55&gt;'Volumes flacons'!$A$623,"Mauvais numéro",IF(D55&lt;'Volumes flacons'!$A$5,"Mauvais numéro",(VLOOKUP(D55,'Volumes flacons'!$A$5:$C$623,3))))))</f>
        <v/>
      </c>
      <c r="K55" s="129" t="str">
        <f aca="false">IF(ISBLANK(E55),"",(0.000824493-(0.0000040899*E55)+(0.000000076438*E55^2)-(0.00000000082467*E55^3)+(0.0000000000053875*E55^4)))</f>
        <v/>
      </c>
      <c r="L55" s="129" t="str">
        <f aca="false">IF(ISBLANK(E55),"",(-0.00000572466+(0.00000010227*E55)-(0.0000000016546*E55^2)))</f>
        <v/>
      </c>
      <c r="M55" s="129" t="str">
        <f aca="false">IF(ISBLANK(E55),"",IF(ISBLANK(G55),(O55+(K55*35)+(L55*35^1.5)+(0.00000048314*35^2)),(O55+(K55*G55)+(L55*G55^1.5)+(0.00000048314*G55^2))))</f>
        <v/>
      </c>
      <c r="N55" s="130" t="str">
        <f aca="false">IF(ISBLANK(D55),"",IF(ISBLANK(G55),J55*(1+0.00001*(35-20)),J55*(1+0.00001*(G55-20))))</f>
        <v/>
      </c>
      <c r="O55" s="129" t="str">
        <f aca="false">IF(ISBLANK(E55),"",(0.999842594+(0.00006793952*E55)-(0.00000909529*E55^2)+(0.0000001001685*E55^3)-(0.000000001120083*E55^4)+(0.000000000006536332*E55^5)))</f>
        <v/>
      </c>
      <c r="P55" s="13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Flac.",P55*M55)))))))))</f>
        <v/>
      </c>
      <c r="R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08" t="n">
        <f aca="false">IF(ISBLANK(VLOOKUP(D56,'Volumes flacons'!A5:C623,3)),0,1)</f>
        <v>1</v>
      </c>
      <c r="B56" s="109" t="n">
        <f aca="false">IF(ISBLANK(D56),0,IF(ISBLANK(E56),0,IF(ISBLANK(F56),0,1)))</f>
        <v>0</v>
      </c>
      <c r="C56" s="157" t="n">
        <v>22</v>
      </c>
      <c r="D56" s="158"/>
      <c r="E56" s="125"/>
      <c r="F56" s="126"/>
      <c r="G56" s="127"/>
      <c r="H56" s="125"/>
      <c r="I56" s="125"/>
      <c r="J56" s="128" t="str">
        <f aca="false">IF(ISBLANK(D56),"",IF(VLOOKUP(D56,'Volumes flacons'!$A$5:$C$623,2)=0,"",IF(D56&gt;'Volumes flacons'!$A$623,"Mauvais numéro",IF(D56&lt;'Volumes flacons'!$A$5,"Mauvais numéro",(VLOOKUP(D56,'Volumes flacons'!$A$5:$C$623,3))))))</f>
        <v/>
      </c>
      <c r="K56" s="129" t="str">
        <f aca="false">IF(ISBLANK(E56),"",(0.000824493-(0.0000040899*E56)+(0.000000076438*E56^2)-(0.00000000082467*E56^3)+(0.0000000000053875*E56^4)))</f>
        <v/>
      </c>
      <c r="L56" s="129" t="str">
        <f aca="false">IF(ISBLANK(E56),"",(-0.00000572466+(0.00000010227*E56)-(0.0000000016546*E56^2)))</f>
        <v/>
      </c>
      <c r="M56" s="129" t="str">
        <f aca="false">IF(ISBLANK(E56),"",IF(ISBLANK(G56),(O56+(K56*35)+(L56*35^1.5)+(0.00000048314*35^2)),(O56+(K56*G56)+(L56*G56^1.5)+(0.00000048314*G56^2))))</f>
        <v/>
      </c>
      <c r="N56" s="130" t="str">
        <f aca="false">IF(ISBLANK(D56),"",IF(ISBLANK(G56),J56*(1+0.00001*(35-20)),J56*(1+0.00001*(G56-20))))</f>
        <v/>
      </c>
      <c r="O56" s="129" t="str">
        <f aca="false">IF(ISBLANK(E56),"",(0.999842594+(0.00006793952*E56)-(0.00000909529*E56^2)+(0.0000001001685*E56^3)-(0.000000001120083*E56^4)+(0.000000000006536332*E56^5)))</f>
        <v/>
      </c>
      <c r="P56" s="13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Flac.",P56*M56)))))))))</f>
        <v/>
      </c>
      <c r="R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08" t="n">
        <f aca="false">IF(ISBLANK(VLOOKUP(D57,'Volumes flacons'!A5:C623,3)),0,1)</f>
        <v>1</v>
      </c>
      <c r="B57" s="109" t="n">
        <f aca="false">IF(ISBLANK(D57),0,IF(ISBLANK(E57),0,IF(ISBLANK(F57),0,1)))</f>
        <v>0</v>
      </c>
      <c r="C57" s="157" t="n">
        <v>23</v>
      </c>
      <c r="D57" s="158"/>
      <c r="E57" s="125"/>
      <c r="F57" s="126"/>
      <c r="G57" s="127"/>
      <c r="H57" s="125"/>
      <c r="I57" s="125"/>
      <c r="J57" s="128" t="str">
        <f aca="false">IF(ISBLANK(D57),"",IF(VLOOKUP(D57,'Volumes flacons'!$A$5:$C$623,2)=0,"",IF(D57&gt;'Volumes flacons'!$A$623,"Mauvais numéro",IF(D57&lt;'Volumes flacons'!$A$5,"Mauvais numéro",(VLOOKUP(D57,'Volumes flacons'!$A$5:$C$623,3))))))</f>
        <v/>
      </c>
      <c r="K57" s="129" t="str">
        <f aca="false">IF(ISBLANK(E57),"",(0.000824493-(0.0000040899*E57)+(0.000000076438*E57^2)-(0.00000000082467*E57^3)+(0.0000000000053875*E57^4)))</f>
        <v/>
      </c>
      <c r="L57" s="129" t="str">
        <f aca="false">IF(ISBLANK(E57),"",(-0.00000572466+(0.00000010227*E57)-(0.0000000016546*E57^2)))</f>
        <v/>
      </c>
      <c r="M57" s="129" t="str">
        <f aca="false">IF(ISBLANK(E57),"",IF(ISBLANK(G57),(O57+(K57*35)+(L57*35^1.5)+(0.00000048314*35^2)),(O57+(K57*G57)+(L57*G57^1.5)+(0.00000048314*G57^2))))</f>
        <v/>
      </c>
      <c r="N57" s="130" t="str">
        <f aca="false">IF(ISBLANK(D57),"",IF(ISBLANK(G57),J57*(1+0.00001*(35-20)),J57*(1+0.00001*(G57-20))))</f>
        <v/>
      </c>
      <c r="O57" s="129" t="str">
        <f aca="false">IF(ISBLANK(E57),"",(0.999842594+(0.00006793952*E57)-(0.00000909529*E57^2)+(0.0000001001685*E57^3)-(0.000000001120083*E57^4)+(0.000000000006536332*E57^5)))</f>
        <v/>
      </c>
      <c r="P57" s="13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Flac.",P57*M57)))))))))</f>
        <v/>
      </c>
      <c r="R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5.75" hidden="false" customHeight="false" outlineLevel="0" collapsed="false">
      <c r="A58" s="108" t="n">
        <f aca="false">IF(ISBLANK(VLOOKUP(D58,'Volumes flacons'!A5:C623,3)),0,1)</f>
        <v>1</v>
      </c>
      <c r="B58" s="109" t="n">
        <f aca="false">IF(ISBLANK(D58),0,IF(ISBLANK(E58),0,IF(ISBLANK(F58),0,1)))</f>
        <v>0</v>
      </c>
      <c r="C58" s="160" t="n">
        <v>24</v>
      </c>
      <c r="D58" s="161"/>
      <c r="E58" s="142"/>
      <c r="F58" s="143"/>
      <c r="G58" s="144"/>
      <c r="H58" s="142"/>
      <c r="I58" s="142"/>
      <c r="J58" s="145" t="str">
        <f aca="false">IF(ISBLANK(D58),"",IF(VLOOKUP(D58,'Volumes flacons'!$A$5:$C$623,2)=0,"",IF(D58&gt;'Volumes flacons'!$A$623,"Mauvais numéro",IF(D58&lt;'Volumes flacons'!$A$5,"Mauvais numéro",(VLOOKUP(D58,'Volumes flacons'!$A$5:$C$623,3))))))</f>
        <v/>
      </c>
      <c r="K58" s="146" t="str">
        <f aca="false">IF(ISBLANK(E58),"",(0.000824493-(0.0000040899*E58)+(0.000000076438*E58^2)-(0.00000000082467*E58^3)+(0.0000000000053875*E58^4)))</f>
        <v/>
      </c>
      <c r="L58" s="146" t="str">
        <f aca="false">IF(ISBLANK(E58),"",(-0.00000572466+(0.00000010227*E58)-(0.0000000016546*E58^2)))</f>
        <v/>
      </c>
      <c r="M58" s="146" t="str">
        <f aca="false">IF(ISBLANK(E58),"",IF(ISBLANK(G58),(O58+(K58*35)+(L58*35^1.5)+(0.00000048314*35^2)),(O58+(K58*G58)+(L58*G58^1.5)+(0.00000048314*G58^2))))</f>
        <v/>
      </c>
      <c r="N58" s="147" t="str">
        <f aca="false">IF(ISBLANK(D58),"",IF(ISBLANK(G58),J58*(1+0.00001*(35-20)),J58*(1+0.00001*(G58-20))))</f>
        <v/>
      </c>
      <c r="O58" s="146" t="str">
        <f aca="false">IF(ISBLANK(E58),"",(0.999842594+(0.00006793952*E58)-(0.00000909529*E58^2)+(0.0000001001685*E58^3)-(0.000000001120083*E58^4)+(0.000000000006536332*E58^5)))</f>
        <v/>
      </c>
      <c r="P58" s="14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4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Flac.",P58*M58)))))))))</f>
        <v/>
      </c>
      <c r="R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2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53" t="s">
        <v>146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1" activeCellId="1" sqref="Q10:R10 Q1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33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40625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0" t="n">
        <v>0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3" t="str">
        <f aca="false">IF(ISBLANK(I10),"",IF(ISBLANK(J10),"",IF(P10=N10,L10&amp;N12,N12)))</f>
        <v>-10°0</v>
      </c>
      <c r="P10" s="29" t="s">
        <v>17</v>
      </c>
      <c r="Q10" s="0" t="n">
        <v>-10</v>
      </c>
      <c r="S10" s="34"/>
      <c r="T10" s="34"/>
    </row>
    <row r="11" customFormat="false" ht="13.8" hidden="false" customHeight="false" outlineLevel="0" collapsed="false">
      <c r="G11" s="35" t="s">
        <v>18</v>
      </c>
      <c r="H11" s="35"/>
      <c r="I11" s="36" t="s">
        <v>19</v>
      </c>
      <c r="J11" s="37" t="n">
        <v>40624</v>
      </c>
      <c r="K11" s="37"/>
      <c r="L11" s="37"/>
      <c r="M11" s="37"/>
      <c r="N11" s="38" t="str">
        <f aca="false">I9&amp;"°"&amp;J9</f>
        <v>0°0</v>
      </c>
      <c r="O11" s="39" t="n">
        <f aca="false">IF(P9=M10,-1,1)</f>
        <v>1</v>
      </c>
      <c r="P11" s="0" t="s">
        <v>148</v>
      </c>
      <c r="T11" s="40"/>
      <c r="U11" s="40"/>
      <c r="V11" s="5"/>
      <c r="W11" s="5"/>
    </row>
    <row r="12" customFormat="false" ht="13.8" hidden="false" customHeight="false" outlineLevel="0" collapsed="false">
      <c r="G12" s="35"/>
      <c r="H12" s="35"/>
      <c r="I12" s="41" t="s">
        <v>21</v>
      </c>
      <c r="J12" s="42" t="n">
        <v>0.625</v>
      </c>
      <c r="K12" s="42"/>
      <c r="L12" s="42"/>
      <c r="M12" s="42"/>
      <c r="N12" s="43" t="str">
        <f aca="false">I10&amp;"°"&amp;J10</f>
        <v>10°0</v>
      </c>
      <c r="O12" s="39" t="n">
        <f aca="false">IF(P10=N10,-1,1)</f>
        <v>-1</v>
      </c>
      <c r="T12" s="40"/>
      <c r="U12" s="40"/>
      <c r="V12" s="5"/>
      <c r="W12" s="5"/>
    </row>
    <row r="13" customFormat="false" ht="15" hidden="false" customHeight="false" outlineLevel="0" collapsed="false">
      <c r="C13" s="44" t="s">
        <v>22</v>
      </c>
      <c r="D13" s="44"/>
      <c r="E13" s="5"/>
      <c r="K13" s="45"/>
      <c r="L13" s="45"/>
      <c r="M13" s="45"/>
      <c r="N13" s="45"/>
      <c r="O13" s="45"/>
      <c r="P13" s="45"/>
      <c r="Q13" s="46"/>
    </row>
    <row r="14" customFormat="false" ht="15" hidden="false" customHeight="true" outlineLevel="0" collapsed="false">
      <c r="C14" s="47" t="s">
        <v>23</v>
      </c>
      <c r="D14" s="48"/>
      <c r="E14" s="48"/>
      <c r="F14" s="48"/>
      <c r="G14" s="48"/>
      <c r="H14" s="49"/>
      <c r="I14" s="49"/>
      <c r="J14" s="49"/>
      <c r="K14" s="48"/>
      <c r="L14" s="48"/>
      <c r="M14" s="48"/>
      <c r="N14" s="49"/>
      <c r="O14" s="50"/>
      <c r="P14" s="49"/>
      <c r="Q14" s="50" t="s">
        <v>24</v>
      </c>
      <c r="R14" s="51" t="n">
        <v>24.1</v>
      </c>
      <c r="S14" s="52" t="s">
        <v>25</v>
      </c>
    </row>
    <row r="15" customFormat="false" ht="14.25" hidden="false" customHeight="true" outlineLevel="0" collapsed="false">
      <c r="C15" s="53" t="s">
        <v>26</v>
      </c>
      <c r="D15" s="54"/>
      <c r="E15" s="54"/>
      <c r="F15" s="54"/>
      <c r="G15" s="54"/>
      <c r="H15" s="55"/>
      <c r="I15" s="55"/>
      <c r="J15" s="55"/>
      <c r="K15" s="54"/>
      <c r="L15" s="54"/>
      <c r="M15" s="54"/>
      <c r="N15" s="55"/>
      <c r="O15" s="56"/>
      <c r="P15" s="55"/>
      <c r="Q15" s="56" t="s">
        <v>27</v>
      </c>
      <c r="R15" s="57" t="n">
        <v>24.3</v>
      </c>
      <c r="S15" s="58" t="s">
        <v>25</v>
      </c>
    </row>
    <row r="16" customFormat="false" ht="15" hidden="false" customHeight="false" outlineLevel="0" collapsed="false">
      <c r="C16" s="53" t="s">
        <v>28</v>
      </c>
      <c r="D16" s="54"/>
      <c r="E16" s="54"/>
      <c r="F16" s="54"/>
      <c r="G16" s="54"/>
      <c r="H16" s="55"/>
      <c r="I16" s="55"/>
      <c r="J16" s="55"/>
      <c r="K16" s="54"/>
      <c r="L16" s="54"/>
      <c r="M16" s="54"/>
      <c r="N16" s="55"/>
      <c r="O16" s="56"/>
      <c r="P16" s="55"/>
      <c r="Q16" s="56" t="s">
        <v>29</v>
      </c>
      <c r="R16" s="59" t="n">
        <v>5.009</v>
      </c>
      <c r="S16" s="58" t="s">
        <v>30</v>
      </c>
    </row>
    <row r="17" customFormat="false" ht="15" hidden="false" customHeight="false" outlineLevel="0" collapsed="false">
      <c r="C17" s="60" t="s">
        <v>31</v>
      </c>
      <c r="D17" s="61"/>
      <c r="E17" s="61"/>
      <c r="F17" s="61"/>
      <c r="G17" s="61"/>
      <c r="H17" s="62"/>
      <c r="I17" s="62"/>
      <c r="J17" s="62"/>
      <c r="K17" s="61"/>
      <c r="L17" s="61"/>
      <c r="M17" s="61"/>
      <c r="N17" s="62"/>
      <c r="O17" s="63"/>
      <c r="P17" s="62"/>
      <c r="Q17" s="63" t="s">
        <v>32</v>
      </c>
      <c r="R17" s="64" t="n">
        <v>0.006</v>
      </c>
      <c r="S17" s="65" t="s">
        <v>30</v>
      </c>
    </row>
    <row r="18" customFormat="false" ht="14.25" hidden="true" customHeight="false" outlineLevel="0" collapsed="false">
      <c r="C18" s="66" t="s">
        <v>33</v>
      </c>
      <c r="D18" s="67"/>
      <c r="E18" s="67"/>
      <c r="F18" s="67"/>
      <c r="G18" s="67"/>
      <c r="H18" s="67"/>
      <c r="I18" s="67"/>
      <c r="J18" s="67"/>
      <c r="K18" s="68"/>
      <c r="L18" s="68"/>
      <c r="M18" s="68"/>
      <c r="N18" s="68"/>
      <c r="O18" s="69" t="s">
        <v>34</v>
      </c>
      <c r="P18" s="70" t="n">
        <f aca="false">(0.999842594+(0.00006793952*$R$14)-(0.00000909529*$R$14^2)+(0.0000001001685*$R$14^3)-(0.000000001120083*$R$14^4)+(0.000000000006536332*$R$14^5))</f>
        <v>0.997274702369966</v>
      </c>
      <c r="Q18" s="68"/>
      <c r="R18" s="6"/>
    </row>
    <row r="19" customFormat="false" ht="14.25" hidden="true" customHeight="false" outlineLevel="0" collapsed="false">
      <c r="C19" s="66" t="s">
        <v>35</v>
      </c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9" t="s">
        <v>36</v>
      </c>
      <c r="P19" s="70" t="n">
        <f aca="false">$P$24*($P$18/'Titre d''iodate'!E19)</f>
        <v>0.0199776368033</v>
      </c>
      <c r="Q19" s="68" t="s">
        <v>13</v>
      </c>
      <c r="R19" s="6"/>
    </row>
    <row r="20" customFormat="false" ht="14.25" hidden="true" customHeight="false" outlineLevel="0" collapsed="false">
      <c r="C20" s="66" t="s">
        <v>37</v>
      </c>
      <c r="D20" s="67"/>
      <c r="E20" s="67"/>
      <c r="F20" s="67"/>
      <c r="G20" s="67"/>
      <c r="H20" s="67"/>
      <c r="I20" s="67"/>
      <c r="J20" s="67"/>
      <c r="K20" s="68"/>
      <c r="L20" s="68"/>
      <c r="M20" s="68"/>
      <c r="N20" s="68"/>
      <c r="O20" s="69" t="s">
        <v>38</v>
      </c>
      <c r="P20" s="70" t="n">
        <f aca="false">5+'Correction de volume'!G8</f>
        <v>5.00308998756</v>
      </c>
      <c r="Q20" s="68" t="s">
        <v>30</v>
      </c>
      <c r="R20" s="6"/>
    </row>
    <row r="21" customFormat="false" ht="14.25" hidden="true" customHeight="false" outlineLevel="0" collapsed="false">
      <c r="C21" s="66" t="s">
        <v>39</v>
      </c>
      <c r="D21" s="67"/>
      <c r="E21" s="67"/>
      <c r="F21" s="67"/>
      <c r="G21" s="67"/>
      <c r="H21" s="67"/>
      <c r="I21" s="67"/>
      <c r="J21" s="67"/>
      <c r="K21" s="68"/>
      <c r="L21" s="68"/>
      <c r="M21" s="68"/>
      <c r="N21" s="68"/>
      <c r="O21" s="69" t="s">
        <v>40</v>
      </c>
      <c r="P21" s="70" t="n">
        <f aca="false">P20*(1+0.00001*(R14-20))</f>
        <v>5.00329511424949</v>
      </c>
      <c r="Q21" s="68" t="s">
        <v>30</v>
      </c>
      <c r="R21" s="6"/>
    </row>
    <row r="22" customFormat="false" ht="14.25" hidden="true" customHeight="false" outlineLevel="0" collapsed="false">
      <c r="C22" s="66" t="s">
        <v>41</v>
      </c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9" t="s">
        <v>42</v>
      </c>
      <c r="P22" s="71" t="n">
        <f aca="false">$R$16*(1+0.00001*(20-$R$14))</f>
        <v>5.008794631</v>
      </c>
      <c r="Q22" s="68" t="s">
        <v>30</v>
      </c>
      <c r="R22" s="6"/>
    </row>
    <row r="23" customFormat="false" ht="14.25" hidden="true" customHeight="false" outlineLevel="0" collapsed="false">
      <c r="C23" s="66" t="s">
        <v>43</v>
      </c>
      <c r="D23" s="67"/>
      <c r="E23" s="67"/>
      <c r="F23" s="67"/>
      <c r="G23" s="67"/>
      <c r="H23" s="67"/>
      <c r="I23" s="67"/>
      <c r="J23" s="67"/>
      <c r="K23" s="68"/>
      <c r="L23" s="68"/>
      <c r="M23" s="68"/>
      <c r="N23" s="68"/>
      <c r="O23" s="69" t="s">
        <v>44</v>
      </c>
      <c r="P23" s="71" t="n">
        <f aca="false">$R$17*(1+0.00001*(20-$R$14))</f>
        <v>0.005999754</v>
      </c>
      <c r="Q23" s="68" t="s">
        <v>30</v>
      </c>
      <c r="R23" s="6"/>
    </row>
    <row r="24" customFormat="false" ht="14.25" hidden="true" customHeight="false" outlineLevel="0" collapsed="false">
      <c r="C24" s="66" t="s">
        <v>45</v>
      </c>
      <c r="D24" s="67"/>
      <c r="E24" s="67"/>
      <c r="F24" s="67"/>
      <c r="G24" s="67"/>
      <c r="H24" s="67"/>
      <c r="I24" s="67"/>
      <c r="J24" s="67"/>
      <c r="K24" s="68"/>
      <c r="L24" s="68"/>
      <c r="M24" s="68"/>
      <c r="N24" s="68"/>
      <c r="O24" s="69" t="s">
        <v>46</v>
      </c>
      <c r="P24" s="55" t="n">
        <f aca="false">MAX('Titre d''iodate'!F7:F10)</f>
        <v>0.0199962991701183</v>
      </c>
      <c r="Q24" s="68" t="s">
        <v>13</v>
      </c>
      <c r="R24" s="6"/>
    </row>
    <row r="25" customFormat="false" ht="14.25" hidden="true" customHeight="false" outlineLevel="0" collapsed="false">
      <c r="C25" s="66" t="s">
        <v>47</v>
      </c>
      <c r="D25" s="67"/>
      <c r="E25" s="67"/>
      <c r="F25" s="67"/>
      <c r="G25" s="67"/>
      <c r="H25" s="67"/>
      <c r="I25" s="67"/>
      <c r="J25" s="67"/>
      <c r="K25" s="68"/>
      <c r="L25" s="68"/>
      <c r="M25" s="68"/>
      <c r="N25" s="68"/>
      <c r="O25" s="69" t="s">
        <v>48</v>
      </c>
      <c r="P25" s="55" t="n">
        <f aca="false">IF(ISBLANK(R14),"",IF(ISBLANK(P21),"",IF(ISBLANK(R17),"",(($P$24*$P$18)/($P$22-$P$23)))))</f>
        <v>0.0039861325106615</v>
      </c>
      <c r="Q25" s="68" t="s">
        <v>13</v>
      </c>
      <c r="R25" s="6"/>
    </row>
    <row r="26" customFormat="false" ht="14.25" hidden="true" customHeight="false" outlineLevel="0" collapsed="false">
      <c r="C26" s="72" t="s">
        <v>49</v>
      </c>
      <c r="D26" s="73"/>
      <c r="E26" s="73"/>
      <c r="F26" s="73"/>
      <c r="G26" s="73"/>
      <c r="H26" s="73"/>
      <c r="I26" s="73"/>
      <c r="J26" s="73"/>
      <c r="K26" s="68"/>
      <c r="L26" s="68"/>
      <c r="M26" s="68"/>
      <c r="N26" s="68"/>
      <c r="O26" s="69" t="s">
        <v>50</v>
      </c>
      <c r="P26" s="55" t="n">
        <f aca="false">2+('Correction de volume'!G10+'Correction de volume'!G9)</f>
        <v>2.0163939508</v>
      </c>
      <c r="Q26" s="68" t="s">
        <v>30</v>
      </c>
      <c r="R26" s="6"/>
    </row>
    <row r="27" customFormat="false" ht="15" hidden="true" customHeight="false" outlineLevel="0" collapsed="false">
      <c r="C27" s="74"/>
      <c r="D27" s="75"/>
      <c r="E27" s="75"/>
      <c r="F27" s="75"/>
      <c r="G27" s="75"/>
      <c r="H27" s="75"/>
      <c r="I27" s="75"/>
      <c r="J27" s="75"/>
      <c r="K27" s="76"/>
      <c r="L27" s="76"/>
      <c r="M27" s="76"/>
      <c r="N27" s="76"/>
      <c r="O27" s="77" t="s">
        <v>51</v>
      </c>
      <c r="P27" s="62" t="n">
        <v>0.0017</v>
      </c>
      <c r="Q27" s="76"/>
      <c r="R27" s="78"/>
    </row>
    <row r="29" customFormat="false" ht="15" hidden="false" customHeight="false" outlineLevel="0" collapsed="false">
      <c r="E29" s="18" t="s">
        <v>52</v>
      </c>
      <c r="F29" s="18"/>
      <c r="G29" s="18"/>
      <c r="H29" s="18"/>
      <c r="I29" s="79" t="s">
        <v>53</v>
      </c>
      <c r="K29" s="80"/>
      <c r="L29" s="80"/>
      <c r="M29" s="80"/>
      <c r="N29" s="81"/>
      <c r="O29" s="80" t="s">
        <v>54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2"/>
      <c r="K30" s="17"/>
      <c r="L30" s="17"/>
      <c r="M30" s="17"/>
      <c r="N30" s="81"/>
      <c r="O30" s="81" t="s">
        <v>53</v>
      </c>
      <c r="P30" s="81"/>
    </row>
    <row r="31" customFormat="false" ht="15.75" hidden="false" customHeight="true" outlineLevel="0" collapsed="false">
      <c r="C31" s="83" t="s">
        <v>55</v>
      </c>
      <c r="D31" s="84" t="s">
        <v>56</v>
      </c>
      <c r="E31" s="84" t="s">
        <v>57</v>
      </c>
      <c r="F31" s="84" t="s">
        <v>58</v>
      </c>
      <c r="G31" s="84" t="s">
        <v>59</v>
      </c>
      <c r="H31" s="84" t="s">
        <v>60</v>
      </c>
      <c r="I31" s="84" t="s">
        <v>61</v>
      </c>
      <c r="J31" s="84" t="s">
        <v>62</v>
      </c>
      <c r="K31" s="84" t="s">
        <v>63</v>
      </c>
      <c r="L31" s="84" t="s">
        <v>64</v>
      </c>
      <c r="M31" s="84" t="s">
        <v>65</v>
      </c>
      <c r="N31" s="84" t="s">
        <v>66</v>
      </c>
      <c r="O31" s="84" t="s">
        <v>67</v>
      </c>
      <c r="P31" s="85" t="s">
        <v>68</v>
      </c>
      <c r="Q31" s="85"/>
      <c r="R31" s="85"/>
      <c r="S31" s="85"/>
      <c r="T31" s="86" t="s">
        <v>69</v>
      </c>
      <c r="U31" s="86"/>
      <c r="V31" s="86" t="s">
        <v>70</v>
      </c>
      <c r="W31" s="86"/>
      <c r="X31" s="86" t="s">
        <v>71</v>
      </c>
      <c r="Y31" s="86"/>
      <c r="Z31" s="86" t="s">
        <v>72</v>
      </c>
      <c r="AA31" s="86"/>
      <c r="AB31" s="87" t="s">
        <v>73</v>
      </c>
      <c r="AC31" s="87"/>
      <c r="AD31" s="88" t="s">
        <v>74</v>
      </c>
      <c r="AE31" s="88" t="s">
        <v>75</v>
      </c>
      <c r="AF31" s="88" t="s">
        <v>76</v>
      </c>
      <c r="AG31" s="89" t="s">
        <v>77</v>
      </c>
      <c r="AH31" s="88" t="s">
        <v>78</v>
      </c>
      <c r="AI31" s="88" t="s">
        <v>79</v>
      </c>
      <c r="AJ31" s="88" t="s">
        <v>80</v>
      </c>
      <c r="AK31" s="88" t="s">
        <v>81</v>
      </c>
      <c r="AL31" s="89" t="s">
        <v>82</v>
      </c>
      <c r="AM31" s="88" t="s">
        <v>83</v>
      </c>
      <c r="AN31" s="88" t="s">
        <v>84</v>
      </c>
      <c r="AO31" s="88" t="s">
        <v>85</v>
      </c>
      <c r="AP31" s="88" t="s">
        <v>86</v>
      </c>
      <c r="AQ31" s="88" t="s">
        <v>87</v>
      </c>
      <c r="AR31" s="89" t="s">
        <v>88</v>
      </c>
      <c r="AS31" s="89" t="s">
        <v>89</v>
      </c>
      <c r="AT31" s="89" t="s">
        <v>90</v>
      </c>
      <c r="AU31" s="88" t="s">
        <v>91</v>
      </c>
      <c r="AV31" s="88" t="s">
        <v>92</v>
      </c>
      <c r="AW31" s="90" t="s">
        <v>93</v>
      </c>
      <c r="AX31" s="88" t="s">
        <v>94</v>
      </c>
      <c r="AY31" s="88" t="s">
        <v>95</v>
      </c>
      <c r="AZ31" s="89" t="s">
        <v>96</v>
      </c>
      <c r="BA31" s="88" t="s">
        <v>97</v>
      </c>
      <c r="BB31" s="91" t="s">
        <v>98</v>
      </c>
    </row>
    <row r="32" customFormat="false" ht="15.75" hidden="false" customHeight="true" outlineLevel="0" collapsed="false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  <c r="Q32" s="85"/>
      <c r="R32" s="85"/>
      <c r="S32" s="85"/>
      <c r="T32" s="86"/>
      <c r="U32" s="86"/>
      <c r="V32" s="86"/>
      <c r="W32" s="86"/>
      <c r="X32" s="86"/>
      <c r="Y32" s="86"/>
      <c r="Z32" s="86"/>
      <c r="AA32" s="86"/>
      <c r="AB32" s="87"/>
      <c r="AC32" s="87"/>
      <c r="AD32" s="88"/>
      <c r="AE32" s="88"/>
      <c r="AF32" s="88"/>
      <c r="AG32" s="89"/>
      <c r="AH32" s="88"/>
      <c r="AI32" s="88"/>
      <c r="AJ32" s="88"/>
      <c r="AK32" s="88"/>
      <c r="AL32" s="89"/>
      <c r="AM32" s="88"/>
      <c r="AN32" s="88"/>
      <c r="AO32" s="88"/>
      <c r="AP32" s="88"/>
      <c r="AQ32" s="88"/>
      <c r="AR32" s="89"/>
      <c r="AS32" s="89"/>
      <c r="AT32" s="89"/>
      <c r="AU32" s="88"/>
      <c r="AV32" s="88"/>
      <c r="AW32" s="90"/>
      <c r="AX32" s="88"/>
      <c r="AY32" s="88"/>
      <c r="AZ32" s="89"/>
      <c r="BA32" s="88"/>
      <c r="BB32" s="91"/>
    </row>
    <row r="33" customFormat="false" ht="15.75" hidden="false" customHeight="true" outlineLevel="0" collapsed="false">
      <c r="C33" s="92" t="s">
        <v>99</v>
      </c>
      <c r="D33" s="93" t="s">
        <v>100</v>
      </c>
      <c r="E33" s="93" t="s">
        <v>25</v>
      </c>
      <c r="F33" s="94" t="s">
        <v>101</v>
      </c>
      <c r="G33" s="95"/>
      <c r="H33" s="94" t="s">
        <v>102</v>
      </c>
      <c r="I33" s="94" t="s">
        <v>102</v>
      </c>
      <c r="J33" s="94" t="s">
        <v>101</v>
      </c>
      <c r="K33" s="95"/>
      <c r="L33" s="95"/>
      <c r="M33" s="95"/>
      <c r="N33" s="95"/>
      <c r="O33" s="95"/>
      <c r="P33" s="96" t="s">
        <v>103</v>
      </c>
      <c r="Q33" s="96"/>
      <c r="R33" s="96" t="s">
        <v>104</v>
      </c>
      <c r="S33" s="96" t="s">
        <v>105</v>
      </c>
      <c r="T33" s="97" t="s">
        <v>106</v>
      </c>
      <c r="U33" s="97" t="s">
        <v>107</v>
      </c>
      <c r="V33" s="97" t="s">
        <v>108</v>
      </c>
      <c r="W33" s="97" t="s">
        <v>109</v>
      </c>
      <c r="X33" s="97" t="s">
        <v>110</v>
      </c>
      <c r="Y33" s="97" t="s">
        <v>111</v>
      </c>
      <c r="Z33" s="97" t="s">
        <v>112</v>
      </c>
      <c r="AA33" s="97" t="s">
        <v>113</v>
      </c>
      <c r="AB33" s="97" t="s">
        <v>114</v>
      </c>
      <c r="AC33" s="98" t="s">
        <v>115</v>
      </c>
      <c r="AD33" s="99" t="s">
        <v>116</v>
      </c>
      <c r="AE33" s="99" t="s">
        <v>117</v>
      </c>
      <c r="AF33" s="99" t="s">
        <v>118</v>
      </c>
      <c r="AG33" s="99" t="s">
        <v>119</v>
      </c>
      <c r="AH33" s="99" t="s">
        <v>120</v>
      </c>
      <c r="AI33" s="100" t="s">
        <v>121</v>
      </c>
      <c r="AJ33" s="99" t="s">
        <v>122</v>
      </c>
      <c r="AK33" s="100" t="s">
        <v>123</v>
      </c>
      <c r="AL33" s="99" t="s">
        <v>124</v>
      </c>
      <c r="AM33" s="99" t="s">
        <v>125</v>
      </c>
      <c r="AN33" s="99" t="s">
        <v>126</v>
      </c>
      <c r="AO33" s="99" t="s">
        <v>127</v>
      </c>
      <c r="AP33" s="99" t="s">
        <v>128</v>
      </c>
      <c r="AQ33" s="100" t="s">
        <v>129</v>
      </c>
      <c r="AR33" s="99" t="s">
        <v>130</v>
      </c>
      <c r="AS33" s="99" t="s">
        <v>131</v>
      </c>
      <c r="AT33" s="100" t="s">
        <v>132</v>
      </c>
      <c r="AU33" s="101" t="s">
        <v>133</v>
      </c>
      <c r="AV33" s="101" t="s">
        <v>134</v>
      </c>
      <c r="AW33" s="101" t="s">
        <v>135</v>
      </c>
      <c r="AX33" s="99" t="s">
        <v>136</v>
      </c>
      <c r="AY33" s="99" t="s">
        <v>137</v>
      </c>
      <c r="AZ33" s="99" t="s">
        <v>138</v>
      </c>
      <c r="BA33" s="99" t="s">
        <v>139</v>
      </c>
      <c r="BB33" s="102" t="s">
        <v>140</v>
      </c>
    </row>
    <row r="34" customFormat="false" ht="14.25" hidden="false" customHeight="true" outlineLevel="0" collapsed="false">
      <c r="C34" s="92"/>
      <c r="D34" s="93"/>
      <c r="E34" s="93"/>
      <c r="F34" s="94"/>
      <c r="G34" s="95"/>
      <c r="H34" s="94"/>
      <c r="I34" s="94"/>
      <c r="J34" s="94"/>
      <c r="K34" s="103"/>
      <c r="L34" s="103"/>
      <c r="M34" s="103"/>
      <c r="N34" s="104" t="s">
        <v>30</v>
      </c>
      <c r="O34" s="103"/>
      <c r="P34" s="104" t="s">
        <v>141</v>
      </c>
      <c r="Q34" s="104" t="s">
        <v>142</v>
      </c>
      <c r="R34" s="104" t="s">
        <v>143</v>
      </c>
      <c r="S34" s="104" t="s">
        <v>144</v>
      </c>
      <c r="T34" s="105" t="s">
        <v>143</v>
      </c>
      <c r="U34" s="105" t="s">
        <v>144</v>
      </c>
      <c r="V34" s="105" t="s">
        <v>143</v>
      </c>
      <c r="W34" s="105" t="s">
        <v>144</v>
      </c>
      <c r="X34" s="105" t="s">
        <v>143</v>
      </c>
      <c r="Y34" s="105" t="s">
        <v>144</v>
      </c>
      <c r="Z34" s="105" t="s">
        <v>143</v>
      </c>
      <c r="AA34" s="105" t="s">
        <v>144</v>
      </c>
      <c r="AB34" s="105" t="s">
        <v>143</v>
      </c>
      <c r="AC34" s="106" t="s">
        <v>144</v>
      </c>
      <c r="AD34" s="107" t="s">
        <v>145</v>
      </c>
      <c r="AE34" s="107" t="s">
        <v>145</v>
      </c>
      <c r="AF34" s="107" t="s">
        <v>145</v>
      </c>
      <c r="AG34" s="107" t="s">
        <v>145</v>
      </c>
      <c r="AH34" s="107" t="s">
        <v>145</v>
      </c>
      <c r="AI34" s="107" t="s">
        <v>145</v>
      </c>
      <c r="AJ34" s="107" t="s">
        <v>145</v>
      </c>
      <c r="AK34" s="107" t="s">
        <v>145</v>
      </c>
      <c r="AL34" s="107" t="s">
        <v>145</v>
      </c>
      <c r="AM34" s="107" t="s">
        <v>145</v>
      </c>
      <c r="AN34" s="107" t="s">
        <v>145</v>
      </c>
      <c r="AO34" s="107" t="s">
        <v>145</v>
      </c>
      <c r="AP34" s="107" t="s">
        <v>145</v>
      </c>
      <c r="AQ34" s="107" t="s">
        <v>145</v>
      </c>
      <c r="AR34" s="107" t="s">
        <v>145</v>
      </c>
      <c r="AS34" s="107" t="s">
        <v>145</v>
      </c>
      <c r="AT34" s="107" t="s">
        <v>145</v>
      </c>
      <c r="AU34" s="107" t="s">
        <v>145</v>
      </c>
      <c r="AV34" s="107" t="s">
        <v>145</v>
      </c>
      <c r="AW34" s="107" t="s">
        <v>145</v>
      </c>
      <c r="AX34" s="107" t="s">
        <v>145</v>
      </c>
      <c r="AY34" s="107" t="s">
        <v>145</v>
      </c>
      <c r="AZ34" s="107" t="s">
        <v>145</v>
      </c>
      <c r="BA34" s="107" t="s">
        <v>145</v>
      </c>
      <c r="BB34" s="107" t="s">
        <v>145</v>
      </c>
    </row>
    <row r="35" customFormat="false" ht="15" hidden="false" customHeight="false" outlineLevel="0" collapsed="false">
      <c r="A35" s="108" t="n">
        <f aca="false">IF(ISBLANK(VLOOKUP(D35,'Volumes flacons'!A5:C623,3)),0,1)</f>
        <v>1</v>
      </c>
      <c r="B35" s="109" t="n">
        <f aca="false">IF(ISBLANK(D35),0,IF(ISBLANK(E35),0,IF(ISBLANK(F35),0,1)))</f>
        <v>1</v>
      </c>
      <c r="C35" s="110" t="n">
        <v>1</v>
      </c>
      <c r="D35" s="111" t="n">
        <v>386</v>
      </c>
      <c r="E35" s="111" t="n">
        <v>7.4</v>
      </c>
      <c r="F35" s="112" t="n">
        <v>6.077</v>
      </c>
      <c r="G35" s="113" t="n">
        <v>34.963</v>
      </c>
      <c r="H35" s="111" t="n">
        <v>2000</v>
      </c>
      <c r="I35" s="111" t="n">
        <v>2020</v>
      </c>
      <c r="J35" s="114" t="n">
        <v>119.69</v>
      </c>
      <c r="K35" s="115" t="n">
        <f aca="false">IF(ISBLANK(E35),"",(0.000824493-(0.0000040899*E35)+(0.000000076438*E35^2)-(0.00000000082467*E35^3)+(0.0000000000053875*E35^4)))</f>
        <v>0.00079809546407174</v>
      </c>
      <c r="L35" s="115" t="n">
        <f aca="false">IF(ISBLANK(E35),"",(-0.00000572466+(0.00000010227*E35)-(0.0000000016546*E35^2)))</f>
        <v>-5.058467896E-006</v>
      </c>
      <c r="M35" s="115" t="n">
        <f aca="false">IF(ISBLANK(E35),"",IF(ISBLANK(G35),(O35+(K35*35)+(L35*35^1.5)+(0.00000048314*35^2)),(O35+(K35*G35)+(L35*G35^1.5)+(0.00000048314*G35^2))))</f>
        <v>1.02733331286599</v>
      </c>
      <c r="N35" s="116" t="n">
        <f aca="false">IF(ISBLANK(D35),"",IF(ISBLANK(G35),J35*(1+0.00001*(35-20)),J35*(1+0.00001*(G35-20))))</f>
        <v>119.7079092147</v>
      </c>
      <c r="O35" s="115" t="n">
        <f aca="false">IF(ISBLANK(E35),"",(0.999842594+(0.00006793952*E35)-(0.00000909529*E35^2)+(0.0000001001685*E35^3)-(0.000000001120083*E35^4)+(0.000000000006536332*E35^5)))</f>
        <v>0.999884665344083</v>
      </c>
      <c r="P35" s="117" t="n">
        <v>5.76</v>
      </c>
      <c r="Q35" s="118" t="n">
        <v>5.607</v>
      </c>
      <c r="R35" s="119" t="n">
        <v>257.3</v>
      </c>
      <c r="S35" s="119" t="n">
        <v>250.4</v>
      </c>
      <c r="T35" s="122"/>
      <c r="U35" s="162"/>
      <c r="V35" s="122"/>
      <c r="W35" s="163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3"/>
    </row>
    <row r="36" customFormat="false" ht="15" hidden="false" customHeight="false" outlineLevel="0" collapsed="false">
      <c r="A36" s="108" t="n">
        <f aca="false">IF(ISBLANK(VLOOKUP(D36,'Volumes flacons'!A5:C623,3)),0,1)</f>
        <v>1</v>
      </c>
      <c r="B36" s="109" t="n">
        <f aca="false">IF(ISBLANK(D36),0,IF(ISBLANK(E36),0,IF(ISBLANK(F36),0,1)))</f>
        <v>1</v>
      </c>
      <c r="C36" s="124" t="n">
        <v>2</v>
      </c>
      <c r="D36" s="125" t="n">
        <v>389</v>
      </c>
      <c r="E36" s="125" t="n">
        <v>7.4</v>
      </c>
      <c r="F36" s="126" t="n">
        <v>3.823</v>
      </c>
      <c r="G36" s="127" t="n">
        <v>34.654</v>
      </c>
      <c r="H36" s="125" t="n">
        <v>1000</v>
      </c>
      <c r="I36" s="125" t="n">
        <v>1009</v>
      </c>
      <c r="J36" s="128" t="n">
        <v>117.22</v>
      </c>
      <c r="K36" s="129" t="n">
        <f aca="false">IF(ISBLANK(E36),"",(0.000824493-(0.0000040899*E36)+(0.000000076438*E36^2)-(0.00000000082467*E36^3)+(0.0000000000053875*E36^4)))</f>
        <v>0.00079809546407174</v>
      </c>
      <c r="L36" s="129" t="n">
        <f aca="false">IF(ISBLANK(E36),"",(-0.00000572466+(0.00000010227*E36)-(0.0000000016546*E36^2)))</f>
        <v>-5.058467896E-006</v>
      </c>
      <c r="M36" s="129" t="n">
        <f aca="false">IF(ISBLANK(E36),"",IF(ISBLANK(G36),(O36+(K36*35)+(L36*35^1.5)+(0.00000048314*35^2)),(O36+(K36*G36)+(L36*G36^1.5)+(0.00000048314*G36^2))))</f>
        <v>1.02709014105739</v>
      </c>
      <c r="N36" s="130" t="n">
        <f aca="false">IF(ISBLANK(D36),"",IF(ISBLANK(G36),J36*(1+0.00001*(35-20)),J36*(1+0.00001*(G36-20))))</f>
        <v>117.2371774188</v>
      </c>
      <c r="O36" s="129" t="n">
        <f aca="false">IF(ISBLANK(E36),"",(0.999842594+(0.00006793952*E36)-(0.00000909529*E36^2)+(0.0000001001685*E36^3)-(0.000000001120083*E36^4)+(0.000000000006536332*E36^5)))</f>
        <v>0.999884665344083</v>
      </c>
      <c r="P36" s="131" t="n">
        <v>3.696</v>
      </c>
      <c r="Q36" s="132" t="n">
        <v>3.598</v>
      </c>
      <c r="R36" s="133" t="n">
        <v>165.1</v>
      </c>
      <c r="S36" s="133" t="n">
        <v>160.7</v>
      </c>
      <c r="T36" s="135"/>
      <c r="U36" s="164"/>
      <c r="V36" s="135"/>
      <c r="W36" s="16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" hidden="false" customHeight="false" outlineLevel="0" collapsed="false">
      <c r="A37" s="108" t="n">
        <f aca="false">IF(ISBLANK(VLOOKUP(D37,'Volumes flacons'!A5:C623,3)),0,1)</f>
        <v>1</v>
      </c>
      <c r="B37" s="109" t="n">
        <f aca="false">IF(ISBLANK(D37),0,IF(ISBLANK(E37),0,IF(ISBLANK(F37),0,1)))</f>
        <v>1</v>
      </c>
      <c r="C37" s="124" t="n">
        <v>3</v>
      </c>
      <c r="D37" s="125" t="n">
        <v>391</v>
      </c>
      <c r="E37" s="125" t="n">
        <v>12.8</v>
      </c>
      <c r="F37" s="126" t="n">
        <v>3.97</v>
      </c>
      <c r="G37" s="127" t="n">
        <v>34.752</v>
      </c>
      <c r="H37" s="125" t="n">
        <v>1000</v>
      </c>
      <c r="I37" s="125" t="n">
        <v>1009</v>
      </c>
      <c r="J37" s="128" t="n">
        <v>117.57</v>
      </c>
      <c r="K37" s="129" t="n">
        <f aca="false">IF(ISBLANK(E37),"",(0.000824493-(0.0000040899*E37)+(0.000000076438*E37^2)-(0.00000000082467*E37^3)+(0.0000000000053875*E37^4)))</f>
        <v>0.00078308104318208</v>
      </c>
      <c r="L37" s="129" t="n">
        <f aca="false">IF(ISBLANK(E37),"",(-0.00000572466+(0.00000010227*E37)-(0.0000000016546*E37^2)))</f>
        <v>-4.686693664E-006</v>
      </c>
      <c r="M37" s="129" t="n">
        <f aca="false">IF(ISBLANK(E37),"",IF(ISBLANK(G37),(O37+(K37*35)+(L37*35^1.5)+(0.00000048314*35^2)),(O37+(K37*G37)+(L37*G37^1.5)+(0.00000048314*G37^2))))</f>
        <v>1.02624127251679</v>
      </c>
      <c r="N37" s="130" t="n">
        <f aca="false">IF(ISBLANK(D37),"",IF(ISBLANK(G37),J37*(1+0.00001*(35-20)),J37*(1+0.00001*(G37-20))))</f>
        <v>117.5873439264</v>
      </c>
      <c r="O37" s="129" t="n">
        <f aca="false">IF(ISBLANK(E37),"",(0.999842594+(0.00006793952*E37)-(0.00000909529*E37^2)+(0.0000001001685*E37^3)-(0.000000001120083*E37^4)+(0.000000000006536332*E37^5)))</f>
        <v>0.99940429498</v>
      </c>
      <c r="P37" s="137" t="n">
        <v>3.827</v>
      </c>
      <c r="Q37" s="138" t="n">
        <v>3.729</v>
      </c>
      <c r="R37" s="139" t="n">
        <v>170.9</v>
      </c>
      <c r="S37" s="139" t="n">
        <v>166.5</v>
      </c>
      <c r="T37" s="135"/>
      <c r="U37" s="164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" hidden="false" customHeight="false" outlineLevel="0" collapsed="false">
      <c r="A38" s="108" t="n">
        <f aca="false">IF(ISBLANK(VLOOKUP(D38,'Volumes flacons'!A5:C623,3)),0,1)</f>
        <v>1</v>
      </c>
      <c r="B38" s="109" t="n">
        <f aca="false">IF(ISBLANK(D38),0,IF(ISBLANK(E38),0,IF(ISBLANK(F38),0,1)))</f>
        <v>1</v>
      </c>
      <c r="C38" s="124" t="n">
        <v>4</v>
      </c>
      <c r="D38" s="125" t="n">
        <v>392</v>
      </c>
      <c r="E38" s="125" t="n">
        <v>10.2</v>
      </c>
      <c r="F38" s="126" t="n">
        <v>3.106</v>
      </c>
      <c r="G38" s="127" t="n">
        <v>34.612</v>
      </c>
      <c r="H38" s="125" t="n">
        <v>500</v>
      </c>
      <c r="I38" s="125" t="n">
        <v>504.4</v>
      </c>
      <c r="J38" s="128" t="n">
        <v>120.37</v>
      </c>
      <c r="K38" s="129" t="n">
        <f aca="false">IF(ISBLANK(E38),"",(0.000824493-(0.0000040899*E38)+(0.000000076438*E38^2)-(0.00000000082467*E38^3)+(0.0000000000053875*E38^4)))</f>
        <v>0.00078991179915126</v>
      </c>
      <c r="L38" s="129" t="n">
        <f aca="false">IF(ISBLANK(E38),"",(-0.00000572466+(0.00000010227*E38)-(0.0000000016546*E38^2)))</f>
        <v>-4.853650584E-006</v>
      </c>
      <c r="M38" s="129" t="n">
        <f aca="false">IF(ISBLANK(E38),"",IF(ISBLANK(G38),(O38+(K38*35)+(L38*35^1.5)+(0.00000048314*35^2)),(O38+(K38*G38)+(L38*G38^1.5)+(0.00000048314*G38^2))))</f>
        <v>1.02661507965777</v>
      </c>
      <c r="N38" s="130" t="n">
        <f aca="false">IF(ISBLANK(D38),"",IF(ISBLANK(G38),J38*(1+0.00001*(35-20)),J38*(1+0.00001*(G38-20))))</f>
        <v>120.3875884644</v>
      </c>
      <c r="O38" s="129" t="n">
        <f aca="false">IF(ISBLANK(E38),"",(0.999842594+(0.00006793952*E38)-(0.00000909529*E38^2)+(0.0000001001685*E38^3)-(0.000000001120083*E38^4)+(0.000000000006536332*E38^5)))</f>
        <v>0.999684200271206</v>
      </c>
      <c r="P38" s="131" t="n">
        <v>2.92</v>
      </c>
      <c r="Q38" s="132" t="n">
        <v>2.845</v>
      </c>
      <c r="R38" s="133" t="n">
        <v>130.4</v>
      </c>
      <c r="S38" s="133" t="n">
        <v>127</v>
      </c>
      <c r="T38" s="135"/>
      <c r="U38" s="164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" hidden="false" customHeight="false" outlineLevel="0" collapsed="false">
      <c r="A39" s="108" t="n">
        <f aca="false">IF(ISBLANK(VLOOKUP(D39,'Volumes flacons'!A5:C623,3)),0,1)</f>
        <v>1</v>
      </c>
      <c r="B39" s="109" t="n">
        <f aca="false">IF(ISBLANK(D39),0,IF(ISBLANK(E39),0,IF(ISBLANK(F39),0,1)))</f>
        <v>1</v>
      </c>
      <c r="C39" s="124" t="n">
        <v>5</v>
      </c>
      <c r="D39" s="125" t="n">
        <v>397</v>
      </c>
      <c r="E39" s="125" t="n">
        <v>17.4</v>
      </c>
      <c r="F39" s="126" t="n">
        <v>3.946</v>
      </c>
      <c r="G39" s="127" t="n">
        <v>35.603</v>
      </c>
      <c r="H39" s="125" t="n">
        <v>100</v>
      </c>
      <c r="I39" s="125" t="n">
        <v>101.3</v>
      </c>
      <c r="J39" s="128" t="n">
        <v>118.96</v>
      </c>
      <c r="K39" s="129" t="n">
        <f aca="false">IF(ISBLANK(E39),"",(0.000824493-(0.0000040899*E39)+(0.000000076438*E39^2)-(0.00000000082467*E39^3)+(0.0000000000053875*E39^4)))</f>
        <v>0.00077262056526774</v>
      </c>
      <c r="L39" s="129" t="n">
        <f aca="false">IF(ISBLANK(E39),"",(-0.00000572466+(0.00000010227*E39)-(0.0000000016546*E39^2)))</f>
        <v>-4.446108696E-006</v>
      </c>
      <c r="M39" s="129" t="n">
        <f aca="false">IF(ISBLANK(E39),"",IF(ISBLANK(G39),(O39+(K39*35)+(L39*35^1.5)+(0.00000048314*35^2)),(O39+(K39*G39)+(L39*G39^1.5)+(0.00000048314*G39^2))))</f>
        <v>1.02588200404183</v>
      </c>
      <c r="N39" s="130" t="n">
        <f aca="false">IF(ISBLANK(D39),"",IF(ISBLANK(G39),J39*(1+0.00001*(35-20)),J39*(1+0.00001*(G39-20))))</f>
        <v>118.9785613288</v>
      </c>
      <c r="O39" s="129" t="n">
        <f aca="false">IF(ISBLANK(E39),"",(0.999842594+(0.00006793952*E39)-(0.00000909529*E39^2)+(0.0000001001685*E39^3)-(0.000000001120083*E39^4)+(0.000000000006536332*E39^5)))</f>
        <v>0.998706495952615</v>
      </c>
      <c r="P39" s="131" t="n">
        <v>3.758</v>
      </c>
      <c r="Q39" s="132" t="n">
        <v>3.664</v>
      </c>
      <c r="R39" s="133" t="n">
        <v>167.9</v>
      </c>
      <c r="S39" s="133" t="n">
        <v>163.6</v>
      </c>
      <c r="T39" s="32" t="n">
        <v>0.03</v>
      </c>
      <c r="U39" s="32" t="n">
        <v>0.03</v>
      </c>
      <c r="V39" s="134" t="n">
        <v>12.9</v>
      </c>
      <c r="W39" s="134" t="n">
        <v>12.6</v>
      </c>
      <c r="X39" s="134" t="n">
        <v>12.9</v>
      </c>
      <c r="Y39" s="134" t="n">
        <v>12.6</v>
      </c>
      <c r="Z39" s="32" t="n">
        <v>0.92</v>
      </c>
      <c r="AA39" s="32" t="n">
        <v>0.9</v>
      </c>
      <c r="AB39" s="134" t="n">
        <v>4.8</v>
      </c>
      <c r="AC39" s="134" t="n">
        <v>4.7</v>
      </c>
      <c r="AD39" s="159" t="n">
        <v>0.0265</v>
      </c>
      <c r="AE39" s="159" t="n">
        <v>0.0142</v>
      </c>
      <c r="AF39" s="159" t="n">
        <v>0.0018</v>
      </c>
      <c r="AG39" s="159" t="n">
        <v>0.0343</v>
      </c>
      <c r="AH39" s="159" t="n">
        <v>0.0073</v>
      </c>
      <c r="AI39" s="159" t="n">
        <v>0.0012</v>
      </c>
      <c r="AJ39" s="159" t="n">
        <v>-99999</v>
      </c>
      <c r="AK39" s="159" t="n">
        <v>-99999</v>
      </c>
      <c r="AL39" s="159" t="n">
        <v>0.0418</v>
      </c>
      <c r="AM39" s="159" t="n">
        <v>0.0029</v>
      </c>
      <c r="AN39" s="159" t="n">
        <v>-99999</v>
      </c>
      <c r="AO39" s="159" t="n">
        <v>-99999</v>
      </c>
      <c r="AP39" s="159" t="n">
        <v>0.009</v>
      </c>
      <c r="AQ39" s="159"/>
      <c r="AR39" s="159" t="n">
        <v>0.0818</v>
      </c>
      <c r="AS39" s="159" t="n">
        <v>-99999</v>
      </c>
      <c r="AT39" s="159"/>
      <c r="AU39" s="159" t="n">
        <v>0.0172</v>
      </c>
      <c r="AV39" s="159" t="n">
        <v>-99999</v>
      </c>
      <c r="AW39" s="159"/>
      <c r="AX39" s="159" t="n">
        <v>0.0418</v>
      </c>
      <c r="AY39" s="159" t="n">
        <v>0.0958</v>
      </c>
      <c r="AZ39" s="159"/>
      <c r="BA39" s="159" t="n">
        <v>0.0021</v>
      </c>
      <c r="BB39" s="136"/>
    </row>
    <row r="40" customFormat="false" ht="15" hidden="false" customHeight="false" outlineLevel="0" collapsed="false">
      <c r="A40" s="108" t="n">
        <f aca="false">IF(ISBLANK(VLOOKUP(D40,'Volumes flacons'!A5:C623,3)),0,1)</f>
        <v>1</v>
      </c>
      <c r="B40" s="109" t="n">
        <f aca="false">IF(ISBLANK(D40),0,IF(ISBLANK(E40),0,IF(ISBLANK(F40),0,1)))</f>
        <v>1</v>
      </c>
      <c r="C40" s="124" t="n">
        <v>6</v>
      </c>
      <c r="D40" s="125" t="n">
        <v>445</v>
      </c>
      <c r="E40" s="125" t="n">
        <v>21</v>
      </c>
      <c r="F40" s="126" t="n">
        <v>3.774</v>
      </c>
      <c r="G40" s="127" t="n">
        <v>35.935</v>
      </c>
      <c r="H40" s="125" t="n">
        <v>80</v>
      </c>
      <c r="I40" s="125" t="n">
        <v>83</v>
      </c>
      <c r="J40" s="128" t="n">
        <v>118.48</v>
      </c>
      <c r="K40" s="129" t="n">
        <f aca="false">IF(ISBLANK(E40),"",(0.000824493-(0.0000040899*E40)+(0.000000076438*E40^2)-(0.00000000082467*E40^3)+(0.0000000000053875*E40^4)))</f>
        <v>0.0007657247555175</v>
      </c>
      <c r="L40" s="129" t="n">
        <f aca="false">IF(ISBLANK(E40),"",(-0.00000572466+(0.00000010227*E40)-(0.0000000016546*E40^2)))</f>
        <v>-4.3066686E-006</v>
      </c>
      <c r="M40" s="129" t="n">
        <f aca="false">IF(ISBLANK(E40),"",IF(ISBLANK(G40),(O40+(K40*35)+(L40*35^1.5)+(0.00000048314*35^2)),(O40+(K40*G40)+(L40*G40^1.5)+(0.00000048314*G40^2))))</f>
        <v>1.02520730900818</v>
      </c>
      <c r="N40" s="130" t="n">
        <f aca="false">IF(ISBLANK(D40),"",IF(ISBLANK(G40),J40*(1+0.00001*(35-20)),J40*(1+0.00001*(G40-20))))</f>
        <v>118.498879788</v>
      </c>
      <c r="O40" s="129" t="n">
        <f aca="false">IF(ISBLANK(E40),"",(0.999842594+(0.00006793952*E40)-(0.00000909529*E40^2)+(0.0000001001685*E40^3)-(0.000000001120083*E40^4)+(0.000000000006536332*E40^5)))</f>
        <v>0.997994821686634</v>
      </c>
      <c r="P40" s="131" t="n">
        <v>3.609</v>
      </c>
      <c r="Q40" s="132" t="n">
        <v>3.52</v>
      </c>
      <c r="R40" s="133" t="n">
        <v>161.2</v>
      </c>
      <c r="S40" s="133" t="n">
        <v>157.2</v>
      </c>
      <c r="T40" s="32" t="n">
        <v>0.13</v>
      </c>
      <c r="U40" s="32" t="n">
        <v>0.13</v>
      </c>
      <c r="V40" s="134" t="n">
        <v>10.8</v>
      </c>
      <c r="W40" s="134" t="n">
        <v>10.5</v>
      </c>
      <c r="X40" s="134" t="n">
        <v>10.6</v>
      </c>
      <c r="Y40" s="134" t="n">
        <v>10.4</v>
      </c>
      <c r="Z40" s="32" t="n">
        <v>0.78</v>
      </c>
      <c r="AA40" s="32" t="n">
        <v>0.77</v>
      </c>
      <c r="AB40" s="134" t="n">
        <v>3.6</v>
      </c>
      <c r="AC40" s="134" t="n">
        <v>3.6</v>
      </c>
      <c r="AD40" s="159" t="n">
        <v>0.04</v>
      </c>
      <c r="AE40" s="159" t="n">
        <v>0.0217</v>
      </c>
      <c r="AF40" s="159" t="n">
        <v>0.0031</v>
      </c>
      <c r="AG40" s="159" t="n">
        <v>0.0485</v>
      </c>
      <c r="AH40" s="159" t="n">
        <v>0.0119</v>
      </c>
      <c r="AI40" s="159" t="n">
        <v>0.0017</v>
      </c>
      <c r="AJ40" s="159" t="n">
        <v>0.0027</v>
      </c>
      <c r="AK40" s="159" t="n">
        <v>0.0011</v>
      </c>
      <c r="AL40" s="159" t="n">
        <v>0.0641</v>
      </c>
      <c r="AM40" s="159" t="n">
        <v>0.0047</v>
      </c>
      <c r="AN40" s="159" t="n">
        <v>0.0008</v>
      </c>
      <c r="AO40" s="159" t="n">
        <v>-99999</v>
      </c>
      <c r="AP40" s="159" t="n">
        <v>0.0136</v>
      </c>
      <c r="AQ40" s="159"/>
      <c r="AR40" s="159" t="n">
        <v>0.0755</v>
      </c>
      <c r="AS40" s="159" t="n">
        <v>0.0154</v>
      </c>
      <c r="AT40" s="159"/>
      <c r="AU40" s="159" t="n">
        <v>0.0204</v>
      </c>
      <c r="AV40" s="159" t="n">
        <v>-99999</v>
      </c>
      <c r="AW40" s="159"/>
      <c r="AX40" s="159" t="n">
        <v>0.0503</v>
      </c>
      <c r="AY40" s="159" t="n">
        <v>0.1408</v>
      </c>
      <c r="AZ40" s="159"/>
      <c r="BA40" s="159" t="n">
        <v>-99999</v>
      </c>
      <c r="BB40" s="136"/>
    </row>
    <row r="41" customFormat="false" ht="15" hidden="false" customHeight="false" outlineLevel="0" collapsed="false">
      <c r="A41" s="108" t="n">
        <f aca="false">IF(ISBLANK(VLOOKUP(D41,'Volumes flacons'!A5:C623,3)),0,1)</f>
        <v>1</v>
      </c>
      <c r="B41" s="109" t="n">
        <f aca="false">IF(ISBLANK(D41),0,IF(ISBLANK(E41),0,IF(ISBLANK(F41),0,1)))</f>
        <v>1</v>
      </c>
      <c r="C41" s="124" t="n">
        <v>7</v>
      </c>
      <c r="D41" s="125" t="n">
        <v>399</v>
      </c>
      <c r="E41" s="125" t="n">
        <v>22.6</v>
      </c>
      <c r="F41" s="126" t="n">
        <v>4.177</v>
      </c>
      <c r="G41" s="127" t="n">
        <v>36.404</v>
      </c>
      <c r="H41" s="125" t="n">
        <v>60</v>
      </c>
      <c r="I41" s="125" t="n">
        <v>62.3</v>
      </c>
      <c r="J41" s="128" t="n">
        <v>113.43</v>
      </c>
      <c r="K41" s="129" t="n">
        <f aca="false">IF(ISBLANK(E41),"",(0.000824493-(0.0000040899*E41)+(0.000000076438*E41^2)-(0.00000000082467*E41^3)+(0.0000000000053875*E41^4)))</f>
        <v>0.0007629888901799</v>
      </c>
      <c r="L41" s="129" t="n">
        <f aca="false">IF(ISBLANK(E41),"",(-0.00000572466+(0.00000010227*E41)-(0.0000000016546*E41^2)))</f>
        <v>-4.258461496E-006</v>
      </c>
      <c r="M41" s="129" t="n">
        <f aca="false">IF(ISBLANK(E41),"",IF(ISBLANK(G41),(O41+(K41*35)+(L41*35^1.5)+(0.00000048314*35^2)),(O41+(K41*G41)+(L41*G41^1.5)+(0.00000048314*G41^2))))</f>
        <v>1.02511588841264</v>
      </c>
      <c r="N41" s="130" t="n">
        <f aca="false">IF(ISBLANK(D41),"",IF(ISBLANK(G41),J41*(1+0.00001*(35-20)),J41*(1+0.00001*(G41-20))))</f>
        <v>113.4486070572</v>
      </c>
      <c r="O41" s="129" t="n">
        <f aca="false">IF(ISBLANK(E41),"",(0.999842594+(0.00006793952*E41)-(0.00000909529*E41^2)+(0.0000001001685*E41^3)-(0.000000001120083*E41^4)+(0.000000000006536332*E41^5)))</f>
        <v>0.99763511379082</v>
      </c>
      <c r="P41" s="131" t="n">
        <v>4.177</v>
      </c>
      <c r="Q41" s="132" t="n">
        <v>4.074</v>
      </c>
      <c r="R41" s="133" t="n">
        <v>186.5</v>
      </c>
      <c r="S41" s="133" t="n">
        <v>182</v>
      </c>
      <c r="T41" s="32" t="n">
        <v>0.33</v>
      </c>
      <c r="U41" s="32" t="n">
        <v>0.32</v>
      </c>
      <c r="V41" s="134" t="n">
        <v>3.9</v>
      </c>
      <c r="W41" s="134" t="n">
        <v>3.8</v>
      </c>
      <c r="X41" s="134" t="n">
        <v>3.6</v>
      </c>
      <c r="Y41" s="134" t="n">
        <v>3.5</v>
      </c>
      <c r="Z41" s="32" t="n">
        <v>0.4</v>
      </c>
      <c r="AA41" s="32" t="n">
        <v>0.39</v>
      </c>
      <c r="AB41" s="134" t="n">
        <v>1.8</v>
      </c>
      <c r="AC41" s="134" t="n">
        <v>1.7</v>
      </c>
      <c r="AD41" s="159" t="n">
        <v>0.057</v>
      </c>
      <c r="AE41" s="159" t="n">
        <v>0.0411</v>
      </c>
      <c r="AF41" s="159" t="n">
        <v>0.0067</v>
      </c>
      <c r="AG41" s="159" t="n">
        <v>0.0732</v>
      </c>
      <c r="AH41" s="159" t="n">
        <v>0.0203</v>
      </c>
      <c r="AI41" s="159" t="n">
        <v>0.0054</v>
      </c>
      <c r="AJ41" s="159" t="n">
        <v>0.0078</v>
      </c>
      <c r="AK41" s="159" t="n">
        <v>0.003</v>
      </c>
      <c r="AL41" s="159" t="n">
        <v>0.1047</v>
      </c>
      <c r="AM41" s="159" t="n">
        <v>0.0091</v>
      </c>
      <c r="AN41" s="159" t="n">
        <v>0.0024</v>
      </c>
      <c r="AO41" s="159" t="n">
        <v>-99999</v>
      </c>
      <c r="AP41" s="159" t="n">
        <v>0.0463</v>
      </c>
      <c r="AQ41" s="159"/>
      <c r="AR41" s="159" t="n">
        <v>0.0512</v>
      </c>
      <c r="AS41" s="159" t="n">
        <v>0.0932</v>
      </c>
      <c r="AT41" s="159"/>
      <c r="AU41" s="159" t="n">
        <v>0.0321</v>
      </c>
      <c r="AV41" s="159" t="n">
        <v>-99999</v>
      </c>
      <c r="AW41" s="159"/>
      <c r="AX41" s="159" t="n">
        <v>0.1054</v>
      </c>
      <c r="AY41" s="159" t="n">
        <v>0.2646</v>
      </c>
      <c r="AZ41" s="159"/>
      <c r="BA41" s="159" t="n">
        <v>-99999</v>
      </c>
      <c r="BB41" s="136"/>
    </row>
    <row r="42" customFormat="false" ht="15" hidden="false" customHeight="false" outlineLevel="0" collapsed="false">
      <c r="A42" s="108" t="n">
        <f aca="false">IF(ISBLANK(VLOOKUP(D42,'Volumes flacons'!A5:C623,3)),0,1)</f>
        <v>1</v>
      </c>
      <c r="B42" s="109" t="n">
        <f aca="false">IF(ISBLANK(D42),0,IF(ISBLANK(E42),0,IF(ISBLANK(F42),0,1)))</f>
        <v>1</v>
      </c>
      <c r="C42" s="124" t="n">
        <v>8</v>
      </c>
      <c r="D42" s="125" t="n">
        <v>401</v>
      </c>
      <c r="E42" s="125" t="n">
        <v>22.3</v>
      </c>
      <c r="F42" s="126" t="n">
        <v>4.909</v>
      </c>
      <c r="G42" s="127" t="n">
        <v>36.188</v>
      </c>
      <c r="H42" s="125" t="n">
        <v>40</v>
      </c>
      <c r="I42" s="125" t="n">
        <v>41</v>
      </c>
      <c r="J42" s="128" t="n">
        <v>119.4</v>
      </c>
      <c r="K42" s="129" t="n">
        <f aca="false">IF(ISBLANK(E42),"",(0.000824493-(0.0000040899*E42)+(0.000000076438*E42^2)-(0.00000000082467*E42^3)+(0.0000000000053875*E42^4)))</f>
        <v>0.000763487164243449</v>
      </c>
      <c r="L42" s="129" t="n">
        <f aca="false">IF(ISBLANK(E42),"",(-0.00000572466+(0.00000010227*E42)-(0.0000000016546*E42^2)))</f>
        <v>-4.266855034E-006</v>
      </c>
      <c r="M42" s="129" t="n">
        <f aca="false">IF(ISBLANK(E42),"",IF(ISBLANK(G42),(O42+(K42*35)+(L42*35^1.5)+(0.00000048314*35^2)),(O42+(K42*G42)+(L42*G42^1.5)+(0.00000048314*G42^2))))</f>
        <v>1.02503743655952</v>
      </c>
      <c r="N42" s="130" t="n">
        <f aca="false">IF(ISBLANK(D42),"",IF(ISBLANK(G42),J42*(1+0.00001*(35-20)),J42*(1+0.00001*(G42-20))))</f>
        <v>119.419328472</v>
      </c>
      <c r="O42" s="129" t="n">
        <f aca="false">IF(ISBLANK(E42),"",(0.999842594+(0.00006793952*E42)-(0.00000909529*E42^2)+(0.0000001001685*E42^3)-(0.000000001120083*E42^4)+(0.000000000006536332*E42^5)))</f>
        <v>0.997704526384094</v>
      </c>
      <c r="P42" s="131" t="n">
        <v>4.662</v>
      </c>
      <c r="Q42" s="132" t="n">
        <v>4.548</v>
      </c>
      <c r="R42" s="133" t="n">
        <v>208.2</v>
      </c>
      <c r="S42" s="133" t="n">
        <v>203.1</v>
      </c>
      <c r="T42" s="32" t="n">
        <v>0</v>
      </c>
      <c r="U42" s="32" t="n">
        <v>0</v>
      </c>
      <c r="V42" s="134" t="n">
        <v>0</v>
      </c>
      <c r="W42" s="134" t="n">
        <v>0</v>
      </c>
      <c r="X42" s="134" t="n">
        <v>0</v>
      </c>
      <c r="Y42" s="134" t="n">
        <v>0</v>
      </c>
      <c r="Z42" s="32" t="n">
        <v>0.09</v>
      </c>
      <c r="AA42" s="32" t="n">
        <v>0.09</v>
      </c>
      <c r="AB42" s="134" t="n">
        <v>0.9</v>
      </c>
      <c r="AC42" s="134" t="n">
        <v>0.9</v>
      </c>
      <c r="AD42" s="159" t="n">
        <v>0.0296</v>
      </c>
      <c r="AE42" s="159" t="n">
        <v>0.0302</v>
      </c>
      <c r="AF42" s="159" t="n">
        <v>0.0114</v>
      </c>
      <c r="AG42" s="159" t="n">
        <v>0.0247</v>
      </c>
      <c r="AH42" s="159" t="n">
        <v>0.0154</v>
      </c>
      <c r="AI42" s="159" t="n">
        <v>-99999</v>
      </c>
      <c r="AJ42" s="159" t="n">
        <v>-99999</v>
      </c>
      <c r="AK42" s="159" t="n">
        <v>0.0013</v>
      </c>
      <c r="AL42" s="159" t="n">
        <v>0.0801</v>
      </c>
      <c r="AM42" s="159" t="n">
        <v>0.0093</v>
      </c>
      <c r="AN42" s="159" t="n">
        <v>-99999</v>
      </c>
      <c r="AO42" s="159" t="n">
        <v>-99999</v>
      </c>
      <c r="AP42" s="159" t="n">
        <v>0.0913</v>
      </c>
      <c r="AQ42" s="159"/>
      <c r="AR42" s="159" t="n">
        <v>0.0294</v>
      </c>
      <c r="AS42" s="159" t="n">
        <v>0.022</v>
      </c>
      <c r="AT42" s="159"/>
      <c r="AU42" s="159" t="n">
        <v>0.037</v>
      </c>
      <c r="AV42" s="159" t="n">
        <v>-99999</v>
      </c>
      <c r="AW42" s="159"/>
      <c r="AX42" s="159" t="n">
        <v>0.1876</v>
      </c>
      <c r="AY42" s="159" t="n">
        <v>0.2007</v>
      </c>
      <c r="AZ42" s="159"/>
      <c r="BA42" s="159" t="n">
        <v>0.0024</v>
      </c>
      <c r="BB42" s="136"/>
    </row>
    <row r="43" customFormat="false" ht="15" hidden="false" customHeight="false" outlineLevel="0" collapsed="false">
      <c r="A43" s="108" t="n">
        <f aca="false">IF(ISBLANK(VLOOKUP(D43,'Volumes flacons'!A5:C623,3)),0,1)</f>
        <v>1</v>
      </c>
      <c r="B43" s="109" t="n">
        <f aca="false">IF(ISBLANK(D43),0,IF(ISBLANK(E43),0,IF(ISBLANK(F43),0,1)))</f>
        <v>1</v>
      </c>
      <c r="C43" s="124" t="n">
        <v>9</v>
      </c>
      <c r="D43" s="125" t="n">
        <v>402</v>
      </c>
      <c r="E43" s="125" t="n">
        <v>27.9</v>
      </c>
      <c r="F43" s="126" t="n">
        <v>4.841</v>
      </c>
      <c r="G43" s="127" t="n">
        <v>35.623</v>
      </c>
      <c r="H43" s="125" t="n">
        <v>20</v>
      </c>
      <c r="I43" s="125" t="n">
        <v>21</v>
      </c>
      <c r="J43" s="128" t="n">
        <v>119.3</v>
      </c>
      <c r="K43" s="129" t="n">
        <f aca="false">IF(ISBLANK(E43),"",(0.000824493-(0.0000040899*E43)+(0.000000076438*E43^2)-(0.00000000082467*E43^3)+(0.0000000000053875*E43^4)))</f>
        <v>0.000755239413691009</v>
      </c>
      <c r="L43" s="129" t="n">
        <f aca="false">IF(ISBLANK(E43),"",(-0.00000572466+(0.00000010227*E43)-(0.0000000016546*E43^2)))</f>
        <v>-4.159284186E-006</v>
      </c>
      <c r="M43" s="129" t="n">
        <f aca="false">IF(ISBLANK(E43),"",IF(ISBLANK(G43),(O43+(K43*35)+(L43*35^1.5)+(0.00000048314*35^2)),(O43+(K43*G43)+(L43*G43^1.5)+(0.00000048314*G43^2))))</f>
        <v>1.02289814779002</v>
      </c>
      <c r="N43" s="130" t="n">
        <f aca="false">IF(ISBLANK(D43),"",IF(ISBLANK(G43),J43*(1+0.00001*(35-20)),J43*(1+0.00001*(G43-20))))</f>
        <v>119.318638239</v>
      </c>
      <c r="O43" s="129" t="n">
        <f aca="false">IF(ISBLANK(E43),"",(0.999842594+(0.00006793952*E43)-(0.00000909529*E43^2)+(0.0000001001685*E43^3)-(0.000000001120083*E43^4)+(0.000000000006536332*E43^5)))</f>
        <v>0.996265480344915</v>
      </c>
      <c r="P43" s="131" t="n">
        <v>4.601</v>
      </c>
      <c r="Q43" s="132" t="n">
        <v>4.498</v>
      </c>
      <c r="R43" s="133" t="n">
        <v>205.5</v>
      </c>
      <c r="S43" s="133" t="n">
        <v>200.9</v>
      </c>
      <c r="T43" s="32" t="n">
        <v>0</v>
      </c>
      <c r="U43" s="32" t="n">
        <v>0</v>
      </c>
      <c r="V43" s="134" t="n">
        <v>0</v>
      </c>
      <c r="W43" s="134" t="n">
        <v>0</v>
      </c>
      <c r="X43" s="134" t="n">
        <v>0</v>
      </c>
      <c r="Y43" s="134" t="n">
        <v>0</v>
      </c>
      <c r="Z43" s="32" t="n">
        <v>0.05</v>
      </c>
      <c r="AA43" s="32" t="n">
        <v>0.04</v>
      </c>
      <c r="AB43" s="134" t="n">
        <v>0.6</v>
      </c>
      <c r="AC43" s="134" t="n">
        <v>0.6</v>
      </c>
      <c r="AD43" s="159" t="n">
        <v>0.0134</v>
      </c>
      <c r="AE43" s="159" t="n">
        <v>0.0158</v>
      </c>
      <c r="AF43" s="159" t="n">
        <v>0.0045</v>
      </c>
      <c r="AG43" s="159" t="n">
        <v>0.0106</v>
      </c>
      <c r="AH43" s="159" t="n">
        <v>0.008</v>
      </c>
      <c r="AI43" s="159" t="n">
        <v>-99999</v>
      </c>
      <c r="AJ43" s="159" t="n">
        <v>-99999</v>
      </c>
      <c r="AK43" s="159" t="n">
        <v>0.0013</v>
      </c>
      <c r="AL43" s="159" t="n">
        <v>0.0434</v>
      </c>
      <c r="AM43" s="159" t="n">
        <v>0.0072</v>
      </c>
      <c r="AN43" s="159" t="n">
        <v>-99999</v>
      </c>
      <c r="AO43" s="159" t="n">
        <v>-99999</v>
      </c>
      <c r="AP43" s="159" t="n">
        <v>0.0972</v>
      </c>
      <c r="AQ43" s="159"/>
      <c r="AR43" s="159" t="n">
        <v>0.0137</v>
      </c>
      <c r="AS43" s="159" t="n">
        <v>0.0118</v>
      </c>
      <c r="AT43" s="159"/>
      <c r="AU43" s="159" t="n">
        <v>0.0247</v>
      </c>
      <c r="AV43" s="159" t="n">
        <v>-99999</v>
      </c>
      <c r="AW43" s="159"/>
      <c r="AX43" s="159" t="n">
        <v>0.1103</v>
      </c>
      <c r="AY43" s="159" t="n">
        <v>0.1394</v>
      </c>
      <c r="AZ43" s="159"/>
      <c r="BA43" s="159" t="n">
        <v>0.0016</v>
      </c>
      <c r="BB43" s="136"/>
    </row>
    <row r="44" customFormat="false" ht="15" hidden="false" customHeight="false" outlineLevel="0" collapsed="false">
      <c r="A44" s="108" t="n">
        <f aca="false">IF(ISBLANK(VLOOKUP(D44,'Volumes flacons'!A5:C623,3)),0,1)</f>
        <v>1</v>
      </c>
      <c r="B44" s="109" t="n">
        <f aca="false">IF(ISBLANK(D44),0,IF(ISBLANK(E44),0,IF(ISBLANK(F44),0,1)))</f>
        <v>1</v>
      </c>
      <c r="C44" s="124" t="n">
        <v>10</v>
      </c>
      <c r="D44" s="125" t="n">
        <v>403</v>
      </c>
      <c r="E44" s="125" t="n">
        <v>28.2</v>
      </c>
      <c r="F44" s="126" t="n">
        <v>4.779</v>
      </c>
      <c r="G44" s="127" t="n">
        <v>35.19</v>
      </c>
      <c r="H44" s="125" t="n">
        <v>10</v>
      </c>
      <c r="I44" s="125" t="n">
        <v>11</v>
      </c>
      <c r="J44" s="128" t="n">
        <v>118.54</v>
      </c>
      <c r="K44" s="129" t="n">
        <f aca="false">IF(ISBLANK(E44),"",(0.000824493-(0.0000040899*E44)+(0.000000076438*E44^2)-(0.00000000082467*E44^3)+(0.0000000000053875*E44^4)))</f>
        <v>0.00075485760789126</v>
      </c>
      <c r="L44" s="129" t="n">
        <f aca="false">IF(ISBLANK(E44),"",(-0.00000572466+(0.00000010227*E44)-(0.0000000016546*E44^2)))</f>
        <v>-4.156450104E-006</v>
      </c>
      <c r="M44" s="129" t="n">
        <f aca="false">IF(ISBLANK(E44),"",IF(ISBLANK(G44),(O44+(K44*35)+(L44*35^1.5)+(0.00000048314*35^2)),(O44+(K44*G44)+(L44*G44^1.5)+(0.00000048314*G44^2))))</f>
        <v>1.02247419085927</v>
      </c>
      <c r="N44" s="130" t="n">
        <f aca="false">IF(ISBLANK(D44),"",IF(ISBLANK(G44),J44*(1+0.00001*(35-20)),J44*(1+0.00001*(G44-20))))</f>
        <v>118.558006226</v>
      </c>
      <c r="O44" s="129" t="n">
        <f aca="false">IF(ISBLANK(E44),"",(0.999842594+(0.00006793952*E44)-(0.00000909529*E44^2)+(0.0000001001685*E44^3)-(0.000000001120083*E44^4)+(0.000000000006536332*E44^5)))</f>
        <v>0.996180125720464</v>
      </c>
      <c r="P44" s="131" t="n">
        <v>4.571</v>
      </c>
      <c r="Q44" s="132" t="n">
        <v>4.471</v>
      </c>
      <c r="R44" s="133" t="n">
        <v>204.2</v>
      </c>
      <c r="S44" s="133" t="n">
        <v>199.7</v>
      </c>
      <c r="T44" s="32" t="n">
        <v>0</v>
      </c>
      <c r="U44" s="32" t="n">
        <v>0</v>
      </c>
      <c r="V44" s="134" t="n">
        <v>0</v>
      </c>
      <c r="W44" s="134" t="n">
        <v>0</v>
      </c>
      <c r="X44" s="134" t="n">
        <v>0</v>
      </c>
      <c r="Y44" s="134" t="n">
        <v>0</v>
      </c>
      <c r="Z44" s="32" t="n">
        <v>0.03</v>
      </c>
      <c r="AA44" s="32" t="n">
        <v>0.03</v>
      </c>
      <c r="AB44" s="134" t="n">
        <v>0.6</v>
      </c>
      <c r="AC44" s="134" t="n">
        <v>0.5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" hidden="false" customHeight="false" outlineLevel="0" collapsed="false">
      <c r="A45" s="108" t="n">
        <f aca="false">IF(ISBLANK(VLOOKUP(D45,'Volumes flacons'!A5:C623,3)),0,1)</f>
        <v>1</v>
      </c>
      <c r="B45" s="109" t="n">
        <f aca="false">IF(ISBLANK(D45),0,IF(ISBLANK(E45),0,IF(ISBLANK(F45),0,1)))</f>
        <v>1</v>
      </c>
      <c r="C45" s="124" t="n">
        <v>11</v>
      </c>
      <c r="D45" s="125" t="n">
        <v>404</v>
      </c>
      <c r="E45" s="125" t="n">
        <v>28.1</v>
      </c>
      <c r="F45" s="126" t="n">
        <v>4.601</v>
      </c>
      <c r="G45" s="127" t="n">
        <v>35</v>
      </c>
      <c r="H45" s="125" t="n">
        <v>0</v>
      </c>
      <c r="I45" s="125" t="n">
        <v>2</v>
      </c>
      <c r="J45" s="128" t="n">
        <v>113.87</v>
      </c>
      <c r="K45" s="129" t="n">
        <f aca="false">IF(ISBLANK(E45),"",(0.000824493-(0.0000040899*E45)+(0.000000076438*E45^2)-(0.00000000082467*E45^3)+(0.0000000000053875*E45^4)))</f>
        <v>0.000754984227200469</v>
      </c>
      <c r="L45" s="129" t="n">
        <f aca="false">IF(ISBLANK(E45),"",(-0.00000572466+(0.00000010227*E45)-(0.0000000016546*E45^2)))</f>
        <v>-4.157361706E-006</v>
      </c>
      <c r="M45" s="129" t="n">
        <f aca="false">IF(ISBLANK(E45),"",IF(ISBLANK(G45),(O45+(K45*35)+(L45*35^1.5)+(0.00000048314*35^2)),(O45+(K45*G45)+(L45*G45^1.5)+(0.00000048314*G45^2))))</f>
        <v>1.02236412698943</v>
      </c>
      <c r="N45" s="130" t="n">
        <f aca="false">IF(ISBLANK(D45),"",IF(ISBLANK(G45),J45*(1+0.00001*(35-20)),J45*(1+0.00001*(G45-20))))</f>
        <v>113.8870805</v>
      </c>
      <c r="O45" s="129" t="n">
        <f aca="false">IF(ISBLANK(E45),"",(0.999842594+(0.00006793952*E45)-(0.00000909529*E45^2)+(0.0000001001685*E45^3)-(0.000000001120083*E45^4)+(0.000000000006536332*E45^5)))</f>
        <v>0.996208667461312</v>
      </c>
      <c r="P45" s="131" t="n">
        <v>4.584</v>
      </c>
      <c r="Q45" s="132" t="n">
        <v>4.484</v>
      </c>
      <c r="R45" s="133" t="n">
        <v>204.7</v>
      </c>
      <c r="S45" s="133" t="n">
        <v>200.3</v>
      </c>
      <c r="T45" s="32" t="n">
        <v>0</v>
      </c>
      <c r="U45" s="32" t="n">
        <v>0</v>
      </c>
      <c r="V45" s="134" t="n">
        <v>0.1</v>
      </c>
      <c r="W45" s="134" t="n">
        <v>0.1</v>
      </c>
      <c r="X45" s="134" t="n">
        <v>0.1</v>
      </c>
      <c r="Y45" s="134" t="n">
        <v>0.1</v>
      </c>
      <c r="Z45" s="32" t="n">
        <v>0.04</v>
      </c>
      <c r="AA45" s="32" t="n">
        <v>0.03</v>
      </c>
      <c r="AB45" s="134" t="n">
        <v>0.6</v>
      </c>
      <c r="AC45" s="134" t="n">
        <v>0.6</v>
      </c>
      <c r="AD45" s="159" t="n">
        <v>0.0148</v>
      </c>
      <c r="AE45" s="159" t="n">
        <v>0.0212</v>
      </c>
      <c r="AF45" s="159" t="n">
        <v>0.0204</v>
      </c>
      <c r="AG45" s="159" t="n">
        <v>0.0103</v>
      </c>
      <c r="AH45" s="159" t="n">
        <v>0.01</v>
      </c>
      <c r="AI45" s="159" t="n">
        <v>-99999</v>
      </c>
      <c r="AJ45" s="159" t="n">
        <v>-99999</v>
      </c>
      <c r="AK45" s="159" t="n">
        <v>0.003</v>
      </c>
      <c r="AL45" s="159" t="n">
        <v>0.0488</v>
      </c>
      <c r="AM45" s="159" t="n">
        <v>0.0198</v>
      </c>
      <c r="AN45" s="159" t="n">
        <v>0.0005</v>
      </c>
      <c r="AO45" s="159" t="n">
        <v>0.0026</v>
      </c>
      <c r="AP45" s="159" t="n">
        <v>0.0901</v>
      </c>
      <c r="AQ45" s="159"/>
      <c r="AR45" s="159" t="n">
        <v>0.01</v>
      </c>
      <c r="AS45" s="159" t="n">
        <v>0.0103</v>
      </c>
      <c r="AT45" s="159"/>
      <c r="AU45" s="159" t="n">
        <v>0.0229</v>
      </c>
      <c r="AV45" s="159" t="n">
        <v>-99999</v>
      </c>
      <c r="AW45" s="159"/>
      <c r="AX45" s="159" t="n">
        <v>0.0812</v>
      </c>
      <c r="AY45" s="159" t="n">
        <v>0.1848</v>
      </c>
      <c r="AZ45" s="159"/>
      <c r="BA45" s="159" t="n">
        <v>0.0015</v>
      </c>
      <c r="BB45" s="136"/>
    </row>
    <row r="46" customFormat="false" ht="15" hidden="false" customHeight="false" outlineLevel="0" collapsed="false">
      <c r="A46" s="108" t="n">
        <f aca="false">IF(ISBLANK(VLOOKUP(D46,'Volumes flacons'!A5:C623,3)),0,1)</f>
        <v>1</v>
      </c>
      <c r="B46" s="109" t="n">
        <f aca="false">IF(ISBLANK(D46),0,IF(ISBLANK(E46),0,IF(ISBLANK(F46),0,1)))</f>
        <v>0</v>
      </c>
      <c r="C46" s="124" t="n">
        <v>12</v>
      </c>
      <c r="D46" s="125"/>
      <c r="E46" s="125"/>
      <c r="F46" s="126"/>
      <c r="G46" s="127"/>
      <c r="H46" s="125"/>
      <c r="I46" s="125"/>
      <c r="J46" s="128" t="str">
        <f aca="false">IF(ISBLANK(D46),"",IF(VLOOKUP(D46,'Volumes flacons'!$A$5:$C$623,2)=0,"",IF(D46&gt;'Volumes flacons'!$A$623,"Mauvais numéro",IF(D46&lt;'Volumes flacons'!$A$5,"Mauvais numéro",(VLOOKUP(D46,'Volumes flacons'!$A$5:$C$623,3))))))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Flac.",P46*M46)))))))))</f>
        <v/>
      </c>
      <c r="R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08" t="n">
        <f aca="false">IF(ISBLANK(VLOOKUP(D47,'Volumes flacons'!A5:C623,3)),0,1)</f>
        <v>1</v>
      </c>
      <c r="B47" s="109" t="n">
        <f aca="false">IF(ISBLANK(D47),0,IF(ISBLANK(E47),0,IF(ISBLANK(F47),0,1)))</f>
        <v>0</v>
      </c>
      <c r="C47" s="124" t="n">
        <v>13</v>
      </c>
      <c r="D47" s="125"/>
      <c r="E47" s="125"/>
      <c r="F47" s="126"/>
      <c r="G47" s="127"/>
      <c r="H47" s="125"/>
      <c r="I47" s="125"/>
      <c r="J47" s="128" t="str">
        <f aca="false">IF(ISBLANK(D47),"",IF(VLOOKUP(D47,'Volumes flacons'!$A$5:$C$623,2)=0,"",IF(D47&gt;'Volumes flacons'!$A$623,"Mauvais numéro",IF(D47&lt;'Volumes flacons'!$A$5,"Mauvais numéro",(VLOOKUP(D47,'Volumes flacons'!$A$5:$C$623,3))))))</f>
        <v/>
      </c>
      <c r="K47" s="129" t="str">
        <f aca="false">IF(ISBLANK(E47),"",(0.000824493-(0.0000040899*E47)+(0.000000076438*E47^2)-(0.00000000082467*E47^3)+(0.0000000000053875*E47^4)))</f>
        <v/>
      </c>
      <c r="L47" s="129" t="str">
        <f aca="false">IF(ISBLANK(E47),"",(-0.00000572466+(0.00000010227*E47)-(0.0000000016546*E47^2)))</f>
        <v/>
      </c>
      <c r="M47" s="129" t="str">
        <f aca="false">IF(ISBLANK(E47),"",IF(ISBLANK(G47),(O47+(K47*35)+(L47*35^1.5)+(0.00000048314*35^2)),(O47+(K47*G47)+(L47*G47^1.5)+(0.00000048314*G47^2))))</f>
        <v/>
      </c>
      <c r="N47" s="130" t="str">
        <f aca="false">IF(ISBLANK(D47),"",IF(ISBLANK(G47),J47*(1+0.00001*(35-20)),J47*(1+0.00001*(G47-20))))</f>
        <v/>
      </c>
      <c r="O47" s="129" t="str">
        <f aca="false">IF(ISBLANK(E47),"",(0.999842594+(0.00006793952*E47)-(0.00000909529*E47^2)+(0.0000001001685*E47^3)-(0.000000001120083*E47^4)+(0.000000000006536332*E47^5)))</f>
        <v/>
      </c>
      <c r="P47" s="13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Flac.",P47*M47)))))))))</f>
        <v/>
      </c>
      <c r="R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08" t="n">
        <f aca="false">IF(ISBLANK(VLOOKUP(D48,'Volumes flacons'!A5:C623,3)),0,1)</f>
        <v>1</v>
      </c>
      <c r="B48" s="109" t="n">
        <f aca="false">IF(ISBLANK(D48),0,IF(ISBLANK(E48),0,IF(ISBLANK(F48),0,1)))</f>
        <v>0</v>
      </c>
      <c r="C48" s="124" t="n">
        <v>14</v>
      </c>
      <c r="D48" s="125"/>
      <c r="E48" s="125"/>
      <c r="F48" s="126"/>
      <c r="G48" s="127"/>
      <c r="H48" s="125"/>
      <c r="I48" s="125"/>
      <c r="J48" s="128" t="str">
        <f aca="false">IF(ISBLANK(D48),"",IF(VLOOKUP(D48,'Volumes flacons'!$A$5:$C$623,2)=0,"",IF(D48&gt;'Volumes flacons'!$A$623,"Mauvais numéro",IF(D48&lt;'Volumes flacons'!$A$5,"Mauvais numéro",(VLOOKUP(D48,'Volumes flacons'!$A$5:$C$623,3))))))</f>
        <v/>
      </c>
      <c r="K48" s="129" t="str">
        <f aca="false">IF(ISBLANK(E48),"",(0.000824493-(0.0000040899*E48)+(0.000000076438*E48^2)-(0.00000000082467*E48^3)+(0.0000000000053875*E48^4)))</f>
        <v/>
      </c>
      <c r="L48" s="129" t="str">
        <f aca="false">IF(ISBLANK(E48),"",(-0.00000572466+(0.00000010227*E48)-(0.0000000016546*E48^2)))</f>
        <v/>
      </c>
      <c r="M48" s="129" t="str">
        <f aca="false">IF(ISBLANK(E48),"",IF(ISBLANK(G48),(O48+(K48*35)+(L48*35^1.5)+(0.00000048314*35^2)),(O48+(K48*G48)+(L48*G48^1.5)+(0.00000048314*G48^2))))</f>
        <v/>
      </c>
      <c r="N48" s="130" t="str">
        <f aca="false">IF(ISBLANK(D48),"",IF(ISBLANK(G48),J48*(1+0.00001*(35-20)),J48*(1+0.00001*(G48-20))))</f>
        <v/>
      </c>
      <c r="O48" s="129" t="str">
        <f aca="false">IF(ISBLANK(E48),"",(0.999842594+(0.00006793952*E48)-(0.00000909529*E48^2)+(0.0000001001685*E48^3)-(0.000000001120083*E48^4)+(0.000000000006536332*E48^5)))</f>
        <v/>
      </c>
      <c r="P48" s="13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Flac.",P48*M48)))))))))</f>
        <v/>
      </c>
      <c r="R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08" t="n">
        <f aca="false">IF(ISBLANK(VLOOKUP(D49,'Volumes flacons'!A5:C623,3)),0,1)</f>
        <v>1</v>
      </c>
      <c r="B49" s="109" t="n">
        <f aca="false">IF(ISBLANK(D49),0,IF(ISBLANK(E49),0,IF(ISBLANK(F49),0,1)))</f>
        <v>0</v>
      </c>
      <c r="C49" s="124" t="n">
        <v>15</v>
      </c>
      <c r="D49" s="125"/>
      <c r="E49" s="125"/>
      <c r="F49" s="126"/>
      <c r="G49" s="127"/>
      <c r="H49" s="125"/>
      <c r="I49" s="125"/>
      <c r="J49" s="128" t="str">
        <f aca="false">IF(ISBLANK(D49),"",IF(VLOOKUP(D49,'Volumes flacons'!$A$5:$C$623,2)=0,"",IF(D49&gt;'Volumes flacons'!$A$623,"Mauvais numéro",IF(D49&lt;'Volumes flacons'!$A$5,"Mauvais numéro",(VLOOKUP(D49,'Volumes flacons'!$A$5:$C$623,3))))))</f>
        <v/>
      </c>
      <c r="K49" s="129" t="str">
        <f aca="false">IF(ISBLANK(E49),"",(0.000824493-(0.0000040899*E49)+(0.000000076438*E49^2)-(0.00000000082467*E49^3)+(0.0000000000053875*E49^4)))</f>
        <v/>
      </c>
      <c r="L49" s="129" t="str">
        <f aca="false">IF(ISBLANK(E49),"",(-0.00000572466+(0.00000010227*E49)-(0.0000000016546*E49^2)))</f>
        <v/>
      </c>
      <c r="M49" s="129" t="str">
        <f aca="false">IF(ISBLANK(E49),"",IF(ISBLANK(G49),(O49+(K49*35)+(L49*35^1.5)+(0.00000048314*35^2)),(O49+(K49*G49)+(L49*G49^1.5)+(0.00000048314*G49^2))))</f>
        <v/>
      </c>
      <c r="N49" s="130" t="str">
        <f aca="false">IF(ISBLANK(D49),"",IF(ISBLANK(G49),J49*(1+0.00001*(35-20)),J49*(1+0.00001*(G49-20))))</f>
        <v/>
      </c>
      <c r="O49" s="129" t="str">
        <f aca="false">IF(ISBLANK(E49),"",(0.999842594+(0.00006793952*E49)-(0.00000909529*E49^2)+(0.0000001001685*E49^3)-(0.000000001120083*E49^4)+(0.000000000006536332*E49^5)))</f>
        <v/>
      </c>
      <c r="P49" s="13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Flac.",P49*M49)))))))))</f>
        <v/>
      </c>
      <c r="R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08" t="n">
        <f aca="false">IF(ISBLANK(VLOOKUP(D50,'Volumes flacons'!A5:C623,3)),0,1)</f>
        <v>1</v>
      </c>
      <c r="B50" s="109" t="n">
        <f aca="false">IF(ISBLANK(D50),0,IF(ISBLANK(E50),0,IF(ISBLANK(F50),0,1)))</f>
        <v>0</v>
      </c>
      <c r="C50" s="124" t="n">
        <v>16</v>
      </c>
      <c r="D50" s="125"/>
      <c r="E50" s="125"/>
      <c r="F50" s="126"/>
      <c r="G50" s="127"/>
      <c r="H50" s="125"/>
      <c r="I50" s="125"/>
      <c r="J50" s="128" t="str">
        <f aca="false">IF(ISBLANK(D50),"",IF(VLOOKUP(D50,'Volumes flacons'!$A$5:$C$623,2)=0,"",IF(D50&gt;'Volumes flacons'!$A$623,"Mauvais numéro",IF(D50&lt;'Volumes flacons'!$A$5,"Mauvais numéro",(VLOOKUP(D50,'Volumes flacons'!$A$5:$C$623,3))))))</f>
        <v/>
      </c>
      <c r="K50" s="129" t="str">
        <f aca="false">IF(ISBLANK(E50),"",(0.000824493-(0.0000040899*E50)+(0.000000076438*E50^2)-(0.00000000082467*E50^3)+(0.0000000000053875*E50^4)))</f>
        <v/>
      </c>
      <c r="L50" s="129" t="str">
        <f aca="false">IF(ISBLANK(E50),"",(-0.00000572466+(0.00000010227*E50)-(0.0000000016546*E50^2)))</f>
        <v/>
      </c>
      <c r="M50" s="129" t="str">
        <f aca="false">IF(ISBLANK(E50),"",IF(ISBLANK(G50),(O50+(K50*35)+(L50*35^1.5)+(0.00000048314*35^2)),(O50+(K50*G50)+(L50*G50^1.5)+(0.00000048314*G50^2))))</f>
        <v/>
      </c>
      <c r="N50" s="130" t="str">
        <f aca="false">IF(ISBLANK(D50),"",IF(ISBLANK(G50),J50*(1+0.00001*(35-20)),J50*(1+0.00001*(G50-20))))</f>
        <v/>
      </c>
      <c r="O50" s="129" t="str">
        <f aca="false">IF(ISBLANK(E50),"",(0.999842594+(0.00006793952*E50)-(0.00000909529*E50^2)+(0.0000001001685*E50^3)-(0.000000001120083*E50^4)+(0.000000000006536332*E50^5)))</f>
        <v/>
      </c>
      <c r="P50" s="13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Flac.",P50*M50)))))))))</f>
        <v/>
      </c>
      <c r="R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08" t="n">
        <f aca="false">IF(ISBLANK(VLOOKUP(D51,'Volumes flacons'!A5:C623,3)),0,1)</f>
        <v>1</v>
      </c>
      <c r="B51" s="109" t="n">
        <f aca="false">IF(ISBLANK(D51),0,IF(ISBLANK(E51),0,IF(ISBLANK(F51),0,1)))</f>
        <v>0</v>
      </c>
      <c r="C51" s="124" t="n">
        <v>17</v>
      </c>
      <c r="D51" s="125"/>
      <c r="E51" s="125"/>
      <c r="F51" s="126"/>
      <c r="G51" s="127"/>
      <c r="H51" s="125"/>
      <c r="I51" s="125"/>
      <c r="J51" s="128" t="str">
        <f aca="false">IF(ISBLANK(D51),"",IF(VLOOKUP(D51,'Volumes flacons'!$A$5:$C$623,2)=0,"",IF(D51&gt;'Volumes flacons'!$A$623,"Mauvais numéro",IF(D51&lt;'Volumes flacons'!$A$5,"Mauvais numéro",(VLOOKUP(D51,'Volumes flacons'!$A$5:$C$623,3))))))</f>
        <v/>
      </c>
      <c r="K51" s="129" t="str">
        <f aca="false">IF(ISBLANK(E51),"",(0.000824493-(0.0000040899*E51)+(0.000000076438*E51^2)-(0.00000000082467*E51^3)+(0.0000000000053875*E51^4)))</f>
        <v/>
      </c>
      <c r="L51" s="129" t="str">
        <f aca="false">IF(ISBLANK(E51),"",(-0.00000572466+(0.00000010227*E51)-(0.0000000016546*E51^2)))</f>
        <v/>
      </c>
      <c r="M51" s="129" t="str">
        <f aca="false">IF(ISBLANK(E51),"",IF(ISBLANK(G51),(O51+(K51*35)+(L51*35^1.5)+(0.00000048314*35^2)),(O51+(K51*G51)+(L51*G51^1.5)+(0.00000048314*G51^2))))</f>
        <v/>
      </c>
      <c r="N51" s="130" t="str">
        <f aca="false">IF(ISBLANK(D51),"",IF(ISBLANK(G51),J51*(1+0.00001*(35-20)),J51*(1+0.00001*(G51-20))))</f>
        <v/>
      </c>
      <c r="O51" s="129" t="str">
        <f aca="false">IF(ISBLANK(E51),"",(0.999842594+(0.00006793952*E51)-(0.00000909529*E51^2)+(0.0000001001685*E51^3)-(0.000000001120083*E51^4)+(0.000000000006536332*E51^5)))</f>
        <v/>
      </c>
      <c r="P51" s="13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Flac.",P51*M51)))))))))</f>
        <v/>
      </c>
      <c r="R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08" t="n">
        <f aca="false">IF(ISBLANK(VLOOKUP(D52,'Volumes flacons'!A5:C623,3)),0,1)</f>
        <v>1</v>
      </c>
      <c r="B52" s="109" t="n">
        <f aca="false">IF(ISBLANK(D52),0,IF(ISBLANK(E52),0,IF(ISBLANK(F52),0,1)))</f>
        <v>0</v>
      </c>
      <c r="C52" s="124" t="n">
        <v>18</v>
      </c>
      <c r="D52" s="125"/>
      <c r="E52" s="125"/>
      <c r="F52" s="126"/>
      <c r="G52" s="127"/>
      <c r="H52" s="125"/>
      <c r="I52" s="125"/>
      <c r="J52" s="128" t="str">
        <f aca="false">IF(ISBLANK(D52),"",IF(VLOOKUP(D52,'Volumes flacons'!$A$5:$C$623,2)=0,"",IF(D52&gt;'Volumes flacons'!$A$623,"Mauvais numéro",IF(D52&lt;'Volumes flacons'!$A$5,"Mauvais numéro",(VLOOKUP(D52,'Volumes flacons'!$A$5:$C$623,3))))))</f>
        <v/>
      </c>
      <c r="K52" s="129" t="str">
        <f aca="false">IF(ISBLANK(E52),"",(0.000824493-(0.0000040899*E52)+(0.000000076438*E52^2)-(0.00000000082467*E52^3)+(0.0000000000053875*E52^4)))</f>
        <v/>
      </c>
      <c r="L52" s="129" t="str">
        <f aca="false">IF(ISBLANK(E52),"",(-0.00000572466+(0.00000010227*E52)-(0.0000000016546*E52^2)))</f>
        <v/>
      </c>
      <c r="M52" s="129" t="str">
        <f aca="false">IF(ISBLANK(E52),"",IF(ISBLANK(G52),(O52+(K52*35)+(L52*35^1.5)+(0.00000048314*35^2)),(O52+(K52*G52)+(L52*G52^1.5)+(0.00000048314*G52^2))))</f>
        <v/>
      </c>
      <c r="N52" s="130" t="str">
        <f aca="false">IF(ISBLANK(D52),"",IF(ISBLANK(G52),J52*(1+0.00001*(35-20)),J52*(1+0.00001*(G52-20))))</f>
        <v/>
      </c>
      <c r="O52" s="129" t="str">
        <f aca="false">IF(ISBLANK(E52),"",(0.999842594+(0.00006793952*E52)-(0.00000909529*E52^2)+(0.0000001001685*E52^3)-(0.000000001120083*E52^4)+(0.000000000006536332*E52^5)))</f>
        <v/>
      </c>
      <c r="P52" s="13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Flac.",P52*M52)))))))))</f>
        <v/>
      </c>
      <c r="R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08" t="n">
        <f aca="false">IF(ISBLANK(VLOOKUP(D53,'Volumes flacons'!A5:C623,3)),0,1)</f>
        <v>1</v>
      </c>
      <c r="B53" s="109" t="n">
        <f aca="false">IF(ISBLANK(D53),0,IF(ISBLANK(E53),0,IF(ISBLANK(F53),0,1)))</f>
        <v>0</v>
      </c>
      <c r="C53" s="124" t="n">
        <v>19</v>
      </c>
      <c r="D53" s="125"/>
      <c r="E53" s="125"/>
      <c r="F53" s="126"/>
      <c r="G53" s="127"/>
      <c r="H53" s="125"/>
      <c r="I53" s="125"/>
      <c r="J53" s="128" t="str">
        <f aca="false">IF(ISBLANK(D53),"",IF(VLOOKUP(D53,'Volumes flacons'!$A$5:$C$623,2)=0,"",IF(D53&gt;'Volumes flacons'!$A$623,"Mauvais numéro",IF(D53&lt;'Volumes flacons'!$A$5,"Mauvais numéro",(VLOOKUP(D53,'Volumes flacons'!$A$5:$C$623,3))))))</f>
        <v/>
      </c>
      <c r="K53" s="129" t="str">
        <f aca="false">IF(ISBLANK(E53),"",(0.000824493-(0.0000040899*E53)+(0.000000076438*E53^2)-(0.00000000082467*E53^3)+(0.0000000000053875*E53^4)))</f>
        <v/>
      </c>
      <c r="L53" s="129" t="str">
        <f aca="false">IF(ISBLANK(E53),"",(-0.00000572466+(0.00000010227*E53)-(0.0000000016546*E53^2)))</f>
        <v/>
      </c>
      <c r="M53" s="129" t="str">
        <f aca="false">IF(ISBLANK(E53),"",IF(ISBLANK(G53),(O53+(K53*35)+(L53*35^1.5)+(0.00000048314*35^2)),(O53+(K53*G53)+(L53*G53^1.5)+(0.00000048314*G53^2))))</f>
        <v/>
      </c>
      <c r="N53" s="130" t="str">
        <f aca="false">IF(ISBLANK(D53),"",IF(ISBLANK(G53),J53*(1+0.00001*(35-20)),J53*(1+0.00001*(G53-20))))</f>
        <v/>
      </c>
      <c r="O53" s="129" t="str">
        <f aca="false">IF(ISBLANK(E53),"",(0.999842594+(0.00006793952*E53)-(0.00000909529*E53^2)+(0.0000001001685*E53^3)-(0.000000001120083*E53^4)+(0.000000000006536332*E53^5)))</f>
        <v/>
      </c>
      <c r="P53" s="13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Flac.",P53*M53)))))))))</f>
        <v/>
      </c>
      <c r="R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08" t="n">
        <f aca="false">IF(ISBLANK(VLOOKUP(D54,'Volumes flacons'!A5:C623,3)),0,1)</f>
        <v>1</v>
      </c>
      <c r="B54" s="109" t="n">
        <f aca="false">IF(ISBLANK(D54),0,IF(ISBLANK(E54),0,IF(ISBLANK(F54),0,1)))</f>
        <v>0</v>
      </c>
      <c r="C54" s="124" t="n">
        <v>20</v>
      </c>
      <c r="D54" s="125"/>
      <c r="E54" s="125"/>
      <c r="F54" s="126"/>
      <c r="G54" s="127"/>
      <c r="H54" s="125"/>
      <c r="I54" s="125"/>
      <c r="J54" s="128" t="str">
        <f aca="false">IF(ISBLANK(D54),"",IF(VLOOKUP(D54,'Volumes flacons'!$A$5:$C$623,2)=0,"",IF(D54&gt;'Volumes flacons'!$A$623,"Mauvais numéro",IF(D54&lt;'Volumes flacons'!$A$5,"Mauvais numéro",(VLOOKUP(D54,'Volumes flacons'!$A$5:$C$623,3))))))</f>
        <v/>
      </c>
      <c r="K54" s="129" t="str">
        <f aca="false">IF(ISBLANK(E54),"",(0.000824493-(0.0000040899*E54)+(0.000000076438*E54^2)-(0.00000000082467*E54^3)+(0.0000000000053875*E54^4)))</f>
        <v/>
      </c>
      <c r="L54" s="129" t="str">
        <f aca="false">IF(ISBLANK(E54),"",(-0.00000572466+(0.00000010227*E54)-(0.0000000016546*E54^2)))</f>
        <v/>
      </c>
      <c r="M54" s="129" t="str">
        <f aca="false">IF(ISBLANK(E54),"",IF(ISBLANK(G54),(O54+(K54*35)+(L54*35^1.5)+(0.00000048314*35^2)),(O54+(K54*G54)+(L54*G54^1.5)+(0.00000048314*G54^2))))</f>
        <v/>
      </c>
      <c r="N54" s="130" t="str">
        <f aca="false">IF(ISBLANK(D54),"",IF(ISBLANK(G54),J54*(1+0.00001*(35-20)),J54*(1+0.00001*(G54-20))))</f>
        <v/>
      </c>
      <c r="O54" s="129" t="str">
        <f aca="false">IF(ISBLANK(E54),"",(0.999842594+(0.00006793952*E54)-(0.00000909529*E54^2)+(0.0000001001685*E54^3)-(0.000000001120083*E54^4)+(0.000000000006536332*E54^5)))</f>
        <v/>
      </c>
      <c r="P54" s="13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Flac.",P54*M54)))))))))</f>
        <v/>
      </c>
      <c r="R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08" t="n">
        <f aca="false">IF(ISBLANK(VLOOKUP(D55,'Volumes flacons'!A5:C623,3)),0,1)</f>
        <v>1</v>
      </c>
      <c r="B55" s="109" t="n">
        <f aca="false">IF(ISBLANK(D55),0,IF(ISBLANK(E55),0,IF(ISBLANK(F55),0,1)))</f>
        <v>0</v>
      </c>
      <c r="C55" s="124" t="n">
        <v>21</v>
      </c>
      <c r="D55" s="125"/>
      <c r="E55" s="125"/>
      <c r="F55" s="126"/>
      <c r="G55" s="127"/>
      <c r="H55" s="125"/>
      <c r="I55" s="125"/>
      <c r="J55" s="128" t="str">
        <f aca="false">IF(ISBLANK(D55),"",IF(VLOOKUP(D55,'Volumes flacons'!$A$5:$C$623,2)=0,"",IF(D55&gt;'Volumes flacons'!$A$623,"Mauvais numéro",IF(D55&lt;'Volumes flacons'!$A$5,"Mauvais numéro",(VLOOKUP(D55,'Volumes flacons'!$A$5:$C$623,3))))))</f>
        <v/>
      </c>
      <c r="K55" s="129" t="str">
        <f aca="false">IF(ISBLANK(E55),"",(0.000824493-(0.0000040899*E55)+(0.000000076438*E55^2)-(0.00000000082467*E55^3)+(0.0000000000053875*E55^4)))</f>
        <v/>
      </c>
      <c r="L55" s="129" t="str">
        <f aca="false">IF(ISBLANK(E55),"",(-0.00000572466+(0.00000010227*E55)-(0.0000000016546*E55^2)))</f>
        <v/>
      </c>
      <c r="M55" s="129" t="str">
        <f aca="false">IF(ISBLANK(E55),"",IF(ISBLANK(G55),(O55+(K55*35)+(L55*35^1.5)+(0.00000048314*35^2)),(O55+(K55*G55)+(L55*G55^1.5)+(0.00000048314*G55^2))))</f>
        <v/>
      </c>
      <c r="N55" s="130" t="str">
        <f aca="false">IF(ISBLANK(D55),"",IF(ISBLANK(G55),J55*(1+0.00001*(35-20)),J55*(1+0.00001*(G55-20))))</f>
        <v/>
      </c>
      <c r="O55" s="129" t="str">
        <f aca="false">IF(ISBLANK(E55),"",(0.999842594+(0.00006793952*E55)-(0.00000909529*E55^2)+(0.0000001001685*E55^3)-(0.000000001120083*E55^4)+(0.000000000006536332*E55^5)))</f>
        <v/>
      </c>
      <c r="P55" s="13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Flac.",P55*M55)))))))))</f>
        <v/>
      </c>
      <c r="R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08" t="n">
        <f aca="false">IF(ISBLANK(VLOOKUP(D56,'Volumes flacons'!A5:C623,3)),0,1)</f>
        <v>1</v>
      </c>
      <c r="B56" s="109" t="n">
        <f aca="false">IF(ISBLANK(D56),0,IF(ISBLANK(E56),0,IF(ISBLANK(F56),0,1)))</f>
        <v>0</v>
      </c>
      <c r="C56" s="124" t="n">
        <v>22</v>
      </c>
      <c r="D56" s="125"/>
      <c r="E56" s="125"/>
      <c r="F56" s="126"/>
      <c r="G56" s="127"/>
      <c r="H56" s="125"/>
      <c r="I56" s="125"/>
      <c r="J56" s="128" t="str">
        <f aca="false">IF(ISBLANK(D56),"",IF(VLOOKUP(D56,'Volumes flacons'!$A$5:$C$623,2)=0,"",IF(D56&gt;'Volumes flacons'!$A$623,"Mauvais numéro",IF(D56&lt;'Volumes flacons'!$A$5,"Mauvais numéro",(VLOOKUP(D56,'Volumes flacons'!$A$5:$C$623,3))))))</f>
        <v/>
      </c>
      <c r="K56" s="129" t="str">
        <f aca="false">IF(ISBLANK(E56),"",(0.000824493-(0.0000040899*E56)+(0.000000076438*E56^2)-(0.00000000082467*E56^3)+(0.0000000000053875*E56^4)))</f>
        <v/>
      </c>
      <c r="L56" s="129" t="str">
        <f aca="false">IF(ISBLANK(E56),"",(-0.00000572466+(0.00000010227*E56)-(0.0000000016546*E56^2)))</f>
        <v/>
      </c>
      <c r="M56" s="129" t="str">
        <f aca="false">IF(ISBLANK(E56),"",IF(ISBLANK(G56),(O56+(K56*35)+(L56*35^1.5)+(0.00000048314*35^2)),(O56+(K56*G56)+(L56*G56^1.5)+(0.00000048314*G56^2))))</f>
        <v/>
      </c>
      <c r="N56" s="130" t="str">
        <f aca="false">IF(ISBLANK(D56),"",IF(ISBLANK(G56),J56*(1+0.00001*(35-20)),J56*(1+0.00001*(G56-20))))</f>
        <v/>
      </c>
      <c r="O56" s="129" t="str">
        <f aca="false">IF(ISBLANK(E56),"",(0.999842594+(0.00006793952*E56)-(0.00000909529*E56^2)+(0.0000001001685*E56^3)-(0.000000001120083*E56^4)+(0.000000000006536332*E56^5)))</f>
        <v/>
      </c>
      <c r="P56" s="13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Flac.",P56*M56)))))))))</f>
        <v/>
      </c>
      <c r="R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08" t="n">
        <f aca="false">IF(ISBLANK(VLOOKUP(D57,'Volumes flacons'!A5:C623,3)),0,1)</f>
        <v>1</v>
      </c>
      <c r="B57" s="109" t="n">
        <f aca="false">IF(ISBLANK(D57),0,IF(ISBLANK(E57),0,IF(ISBLANK(F57),0,1)))</f>
        <v>0</v>
      </c>
      <c r="C57" s="124" t="n">
        <v>23</v>
      </c>
      <c r="D57" s="125"/>
      <c r="E57" s="125"/>
      <c r="F57" s="126"/>
      <c r="G57" s="127"/>
      <c r="H57" s="125"/>
      <c r="I57" s="125"/>
      <c r="J57" s="128" t="str">
        <f aca="false">IF(ISBLANK(D57),"",IF(VLOOKUP(D57,'Volumes flacons'!$A$5:$C$623,2)=0,"",IF(D57&gt;'Volumes flacons'!$A$623,"Mauvais numéro",IF(D57&lt;'Volumes flacons'!$A$5,"Mauvais numéro",(VLOOKUP(D57,'Volumes flacons'!$A$5:$C$623,3))))))</f>
        <v/>
      </c>
      <c r="K57" s="129" t="str">
        <f aca="false">IF(ISBLANK(E57),"",(0.000824493-(0.0000040899*E57)+(0.000000076438*E57^2)-(0.00000000082467*E57^3)+(0.0000000000053875*E57^4)))</f>
        <v/>
      </c>
      <c r="L57" s="129" t="str">
        <f aca="false">IF(ISBLANK(E57),"",(-0.00000572466+(0.00000010227*E57)-(0.0000000016546*E57^2)))</f>
        <v/>
      </c>
      <c r="M57" s="129" t="str">
        <f aca="false">IF(ISBLANK(E57),"",IF(ISBLANK(G57),(O57+(K57*35)+(L57*35^1.5)+(0.00000048314*35^2)),(O57+(K57*G57)+(L57*G57^1.5)+(0.00000048314*G57^2))))</f>
        <v/>
      </c>
      <c r="N57" s="130" t="str">
        <f aca="false">IF(ISBLANK(D57),"",IF(ISBLANK(G57),J57*(1+0.00001*(35-20)),J57*(1+0.00001*(G57-20))))</f>
        <v/>
      </c>
      <c r="O57" s="129" t="str">
        <f aca="false">IF(ISBLANK(E57),"",(0.999842594+(0.00006793952*E57)-(0.00000909529*E57^2)+(0.0000001001685*E57^3)-(0.000000001120083*E57^4)+(0.000000000006536332*E57^5)))</f>
        <v/>
      </c>
      <c r="P57" s="13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Flac.",P57*M57)))))))))</f>
        <v/>
      </c>
      <c r="R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5.75" hidden="false" customHeight="false" outlineLevel="0" collapsed="false">
      <c r="A58" s="108" t="n">
        <f aca="false">IF(ISBLANK(VLOOKUP(D58,'Volumes flacons'!A5:C623,3)),0,1)</f>
        <v>1</v>
      </c>
      <c r="B58" s="109" t="n">
        <f aca="false">IF(ISBLANK(D58),0,IF(ISBLANK(E58),0,IF(ISBLANK(F58),0,1)))</f>
        <v>0</v>
      </c>
      <c r="C58" s="141" t="n">
        <v>24</v>
      </c>
      <c r="D58" s="142"/>
      <c r="E58" s="142"/>
      <c r="F58" s="143"/>
      <c r="G58" s="144"/>
      <c r="H58" s="142"/>
      <c r="I58" s="142"/>
      <c r="J58" s="145" t="str">
        <f aca="false">IF(ISBLANK(D58),"",IF(VLOOKUP(D58,'Volumes flacons'!$A$5:$C$623,2)=0,"",IF(D58&gt;'Volumes flacons'!$A$623,"Mauvais numéro",IF(D58&lt;'Volumes flacons'!$A$5,"Mauvais numéro",(VLOOKUP(D58,'Volumes flacons'!$A$5:$C$623,3))))))</f>
        <v/>
      </c>
      <c r="K58" s="146" t="str">
        <f aca="false">IF(ISBLANK(E58),"",(0.000824493-(0.0000040899*E58)+(0.000000076438*E58^2)-(0.00000000082467*E58^3)+(0.0000000000053875*E58^4)))</f>
        <v/>
      </c>
      <c r="L58" s="146" t="str">
        <f aca="false">IF(ISBLANK(E58),"",(-0.00000572466+(0.00000010227*E58)-(0.0000000016546*E58^2)))</f>
        <v/>
      </c>
      <c r="M58" s="146" t="str">
        <f aca="false">IF(ISBLANK(E58),"",IF(ISBLANK(G58),(O58+(K58*35)+(L58*35^1.5)+(0.00000048314*35^2)),(O58+(K58*G58)+(L58*G58^1.5)+(0.00000048314*G58^2))))</f>
        <v/>
      </c>
      <c r="N58" s="147" t="str">
        <f aca="false">IF(ISBLANK(D58),"",IF(ISBLANK(G58),J58*(1+0.00001*(35-20)),J58*(1+0.00001*(G58-20))))</f>
        <v/>
      </c>
      <c r="O58" s="146" t="str">
        <f aca="false">IF(ISBLANK(E58),"",(0.999842594+(0.00006793952*E58)-(0.00000909529*E58^2)+(0.0000001001685*E58^3)-(0.000000001120083*E58^4)+(0.000000000006536332*E58^5)))</f>
        <v/>
      </c>
      <c r="P58" s="14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4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Flac.",P58*M58)))))))))</f>
        <v/>
      </c>
      <c r="R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2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53" t="s">
        <v>146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Q11" activeCellId="1" sqref="Q10:R10 Q1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11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40632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166" t="n">
        <v>1.51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0°1,51</v>
      </c>
      <c r="P9" s="29" t="s">
        <v>13</v>
      </c>
      <c r="Q9" s="0" t="n">
        <v>0.03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167" t="n">
        <v>0</v>
      </c>
      <c r="J10" s="29" t="n">
        <v>3.411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3" t="str">
        <f aca="false">IF(ISBLANK(I10),"",IF(ISBLANK(J10),"",IF(P10=N10,L10&amp;N12,N12)))</f>
        <v>-0°3,411</v>
      </c>
      <c r="P10" s="29" t="s">
        <v>17</v>
      </c>
      <c r="Q10" s="0" t="n">
        <v>-0.06</v>
      </c>
      <c r="S10" s="34"/>
      <c r="T10" s="34"/>
    </row>
    <row r="11" customFormat="false" ht="13.8" hidden="false" customHeight="false" outlineLevel="0" collapsed="false">
      <c r="G11" s="35" t="s">
        <v>18</v>
      </c>
      <c r="H11" s="35"/>
      <c r="I11" s="36" t="s">
        <v>19</v>
      </c>
      <c r="J11" s="37" t="n">
        <v>40629</v>
      </c>
      <c r="K11" s="37"/>
      <c r="L11" s="37"/>
      <c r="M11" s="37"/>
      <c r="N11" s="38" t="str">
        <f aca="false">I9&amp;"°"&amp;J9</f>
        <v>0°1,51</v>
      </c>
      <c r="O11" s="39" t="n">
        <f aca="false">IF(P9=M10,-1,1)</f>
        <v>1</v>
      </c>
      <c r="P11" s="0" t="s">
        <v>149</v>
      </c>
      <c r="T11" s="40"/>
      <c r="U11" s="40"/>
      <c r="V11" s="5"/>
      <c r="W11" s="5"/>
    </row>
    <row r="12" customFormat="false" ht="13.8" hidden="false" customHeight="false" outlineLevel="0" collapsed="false">
      <c r="G12" s="35"/>
      <c r="H12" s="35"/>
      <c r="I12" s="41" t="s">
        <v>21</v>
      </c>
      <c r="J12" s="42" t="n">
        <v>0.634722222222222</v>
      </c>
      <c r="K12" s="42"/>
      <c r="L12" s="42"/>
      <c r="M12" s="42"/>
      <c r="N12" s="43" t="str">
        <f aca="false">I10&amp;"°"&amp;J10</f>
        <v>0°3,411</v>
      </c>
      <c r="O12" s="39" t="n">
        <f aca="false">IF(P10=N10,-1,1)</f>
        <v>-1</v>
      </c>
      <c r="T12" s="40"/>
      <c r="U12" s="40"/>
      <c r="V12" s="5"/>
      <c r="W12" s="5"/>
    </row>
    <row r="13" customFormat="false" ht="15" hidden="false" customHeight="false" outlineLevel="0" collapsed="false">
      <c r="C13" s="44" t="s">
        <v>22</v>
      </c>
      <c r="D13" s="44"/>
      <c r="E13" s="5"/>
      <c r="K13" s="45"/>
      <c r="L13" s="45"/>
      <c r="M13" s="45"/>
      <c r="N13" s="45"/>
      <c r="O13" s="45"/>
      <c r="P13" s="45"/>
      <c r="Q13" s="46"/>
    </row>
    <row r="14" customFormat="false" ht="15" hidden="false" customHeight="true" outlineLevel="0" collapsed="false">
      <c r="C14" s="47" t="s">
        <v>23</v>
      </c>
      <c r="D14" s="48"/>
      <c r="E14" s="48"/>
      <c r="F14" s="48"/>
      <c r="G14" s="48"/>
      <c r="H14" s="49"/>
      <c r="I14" s="49"/>
      <c r="J14" s="49"/>
      <c r="K14" s="48"/>
      <c r="L14" s="48"/>
      <c r="M14" s="48"/>
      <c r="N14" s="49"/>
      <c r="O14" s="50"/>
      <c r="P14" s="49"/>
      <c r="Q14" s="50" t="s">
        <v>24</v>
      </c>
      <c r="R14" s="51" t="n">
        <v>22</v>
      </c>
      <c r="S14" s="52" t="s">
        <v>25</v>
      </c>
    </row>
    <row r="15" customFormat="false" ht="14.25" hidden="false" customHeight="true" outlineLevel="0" collapsed="false">
      <c r="C15" s="53" t="s">
        <v>26</v>
      </c>
      <c r="D15" s="54"/>
      <c r="E15" s="54"/>
      <c r="F15" s="54"/>
      <c r="G15" s="54"/>
      <c r="H15" s="55"/>
      <c r="I15" s="55"/>
      <c r="J15" s="55"/>
      <c r="K15" s="54"/>
      <c r="L15" s="54"/>
      <c r="M15" s="54"/>
      <c r="N15" s="55"/>
      <c r="O15" s="56"/>
      <c r="P15" s="55"/>
      <c r="Q15" s="56" t="s">
        <v>27</v>
      </c>
      <c r="R15" s="57" t="n">
        <v>22.1</v>
      </c>
      <c r="S15" s="58" t="s">
        <v>25</v>
      </c>
    </row>
    <row r="16" customFormat="false" ht="15" hidden="false" customHeight="false" outlineLevel="0" collapsed="false">
      <c r="C16" s="53" t="s">
        <v>28</v>
      </c>
      <c r="D16" s="54"/>
      <c r="E16" s="54"/>
      <c r="F16" s="54"/>
      <c r="G16" s="54"/>
      <c r="H16" s="55"/>
      <c r="I16" s="55"/>
      <c r="J16" s="55"/>
      <c r="K16" s="54"/>
      <c r="L16" s="54"/>
      <c r="M16" s="54"/>
      <c r="N16" s="55"/>
      <c r="O16" s="56"/>
      <c r="P16" s="55"/>
      <c r="Q16" s="56" t="s">
        <v>29</v>
      </c>
      <c r="R16" s="59" t="n">
        <v>5.001</v>
      </c>
      <c r="S16" s="58" t="s">
        <v>30</v>
      </c>
    </row>
    <row r="17" customFormat="false" ht="15" hidden="false" customHeight="false" outlineLevel="0" collapsed="false">
      <c r="C17" s="60" t="s">
        <v>31</v>
      </c>
      <c r="D17" s="61"/>
      <c r="E17" s="61"/>
      <c r="F17" s="61"/>
      <c r="G17" s="61"/>
      <c r="H17" s="62"/>
      <c r="I17" s="62"/>
      <c r="J17" s="62"/>
      <c r="K17" s="61"/>
      <c r="L17" s="61"/>
      <c r="M17" s="61"/>
      <c r="N17" s="62"/>
      <c r="O17" s="63"/>
      <c r="P17" s="62"/>
      <c r="Q17" s="63" t="s">
        <v>32</v>
      </c>
      <c r="R17" s="64" t="n">
        <v>0.006</v>
      </c>
      <c r="S17" s="65" t="s">
        <v>30</v>
      </c>
    </row>
    <row r="18" customFormat="false" ht="14.25" hidden="true" customHeight="false" outlineLevel="0" collapsed="false">
      <c r="C18" s="66" t="s">
        <v>33</v>
      </c>
      <c r="D18" s="67"/>
      <c r="E18" s="67"/>
      <c r="F18" s="67"/>
      <c r="G18" s="67"/>
      <c r="H18" s="67"/>
      <c r="I18" s="67"/>
      <c r="J18" s="67"/>
      <c r="K18" s="68"/>
      <c r="L18" s="68"/>
      <c r="M18" s="68"/>
      <c r="N18" s="68"/>
      <c r="O18" s="69" t="s">
        <v>34</v>
      </c>
      <c r="P18" s="70" t="n">
        <f aca="false">(0.999842594+(0.00006793952*$R$14)-(0.00000909529*$R$14^2)+(0.0000001001685*$R$14^3)-(0.000000001120083*$R$14^4)+(0.000000000006536332*$R$14^5))</f>
        <v>0.99777303695451</v>
      </c>
      <c r="Q18" s="68"/>
      <c r="R18" s="6"/>
    </row>
    <row r="19" customFormat="false" ht="14.25" hidden="true" customHeight="false" outlineLevel="0" collapsed="false">
      <c r="C19" s="66" t="s">
        <v>35</v>
      </c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9" t="s">
        <v>36</v>
      </c>
      <c r="P19" s="70" t="n">
        <f aca="false">$P$24*($P$18/'Titre d''iodate'!E19)</f>
        <v>0.0199876195566105</v>
      </c>
      <c r="Q19" s="68" t="s">
        <v>13</v>
      </c>
      <c r="R19" s="6"/>
    </row>
    <row r="20" customFormat="false" ht="14.25" hidden="true" customHeight="false" outlineLevel="0" collapsed="false">
      <c r="C20" s="66" t="s">
        <v>37</v>
      </c>
      <c r="D20" s="67"/>
      <c r="E20" s="67"/>
      <c r="F20" s="67"/>
      <c r="G20" s="67"/>
      <c r="H20" s="67"/>
      <c r="I20" s="67"/>
      <c r="J20" s="67"/>
      <c r="K20" s="68"/>
      <c r="L20" s="68"/>
      <c r="M20" s="68"/>
      <c r="N20" s="68"/>
      <c r="O20" s="69" t="s">
        <v>38</v>
      </c>
      <c r="P20" s="70" t="n">
        <f aca="false">5+'Correction de volume'!G8</f>
        <v>5.00308998756</v>
      </c>
      <c r="Q20" s="68" t="s">
        <v>30</v>
      </c>
      <c r="R20" s="6"/>
    </row>
    <row r="21" customFormat="false" ht="14.25" hidden="true" customHeight="false" outlineLevel="0" collapsed="false">
      <c r="C21" s="66" t="s">
        <v>39</v>
      </c>
      <c r="D21" s="67"/>
      <c r="E21" s="67"/>
      <c r="F21" s="67"/>
      <c r="G21" s="67"/>
      <c r="H21" s="67"/>
      <c r="I21" s="67"/>
      <c r="J21" s="67"/>
      <c r="K21" s="68"/>
      <c r="L21" s="68"/>
      <c r="M21" s="68"/>
      <c r="N21" s="68"/>
      <c r="O21" s="69" t="s">
        <v>40</v>
      </c>
      <c r="P21" s="70" t="n">
        <f aca="false">P20*(1+0.00001*(R14-20))</f>
        <v>5.00319004935975</v>
      </c>
      <c r="Q21" s="68" t="s">
        <v>30</v>
      </c>
      <c r="R21" s="6"/>
    </row>
    <row r="22" customFormat="false" ht="14.25" hidden="true" customHeight="false" outlineLevel="0" collapsed="false">
      <c r="C22" s="66" t="s">
        <v>41</v>
      </c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9" t="s">
        <v>42</v>
      </c>
      <c r="P22" s="71" t="n">
        <f aca="false">$R$16*(1+0.00001*(20-$R$14))</f>
        <v>5.00089998</v>
      </c>
      <c r="Q22" s="68" t="s">
        <v>30</v>
      </c>
      <c r="R22" s="6"/>
    </row>
    <row r="23" customFormat="false" ht="14.25" hidden="true" customHeight="false" outlineLevel="0" collapsed="false">
      <c r="C23" s="66" t="s">
        <v>43</v>
      </c>
      <c r="D23" s="67"/>
      <c r="E23" s="67"/>
      <c r="F23" s="67"/>
      <c r="G23" s="67"/>
      <c r="H23" s="67"/>
      <c r="I23" s="67"/>
      <c r="J23" s="67"/>
      <c r="K23" s="68"/>
      <c r="L23" s="68"/>
      <c r="M23" s="68"/>
      <c r="N23" s="68"/>
      <c r="O23" s="69" t="s">
        <v>44</v>
      </c>
      <c r="P23" s="71" t="n">
        <f aca="false">$R$17*(1+0.00001*(20-$R$14))</f>
        <v>0.00599988</v>
      </c>
      <c r="Q23" s="68" t="s">
        <v>30</v>
      </c>
      <c r="R23" s="6"/>
    </row>
    <row r="24" customFormat="false" ht="14.25" hidden="true" customHeight="false" outlineLevel="0" collapsed="false">
      <c r="C24" s="66" t="s">
        <v>45</v>
      </c>
      <c r="D24" s="67"/>
      <c r="E24" s="67"/>
      <c r="F24" s="67"/>
      <c r="G24" s="67"/>
      <c r="H24" s="67"/>
      <c r="I24" s="67"/>
      <c r="J24" s="67"/>
      <c r="K24" s="68"/>
      <c r="L24" s="68"/>
      <c r="M24" s="68"/>
      <c r="N24" s="68"/>
      <c r="O24" s="69" t="s">
        <v>46</v>
      </c>
      <c r="P24" s="55" t="n">
        <f aca="false">MAX('Titre d''iodate'!F7:F10)</f>
        <v>0.0199962991701183</v>
      </c>
      <c r="Q24" s="68" t="s">
        <v>13</v>
      </c>
      <c r="R24" s="6"/>
    </row>
    <row r="25" customFormat="false" ht="14.25" hidden="true" customHeight="false" outlineLevel="0" collapsed="false">
      <c r="C25" s="66" t="s">
        <v>47</v>
      </c>
      <c r="D25" s="67"/>
      <c r="E25" s="67"/>
      <c r="F25" s="67"/>
      <c r="G25" s="67"/>
      <c r="H25" s="67"/>
      <c r="I25" s="67"/>
      <c r="J25" s="67"/>
      <c r="K25" s="68"/>
      <c r="L25" s="68"/>
      <c r="M25" s="68"/>
      <c r="N25" s="68"/>
      <c r="O25" s="69" t="s">
        <v>48</v>
      </c>
      <c r="P25" s="55" t="n">
        <f aca="false">IF(ISBLANK(R14),"",IF(ISBLANK(P21),"",IF(ISBLANK(R17),"",(($P$24*$P$18)/($P$22-$P$23)))))</f>
        <v>0.00399442786669944</v>
      </c>
      <c r="Q25" s="68" t="s">
        <v>13</v>
      </c>
      <c r="R25" s="6"/>
    </row>
    <row r="26" customFormat="false" ht="14.25" hidden="true" customHeight="false" outlineLevel="0" collapsed="false">
      <c r="C26" s="72" t="s">
        <v>49</v>
      </c>
      <c r="D26" s="73"/>
      <c r="E26" s="73"/>
      <c r="F26" s="73"/>
      <c r="G26" s="73"/>
      <c r="H26" s="73"/>
      <c r="I26" s="73"/>
      <c r="J26" s="73"/>
      <c r="K26" s="68"/>
      <c r="L26" s="68"/>
      <c r="M26" s="68"/>
      <c r="N26" s="68"/>
      <c r="O26" s="69" t="s">
        <v>50</v>
      </c>
      <c r="P26" s="55" t="n">
        <f aca="false">2+('Correction de volume'!G10+'Correction de volume'!G9)</f>
        <v>2.0163939508</v>
      </c>
      <c r="Q26" s="68" t="s">
        <v>30</v>
      </c>
      <c r="R26" s="6"/>
    </row>
    <row r="27" customFormat="false" ht="15" hidden="true" customHeight="false" outlineLevel="0" collapsed="false">
      <c r="C27" s="74"/>
      <c r="D27" s="75"/>
      <c r="E27" s="75"/>
      <c r="F27" s="75"/>
      <c r="G27" s="75"/>
      <c r="H27" s="75"/>
      <c r="I27" s="75"/>
      <c r="J27" s="75"/>
      <c r="K27" s="76"/>
      <c r="L27" s="76"/>
      <c r="M27" s="76"/>
      <c r="N27" s="76"/>
      <c r="O27" s="77" t="s">
        <v>51</v>
      </c>
      <c r="P27" s="62" t="n">
        <v>0.0017</v>
      </c>
      <c r="Q27" s="76"/>
      <c r="R27" s="78"/>
    </row>
    <row r="29" customFormat="false" ht="15" hidden="false" customHeight="false" outlineLevel="0" collapsed="false">
      <c r="E29" s="18" t="s">
        <v>52</v>
      </c>
      <c r="F29" s="18"/>
      <c r="G29" s="18"/>
      <c r="H29" s="18"/>
      <c r="I29" s="79" t="s">
        <v>53</v>
      </c>
      <c r="K29" s="80"/>
      <c r="L29" s="80"/>
      <c r="M29" s="80"/>
      <c r="N29" s="81"/>
      <c r="O29" s="80" t="s">
        <v>54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2"/>
      <c r="K30" s="17"/>
      <c r="L30" s="17"/>
      <c r="M30" s="17"/>
      <c r="N30" s="81"/>
      <c r="O30" s="81" t="s">
        <v>53</v>
      </c>
      <c r="P30" s="81"/>
    </row>
    <row r="31" customFormat="false" ht="15.75" hidden="false" customHeight="true" outlineLevel="0" collapsed="false">
      <c r="C31" s="83" t="s">
        <v>55</v>
      </c>
      <c r="D31" s="84" t="s">
        <v>56</v>
      </c>
      <c r="E31" s="84" t="s">
        <v>57</v>
      </c>
      <c r="F31" s="84" t="s">
        <v>58</v>
      </c>
      <c r="G31" s="84" t="s">
        <v>59</v>
      </c>
      <c r="H31" s="84" t="s">
        <v>60</v>
      </c>
      <c r="I31" s="84" t="s">
        <v>61</v>
      </c>
      <c r="J31" s="84" t="s">
        <v>62</v>
      </c>
      <c r="K31" s="84" t="s">
        <v>63</v>
      </c>
      <c r="L31" s="84" t="s">
        <v>64</v>
      </c>
      <c r="M31" s="84" t="s">
        <v>65</v>
      </c>
      <c r="N31" s="84" t="s">
        <v>66</v>
      </c>
      <c r="O31" s="84" t="s">
        <v>67</v>
      </c>
      <c r="P31" s="85" t="s">
        <v>68</v>
      </c>
      <c r="Q31" s="85"/>
      <c r="R31" s="85"/>
      <c r="S31" s="85"/>
      <c r="T31" s="86" t="s">
        <v>69</v>
      </c>
      <c r="U31" s="86"/>
      <c r="V31" s="86" t="s">
        <v>70</v>
      </c>
      <c r="W31" s="86"/>
      <c r="X31" s="86" t="s">
        <v>71</v>
      </c>
      <c r="Y31" s="86"/>
      <c r="Z31" s="86" t="s">
        <v>72</v>
      </c>
      <c r="AA31" s="86"/>
      <c r="AB31" s="87" t="s">
        <v>73</v>
      </c>
      <c r="AC31" s="87"/>
      <c r="AD31" s="88" t="s">
        <v>74</v>
      </c>
      <c r="AE31" s="88" t="s">
        <v>75</v>
      </c>
      <c r="AF31" s="88" t="s">
        <v>76</v>
      </c>
      <c r="AG31" s="89" t="s">
        <v>77</v>
      </c>
      <c r="AH31" s="88" t="s">
        <v>78</v>
      </c>
      <c r="AI31" s="88" t="s">
        <v>79</v>
      </c>
      <c r="AJ31" s="88" t="s">
        <v>80</v>
      </c>
      <c r="AK31" s="88" t="s">
        <v>81</v>
      </c>
      <c r="AL31" s="89" t="s">
        <v>82</v>
      </c>
      <c r="AM31" s="88" t="s">
        <v>83</v>
      </c>
      <c r="AN31" s="88" t="s">
        <v>84</v>
      </c>
      <c r="AO31" s="88" t="s">
        <v>85</v>
      </c>
      <c r="AP31" s="88" t="s">
        <v>86</v>
      </c>
      <c r="AQ31" s="88" t="s">
        <v>87</v>
      </c>
      <c r="AR31" s="89" t="s">
        <v>88</v>
      </c>
      <c r="AS31" s="89" t="s">
        <v>89</v>
      </c>
      <c r="AT31" s="89" t="s">
        <v>90</v>
      </c>
      <c r="AU31" s="88" t="s">
        <v>91</v>
      </c>
      <c r="AV31" s="88" t="s">
        <v>92</v>
      </c>
      <c r="AW31" s="90" t="s">
        <v>93</v>
      </c>
      <c r="AX31" s="88" t="s">
        <v>94</v>
      </c>
      <c r="AY31" s="88" t="s">
        <v>95</v>
      </c>
      <c r="AZ31" s="89" t="s">
        <v>96</v>
      </c>
      <c r="BA31" s="88" t="s">
        <v>97</v>
      </c>
      <c r="BB31" s="91" t="s">
        <v>98</v>
      </c>
    </row>
    <row r="32" customFormat="false" ht="15.75" hidden="false" customHeight="true" outlineLevel="0" collapsed="false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  <c r="Q32" s="85"/>
      <c r="R32" s="85"/>
      <c r="S32" s="85"/>
      <c r="T32" s="86"/>
      <c r="U32" s="86"/>
      <c r="V32" s="86"/>
      <c r="W32" s="86"/>
      <c r="X32" s="86"/>
      <c r="Y32" s="86"/>
      <c r="Z32" s="86"/>
      <c r="AA32" s="86"/>
      <c r="AB32" s="87"/>
      <c r="AC32" s="87"/>
      <c r="AD32" s="88"/>
      <c r="AE32" s="88"/>
      <c r="AF32" s="88"/>
      <c r="AG32" s="89"/>
      <c r="AH32" s="88"/>
      <c r="AI32" s="88"/>
      <c r="AJ32" s="88"/>
      <c r="AK32" s="88"/>
      <c r="AL32" s="89"/>
      <c r="AM32" s="88"/>
      <c r="AN32" s="88"/>
      <c r="AO32" s="88"/>
      <c r="AP32" s="88"/>
      <c r="AQ32" s="88"/>
      <c r="AR32" s="89"/>
      <c r="AS32" s="89"/>
      <c r="AT32" s="89"/>
      <c r="AU32" s="88"/>
      <c r="AV32" s="88"/>
      <c r="AW32" s="90"/>
      <c r="AX32" s="88"/>
      <c r="AY32" s="88"/>
      <c r="AZ32" s="89"/>
      <c r="BA32" s="88"/>
      <c r="BB32" s="91"/>
    </row>
    <row r="33" customFormat="false" ht="15.75" hidden="false" customHeight="true" outlineLevel="0" collapsed="false">
      <c r="C33" s="92" t="s">
        <v>99</v>
      </c>
      <c r="D33" s="93" t="s">
        <v>100</v>
      </c>
      <c r="E33" s="93" t="s">
        <v>25</v>
      </c>
      <c r="F33" s="94" t="s">
        <v>101</v>
      </c>
      <c r="G33" s="95"/>
      <c r="H33" s="94" t="s">
        <v>102</v>
      </c>
      <c r="I33" s="94" t="s">
        <v>102</v>
      </c>
      <c r="J33" s="94" t="s">
        <v>101</v>
      </c>
      <c r="K33" s="95"/>
      <c r="L33" s="95"/>
      <c r="M33" s="95"/>
      <c r="N33" s="95"/>
      <c r="O33" s="95"/>
      <c r="P33" s="96" t="s">
        <v>103</v>
      </c>
      <c r="Q33" s="96"/>
      <c r="R33" s="96" t="s">
        <v>104</v>
      </c>
      <c r="S33" s="96" t="s">
        <v>105</v>
      </c>
      <c r="T33" s="97" t="s">
        <v>106</v>
      </c>
      <c r="U33" s="97" t="s">
        <v>107</v>
      </c>
      <c r="V33" s="97" t="s">
        <v>108</v>
      </c>
      <c r="W33" s="97" t="s">
        <v>109</v>
      </c>
      <c r="X33" s="97" t="s">
        <v>110</v>
      </c>
      <c r="Y33" s="97" t="s">
        <v>111</v>
      </c>
      <c r="Z33" s="97" t="s">
        <v>112</v>
      </c>
      <c r="AA33" s="97" t="s">
        <v>113</v>
      </c>
      <c r="AB33" s="97" t="s">
        <v>114</v>
      </c>
      <c r="AC33" s="98" t="s">
        <v>115</v>
      </c>
      <c r="AD33" s="99" t="s">
        <v>116</v>
      </c>
      <c r="AE33" s="99" t="s">
        <v>117</v>
      </c>
      <c r="AF33" s="99" t="s">
        <v>118</v>
      </c>
      <c r="AG33" s="99" t="s">
        <v>119</v>
      </c>
      <c r="AH33" s="99" t="s">
        <v>120</v>
      </c>
      <c r="AI33" s="100" t="s">
        <v>121</v>
      </c>
      <c r="AJ33" s="99" t="s">
        <v>122</v>
      </c>
      <c r="AK33" s="100" t="s">
        <v>123</v>
      </c>
      <c r="AL33" s="99" t="s">
        <v>124</v>
      </c>
      <c r="AM33" s="99" t="s">
        <v>125</v>
      </c>
      <c r="AN33" s="99" t="s">
        <v>126</v>
      </c>
      <c r="AO33" s="99" t="s">
        <v>127</v>
      </c>
      <c r="AP33" s="99" t="s">
        <v>128</v>
      </c>
      <c r="AQ33" s="100" t="s">
        <v>129</v>
      </c>
      <c r="AR33" s="99" t="s">
        <v>130</v>
      </c>
      <c r="AS33" s="99" t="s">
        <v>131</v>
      </c>
      <c r="AT33" s="100" t="s">
        <v>132</v>
      </c>
      <c r="AU33" s="101" t="s">
        <v>133</v>
      </c>
      <c r="AV33" s="101" t="s">
        <v>134</v>
      </c>
      <c r="AW33" s="101" t="s">
        <v>135</v>
      </c>
      <c r="AX33" s="99" t="s">
        <v>136</v>
      </c>
      <c r="AY33" s="99" t="s">
        <v>137</v>
      </c>
      <c r="AZ33" s="99" t="s">
        <v>138</v>
      </c>
      <c r="BA33" s="99" t="s">
        <v>139</v>
      </c>
      <c r="BB33" s="102" t="s">
        <v>140</v>
      </c>
    </row>
    <row r="34" customFormat="false" ht="14.25" hidden="false" customHeight="true" outlineLevel="0" collapsed="false">
      <c r="C34" s="92"/>
      <c r="D34" s="93"/>
      <c r="E34" s="93"/>
      <c r="F34" s="94"/>
      <c r="G34" s="95"/>
      <c r="H34" s="94"/>
      <c r="I34" s="94"/>
      <c r="J34" s="94"/>
      <c r="K34" s="103"/>
      <c r="L34" s="103"/>
      <c r="M34" s="103"/>
      <c r="N34" s="104" t="s">
        <v>30</v>
      </c>
      <c r="O34" s="103"/>
      <c r="P34" s="104" t="s">
        <v>141</v>
      </c>
      <c r="Q34" s="104" t="s">
        <v>142</v>
      </c>
      <c r="R34" s="104" t="s">
        <v>143</v>
      </c>
      <c r="S34" s="104" t="s">
        <v>144</v>
      </c>
      <c r="T34" s="105" t="s">
        <v>143</v>
      </c>
      <c r="U34" s="105" t="s">
        <v>144</v>
      </c>
      <c r="V34" s="105" t="s">
        <v>143</v>
      </c>
      <c r="W34" s="105" t="s">
        <v>144</v>
      </c>
      <c r="X34" s="105" t="s">
        <v>143</v>
      </c>
      <c r="Y34" s="105" t="s">
        <v>144</v>
      </c>
      <c r="Z34" s="105" t="s">
        <v>143</v>
      </c>
      <c r="AA34" s="105" t="s">
        <v>144</v>
      </c>
      <c r="AB34" s="105" t="s">
        <v>143</v>
      </c>
      <c r="AC34" s="106" t="s">
        <v>144</v>
      </c>
      <c r="AD34" s="107" t="s">
        <v>145</v>
      </c>
      <c r="AE34" s="107" t="s">
        <v>145</v>
      </c>
      <c r="AF34" s="107" t="s">
        <v>145</v>
      </c>
      <c r="AG34" s="107" t="s">
        <v>145</v>
      </c>
      <c r="AH34" s="107" t="s">
        <v>145</v>
      </c>
      <c r="AI34" s="107" t="s">
        <v>145</v>
      </c>
      <c r="AJ34" s="107" t="s">
        <v>145</v>
      </c>
      <c r="AK34" s="107" t="s">
        <v>145</v>
      </c>
      <c r="AL34" s="107" t="s">
        <v>145</v>
      </c>
      <c r="AM34" s="107" t="s">
        <v>145</v>
      </c>
      <c r="AN34" s="107" t="s">
        <v>145</v>
      </c>
      <c r="AO34" s="107" t="s">
        <v>145</v>
      </c>
      <c r="AP34" s="107" t="s">
        <v>145</v>
      </c>
      <c r="AQ34" s="107" t="s">
        <v>145</v>
      </c>
      <c r="AR34" s="107" t="s">
        <v>145</v>
      </c>
      <c r="AS34" s="107" t="s">
        <v>145</v>
      </c>
      <c r="AT34" s="107" t="s">
        <v>145</v>
      </c>
      <c r="AU34" s="107" t="s">
        <v>145</v>
      </c>
      <c r="AV34" s="107" t="s">
        <v>145</v>
      </c>
      <c r="AW34" s="107" t="s">
        <v>145</v>
      </c>
      <c r="AX34" s="107" t="s">
        <v>145</v>
      </c>
      <c r="AY34" s="107" t="s">
        <v>145</v>
      </c>
      <c r="AZ34" s="107" t="s">
        <v>145</v>
      </c>
      <c r="BA34" s="107" t="s">
        <v>145</v>
      </c>
      <c r="BB34" s="107" t="s">
        <v>145</v>
      </c>
    </row>
    <row r="35" customFormat="false" ht="15" hidden="false" customHeight="false" outlineLevel="0" collapsed="false">
      <c r="A35" s="108" t="n">
        <f aca="false">IF(ISBLANK(VLOOKUP(D35,'Volumes flacons'!A5:C623,3)),0,1)</f>
        <v>1</v>
      </c>
      <c r="B35" s="109" t="n">
        <f aca="false">IF(ISBLANK(D35),0,IF(ISBLANK(E35),0,IF(ISBLANK(F35),0,1)))</f>
        <v>1</v>
      </c>
      <c r="C35" s="110" t="n">
        <v>1</v>
      </c>
      <c r="D35" s="111" t="n">
        <v>448</v>
      </c>
      <c r="E35" s="111" t="n">
        <v>6.6</v>
      </c>
      <c r="F35" s="112" t="n">
        <v>5.903</v>
      </c>
      <c r="G35" s="113" t="n">
        <v>34.963</v>
      </c>
      <c r="H35" s="111" t="n">
        <v>2000</v>
      </c>
      <c r="I35" s="111" t="n">
        <v>2020</v>
      </c>
      <c r="J35" s="114" t="n">
        <v>117.58</v>
      </c>
      <c r="K35" s="115" t="n">
        <f aca="false">IF(ISBLANK(E35),"",(0.000824493-(0.0000040899*E35)+(0.000000076438*E35^2)-(0.00000000082467*E35^3)+(0.0000000000053875*E35^4)))</f>
        <v>0.0008006024325927</v>
      </c>
      <c r="L35" s="115" t="n">
        <f aca="false">IF(ISBLANK(E35),"",(-0.00000572466+(0.00000010227*E35)-(0.0000000016546*E35^2)))</f>
        <v>-5.121752376E-006</v>
      </c>
      <c r="M35" s="115" t="n">
        <f aca="false">IF(ISBLANK(E35),"",IF(ISBLANK(G35),(O35+(K35*35)+(L35*35^1.5)+(0.00000048314*35^2)),(O35+(K35*G35)+(L35*G35^1.5)+(0.00000048314*G35^2))))</f>
        <v>1.02744477414601</v>
      </c>
      <c r="N35" s="116" t="n">
        <f aca="false">IF(ISBLANK(D35),"",IF(ISBLANK(G35),J35*(1+0.00001*(35-20)),J35*(1+0.00001*(G35-20))))</f>
        <v>117.5975934954</v>
      </c>
      <c r="O35" s="115" t="n">
        <f aca="false">IF(ISBLANK(E35),"",(0.999842594+(0.00006793952*E35)-(0.00000909529*E35^2)+(0.0000001001685*E35^3)-(0.000000001120083*E35^4)+(0.000000000006536332*E35^5)))</f>
        <v>0.999921558571369</v>
      </c>
      <c r="P35" s="117" t="n">
        <v>5.709</v>
      </c>
      <c r="Q35" s="118" t="n">
        <v>5.557</v>
      </c>
      <c r="R35" s="119" t="n">
        <v>255</v>
      </c>
      <c r="S35" s="119" t="n">
        <v>248.2</v>
      </c>
      <c r="T35" s="122"/>
      <c r="U35" s="122"/>
      <c r="V35" s="122"/>
      <c r="W35" s="163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3"/>
    </row>
    <row r="36" customFormat="false" ht="15" hidden="false" customHeight="false" outlineLevel="0" collapsed="false">
      <c r="A36" s="108" t="n">
        <f aca="false">IF(ISBLANK(VLOOKUP(D36,'Volumes flacons'!A5:C623,3)),0,1)</f>
        <v>1</v>
      </c>
      <c r="B36" s="109" t="n">
        <f aca="false">IF(ISBLANK(D36),0,IF(ISBLANK(E36),0,IF(ISBLANK(F36),0,1)))</f>
        <v>1</v>
      </c>
      <c r="C36" s="124" t="n">
        <v>2</v>
      </c>
      <c r="D36" s="125" t="n">
        <v>449</v>
      </c>
      <c r="E36" s="125" t="n">
        <v>7.5</v>
      </c>
      <c r="F36" s="126" t="n">
        <v>3.888</v>
      </c>
      <c r="G36" s="127" t="n">
        <v>34.667</v>
      </c>
      <c r="H36" s="125" t="n">
        <v>1000</v>
      </c>
      <c r="I36" s="125" t="n">
        <v>1009</v>
      </c>
      <c r="J36" s="128" t="n">
        <v>117.86</v>
      </c>
      <c r="K36" s="129" t="n">
        <f aca="false">IF(ISBLANK(E36),"",(0.000824493-(0.0000040899*E36)+(0.000000076438*E36^2)-(0.00000000082467*E36^3)+(0.0000000000053875*E36^4)))</f>
        <v>0.000797787526230469</v>
      </c>
      <c r="L36" s="129" t="n">
        <f aca="false">IF(ISBLANK(E36),"",(-0.00000572466+(0.00000010227*E36)-(0.0000000016546*E36^2)))</f>
        <v>-5.05070625E-006</v>
      </c>
      <c r="M36" s="129" t="n">
        <f aca="false">IF(ISBLANK(E36),"",IF(ISBLANK(G36),(O36+(K36*35)+(L36*35^1.5)+(0.00000048314*35^2)),(O36+(K36*G36)+(L36*G36^1.5)+(0.00000048314*G36^2))))</f>
        <v>1.02708601462773</v>
      </c>
      <c r="N36" s="130" t="n">
        <f aca="false">IF(ISBLANK(D36),"",IF(ISBLANK(G36),J36*(1+0.00001*(35-20)),J36*(1+0.00001*(G36-20))))</f>
        <v>117.8772865262</v>
      </c>
      <c r="O36" s="129" t="n">
        <f aca="false">IF(ISBLANK(E36),"",(0.999842594+(0.00006793952*E36)-(0.00000909529*E36^2)+(0.0000001001685*E36^3)-(0.000000001120083*E36^4)+(0.000000000006536332*E36^5)))</f>
        <v>0.999879400021043</v>
      </c>
      <c r="P36" s="131" t="n">
        <v>3.746</v>
      </c>
      <c r="Q36" s="132" t="n">
        <v>3.647</v>
      </c>
      <c r="R36" s="133" t="n">
        <v>167.3</v>
      </c>
      <c r="S36" s="133" t="n">
        <v>162.9</v>
      </c>
      <c r="T36" s="135"/>
      <c r="U36" s="135"/>
      <c r="V36" s="135"/>
      <c r="W36" s="16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" hidden="false" customHeight="false" outlineLevel="0" collapsed="false">
      <c r="A37" s="108" t="n">
        <f aca="false">IF(ISBLANK(VLOOKUP(D37,'Volumes flacons'!A5:C623,3)),0,1)</f>
        <v>1</v>
      </c>
      <c r="B37" s="109" t="n">
        <f aca="false">IF(ISBLANK(D37),0,IF(ISBLANK(E37),0,IF(ISBLANK(F37),0,1)))</f>
        <v>1</v>
      </c>
      <c r="C37" s="124" t="n">
        <v>3</v>
      </c>
      <c r="D37" s="125" t="n">
        <v>451</v>
      </c>
      <c r="E37" s="125" t="n">
        <v>10.1</v>
      </c>
      <c r="F37" s="126" t="n">
        <v>2.649</v>
      </c>
      <c r="G37" s="127" t="n">
        <v>34.619</v>
      </c>
      <c r="H37" s="125" t="n">
        <v>500</v>
      </c>
      <c r="I37" s="125" t="n">
        <v>503</v>
      </c>
      <c r="J37" s="128" t="n">
        <v>116.48</v>
      </c>
      <c r="K37" s="129" t="n">
        <f aca="false">IF(ISBLANK(E37),"",(0.000824493-(0.0000040899*E37)+(0.000000076438*E37^2)-(0.00000000082467*E37^3)+(0.0000000000053875*E37^4)))</f>
        <v>0.000790188854595369</v>
      </c>
      <c r="L37" s="129" t="n">
        <f aca="false">IF(ISBLANK(E37),"",(-0.00000572466+(0.00000010227*E37)-(0.0000000016546*E37^2)))</f>
        <v>-4.860518746E-006</v>
      </c>
      <c r="M37" s="129" t="n">
        <f aca="false">IF(ISBLANK(E37),"",IF(ISBLANK(G37),(O37+(K37*35)+(L37*35^1.5)+(0.00000048314*35^2)),(O37+(K37*G37)+(L37*G37^1.5)+(0.00000048314*G37^2))))</f>
        <v>1.02663774313567</v>
      </c>
      <c r="N37" s="130" t="n">
        <f aca="false">IF(ISBLANK(D37),"",IF(ISBLANK(G37),J37*(1+0.00001*(35-20)),J37*(1+0.00001*(G37-20))))</f>
        <v>116.4970282112</v>
      </c>
      <c r="O37" s="129" t="n">
        <f aca="false">IF(ISBLANK(E37),"",(0.999842594+(0.00006793952*E37)-(0.00000909529*E37^2)+(0.0000001001685*E37^3)-(0.000000001120083*E37^4)+(0.000000000006536332*E37^5)))</f>
        <v>0.999693207671267</v>
      </c>
      <c r="P37" s="131" t="n">
        <v>2.578</v>
      </c>
      <c r="Q37" s="132" t="n">
        <v>2.512</v>
      </c>
      <c r="R37" s="133" t="n">
        <v>115.2</v>
      </c>
      <c r="S37" s="133" t="n">
        <v>112.2</v>
      </c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" hidden="false" customHeight="false" outlineLevel="0" collapsed="false">
      <c r="A38" s="108" t="n">
        <f aca="false">IF(ISBLANK(VLOOKUP(D38,'Volumes flacons'!A5:C623,3)),0,1)</f>
        <v>1</v>
      </c>
      <c r="B38" s="109" t="n">
        <f aca="false">IF(ISBLANK(D38),0,IF(ISBLANK(E38),0,IF(ISBLANK(F38),0,1)))</f>
        <v>1</v>
      </c>
      <c r="C38" s="124" t="n">
        <v>4</v>
      </c>
      <c r="D38" s="125" t="n">
        <v>452</v>
      </c>
      <c r="E38" s="125" t="n">
        <v>10.9</v>
      </c>
      <c r="F38" s="126" t="n">
        <v>2.636</v>
      </c>
      <c r="G38" s="127" t="n">
        <v>34.62</v>
      </c>
      <c r="H38" s="125" t="n">
        <v>500</v>
      </c>
      <c r="I38" s="125" t="n">
        <v>503</v>
      </c>
      <c r="J38" s="128" t="n">
        <v>115.9</v>
      </c>
      <c r="K38" s="129" t="n">
        <f aca="false">IF(ISBLANK(E38),"",(0.000824493-(0.0000040899*E38)+(0.000000076438*E38^2)-(0.00000000082467*E38^3)+(0.0000000000053875*E38^4)))</f>
        <v>0.000788002766173809</v>
      </c>
      <c r="L38" s="129" t="n">
        <f aca="false">IF(ISBLANK(E38),"",(-0.00000572466+(0.00000010227*E38)-(0.0000000016546*E38^2)))</f>
        <v>-4.806500026E-006</v>
      </c>
      <c r="M38" s="129" t="n">
        <f aca="false">IF(ISBLANK(E38),"",IF(ISBLANK(G38),(O38+(K38*35)+(L38*35^1.5)+(0.00000048314*35^2)),(O38+(K38*G38)+(L38*G38^1.5)+(0.00000048314*G38^2))))</f>
        <v>1.02649807671432</v>
      </c>
      <c r="N38" s="130" t="n">
        <f aca="false">IF(ISBLANK(D38),"",IF(ISBLANK(G38),J38*(1+0.00001*(35-20)),J38*(1+0.00001*(G38-20))))</f>
        <v>115.91694458</v>
      </c>
      <c r="O38" s="129" t="n">
        <f aca="false">IF(ISBLANK(E38),"",(0.999842594+(0.00006793952*E38)-(0.00000909529*E38^2)+(0.0000001001685*E38^3)-(0.000000001120083*E38^4)+(0.000000000006536332*E38^5)))</f>
        <v>0.999617439285541</v>
      </c>
      <c r="P38" s="131" t="n">
        <v>2.579</v>
      </c>
      <c r="Q38" s="132" t="n">
        <v>2.512</v>
      </c>
      <c r="R38" s="133" t="n">
        <v>115.2</v>
      </c>
      <c r="S38" s="133" t="n">
        <v>112.2</v>
      </c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" hidden="false" customHeight="false" outlineLevel="0" collapsed="false">
      <c r="A39" s="108" t="n">
        <f aca="false">IF(ISBLANK(VLOOKUP(D39,'Volumes flacons'!A5:C623,3)),0,1)</f>
        <v>1</v>
      </c>
      <c r="B39" s="109" t="n">
        <f aca="false">IF(ISBLANK(D39),0,IF(ISBLANK(E39),0,IF(ISBLANK(F39),0,1)))</f>
        <v>1</v>
      </c>
      <c r="C39" s="124" t="n">
        <v>5</v>
      </c>
      <c r="D39" s="125" t="n">
        <v>453</v>
      </c>
      <c r="E39" s="125" t="n">
        <v>19.1</v>
      </c>
      <c r="F39" s="126" t="n">
        <v>3.514</v>
      </c>
      <c r="G39" s="127" t="n">
        <v>35.841</v>
      </c>
      <c r="H39" s="125" t="n">
        <v>100</v>
      </c>
      <c r="I39" s="125" t="n">
        <v>100</v>
      </c>
      <c r="J39" s="128" t="n">
        <v>117.08</v>
      </c>
      <c r="K39" s="129" t="n">
        <f aca="false">IF(ISBLANK(E39),"",(0.000824493-(0.0000040899*E39)+(0.000000076438*E39^2)-(0.00000000082467*E39^3)+(0.0000000000053875*E39^4)))</f>
        <v>0.000769232065238169</v>
      </c>
      <c r="L39" s="129" t="n">
        <f aca="false">IF(ISBLANK(E39),"",(-0.00000572466+(0.00000010227*E39)-(0.0000000016546*E39^2)))</f>
        <v>-4.374917626E-006</v>
      </c>
      <c r="M39" s="129" t="n">
        <f aca="false">IF(ISBLANK(E39),"",IF(ISBLANK(G39),(O39+(K39*35)+(L39*35^1.5)+(0.00000048314*35^2)),(O39+(K39*G39)+(L39*G39^1.5)+(0.00000048314*G39^2))))</f>
        <v>1.02563964305339</v>
      </c>
      <c r="N39" s="130" t="n">
        <f aca="false">IF(ISBLANK(D39),"",IF(ISBLANK(G39),J39*(1+0.00001*(35-20)),J39*(1+0.00001*(G39-20))))</f>
        <v>117.0985466428</v>
      </c>
      <c r="O39" s="129" t="n">
        <f aca="false">IF(ISBLANK(E39),"",(0.999842594+(0.00006793952*E39)-(0.00000909529*E39^2)+(0.0000001001685*E39^3)-(0.000000001120083*E39^4)+(0.000000000006536332*E39^5)))</f>
        <v>0.998387694553484</v>
      </c>
      <c r="P39" s="131" t="n">
        <v>3.407</v>
      </c>
      <c r="Q39" s="132" t="n">
        <v>3.322</v>
      </c>
      <c r="R39" s="133" t="n">
        <v>152.2</v>
      </c>
      <c r="S39" s="133" t="n">
        <v>148.4</v>
      </c>
      <c r="T39" s="32" t="n">
        <v>0.15</v>
      </c>
      <c r="U39" s="32" t="n">
        <v>0.15</v>
      </c>
      <c r="V39" s="134" t="n">
        <v>12.4</v>
      </c>
      <c r="W39" s="134" t="n">
        <v>12.1</v>
      </c>
      <c r="X39" s="134" t="n">
        <v>12.2</v>
      </c>
      <c r="Y39" s="134" t="n">
        <v>12</v>
      </c>
      <c r="Z39" s="32" t="n">
        <v>0.87</v>
      </c>
      <c r="AA39" s="32" t="n">
        <v>0.85</v>
      </c>
      <c r="AB39" s="134" t="n">
        <v>4.2</v>
      </c>
      <c r="AC39" s="134" t="n">
        <v>4.1</v>
      </c>
      <c r="AD39" s="159" t="n">
        <v>0.0262</v>
      </c>
      <c r="AE39" s="159" t="n">
        <v>0.0165</v>
      </c>
      <c r="AF39" s="159" t="n">
        <v>0.0023</v>
      </c>
      <c r="AG39" s="159" t="n">
        <v>0.0387</v>
      </c>
      <c r="AH39" s="159" t="n">
        <v>0.0109</v>
      </c>
      <c r="AI39" s="159" t="n">
        <v>0.0021</v>
      </c>
      <c r="AJ39" s="159" t="n">
        <v>0.002</v>
      </c>
      <c r="AK39" s="159" t="n">
        <v>-99999</v>
      </c>
      <c r="AL39" s="159" t="n">
        <v>0.0375</v>
      </c>
      <c r="AM39" s="159" t="n">
        <v>0.0033</v>
      </c>
      <c r="AN39" s="159" t="n">
        <v>0.0008</v>
      </c>
      <c r="AO39" s="159" t="n">
        <v>-99999</v>
      </c>
      <c r="AP39" s="159" t="n">
        <v>0.0121</v>
      </c>
      <c r="AQ39" s="159"/>
      <c r="AR39" s="159" t="n">
        <v>0.0416</v>
      </c>
      <c r="AS39" s="159" t="n">
        <v>0.033</v>
      </c>
      <c r="AT39" s="159"/>
      <c r="AU39" s="159" t="n">
        <v>0.0175</v>
      </c>
      <c r="AV39" s="159" t="n">
        <v>-99999</v>
      </c>
      <c r="AW39" s="159"/>
      <c r="AX39" s="159" t="n">
        <v>0.0311</v>
      </c>
      <c r="AY39" s="159" t="n">
        <v>0.1176</v>
      </c>
      <c r="AZ39" s="159"/>
      <c r="BA39" s="159" t="n">
        <v>-99999</v>
      </c>
      <c r="BB39" s="136"/>
    </row>
    <row r="40" customFormat="false" ht="15" hidden="false" customHeight="false" outlineLevel="0" collapsed="false">
      <c r="A40" s="108" t="n">
        <f aca="false">IF(ISBLANK(VLOOKUP(D40,'Volumes flacons'!A5:C623,3)),0,1)</f>
        <v>1</v>
      </c>
      <c r="B40" s="109" t="n">
        <f aca="false">IF(ISBLANK(D40),0,IF(ISBLANK(E40),0,IF(ISBLANK(F40),0,1)))</f>
        <v>1</v>
      </c>
      <c r="C40" s="124" t="n">
        <v>6</v>
      </c>
      <c r="D40" s="125" t="n">
        <v>454</v>
      </c>
      <c r="E40" s="125" t="n">
        <v>21.1</v>
      </c>
      <c r="F40" s="126" t="n">
        <v>3.853</v>
      </c>
      <c r="G40" s="127" t="n">
        <v>36.107</v>
      </c>
      <c r="H40" s="125" t="n">
        <v>80</v>
      </c>
      <c r="I40" s="125" t="n">
        <v>79.4</v>
      </c>
      <c r="J40" s="128" t="n">
        <v>117.22</v>
      </c>
      <c r="K40" s="129" t="n">
        <f aca="false">IF(ISBLANK(E40),"",(0.000824493-(0.0000040899*E40)+(0.000000076438*E40^2)-(0.00000000082467*E40^3)+(0.0000000000053875*E40^4)))</f>
        <v>0.000765548045751069</v>
      </c>
      <c r="L40" s="129" t="n">
        <f aca="false">IF(ISBLANK(E40),"",(-0.00000572466+(0.00000010227*E40)-(0.0000000016546*E40^2)))</f>
        <v>-4.303407466E-006</v>
      </c>
      <c r="M40" s="129" t="n">
        <f aca="false">IF(ISBLANK(E40),"",IF(ISBLANK(G40),(O40+(K40*35)+(L40*35^1.5)+(0.00000048314*35^2)),(O40+(K40*G40)+(L40*G40^1.5)+(0.00000048314*G40^2))))</f>
        <v>1.02531093977602</v>
      </c>
      <c r="N40" s="130" t="n">
        <f aca="false">IF(ISBLANK(D40),"",IF(ISBLANK(G40),J40*(1+0.00001*(35-20)),J40*(1+0.00001*(G40-20))))</f>
        <v>117.2388806254</v>
      </c>
      <c r="O40" s="129" t="n">
        <f aca="false">IF(ISBLANK(E40),"",(0.999842594+(0.00006793952*E40)-(0.00000909529*E40^2)+(0.0000001001685*E40^3)-(0.000000001120083*E40^4)+(0.000000000006536332*E40^5)))</f>
        <v>0.997973102677931</v>
      </c>
      <c r="P40" s="131" t="n">
        <v>3.733</v>
      </c>
      <c r="Q40" s="132" t="n">
        <v>3.641</v>
      </c>
      <c r="R40" s="133" t="n">
        <v>166.7</v>
      </c>
      <c r="S40" s="133" t="n">
        <v>162.6</v>
      </c>
      <c r="T40" s="32" t="n">
        <v>0.46</v>
      </c>
      <c r="U40" s="32" t="n">
        <v>0.44</v>
      </c>
      <c r="V40" s="134" t="n">
        <v>8.3</v>
      </c>
      <c r="W40" s="134" t="n">
        <v>8.1</v>
      </c>
      <c r="X40" s="134" t="n">
        <v>7.8</v>
      </c>
      <c r="Y40" s="134" t="n">
        <v>7.6</v>
      </c>
      <c r="Z40" s="32" t="n">
        <v>0.62</v>
      </c>
      <c r="AA40" s="32" t="n">
        <v>0.6</v>
      </c>
      <c r="AB40" s="134" t="n">
        <v>2.9</v>
      </c>
      <c r="AC40" s="134" t="n">
        <v>2.8</v>
      </c>
      <c r="AD40" s="159" t="n">
        <v>0.0408</v>
      </c>
      <c r="AE40" s="159" t="n">
        <v>0.0261</v>
      </c>
      <c r="AF40" s="159" t="n">
        <v>0.0026</v>
      </c>
      <c r="AG40" s="159" t="n">
        <v>0.0566</v>
      </c>
      <c r="AH40" s="159" t="n">
        <v>0.0152</v>
      </c>
      <c r="AI40" s="159" t="n">
        <v>0.0042</v>
      </c>
      <c r="AJ40" s="159" t="n">
        <v>0.0039</v>
      </c>
      <c r="AK40" s="159" t="n">
        <v>-99999</v>
      </c>
      <c r="AL40" s="159" t="n">
        <v>0.0624</v>
      </c>
      <c r="AM40" s="159" t="n">
        <v>0.0056</v>
      </c>
      <c r="AN40" s="159" t="n">
        <v>0.0012</v>
      </c>
      <c r="AO40" s="159" t="n">
        <v>-99999</v>
      </c>
      <c r="AP40" s="159" t="n">
        <v>0.0212</v>
      </c>
      <c r="AQ40" s="159"/>
      <c r="AR40" s="159" t="n">
        <v>0.054</v>
      </c>
      <c r="AS40" s="159" t="n">
        <v>0.0474</v>
      </c>
      <c r="AT40" s="159"/>
      <c r="AU40" s="159" t="n">
        <v>0.0248</v>
      </c>
      <c r="AV40" s="159" t="n">
        <v>-99999</v>
      </c>
      <c r="AW40" s="159"/>
      <c r="AX40" s="159" t="n">
        <v>0.0497</v>
      </c>
      <c r="AY40" s="159" t="n">
        <v>0.1783</v>
      </c>
      <c r="AZ40" s="159"/>
      <c r="BA40" s="159" t="n">
        <v>-99999</v>
      </c>
      <c r="BB40" s="136"/>
    </row>
    <row r="41" customFormat="false" ht="15" hidden="false" customHeight="false" outlineLevel="0" collapsed="false">
      <c r="A41" s="108" t="n">
        <f aca="false">IF(ISBLANK(VLOOKUP(D41,'Volumes flacons'!A5:C623,3)),0,1)</f>
        <v>1</v>
      </c>
      <c r="B41" s="109" t="n">
        <f aca="false">IF(ISBLANK(D41),0,IF(ISBLANK(E41),0,IF(ISBLANK(F41),0,1)))</f>
        <v>1</v>
      </c>
      <c r="C41" s="124" t="n">
        <v>7</v>
      </c>
      <c r="D41" s="125" t="n">
        <v>457</v>
      </c>
      <c r="E41" s="125" t="n">
        <v>22.6</v>
      </c>
      <c r="F41" s="126" t="n">
        <v>4.059</v>
      </c>
      <c r="G41" s="127" t="n">
        <v>36.27</v>
      </c>
      <c r="H41" s="125" t="n">
        <v>60</v>
      </c>
      <c r="I41" s="125" t="n">
        <v>61.2</v>
      </c>
      <c r="J41" s="128" t="n">
        <v>116.75</v>
      </c>
      <c r="K41" s="129" t="n">
        <f aca="false">IF(ISBLANK(E41),"",(0.000824493-(0.0000040899*E41)+(0.000000076438*E41^2)-(0.00000000082467*E41^3)+(0.0000000000053875*E41^4)))</f>
        <v>0.0007629888901799</v>
      </c>
      <c r="L41" s="129" t="n">
        <f aca="false">IF(ISBLANK(E41),"",(-0.00000572466+(0.00000010227*E41)-(0.0000000016546*E41^2)))</f>
        <v>-4.258461496E-006</v>
      </c>
      <c r="M41" s="129" t="n">
        <f aca="false">IF(ISBLANK(E41),"",IF(ISBLANK(G41),(O41+(K41*35)+(L41*35^1.5)+(0.00000048314*35^2)),(O41+(K41*G41)+(L41*G41^1.5)+(0.00000048314*G41^2))))</f>
        <v>1.02501410261715</v>
      </c>
      <c r="N41" s="130" t="n">
        <f aca="false">IF(ISBLANK(D41),"",IF(ISBLANK(G41),J41*(1+0.00001*(35-20)),J41*(1+0.00001*(G41-20))))</f>
        <v>116.768995225</v>
      </c>
      <c r="O41" s="129" t="n">
        <f aca="false">IF(ISBLANK(E41),"",(0.999842594+(0.00006793952*E41)-(0.00000909529*E41^2)+(0.0000001001685*E41^3)-(0.000000001120083*E41^4)+(0.000000000006536332*E41^5)))</f>
        <v>0.99763511379082</v>
      </c>
      <c r="P41" s="131" t="n">
        <v>3.949</v>
      </c>
      <c r="Q41" s="132" t="n">
        <v>3.853</v>
      </c>
      <c r="R41" s="133" t="n">
        <v>176.4</v>
      </c>
      <c r="S41" s="133" t="n">
        <v>172.1</v>
      </c>
      <c r="T41" s="32" t="n">
        <v>0.52</v>
      </c>
      <c r="U41" s="32" t="n">
        <v>0.51</v>
      </c>
      <c r="V41" s="134" t="n">
        <v>5</v>
      </c>
      <c r="W41" s="134" t="n">
        <v>4.9</v>
      </c>
      <c r="X41" s="134" t="n">
        <v>4.4</v>
      </c>
      <c r="Y41" s="134" t="n">
        <v>4.3</v>
      </c>
      <c r="Z41" s="32" t="n">
        <v>0.46</v>
      </c>
      <c r="AA41" s="32" t="n">
        <v>0.45</v>
      </c>
      <c r="AB41" s="134" t="n">
        <v>2.1</v>
      </c>
      <c r="AC41" s="134" t="n">
        <v>2</v>
      </c>
      <c r="AD41" s="159" t="n">
        <v>0.0773</v>
      </c>
      <c r="AE41" s="159" t="n">
        <v>0.0547</v>
      </c>
      <c r="AF41" s="159" t="n">
        <v>0.0066</v>
      </c>
      <c r="AG41" s="159" t="n">
        <v>0.1076</v>
      </c>
      <c r="AH41" s="159" t="n">
        <v>0.0301</v>
      </c>
      <c r="AI41" s="159" t="n">
        <v>0.0119</v>
      </c>
      <c r="AJ41" s="159" t="n">
        <v>0.0068</v>
      </c>
      <c r="AK41" s="159" t="n">
        <v>0.0011</v>
      </c>
      <c r="AL41" s="159" t="n">
        <v>0.1189</v>
      </c>
      <c r="AM41" s="159" t="n">
        <v>0.0119</v>
      </c>
      <c r="AN41" s="159" t="n">
        <v>0.0035</v>
      </c>
      <c r="AO41" s="159" t="n">
        <v>-99999</v>
      </c>
      <c r="AP41" s="159" t="n">
        <v>0.0521</v>
      </c>
      <c r="AQ41" s="159"/>
      <c r="AR41" s="159" t="n">
        <v>0.0895</v>
      </c>
      <c r="AS41" s="159" t="n">
        <v>0.1039</v>
      </c>
      <c r="AT41" s="159"/>
      <c r="AU41" s="159" t="n">
        <v>0.0459</v>
      </c>
      <c r="AV41" s="159" t="n">
        <v>-99999</v>
      </c>
      <c r="AW41" s="159"/>
      <c r="AX41" s="159" t="n">
        <v>0.1049</v>
      </c>
      <c r="AY41" s="159" t="n">
        <v>0.3759</v>
      </c>
      <c r="AZ41" s="159"/>
      <c r="BA41" s="159" t="n">
        <v>-99999</v>
      </c>
      <c r="BB41" s="136"/>
    </row>
    <row r="42" customFormat="false" ht="15" hidden="false" customHeight="false" outlineLevel="0" collapsed="false">
      <c r="A42" s="108" t="n">
        <f aca="false">IF(ISBLANK(VLOOKUP(D42,'Volumes flacons'!A5:C623,3)),0,1)</f>
        <v>1</v>
      </c>
      <c r="B42" s="109" t="n">
        <f aca="false">IF(ISBLANK(D42),0,IF(ISBLANK(E42),0,IF(ISBLANK(F42),0,1)))</f>
        <v>1</v>
      </c>
      <c r="C42" s="124" t="n">
        <v>8</v>
      </c>
      <c r="D42" s="125" t="n">
        <v>458</v>
      </c>
      <c r="E42" s="125" t="n">
        <v>26.7</v>
      </c>
      <c r="F42" s="126" t="n">
        <v>4.854</v>
      </c>
      <c r="G42" s="127" t="n">
        <v>35.927</v>
      </c>
      <c r="H42" s="125" t="n">
        <v>40</v>
      </c>
      <c r="I42" s="125" t="n">
        <v>41.7</v>
      </c>
      <c r="J42" s="128" t="n">
        <v>115.79</v>
      </c>
      <c r="K42" s="129" t="n">
        <f aca="false">IF(ISBLANK(E42),"",(0.000824493-(0.0000040899*E42)+(0.000000076438*E42^2)-(0.00000000082467*E42^3)+(0.0000000000053875*E42^4)))</f>
        <v>0.000756825645588229</v>
      </c>
      <c r="L42" s="129" t="n">
        <f aca="false">IF(ISBLANK(E42),"",(-0.00000572466+(0.00000010227*E42)-(0.0000000016546*E42^2)))</f>
        <v>-4.173598794E-006</v>
      </c>
      <c r="M42" s="129" t="n">
        <f aca="false">IF(ISBLANK(E42),"",IF(ISBLANK(G42),(O42+(K42*35)+(L42*35^1.5)+(0.00000048314*35^2)),(O42+(K42*G42)+(L42*G42^1.5)+(0.00000048314*G42^2))))</f>
        <v>1.02351404580214</v>
      </c>
      <c r="N42" s="130" t="n">
        <f aca="false">IF(ISBLANK(D42),"",IF(ISBLANK(G42),J42*(1+0.00001*(35-20)),J42*(1+0.00001*(G42-20))))</f>
        <v>115.8084418733</v>
      </c>
      <c r="O42" s="129" t="n">
        <f aca="false">IF(ISBLANK(E42),"",(0.999842594+(0.00006793952*E42)-(0.00000909529*E42^2)+(0.0000001001685*E42^3)-(0.000000001120083*E42^4)+(0.000000000006536332*E42^5)))</f>
        <v>0.996598714877918</v>
      </c>
      <c r="P42" s="131" t="n">
        <v>4.765</v>
      </c>
      <c r="Q42" s="132" t="n">
        <v>4.656</v>
      </c>
      <c r="R42" s="133" t="n">
        <v>212.8</v>
      </c>
      <c r="S42" s="133" t="n">
        <v>207.9</v>
      </c>
      <c r="T42" s="32" t="n">
        <v>0</v>
      </c>
      <c r="U42" s="32" t="n">
        <v>0</v>
      </c>
      <c r="V42" s="134" t="n">
        <v>0</v>
      </c>
      <c r="W42" s="134" t="n">
        <v>0</v>
      </c>
      <c r="X42" s="134" t="n">
        <v>0</v>
      </c>
      <c r="Y42" s="134" t="n">
        <v>0</v>
      </c>
      <c r="Z42" s="32" t="n">
        <v>0.07</v>
      </c>
      <c r="AA42" s="32" t="n">
        <v>0.07</v>
      </c>
      <c r="AB42" s="134" t="n">
        <v>0.8</v>
      </c>
      <c r="AC42" s="134" t="n">
        <v>0.8</v>
      </c>
      <c r="AD42" s="159" t="n">
        <v>0.0464</v>
      </c>
      <c r="AE42" s="159" t="n">
        <v>0.0456</v>
      </c>
      <c r="AF42" s="159" t="n">
        <v>0.0141</v>
      </c>
      <c r="AG42" s="159" t="n">
        <v>0.0441</v>
      </c>
      <c r="AH42" s="159" t="n">
        <v>0.0188</v>
      </c>
      <c r="AI42" s="159" t="n">
        <v>0.0044</v>
      </c>
      <c r="AJ42" s="159" t="n">
        <v>0.0024</v>
      </c>
      <c r="AK42" s="159" t="n">
        <v>0.0011</v>
      </c>
      <c r="AL42" s="159" t="n">
        <v>0.1201</v>
      </c>
      <c r="AM42" s="159" t="n">
        <v>0.0176</v>
      </c>
      <c r="AN42" s="159" t="n">
        <v>0.0053</v>
      </c>
      <c r="AO42" s="159" t="n">
        <v>0.0014</v>
      </c>
      <c r="AP42" s="159" t="n">
        <v>0.1266</v>
      </c>
      <c r="AQ42" s="159"/>
      <c r="AR42" s="159" t="n">
        <v>0.0311</v>
      </c>
      <c r="AS42" s="159" t="n">
        <v>0.0462</v>
      </c>
      <c r="AT42" s="159"/>
      <c r="AU42" s="159" t="n">
        <v>0.0553</v>
      </c>
      <c r="AV42" s="159" t="n">
        <v>-99999</v>
      </c>
      <c r="AW42" s="159"/>
      <c r="AX42" s="159" t="n">
        <v>0.1817</v>
      </c>
      <c r="AY42" s="159" t="n">
        <v>0.3647</v>
      </c>
      <c r="AZ42" s="159"/>
      <c r="BA42" s="159" t="n">
        <v>-99999</v>
      </c>
      <c r="BB42" s="136"/>
    </row>
    <row r="43" customFormat="false" ht="15" hidden="false" customHeight="false" outlineLevel="0" collapsed="false">
      <c r="A43" s="108" t="n">
        <f aca="false">IF(ISBLANK(VLOOKUP(D43,'Volumes flacons'!A5:C623,3)),0,1)</f>
        <v>1</v>
      </c>
      <c r="B43" s="109" t="n">
        <f aca="false">IF(ISBLANK(D43),0,IF(ISBLANK(E43),0,IF(ISBLANK(F43),0,1)))</f>
        <v>1</v>
      </c>
      <c r="C43" s="124" t="n">
        <v>9</v>
      </c>
      <c r="D43" s="125" t="n">
        <v>459</v>
      </c>
      <c r="E43" s="125" t="n">
        <v>28.8</v>
      </c>
      <c r="F43" s="126" t="n">
        <v>4.77</v>
      </c>
      <c r="G43" s="127" t="n">
        <v>34.092</v>
      </c>
      <c r="H43" s="125" t="n">
        <v>20</v>
      </c>
      <c r="I43" s="125" t="n">
        <v>21.2</v>
      </c>
      <c r="J43" s="128" t="n">
        <v>117.39</v>
      </c>
      <c r="K43" s="129" t="n">
        <f aca="false">IF(ISBLANK(E43),"",(0.000824493-(0.0000040899*E43)+(0.000000076438*E43^2)-(0.00000000082467*E43^3)+(0.0000000000053875*E43^4)))</f>
        <v>0.00075411144553728</v>
      </c>
      <c r="L43" s="129" t="n">
        <f aca="false">IF(ISBLANK(E43),"",(-0.00000572466+(0.00000010227*E43)-(0.0000000016546*E43^2)))</f>
        <v>-4.151675424E-006</v>
      </c>
      <c r="M43" s="129" t="n">
        <f aca="false">IF(ISBLANK(E43),"",IF(ISBLANK(G43),(O43+(K43*35)+(L43*35^1.5)+(0.00000048314*35^2)),(O43+(K43*G43)+(L43*G43^1.5)+(0.00000048314*G43^2))))</f>
        <v>1.02145127221981</v>
      </c>
      <c r="N43" s="130" t="n">
        <f aca="false">IF(ISBLANK(D43),"",IF(ISBLANK(G43),J43*(1+0.00001*(35-20)),J43*(1+0.00001*(G43-20))))</f>
        <v>117.4065425988</v>
      </c>
      <c r="O43" s="129" t="n">
        <f aca="false">IF(ISBLANK(E43),"",(0.999842594+(0.00006793952*E43)-(0.00000909529*E43^2)+(0.0000001001685*E43^3)-(0.000000001120083*E43^4)+(0.000000000006536332*E43^5)))</f>
        <v>0.996006990827753</v>
      </c>
      <c r="P43" s="131" t="n">
        <v>4.618</v>
      </c>
      <c r="Q43" s="132" t="n">
        <v>4.521</v>
      </c>
      <c r="R43" s="133" t="n">
        <v>206.2</v>
      </c>
      <c r="S43" s="133" t="n">
        <v>201.9</v>
      </c>
      <c r="T43" s="32" t="n">
        <v>0</v>
      </c>
      <c r="U43" s="32" t="n">
        <v>0</v>
      </c>
      <c r="V43" s="134" t="n">
        <v>0</v>
      </c>
      <c r="W43" s="134" t="n">
        <v>0</v>
      </c>
      <c r="X43" s="134" t="n">
        <v>0</v>
      </c>
      <c r="Y43" s="134" t="n">
        <v>0</v>
      </c>
      <c r="Z43" s="32" t="n">
        <v>0.01</v>
      </c>
      <c r="AA43" s="32" t="n">
        <v>0.01</v>
      </c>
      <c r="AB43" s="134" t="n">
        <v>0.9</v>
      </c>
      <c r="AC43" s="134" t="n">
        <v>0.9</v>
      </c>
      <c r="AD43" s="159" t="n">
        <v>0.01</v>
      </c>
      <c r="AE43" s="159" t="n">
        <v>0.0132</v>
      </c>
      <c r="AF43" s="159" t="n">
        <v>0.0047</v>
      </c>
      <c r="AG43" s="159" t="n">
        <v>0.0076</v>
      </c>
      <c r="AH43" s="159" t="n">
        <v>0.0137</v>
      </c>
      <c r="AI43" s="159" t="n">
        <v>0.0017</v>
      </c>
      <c r="AJ43" s="159" t="n">
        <v>-99999</v>
      </c>
      <c r="AK43" s="159" t="n">
        <v>0.0017</v>
      </c>
      <c r="AL43" s="159" t="n">
        <v>0.0283</v>
      </c>
      <c r="AM43" s="159" t="n">
        <v>0.01</v>
      </c>
      <c r="AN43" s="159" t="n">
        <v>-99999</v>
      </c>
      <c r="AO43" s="159" t="n">
        <v>0.0009</v>
      </c>
      <c r="AP43" s="159" t="n">
        <v>0.164</v>
      </c>
      <c r="AQ43" s="159"/>
      <c r="AR43" s="159" t="n">
        <v>0.0102</v>
      </c>
      <c r="AS43" s="159" t="n">
        <v>0.0147</v>
      </c>
      <c r="AT43" s="159"/>
      <c r="AU43" s="159" t="n">
        <v>0.0358</v>
      </c>
      <c r="AV43" s="159" t="n">
        <v>-99999</v>
      </c>
      <c r="AW43" s="159"/>
      <c r="AX43" s="159" t="n">
        <v>0.1241</v>
      </c>
      <c r="AY43" s="159" t="n">
        <v>0.1501</v>
      </c>
      <c r="AZ43" s="159"/>
      <c r="BA43" s="159" t="n">
        <v>0.0017</v>
      </c>
      <c r="BB43" s="136"/>
    </row>
    <row r="44" customFormat="false" ht="15" hidden="false" customHeight="false" outlineLevel="0" collapsed="false">
      <c r="A44" s="108" t="n">
        <f aca="false">IF(ISBLANK(VLOOKUP(D44,'Volumes flacons'!A5:C623,3)),0,1)</f>
        <v>1</v>
      </c>
      <c r="B44" s="109" t="n">
        <f aca="false">IF(ISBLANK(D44),0,IF(ISBLANK(E44),0,IF(ISBLANK(F44),0,1)))</f>
        <v>1</v>
      </c>
      <c r="C44" s="124" t="n">
        <v>10</v>
      </c>
      <c r="D44" s="125" t="n">
        <v>460</v>
      </c>
      <c r="E44" s="125" t="n">
        <v>28.9</v>
      </c>
      <c r="F44" s="126" t="n">
        <v>4.754</v>
      </c>
      <c r="G44" s="127" t="n">
        <v>34.079</v>
      </c>
      <c r="H44" s="125" t="n">
        <v>10</v>
      </c>
      <c r="I44" s="125" t="n">
        <v>11.3</v>
      </c>
      <c r="J44" s="128" t="n">
        <v>117.23</v>
      </c>
      <c r="K44" s="129" t="n">
        <f aca="false">IF(ISBLANK(E44),"",(0.000824493-(0.0000040899*E44)+(0.000000076438*E44^2)-(0.00000000082467*E44^3)+(0.0000000000053875*E44^4)))</f>
        <v>0.000753989332274109</v>
      </c>
      <c r="L44" s="129" t="n">
        <f aca="false">IF(ISBLANK(E44),"",(-0.00000572466+(0.00000010227*E44)-(0.0000000016546*E44^2)))</f>
        <v>-4.150995466E-006</v>
      </c>
      <c r="M44" s="129" t="n">
        <f aca="false">IF(ISBLANK(E44),"",IF(ISBLANK(G44),(O44+(K44*35)+(L44*35^1.5)+(0.00000048314*35^2)),(O44+(K44*G44)+(L44*G44^1.5)+(0.00000048314*G44^2))))</f>
        <v>1.02140831857216</v>
      </c>
      <c r="N44" s="130" t="n">
        <f aca="false">IF(ISBLANK(D44),"",IF(ISBLANK(G44),J44*(1+0.00001*(35-20)),J44*(1+0.00001*(G44-20))))</f>
        <v>117.2465048117</v>
      </c>
      <c r="O44" s="129" t="n">
        <f aca="false">IF(ISBLANK(E44),"",(0.999842594+(0.00006793952*E44)-(0.00000909529*E44^2)+(0.0000001001685*E44^3)-(0.000000001120083*E44^4)+(0.000000000006536332*E44^5)))</f>
        <v>0.995977822369731</v>
      </c>
      <c r="P44" s="131" t="n">
        <v>4.609</v>
      </c>
      <c r="Q44" s="132" t="n">
        <v>4.512</v>
      </c>
      <c r="R44" s="133" t="n">
        <v>205.8</v>
      </c>
      <c r="S44" s="133" t="n">
        <v>201.5</v>
      </c>
      <c r="T44" s="32" t="n">
        <v>0</v>
      </c>
      <c r="U44" s="32" t="n">
        <v>0</v>
      </c>
      <c r="V44" s="134" t="n">
        <v>0</v>
      </c>
      <c r="W44" s="134" t="n">
        <v>0</v>
      </c>
      <c r="X44" s="134" t="n">
        <v>0</v>
      </c>
      <c r="Y44" s="134" t="n">
        <v>0</v>
      </c>
      <c r="Z44" s="32" t="n">
        <v>0.02</v>
      </c>
      <c r="AA44" s="32" t="n">
        <v>0.02</v>
      </c>
      <c r="AB44" s="134" t="n">
        <v>0.9</v>
      </c>
      <c r="AC44" s="134" t="n">
        <v>0.9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" hidden="false" customHeight="false" outlineLevel="0" collapsed="false">
      <c r="A45" s="108" t="n">
        <f aca="false">IF(ISBLANK(VLOOKUP(D45,'Volumes flacons'!A5:C623,3)),0,1)</f>
        <v>1</v>
      </c>
      <c r="B45" s="109" t="n">
        <f aca="false">IF(ISBLANK(D45),0,IF(ISBLANK(E45),0,IF(ISBLANK(F45),0,1)))</f>
        <v>1</v>
      </c>
      <c r="C45" s="124" t="n">
        <v>11</v>
      </c>
      <c r="D45" s="125" t="n">
        <v>462</v>
      </c>
      <c r="E45" s="125" t="n">
        <v>29.1</v>
      </c>
      <c r="F45" s="126" t="n">
        <v>4.765</v>
      </c>
      <c r="G45" s="127" t="n">
        <v>34.085</v>
      </c>
      <c r="H45" s="125" t="n">
        <v>0</v>
      </c>
      <c r="I45" s="125" t="n">
        <v>2.6</v>
      </c>
      <c r="J45" s="128" t="n">
        <v>117.66</v>
      </c>
      <c r="K45" s="129" t="n">
        <f aca="false">IF(ISBLANK(E45),"",(0.000824493-(0.0000040899*E45)+(0.000000076438*E45^2)-(0.00000000082467*E45^3)+(0.0000000000053875*E45^4)))</f>
        <v>0.000753747020782669</v>
      </c>
      <c r="L45" s="129" t="n">
        <f aca="false">IF(ISBLANK(E45),"",(-0.00000572466+(0.00000010227*E45)-(0.0000000016546*E45^2)))</f>
        <v>-4.149734826E-006</v>
      </c>
      <c r="M45" s="129" t="n">
        <f aca="false">IF(ISBLANK(E45),"",IF(ISBLANK(G45),(O45+(K45*35)+(L45*35^1.5)+(0.00000048314*35^2)),(O45+(K45*G45)+(L45*G45^1.5)+(0.00000048314*G45^2))))</f>
        <v>1.02134621015486</v>
      </c>
      <c r="N45" s="130" t="n">
        <f aca="false">IF(ISBLANK(D45),"",IF(ISBLANK(G45),J45*(1+0.00001*(35-20)),J45*(1+0.00001*(G45-20))))</f>
        <v>117.676572411</v>
      </c>
      <c r="O45" s="129" t="n">
        <f aca="false">IF(ISBLANK(E45),"",(0.999842594+(0.00006793952*E45)-(0.00000909529*E45^2)+(0.0000001001685*E45^3)-(0.000000001120083*E45^4)+(0.000000000006536332*E45^5)))</f>
        <v>0.995919218845254</v>
      </c>
      <c r="P45" s="131" t="n">
        <v>4.602</v>
      </c>
      <c r="Q45" s="132" t="n">
        <v>4.506</v>
      </c>
      <c r="R45" s="133" t="n">
        <v>205.5</v>
      </c>
      <c r="S45" s="133" t="n">
        <v>201.2</v>
      </c>
      <c r="T45" s="32" t="n">
        <v>0</v>
      </c>
      <c r="U45" s="32" t="n">
        <v>0</v>
      </c>
      <c r="V45" s="134" t="n">
        <v>0</v>
      </c>
      <c r="W45" s="134" t="n">
        <v>0</v>
      </c>
      <c r="X45" s="134" t="n">
        <v>0</v>
      </c>
      <c r="Y45" s="134" t="n">
        <v>0</v>
      </c>
      <c r="Z45" s="32" t="n">
        <v>0.02</v>
      </c>
      <c r="AA45" s="32" t="n">
        <v>0.02</v>
      </c>
      <c r="AB45" s="134" t="n">
        <v>0.9</v>
      </c>
      <c r="AC45" s="134" t="n">
        <v>0.8</v>
      </c>
      <c r="AD45" s="159" t="n">
        <v>0.0082</v>
      </c>
      <c r="AE45" s="159" t="n">
        <v>0.0103</v>
      </c>
      <c r="AF45" s="159" t="n">
        <v>0.0041</v>
      </c>
      <c r="AG45" s="159" t="n">
        <v>0.0059</v>
      </c>
      <c r="AH45" s="159" t="n">
        <v>0.012</v>
      </c>
      <c r="AI45" s="159" t="n">
        <v>0.0015</v>
      </c>
      <c r="AJ45" s="159" t="n">
        <v>-99999</v>
      </c>
      <c r="AK45" s="159" t="n">
        <v>0.0018</v>
      </c>
      <c r="AL45" s="159" t="n">
        <v>0.0228</v>
      </c>
      <c r="AM45" s="159" t="n">
        <v>0.0128</v>
      </c>
      <c r="AN45" s="159" t="n">
        <v>-99999</v>
      </c>
      <c r="AO45" s="159" t="n">
        <v>0.0017</v>
      </c>
      <c r="AP45" s="159" t="n">
        <v>0.1538</v>
      </c>
      <c r="AQ45" s="159"/>
      <c r="AR45" s="159" t="n">
        <v>0.0065</v>
      </c>
      <c r="AS45" s="159" t="n">
        <v>0.0131</v>
      </c>
      <c r="AT45" s="159"/>
      <c r="AU45" s="159" t="n">
        <v>0.0302</v>
      </c>
      <c r="AV45" s="159" t="n">
        <v>-99999</v>
      </c>
      <c r="AW45" s="159"/>
      <c r="AX45" s="159" t="n">
        <v>0.112</v>
      </c>
      <c r="AY45" s="159" t="n">
        <v>0.1416</v>
      </c>
      <c r="AZ45" s="159"/>
      <c r="BA45" s="159" t="n">
        <v>0.0017</v>
      </c>
      <c r="BB45" s="136"/>
    </row>
    <row r="46" customFormat="false" ht="15" hidden="false" customHeight="false" outlineLevel="0" collapsed="false">
      <c r="A46" s="108" t="n">
        <f aca="false">IF(ISBLANK(VLOOKUP(D46,'Volumes flacons'!A5:C623,3)),0,1)</f>
        <v>1</v>
      </c>
      <c r="B46" s="109" t="n">
        <f aca="false">IF(ISBLANK(D46),0,IF(ISBLANK(E46),0,IF(ISBLANK(F46),0,1)))</f>
        <v>0</v>
      </c>
      <c r="C46" s="124" t="n">
        <v>12</v>
      </c>
      <c r="D46" s="125"/>
      <c r="E46" s="125"/>
      <c r="F46" s="126"/>
      <c r="G46" s="127"/>
      <c r="H46" s="125"/>
      <c r="I46" s="125"/>
      <c r="J46" s="128" t="str">
        <f aca="false">IF(ISBLANK(D46),"",IF(VLOOKUP(D46,'Volumes flacons'!$A$5:$C$623,2)=0,"",IF(D46&gt;'Volumes flacons'!$A$623,"Mauvais numéro",IF(D46&lt;'Volumes flacons'!$A$5,"Mauvais numéro",(VLOOKUP(D46,'Volumes flacons'!$A$5:$C$623,3))))))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Flac.",P46*M46)))))))))</f>
        <v/>
      </c>
      <c r="R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08" t="n">
        <f aca="false">IF(ISBLANK(VLOOKUP(D47,'Volumes flacons'!A5:C623,3)),0,1)</f>
        <v>1</v>
      </c>
      <c r="B47" s="109" t="n">
        <f aca="false">IF(ISBLANK(D47),0,IF(ISBLANK(E47),0,IF(ISBLANK(F47),0,1)))</f>
        <v>0</v>
      </c>
      <c r="C47" s="124" t="n">
        <v>13</v>
      </c>
      <c r="D47" s="125"/>
      <c r="E47" s="125"/>
      <c r="F47" s="126"/>
      <c r="G47" s="127"/>
      <c r="H47" s="125"/>
      <c r="I47" s="125"/>
      <c r="J47" s="128" t="str">
        <f aca="false">IF(ISBLANK(D47),"",IF(VLOOKUP(D47,'Volumes flacons'!$A$5:$C$623,2)=0,"",IF(D47&gt;'Volumes flacons'!$A$623,"Mauvais numéro",IF(D47&lt;'Volumes flacons'!$A$5,"Mauvais numéro",(VLOOKUP(D47,'Volumes flacons'!$A$5:$C$623,3))))))</f>
        <v/>
      </c>
      <c r="K47" s="129" t="str">
        <f aca="false">IF(ISBLANK(E47),"",(0.000824493-(0.0000040899*E47)+(0.000000076438*E47^2)-(0.00000000082467*E47^3)+(0.0000000000053875*E47^4)))</f>
        <v/>
      </c>
      <c r="L47" s="129" t="str">
        <f aca="false">IF(ISBLANK(E47),"",(-0.00000572466+(0.00000010227*E47)-(0.0000000016546*E47^2)))</f>
        <v/>
      </c>
      <c r="M47" s="129" t="str">
        <f aca="false">IF(ISBLANK(E47),"",IF(ISBLANK(G47),(O47+(K47*35)+(L47*35^1.5)+(0.00000048314*35^2)),(O47+(K47*G47)+(L47*G47^1.5)+(0.00000048314*G47^2))))</f>
        <v/>
      </c>
      <c r="N47" s="130" t="str">
        <f aca="false">IF(ISBLANK(D47),"",IF(ISBLANK(G47),J47*(1+0.00001*(35-20)),J47*(1+0.00001*(G47-20))))</f>
        <v/>
      </c>
      <c r="O47" s="129" t="str">
        <f aca="false">IF(ISBLANK(E47),"",(0.999842594+(0.00006793952*E47)-(0.00000909529*E47^2)+(0.0000001001685*E47^3)-(0.000000001120083*E47^4)+(0.000000000006536332*E47^5)))</f>
        <v/>
      </c>
      <c r="P47" s="13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Flac.",P47*M47)))))))))</f>
        <v/>
      </c>
      <c r="R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08" t="n">
        <f aca="false">IF(ISBLANK(VLOOKUP(D48,'Volumes flacons'!A5:C623,3)),0,1)</f>
        <v>1</v>
      </c>
      <c r="B48" s="109" t="n">
        <f aca="false">IF(ISBLANK(D48),0,IF(ISBLANK(E48),0,IF(ISBLANK(F48),0,1)))</f>
        <v>0</v>
      </c>
      <c r="C48" s="124" t="n">
        <v>14</v>
      </c>
      <c r="D48" s="125"/>
      <c r="E48" s="125"/>
      <c r="F48" s="126"/>
      <c r="G48" s="127"/>
      <c r="H48" s="125"/>
      <c r="I48" s="125"/>
      <c r="J48" s="128" t="str">
        <f aca="false">IF(ISBLANK(D48),"",IF(VLOOKUP(D48,'Volumes flacons'!$A$5:$C$623,2)=0,"",IF(D48&gt;'Volumes flacons'!$A$623,"Mauvais numéro",IF(D48&lt;'Volumes flacons'!$A$5,"Mauvais numéro",(VLOOKUP(D48,'Volumes flacons'!$A$5:$C$623,3))))))</f>
        <v/>
      </c>
      <c r="K48" s="129" t="str">
        <f aca="false">IF(ISBLANK(E48),"",(0.000824493-(0.0000040899*E48)+(0.000000076438*E48^2)-(0.00000000082467*E48^3)+(0.0000000000053875*E48^4)))</f>
        <v/>
      </c>
      <c r="L48" s="129" t="str">
        <f aca="false">IF(ISBLANK(E48),"",(-0.00000572466+(0.00000010227*E48)-(0.0000000016546*E48^2)))</f>
        <v/>
      </c>
      <c r="M48" s="129" t="str">
        <f aca="false">IF(ISBLANK(E48),"",IF(ISBLANK(G48),(O48+(K48*35)+(L48*35^1.5)+(0.00000048314*35^2)),(O48+(K48*G48)+(L48*G48^1.5)+(0.00000048314*G48^2))))</f>
        <v/>
      </c>
      <c r="N48" s="130" t="str">
        <f aca="false">IF(ISBLANK(D48),"",IF(ISBLANK(G48),J48*(1+0.00001*(35-20)),J48*(1+0.00001*(G48-20))))</f>
        <v/>
      </c>
      <c r="O48" s="129" t="str">
        <f aca="false">IF(ISBLANK(E48),"",(0.999842594+(0.00006793952*E48)-(0.00000909529*E48^2)+(0.0000001001685*E48^3)-(0.000000001120083*E48^4)+(0.000000000006536332*E48^5)))</f>
        <v/>
      </c>
      <c r="P48" s="13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Flac.",P48*M48)))))))))</f>
        <v/>
      </c>
      <c r="R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08" t="n">
        <f aca="false">IF(ISBLANK(VLOOKUP(D49,'Volumes flacons'!A5:C623,3)),0,1)</f>
        <v>1</v>
      </c>
      <c r="B49" s="109" t="n">
        <f aca="false">IF(ISBLANK(D49),0,IF(ISBLANK(E49),0,IF(ISBLANK(F49),0,1)))</f>
        <v>0</v>
      </c>
      <c r="C49" s="124" t="n">
        <v>15</v>
      </c>
      <c r="D49" s="125"/>
      <c r="E49" s="125"/>
      <c r="F49" s="126"/>
      <c r="G49" s="127"/>
      <c r="H49" s="125"/>
      <c r="I49" s="125"/>
      <c r="J49" s="128" t="str">
        <f aca="false">IF(ISBLANK(D49),"",IF(VLOOKUP(D49,'Volumes flacons'!$A$5:$C$623,2)=0,"",IF(D49&gt;'Volumes flacons'!$A$623,"Mauvais numéro",IF(D49&lt;'Volumes flacons'!$A$5,"Mauvais numéro",(VLOOKUP(D49,'Volumes flacons'!$A$5:$C$623,3))))))</f>
        <v/>
      </c>
      <c r="K49" s="129" t="str">
        <f aca="false">IF(ISBLANK(E49),"",(0.000824493-(0.0000040899*E49)+(0.000000076438*E49^2)-(0.00000000082467*E49^3)+(0.0000000000053875*E49^4)))</f>
        <v/>
      </c>
      <c r="L49" s="129" t="str">
        <f aca="false">IF(ISBLANK(E49),"",(-0.00000572466+(0.00000010227*E49)-(0.0000000016546*E49^2)))</f>
        <v/>
      </c>
      <c r="M49" s="129" t="str">
        <f aca="false">IF(ISBLANK(E49),"",IF(ISBLANK(G49),(O49+(K49*35)+(L49*35^1.5)+(0.00000048314*35^2)),(O49+(K49*G49)+(L49*G49^1.5)+(0.00000048314*G49^2))))</f>
        <v/>
      </c>
      <c r="N49" s="130" t="str">
        <f aca="false">IF(ISBLANK(D49),"",IF(ISBLANK(G49),J49*(1+0.00001*(35-20)),J49*(1+0.00001*(G49-20))))</f>
        <v/>
      </c>
      <c r="O49" s="129" t="str">
        <f aca="false">IF(ISBLANK(E49),"",(0.999842594+(0.00006793952*E49)-(0.00000909529*E49^2)+(0.0000001001685*E49^3)-(0.000000001120083*E49^4)+(0.000000000006536332*E49^5)))</f>
        <v/>
      </c>
      <c r="P49" s="13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Flac.",P49*M49)))))))))</f>
        <v/>
      </c>
      <c r="R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08" t="n">
        <f aca="false">IF(ISBLANK(VLOOKUP(D50,'Volumes flacons'!A5:C623,3)),0,1)</f>
        <v>1</v>
      </c>
      <c r="B50" s="109" t="n">
        <f aca="false">IF(ISBLANK(D50),0,IF(ISBLANK(E50),0,IF(ISBLANK(F50),0,1)))</f>
        <v>0</v>
      </c>
      <c r="C50" s="124" t="n">
        <v>16</v>
      </c>
      <c r="D50" s="125"/>
      <c r="E50" s="125"/>
      <c r="F50" s="126"/>
      <c r="G50" s="127"/>
      <c r="H50" s="125"/>
      <c r="I50" s="125"/>
      <c r="J50" s="128" t="str">
        <f aca="false">IF(ISBLANK(D50),"",IF(VLOOKUP(D50,'Volumes flacons'!$A$5:$C$623,2)=0,"",IF(D50&gt;'Volumes flacons'!$A$623,"Mauvais numéro",IF(D50&lt;'Volumes flacons'!$A$5,"Mauvais numéro",(VLOOKUP(D50,'Volumes flacons'!$A$5:$C$623,3))))))</f>
        <v/>
      </c>
      <c r="K50" s="129" t="str">
        <f aca="false">IF(ISBLANK(E50),"",(0.000824493-(0.0000040899*E50)+(0.000000076438*E50^2)-(0.00000000082467*E50^3)+(0.0000000000053875*E50^4)))</f>
        <v/>
      </c>
      <c r="L50" s="129" t="str">
        <f aca="false">IF(ISBLANK(E50),"",(-0.00000572466+(0.00000010227*E50)-(0.0000000016546*E50^2)))</f>
        <v/>
      </c>
      <c r="M50" s="129" t="str">
        <f aca="false">IF(ISBLANK(E50),"",IF(ISBLANK(G50),(O50+(K50*35)+(L50*35^1.5)+(0.00000048314*35^2)),(O50+(K50*G50)+(L50*G50^1.5)+(0.00000048314*G50^2))))</f>
        <v/>
      </c>
      <c r="N50" s="130" t="str">
        <f aca="false">IF(ISBLANK(D50),"",IF(ISBLANK(G50),J50*(1+0.00001*(35-20)),J50*(1+0.00001*(G50-20))))</f>
        <v/>
      </c>
      <c r="O50" s="129" t="str">
        <f aca="false">IF(ISBLANK(E50),"",(0.999842594+(0.00006793952*E50)-(0.00000909529*E50^2)+(0.0000001001685*E50^3)-(0.000000001120083*E50^4)+(0.000000000006536332*E50^5)))</f>
        <v/>
      </c>
      <c r="P50" s="13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Flac.",P50*M50)))))))))</f>
        <v/>
      </c>
      <c r="R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08" t="n">
        <f aca="false">IF(ISBLANK(VLOOKUP(D51,'Volumes flacons'!A5:C623,3)),0,1)</f>
        <v>1</v>
      </c>
      <c r="B51" s="109" t="n">
        <f aca="false">IF(ISBLANK(D51),0,IF(ISBLANK(E51),0,IF(ISBLANK(F51),0,1)))</f>
        <v>0</v>
      </c>
      <c r="C51" s="124" t="n">
        <v>17</v>
      </c>
      <c r="D51" s="125"/>
      <c r="E51" s="125"/>
      <c r="F51" s="126"/>
      <c r="G51" s="127"/>
      <c r="H51" s="125"/>
      <c r="I51" s="125"/>
      <c r="J51" s="128" t="str">
        <f aca="false">IF(ISBLANK(D51),"",IF(VLOOKUP(D51,'Volumes flacons'!$A$5:$C$623,2)=0,"",IF(D51&gt;'Volumes flacons'!$A$623,"Mauvais numéro",IF(D51&lt;'Volumes flacons'!$A$5,"Mauvais numéro",(VLOOKUP(D51,'Volumes flacons'!$A$5:$C$623,3))))))</f>
        <v/>
      </c>
      <c r="K51" s="129" t="str">
        <f aca="false">IF(ISBLANK(E51),"",(0.000824493-(0.0000040899*E51)+(0.000000076438*E51^2)-(0.00000000082467*E51^3)+(0.0000000000053875*E51^4)))</f>
        <v/>
      </c>
      <c r="L51" s="129" t="str">
        <f aca="false">IF(ISBLANK(E51),"",(-0.00000572466+(0.00000010227*E51)-(0.0000000016546*E51^2)))</f>
        <v/>
      </c>
      <c r="M51" s="129" t="str">
        <f aca="false">IF(ISBLANK(E51),"",IF(ISBLANK(G51),(O51+(K51*35)+(L51*35^1.5)+(0.00000048314*35^2)),(O51+(K51*G51)+(L51*G51^1.5)+(0.00000048314*G51^2))))</f>
        <v/>
      </c>
      <c r="N51" s="130" t="str">
        <f aca="false">IF(ISBLANK(D51),"",IF(ISBLANK(G51),J51*(1+0.00001*(35-20)),J51*(1+0.00001*(G51-20))))</f>
        <v/>
      </c>
      <c r="O51" s="129" t="str">
        <f aca="false">IF(ISBLANK(E51),"",(0.999842594+(0.00006793952*E51)-(0.00000909529*E51^2)+(0.0000001001685*E51^3)-(0.000000001120083*E51^4)+(0.000000000006536332*E51^5)))</f>
        <v/>
      </c>
      <c r="P51" s="13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Flac.",P51*M51)))))))))</f>
        <v/>
      </c>
      <c r="R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08" t="n">
        <f aca="false">IF(ISBLANK(VLOOKUP(D52,'Volumes flacons'!A5:C623,3)),0,1)</f>
        <v>1</v>
      </c>
      <c r="B52" s="109" t="n">
        <f aca="false">IF(ISBLANK(D52),0,IF(ISBLANK(E52),0,IF(ISBLANK(F52),0,1)))</f>
        <v>0</v>
      </c>
      <c r="C52" s="124" t="n">
        <v>18</v>
      </c>
      <c r="D52" s="125"/>
      <c r="E52" s="125"/>
      <c r="F52" s="126"/>
      <c r="G52" s="127"/>
      <c r="H52" s="125"/>
      <c r="I52" s="125"/>
      <c r="J52" s="128" t="str">
        <f aca="false">IF(ISBLANK(D52),"",IF(VLOOKUP(D52,'Volumes flacons'!$A$5:$C$623,2)=0,"",IF(D52&gt;'Volumes flacons'!$A$623,"Mauvais numéro",IF(D52&lt;'Volumes flacons'!$A$5,"Mauvais numéro",(VLOOKUP(D52,'Volumes flacons'!$A$5:$C$623,3))))))</f>
        <v/>
      </c>
      <c r="K52" s="129" t="str">
        <f aca="false">IF(ISBLANK(E52),"",(0.000824493-(0.0000040899*E52)+(0.000000076438*E52^2)-(0.00000000082467*E52^3)+(0.0000000000053875*E52^4)))</f>
        <v/>
      </c>
      <c r="L52" s="129" t="str">
        <f aca="false">IF(ISBLANK(E52),"",(-0.00000572466+(0.00000010227*E52)-(0.0000000016546*E52^2)))</f>
        <v/>
      </c>
      <c r="M52" s="129" t="str">
        <f aca="false">IF(ISBLANK(E52),"",IF(ISBLANK(G52),(O52+(K52*35)+(L52*35^1.5)+(0.00000048314*35^2)),(O52+(K52*G52)+(L52*G52^1.5)+(0.00000048314*G52^2))))</f>
        <v/>
      </c>
      <c r="N52" s="130" t="str">
        <f aca="false">IF(ISBLANK(D52),"",IF(ISBLANK(G52),J52*(1+0.00001*(35-20)),J52*(1+0.00001*(G52-20))))</f>
        <v/>
      </c>
      <c r="O52" s="129" t="str">
        <f aca="false">IF(ISBLANK(E52),"",(0.999842594+(0.00006793952*E52)-(0.00000909529*E52^2)+(0.0000001001685*E52^3)-(0.000000001120083*E52^4)+(0.000000000006536332*E52^5)))</f>
        <v/>
      </c>
      <c r="P52" s="13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Flac.",P52*M52)))))))))</f>
        <v/>
      </c>
      <c r="R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08" t="n">
        <f aca="false">IF(ISBLANK(VLOOKUP(D53,'Volumes flacons'!A5:C623,3)),0,1)</f>
        <v>1</v>
      </c>
      <c r="B53" s="109" t="n">
        <f aca="false">IF(ISBLANK(D53),0,IF(ISBLANK(E53),0,IF(ISBLANK(F53),0,1)))</f>
        <v>0</v>
      </c>
      <c r="C53" s="124" t="n">
        <v>19</v>
      </c>
      <c r="D53" s="125"/>
      <c r="E53" s="125"/>
      <c r="F53" s="126"/>
      <c r="G53" s="127"/>
      <c r="H53" s="125"/>
      <c r="I53" s="125"/>
      <c r="J53" s="128" t="str">
        <f aca="false">IF(ISBLANK(D53),"",IF(VLOOKUP(D53,'Volumes flacons'!$A$5:$C$623,2)=0,"",IF(D53&gt;'Volumes flacons'!$A$623,"Mauvais numéro",IF(D53&lt;'Volumes flacons'!$A$5,"Mauvais numéro",(VLOOKUP(D53,'Volumes flacons'!$A$5:$C$623,3))))))</f>
        <v/>
      </c>
      <c r="K53" s="129" t="str">
        <f aca="false">IF(ISBLANK(E53),"",(0.000824493-(0.0000040899*E53)+(0.000000076438*E53^2)-(0.00000000082467*E53^3)+(0.0000000000053875*E53^4)))</f>
        <v/>
      </c>
      <c r="L53" s="129" t="str">
        <f aca="false">IF(ISBLANK(E53),"",(-0.00000572466+(0.00000010227*E53)-(0.0000000016546*E53^2)))</f>
        <v/>
      </c>
      <c r="M53" s="129" t="str">
        <f aca="false">IF(ISBLANK(E53),"",IF(ISBLANK(G53),(O53+(K53*35)+(L53*35^1.5)+(0.00000048314*35^2)),(O53+(K53*G53)+(L53*G53^1.5)+(0.00000048314*G53^2))))</f>
        <v/>
      </c>
      <c r="N53" s="130" t="str">
        <f aca="false">IF(ISBLANK(D53),"",IF(ISBLANK(G53),J53*(1+0.00001*(35-20)),J53*(1+0.00001*(G53-20))))</f>
        <v/>
      </c>
      <c r="O53" s="129" t="str">
        <f aca="false">IF(ISBLANK(E53),"",(0.999842594+(0.00006793952*E53)-(0.00000909529*E53^2)+(0.0000001001685*E53^3)-(0.000000001120083*E53^4)+(0.000000000006536332*E53^5)))</f>
        <v/>
      </c>
      <c r="P53" s="13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Flac.",P53*M53)))))))))</f>
        <v/>
      </c>
      <c r="R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08" t="n">
        <f aca="false">IF(ISBLANK(VLOOKUP(D54,'Volumes flacons'!A5:C623,3)),0,1)</f>
        <v>1</v>
      </c>
      <c r="B54" s="109" t="n">
        <f aca="false">IF(ISBLANK(D54),0,IF(ISBLANK(E54),0,IF(ISBLANK(F54),0,1)))</f>
        <v>0</v>
      </c>
      <c r="C54" s="124" t="n">
        <v>20</v>
      </c>
      <c r="D54" s="125"/>
      <c r="E54" s="125"/>
      <c r="F54" s="126"/>
      <c r="G54" s="127"/>
      <c r="H54" s="125"/>
      <c r="I54" s="125"/>
      <c r="J54" s="128" t="str">
        <f aca="false">IF(ISBLANK(D54),"",IF(VLOOKUP(D54,'Volumes flacons'!$A$5:$C$623,2)=0,"",IF(D54&gt;'Volumes flacons'!$A$623,"Mauvais numéro",IF(D54&lt;'Volumes flacons'!$A$5,"Mauvais numéro",(VLOOKUP(D54,'Volumes flacons'!$A$5:$C$623,3))))))</f>
        <v/>
      </c>
      <c r="K54" s="129" t="str">
        <f aca="false">IF(ISBLANK(E54),"",(0.000824493-(0.0000040899*E54)+(0.000000076438*E54^2)-(0.00000000082467*E54^3)+(0.0000000000053875*E54^4)))</f>
        <v/>
      </c>
      <c r="L54" s="129" t="str">
        <f aca="false">IF(ISBLANK(E54),"",(-0.00000572466+(0.00000010227*E54)-(0.0000000016546*E54^2)))</f>
        <v/>
      </c>
      <c r="M54" s="129" t="str">
        <f aca="false">IF(ISBLANK(E54),"",IF(ISBLANK(G54),(O54+(K54*35)+(L54*35^1.5)+(0.00000048314*35^2)),(O54+(K54*G54)+(L54*G54^1.5)+(0.00000048314*G54^2))))</f>
        <v/>
      </c>
      <c r="N54" s="130" t="str">
        <f aca="false">IF(ISBLANK(D54),"",IF(ISBLANK(G54),J54*(1+0.00001*(35-20)),J54*(1+0.00001*(G54-20))))</f>
        <v/>
      </c>
      <c r="O54" s="129" t="str">
        <f aca="false">IF(ISBLANK(E54),"",(0.999842594+(0.00006793952*E54)-(0.00000909529*E54^2)+(0.0000001001685*E54^3)-(0.000000001120083*E54^4)+(0.000000000006536332*E54^5)))</f>
        <v/>
      </c>
      <c r="P54" s="13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Flac.",P54*M54)))))))))</f>
        <v/>
      </c>
      <c r="R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08" t="n">
        <f aca="false">IF(ISBLANK(VLOOKUP(D55,'Volumes flacons'!A5:C623,3)),0,1)</f>
        <v>1</v>
      </c>
      <c r="B55" s="109" t="n">
        <f aca="false">IF(ISBLANK(D55),0,IF(ISBLANK(E55),0,IF(ISBLANK(F55),0,1)))</f>
        <v>0</v>
      </c>
      <c r="C55" s="124" t="n">
        <v>21</v>
      </c>
      <c r="D55" s="125"/>
      <c r="E55" s="125"/>
      <c r="F55" s="126"/>
      <c r="G55" s="127"/>
      <c r="H55" s="125"/>
      <c r="I55" s="125"/>
      <c r="J55" s="128" t="str">
        <f aca="false">IF(ISBLANK(D55),"",IF(VLOOKUP(D55,'Volumes flacons'!$A$5:$C$623,2)=0,"",IF(D55&gt;'Volumes flacons'!$A$623,"Mauvais numéro",IF(D55&lt;'Volumes flacons'!$A$5,"Mauvais numéro",(VLOOKUP(D55,'Volumes flacons'!$A$5:$C$623,3))))))</f>
        <v/>
      </c>
      <c r="K55" s="129" t="str">
        <f aca="false">IF(ISBLANK(E55),"",(0.000824493-(0.0000040899*E55)+(0.000000076438*E55^2)-(0.00000000082467*E55^3)+(0.0000000000053875*E55^4)))</f>
        <v/>
      </c>
      <c r="L55" s="129" t="str">
        <f aca="false">IF(ISBLANK(E55),"",(-0.00000572466+(0.00000010227*E55)-(0.0000000016546*E55^2)))</f>
        <v/>
      </c>
      <c r="M55" s="129" t="str">
        <f aca="false">IF(ISBLANK(E55),"",IF(ISBLANK(G55),(O55+(K55*35)+(L55*35^1.5)+(0.00000048314*35^2)),(O55+(K55*G55)+(L55*G55^1.5)+(0.00000048314*G55^2))))</f>
        <v/>
      </c>
      <c r="N55" s="130" t="str">
        <f aca="false">IF(ISBLANK(D55),"",IF(ISBLANK(G55),J55*(1+0.00001*(35-20)),J55*(1+0.00001*(G55-20))))</f>
        <v/>
      </c>
      <c r="O55" s="129" t="str">
        <f aca="false">IF(ISBLANK(E55),"",(0.999842594+(0.00006793952*E55)-(0.00000909529*E55^2)+(0.0000001001685*E55^3)-(0.000000001120083*E55^4)+(0.000000000006536332*E55^5)))</f>
        <v/>
      </c>
      <c r="P55" s="13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Flac.",P55*M55)))))))))</f>
        <v/>
      </c>
      <c r="R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08" t="n">
        <f aca="false">IF(ISBLANK(VLOOKUP(D56,'Volumes flacons'!A5:C623,3)),0,1)</f>
        <v>1</v>
      </c>
      <c r="B56" s="109" t="n">
        <f aca="false">IF(ISBLANK(D56),0,IF(ISBLANK(E56),0,IF(ISBLANK(F56),0,1)))</f>
        <v>0</v>
      </c>
      <c r="C56" s="124" t="n">
        <v>22</v>
      </c>
      <c r="D56" s="125"/>
      <c r="E56" s="125"/>
      <c r="F56" s="126"/>
      <c r="G56" s="127"/>
      <c r="H56" s="125"/>
      <c r="I56" s="125"/>
      <c r="J56" s="128" t="str">
        <f aca="false">IF(ISBLANK(D56),"",IF(VLOOKUP(D56,'Volumes flacons'!$A$5:$C$623,2)=0,"",IF(D56&gt;'Volumes flacons'!$A$623,"Mauvais numéro",IF(D56&lt;'Volumes flacons'!$A$5,"Mauvais numéro",(VLOOKUP(D56,'Volumes flacons'!$A$5:$C$623,3))))))</f>
        <v/>
      </c>
      <c r="K56" s="129" t="str">
        <f aca="false">IF(ISBLANK(E56),"",(0.000824493-(0.0000040899*E56)+(0.000000076438*E56^2)-(0.00000000082467*E56^3)+(0.0000000000053875*E56^4)))</f>
        <v/>
      </c>
      <c r="L56" s="129" t="str">
        <f aca="false">IF(ISBLANK(E56),"",(-0.00000572466+(0.00000010227*E56)-(0.0000000016546*E56^2)))</f>
        <v/>
      </c>
      <c r="M56" s="129" t="str">
        <f aca="false">IF(ISBLANK(E56),"",IF(ISBLANK(G56),(O56+(K56*35)+(L56*35^1.5)+(0.00000048314*35^2)),(O56+(K56*G56)+(L56*G56^1.5)+(0.00000048314*G56^2))))</f>
        <v/>
      </c>
      <c r="N56" s="130" t="str">
        <f aca="false">IF(ISBLANK(D56),"",IF(ISBLANK(G56),J56*(1+0.00001*(35-20)),J56*(1+0.00001*(G56-20))))</f>
        <v/>
      </c>
      <c r="O56" s="129" t="str">
        <f aca="false">IF(ISBLANK(E56),"",(0.999842594+(0.00006793952*E56)-(0.00000909529*E56^2)+(0.0000001001685*E56^3)-(0.000000001120083*E56^4)+(0.000000000006536332*E56^5)))</f>
        <v/>
      </c>
      <c r="P56" s="13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Flac.",P56*M56)))))))))</f>
        <v/>
      </c>
      <c r="R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08" t="n">
        <f aca="false">IF(ISBLANK(VLOOKUP(D57,'Volumes flacons'!A5:C623,3)),0,1)</f>
        <v>1</v>
      </c>
      <c r="B57" s="109" t="n">
        <f aca="false">IF(ISBLANK(D57),0,IF(ISBLANK(E57),0,IF(ISBLANK(F57),0,1)))</f>
        <v>0</v>
      </c>
      <c r="C57" s="124" t="n">
        <v>23</v>
      </c>
      <c r="D57" s="125"/>
      <c r="E57" s="125"/>
      <c r="F57" s="126"/>
      <c r="G57" s="127"/>
      <c r="H57" s="125"/>
      <c r="I57" s="125"/>
      <c r="J57" s="128" t="str">
        <f aca="false">IF(ISBLANK(D57),"",IF(VLOOKUP(D57,'Volumes flacons'!$A$5:$C$623,2)=0,"",IF(D57&gt;'Volumes flacons'!$A$623,"Mauvais numéro",IF(D57&lt;'Volumes flacons'!$A$5,"Mauvais numéro",(VLOOKUP(D57,'Volumes flacons'!$A$5:$C$623,3))))))</f>
        <v/>
      </c>
      <c r="K57" s="129" t="str">
        <f aca="false">IF(ISBLANK(E57),"",(0.000824493-(0.0000040899*E57)+(0.000000076438*E57^2)-(0.00000000082467*E57^3)+(0.0000000000053875*E57^4)))</f>
        <v/>
      </c>
      <c r="L57" s="129" t="str">
        <f aca="false">IF(ISBLANK(E57),"",(-0.00000572466+(0.00000010227*E57)-(0.0000000016546*E57^2)))</f>
        <v/>
      </c>
      <c r="M57" s="129" t="str">
        <f aca="false">IF(ISBLANK(E57),"",IF(ISBLANK(G57),(O57+(K57*35)+(L57*35^1.5)+(0.00000048314*35^2)),(O57+(K57*G57)+(L57*G57^1.5)+(0.00000048314*G57^2))))</f>
        <v/>
      </c>
      <c r="N57" s="130" t="str">
        <f aca="false">IF(ISBLANK(D57),"",IF(ISBLANK(G57),J57*(1+0.00001*(35-20)),J57*(1+0.00001*(G57-20))))</f>
        <v/>
      </c>
      <c r="O57" s="129" t="str">
        <f aca="false">IF(ISBLANK(E57),"",(0.999842594+(0.00006793952*E57)-(0.00000909529*E57^2)+(0.0000001001685*E57^3)-(0.000000001120083*E57^4)+(0.000000000006536332*E57^5)))</f>
        <v/>
      </c>
      <c r="P57" s="13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Flac.",P57*M57)))))))))</f>
        <v/>
      </c>
      <c r="R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5.75" hidden="false" customHeight="false" outlineLevel="0" collapsed="false">
      <c r="A58" s="108" t="n">
        <f aca="false">IF(ISBLANK(VLOOKUP(D58,'Volumes flacons'!A5:C623,3)),0,1)</f>
        <v>1</v>
      </c>
      <c r="B58" s="109" t="n">
        <f aca="false">IF(ISBLANK(D58),0,IF(ISBLANK(E58),0,IF(ISBLANK(F58),0,1)))</f>
        <v>0</v>
      </c>
      <c r="C58" s="141" t="n">
        <v>24</v>
      </c>
      <c r="D58" s="142"/>
      <c r="E58" s="142"/>
      <c r="F58" s="143"/>
      <c r="G58" s="144"/>
      <c r="H58" s="142"/>
      <c r="I58" s="142"/>
      <c r="J58" s="145" t="str">
        <f aca="false">IF(ISBLANK(D58),"",IF(VLOOKUP(D58,'Volumes flacons'!$A$5:$C$623,2)=0,"",IF(D58&gt;'Volumes flacons'!$A$623,"Mauvais numéro",IF(D58&lt;'Volumes flacons'!$A$5,"Mauvais numéro",(VLOOKUP(D58,'Volumes flacons'!$A$5:$C$623,3))))))</f>
        <v/>
      </c>
      <c r="K58" s="146" t="str">
        <f aca="false">IF(ISBLANK(E58),"",(0.000824493-(0.0000040899*E58)+(0.000000076438*E58^2)-(0.00000000082467*E58^3)+(0.0000000000053875*E58^4)))</f>
        <v/>
      </c>
      <c r="L58" s="146" t="str">
        <f aca="false">IF(ISBLANK(E58),"",(-0.00000572466+(0.00000010227*E58)-(0.0000000016546*E58^2)))</f>
        <v/>
      </c>
      <c r="M58" s="146" t="str">
        <f aca="false">IF(ISBLANK(E58),"",IF(ISBLANK(G58),(O58+(K58*35)+(L58*35^1.5)+(0.00000048314*35^2)),(O58+(K58*G58)+(L58*G58^1.5)+(0.00000048314*G58^2))))</f>
        <v/>
      </c>
      <c r="N58" s="147" t="str">
        <f aca="false">IF(ISBLANK(D58),"",IF(ISBLANK(G58),J58*(1+0.00001*(35-20)),J58*(1+0.00001*(G58-20))))</f>
        <v/>
      </c>
      <c r="O58" s="146" t="str">
        <f aca="false">IF(ISBLANK(E58),"",(0.999842594+(0.00006793952*E58)-(0.00000909529*E58^2)+(0.0000001001685*E58^3)-(0.000000001120083*E58^4)+(0.000000000006536332*E58^5)))</f>
        <v/>
      </c>
      <c r="P58" s="14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4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Flac.",P58*M58)))))))))</f>
        <v/>
      </c>
      <c r="R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2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53" t="s">
        <v>146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1" activeCellId="1" sqref="Q10:R10 Q1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11.33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33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40632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0" t="n">
        <v>-6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8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3" t="str">
        <f aca="false">IF(ISBLANK(I10),"",IF(ISBLANK(J10),"",IF(P10=N10,L10&amp;N12,N12)))</f>
        <v>8°0</v>
      </c>
      <c r="P10" s="29" t="s">
        <v>14</v>
      </c>
      <c r="Q10" s="0" t="n">
        <v>8</v>
      </c>
      <c r="S10" s="34"/>
      <c r="T10" s="34"/>
    </row>
    <row r="11" customFormat="false" ht="13.8" hidden="false" customHeight="false" outlineLevel="0" collapsed="false">
      <c r="G11" s="35" t="s">
        <v>18</v>
      </c>
      <c r="H11" s="35"/>
      <c r="I11" s="36" t="s">
        <v>19</v>
      </c>
      <c r="J11" s="37" t="n">
        <v>40632</v>
      </c>
      <c r="K11" s="37"/>
      <c r="L11" s="37"/>
      <c r="M11" s="37"/>
      <c r="N11" s="38" t="str">
        <f aca="false">I9&amp;"°"&amp;J9</f>
        <v>6°0</v>
      </c>
      <c r="O11" s="39" t="n">
        <f aca="false">IF(P9=M10,-1,1)</f>
        <v>-1</v>
      </c>
      <c r="P11" s="0" t="s">
        <v>150</v>
      </c>
      <c r="T11" s="40"/>
      <c r="U11" s="40"/>
      <c r="V11" s="5"/>
      <c r="W11" s="5"/>
    </row>
    <row r="12" customFormat="false" ht="13.8" hidden="false" customHeight="false" outlineLevel="0" collapsed="false">
      <c r="G12" s="35"/>
      <c r="H12" s="35"/>
      <c r="I12" s="41" t="s">
        <v>21</v>
      </c>
      <c r="J12" s="42" t="n">
        <v>0.333333333333333</v>
      </c>
      <c r="K12" s="42"/>
      <c r="L12" s="42"/>
      <c r="M12" s="42"/>
      <c r="N12" s="43" t="str">
        <f aca="false">I10&amp;"°"&amp;J10</f>
        <v>8°0</v>
      </c>
      <c r="O12" s="39" t="n">
        <f aca="false">IF(P10=N10,-1,1)</f>
        <v>1</v>
      </c>
      <c r="T12" s="40"/>
      <c r="U12" s="40"/>
      <c r="V12" s="5"/>
      <c r="W12" s="5"/>
    </row>
    <row r="13" customFormat="false" ht="15" hidden="false" customHeight="false" outlineLevel="0" collapsed="false">
      <c r="C13" s="44" t="s">
        <v>22</v>
      </c>
      <c r="D13" s="44"/>
      <c r="E13" s="5"/>
      <c r="K13" s="45"/>
      <c r="L13" s="45"/>
      <c r="M13" s="45"/>
      <c r="N13" s="45"/>
      <c r="O13" s="45"/>
      <c r="P13" s="45"/>
      <c r="Q13" s="46"/>
    </row>
    <row r="14" customFormat="false" ht="15" hidden="false" customHeight="true" outlineLevel="0" collapsed="false">
      <c r="C14" s="47" t="s">
        <v>23</v>
      </c>
      <c r="D14" s="48"/>
      <c r="E14" s="48"/>
      <c r="F14" s="48"/>
      <c r="G14" s="48"/>
      <c r="H14" s="49"/>
      <c r="I14" s="49"/>
      <c r="J14" s="49"/>
      <c r="K14" s="48"/>
      <c r="L14" s="48"/>
      <c r="M14" s="48"/>
      <c r="N14" s="49"/>
      <c r="O14" s="50"/>
      <c r="P14" s="49"/>
      <c r="Q14" s="50" t="s">
        <v>24</v>
      </c>
      <c r="R14" s="51" t="n">
        <v>22</v>
      </c>
      <c r="S14" s="52" t="s">
        <v>25</v>
      </c>
    </row>
    <row r="15" customFormat="false" ht="14.25" hidden="false" customHeight="true" outlineLevel="0" collapsed="false">
      <c r="C15" s="53" t="s">
        <v>26</v>
      </c>
      <c r="D15" s="54"/>
      <c r="E15" s="54"/>
      <c r="F15" s="54"/>
      <c r="G15" s="54"/>
      <c r="H15" s="55"/>
      <c r="I15" s="55"/>
      <c r="J15" s="55"/>
      <c r="K15" s="54"/>
      <c r="L15" s="54"/>
      <c r="M15" s="54"/>
      <c r="N15" s="55"/>
      <c r="O15" s="56"/>
      <c r="P15" s="55"/>
      <c r="Q15" s="56" t="s">
        <v>27</v>
      </c>
      <c r="R15" s="57" t="n">
        <v>22.3</v>
      </c>
      <c r="S15" s="58" t="s">
        <v>25</v>
      </c>
    </row>
    <row r="16" customFormat="false" ht="15" hidden="false" customHeight="false" outlineLevel="0" collapsed="false">
      <c r="C16" s="53" t="s">
        <v>28</v>
      </c>
      <c r="D16" s="54"/>
      <c r="E16" s="54"/>
      <c r="F16" s="54"/>
      <c r="G16" s="54"/>
      <c r="H16" s="55"/>
      <c r="I16" s="55"/>
      <c r="J16" s="55"/>
      <c r="K16" s="54"/>
      <c r="L16" s="54"/>
      <c r="M16" s="54"/>
      <c r="N16" s="55"/>
      <c r="O16" s="56"/>
      <c r="P16" s="55"/>
      <c r="Q16" s="56" t="s">
        <v>29</v>
      </c>
      <c r="R16" s="59" t="n">
        <v>5.001</v>
      </c>
      <c r="S16" s="58" t="s">
        <v>30</v>
      </c>
    </row>
    <row r="17" customFormat="false" ht="15" hidden="false" customHeight="false" outlineLevel="0" collapsed="false">
      <c r="C17" s="60" t="s">
        <v>31</v>
      </c>
      <c r="D17" s="61"/>
      <c r="E17" s="61"/>
      <c r="F17" s="61"/>
      <c r="G17" s="61"/>
      <c r="H17" s="62"/>
      <c r="I17" s="62"/>
      <c r="J17" s="62"/>
      <c r="K17" s="61"/>
      <c r="L17" s="61"/>
      <c r="M17" s="61"/>
      <c r="N17" s="62"/>
      <c r="O17" s="63"/>
      <c r="P17" s="62"/>
      <c r="Q17" s="63" t="s">
        <v>32</v>
      </c>
      <c r="R17" s="64" t="n">
        <v>0.006</v>
      </c>
      <c r="S17" s="65" t="s">
        <v>30</v>
      </c>
    </row>
    <row r="18" customFormat="false" ht="14.25" hidden="true" customHeight="false" outlineLevel="0" collapsed="false">
      <c r="C18" s="66" t="s">
        <v>33</v>
      </c>
      <c r="D18" s="67"/>
      <c r="E18" s="67"/>
      <c r="F18" s="67"/>
      <c r="G18" s="67"/>
      <c r="H18" s="67"/>
      <c r="I18" s="67"/>
      <c r="J18" s="67"/>
      <c r="K18" s="68"/>
      <c r="L18" s="68"/>
      <c r="M18" s="68"/>
      <c r="N18" s="68"/>
      <c r="O18" s="69" t="s">
        <v>34</v>
      </c>
      <c r="P18" s="70" t="n">
        <f aca="false">(0.999842594+(0.00006793952*$R$14)-(0.00000909529*$R$14^2)+(0.0000001001685*$R$14^3)-(0.000000001120083*$R$14^4)+(0.000000000006536332*$R$14^5))</f>
        <v>0.99777303695451</v>
      </c>
      <c r="Q18" s="68"/>
      <c r="R18" s="6"/>
    </row>
    <row r="19" customFormat="false" ht="14.25" hidden="true" customHeight="false" outlineLevel="0" collapsed="false">
      <c r="C19" s="66" t="s">
        <v>35</v>
      </c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9" t="s">
        <v>36</v>
      </c>
      <c r="P19" s="70" t="n">
        <f aca="false">$P$24*($P$18/'Titre d''iodate'!E19)</f>
        <v>0.0199876195566105</v>
      </c>
      <c r="Q19" s="68" t="s">
        <v>13</v>
      </c>
      <c r="R19" s="6"/>
    </row>
    <row r="20" customFormat="false" ht="14.25" hidden="true" customHeight="false" outlineLevel="0" collapsed="false">
      <c r="C20" s="66" t="s">
        <v>37</v>
      </c>
      <c r="D20" s="67"/>
      <c r="E20" s="67"/>
      <c r="F20" s="67"/>
      <c r="G20" s="67"/>
      <c r="H20" s="67"/>
      <c r="I20" s="67"/>
      <c r="J20" s="67"/>
      <c r="K20" s="68"/>
      <c r="L20" s="68"/>
      <c r="M20" s="68"/>
      <c r="N20" s="68"/>
      <c r="O20" s="69" t="s">
        <v>38</v>
      </c>
      <c r="P20" s="70" t="n">
        <f aca="false">5+'Correction de volume'!G8</f>
        <v>5.00308998756</v>
      </c>
      <c r="Q20" s="68" t="s">
        <v>30</v>
      </c>
      <c r="R20" s="6"/>
    </row>
    <row r="21" customFormat="false" ht="14.25" hidden="true" customHeight="false" outlineLevel="0" collapsed="false">
      <c r="C21" s="66" t="s">
        <v>39</v>
      </c>
      <c r="D21" s="67"/>
      <c r="E21" s="67"/>
      <c r="F21" s="67"/>
      <c r="G21" s="67"/>
      <c r="H21" s="67"/>
      <c r="I21" s="67"/>
      <c r="J21" s="67"/>
      <c r="K21" s="68"/>
      <c r="L21" s="68"/>
      <c r="M21" s="68"/>
      <c r="N21" s="68"/>
      <c r="O21" s="69" t="s">
        <v>40</v>
      </c>
      <c r="P21" s="70" t="n">
        <f aca="false">P20*(1+0.00001*(R14-20))</f>
        <v>5.00319004935975</v>
      </c>
      <c r="Q21" s="68" t="s">
        <v>30</v>
      </c>
      <c r="R21" s="6"/>
    </row>
    <row r="22" customFormat="false" ht="14.25" hidden="true" customHeight="false" outlineLevel="0" collapsed="false">
      <c r="C22" s="66" t="s">
        <v>41</v>
      </c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9" t="s">
        <v>42</v>
      </c>
      <c r="P22" s="71" t="n">
        <f aca="false">$R$16*(1+0.00001*(20-$R$14))</f>
        <v>5.00089998</v>
      </c>
      <c r="Q22" s="68" t="s">
        <v>30</v>
      </c>
      <c r="R22" s="6"/>
    </row>
    <row r="23" customFormat="false" ht="14.25" hidden="true" customHeight="false" outlineLevel="0" collapsed="false">
      <c r="C23" s="66" t="s">
        <v>43</v>
      </c>
      <c r="D23" s="67"/>
      <c r="E23" s="67"/>
      <c r="F23" s="67"/>
      <c r="G23" s="67"/>
      <c r="H23" s="67"/>
      <c r="I23" s="67"/>
      <c r="J23" s="67"/>
      <c r="K23" s="68"/>
      <c r="L23" s="68"/>
      <c r="M23" s="68"/>
      <c r="N23" s="68"/>
      <c r="O23" s="69" t="s">
        <v>44</v>
      </c>
      <c r="P23" s="71" t="n">
        <f aca="false">$R$17*(1+0.00001*(20-$R$14))</f>
        <v>0.00599988</v>
      </c>
      <c r="Q23" s="68" t="s">
        <v>30</v>
      </c>
      <c r="R23" s="6"/>
    </row>
    <row r="24" customFormat="false" ht="14.25" hidden="true" customHeight="false" outlineLevel="0" collapsed="false">
      <c r="C24" s="66" t="s">
        <v>45</v>
      </c>
      <c r="D24" s="67"/>
      <c r="E24" s="67"/>
      <c r="F24" s="67"/>
      <c r="G24" s="67"/>
      <c r="H24" s="67"/>
      <c r="I24" s="67"/>
      <c r="J24" s="67"/>
      <c r="K24" s="68"/>
      <c r="L24" s="68"/>
      <c r="M24" s="68"/>
      <c r="N24" s="68"/>
      <c r="O24" s="69" t="s">
        <v>46</v>
      </c>
      <c r="P24" s="55" t="n">
        <f aca="false">MAX('Titre d''iodate'!F7:F10)</f>
        <v>0.0199962991701183</v>
      </c>
      <c r="Q24" s="68" t="s">
        <v>13</v>
      </c>
      <c r="R24" s="6"/>
    </row>
    <row r="25" customFormat="false" ht="14.25" hidden="true" customHeight="false" outlineLevel="0" collapsed="false">
      <c r="C25" s="66" t="s">
        <v>47</v>
      </c>
      <c r="D25" s="67"/>
      <c r="E25" s="67"/>
      <c r="F25" s="67"/>
      <c r="G25" s="67"/>
      <c r="H25" s="67"/>
      <c r="I25" s="67"/>
      <c r="J25" s="67"/>
      <c r="K25" s="68"/>
      <c r="L25" s="68"/>
      <c r="M25" s="68"/>
      <c r="N25" s="68"/>
      <c r="O25" s="69" t="s">
        <v>48</v>
      </c>
      <c r="P25" s="55" t="n">
        <f aca="false">IF(ISBLANK(R14),"",IF(ISBLANK(P21),"",IF(ISBLANK(R17),"",(($P$24*$P$18)/($P$22-$P$23)))))</f>
        <v>0.00399442786669944</v>
      </c>
      <c r="Q25" s="68" t="s">
        <v>13</v>
      </c>
      <c r="R25" s="6"/>
    </row>
    <row r="26" customFormat="false" ht="14.25" hidden="true" customHeight="false" outlineLevel="0" collapsed="false">
      <c r="C26" s="72" t="s">
        <v>49</v>
      </c>
      <c r="D26" s="73"/>
      <c r="E26" s="73"/>
      <c r="F26" s="73"/>
      <c r="G26" s="73"/>
      <c r="H26" s="73"/>
      <c r="I26" s="73"/>
      <c r="J26" s="73"/>
      <c r="K26" s="68"/>
      <c r="L26" s="68"/>
      <c r="M26" s="68"/>
      <c r="N26" s="68"/>
      <c r="O26" s="69" t="s">
        <v>50</v>
      </c>
      <c r="P26" s="55" t="n">
        <f aca="false">2+('Correction de volume'!G10+'Correction de volume'!G9)</f>
        <v>2.0163939508</v>
      </c>
      <c r="Q26" s="68" t="s">
        <v>30</v>
      </c>
      <c r="R26" s="6"/>
    </row>
    <row r="27" customFormat="false" ht="15" hidden="true" customHeight="false" outlineLevel="0" collapsed="false">
      <c r="C27" s="74"/>
      <c r="D27" s="75"/>
      <c r="E27" s="75"/>
      <c r="F27" s="75"/>
      <c r="G27" s="75"/>
      <c r="H27" s="75"/>
      <c r="I27" s="75"/>
      <c r="J27" s="75"/>
      <c r="K27" s="76"/>
      <c r="L27" s="76"/>
      <c r="M27" s="76"/>
      <c r="N27" s="76"/>
      <c r="O27" s="77" t="s">
        <v>51</v>
      </c>
      <c r="P27" s="62" t="n">
        <v>0.0017</v>
      </c>
      <c r="Q27" s="76"/>
      <c r="R27" s="78"/>
    </row>
    <row r="29" customFormat="false" ht="15" hidden="false" customHeight="false" outlineLevel="0" collapsed="false">
      <c r="E29" s="18" t="s">
        <v>52</v>
      </c>
      <c r="F29" s="18"/>
      <c r="G29" s="18"/>
      <c r="H29" s="18"/>
      <c r="I29" s="79" t="s">
        <v>53</v>
      </c>
      <c r="K29" s="80"/>
      <c r="L29" s="80"/>
      <c r="M29" s="80"/>
      <c r="N29" s="81"/>
      <c r="O29" s="80" t="s">
        <v>54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2"/>
      <c r="K30" s="17"/>
      <c r="L30" s="17"/>
      <c r="M30" s="17"/>
      <c r="N30" s="81"/>
      <c r="O30" s="81" t="s">
        <v>53</v>
      </c>
      <c r="P30" s="81"/>
    </row>
    <row r="31" customFormat="false" ht="15.75" hidden="false" customHeight="true" outlineLevel="0" collapsed="false">
      <c r="C31" s="83" t="s">
        <v>55</v>
      </c>
      <c r="D31" s="84" t="s">
        <v>56</v>
      </c>
      <c r="E31" s="84" t="s">
        <v>57</v>
      </c>
      <c r="F31" s="84" t="s">
        <v>58</v>
      </c>
      <c r="G31" s="84" t="s">
        <v>59</v>
      </c>
      <c r="H31" s="84" t="s">
        <v>60</v>
      </c>
      <c r="I31" s="84" t="s">
        <v>61</v>
      </c>
      <c r="J31" s="84" t="s">
        <v>62</v>
      </c>
      <c r="K31" s="84" t="s">
        <v>63</v>
      </c>
      <c r="L31" s="84" t="s">
        <v>64</v>
      </c>
      <c r="M31" s="84" t="s">
        <v>65</v>
      </c>
      <c r="N31" s="84" t="s">
        <v>66</v>
      </c>
      <c r="O31" s="84" t="s">
        <v>67</v>
      </c>
      <c r="P31" s="85" t="s">
        <v>68</v>
      </c>
      <c r="Q31" s="85"/>
      <c r="R31" s="85"/>
      <c r="S31" s="85"/>
      <c r="T31" s="86" t="s">
        <v>69</v>
      </c>
      <c r="U31" s="86"/>
      <c r="V31" s="86" t="s">
        <v>70</v>
      </c>
      <c r="W31" s="86"/>
      <c r="X31" s="86" t="s">
        <v>71</v>
      </c>
      <c r="Y31" s="86"/>
      <c r="Z31" s="86" t="s">
        <v>72</v>
      </c>
      <c r="AA31" s="86"/>
      <c r="AB31" s="87" t="s">
        <v>73</v>
      </c>
      <c r="AC31" s="87"/>
      <c r="AD31" s="88" t="s">
        <v>74</v>
      </c>
      <c r="AE31" s="88" t="s">
        <v>75</v>
      </c>
      <c r="AF31" s="88" t="s">
        <v>76</v>
      </c>
      <c r="AG31" s="89" t="s">
        <v>77</v>
      </c>
      <c r="AH31" s="88" t="s">
        <v>78</v>
      </c>
      <c r="AI31" s="88" t="s">
        <v>79</v>
      </c>
      <c r="AJ31" s="88" t="s">
        <v>80</v>
      </c>
      <c r="AK31" s="88" t="s">
        <v>81</v>
      </c>
      <c r="AL31" s="89" t="s">
        <v>82</v>
      </c>
      <c r="AM31" s="88" t="s">
        <v>83</v>
      </c>
      <c r="AN31" s="88" t="s">
        <v>84</v>
      </c>
      <c r="AO31" s="88" t="s">
        <v>85</v>
      </c>
      <c r="AP31" s="88" t="s">
        <v>86</v>
      </c>
      <c r="AQ31" s="88" t="s">
        <v>87</v>
      </c>
      <c r="AR31" s="89" t="s">
        <v>88</v>
      </c>
      <c r="AS31" s="89" t="s">
        <v>89</v>
      </c>
      <c r="AT31" s="89" t="s">
        <v>90</v>
      </c>
      <c r="AU31" s="88" t="s">
        <v>91</v>
      </c>
      <c r="AV31" s="88" t="s">
        <v>92</v>
      </c>
      <c r="AW31" s="90" t="s">
        <v>93</v>
      </c>
      <c r="AX31" s="88" t="s">
        <v>94</v>
      </c>
      <c r="AY31" s="88" t="s">
        <v>95</v>
      </c>
      <c r="AZ31" s="89" t="s">
        <v>96</v>
      </c>
      <c r="BA31" s="88" t="s">
        <v>97</v>
      </c>
      <c r="BB31" s="91" t="s">
        <v>98</v>
      </c>
    </row>
    <row r="32" customFormat="false" ht="15.75" hidden="false" customHeight="true" outlineLevel="0" collapsed="false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  <c r="Q32" s="85"/>
      <c r="R32" s="85"/>
      <c r="S32" s="85"/>
      <c r="T32" s="86"/>
      <c r="U32" s="86"/>
      <c r="V32" s="86"/>
      <c r="W32" s="86"/>
      <c r="X32" s="86"/>
      <c r="Y32" s="86"/>
      <c r="Z32" s="86"/>
      <c r="AA32" s="86"/>
      <c r="AB32" s="87"/>
      <c r="AC32" s="87"/>
      <c r="AD32" s="88"/>
      <c r="AE32" s="88"/>
      <c r="AF32" s="88"/>
      <c r="AG32" s="89"/>
      <c r="AH32" s="88"/>
      <c r="AI32" s="88"/>
      <c r="AJ32" s="88"/>
      <c r="AK32" s="88"/>
      <c r="AL32" s="89"/>
      <c r="AM32" s="88"/>
      <c r="AN32" s="88"/>
      <c r="AO32" s="88"/>
      <c r="AP32" s="88"/>
      <c r="AQ32" s="88"/>
      <c r="AR32" s="89"/>
      <c r="AS32" s="89"/>
      <c r="AT32" s="89"/>
      <c r="AU32" s="88"/>
      <c r="AV32" s="88"/>
      <c r="AW32" s="90"/>
      <c r="AX32" s="88"/>
      <c r="AY32" s="88"/>
      <c r="AZ32" s="89"/>
      <c r="BA32" s="88"/>
      <c r="BB32" s="91"/>
    </row>
    <row r="33" customFormat="false" ht="15.75" hidden="false" customHeight="true" outlineLevel="0" collapsed="false">
      <c r="C33" s="92" t="s">
        <v>99</v>
      </c>
      <c r="D33" s="93" t="s">
        <v>100</v>
      </c>
      <c r="E33" s="93" t="s">
        <v>25</v>
      </c>
      <c r="F33" s="94" t="s">
        <v>101</v>
      </c>
      <c r="G33" s="95"/>
      <c r="H33" s="94" t="s">
        <v>102</v>
      </c>
      <c r="I33" s="94" t="s">
        <v>102</v>
      </c>
      <c r="J33" s="94" t="s">
        <v>101</v>
      </c>
      <c r="K33" s="95"/>
      <c r="L33" s="95"/>
      <c r="M33" s="95"/>
      <c r="N33" s="95"/>
      <c r="O33" s="95"/>
      <c r="P33" s="96" t="s">
        <v>103</v>
      </c>
      <c r="Q33" s="96"/>
      <c r="R33" s="96" t="s">
        <v>104</v>
      </c>
      <c r="S33" s="96" t="s">
        <v>105</v>
      </c>
      <c r="T33" s="97" t="s">
        <v>106</v>
      </c>
      <c r="U33" s="97" t="s">
        <v>107</v>
      </c>
      <c r="V33" s="97" t="s">
        <v>108</v>
      </c>
      <c r="W33" s="97" t="s">
        <v>109</v>
      </c>
      <c r="X33" s="97" t="s">
        <v>110</v>
      </c>
      <c r="Y33" s="97" t="s">
        <v>111</v>
      </c>
      <c r="Z33" s="97" t="s">
        <v>112</v>
      </c>
      <c r="AA33" s="97" t="s">
        <v>113</v>
      </c>
      <c r="AB33" s="97" t="s">
        <v>114</v>
      </c>
      <c r="AC33" s="98" t="s">
        <v>115</v>
      </c>
      <c r="AD33" s="99" t="s">
        <v>116</v>
      </c>
      <c r="AE33" s="99" t="s">
        <v>117</v>
      </c>
      <c r="AF33" s="99" t="s">
        <v>118</v>
      </c>
      <c r="AG33" s="99" t="s">
        <v>119</v>
      </c>
      <c r="AH33" s="99" t="s">
        <v>120</v>
      </c>
      <c r="AI33" s="100" t="s">
        <v>121</v>
      </c>
      <c r="AJ33" s="99" t="s">
        <v>122</v>
      </c>
      <c r="AK33" s="100" t="s">
        <v>123</v>
      </c>
      <c r="AL33" s="99" t="s">
        <v>124</v>
      </c>
      <c r="AM33" s="99" t="s">
        <v>125</v>
      </c>
      <c r="AN33" s="99" t="s">
        <v>126</v>
      </c>
      <c r="AO33" s="99" t="s">
        <v>127</v>
      </c>
      <c r="AP33" s="99" t="s">
        <v>128</v>
      </c>
      <c r="AQ33" s="100" t="s">
        <v>129</v>
      </c>
      <c r="AR33" s="99" t="s">
        <v>130</v>
      </c>
      <c r="AS33" s="99" t="s">
        <v>131</v>
      </c>
      <c r="AT33" s="100" t="s">
        <v>132</v>
      </c>
      <c r="AU33" s="101" t="s">
        <v>133</v>
      </c>
      <c r="AV33" s="101" t="s">
        <v>134</v>
      </c>
      <c r="AW33" s="101" t="s">
        <v>135</v>
      </c>
      <c r="AX33" s="99" t="s">
        <v>136</v>
      </c>
      <c r="AY33" s="99" t="s">
        <v>137</v>
      </c>
      <c r="AZ33" s="99" t="s">
        <v>138</v>
      </c>
      <c r="BA33" s="99" t="s">
        <v>139</v>
      </c>
      <c r="BB33" s="102" t="s">
        <v>140</v>
      </c>
    </row>
    <row r="34" customFormat="false" ht="14.25" hidden="false" customHeight="true" outlineLevel="0" collapsed="false">
      <c r="C34" s="92"/>
      <c r="D34" s="93"/>
      <c r="E34" s="93"/>
      <c r="F34" s="94"/>
      <c r="G34" s="95"/>
      <c r="H34" s="94"/>
      <c r="I34" s="94"/>
      <c r="J34" s="94"/>
      <c r="K34" s="103"/>
      <c r="L34" s="103"/>
      <c r="M34" s="103"/>
      <c r="N34" s="104" t="s">
        <v>30</v>
      </c>
      <c r="O34" s="103"/>
      <c r="P34" s="104" t="s">
        <v>141</v>
      </c>
      <c r="Q34" s="104" t="s">
        <v>142</v>
      </c>
      <c r="R34" s="104" t="s">
        <v>143</v>
      </c>
      <c r="S34" s="104" t="s">
        <v>144</v>
      </c>
      <c r="T34" s="105" t="s">
        <v>143</v>
      </c>
      <c r="U34" s="105" t="s">
        <v>144</v>
      </c>
      <c r="V34" s="105" t="s">
        <v>143</v>
      </c>
      <c r="W34" s="105" t="s">
        <v>144</v>
      </c>
      <c r="X34" s="105" t="s">
        <v>143</v>
      </c>
      <c r="Y34" s="105" t="s">
        <v>144</v>
      </c>
      <c r="Z34" s="105" t="s">
        <v>143</v>
      </c>
      <c r="AA34" s="105" t="s">
        <v>144</v>
      </c>
      <c r="AB34" s="105" t="s">
        <v>143</v>
      </c>
      <c r="AC34" s="106" t="s">
        <v>144</v>
      </c>
      <c r="AD34" s="107" t="s">
        <v>145</v>
      </c>
      <c r="AE34" s="107" t="s">
        <v>145</v>
      </c>
      <c r="AF34" s="107" t="s">
        <v>145</v>
      </c>
      <c r="AG34" s="107" t="s">
        <v>145</v>
      </c>
      <c r="AH34" s="107" t="s">
        <v>145</v>
      </c>
      <c r="AI34" s="107" t="s">
        <v>145</v>
      </c>
      <c r="AJ34" s="107" t="s">
        <v>145</v>
      </c>
      <c r="AK34" s="107" t="s">
        <v>145</v>
      </c>
      <c r="AL34" s="107" t="s">
        <v>145</v>
      </c>
      <c r="AM34" s="107" t="s">
        <v>145</v>
      </c>
      <c r="AN34" s="107" t="s">
        <v>145</v>
      </c>
      <c r="AO34" s="107" t="s">
        <v>145</v>
      </c>
      <c r="AP34" s="107" t="s">
        <v>145</v>
      </c>
      <c r="AQ34" s="107" t="s">
        <v>145</v>
      </c>
      <c r="AR34" s="107" t="s">
        <v>145</v>
      </c>
      <c r="AS34" s="107" t="s">
        <v>145</v>
      </c>
      <c r="AT34" s="107" t="s">
        <v>145</v>
      </c>
      <c r="AU34" s="107" t="s">
        <v>145</v>
      </c>
      <c r="AV34" s="107" t="s">
        <v>145</v>
      </c>
      <c r="AW34" s="107" t="s">
        <v>145</v>
      </c>
      <c r="AX34" s="107" t="s">
        <v>145</v>
      </c>
      <c r="AY34" s="107" t="s">
        <v>145</v>
      </c>
      <c r="AZ34" s="107" t="s">
        <v>145</v>
      </c>
      <c r="BA34" s="107" t="s">
        <v>145</v>
      </c>
      <c r="BB34" s="107" t="s">
        <v>145</v>
      </c>
    </row>
    <row r="35" customFormat="false" ht="15" hidden="false" customHeight="false" outlineLevel="0" collapsed="false">
      <c r="A35" s="108" t="n">
        <f aca="false">IF(ISBLANK(VLOOKUP(D35,'Volumes flacons'!A5:C623,3)),0,1)</f>
        <v>1</v>
      </c>
      <c r="B35" s="109" t="n">
        <f aca="false">IF(ISBLANK(D35),0,IF(ISBLANK(E35),0,IF(ISBLANK(F35),0,1)))</f>
        <v>1</v>
      </c>
      <c r="C35" s="110" t="n">
        <v>1</v>
      </c>
      <c r="D35" s="111" t="n">
        <v>26</v>
      </c>
      <c r="E35" s="111" t="n">
        <v>7.4</v>
      </c>
      <c r="F35" s="112" t="n">
        <v>6.145</v>
      </c>
      <c r="G35" s="113" t="n">
        <v>34.94</v>
      </c>
      <c r="H35" s="111" t="n">
        <v>2000</v>
      </c>
      <c r="I35" s="111" t="n">
        <v>2020</v>
      </c>
      <c r="J35" s="114" t="n">
        <v>128.22</v>
      </c>
      <c r="K35" s="115" t="n">
        <f aca="false">IF(ISBLANK(E35),"",(0.000824493-(0.0000040899*E35)+(0.000000076438*E35^2)-(0.00000000082467*E35^3)+(0.0000000000053875*E35^4)))</f>
        <v>0.00079809546407174</v>
      </c>
      <c r="L35" s="115" t="n">
        <f aca="false">IF(ISBLANK(E35),"",(-0.00000572466+(0.00000010227*E35)-(0.0000000016546*E35^2)))</f>
        <v>-5.058467896E-006</v>
      </c>
      <c r="M35" s="115" t="n">
        <f aca="false">IF(ISBLANK(E35),"",IF(ISBLANK(G35),(O35+(K35*35)+(L35*35^1.5)+(0.00000048314*35^2)),(O35+(K35*G35)+(L35*G35^1.5)+(0.00000048314*G35^2))))</f>
        <v>1.02731521163454</v>
      </c>
      <c r="N35" s="116" t="n">
        <f aca="false">IF(ISBLANK(D35),"",IF(ISBLANK(G35),J35*(1+0.00001*(35-20)),J35*(1+0.00001*(G35-20))))</f>
        <v>128.239156068</v>
      </c>
      <c r="O35" s="115" t="n">
        <f aca="false">IF(ISBLANK(E35),"",(0.999842594+(0.00006793952*E35)-(0.00000909529*E35^2)+(0.0000001001685*E35^3)-(0.000000001120083*E35^4)+(0.000000000006536332*E35^5)))</f>
        <v>0.999884665344083</v>
      </c>
      <c r="P35" s="117" t="n">
        <v>5.442</v>
      </c>
      <c r="Q35" s="118" t="n">
        <v>5.298</v>
      </c>
      <c r="R35" s="119" t="n">
        <v>243.1</v>
      </c>
      <c r="S35" s="119" t="n">
        <v>236.6</v>
      </c>
      <c r="T35" s="122"/>
      <c r="U35" s="122"/>
      <c r="V35" s="122"/>
      <c r="W35" s="163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3"/>
    </row>
    <row r="36" customFormat="false" ht="15" hidden="false" customHeight="false" outlineLevel="0" collapsed="false">
      <c r="A36" s="108" t="n">
        <f aca="false">IF(ISBLANK(VLOOKUP(D36,'Volumes flacons'!A5:C623,3)),0,1)</f>
        <v>1</v>
      </c>
      <c r="B36" s="109" t="n">
        <f aca="false">IF(ISBLANK(D36),0,IF(ISBLANK(E36),0,IF(ISBLANK(F36),0,1)))</f>
        <v>1</v>
      </c>
      <c r="C36" s="124" t="n">
        <v>2</v>
      </c>
      <c r="D36" s="125" t="n">
        <v>32</v>
      </c>
      <c r="E36" s="125" t="n">
        <v>7.8</v>
      </c>
      <c r="F36" s="126" t="n">
        <v>3.751</v>
      </c>
      <c r="G36" s="127" t="n">
        <v>34.612</v>
      </c>
      <c r="H36" s="125" t="n">
        <v>1000</v>
      </c>
      <c r="I36" s="125" t="n">
        <v>1009</v>
      </c>
      <c r="J36" s="128" t="n">
        <v>125.28</v>
      </c>
      <c r="K36" s="129" t="n">
        <f aca="false">IF(ISBLANK(E36),"",(0.000824493-(0.0000040899*E36)+(0.000000076438*E36^2)-(0.00000000082467*E36^3)+(0.0000000000053875*E36^4)))</f>
        <v>0.00079687086098358</v>
      </c>
      <c r="L36" s="129" t="n">
        <f aca="false">IF(ISBLANK(E36),"",(-0.00000572466+(0.00000010227*E36)-(0.0000000016546*E36^2)))</f>
        <v>-5.027619864E-006</v>
      </c>
      <c r="M36" s="129" t="n">
        <f aca="false">IF(ISBLANK(E36),"",IF(ISBLANK(G36),(O36+(K36*35)+(L36*35^1.5)+(0.00000048314*35^2)),(O36+(K36*G36)+(L36*G36^1.5)+(0.00000048314*G36^2))))</f>
        <v>1.02699906390663</v>
      </c>
      <c r="N36" s="130" t="n">
        <f aca="false">IF(ISBLANK(D36),"",IF(ISBLANK(G36),J36*(1+0.00001*(35-20)),J36*(1+0.00001*(G36-20))))</f>
        <v>125.2983059136</v>
      </c>
      <c r="O36" s="129" t="n">
        <f aca="false">IF(ISBLANK(E36),"",(0.999842594+(0.00006793952*E36)-(0.00000909529*E36^2)+(0.0000001001685*E36^3)-(0.000000001120083*E36^4)+(0.000000000006536332*E36^5)))</f>
        <v>0.999862742696217</v>
      </c>
      <c r="P36" s="131" t="n">
        <v>3.396</v>
      </c>
      <c r="Q36" s="132" t="n">
        <v>3.307</v>
      </c>
      <c r="R36" s="133" t="n">
        <v>151.7</v>
      </c>
      <c r="S36" s="133" t="n">
        <v>147.7</v>
      </c>
      <c r="T36" s="135"/>
      <c r="U36" s="135"/>
      <c r="V36" s="135"/>
      <c r="W36" s="16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" hidden="false" customHeight="false" outlineLevel="0" collapsed="false">
      <c r="A37" s="108" t="n">
        <f aca="false">IF(ISBLANK(VLOOKUP(D37,'Volumes flacons'!A5:C623,3)),0,1)</f>
        <v>1</v>
      </c>
      <c r="B37" s="109" t="n">
        <f aca="false">IF(ISBLANK(D37),0,IF(ISBLANK(E37),0,IF(ISBLANK(F37),0,1)))</f>
        <v>1</v>
      </c>
      <c r="C37" s="124" t="n">
        <v>3</v>
      </c>
      <c r="D37" s="125" t="n">
        <v>40</v>
      </c>
      <c r="E37" s="125" t="n">
        <v>10.3</v>
      </c>
      <c r="F37" s="126" t="n">
        <v>1.703</v>
      </c>
      <c r="G37" s="127" t="n">
        <v>34.684</v>
      </c>
      <c r="H37" s="125" t="n">
        <v>500</v>
      </c>
      <c r="I37" s="125" t="n">
        <v>505</v>
      </c>
      <c r="J37" s="128" t="n">
        <v>122.34</v>
      </c>
      <c r="K37" s="129" t="n">
        <f aca="false">IF(ISBLANK(E37),"",(0.000824493-(0.0000040899*E37)+(0.000000076438*E37^2)-(0.00000000082467*E37^3)+(0.0000000000053875*E37^4)))</f>
        <v>0.000789635835032049</v>
      </c>
      <c r="L37" s="129" t="n">
        <f aca="false">IF(ISBLANK(E37),"",(-0.00000572466+(0.00000010227*E37)-(0.0000000016546*E37^2)))</f>
        <v>-4.846815514E-006</v>
      </c>
      <c r="M37" s="129" t="n">
        <f aca="false">IF(ISBLANK(E37),"",IF(ISBLANK(G37),(O37+(K37*35)+(L37*35^1.5)+(0.00000048314*35^2)),(O37+(K37*G37)+(L37*G37^1.5)+(0.00000048314*G37^2))))</f>
        <v>1.02665396232827</v>
      </c>
      <c r="N37" s="130" t="n">
        <f aca="false">IF(ISBLANK(D37),"",IF(ISBLANK(G37),J37*(1+0.00001*(35-20)),J37*(1+0.00001*(G37-20))))</f>
        <v>122.3579644056</v>
      </c>
      <c r="O37" s="129" t="n">
        <f aca="false">IF(ISBLANK(E37),"",(0.999842594+(0.00006793952*E37)-(0.00000909529*E37^2)+(0.0000001001685*E37^3)-(0.000000001120083*E37^4)+(0.000000000006536332*E37^5)))</f>
        <v>0.999675059671578</v>
      </c>
      <c r="P37" s="131" t="n">
        <v>1.572</v>
      </c>
      <c r="Q37" s="132" t="n">
        <v>1.531</v>
      </c>
      <c r="R37" s="133" t="n">
        <v>70.2</v>
      </c>
      <c r="S37" s="133" t="n">
        <v>68.4</v>
      </c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" hidden="false" customHeight="false" outlineLevel="0" collapsed="false">
      <c r="A38" s="108" t="n">
        <f aca="false">IF(ISBLANK(VLOOKUP(D38,'Volumes flacons'!A5:C623,3)),0,1)</f>
        <v>1</v>
      </c>
      <c r="B38" s="109" t="n">
        <f aca="false">IF(ISBLANK(D38),0,IF(ISBLANK(E38),0,IF(ISBLANK(F38),0,1)))</f>
        <v>1</v>
      </c>
      <c r="C38" s="124" t="n">
        <v>4</v>
      </c>
      <c r="D38" s="125" t="n">
        <v>44</v>
      </c>
      <c r="E38" s="125" t="n">
        <v>17.1</v>
      </c>
      <c r="F38" s="126" t="n">
        <v>2.144</v>
      </c>
      <c r="G38" s="127" t="n">
        <v>35.623</v>
      </c>
      <c r="H38" s="125" t="n">
        <v>100</v>
      </c>
      <c r="I38" s="125" t="n">
        <v>102</v>
      </c>
      <c r="J38" s="128" t="n">
        <v>129.67</v>
      </c>
      <c r="K38" s="129" t="n">
        <f aca="false">IF(ISBLANK(E38),"",(0.000824493-(0.0000040899*E38)+(0.000000076438*E38^2)-(0.00000000082467*E38^3)+(0.0000000000053875*E38^4)))</f>
        <v>0.000773244072263269</v>
      </c>
      <c r="L38" s="129" t="n">
        <f aca="false">IF(ISBLANK(E38),"",(-0.00000572466+(0.00000010227*E38)-(0.0000000016546*E38^2)))</f>
        <v>-4.459664586E-006</v>
      </c>
      <c r="M38" s="129" t="n">
        <f aca="false">IF(ISBLANK(E38),"",IF(ISBLANK(G38),(O38+(K38*35)+(L38*35^1.5)+(0.00000048314*35^2)),(O38+(K38*G38)+(L38*G38^1.5)+(0.00000048314*G38^2))))</f>
        <v>1.02596963713701</v>
      </c>
      <c r="N38" s="130" t="n">
        <f aca="false">IF(ISBLANK(D38),"",IF(ISBLANK(G38),J38*(1+0.00001*(35-20)),J38*(1+0.00001*(G38-20))))</f>
        <v>129.6902583441</v>
      </c>
      <c r="O38" s="129" t="n">
        <f aca="false">IF(ISBLANK(E38),"",(0.999842594+(0.00006793952*E38)-(0.00000909529*E38^2)+(0.0000001001685*E38^3)-(0.000000001120083*E38^4)+(0.000000000006536332*E38^5)))</f>
        <v>0.998759455388264</v>
      </c>
      <c r="P38" s="131" t="n">
        <v>1.869</v>
      </c>
      <c r="Q38" s="132" t="n">
        <v>1.821</v>
      </c>
      <c r="R38" s="133" t="n">
        <v>83.5</v>
      </c>
      <c r="S38" s="133" t="n">
        <v>81.3</v>
      </c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" hidden="false" customHeight="false" outlineLevel="0" collapsed="false">
      <c r="A39" s="108" t="n">
        <f aca="false">IF(ISBLANK(VLOOKUP(D39,'Volumes flacons'!A5:C623,3)),0,1)</f>
        <v>1</v>
      </c>
      <c r="B39" s="109" t="n">
        <f aca="false">IF(ISBLANK(D39),0,IF(ISBLANK(E39),0,IF(ISBLANK(F39),0,1)))</f>
        <v>1</v>
      </c>
      <c r="C39" s="124" t="n">
        <v>5</v>
      </c>
      <c r="D39" s="125" t="n">
        <v>55</v>
      </c>
      <c r="E39" s="125" t="n">
        <v>17.4</v>
      </c>
      <c r="F39" s="126" t="n">
        <v>2.098</v>
      </c>
      <c r="G39" s="127" t="n">
        <v>35.623</v>
      </c>
      <c r="H39" s="125" t="n">
        <v>100</v>
      </c>
      <c r="I39" s="125" t="n">
        <v>102</v>
      </c>
      <c r="J39" s="128" t="n">
        <v>126.67</v>
      </c>
      <c r="K39" s="129" t="n">
        <f aca="false">IF(ISBLANK(E39),"",(0.000824493-(0.0000040899*E39)+(0.000000076438*E39^2)-(0.00000000082467*E39^3)+(0.0000000000053875*E39^4)))</f>
        <v>0.00077262056526774</v>
      </c>
      <c r="L39" s="129" t="n">
        <f aca="false">IF(ISBLANK(E39),"",(-0.00000572466+(0.00000010227*E39)-(0.0000000016546*E39^2)))</f>
        <v>-4.446108696E-006</v>
      </c>
      <c r="M39" s="129" t="n">
        <f aca="false">IF(ISBLANK(E39),"",IF(ISBLANK(G39),(O39+(K39*35)+(L39*35^1.5)+(0.00000048314*35^2)),(O39+(K39*G39)+(L39*G39^1.5)+(0.00000048314*G39^2))))</f>
        <v>1.0258973487094</v>
      </c>
      <c r="N39" s="130" t="n">
        <f aca="false">IF(ISBLANK(D39),"",IF(ISBLANK(G39),J39*(1+0.00001*(35-20)),J39*(1+0.00001*(G39-20))))</f>
        <v>126.6897896541</v>
      </c>
      <c r="O39" s="129" t="n">
        <f aca="false">IF(ISBLANK(E39),"",(0.999842594+(0.00006793952*E39)-(0.00000909529*E39^2)+(0.0000001001685*E39^3)-(0.000000001120083*E39^4)+(0.000000000006536332*E39^5)))</f>
        <v>0.998706495952615</v>
      </c>
      <c r="P39" s="131" t="n">
        <v>1.872</v>
      </c>
      <c r="Q39" s="132" t="n">
        <v>1.825</v>
      </c>
      <c r="R39" s="133" t="n">
        <v>83.6</v>
      </c>
      <c r="S39" s="133" t="n">
        <v>81.5</v>
      </c>
      <c r="T39" s="32" t="n">
        <v>0.02</v>
      </c>
      <c r="U39" s="32" t="n">
        <v>0.02</v>
      </c>
      <c r="V39" s="134" t="n">
        <v>38.2</v>
      </c>
      <c r="W39" s="134" t="n">
        <v>37.4</v>
      </c>
      <c r="X39" s="134" t="n">
        <v>38.2</v>
      </c>
      <c r="Y39" s="134" t="n">
        <v>37.4</v>
      </c>
      <c r="Z39" s="32" t="n">
        <v>1.4</v>
      </c>
      <c r="AA39" s="32" t="n">
        <v>1.37</v>
      </c>
      <c r="AB39" s="134" t="n">
        <v>6.5</v>
      </c>
      <c r="AC39" s="134" t="n">
        <v>6.3</v>
      </c>
      <c r="AD39" s="159" t="n">
        <v>0.0056</v>
      </c>
      <c r="AE39" s="159" t="n">
        <v>0.0042</v>
      </c>
      <c r="AF39" s="159" t="n">
        <v>-99999</v>
      </c>
      <c r="AG39" s="159" t="n">
        <v>0.0086</v>
      </c>
      <c r="AH39" s="159" t="n">
        <v>0.0065</v>
      </c>
      <c r="AI39" s="159" t="n">
        <v>-99999</v>
      </c>
      <c r="AJ39" s="159" t="n">
        <v>0.0003</v>
      </c>
      <c r="AK39" s="159" t="n">
        <v>-99999</v>
      </c>
      <c r="AL39" s="159" t="n">
        <v>0.0062</v>
      </c>
      <c r="AM39" s="159" t="n">
        <v>0.0006</v>
      </c>
      <c r="AN39" s="159" t="n">
        <v>-99999</v>
      </c>
      <c r="AO39" s="159" t="n">
        <v>-99999</v>
      </c>
      <c r="AP39" s="159" t="n">
        <v>0.0026</v>
      </c>
      <c r="AQ39" s="159"/>
      <c r="AR39" s="159" t="n">
        <v>0.0118</v>
      </c>
      <c r="AS39" s="159" t="n">
        <v>0.0027</v>
      </c>
      <c r="AT39" s="159"/>
      <c r="AU39" s="159" t="n">
        <v>0.0041</v>
      </c>
      <c r="AV39" s="159" t="n">
        <v>-99999</v>
      </c>
      <c r="AW39" s="159"/>
      <c r="AX39" s="159" t="n">
        <v>0.006</v>
      </c>
      <c r="AY39" s="159" t="n">
        <v>0.0271</v>
      </c>
      <c r="AZ39" s="159"/>
      <c r="BA39" s="159" t="n">
        <v>-99999</v>
      </c>
      <c r="BB39" s="136"/>
    </row>
    <row r="40" customFormat="false" ht="15" hidden="false" customHeight="false" outlineLevel="0" collapsed="false">
      <c r="A40" s="108" t="n">
        <f aca="false">IF(ISBLANK(VLOOKUP(D40,'Volumes flacons'!A5:C623,3)),0,1)</f>
        <v>1</v>
      </c>
      <c r="B40" s="109" t="n">
        <f aca="false">IF(ISBLANK(D40),0,IF(ISBLANK(E40),0,IF(ISBLANK(F40),0,1)))</f>
        <v>1</v>
      </c>
      <c r="C40" s="124" t="n">
        <v>6</v>
      </c>
      <c r="D40" s="125" t="n">
        <v>98</v>
      </c>
      <c r="E40" s="125" t="n">
        <v>18</v>
      </c>
      <c r="F40" s="126" t="n">
        <v>2.627</v>
      </c>
      <c r="G40" s="127" t="n">
        <v>35.707</v>
      </c>
      <c r="H40" s="125" t="n">
        <v>80</v>
      </c>
      <c r="I40" s="125" t="n">
        <v>82</v>
      </c>
      <c r="J40" s="128" t="n">
        <v>126.98</v>
      </c>
      <c r="K40" s="129" t="n">
        <f aca="false">IF(ISBLANK(E40),"",(0.000824493-(0.0000040899*E40)+(0.000000076438*E40^2)-(0.00000000082467*E40^3)+(0.0000000000053875*E40^4)))</f>
        <v>0.00077139679476</v>
      </c>
      <c r="L40" s="129" t="n">
        <f aca="false">IF(ISBLANK(E40),"",(-0.00000572466+(0.00000010227*E40)-(0.0000000016546*E40^2)))</f>
        <v>-4.4198904E-006</v>
      </c>
      <c r="M40" s="129" t="n">
        <f aca="false">IF(ISBLANK(E40),"",IF(ISBLANK(G40),(O40+(K40*35)+(L40*35^1.5)+(0.00000048314*35^2)),(O40+(K40*G40)+(L40*G40^1.5)+(0.00000048314*G40^2))))</f>
        <v>1.02581478222604</v>
      </c>
      <c r="N40" s="130" t="n">
        <f aca="false">IF(ISBLANK(D40),"",IF(ISBLANK(G40),J40*(1+0.00001*(35-20)),J40*(1+0.00001*(G40-20))))</f>
        <v>126.9999447486</v>
      </c>
      <c r="O40" s="129" t="n">
        <f aca="false">IF(ISBLANK(E40),"",(0.999842594+(0.00006793952*E40)-(0.00000909529*E40^2)+(0.0000001001685*E40^3)-(0.000000001120083*E40^4)+(0.000000000006536332*E40^5)))</f>
        <v>0.998597583102776</v>
      </c>
      <c r="P40" s="131" t="n">
        <v>2.342</v>
      </c>
      <c r="Q40" s="132" t="n">
        <v>2.283</v>
      </c>
      <c r="R40" s="133" t="n">
        <v>104.6</v>
      </c>
      <c r="S40" s="133" t="n">
        <v>102</v>
      </c>
      <c r="T40" s="32" t="n">
        <v>0.03</v>
      </c>
      <c r="U40" s="32" t="n">
        <v>0.03</v>
      </c>
      <c r="V40" s="134" t="n">
        <v>19.1</v>
      </c>
      <c r="W40" s="134" t="n">
        <v>18.7</v>
      </c>
      <c r="X40" s="134" t="n">
        <v>19.1</v>
      </c>
      <c r="Y40" s="134" t="n">
        <v>18.7</v>
      </c>
      <c r="Z40" s="32" t="n">
        <v>1.24</v>
      </c>
      <c r="AA40" s="32" t="n">
        <v>1.21</v>
      </c>
      <c r="AB40" s="134" t="n">
        <v>6.3</v>
      </c>
      <c r="AC40" s="134" t="n">
        <v>6.2</v>
      </c>
      <c r="AD40" s="159" t="n">
        <v>0.0147</v>
      </c>
      <c r="AE40" s="159" t="n">
        <v>0.0091</v>
      </c>
      <c r="AF40" s="159" t="n">
        <v>0.0011</v>
      </c>
      <c r="AG40" s="159" t="n">
        <v>0.0198</v>
      </c>
      <c r="AH40" s="159" t="n">
        <v>0.0123</v>
      </c>
      <c r="AI40" s="159" t="n">
        <v>0.0011</v>
      </c>
      <c r="AJ40" s="159" t="n">
        <v>0.0006</v>
      </c>
      <c r="AK40" s="159" t="n">
        <v>0.0173</v>
      </c>
      <c r="AL40" s="159" t="n">
        <v>-99999</v>
      </c>
      <c r="AM40" s="159" t="n">
        <v>0.0018</v>
      </c>
      <c r="AN40" s="159" t="n">
        <v>0.0006</v>
      </c>
      <c r="AO40" s="159" t="n">
        <v>-99999</v>
      </c>
      <c r="AP40" s="159" t="n">
        <v>0.0047</v>
      </c>
      <c r="AQ40" s="159"/>
      <c r="AR40" s="159" t="n">
        <v>0.0292</v>
      </c>
      <c r="AS40" s="159" t="n">
        <v>0.0087</v>
      </c>
      <c r="AT40" s="159"/>
      <c r="AU40" s="159" t="n">
        <v>0.0102</v>
      </c>
      <c r="AV40" s="159" t="n">
        <v>-99999</v>
      </c>
      <c r="AW40" s="159"/>
      <c r="AX40" s="159" t="n">
        <v>0.016</v>
      </c>
      <c r="AY40" s="159" t="n">
        <v>0.0561</v>
      </c>
      <c r="AZ40" s="159"/>
      <c r="BA40" s="159" t="n">
        <v>-99999</v>
      </c>
      <c r="BB40" s="136"/>
    </row>
    <row r="41" customFormat="false" ht="15" hidden="false" customHeight="false" outlineLevel="0" collapsed="false">
      <c r="A41" s="108" t="n">
        <f aca="false">IF(ISBLANK(VLOOKUP(D41,'Volumes flacons'!A5:C623,3)),0,1)</f>
        <v>1</v>
      </c>
      <c r="B41" s="109" t="n">
        <f aca="false">IF(ISBLANK(D41),0,IF(ISBLANK(E41),0,IF(ISBLANK(F41),0,1)))</f>
        <v>1</v>
      </c>
      <c r="C41" s="124" t="n">
        <v>7</v>
      </c>
      <c r="D41" s="125" t="n">
        <v>104</v>
      </c>
      <c r="E41" s="125" t="n">
        <v>18.7</v>
      </c>
      <c r="F41" s="126" t="n">
        <v>2.773</v>
      </c>
      <c r="G41" s="127" t="n">
        <v>35.758</v>
      </c>
      <c r="H41" s="125" t="n">
        <v>60</v>
      </c>
      <c r="I41" s="125" t="n">
        <v>61</v>
      </c>
      <c r="J41" s="128" t="n">
        <v>127.33</v>
      </c>
      <c r="K41" s="129" t="n">
        <f aca="false">IF(ISBLANK(E41),"",(0.000824493-(0.0000040899*E41)+(0.000000076438*E41^2)-(0.00000000082467*E41^3)+(0.0000000000053875*E41^4)))</f>
        <v>0.000770007589862229</v>
      </c>
      <c r="L41" s="129" t="n">
        <f aca="false">IF(ISBLANK(E41),"",(-0.00000572466+(0.00000010227*E41)-(0.0000000016546*E41^2)))</f>
        <v>-4.390808074E-006</v>
      </c>
      <c r="M41" s="129" t="n">
        <f aca="false">IF(ISBLANK(E41),"",IF(ISBLANK(G41),(O41+(K41*35)+(L41*35^1.5)+(0.00000048314*35^2)),(O41+(K41*G41)+(L41*G41^1.5)+(0.00000048314*G41^2))))</f>
        <v>1.02567835604101</v>
      </c>
      <c r="N41" s="130" t="n">
        <f aca="false">IF(ISBLANK(D41),"",IF(ISBLANK(G41),J41*(1+0.00001*(35-20)),J41*(1+0.00001*(G41-20))))</f>
        <v>127.3500646614</v>
      </c>
      <c r="O41" s="129" t="n">
        <f aca="false">IF(ISBLANK(E41),"",(0.999842594+(0.00006793952*E41)-(0.00000909529*E41^2)+(0.0000001001685*E41^3)-(0.000000001120083*E41^4)+(0.000000000006536332*E41^5)))</f>
        <v>0.99846553259297</v>
      </c>
      <c r="P41" s="131" t="n">
        <v>2.466</v>
      </c>
      <c r="Q41" s="132" t="n">
        <v>2.404</v>
      </c>
      <c r="R41" s="133" t="n">
        <v>110.1</v>
      </c>
      <c r="S41" s="133" t="n">
        <v>107.4</v>
      </c>
      <c r="T41" s="32" t="n">
        <v>0.06</v>
      </c>
      <c r="U41" s="32" t="n">
        <v>0.06</v>
      </c>
      <c r="V41" s="134" t="n">
        <v>17.7</v>
      </c>
      <c r="W41" s="134" t="n">
        <v>17.3</v>
      </c>
      <c r="X41" s="134" t="n">
        <v>17.6</v>
      </c>
      <c r="Y41" s="134" t="n">
        <v>17.2</v>
      </c>
      <c r="Z41" s="32" t="n">
        <v>1.15</v>
      </c>
      <c r="AA41" s="32" t="n">
        <v>1.13</v>
      </c>
      <c r="AB41" s="134" t="n">
        <v>4.8</v>
      </c>
      <c r="AC41" s="134" t="n">
        <v>4.7</v>
      </c>
      <c r="AD41" s="159" t="n">
        <v>0.033</v>
      </c>
      <c r="AE41" s="159" t="n">
        <v>0.0228</v>
      </c>
      <c r="AF41" s="159" t="n">
        <v>0.0059</v>
      </c>
      <c r="AG41" s="159" t="n">
        <v>0.0336</v>
      </c>
      <c r="AH41" s="159" t="n">
        <v>0.0294</v>
      </c>
      <c r="AI41" s="159" t="n">
        <v>0.0032</v>
      </c>
      <c r="AJ41" s="159" t="n">
        <v>0.0042</v>
      </c>
      <c r="AK41" s="159" t="n">
        <v>0.0339</v>
      </c>
      <c r="AL41" s="159" t="n">
        <v>-99999</v>
      </c>
      <c r="AM41" s="159" t="n">
        <v>0.0044</v>
      </c>
      <c r="AN41" s="159" t="n">
        <v>0.0023</v>
      </c>
      <c r="AO41" s="159" t="n">
        <v>-99999</v>
      </c>
      <c r="AP41" s="159" t="n">
        <v>0.0152</v>
      </c>
      <c r="AQ41" s="159"/>
      <c r="AR41" s="159" t="n">
        <v>0.0669</v>
      </c>
      <c r="AS41" s="159" t="n">
        <v>0.0392</v>
      </c>
      <c r="AT41" s="159"/>
      <c r="AU41" s="159" t="n">
        <v>0.0234</v>
      </c>
      <c r="AV41" s="159" t="n">
        <v>-99999</v>
      </c>
      <c r="AW41" s="159"/>
      <c r="AX41" s="159" t="n">
        <v>0.0424</v>
      </c>
      <c r="AY41" s="159" t="n">
        <v>0.1497</v>
      </c>
      <c r="AZ41" s="159"/>
      <c r="BA41" s="159" t="n">
        <v>-99999</v>
      </c>
      <c r="BB41" s="136"/>
    </row>
    <row r="42" customFormat="false" ht="15" hidden="false" customHeight="false" outlineLevel="0" collapsed="false">
      <c r="A42" s="108" t="n">
        <f aca="false">IF(ISBLANK(VLOOKUP(D42,'Volumes flacons'!A5:C623,3)),0,1)</f>
        <v>1</v>
      </c>
      <c r="B42" s="109" t="n">
        <f aca="false">IF(ISBLANK(D42),0,IF(ISBLANK(E42),0,IF(ISBLANK(F42),0,1)))</f>
        <v>1</v>
      </c>
      <c r="C42" s="124" t="n">
        <v>8</v>
      </c>
      <c r="D42" s="125" t="n">
        <v>109</v>
      </c>
      <c r="E42" s="125" t="n">
        <v>19.9</v>
      </c>
      <c r="F42" s="126" t="n">
        <v>3.458</v>
      </c>
      <c r="G42" s="127" t="n">
        <v>35.752</v>
      </c>
      <c r="H42" s="125" t="n">
        <v>40</v>
      </c>
      <c r="I42" s="125" t="n">
        <v>41</v>
      </c>
      <c r="J42" s="128" t="n">
        <v>125.56</v>
      </c>
      <c r="K42" s="129" t="n">
        <f aca="false">IF(ISBLANK(E42),"",(0.000824493-(0.0000040899*E42)+(0.000000076438*E42^2)-(0.00000000082467*E42^3)+(0.0000000000053875*E42^4)))</f>
        <v>0.000767720197672209</v>
      </c>
      <c r="L42" s="129" t="n">
        <f aca="false">IF(ISBLANK(E42),"",(-0.00000572466+(0.00000010227*E42)-(0.0000000016546*E42^2)))</f>
        <v>-4.344725146E-006</v>
      </c>
      <c r="M42" s="129" t="n">
        <f aca="false">IF(ISBLANK(E42),"",IF(ISBLANK(G42),(O42+(K42*35)+(L42*35^1.5)+(0.00000048314*35^2)),(O42+(K42*G42)+(L42*G42^1.5)+(0.00000048314*G42^2))))</f>
        <v>1.02536319997698</v>
      </c>
      <c r="N42" s="130" t="n">
        <f aca="false">IF(ISBLANK(D42),"",IF(ISBLANK(G42),J42*(1+0.00001*(35-20)),J42*(1+0.00001*(G42-20))))</f>
        <v>125.5797782112</v>
      </c>
      <c r="O42" s="129" t="n">
        <f aca="false">IF(ISBLANK(E42),"",(0.999842594+(0.00006793952*E42)-(0.00000909529*E42^2)+(0.0000001001685*E42^3)-(0.000000001120083*E42^4)+(0.000000000006536332*E42^5)))</f>
        <v>0.99822689518796</v>
      </c>
      <c r="P42" s="131" t="n">
        <v>3.123</v>
      </c>
      <c r="Q42" s="132" t="n">
        <v>3.045</v>
      </c>
      <c r="R42" s="133" t="n">
        <v>139.5</v>
      </c>
      <c r="S42" s="133" t="n">
        <v>136</v>
      </c>
      <c r="T42" s="32" t="n">
        <v>0.23</v>
      </c>
      <c r="U42" s="32" t="n">
        <v>0.22</v>
      </c>
      <c r="V42" s="134" t="n">
        <v>13.3</v>
      </c>
      <c r="W42" s="134" t="n">
        <v>13</v>
      </c>
      <c r="X42" s="134" t="n">
        <v>13.1</v>
      </c>
      <c r="Y42" s="134" t="n">
        <v>12.8</v>
      </c>
      <c r="Z42" s="32" t="n">
        <v>0.92</v>
      </c>
      <c r="AA42" s="32" t="n">
        <v>0.9</v>
      </c>
      <c r="AB42" s="134" t="n">
        <v>4</v>
      </c>
      <c r="AC42" s="134" t="n">
        <v>3.9</v>
      </c>
      <c r="AD42" s="159" t="n">
        <v>0.0747</v>
      </c>
      <c r="AE42" s="159" t="n">
        <v>0.046</v>
      </c>
      <c r="AF42" s="159" t="n">
        <v>0.0161</v>
      </c>
      <c r="AG42" s="159" t="n">
        <v>0.0622</v>
      </c>
      <c r="AH42" s="159" t="n">
        <v>0.0463</v>
      </c>
      <c r="AI42" s="159" t="n">
        <v>0.0135</v>
      </c>
      <c r="AJ42" s="159" t="n">
        <v>0.008</v>
      </c>
      <c r="AK42" s="159" t="n">
        <v>0.0032</v>
      </c>
      <c r="AL42" s="159" t="n">
        <v>0.1097</v>
      </c>
      <c r="AM42" s="159" t="n">
        <v>0.0108</v>
      </c>
      <c r="AN42" s="159" t="n">
        <v>0.0018</v>
      </c>
      <c r="AO42" s="159" t="n">
        <v>-99999</v>
      </c>
      <c r="AP42" s="159" t="n">
        <v>0.0279</v>
      </c>
      <c r="AQ42" s="159"/>
      <c r="AR42" s="159" t="n">
        <v>0.0364</v>
      </c>
      <c r="AS42" s="159" t="n">
        <v>0.136</v>
      </c>
      <c r="AT42" s="159"/>
      <c r="AU42" s="159" t="n">
        <v>0.0254</v>
      </c>
      <c r="AV42" s="159" t="n">
        <v>-99999</v>
      </c>
      <c r="AW42" s="159"/>
      <c r="AX42" s="159" t="n">
        <v>0.0588</v>
      </c>
      <c r="AY42" s="159" t="n">
        <v>0.3575</v>
      </c>
      <c r="AZ42" s="159"/>
      <c r="BA42" s="159" t="n">
        <v>-99999</v>
      </c>
      <c r="BB42" s="136"/>
    </row>
    <row r="43" customFormat="false" ht="15" hidden="false" customHeight="false" outlineLevel="0" collapsed="false">
      <c r="A43" s="108" t="n">
        <f aca="false">IF(ISBLANK(VLOOKUP(D43,'Volumes flacons'!A5:C623,3)),0,1)</f>
        <v>1</v>
      </c>
      <c r="B43" s="109" t="n">
        <f aca="false">IF(ISBLANK(D43),0,IF(ISBLANK(E43),0,IF(ISBLANK(F43),0,1)))</f>
        <v>1</v>
      </c>
      <c r="C43" s="124" t="n">
        <v>9</v>
      </c>
      <c r="D43" s="125" t="n">
        <v>130</v>
      </c>
      <c r="E43" s="125" t="n">
        <v>28.1</v>
      </c>
      <c r="F43" s="126" t="n">
        <v>4.981</v>
      </c>
      <c r="G43" s="127" t="n">
        <v>35.533</v>
      </c>
      <c r="H43" s="125" t="n">
        <v>20</v>
      </c>
      <c r="I43" s="125" t="n">
        <v>21</v>
      </c>
      <c r="J43" s="128" t="n">
        <v>122.45</v>
      </c>
      <c r="K43" s="129" t="n">
        <f aca="false">IF(ISBLANK(E43),"",(0.000824493-(0.0000040899*E43)+(0.000000076438*E43^2)-(0.00000000082467*E43^3)+(0.0000000000053875*E43^4)))</f>
        <v>0.000754984227200469</v>
      </c>
      <c r="L43" s="129" t="n">
        <f aca="false">IF(ISBLANK(E43),"",(-0.00000572466+(0.00000010227*E43)-(0.0000000016546*E43^2)))</f>
        <v>-4.157361706E-006</v>
      </c>
      <c r="M43" s="129" t="n">
        <f aca="false">IF(ISBLANK(E43),"",IF(ISBLANK(G43),(O43+(K43*35)+(L43*35^1.5)+(0.00000048314*35^2)),(O43+(K43*G43)+(L43*G43^1.5)+(0.00000048314*G43^2))))</f>
        <v>1.02276495818704</v>
      </c>
      <c r="N43" s="130" t="n">
        <f aca="false">IF(ISBLANK(D43),"",IF(ISBLANK(G43),J43*(1+0.00001*(35-20)),J43*(1+0.00001*(G43-20))))</f>
        <v>122.4690201585</v>
      </c>
      <c r="O43" s="129" t="n">
        <f aca="false">IF(ISBLANK(E43),"",(0.999842594+(0.00006793952*E43)-(0.00000909529*E43^2)+(0.0000001001685*E43^3)-(0.000000001120083*E43^4)+(0.000000000006536332*E43^5)))</f>
        <v>0.996208667461312</v>
      </c>
      <c r="P43" s="131" t="n">
        <v>4.62</v>
      </c>
      <c r="Q43" s="132" t="n">
        <v>4.517</v>
      </c>
      <c r="R43" s="133" t="n">
        <v>206.3</v>
      </c>
      <c r="S43" s="133" t="n">
        <v>201.7</v>
      </c>
      <c r="T43" s="32" t="n">
        <v>0</v>
      </c>
      <c r="U43" s="32" t="n">
        <v>0</v>
      </c>
      <c r="V43" s="134" t="n">
        <v>0.1</v>
      </c>
      <c r="W43" s="134" t="n">
        <v>0</v>
      </c>
      <c r="X43" s="134" t="n">
        <v>0.1</v>
      </c>
      <c r="Y43" s="134" t="n">
        <v>0</v>
      </c>
      <c r="Z43" s="32" t="n">
        <v>0.05</v>
      </c>
      <c r="AA43" s="32" t="n">
        <v>0.04</v>
      </c>
      <c r="AB43" s="134" t="n">
        <v>0.6</v>
      </c>
      <c r="AC43" s="134" t="n">
        <v>0.6</v>
      </c>
      <c r="AD43" s="159" t="n">
        <v>0.0225</v>
      </c>
      <c r="AE43" s="159" t="n">
        <v>0.0236</v>
      </c>
      <c r="AF43" s="159" t="n">
        <v>0.0102</v>
      </c>
      <c r="AG43" s="159" t="n">
        <v>0.0186</v>
      </c>
      <c r="AH43" s="159" t="n">
        <v>0.0141</v>
      </c>
      <c r="AI43" s="159" t="n">
        <v>0.0024</v>
      </c>
      <c r="AJ43" s="159" t="n">
        <v>-99999</v>
      </c>
      <c r="AK43" s="159" t="n">
        <v>0.0009</v>
      </c>
      <c r="AL43" s="159" t="n">
        <v>0.058</v>
      </c>
      <c r="AM43" s="159" t="n">
        <v>0.0089</v>
      </c>
      <c r="AN43" s="159" t="n">
        <v>0.0014</v>
      </c>
      <c r="AO43" s="159" t="n">
        <v>-99999</v>
      </c>
      <c r="AP43" s="159" t="n">
        <v>0.097</v>
      </c>
      <c r="AQ43" s="159"/>
      <c r="AR43" s="159" t="n">
        <v>0.0104</v>
      </c>
      <c r="AS43" s="159" t="n">
        <v>0.0242</v>
      </c>
      <c r="AT43" s="159"/>
      <c r="AU43" s="159" t="n">
        <v>0.0341</v>
      </c>
      <c r="AV43" s="159" t="n">
        <v>-99999</v>
      </c>
      <c r="AW43" s="159"/>
      <c r="AX43" s="159" t="n">
        <v>0.0919</v>
      </c>
      <c r="AY43" s="159" t="n">
        <v>0.2359</v>
      </c>
      <c r="AZ43" s="159"/>
      <c r="BA43" s="159" t="n">
        <v>-99999</v>
      </c>
      <c r="BB43" s="136"/>
    </row>
    <row r="44" customFormat="false" ht="15" hidden="false" customHeight="false" outlineLevel="0" collapsed="false">
      <c r="A44" s="108" t="n">
        <f aca="false">IF(ISBLANK(VLOOKUP(D44,'Volumes flacons'!A5:C623,3)),0,1)</f>
        <v>1</v>
      </c>
      <c r="B44" s="109" t="n">
        <f aca="false">IF(ISBLANK(D44),0,IF(ISBLANK(E44),0,IF(ISBLANK(F44),0,1)))</f>
        <v>1</v>
      </c>
      <c r="C44" s="124" t="n">
        <v>10</v>
      </c>
      <c r="D44" s="125" t="n">
        <v>135</v>
      </c>
      <c r="E44" s="125" t="n">
        <v>28.6</v>
      </c>
      <c r="F44" s="126" t="n">
        <v>4.947</v>
      </c>
      <c r="G44" s="127" t="n">
        <v>33.595</v>
      </c>
      <c r="H44" s="125" t="n">
        <v>10</v>
      </c>
      <c r="I44" s="125" t="n">
        <v>11</v>
      </c>
      <c r="J44" s="128" t="n">
        <v>121.11</v>
      </c>
      <c r="K44" s="129" t="n">
        <f aca="false">IF(ISBLANK(E44),"",(0.000824493-(0.0000040899*E44)+(0.000000076438*E44^2)-(0.00000000082467*E44^3)+(0.0000000000053875*E44^4)))</f>
        <v>0.0007543575931871</v>
      </c>
      <c r="L44" s="129" t="n">
        <f aca="false">IF(ISBLANK(E44),"",(-0.00000572466+(0.00000010227*E44)-(0.0000000016546*E44^2)))</f>
        <v>-4.153134616E-006</v>
      </c>
      <c r="M44" s="129" t="n">
        <f aca="false">IF(ISBLANK(E44),"",IF(ISBLANK(G44),(O44+(K44*35)+(L44*35^1.5)+(0.00000048314*35^2)),(O44+(K44*G44)+(L44*G44^1.5)+(0.00000048314*G44^2))))</f>
        <v>1.02114428613761</v>
      </c>
      <c r="N44" s="130" t="n">
        <f aca="false">IF(ISBLANK(D44),"",IF(ISBLANK(G44),J44*(1+0.00001*(35-20)),J44*(1+0.00001*(G44-20))))</f>
        <v>121.1264649045</v>
      </c>
      <c r="O44" s="129" t="n">
        <f aca="false">IF(ISBLANK(E44),"",(0.999842594+(0.00006793952*E44)-(0.00000909529*E44^2)+(0.0000001001685*E44^3)-(0.000000001120083*E44^4)+(0.000000000006536332*E44^5)))</f>
        <v>0.996065060375924</v>
      </c>
      <c r="P44" s="131" t="n">
        <v>4.64</v>
      </c>
      <c r="Q44" s="132" t="n">
        <v>4.544</v>
      </c>
      <c r="R44" s="133" t="n">
        <v>207.2</v>
      </c>
      <c r="S44" s="133" t="n">
        <v>202.9</v>
      </c>
      <c r="T44" s="32" t="n">
        <v>0</v>
      </c>
      <c r="U44" s="32" t="n">
        <v>0</v>
      </c>
      <c r="V44" s="134" t="n">
        <v>0.1</v>
      </c>
      <c r="W44" s="134" t="n">
        <v>0.1</v>
      </c>
      <c r="X44" s="134" t="n">
        <v>0.1</v>
      </c>
      <c r="Y44" s="134" t="n">
        <v>0.1</v>
      </c>
      <c r="Z44" s="32" t="n">
        <v>0.03</v>
      </c>
      <c r="AA44" s="32" t="n">
        <v>0.03</v>
      </c>
      <c r="AB44" s="134" t="n">
        <v>3</v>
      </c>
      <c r="AC44" s="134" t="n">
        <v>3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" hidden="false" customHeight="false" outlineLevel="0" collapsed="false">
      <c r="A45" s="108" t="n">
        <f aca="false">IF(ISBLANK(VLOOKUP(D45,'Volumes flacons'!A5:C623,3)),0,1)</f>
        <v>1</v>
      </c>
      <c r="B45" s="109" t="n">
        <f aca="false">IF(ISBLANK(D45),0,IF(ISBLANK(E45),0,IF(ISBLANK(F45),0,1)))</f>
        <v>1</v>
      </c>
      <c r="C45" s="124" t="n">
        <v>11</v>
      </c>
      <c r="D45" s="125" t="n">
        <v>154</v>
      </c>
      <c r="E45" s="125" t="n">
        <v>28.7</v>
      </c>
      <c r="F45" s="126" t="n">
        <v>5.039</v>
      </c>
      <c r="G45" s="127" t="n">
        <v>31.86</v>
      </c>
      <c r="H45" s="125" t="n">
        <v>0</v>
      </c>
      <c r="I45" s="125" t="n">
        <v>3</v>
      </c>
      <c r="J45" s="128" t="n">
        <v>124.41</v>
      </c>
      <c r="K45" s="129" t="n">
        <f aca="false">IF(ISBLANK(E45),"",(0.000824493-(0.0000040899*E45)+(0.000000076438*E45^2)-(0.00000000082467*E45^3)+(0.0000000000053875*E45^4)))</f>
        <v>0.000754234198764729</v>
      </c>
      <c r="L45" s="129" t="n">
        <f aca="false">IF(ISBLANK(E45),"",(-0.00000572466+(0.00000010227*E45)-(0.0000000016546*E45^2)))</f>
        <v>-4.152388474E-006</v>
      </c>
      <c r="M45" s="129" t="n">
        <f aca="false">IF(ISBLANK(E45),"",IF(ISBLANK(G45),(O45+(K45*35)+(L45*35^1.5)+(0.00000048314*35^2)),(O45+(K45*G45)+(L45*G45^1.5)+(0.00000048314*G45^2))))</f>
        <v>1.01980965246407</v>
      </c>
      <c r="N45" s="130" t="n">
        <f aca="false">IF(ISBLANK(D45),"",IF(ISBLANK(G45),J45*(1+0.00001*(35-20)),J45*(1+0.00001*(G45-20))))</f>
        <v>124.424755026</v>
      </c>
      <c r="O45" s="129" t="n">
        <f aca="false">IF(ISBLANK(E45),"",(0.999842594+(0.00006793952*E45)-(0.00000909529*E45^2)+(0.0000001001685*E45^3)-(0.000000001120083*E45^4)+(0.000000000006536332*E45^5)))</f>
        <v>0.996036070213923</v>
      </c>
      <c r="P45" s="131" t="n">
        <v>4.6</v>
      </c>
      <c r="Q45" s="132" t="n">
        <v>4.51</v>
      </c>
      <c r="R45" s="133" t="n">
        <v>205.4</v>
      </c>
      <c r="S45" s="133" t="n">
        <v>201.4</v>
      </c>
      <c r="T45" s="32" t="n">
        <v>0</v>
      </c>
      <c r="U45" s="32" t="n">
        <v>0</v>
      </c>
      <c r="V45" s="134" t="n">
        <v>0.1</v>
      </c>
      <c r="W45" s="134" t="n">
        <v>0</v>
      </c>
      <c r="X45" s="134" t="n">
        <v>0</v>
      </c>
      <c r="Y45" s="134" t="n">
        <v>0</v>
      </c>
      <c r="Z45" s="32" t="n">
        <v>0.03</v>
      </c>
      <c r="AA45" s="32" t="n">
        <v>0.03</v>
      </c>
      <c r="AB45" s="134" t="n">
        <v>6.7</v>
      </c>
      <c r="AC45" s="134" t="n">
        <v>6.5</v>
      </c>
      <c r="AD45" s="159" t="n">
        <v>0.0105</v>
      </c>
      <c r="AE45" s="159" t="n">
        <v>0.0118</v>
      </c>
      <c r="AF45" s="159" t="n">
        <v>0.0044</v>
      </c>
      <c r="AG45" s="159" t="n">
        <v>0.006</v>
      </c>
      <c r="AH45" s="159" t="n">
        <v>0.0177</v>
      </c>
      <c r="AI45" s="159" t="n">
        <v>0.001</v>
      </c>
      <c r="AJ45" s="159" t="n">
        <v>-99999</v>
      </c>
      <c r="AK45" s="159" t="n">
        <v>0.0012</v>
      </c>
      <c r="AL45" s="159" t="n">
        <v>0.0225</v>
      </c>
      <c r="AM45" s="159" t="n">
        <v>0.0071</v>
      </c>
      <c r="AN45" s="159" t="n">
        <v>-99999</v>
      </c>
      <c r="AO45" s="159" t="n">
        <v>-99999</v>
      </c>
      <c r="AP45" s="159" t="n">
        <v>0.0985</v>
      </c>
      <c r="AQ45" s="159"/>
      <c r="AR45" s="159" t="n">
        <v>0.0025</v>
      </c>
      <c r="AS45" s="159" t="n">
        <v>0.0088</v>
      </c>
      <c r="AT45" s="159"/>
      <c r="AU45" s="159" t="n">
        <v>-99999</v>
      </c>
      <c r="AV45" s="159" t="n">
        <v>0.0308</v>
      </c>
      <c r="AW45" s="159"/>
      <c r="AX45" s="159" t="n">
        <v>0.0208</v>
      </c>
      <c r="AY45" s="159" t="n">
        <v>0.2194</v>
      </c>
      <c r="AZ45" s="159"/>
      <c r="BA45" s="159" t="n">
        <v>-99999</v>
      </c>
      <c r="BB45" s="136"/>
    </row>
    <row r="46" customFormat="false" ht="15" hidden="false" customHeight="false" outlineLevel="0" collapsed="false">
      <c r="A46" s="108" t="n">
        <f aca="false">IF(ISBLANK(VLOOKUP(D46,'Volumes flacons'!A5:C623,3)),0,1)</f>
        <v>1</v>
      </c>
      <c r="B46" s="109" t="n">
        <f aca="false">IF(ISBLANK(D46),0,IF(ISBLANK(E46),0,IF(ISBLANK(F46),0,1)))</f>
        <v>0</v>
      </c>
      <c r="C46" s="124" t="n">
        <v>12</v>
      </c>
      <c r="D46" s="125"/>
      <c r="E46" s="125"/>
      <c r="F46" s="126"/>
      <c r="G46" s="127"/>
      <c r="H46" s="125"/>
      <c r="I46" s="125"/>
      <c r="J46" s="128" t="str">
        <f aca="false">IF(ISBLANK(D46),"",IF(VLOOKUP(D46,'Volumes flacons'!$A$5:$C$623,2)=0,"",IF(D46&gt;'Volumes flacons'!$A$623,"Mauvais numéro",IF(D46&lt;'Volumes flacons'!$A$5,"Mauvais numéro",(VLOOKUP(D46,'Volumes flacons'!$A$5:$C$623,3))))))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Flac.",P46*M46)))))))))</f>
        <v/>
      </c>
      <c r="R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08" t="n">
        <f aca="false">IF(ISBLANK(VLOOKUP(D47,'Volumes flacons'!A5:C623,3)),0,1)</f>
        <v>1</v>
      </c>
      <c r="B47" s="109" t="n">
        <f aca="false">IF(ISBLANK(D47),0,IF(ISBLANK(E47),0,IF(ISBLANK(F47),0,1)))</f>
        <v>0</v>
      </c>
      <c r="C47" s="124" t="n">
        <v>13</v>
      </c>
      <c r="D47" s="125"/>
      <c r="E47" s="125"/>
      <c r="F47" s="126"/>
      <c r="G47" s="127"/>
      <c r="H47" s="125"/>
      <c r="I47" s="125"/>
      <c r="J47" s="128" t="str">
        <f aca="false">IF(ISBLANK(D47),"",IF(VLOOKUP(D47,'Volumes flacons'!$A$5:$C$623,2)=0,"",IF(D47&gt;'Volumes flacons'!$A$623,"Mauvais numéro",IF(D47&lt;'Volumes flacons'!$A$5,"Mauvais numéro",(VLOOKUP(D47,'Volumes flacons'!$A$5:$C$623,3))))))</f>
        <v/>
      </c>
      <c r="K47" s="129" t="str">
        <f aca="false">IF(ISBLANK(E47),"",(0.000824493-(0.0000040899*E47)+(0.000000076438*E47^2)-(0.00000000082467*E47^3)+(0.0000000000053875*E47^4)))</f>
        <v/>
      </c>
      <c r="L47" s="129" t="str">
        <f aca="false">IF(ISBLANK(E47),"",(-0.00000572466+(0.00000010227*E47)-(0.0000000016546*E47^2)))</f>
        <v/>
      </c>
      <c r="M47" s="129" t="str">
        <f aca="false">IF(ISBLANK(E47),"",IF(ISBLANK(G47),(O47+(K47*35)+(L47*35^1.5)+(0.00000048314*35^2)),(O47+(K47*G47)+(L47*G47^1.5)+(0.00000048314*G47^2))))</f>
        <v/>
      </c>
      <c r="N47" s="130" t="str">
        <f aca="false">IF(ISBLANK(D47),"",IF(ISBLANK(G47),J47*(1+0.00001*(35-20)),J47*(1+0.00001*(G47-20))))</f>
        <v/>
      </c>
      <c r="O47" s="129" t="str">
        <f aca="false">IF(ISBLANK(E47),"",(0.999842594+(0.00006793952*E47)-(0.00000909529*E47^2)+(0.0000001001685*E47^3)-(0.000000001120083*E47^4)+(0.000000000006536332*E47^5)))</f>
        <v/>
      </c>
      <c r="P47" s="13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Flac.",P47*M47)))))))))</f>
        <v/>
      </c>
      <c r="R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08" t="n">
        <f aca="false">IF(ISBLANK(VLOOKUP(D48,'Volumes flacons'!A5:C623,3)),0,1)</f>
        <v>1</v>
      </c>
      <c r="B48" s="109" t="n">
        <f aca="false">IF(ISBLANK(D48),0,IF(ISBLANK(E48),0,IF(ISBLANK(F48),0,1)))</f>
        <v>0</v>
      </c>
      <c r="C48" s="124" t="n">
        <v>14</v>
      </c>
      <c r="D48" s="125"/>
      <c r="E48" s="125"/>
      <c r="F48" s="126"/>
      <c r="G48" s="127"/>
      <c r="H48" s="125"/>
      <c r="I48" s="125"/>
      <c r="J48" s="128" t="str">
        <f aca="false">IF(ISBLANK(D48),"",IF(VLOOKUP(D48,'Volumes flacons'!$A$5:$C$623,2)=0,"",IF(D48&gt;'Volumes flacons'!$A$623,"Mauvais numéro",IF(D48&lt;'Volumes flacons'!$A$5,"Mauvais numéro",(VLOOKUP(D48,'Volumes flacons'!$A$5:$C$623,3))))))</f>
        <v/>
      </c>
      <c r="K48" s="129" t="str">
        <f aca="false">IF(ISBLANK(E48),"",(0.000824493-(0.0000040899*E48)+(0.000000076438*E48^2)-(0.00000000082467*E48^3)+(0.0000000000053875*E48^4)))</f>
        <v/>
      </c>
      <c r="L48" s="129" t="str">
        <f aca="false">IF(ISBLANK(E48),"",(-0.00000572466+(0.00000010227*E48)-(0.0000000016546*E48^2)))</f>
        <v/>
      </c>
      <c r="M48" s="129" t="str">
        <f aca="false">IF(ISBLANK(E48),"",IF(ISBLANK(G48),(O48+(K48*35)+(L48*35^1.5)+(0.00000048314*35^2)),(O48+(K48*G48)+(L48*G48^1.5)+(0.00000048314*G48^2))))</f>
        <v/>
      </c>
      <c r="N48" s="130" t="str">
        <f aca="false">IF(ISBLANK(D48),"",IF(ISBLANK(G48),J48*(1+0.00001*(35-20)),J48*(1+0.00001*(G48-20))))</f>
        <v/>
      </c>
      <c r="O48" s="129" t="str">
        <f aca="false">IF(ISBLANK(E48),"",(0.999842594+(0.00006793952*E48)-(0.00000909529*E48^2)+(0.0000001001685*E48^3)-(0.000000001120083*E48^4)+(0.000000000006536332*E48^5)))</f>
        <v/>
      </c>
      <c r="P48" s="13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Flac.",P48*M48)))))))))</f>
        <v/>
      </c>
      <c r="R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08" t="n">
        <f aca="false">IF(ISBLANK(VLOOKUP(D49,'Volumes flacons'!A5:C623,3)),0,1)</f>
        <v>1</v>
      </c>
      <c r="B49" s="109" t="n">
        <f aca="false">IF(ISBLANK(D49),0,IF(ISBLANK(E49),0,IF(ISBLANK(F49),0,1)))</f>
        <v>0</v>
      </c>
      <c r="C49" s="124" t="n">
        <v>15</v>
      </c>
      <c r="D49" s="125"/>
      <c r="E49" s="125"/>
      <c r="F49" s="126"/>
      <c r="G49" s="127"/>
      <c r="H49" s="125"/>
      <c r="I49" s="125"/>
      <c r="J49" s="128" t="str">
        <f aca="false">IF(ISBLANK(D49),"",IF(VLOOKUP(D49,'Volumes flacons'!$A$5:$C$623,2)=0,"",IF(D49&gt;'Volumes flacons'!$A$623,"Mauvais numéro",IF(D49&lt;'Volumes flacons'!$A$5,"Mauvais numéro",(VLOOKUP(D49,'Volumes flacons'!$A$5:$C$623,3))))))</f>
        <v/>
      </c>
      <c r="K49" s="129" t="str">
        <f aca="false">IF(ISBLANK(E49),"",(0.000824493-(0.0000040899*E49)+(0.000000076438*E49^2)-(0.00000000082467*E49^3)+(0.0000000000053875*E49^4)))</f>
        <v/>
      </c>
      <c r="L49" s="129" t="str">
        <f aca="false">IF(ISBLANK(E49),"",(-0.00000572466+(0.00000010227*E49)-(0.0000000016546*E49^2)))</f>
        <v/>
      </c>
      <c r="M49" s="129" t="str">
        <f aca="false">IF(ISBLANK(E49),"",IF(ISBLANK(G49),(O49+(K49*35)+(L49*35^1.5)+(0.00000048314*35^2)),(O49+(K49*G49)+(L49*G49^1.5)+(0.00000048314*G49^2))))</f>
        <v/>
      </c>
      <c r="N49" s="130" t="str">
        <f aca="false">IF(ISBLANK(D49),"",IF(ISBLANK(G49),J49*(1+0.00001*(35-20)),J49*(1+0.00001*(G49-20))))</f>
        <v/>
      </c>
      <c r="O49" s="129" t="str">
        <f aca="false">IF(ISBLANK(E49),"",(0.999842594+(0.00006793952*E49)-(0.00000909529*E49^2)+(0.0000001001685*E49^3)-(0.000000001120083*E49^4)+(0.000000000006536332*E49^5)))</f>
        <v/>
      </c>
      <c r="P49" s="13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Flac.",P49*M49)))))))))</f>
        <v/>
      </c>
      <c r="R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08" t="n">
        <f aca="false">IF(ISBLANK(VLOOKUP(D50,'Volumes flacons'!A5:C623,3)),0,1)</f>
        <v>1</v>
      </c>
      <c r="B50" s="109" t="n">
        <f aca="false">IF(ISBLANK(D50),0,IF(ISBLANK(E50),0,IF(ISBLANK(F50),0,1)))</f>
        <v>0</v>
      </c>
      <c r="C50" s="124" t="n">
        <v>16</v>
      </c>
      <c r="D50" s="125"/>
      <c r="E50" s="125"/>
      <c r="F50" s="126"/>
      <c r="G50" s="127"/>
      <c r="H50" s="125"/>
      <c r="I50" s="125"/>
      <c r="J50" s="128" t="str">
        <f aca="false">IF(ISBLANK(D50),"",IF(VLOOKUP(D50,'Volumes flacons'!$A$5:$C$623,2)=0,"",IF(D50&gt;'Volumes flacons'!$A$623,"Mauvais numéro",IF(D50&lt;'Volumes flacons'!$A$5,"Mauvais numéro",(VLOOKUP(D50,'Volumes flacons'!$A$5:$C$623,3))))))</f>
        <v/>
      </c>
      <c r="K50" s="129" t="str">
        <f aca="false">IF(ISBLANK(E50),"",(0.000824493-(0.0000040899*E50)+(0.000000076438*E50^2)-(0.00000000082467*E50^3)+(0.0000000000053875*E50^4)))</f>
        <v/>
      </c>
      <c r="L50" s="129" t="str">
        <f aca="false">IF(ISBLANK(E50),"",(-0.00000572466+(0.00000010227*E50)-(0.0000000016546*E50^2)))</f>
        <v/>
      </c>
      <c r="M50" s="129" t="str">
        <f aca="false">IF(ISBLANK(E50),"",IF(ISBLANK(G50),(O50+(K50*35)+(L50*35^1.5)+(0.00000048314*35^2)),(O50+(K50*G50)+(L50*G50^1.5)+(0.00000048314*G50^2))))</f>
        <v/>
      </c>
      <c r="N50" s="130" t="str">
        <f aca="false">IF(ISBLANK(D50),"",IF(ISBLANK(G50),J50*(1+0.00001*(35-20)),J50*(1+0.00001*(G50-20))))</f>
        <v/>
      </c>
      <c r="O50" s="129" t="str">
        <f aca="false">IF(ISBLANK(E50),"",(0.999842594+(0.00006793952*E50)-(0.00000909529*E50^2)+(0.0000001001685*E50^3)-(0.000000001120083*E50^4)+(0.000000000006536332*E50^5)))</f>
        <v/>
      </c>
      <c r="P50" s="13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Flac.",P50*M50)))))))))</f>
        <v/>
      </c>
      <c r="R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08" t="n">
        <f aca="false">IF(ISBLANK(VLOOKUP(D51,'Volumes flacons'!A5:C623,3)),0,1)</f>
        <v>1</v>
      </c>
      <c r="B51" s="109" t="n">
        <f aca="false">IF(ISBLANK(D51),0,IF(ISBLANK(E51),0,IF(ISBLANK(F51),0,1)))</f>
        <v>0</v>
      </c>
      <c r="C51" s="124" t="n">
        <v>17</v>
      </c>
      <c r="D51" s="125"/>
      <c r="E51" s="125"/>
      <c r="F51" s="126"/>
      <c r="G51" s="127"/>
      <c r="H51" s="125"/>
      <c r="I51" s="125"/>
      <c r="J51" s="128" t="str">
        <f aca="false">IF(ISBLANK(D51),"",IF(VLOOKUP(D51,'Volumes flacons'!$A$5:$C$623,2)=0,"",IF(D51&gt;'Volumes flacons'!$A$623,"Mauvais numéro",IF(D51&lt;'Volumes flacons'!$A$5,"Mauvais numéro",(VLOOKUP(D51,'Volumes flacons'!$A$5:$C$623,3))))))</f>
        <v/>
      </c>
      <c r="K51" s="129" t="str">
        <f aca="false">IF(ISBLANK(E51),"",(0.000824493-(0.0000040899*E51)+(0.000000076438*E51^2)-(0.00000000082467*E51^3)+(0.0000000000053875*E51^4)))</f>
        <v/>
      </c>
      <c r="L51" s="129" t="str">
        <f aca="false">IF(ISBLANK(E51),"",(-0.00000572466+(0.00000010227*E51)-(0.0000000016546*E51^2)))</f>
        <v/>
      </c>
      <c r="M51" s="129" t="str">
        <f aca="false">IF(ISBLANK(E51),"",IF(ISBLANK(G51),(O51+(K51*35)+(L51*35^1.5)+(0.00000048314*35^2)),(O51+(K51*G51)+(L51*G51^1.5)+(0.00000048314*G51^2))))</f>
        <v/>
      </c>
      <c r="N51" s="130" t="str">
        <f aca="false">IF(ISBLANK(D51),"",IF(ISBLANK(G51),J51*(1+0.00001*(35-20)),J51*(1+0.00001*(G51-20))))</f>
        <v/>
      </c>
      <c r="O51" s="129" t="str">
        <f aca="false">IF(ISBLANK(E51),"",(0.999842594+(0.00006793952*E51)-(0.00000909529*E51^2)+(0.0000001001685*E51^3)-(0.000000001120083*E51^4)+(0.000000000006536332*E51^5)))</f>
        <v/>
      </c>
      <c r="P51" s="13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Flac.",P51*M51)))))))))</f>
        <v/>
      </c>
      <c r="R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08" t="n">
        <f aca="false">IF(ISBLANK(VLOOKUP(D52,'Volumes flacons'!A5:C623,3)),0,1)</f>
        <v>1</v>
      </c>
      <c r="B52" s="109" t="n">
        <f aca="false">IF(ISBLANK(D52),0,IF(ISBLANK(E52),0,IF(ISBLANK(F52),0,1)))</f>
        <v>0</v>
      </c>
      <c r="C52" s="124" t="n">
        <v>18</v>
      </c>
      <c r="D52" s="125"/>
      <c r="E52" s="125"/>
      <c r="F52" s="126"/>
      <c r="G52" s="127"/>
      <c r="H52" s="125"/>
      <c r="I52" s="125"/>
      <c r="J52" s="128" t="str">
        <f aca="false">IF(ISBLANK(D52),"",IF(VLOOKUP(D52,'Volumes flacons'!$A$5:$C$623,2)=0,"",IF(D52&gt;'Volumes flacons'!$A$623,"Mauvais numéro",IF(D52&lt;'Volumes flacons'!$A$5,"Mauvais numéro",(VLOOKUP(D52,'Volumes flacons'!$A$5:$C$623,3))))))</f>
        <v/>
      </c>
      <c r="K52" s="129" t="str">
        <f aca="false">IF(ISBLANK(E52),"",(0.000824493-(0.0000040899*E52)+(0.000000076438*E52^2)-(0.00000000082467*E52^3)+(0.0000000000053875*E52^4)))</f>
        <v/>
      </c>
      <c r="L52" s="129" t="str">
        <f aca="false">IF(ISBLANK(E52),"",(-0.00000572466+(0.00000010227*E52)-(0.0000000016546*E52^2)))</f>
        <v/>
      </c>
      <c r="M52" s="129" t="str">
        <f aca="false">IF(ISBLANK(E52),"",IF(ISBLANK(G52),(O52+(K52*35)+(L52*35^1.5)+(0.00000048314*35^2)),(O52+(K52*G52)+(L52*G52^1.5)+(0.00000048314*G52^2))))</f>
        <v/>
      </c>
      <c r="N52" s="130" t="str">
        <f aca="false">IF(ISBLANK(D52),"",IF(ISBLANK(G52),J52*(1+0.00001*(35-20)),J52*(1+0.00001*(G52-20))))</f>
        <v/>
      </c>
      <c r="O52" s="129" t="str">
        <f aca="false">IF(ISBLANK(E52),"",(0.999842594+(0.00006793952*E52)-(0.00000909529*E52^2)+(0.0000001001685*E52^3)-(0.000000001120083*E52^4)+(0.000000000006536332*E52^5)))</f>
        <v/>
      </c>
      <c r="P52" s="13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Flac.",P52*M52)))))))))</f>
        <v/>
      </c>
      <c r="R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08" t="n">
        <f aca="false">IF(ISBLANK(VLOOKUP(D53,'Volumes flacons'!A5:C623,3)),0,1)</f>
        <v>1</v>
      </c>
      <c r="B53" s="109" t="n">
        <f aca="false">IF(ISBLANK(D53),0,IF(ISBLANK(E53),0,IF(ISBLANK(F53),0,1)))</f>
        <v>0</v>
      </c>
      <c r="C53" s="124" t="n">
        <v>19</v>
      </c>
      <c r="D53" s="125"/>
      <c r="E53" s="125"/>
      <c r="F53" s="126"/>
      <c r="G53" s="127"/>
      <c r="H53" s="125"/>
      <c r="I53" s="125"/>
      <c r="J53" s="128" t="str">
        <f aca="false">IF(ISBLANK(D53),"",IF(VLOOKUP(D53,'Volumes flacons'!$A$5:$C$623,2)=0,"",IF(D53&gt;'Volumes flacons'!$A$623,"Mauvais numéro",IF(D53&lt;'Volumes flacons'!$A$5,"Mauvais numéro",(VLOOKUP(D53,'Volumes flacons'!$A$5:$C$623,3))))))</f>
        <v/>
      </c>
      <c r="K53" s="129" t="str">
        <f aca="false">IF(ISBLANK(E53),"",(0.000824493-(0.0000040899*E53)+(0.000000076438*E53^2)-(0.00000000082467*E53^3)+(0.0000000000053875*E53^4)))</f>
        <v/>
      </c>
      <c r="L53" s="129" t="str">
        <f aca="false">IF(ISBLANK(E53),"",(-0.00000572466+(0.00000010227*E53)-(0.0000000016546*E53^2)))</f>
        <v/>
      </c>
      <c r="M53" s="129" t="str">
        <f aca="false">IF(ISBLANK(E53),"",IF(ISBLANK(G53),(O53+(K53*35)+(L53*35^1.5)+(0.00000048314*35^2)),(O53+(K53*G53)+(L53*G53^1.5)+(0.00000048314*G53^2))))</f>
        <v/>
      </c>
      <c r="N53" s="130" t="str">
        <f aca="false">IF(ISBLANK(D53),"",IF(ISBLANK(G53),J53*(1+0.00001*(35-20)),J53*(1+0.00001*(G53-20))))</f>
        <v/>
      </c>
      <c r="O53" s="129" t="str">
        <f aca="false">IF(ISBLANK(E53),"",(0.999842594+(0.00006793952*E53)-(0.00000909529*E53^2)+(0.0000001001685*E53^3)-(0.000000001120083*E53^4)+(0.000000000006536332*E53^5)))</f>
        <v/>
      </c>
      <c r="P53" s="13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Flac.",P53*M53)))))))))</f>
        <v/>
      </c>
      <c r="R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08" t="n">
        <f aca="false">IF(ISBLANK(VLOOKUP(D54,'Volumes flacons'!A5:C623,3)),0,1)</f>
        <v>1</v>
      </c>
      <c r="B54" s="109" t="n">
        <f aca="false">IF(ISBLANK(D54),0,IF(ISBLANK(E54),0,IF(ISBLANK(F54),0,1)))</f>
        <v>0</v>
      </c>
      <c r="C54" s="124" t="n">
        <v>20</v>
      </c>
      <c r="D54" s="125"/>
      <c r="E54" s="125"/>
      <c r="F54" s="126"/>
      <c r="G54" s="127"/>
      <c r="H54" s="125"/>
      <c r="I54" s="125"/>
      <c r="J54" s="128" t="str">
        <f aca="false">IF(ISBLANK(D54),"",IF(VLOOKUP(D54,'Volumes flacons'!$A$5:$C$623,2)=0,"",IF(D54&gt;'Volumes flacons'!$A$623,"Mauvais numéro",IF(D54&lt;'Volumes flacons'!$A$5,"Mauvais numéro",(VLOOKUP(D54,'Volumes flacons'!$A$5:$C$623,3))))))</f>
        <v/>
      </c>
      <c r="K54" s="129" t="str">
        <f aca="false">IF(ISBLANK(E54),"",(0.000824493-(0.0000040899*E54)+(0.000000076438*E54^2)-(0.00000000082467*E54^3)+(0.0000000000053875*E54^4)))</f>
        <v/>
      </c>
      <c r="L54" s="129" t="str">
        <f aca="false">IF(ISBLANK(E54),"",(-0.00000572466+(0.00000010227*E54)-(0.0000000016546*E54^2)))</f>
        <v/>
      </c>
      <c r="M54" s="129" t="str">
        <f aca="false">IF(ISBLANK(E54),"",IF(ISBLANK(G54),(O54+(K54*35)+(L54*35^1.5)+(0.00000048314*35^2)),(O54+(K54*G54)+(L54*G54^1.5)+(0.00000048314*G54^2))))</f>
        <v/>
      </c>
      <c r="N54" s="130" t="str">
        <f aca="false">IF(ISBLANK(D54),"",IF(ISBLANK(G54),J54*(1+0.00001*(35-20)),J54*(1+0.00001*(G54-20))))</f>
        <v/>
      </c>
      <c r="O54" s="129" t="str">
        <f aca="false">IF(ISBLANK(E54),"",(0.999842594+(0.00006793952*E54)-(0.00000909529*E54^2)+(0.0000001001685*E54^3)-(0.000000001120083*E54^4)+(0.000000000006536332*E54^5)))</f>
        <v/>
      </c>
      <c r="P54" s="13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Flac.",P54*M54)))))))))</f>
        <v/>
      </c>
      <c r="R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08" t="n">
        <f aca="false">IF(ISBLANK(VLOOKUP(D55,'Volumes flacons'!A5:C623,3)),0,1)</f>
        <v>1</v>
      </c>
      <c r="B55" s="109" t="n">
        <f aca="false">IF(ISBLANK(D55),0,IF(ISBLANK(E55),0,IF(ISBLANK(F55),0,1)))</f>
        <v>0</v>
      </c>
      <c r="C55" s="124" t="n">
        <v>21</v>
      </c>
      <c r="D55" s="125"/>
      <c r="E55" s="125"/>
      <c r="F55" s="126"/>
      <c r="G55" s="127"/>
      <c r="H55" s="125"/>
      <c r="I55" s="125"/>
      <c r="J55" s="128" t="str">
        <f aca="false">IF(ISBLANK(D55),"",IF(VLOOKUP(D55,'Volumes flacons'!$A$5:$C$623,2)=0,"",IF(D55&gt;'Volumes flacons'!$A$623,"Mauvais numéro",IF(D55&lt;'Volumes flacons'!$A$5,"Mauvais numéro",(VLOOKUP(D55,'Volumes flacons'!$A$5:$C$623,3))))))</f>
        <v/>
      </c>
      <c r="K55" s="129" t="str">
        <f aca="false">IF(ISBLANK(E55),"",(0.000824493-(0.0000040899*E55)+(0.000000076438*E55^2)-(0.00000000082467*E55^3)+(0.0000000000053875*E55^4)))</f>
        <v/>
      </c>
      <c r="L55" s="129" t="str">
        <f aca="false">IF(ISBLANK(E55),"",(-0.00000572466+(0.00000010227*E55)-(0.0000000016546*E55^2)))</f>
        <v/>
      </c>
      <c r="M55" s="129" t="str">
        <f aca="false">IF(ISBLANK(E55),"",IF(ISBLANK(G55),(O55+(K55*35)+(L55*35^1.5)+(0.00000048314*35^2)),(O55+(K55*G55)+(L55*G55^1.5)+(0.00000048314*G55^2))))</f>
        <v/>
      </c>
      <c r="N55" s="130" t="str">
        <f aca="false">IF(ISBLANK(D55),"",IF(ISBLANK(G55),J55*(1+0.00001*(35-20)),J55*(1+0.00001*(G55-20))))</f>
        <v/>
      </c>
      <c r="O55" s="129" t="str">
        <f aca="false">IF(ISBLANK(E55),"",(0.999842594+(0.00006793952*E55)-(0.00000909529*E55^2)+(0.0000001001685*E55^3)-(0.000000001120083*E55^4)+(0.000000000006536332*E55^5)))</f>
        <v/>
      </c>
      <c r="P55" s="13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Flac.",P55*M55)))))))))</f>
        <v/>
      </c>
      <c r="R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08" t="n">
        <f aca="false">IF(ISBLANK(VLOOKUP(D56,'Volumes flacons'!A5:C623,3)),0,1)</f>
        <v>1</v>
      </c>
      <c r="B56" s="109" t="n">
        <f aca="false">IF(ISBLANK(D56),0,IF(ISBLANK(E56),0,IF(ISBLANK(F56),0,1)))</f>
        <v>0</v>
      </c>
      <c r="C56" s="124" t="n">
        <v>22</v>
      </c>
      <c r="D56" s="125"/>
      <c r="E56" s="125"/>
      <c r="F56" s="126"/>
      <c r="G56" s="127"/>
      <c r="H56" s="125"/>
      <c r="I56" s="125"/>
      <c r="J56" s="128" t="str">
        <f aca="false">IF(ISBLANK(D56),"",IF(VLOOKUP(D56,'Volumes flacons'!$A$5:$C$623,2)=0,"",IF(D56&gt;'Volumes flacons'!$A$623,"Mauvais numéro",IF(D56&lt;'Volumes flacons'!$A$5,"Mauvais numéro",(VLOOKUP(D56,'Volumes flacons'!$A$5:$C$623,3))))))</f>
        <v/>
      </c>
      <c r="K56" s="129" t="str">
        <f aca="false">IF(ISBLANK(E56),"",(0.000824493-(0.0000040899*E56)+(0.000000076438*E56^2)-(0.00000000082467*E56^3)+(0.0000000000053875*E56^4)))</f>
        <v/>
      </c>
      <c r="L56" s="129" t="str">
        <f aca="false">IF(ISBLANK(E56),"",(-0.00000572466+(0.00000010227*E56)-(0.0000000016546*E56^2)))</f>
        <v/>
      </c>
      <c r="M56" s="129" t="str">
        <f aca="false">IF(ISBLANK(E56),"",IF(ISBLANK(G56),(O56+(K56*35)+(L56*35^1.5)+(0.00000048314*35^2)),(O56+(K56*G56)+(L56*G56^1.5)+(0.00000048314*G56^2))))</f>
        <v/>
      </c>
      <c r="N56" s="130" t="str">
        <f aca="false">IF(ISBLANK(D56),"",IF(ISBLANK(G56),J56*(1+0.00001*(35-20)),J56*(1+0.00001*(G56-20))))</f>
        <v/>
      </c>
      <c r="O56" s="129" t="str">
        <f aca="false">IF(ISBLANK(E56),"",(0.999842594+(0.00006793952*E56)-(0.00000909529*E56^2)+(0.0000001001685*E56^3)-(0.000000001120083*E56^4)+(0.000000000006536332*E56^5)))</f>
        <v/>
      </c>
      <c r="P56" s="13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Flac.",P56*M56)))))))))</f>
        <v/>
      </c>
      <c r="R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08" t="n">
        <f aca="false">IF(ISBLANK(VLOOKUP(D57,'Volumes flacons'!A5:C623,3)),0,1)</f>
        <v>1</v>
      </c>
      <c r="B57" s="109" t="n">
        <f aca="false">IF(ISBLANK(D57),0,IF(ISBLANK(E57),0,IF(ISBLANK(F57),0,1)))</f>
        <v>0</v>
      </c>
      <c r="C57" s="124" t="n">
        <v>23</v>
      </c>
      <c r="D57" s="125"/>
      <c r="E57" s="125"/>
      <c r="F57" s="126"/>
      <c r="G57" s="127"/>
      <c r="H57" s="125"/>
      <c r="I57" s="125"/>
      <c r="J57" s="128" t="str">
        <f aca="false">IF(ISBLANK(D57),"",IF(VLOOKUP(D57,'Volumes flacons'!$A$5:$C$623,2)=0,"",IF(D57&gt;'Volumes flacons'!$A$623,"Mauvais numéro",IF(D57&lt;'Volumes flacons'!$A$5,"Mauvais numéro",(VLOOKUP(D57,'Volumes flacons'!$A$5:$C$623,3))))))</f>
        <v/>
      </c>
      <c r="K57" s="129" t="str">
        <f aca="false">IF(ISBLANK(E57),"",(0.000824493-(0.0000040899*E57)+(0.000000076438*E57^2)-(0.00000000082467*E57^3)+(0.0000000000053875*E57^4)))</f>
        <v/>
      </c>
      <c r="L57" s="129" t="str">
        <f aca="false">IF(ISBLANK(E57),"",(-0.00000572466+(0.00000010227*E57)-(0.0000000016546*E57^2)))</f>
        <v/>
      </c>
      <c r="M57" s="129" t="str">
        <f aca="false">IF(ISBLANK(E57),"",IF(ISBLANK(G57),(O57+(K57*35)+(L57*35^1.5)+(0.00000048314*35^2)),(O57+(K57*G57)+(L57*G57^1.5)+(0.00000048314*G57^2))))</f>
        <v/>
      </c>
      <c r="N57" s="130" t="str">
        <f aca="false">IF(ISBLANK(D57),"",IF(ISBLANK(G57),J57*(1+0.00001*(35-20)),J57*(1+0.00001*(G57-20))))</f>
        <v/>
      </c>
      <c r="O57" s="129" t="str">
        <f aca="false">IF(ISBLANK(E57),"",(0.999842594+(0.00006793952*E57)-(0.00000909529*E57^2)+(0.0000001001685*E57^3)-(0.000000001120083*E57^4)+(0.000000000006536332*E57^5)))</f>
        <v/>
      </c>
      <c r="P57" s="13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Flac.",P57*M57)))))))))</f>
        <v/>
      </c>
      <c r="R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5.75" hidden="false" customHeight="false" outlineLevel="0" collapsed="false">
      <c r="A58" s="108" t="n">
        <f aca="false">IF(ISBLANK(VLOOKUP(D58,'Volumes flacons'!A5:C623,3)),0,1)</f>
        <v>1</v>
      </c>
      <c r="B58" s="109" t="n">
        <f aca="false">IF(ISBLANK(D58),0,IF(ISBLANK(E58),0,IF(ISBLANK(F58),0,1)))</f>
        <v>0</v>
      </c>
      <c r="C58" s="141" t="n">
        <v>24</v>
      </c>
      <c r="D58" s="142"/>
      <c r="E58" s="142"/>
      <c r="F58" s="143"/>
      <c r="G58" s="144"/>
      <c r="H58" s="142"/>
      <c r="I58" s="142"/>
      <c r="J58" s="145" t="str">
        <f aca="false">IF(ISBLANK(D58),"",IF(VLOOKUP(D58,'Volumes flacons'!$A$5:$C$623,2)=0,"",IF(D58&gt;'Volumes flacons'!$A$623,"Mauvais numéro",IF(D58&lt;'Volumes flacons'!$A$5,"Mauvais numéro",(VLOOKUP(D58,'Volumes flacons'!$A$5:$C$623,3))))))</f>
        <v/>
      </c>
      <c r="K58" s="146" t="str">
        <f aca="false">IF(ISBLANK(E58),"",(0.000824493-(0.0000040899*E58)+(0.000000076438*E58^2)-(0.00000000082467*E58^3)+(0.0000000000053875*E58^4)))</f>
        <v/>
      </c>
      <c r="L58" s="146" t="str">
        <f aca="false">IF(ISBLANK(E58),"",(-0.00000572466+(0.00000010227*E58)-(0.0000000016546*E58^2)))</f>
        <v/>
      </c>
      <c r="M58" s="146" t="str">
        <f aca="false">IF(ISBLANK(E58),"",IF(ISBLANK(G58),(O58+(K58*35)+(L58*35^1.5)+(0.00000048314*35^2)),(O58+(K58*G58)+(L58*G58^1.5)+(0.00000048314*G58^2))))</f>
        <v/>
      </c>
      <c r="N58" s="147" t="str">
        <f aca="false">IF(ISBLANK(D58),"",IF(ISBLANK(G58),J58*(1+0.00001*(35-20)),J58*(1+0.00001*(G58-20))))</f>
        <v/>
      </c>
      <c r="O58" s="146" t="str">
        <f aca="false">IF(ISBLANK(E58),"",(0.999842594+(0.00006793952*E58)-(0.00000909529*E58^2)+(0.0000001001685*E58^3)-(0.000000001120083*E58^4)+(0.000000000006536332*E58^5)))</f>
        <v/>
      </c>
      <c r="P58" s="14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4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Flac.",P58*M58)))))))))</f>
        <v/>
      </c>
      <c r="R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2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53" t="s">
        <v>146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1" activeCellId="1" sqref="Q10:R10 Q1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55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40638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10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-10°0</v>
      </c>
      <c r="P9" s="29" t="s">
        <v>16</v>
      </c>
      <c r="Q9" s="0" t="n">
        <v>-10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3" t="str">
        <f aca="false">IF(ISBLANK(I10),"",IF(ISBLANK(J10),"",IF(P10=N10,L10&amp;N12,N12)))</f>
        <v>-10°0</v>
      </c>
      <c r="P10" s="29" t="s">
        <v>17</v>
      </c>
      <c r="Q10" s="0" t="n">
        <v>-10</v>
      </c>
      <c r="S10" s="34"/>
      <c r="T10" s="34"/>
    </row>
    <row r="11" customFormat="false" ht="13.8" hidden="false" customHeight="false" outlineLevel="0" collapsed="false">
      <c r="G11" s="35" t="s">
        <v>18</v>
      </c>
      <c r="H11" s="35"/>
      <c r="I11" s="36" t="s">
        <v>19</v>
      </c>
      <c r="J11" s="37" t="n">
        <v>40636</v>
      </c>
      <c r="K11" s="37"/>
      <c r="L11" s="37"/>
      <c r="M11" s="37"/>
      <c r="N11" s="38" t="str">
        <f aca="false">I9&amp;"°"&amp;J9</f>
        <v>10°0</v>
      </c>
      <c r="O11" s="39" t="n">
        <f aca="false">IF(P9=M10,-1,1)</f>
        <v>-1</v>
      </c>
      <c r="P11" s="0" t="s">
        <v>151</v>
      </c>
      <c r="T11" s="40"/>
      <c r="U11" s="40"/>
      <c r="V11" s="5"/>
      <c r="W11" s="5"/>
    </row>
    <row r="12" customFormat="false" ht="13.8" hidden="false" customHeight="false" outlineLevel="0" collapsed="false">
      <c r="G12" s="35"/>
      <c r="H12" s="35"/>
      <c r="I12" s="41" t="s">
        <v>21</v>
      </c>
      <c r="J12" s="42" t="n">
        <v>0.15625</v>
      </c>
      <c r="K12" s="42"/>
      <c r="L12" s="42"/>
      <c r="M12" s="42"/>
      <c r="N12" s="43" t="str">
        <f aca="false">I10&amp;"°"&amp;J10</f>
        <v>10°0</v>
      </c>
      <c r="O12" s="39" t="n">
        <f aca="false">IF(P10=N10,-1,1)</f>
        <v>-1</v>
      </c>
      <c r="T12" s="40"/>
      <c r="U12" s="40"/>
      <c r="V12" s="5"/>
      <c r="W12" s="5"/>
    </row>
    <row r="13" customFormat="false" ht="15" hidden="false" customHeight="false" outlineLevel="0" collapsed="false">
      <c r="C13" s="44" t="s">
        <v>22</v>
      </c>
      <c r="D13" s="44"/>
      <c r="E13" s="5"/>
      <c r="K13" s="45"/>
      <c r="L13" s="45"/>
      <c r="M13" s="45"/>
      <c r="N13" s="45"/>
      <c r="O13" s="45"/>
      <c r="P13" s="45"/>
      <c r="Q13" s="46"/>
    </row>
    <row r="14" customFormat="false" ht="15" hidden="false" customHeight="true" outlineLevel="0" collapsed="false">
      <c r="C14" s="47" t="s">
        <v>23</v>
      </c>
      <c r="D14" s="48"/>
      <c r="E14" s="48"/>
      <c r="F14" s="48"/>
      <c r="G14" s="48"/>
      <c r="H14" s="49"/>
      <c r="I14" s="49"/>
      <c r="J14" s="49"/>
      <c r="K14" s="48"/>
      <c r="L14" s="48"/>
      <c r="M14" s="48"/>
      <c r="N14" s="49"/>
      <c r="O14" s="50"/>
      <c r="P14" s="49"/>
      <c r="Q14" s="50" t="s">
        <v>24</v>
      </c>
      <c r="R14" s="51" t="n">
        <v>23.9</v>
      </c>
      <c r="S14" s="52" t="s">
        <v>25</v>
      </c>
    </row>
    <row r="15" customFormat="false" ht="14.25" hidden="false" customHeight="true" outlineLevel="0" collapsed="false">
      <c r="C15" s="53" t="s">
        <v>26</v>
      </c>
      <c r="D15" s="54"/>
      <c r="E15" s="54"/>
      <c r="F15" s="54"/>
      <c r="G15" s="54"/>
      <c r="H15" s="55"/>
      <c r="I15" s="55"/>
      <c r="J15" s="55"/>
      <c r="K15" s="54"/>
      <c r="L15" s="54"/>
      <c r="M15" s="54"/>
      <c r="N15" s="55"/>
      <c r="O15" s="56"/>
      <c r="P15" s="55"/>
      <c r="Q15" s="56" t="s">
        <v>27</v>
      </c>
      <c r="R15" s="57" t="n">
        <v>23.9</v>
      </c>
      <c r="S15" s="58" t="s">
        <v>25</v>
      </c>
    </row>
    <row r="16" customFormat="false" ht="15" hidden="false" customHeight="false" outlineLevel="0" collapsed="false">
      <c r="C16" s="53" t="s">
        <v>28</v>
      </c>
      <c r="D16" s="54"/>
      <c r="E16" s="54"/>
      <c r="F16" s="54"/>
      <c r="G16" s="54"/>
      <c r="H16" s="55"/>
      <c r="I16" s="55"/>
      <c r="J16" s="55"/>
      <c r="K16" s="54"/>
      <c r="L16" s="54"/>
      <c r="M16" s="54"/>
      <c r="N16" s="55"/>
      <c r="O16" s="56"/>
      <c r="P16" s="55"/>
      <c r="Q16" s="56" t="s">
        <v>29</v>
      </c>
      <c r="R16" s="59" t="n">
        <v>5.005</v>
      </c>
      <c r="S16" s="58" t="s">
        <v>30</v>
      </c>
    </row>
    <row r="17" customFormat="false" ht="15" hidden="false" customHeight="false" outlineLevel="0" collapsed="false">
      <c r="C17" s="60" t="s">
        <v>31</v>
      </c>
      <c r="D17" s="61"/>
      <c r="E17" s="61"/>
      <c r="F17" s="61"/>
      <c r="G17" s="61"/>
      <c r="H17" s="62"/>
      <c r="I17" s="62"/>
      <c r="J17" s="62"/>
      <c r="K17" s="61"/>
      <c r="L17" s="61"/>
      <c r="M17" s="61"/>
      <c r="N17" s="62"/>
      <c r="O17" s="63"/>
      <c r="P17" s="62"/>
      <c r="Q17" s="63" t="s">
        <v>32</v>
      </c>
      <c r="R17" s="64" t="n">
        <v>0.006</v>
      </c>
      <c r="S17" s="65" t="s">
        <v>30</v>
      </c>
    </row>
    <row r="18" customFormat="false" ht="14.25" hidden="true" customHeight="false" outlineLevel="0" collapsed="false">
      <c r="C18" s="66" t="s">
        <v>33</v>
      </c>
      <c r="D18" s="67"/>
      <c r="E18" s="67"/>
      <c r="F18" s="67"/>
      <c r="G18" s="67"/>
      <c r="H18" s="67"/>
      <c r="I18" s="67"/>
      <c r="J18" s="67"/>
      <c r="K18" s="68"/>
      <c r="L18" s="68"/>
      <c r="M18" s="68"/>
      <c r="N18" s="68"/>
      <c r="O18" s="69" t="s">
        <v>34</v>
      </c>
      <c r="P18" s="70" t="n">
        <f aca="false">(0.999842594+(0.00006793952*$R$14)-(0.00000909529*$R$14^2)+(0.0000001001685*$R$14^3)-(0.000000001120083*$R$14^4)+(0.000000000006536332*$R$14^5))</f>
        <v>0.997324029579615</v>
      </c>
      <c r="Q18" s="68"/>
      <c r="R18" s="6"/>
    </row>
    <row r="19" customFormat="false" ht="14.25" hidden="true" customHeight="false" outlineLevel="0" collapsed="false">
      <c r="C19" s="66" t="s">
        <v>35</v>
      </c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9" t="s">
        <v>36</v>
      </c>
      <c r="P19" s="70" t="n">
        <f aca="false">$P$24*($P$18/'Titre d''iodate'!E19)</f>
        <v>0.0199786249373382</v>
      </c>
      <c r="Q19" s="68" t="s">
        <v>13</v>
      </c>
      <c r="R19" s="6"/>
    </row>
    <row r="20" customFormat="false" ht="14.25" hidden="true" customHeight="false" outlineLevel="0" collapsed="false">
      <c r="C20" s="66" t="s">
        <v>37</v>
      </c>
      <c r="D20" s="67"/>
      <c r="E20" s="67"/>
      <c r="F20" s="67"/>
      <c r="G20" s="67"/>
      <c r="H20" s="67"/>
      <c r="I20" s="67"/>
      <c r="J20" s="67"/>
      <c r="K20" s="68"/>
      <c r="L20" s="68"/>
      <c r="M20" s="68"/>
      <c r="N20" s="68"/>
      <c r="O20" s="69" t="s">
        <v>38</v>
      </c>
      <c r="P20" s="70" t="n">
        <f aca="false">5+'Correction de volume'!G8</f>
        <v>5.00308998756</v>
      </c>
      <c r="Q20" s="68" t="s">
        <v>30</v>
      </c>
      <c r="R20" s="6"/>
    </row>
    <row r="21" customFormat="false" ht="14.25" hidden="true" customHeight="false" outlineLevel="0" collapsed="false">
      <c r="C21" s="66" t="s">
        <v>39</v>
      </c>
      <c r="D21" s="67"/>
      <c r="E21" s="67"/>
      <c r="F21" s="67"/>
      <c r="G21" s="67"/>
      <c r="H21" s="67"/>
      <c r="I21" s="67"/>
      <c r="J21" s="67"/>
      <c r="K21" s="68"/>
      <c r="L21" s="68"/>
      <c r="M21" s="68"/>
      <c r="N21" s="68"/>
      <c r="O21" s="69" t="s">
        <v>40</v>
      </c>
      <c r="P21" s="70" t="n">
        <f aca="false">P20*(1+0.00001*(R14-20))</f>
        <v>5.00328510806951</v>
      </c>
      <c r="Q21" s="68" t="s">
        <v>30</v>
      </c>
      <c r="R21" s="6"/>
    </row>
    <row r="22" customFormat="false" ht="14.25" hidden="true" customHeight="false" outlineLevel="0" collapsed="false">
      <c r="C22" s="66" t="s">
        <v>41</v>
      </c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9" t="s">
        <v>42</v>
      </c>
      <c r="P22" s="71" t="n">
        <f aca="false">$R$16*(1+0.00001*(20-$R$14))</f>
        <v>5.004804805</v>
      </c>
      <c r="Q22" s="68" t="s">
        <v>30</v>
      </c>
      <c r="R22" s="6"/>
    </row>
    <row r="23" customFormat="false" ht="14.25" hidden="true" customHeight="false" outlineLevel="0" collapsed="false">
      <c r="C23" s="66" t="s">
        <v>43</v>
      </c>
      <c r="D23" s="67"/>
      <c r="E23" s="67"/>
      <c r="F23" s="67"/>
      <c r="G23" s="67"/>
      <c r="H23" s="67"/>
      <c r="I23" s="67"/>
      <c r="J23" s="67"/>
      <c r="K23" s="68"/>
      <c r="L23" s="68"/>
      <c r="M23" s="68"/>
      <c r="N23" s="68"/>
      <c r="O23" s="69" t="s">
        <v>44</v>
      </c>
      <c r="P23" s="71" t="n">
        <f aca="false">$R$17*(1+0.00001*(20-$R$14))</f>
        <v>0.005999766</v>
      </c>
      <c r="Q23" s="68" t="s">
        <v>30</v>
      </c>
      <c r="R23" s="6"/>
    </row>
    <row r="24" customFormat="false" ht="14.25" hidden="true" customHeight="false" outlineLevel="0" collapsed="false">
      <c r="C24" s="66" t="s">
        <v>45</v>
      </c>
      <c r="D24" s="67"/>
      <c r="E24" s="67"/>
      <c r="F24" s="67"/>
      <c r="G24" s="67"/>
      <c r="H24" s="67"/>
      <c r="I24" s="67"/>
      <c r="J24" s="67"/>
      <c r="K24" s="68"/>
      <c r="L24" s="68"/>
      <c r="M24" s="68"/>
      <c r="N24" s="68"/>
      <c r="O24" s="69" t="s">
        <v>46</v>
      </c>
      <c r="P24" s="55" t="n">
        <f aca="false">MAX('Titre d''iodate'!F7:F10)</f>
        <v>0.0199962991701183</v>
      </c>
      <c r="Q24" s="68" t="s">
        <v>13</v>
      </c>
      <c r="R24" s="6"/>
    </row>
    <row r="25" customFormat="false" ht="14.25" hidden="true" customHeight="false" outlineLevel="0" collapsed="false">
      <c r="C25" s="66" t="s">
        <v>47</v>
      </c>
      <c r="D25" s="67"/>
      <c r="E25" s="67"/>
      <c r="F25" s="67"/>
      <c r="G25" s="67"/>
      <c r="H25" s="67"/>
      <c r="I25" s="67"/>
      <c r="J25" s="67"/>
      <c r="K25" s="68"/>
      <c r="L25" s="68"/>
      <c r="M25" s="68"/>
      <c r="N25" s="68"/>
      <c r="O25" s="69" t="s">
        <v>48</v>
      </c>
      <c r="P25" s="55" t="n">
        <f aca="false">IF(ISBLANK(R14),"",IF(ISBLANK(P21),"",IF(ISBLANK(R17),"",(($P$24*$P$18)/($P$22-$P$23)))))</f>
        <v>0.00398951139510961</v>
      </c>
      <c r="Q25" s="68" t="s">
        <v>13</v>
      </c>
      <c r="R25" s="6"/>
    </row>
    <row r="26" customFormat="false" ht="14.25" hidden="true" customHeight="false" outlineLevel="0" collapsed="false">
      <c r="C26" s="72" t="s">
        <v>49</v>
      </c>
      <c r="D26" s="73"/>
      <c r="E26" s="73"/>
      <c r="F26" s="73"/>
      <c r="G26" s="73"/>
      <c r="H26" s="73"/>
      <c r="I26" s="73"/>
      <c r="J26" s="73"/>
      <c r="K26" s="68"/>
      <c r="L26" s="68"/>
      <c r="M26" s="68"/>
      <c r="N26" s="68"/>
      <c r="O26" s="69" t="s">
        <v>50</v>
      </c>
      <c r="P26" s="55" t="n">
        <f aca="false">2+('Correction de volume'!G10+'Correction de volume'!G9)</f>
        <v>2.0163939508</v>
      </c>
      <c r="Q26" s="68" t="s">
        <v>30</v>
      </c>
      <c r="R26" s="6"/>
    </row>
    <row r="27" customFormat="false" ht="15" hidden="true" customHeight="false" outlineLevel="0" collapsed="false">
      <c r="C27" s="74"/>
      <c r="D27" s="75"/>
      <c r="E27" s="75"/>
      <c r="F27" s="75"/>
      <c r="G27" s="75"/>
      <c r="H27" s="75"/>
      <c r="I27" s="75"/>
      <c r="J27" s="75"/>
      <c r="K27" s="76"/>
      <c r="L27" s="76"/>
      <c r="M27" s="76"/>
      <c r="N27" s="76"/>
      <c r="O27" s="77" t="s">
        <v>51</v>
      </c>
      <c r="P27" s="62" t="n">
        <v>0.0017</v>
      </c>
      <c r="Q27" s="76"/>
      <c r="R27" s="78"/>
    </row>
    <row r="29" customFormat="false" ht="15" hidden="false" customHeight="false" outlineLevel="0" collapsed="false">
      <c r="E29" s="18" t="s">
        <v>52</v>
      </c>
      <c r="F29" s="18"/>
      <c r="G29" s="18"/>
      <c r="H29" s="18"/>
      <c r="I29" s="79" t="s">
        <v>53</v>
      </c>
      <c r="K29" s="80"/>
      <c r="L29" s="80"/>
      <c r="M29" s="80"/>
      <c r="N29" s="81"/>
      <c r="O29" s="80" t="s">
        <v>54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2"/>
      <c r="K30" s="17"/>
      <c r="L30" s="17"/>
      <c r="M30" s="17"/>
      <c r="N30" s="81"/>
      <c r="O30" s="81" t="s">
        <v>53</v>
      </c>
      <c r="P30" s="81"/>
    </row>
    <row r="31" customFormat="false" ht="15.75" hidden="false" customHeight="true" outlineLevel="0" collapsed="false">
      <c r="C31" s="83" t="s">
        <v>55</v>
      </c>
      <c r="D31" s="84" t="s">
        <v>56</v>
      </c>
      <c r="E31" s="84" t="s">
        <v>57</v>
      </c>
      <c r="F31" s="84" t="s">
        <v>58</v>
      </c>
      <c r="G31" s="84" t="s">
        <v>59</v>
      </c>
      <c r="H31" s="84" t="s">
        <v>60</v>
      </c>
      <c r="I31" s="84" t="s">
        <v>61</v>
      </c>
      <c r="J31" s="84" t="s">
        <v>62</v>
      </c>
      <c r="K31" s="84" t="s">
        <v>63</v>
      </c>
      <c r="L31" s="84" t="s">
        <v>64</v>
      </c>
      <c r="M31" s="84" t="s">
        <v>65</v>
      </c>
      <c r="N31" s="84" t="s">
        <v>66</v>
      </c>
      <c r="O31" s="84" t="s">
        <v>67</v>
      </c>
      <c r="P31" s="85" t="s">
        <v>68</v>
      </c>
      <c r="Q31" s="85"/>
      <c r="R31" s="85"/>
      <c r="S31" s="85"/>
      <c r="T31" s="86" t="s">
        <v>69</v>
      </c>
      <c r="U31" s="86"/>
      <c r="V31" s="86" t="s">
        <v>70</v>
      </c>
      <c r="W31" s="86"/>
      <c r="X31" s="86" t="s">
        <v>71</v>
      </c>
      <c r="Y31" s="86"/>
      <c r="Z31" s="86" t="s">
        <v>72</v>
      </c>
      <c r="AA31" s="86"/>
      <c r="AB31" s="87" t="s">
        <v>73</v>
      </c>
      <c r="AC31" s="87"/>
      <c r="AD31" s="88" t="s">
        <v>74</v>
      </c>
      <c r="AE31" s="88" t="s">
        <v>75</v>
      </c>
      <c r="AF31" s="88" t="s">
        <v>76</v>
      </c>
      <c r="AG31" s="89" t="s">
        <v>77</v>
      </c>
      <c r="AH31" s="88" t="s">
        <v>78</v>
      </c>
      <c r="AI31" s="88" t="s">
        <v>79</v>
      </c>
      <c r="AJ31" s="88" t="s">
        <v>80</v>
      </c>
      <c r="AK31" s="88" t="s">
        <v>81</v>
      </c>
      <c r="AL31" s="89" t="s">
        <v>82</v>
      </c>
      <c r="AM31" s="88" t="s">
        <v>83</v>
      </c>
      <c r="AN31" s="88" t="s">
        <v>84</v>
      </c>
      <c r="AO31" s="88" t="s">
        <v>85</v>
      </c>
      <c r="AP31" s="88" t="s">
        <v>86</v>
      </c>
      <c r="AQ31" s="88" t="s">
        <v>87</v>
      </c>
      <c r="AR31" s="89" t="s">
        <v>88</v>
      </c>
      <c r="AS31" s="89" t="s">
        <v>89</v>
      </c>
      <c r="AT31" s="89" t="s">
        <v>90</v>
      </c>
      <c r="AU31" s="88" t="s">
        <v>91</v>
      </c>
      <c r="AV31" s="88" t="s">
        <v>92</v>
      </c>
      <c r="AW31" s="90" t="s">
        <v>93</v>
      </c>
      <c r="AX31" s="88" t="s">
        <v>94</v>
      </c>
      <c r="AY31" s="88" t="s">
        <v>95</v>
      </c>
      <c r="AZ31" s="89" t="s">
        <v>96</v>
      </c>
      <c r="BA31" s="88" t="s">
        <v>97</v>
      </c>
      <c r="BB31" s="91" t="s">
        <v>98</v>
      </c>
    </row>
    <row r="32" customFormat="false" ht="15.75" hidden="false" customHeight="true" outlineLevel="0" collapsed="false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  <c r="Q32" s="85"/>
      <c r="R32" s="85"/>
      <c r="S32" s="85"/>
      <c r="T32" s="86"/>
      <c r="U32" s="86"/>
      <c r="V32" s="86"/>
      <c r="W32" s="86"/>
      <c r="X32" s="86"/>
      <c r="Y32" s="86"/>
      <c r="Z32" s="86"/>
      <c r="AA32" s="86"/>
      <c r="AB32" s="87"/>
      <c r="AC32" s="87"/>
      <c r="AD32" s="88"/>
      <c r="AE32" s="88"/>
      <c r="AF32" s="88"/>
      <c r="AG32" s="89"/>
      <c r="AH32" s="88"/>
      <c r="AI32" s="88"/>
      <c r="AJ32" s="88"/>
      <c r="AK32" s="88"/>
      <c r="AL32" s="89"/>
      <c r="AM32" s="88"/>
      <c r="AN32" s="88"/>
      <c r="AO32" s="88"/>
      <c r="AP32" s="88"/>
      <c r="AQ32" s="88"/>
      <c r="AR32" s="89"/>
      <c r="AS32" s="89"/>
      <c r="AT32" s="89"/>
      <c r="AU32" s="88"/>
      <c r="AV32" s="88"/>
      <c r="AW32" s="90"/>
      <c r="AX32" s="88"/>
      <c r="AY32" s="88"/>
      <c r="AZ32" s="89"/>
      <c r="BA32" s="88"/>
      <c r="BB32" s="91"/>
    </row>
    <row r="33" customFormat="false" ht="15.75" hidden="false" customHeight="true" outlineLevel="0" collapsed="false">
      <c r="C33" s="92" t="s">
        <v>99</v>
      </c>
      <c r="D33" s="93" t="s">
        <v>100</v>
      </c>
      <c r="E33" s="93" t="s">
        <v>25</v>
      </c>
      <c r="F33" s="94" t="s">
        <v>101</v>
      </c>
      <c r="G33" s="95"/>
      <c r="H33" s="94" t="s">
        <v>102</v>
      </c>
      <c r="I33" s="94" t="s">
        <v>102</v>
      </c>
      <c r="J33" s="94" t="s">
        <v>101</v>
      </c>
      <c r="K33" s="95"/>
      <c r="L33" s="95"/>
      <c r="M33" s="95"/>
      <c r="N33" s="95"/>
      <c r="O33" s="95"/>
      <c r="P33" s="96" t="s">
        <v>103</v>
      </c>
      <c r="Q33" s="96"/>
      <c r="R33" s="96" t="s">
        <v>104</v>
      </c>
      <c r="S33" s="96" t="s">
        <v>105</v>
      </c>
      <c r="T33" s="97" t="s">
        <v>106</v>
      </c>
      <c r="U33" s="97" t="s">
        <v>107</v>
      </c>
      <c r="V33" s="97" t="s">
        <v>108</v>
      </c>
      <c r="W33" s="97" t="s">
        <v>109</v>
      </c>
      <c r="X33" s="97" t="s">
        <v>110</v>
      </c>
      <c r="Y33" s="97" t="s">
        <v>111</v>
      </c>
      <c r="Z33" s="97" t="s">
        <v>112</v>
      </c>
      <c r="AA33" s="97" t="s">
        <v>113</v>
      </c>
      <c r="AB33" s="97" t="s">
        <v>114</v>
      </c>
      <c r="AC33" s="98" t="s">
        <v>115</v>
      </c>
      <c r="AD33" s="99" t="s">
        <v>116</v>
      </c>
      <c r="AE33" s="99" t="s">
        <v>117</v>
      </c>
      <c r="AF33" s="99" t="s">
        <v>118</v>
      </c>
      <c r="AG33" s="99" t="s">
        <v>119</v>
      </c>
      <c r="AH33" s="99" t="s">
        <v>120</v>
      </c>
      <c r="AI33" s="100" t="s">
        <v>121</v>
      </c>
      <c r="AJ33" s="99" t="s">
        <v>122</v>
      </c>
      <c r="AK33" s="100" t="s">
        <v>123</v>
      </c>
      <c r="AL33" s="99" t="s">
        <v>124</v>
      </c>
      <c r="AM33" s="99" t="s">
        <v>125</v>
      </c>
      <c r="AN33" s="99" t="s">
        <v>126</v>
      </c>
      <c r="AO33" s="99" t="s">
        <v>127</v>
      </c>
      <c r="AP33" s="99" t="s">
        <v>128</v>
      </c>
      <c r="AQ33" s="100" t="s">
        <v>129</v>
      </c>
      <c r="AR33" s="99" t="s">
        <v>130</v>
      </c>
      <c r="AS33" s="99" t="s">
        <v>131</v>
      </c>
      <c r="AT33" s="100" t="s">
        <v>132</v>
      </c>
      <c r="AU33" s="101" t="s">
        <v>133</v>
      </c>
      <c r="AV33" s="101" t="s">
        <v>134</v>
      </c>
      <c r="AW33" s="101" t="s">
        <v>135</v>
      </c>
      <c r="AX33" s="99" t="s">
        <v>136</v>
      </c>
      <c r="AY33" s="99" t="s">
        <v>137</v>
      </c>
      <c r="AZ33" s="99" t="s">
        <v>138</v>
      </c>
      <c r="BA33" s="99" t="s">
        <v>139</v>
      </c>
      <c r="BB33" s="102" t="s">
        <v>140</v>
      </c>
    </row>
    <row r="34" customFormat="false" ht="14.25" hidden="false" customHeight="true" outlineLevel="0" collapsed="false">
      <c r="C34" s="92"/>
      <c r="D34" s="93"/>
      <c r="E34" s="93"/>
      <c r="F34" s="94"/>
      <c r="G34" s="95"/>
      <c r="H34" s="94"/>
      <c r="I34" s="94"/>
      <c r="J34" s="94"/>
      <c r="K34" s="103"/>
      <c r="L34" s="103"/>
      <c r="M34" s="103"/>
      <c r="N34" s="104" t="s">
        <v>30</v>
      </c>
      <c r="O34" s="103"/>
      <c r="P34" s="104" t="s">
        <v>141</v>
      </c>
      <c r="Q34" s="104" t="s">
        <v>142</v>
      </c>
      <c r="R34" s="104" t="s">
        <v>143</v>
      </c>
      <c r="S34" s="104" t="s">
        <v>144</v>
      </c>
      <c r="T34" s="105" t="s">
        <v>143</v>
      </c>
      <c r="U34" s="105" t="s">
        <v>144</v>
      </c>
      <c r="V34" s="105" t="s">
        <v>143</v>
      </c>
      <c r="W34" s="105" t="s">
        <v>144</v>
      </c>
      <c r="X34" s="105" t="s">
        <v>143</v>
      </c>
      <c r="Y34" s="105" t="s">
        <v>144</v>
      </c>
      <c r="Z34" s="105" t="s">
        <v>143</v>
      </c>
      <c r="AA34" s="105" t="s">
        <v>144</v>
      </c>
      <c r="AB34" s="105" t="s">
        <v>143</v>
      </c>
      <c r="AC34" s="106" t="s">
        <v>144</v>
      </c>
      <c r="AD34" s="107" t="s">
        <v>145</v>
      </c>
      <c r="AE34" s="107" t="s">
        <v>145</v>
      </c>
      <c r="AF34" s="107" t="s">
        <v>145</v>
      </c>
      <c r="AG34" s="107" t="s">
        <v>145</v>
      </c>
      <c r="AH34" s="107" t="s">
        <v>145</v>
      </c>
      <c r="AI34" s="107" t="s">
        <v>145</v>
      </c>
      <c r="AJ34" s="107" t="s">
        <v>145</v>
      </c>
      <c r="AK34" s="107" t="s">
        <v>145</v>
      </c>
      <c r="AL34" s="107" t="s">
        <v>145</v>
      </c>
      <c r="AM34" s="107" t="s">
        <v>145</v>
      </c>
      <c r="AN34" s="107" t="s">
        <v>145</v>
      </c>
      <c r="AO34" s="107" t="s">
        <v>145</v>
      </c>
      <c r="AP34" s="107" t="s">
        <v>145</v>
      </c>
      <c r="AQ34" s="107" t="s">
        <v>145</v>
      </c>
      <c r="AR34" s="107" t="s">
        <v>145</v>
      </c>
      <c r="AS34" s="107" t="s">
        <v>145</v>
      </c>
      <c r="AT34" s="107" t="s">
        <v>145</v>
      </c>
      <c r="AU34" s="107" t="s">
        <v>145</v>
      </c>
      <c r="AV34" s="107" t="s">
        <v>145</v>
      </c>
      <c r="AW34" s="107" t="s">
        <v>145</v>
      </c>
      <c r="AX34" s="107" t="s">
        <v>145</v>
      </c>
      <c r="AY34" s="107" t="s">
        <v>145</v>
      </c>
      <c r="AZ34" s="107" t="s">
        <v>145</v>
      </c>
      <c r="BA34" s="107" t="s">
        <v>145</v>
      </c>
      <c r="BB34" s="107" t="s">
        <v>145</v>
      </c>
    </row>
    <row r="35" customFormat="false" ht="15" hidden="false" customHeight="false" outlineLevel="0" collapsed="false">
      <c r="A35" s="108" t="n">
        <f aca="false">IF(ISBLANK(VLOOKUP(D35,'Volumes flacons'!A5:C623,3)),0,1)</f>
        <v>1</v>
      </c>
      <c r="B35" s="109" t="n">
        <f aca="false">IF(ISBLANK(D35),0,IF(ISBLANK(E35),0,IF(ISBLANK(F35),0,1)))</f>
        <v>1</v>
      </c>
      <c r="C35" s="110" t="n">
        <v>1</v>
      </c>
      <c r="D35" s="111" t="n">
        <v>386</v>
      </c>
      <c r="E35" s="111" t="n">
        <v>9.8</v>
      </c>
      <c r="F35" s="112" t="n">
        <v>5.803</v>
      </c>
      <c r="G35" s="113" t="n">
        <v>34.93</v>
      </c>
      <c r="H35" s="111" t="n">
        <v>2000</v>
      </c>
      <c r="I35" s="111" t="n">
        <v>2021</v>
      </c>
      <c r="J35" s="114" t="n">
        <v>119.69</v>
      </c>
      <c r="K35" s="115" t="n">
        <f aca="false">IF(ISBLANK(E35),"",(0.000824493-(0.0000040899*E35)+(0.000000076438*E35^2)-(0.00000000082467*E35^3)+(0.0000000000053875*E35^4)))</f>
        <v>0.00079102660529798</v>
      </c>
      <c r="L35" s="115" t="n">
        <f aca="false">IF(ISBLANK(E35),"",(-0.00000572466+(0.00000010227*E35)-(0.0000000016546*E35^2)))</f>
        <v>-4.881321784E-006</v>
      </c>
      <c r="M35" s="115" t="n">
        <f aca="false">IF(ISBLANK(E35),"",IF(ISBLANK(G35),(O35+(K35*35)+(L35*35^1.5)+(0.00000048314*35^2)),(O35+(K35*G35)+(L35*G35^1.5)+(0.00000048314*G35^2))))</f>
        <v>1.02693175836788</v>
      </c>
      <c r="N35" s="116" t="n">
        <f aca="false">IF(ISBLANK(D35),"",IF(ISBLANK(G35),J35*(1+0.00001*(35-20)),J35*(1+0.00001*(G35-20))))</f>
        <v>119.707869717</v>
      </c>
      <c r="O35" s="115" t="n">
        <f aca="false">IF(ISBLANK(E35),"",(0.999842594+(0.00006793952*E35)-(0.00000909529*E35^2)+(0.0000001001685*E35^3)-(0.000000001120083*E35^4)+(0.000000000006536332*E35^5)))</f>
        <v>0.999719426978937</v>
      </c>
      <c r="P35" s="117" t="n">
        <v>5.505</v>
      </c>
      <c r="Q35" s="118" t="n">
        <v>5.36</v>
      </c>
      <c r="R35" s="119" t="n">
        <v>245.8</v>
      </c>
      <c r="S35" s="119" t="n">
        <v>239.4</v>
      </c>
      <c r="T35" s="122"/>
      <c r="U35" s="122"/>
      <c r="V35" s="122"/>
      <c r="W35" s="163"/>
      <c r="X35" s="122"/>
      <c r="Y35" s="122"/>
      <c r="Z35" s="122"/>
      <c r="AA35" s="122"/>
      <c r="AB35" s="122"/>
      <c r="AC35" s="168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3"/>
    </row>
    <row r="36" customFormat="false" ht="15" hidden="false" customHeight="false" outlineLevel="0" collapsed="false">
      <c r="A36" s="108" t="n">
        <f aca="false">IF(ISBLANK(VLOOKUP(D36,'Volumes flacons'!A5:C623,3)),0,1)</f>
        <v>1</v>
      </c>
      <c r="B36" s="109" t="n">
        <f aca="false">IF(ISBLANK(D36),0,IF(ISBLANK(E36),0,IF(ISBLANK(F36),0,1)))</f>
        <v>1</v>
      </c>
      <c r="C36" s="124" t="n">
        <v>2</v>
      </c>
      <c r="D36" s="125" t="n">
        <v>389</v>
      </c>
      <c r="E36" s="125" t="n">
        <v>10.2</v>
      </c>
      <c r="F36" s="126" t="n">
        <v>3.821</v>
      </c>
      <c r="G36" s="127" t="n">
        <v>34.574</v>
      </c>
      <c r="H36" s="125" t="n">
        <v>1000</v>
      </c>
      <c r="I36" s="125" t="n">
        <v>1009</v>
      </c>
      <c r="J36" s="128" t="n">
        <v>117.22</v>
      </c>
      <c r="K36" s="129" t="n">
        <f aca="false">IF(ISBLANK(E36),"",(0.000824493-(0.0000040899*E36)+(0.000000076438*E36^2)-(0.00000000082467*E36^3)+(0.0000000000053875*E36^4)))</f>
        <v>0.00078991179915126</v>
      </c>
      <c r="L36" s="129" t="n">
        <f aca="false">IF(ISBLANK(E36),"",(-0.00000572466+(0.00000010227*E36)-(0.0000000016546*E36^2)))</f>
        <v>-4.853650584E-006</v>
      </c>
      <c r="M36" s="129" t="n">
        <f aca="false">IF(ISBLANK(E36),"",IF(ISBLANK(G36),(O36+(K36*35)+(L36*35^1.5)+(0.00000048314*35^2)),(O36+(K36*G36)+(L36*G36^1.5)+(0.00000048314*G36^2))))</f>
        <v>1.02658541998851</v>
      </c>
      <c r="N36" s="130" t="n">
        <f aca="false">IF(ISBLANK(D36),"",IF(ISBLANK(G36),J36*(1+0.00001*(35-20)),J36*(1+0.00001*(G36-20))))</f>
        <v>117.2370836428</v>
      </c>
      <c r="O36" s="129" t="n">
        <f aca="false">IF(ISBLANK(E36),"",(0.999842594+(0.00006793952*E36)-(0.00000909529*E36^2)+(0.0000001001685*E36^3)-(0.000000001120083*E36^4)+(0.000000000006536332*E36^5)))</f>
        <v>0.999684200271206</v>
      </c>
      <c r="P36" s="131" t="n">
        <v>3.697</v>
      </c>
      <c r="Q36" s="132" t="n">
        <v>3.601</v>
      </c>
      <c r="R36" s="133" t="n">
        <v>165.1</v>
      </c>
      <c r="S36" s="133" t="n">
        <v>160.8</v>
      </c>
      <c r="T36" s="135"/>
      <c r="U36" s="135"/>
      <c r="V36" s="135"/>
      <c r="W36" s="165"/>
      <c r="X36" s="135"/>
      <c r="Y36" s="135"/>
      <c r="Z36" s="135"/>
      <c r="AA36" s="135"/>
      <c r="AB36" s="135"/>
      <c r="AC36" s="169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" hidden="false" customHeight="false" outlineLevel="0" collapsed="false">
      <c r="A37" s="108" t="n">
        <f aca="false">IF(ISBLANK(VLOOKUP(D37,'Volumes flacons'!A5:C623,3)),0,1)</f>
        <v>1</v>
      </c>
      <c r="B37" s="109" t="n">
        <f aca="false">IF(ISBLANK(D37),0,IF(ISBLANK(E37),0,IF(ISBLANK(F37),0,1)))</f>
        <v>1</v>
      </c>
      <c r="C37" s="124" t="n">
        <v>3</v>
      </c>
      <c r="D37" s="125" t="n">
        <v>391</v>
      </c>
      <c r="E37" s="125" t="n">
        <v>12.4</v>
      </c>
      <c r="F37" s="126" t="n">
        <v>2.184</v>
      </c>
      <c r="G37" s="127" t="n">
        <v>34.644</v>
      </c>
      <c r="H37" s="125" t="n">
        <v>500</v>
      </c>
      <c r="I37" s="125" t="n">
        <v>505</v>
      </c>
      <c r="J37" s="128" t="n">
        <v>117.57</v>
      </c>
      <c r="K37" s="129" t="n">
        <f aca="false">IF(ISBLANK(E37),"",(0.000824493-(0.0000040899*E37)+(0.000000076438*E37^2)-(0.00000000082467*E37^3)+(0.0000000000053875*E37^4)))</f>
        <v>0.00078408638328224</v>
      </c>
      <c r="L37" s="129" t="n">
        <f aca="false">IF(ISBLANK(E37),"",(-0.00000572466+(0.00000010227*E37)-(0.0000000016546*E37^2)))</f>
        <v>-4.710923296E-006</v>
      </c>
      <c r="M37" s="129" t="n">
        <f aca="false">IF(ISBLANK(E37),"",IF(ISBLANK(G37),(O37+(K37*35)+(L37*35^1.5)+(0.00000048314*35^2)),(O37+(K37*G37)+(L37*G37^1.5)+(0.00000048314*G37^2))))</f>
        <v>1.026236115364</v>
      </c>
      <c r="N37" s="130" t="n">
        <f aca="false">IF(ISBLANK(D37),"",IF(ISBLANK(G37),J37*(1+0.00001*(35-20)),J37*(1+0.00001*(G37-20))))</f>
        <v>117.5872169508</v>
      </c>
      <c r="O37" s="129" t="n">
        <f aca="false">IF(ISBLANK(E37),"",(0.999842594+(0.00006793952*E37)-(0.00000909529*E37^2)+(0.0000001001685*E37^3)-(0.000000001120083*E37^4)+(0.000000000006536332*E37^5)))</f>
        <v>0.999452970974805</v>
      </c>
      <c r="P37" s="131" t="n">
        <v>2.1</v>
      </c>
      <c r="Q37" s="132" t="n">
        <v>2.047</v>
      </c>
      <c r="R37" s="133" t="n">
        <v>93.8</v>
      </c>
      <c r="S37" s="133" t="n">
        <v>91.4</v>
      </c>
      <c r="T37" s="135"/>
      <c r="U37" s="135"/>
      <c r="V37" s="135"/>
      <c r="W37" s="135"/>
      <c r="X37" s="135"/>
      <c r="Y37" s="135"/>
      <c r="Z37" s="135"/>
      <c r="AA37" s="135"/>
      <c r="AB37" s="135"/>
      <c r="AC37" s="169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" hidden="false" customHeight="false" outlineLevel="0" collapsed="false">
      <c r="A38" s="108" t="n">
        <f aca="false">IF(ISBLANK(VLOOKUP(D38,'Volumes flacons'!A5:C623,3)),0,1)</f>
        <v>1</v>
      </c>
      <c r="B38" s="109" t="n">
        <f aca="false">IF(ISBLANK(D38),0,IF(ISBLANK(E38),0,IF(ISBLANK(F38),0,1)))</f>
        <v>1</v>
      </c>
      <c r="C38" s="124" t="n">
        <v>4</v>
      </c>
      <c r="D38" s="125" t="n">
        <v>392</v>
      </c>
      <c r="E38" s="125" t="n">
        <v>20.2</v>
      </c>
      <c r="F38" s="126" t="n">
        <v>3.891</v>
      </c>
      <c r="G38" s="127" t="n">
        <v>36.173</v>
      </c>
      <c r="H38" s="125" t="n">
        <v>100</v>
      </c>
      <c r="I38" s="125" t="n">
        <v>101.5</v>
      </c>
      <c r="J38" s="128" t="n">
        <v>120.37</v>
      </c>
      <c r="K38" s="129" t="n">
        <f aca="false">IF(ISBLANK(E38),"",(0.000824493-(0.0000040899*E38)+(0.000000076438*E38^2)-(0.00000000082467*E38^3)+(0.0000000000053875*E38^4)))</f>
        <v>0.00076716651557126</v>
      </c>
      <c r="L38" s="129" t="n">
        <f aca="false">IF(ISBLANK(E38),"",(-0.00000572466+(0.00000010227*E38)-(0.0000000016546*E38^2)))</f>
        <v>-4.333948984E-006</v>
      </c>
      <c r="M38" s="129" t="n">
        <f aca="false">IF(ISBLANK(E38),"",IF(ISBLANK(G38),(O38+(K38*35)+(L38*35^1.5)+(0.00000048314*35^2)),(O38+(K38*G38)+(L38*G38^1.5)+(0.00000048314*G38^2))))</f>
        <v>1.02560486018227</v>
      </c>
      <c r="N38" s="130" t="n">
        <f aca="false">IF(ISBLANK(D38),"",IF(ISBLANK(G38),J38*(1+0.00001*(35-20)),J38*(1+0.00001*(G38-20))))</f>
        <v>120.3894674401</v>
      </c>
      <c r="O38" s="129" t="n">
        <f aca="false">IF(ISBLANK(E38),"",(0.999842594+(0.00006793952*E38)-(0.00000909529*E38^2)+(0.0000001001685*E38^3)-(0.000000001120083*E38^4)+(0.000000000006536332*E38^5)))</f>
        <v>0.998164852962328</v>
      </c>
      <c r="P38" s="131" t="n">
        <v>3.665</v>
      </c>
      <c r="Q38" s="132" t="n">
        <v>3.574</v>
      </c>
      <c r="R38" s="133" t="n">
        <v>163.7</v>
      </c>
      <c r="S38" s="133" t="n">
        <v>159.6</v>
      </c>
      <c r="T38" s="32" t="n">
        <v>0.41</v>
      </c>
      <c r="U38" s="32" t="n">
        <v>0.4</v>
      </c>
      <c r="V38" s="134" t="n">
        <v>9.7</v>
      </c>
      <c r="W38" s="134" t="n">
        <v>9.5</v>
      </c>
      <c r="X38" s="134" t="n">
        <v>9.3</v>
      </c>
      <c r="Y38" s="134" t="n">
        <v>9.1</v>
      </c>
      <c r="Z38" s="32" t="n">
        <v>0.69</v>
      </c>
      <c r="AA38" s="32" t="n">
        <v>0.68</v>
      </c>
      <c r="AB38" s="134" t="n">
        <v>2.8</v>
      </c>
      <c r="AC38" s="170" t="n">
        <v>2.7</v>
      </c>
      <c r="AD38" s="159" t="n">
        <v>0.0522</v>
      </c>
      <c r="AE38" s="159" t="n">
        <v>0.0373</v>
      </c>
      <c r="AF38" s="159" t="n">
        <v>0.003</v>
      </c>
      <c r="AG38" s="159" t="n">
        <v>0.0698</v>
      </c>
      <c r="AH38" s="159" t="n">
        <v>0.0166</v>
      </c>
      <c r="AI38" s="159" t="n">
        <v>0.0144</v>
      </c>
      <c r="AJ38" s="159" t="n">
        <v>0.0017</v>
      </c>
      <c r="AK38" s="159" t="n">
        <v>0.0036</v>
      </c>
      <c r="AL38" s="159" t="n">
        <v>0.0872</v>
      </c>
      <c r="AM38" s="159" t="n">
        <v>0.0044</v>
      </c>
      <c r="AN38" s="159" t="n">
        <v>0.0008</v>
      </c>
      <c r="AO38" s="159" t="n">
        <v>-99999</v>
      </c>
      <c r="AP38" s="159" t="n">
        <v>0.0459</v>
      </c>
      <c r="AQ38" s="159"/>
      <c r="AR38" s="159" t="n">
        <v>0.0651</v>
      </c>
      <c r="AS38" s="159" t="n">
        <v>0.1104</v>
      </c>
      <c r="AT38" s="159"/>
      <c r="AU38" s="159" t="n">
        <v>0.0364</v>
      </c>
      <c r="AV38" s="159" t="n">
        <v>-99999</v>
      </c>
      <c r="AW38" s="159"/>
      <c r="AX38" s="159" t="n">
        <v>0.1024</v>
      </c>
      <c r="AY38" s="159" t="n">
        <v>0.2161</v>
      </c>
      <c r="AZ38" s="159"/>
      <c r="BA38" s="159" t="n">
        <v>-99999</v>
      </c>
      <c r="BB38" s="136"/>
    </row>
    <row r="39" customFormat="false" ht="15" hidden="false" customHeight="false" outlineLevel="0" collapsed="false">
      <c r="A39" s="108" t="n">
        <f aca="false">IF(ISBLANK(VLOOKUP(D39,'Volumes flacons'!A5:C623,3)),0,1)</f>
        <v>1</v>
      </c>
      <c r="B39" s="109" t="n">
        <f aca="false">IF(ISBLANK(D39),0,IF(ISBLANK(E39),0,IF(ISBLANK(F39),0,1)))</f>
        <v>1</v>
      </c>
      <c r="C39" s="124" t="n">
        <v>5</v>
      </c>
      <c r="D39" s="125" t="n">
        <v>397</v>
      </c>
      <c r="E39" s="125" t="n">
        <v>23.3</v>
      </c>
      <c r="F39" s="126" t="n">
        <v>5.485</v>
      </c>
      <c r="G39" s="127" t="n">
        <v>36.709</v>
      </c>
      <c r="H39" s="125" t="n">
        <v>80</v>
      </c>
      <c r="I39" s="125" t="n">
        <v>80.5</v>
      </c>
      <c r="J39" s="128" t="n">
        <v>118.96</v>
      </c>
      <c r="K39" s="129" t="n">
        <f aca="false">IF(ISBLANK(E39),"",(0.000824493-(0.0000040899*E39)+(0.000000076438*E39^2)-(0.00000000082467*E39^3)+(0.0000000000053875*E39^4)))</f>
        <v>0.000761852082538149</v>
      </c>
      <c r="L39" s="129" t="n">
        <f aca="false">IF(ISBLANK(E39),"",(-0.00000572466+(0.00000010227*E39)-(0.0000000016546*E39^2)))</f>
        <v>-4.240034794E-006</v>
      </c>
      <c r="M39" s="129" t="n">
        <f aca="false">IF(ISBLANK(E39),"",IF(ISBLANK(G39),(O39+(K39*35)+(L39*35^1.5)+(0.00000048314*35^2)),(O39+(K39*G39)+(L39*G39^1.5)+(0.00000048314*G39^2))))</f>
        <v>1.02514452044889</v>
      </c>
      <c r="N39" s="130" t="n">
        <f aca="false">IF(ISBLANK(D39),"",IF(ISBLANK(G39),J39*(1+0.00001*(35-20)),J39*(1+0.00001*(G39-20))))</f>
        <v>118.9798770264</v>
      </c>
      <c r="O39" s="129" t="n">
        <f aca="false">IF(ISBLANK(E39),"",(0.999842594+(0.00006793952*E39)-(0.00000909529*E39^2)+(0.0000001001685*E39^3)-(0.000000001120083*E39^4)+(0.000000000006536332*E39^5)))</f>
        <v>0.997469672670003</v>
      </c>
      <c r="P39" s="131" t="n">
        <v>5.234</v>
      </c>
      <c r="Q39" s="132" t="n">
        <v>5.106</v>
      </c>
      <c r="R39" s="133" t="n">
        <v>233.8</v>
      </c>
      <c r="S39" s="133" t="n">
        <v>228</v>
      </c>
      <c r="T39" s="32" t="n">
        <v>0</v>
      </c>
      <c r="U39" s="32" t="n">
        <v>0</v>
      </c>
      <c r="V39" s="134" t="n">
        <v>0.1</v>
      </c>
      <c r="W39" s="134" t="n">
        <v>0</v>
      </c>
      <c r="X39" s="134" t="n">
        <v>0.1</v>
      </c>
      <c r="Y39" s="134" t="n">
        <v>0</v>
      </c>
      <c r="Z39" s="32" t="n">
        <v>0.1</v>
      </c>
      <c r="AA39" s="32" t="n">
        <v>0.1</v>
      </c>
      <c r="AB39" s="134" t="n">
        <v>0.7</v>
      </c>
      <c r="AC39" s="170" t="n">
        <v>0.7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" hidden="false" customHeight="false" outlineLevel="0" collapsed="false">
      <c r="A40" s="108" t="n">
        <f aca="false">IF(ISBLANK(VLOOKUP(D40,'Volumes flacons'!A5:C623,3)),0,1)</f>
        <v>1</v>
      </c>
      <c r="B40" s="109" t="n">
        <f aca="false">IF(ISBLANK(D40),0,IF(ISBLANK(E40),0,IF(ISBLANK(F40),0,1)))</f>
        <v>1</v>
      </c>
      <c r="C40" s="124" t="n">
        <v>6</v>
      </c>
      <c r="D40" s="125" t="n">
        <v>398</v>
      </c>
      <c r="E40" s="125" t="n">
        <v>23.3</v>
      </c>
      <c r="F40" s="126" t="n">
        <v>5.472</v>
      </c>
      <c r="G40" s="127" t="n">
        <v>36.709</v>
      </c>
      <c r="H40" s="125" t="n">
        <v>80</v>
      </c>
      <c r="I40" s="125" t="n">
        <v>80.5</v>
      </c>
      <c r="J40" s="128" t="n">
        <v>118.59</v>
      </c>
      <c r="K40" s="129" t="n">
        <f aca="false">IF(ISBLANK(E40),"",(0.000824493-(0.0000040899*E40)+(0.000000076438*E40^2)-(0.00000000082467*E40^3)+(0.0000000000053875*E40^4)))</f>
        <v>0.000761852082538149</v>
      </c>
      <c r="L40" s="129" t="n">
        <f aca="false">IF(ISBLANK(E40),"",(-0.00000572466+(0.00000010227*E40)-(0.0000000016546*E40^2)))</f>
        <v>-4.240034794E-006</v>
      </c>
      <c r="M40" s="129" t="n">
        <f aca="false">IF(ISBLANK(E40),"",IF(ISBLANK(G40),(O40+(K40*35)+(L40*35^1.5)+(0.00000048314*35^2)),(O40+(K40*G40)+(L40*G40^1.5)+(0.00000048314*G40^2))))</f>
        <v>1.02514452044889</v>
      </c>
      <c r="N40" s="130" t="n">
        <f aca="false">IF(ISBLANK(D40),"",IF(ISBLANK(G40),J40*(1+0.00001*(35-20)),J40*(1+0.00001*(G40-20))))</f>
        <v>118.6098152031</v>
      </c>
      <c r="O40" s="129" t="n">
        <f aca="false">IF(ISBLANK(E40),"",(0.999842594+(0.00006793952*E40)-(0.00000909529*E40^2)+(0.0000001001685*E40^3)-(0.000000001120083*E40^4)+(0.000000000006536332*E40^5)))</f>
        <v>0.997469672670003</v>
      </c>
      <c r="P40" s="131" t="n">
        <v>5.239</v>
      </c>
      <c r="Q40" s="132" t="n">
        <v>5.11</v>
      </c>
      <c r="R40" s="133" t="n">
        <v>234</v>
      </c>
      <c r="S40" s="133" t="n">
        <v>228.2</v>
      </c>
      <c r="T40" s="32" t="n">
        <v>0</v>
      </c>
      <c r="U40" s="32" t="n">
        <v>0</v>
      </c>
      <c r="V40" s="134" t="n">
        <v>0.1</v>
      </c>
      <c r="W40" s="134" t="n">
        <v>0.1</v>
      </c>
      <c r="X40" s="134" t="n">
        <v>0.1</v>
      </c>
      <c r="Y40" s="134" t="n">
        <v>0.1</v>
      </c>
      <c r="Z40" s="32" t="n">
        <v>0.11</v>
      </c>
      <c r="AA40" s="32" t="n">
        <v>0.11</v>
      </c>
      <c r="AB40" s="134" t="n">
        <v>0.8</v>
      </c>
      <c r="AC40" s="170" t="n">
        <v>0.8</v>
      </c>
      <c r="AD40" s="159" t="n">
        <v>0.0165</v>
      </c>
      <c r="AE40" s="159" t="n">
        <v>0.0162</v>
      </c>
      <c r="AF40" s="159" t="n">
        <v>-99999</v>
      </c>
      <c r="AG40" s="159" t="n">
        <v>0.0163</v>
      </c>
      <c r="AH40" s="159" t="n">
        <v>0.0044</v>
      </c>
      <c r="AI40" s="159" t="n">
        <v>-99999</v>
      </c>
      <c r="AJ40" s="159" t="n">
        <v>-99999</v>
      </c>
      <c r="AK40" s="159" t="n">
        <v>0.0009</v>
      </c>
      <c r="AL40" s="159" t="n">
        <v>0.0505</v>
      </c>
      <c r="AM40" s="159" t="n">
        <v>0.0042</v>
      </c>
      <c r="AN40" s="159" t="n">
        <v>-99999</v>
      </c>
      <c r="AO40" s="159" t="n">
        <v>-99999</v>
      </c>
      <c r="AP40" s="159" t="n">
        <v>0.0905</v>
      </c>
      <c r="AQ40" s="159"/>
      <c r="AR40" s="159" t="n">
        <v>0.0061</v>
      </c>
      <c r="AS40" s="159" t="n">
        <v>0.0187</v>
      </c>
      <c r="AT40" s="159"/>
      <c r="AU40" s="159" t="n">
        <v>0.0162</v>
      </c>
      <c r="AV40" s="159" t="n">
        <v>-99999</v>
      </c>
      <c r="AW40" s="159"/>
      <c r="AX40" s="159" t="n">
        <v>0.0635</v>
      </c>
      <c r="AY40" s="159" t="n">
        <v>0.1197</v>
      </c>
      <c r="AZ40" s="159"/>
      <c r="BA40" s="159" t="n">
        <v>-99999</v>
      </c>
      <c r="BB40" s="136"/>
    </row>
    <row r="41" customFormat="false" ht="15" hidden="false" customHeight="false" outlineLevel="0" collapsed="false">
      <c r="A41" s="108" t="n">
        <f aca="false">IF(ISBLANK(VLOOKUP(D41,'Volumes flacons'!A5:C623,3)),0,1)</f>
        <v>1</v>
      </c>
      <c r="B41" s="109" t="n">
        <f aca="false">IF(ISBLANK(D41),0,IF(ISBLANK(E41),0,IF(ISBLANK(F41),0,1)))</f>
        <v>1</v>
      </c>
      <c r="C41" s="124" t="n">
        <v>7</v>
      </c>
      <c r="D41" s="125" t="n">
        <v>399</v>
      </c>
      <c r="E41" s="125" t="n">
        <v>12.4</v>
      </c>
      <c r="F41" s="126" t="n">
        <v>5.196</v>
      </c>
      <c r="G41" s="127" t="n">
        <v>36.725</v>
      </c>
      <c r="H41" s="125" t="n">
        <v>60</v>
      </c>
      <c r="I41" s="125" t="n">
        <v>62</v>
      </c>
      <c r="J41" s="128" t="n">
        <v>113.43</v>
      </c>
      <c r="K41" s="129" t="n">
        <f aca="false">IF(ISBLANK(E41),"",(0.000824493-(0.0000040899*E41)+(0.000000076438*E41^2)-(0.00000000082467*E41^3)+(0.0000000000053875*E41^4)))</f>
        <v>0.00078408638328224</v>
      </c>
      <c r="L41" s="129" t="n">
        <f aca="false">IF(ISBLANK(E41),"",(-0.00000572466+(0.00000010227*E41)-(0.0000000016546*E41^2)))</f>
        <v>-4.710923296E-006</v>
      </c>
      <c r="M41" s="129" t="n">
        <f aca="false">IF(ISBLANK(E41),"",IF(ISBLANK(G41),(O41+(K41*35)+(L41*35^1.5)+(0.00000048314*35^2)),(O41+(K41*G41)+(L41*G41^1.5)+(0.00000048314*G41^2))))</f>
        <v>1.02785171424724</v>
      </c>
      <c r="N41" s="130" t="n">
        <f aca="false">IF(ISBLANK(D41),"",IF(ISBLANK(G41),J41*(1+0.00001*(35-20)),J41*(1+0.00001*(G41-20))))</f>
        <v>113.4489711675</v>
      </c>
      <c r="O41" s="129" t="n">
        <f aca="false">IF(ISBLANK(E41),"",(0.999842594+(0.00006793952*E41)-(0.00000909529*E41^2)+(0.0000001001685*E41^3)-(0.000000001120083*E41^4)+(0.000000000006536332*E41^5)))</f>
        <v>0.999452970974805</v>
      </c>
      <c r="P41" s="131" t="n">
        <v>5.204</v>
      </c>
      <c r="Q41" s="132" t="n">
        <v>5.063</v>
      </c>
      <c r="R41" s="133" t="n">
        <v>232.4</v>
      </c>
      <c r="S41" s="133" t="n">
        <v>226.1</v>
      </c>
      <c r="T41" s="32" t="n">
        <v>0</v>
      </c>
      <c r="U41" s="32" t="n">
        <v>0</v>
      </c>
      <c r="V41" s="134" t="n">
        <v>0.1</v>
      </c>
      <c r="W41" s="134" t="n">
        <v>0</v>
      </c>
      <c r="X41" s="134" t="n">
        <v>0.1</v>
      </c>
      <c r="Y41" s="134" t="n">
        <v>0</v>
      </c>
      <c r="Z41" s="32" t="n">
        <v>0.1</v>
      </c>
      <c r="AA41" s="32" t="n">
        <v>0.1</v>
      </c>
      <c r="AB41" s="134" t="n">
        <v>0.6</v>
      </c>
      <c r="AC41" s="170" t="n">
        <v>0.6</v>
      </c>
      <c r="AD41" s="159" t="n">
        <v>0.0078</v>
      </c>
      <c r="AE41" s="159" t="n">
        <v>0.0084</v>
      </c>
      <c r="AF41" s="159" t="n">
        <v>-99999</v>
      </c>
      <c r="AG41" s="159" t="n">
        <v>0.0079</v>
      </c>
      <c r="AH41" s="159" t="n">
        <v>0.0034</v>
      </c>
      <c r="AI41" s="159" t="n">
        <v>-99999</v>
      </c>
      <c r="AJ41" s="159" t="n">
        <v>-99999</v>
      </c>
      <c r="AK41" s="159" t="n">
        <v>0.0008</v>
      </c>
      <c r="AL41" s="159" t="n">
        <v>0.0273</v>
      </c>
      <c r="AM41" s="159" t="n">
        <v>0.0034</v>
      </c>
      <c r="AN41" s="159" t="n">
        <v>-99999</v>
      </c>
      <c r="AO41" s="159" t="n">
        <v>-99999</v>
      </c>
      <c r="AP41" s="159" t="n">
        <v>0.0802</v>
      </c>
      <c r="AQ41" s="159"/>
      <c r="AR41" s="159" t="n">
        <v>0.0028</v>
      </c>
      <c r="AS41" s="159" t="n">
        <v>0.0078</v>
      </c>
      <c r="AT41" s="159"/>
      <c r="AU41" s="159" t="n">
        <v>0.0096</v>
      </c>
      <c r="AV41" s="159" t="n">
        <v>-99999</v>
      </c>
      <c r="AW41" s="159"/>
      <c r="AX41" s="159" t="n">
        <v>0.0333</v>
      </c>
      <c r="AY41" s="159" t="n">
        <v>0.0668</v>
      </c>
      <c r="AZ41" s="159"/>
      <c r="BA41" s="159" t="n">
        <v>-99999</v>
      </c>
      <c r="BB41" s="136"/>
    </row>
    <row r="42" customFormat="false" ht="15" hidden="false" customHeight="false" outlineLevel="0" collapsed="false">
      <c r="A42" s="108" t="n">
        <f aca="false">IF(ISBLANK(VLOOKUP(D42,'Volumes flacons'!A5:C623,3)),0,1)</f>
        <v>1</v>
      </c>
      <c r="B42" s="109" t="n">
        <f aca="false">IF(ISBLANK(D42),0,IF(ISBLANK(E42),0,IF(ISBLANK(F42),0,1)))</f>
        <v>1</v>
      </c>
      <c r="C42" s="124" t="n">
        <v>8</v>
      </c>
      <c r="D42" s="125" t="n">
        <v>401</v>
      </c>
      <c r="E42" s="125" t="n">
        <v>25.7</v>
      </c>
      <c r="F42" s="126" t="n">
        <v>5.078</v>
      </c>
      <c r="G42" s="127" t="n">
        <v>36.541</v>
      </c>
      <c r="H42" s="125" t="n">
        <v>40</v>
      </c>
      <c r="I42" s="125" t="n">
        <v>41</v>
      </c>
      <c r="J42" s="128" t="n">
        <v>119.4</v>
      </c>
      <c r="K42" s="129" t="n">
        <f aca="false">IF(ISBLANK(E42),"",(0.000824493-(0.0000040899*E42)+(0.000000076438*E42^2)-(0.00000000082467*E42^3)+(0.0000000000053875*E42^4)))</f>
        <v>0.000758220947939229</v>
      </c>
      <c r="L42" s="129" t="n">
        <f aca="false">IF(ISBLANK(E42),"",(-0.00000572466+(0.00000010227*E42)-(0.0000000016546*E42^2)))</f>
        <v>-4.189167754E-006</v>
      </c>
      <c r="M42" s="129" t="n">
        <f aca="false">IF(ISBLANK(E42),"",IF(ISBLANK(G42),(O42+(K42*35)+(L42*35^1.5)+(0.00000048314*35^2)),(O42+(K42*G42)+(L42*G42^1.5)+(0.00000048314*G42^2))))</f>
        <v>1.02429218864486</v>
      </c>
      <c r="N42" s="130" t="n">
        <f aca="false">IF(ISBLANK(D42),"",IF(ISBLANK(G42),J42*(1+0.00001*(35-20)),J42*(1+0.00001*(G42-20))))</f>
        <v>119.419749954</v>
      </c>
      <c r="O42" s="129" t="n">
        <f aca="false">IF(ISBLANK(E42),"",(0.999842594+(0.00006793952*E42)-(0.00000909529*E42^2)+(0.0000001001685*E42^3)-(0.000000001120083*E42^4)+(0.000000000006536332*E42^5)))</f>
        <v>0.996866260603449</v>
      </c>
      <c r="P42" s="131" t="n">
        <v>4.827</v>
      </c>
      <c r="Q42" s="132" t="n">
        <v>4.713</v>
      </c>
      <c r="R42" s="133" t="n">
        <v>215.6</v>
      </c>
      <c r="S42" s="133" t="n">
        <v>210.5</v>
      </c>
      <c r="T42" s="32" t="n">
        <v>0</v>
      </c>
      <c r="U42" s="32" t="n">
        <v>0</v>
      </c>
      <c r="V42" s="134" t="n">
        <v>0</v>
      </c>
      <c r="W42" s="134" t="n">
        <v>0</v>
      </c>
      <c r="X42" s="134" t="n">
        <v>0</v>
      </c>
      <c r="Y42" s="134" t="n">
        <v>0</v>
      </c>
      <c r="Z42" s="32" t="n">
        <v>0.1</v>
      </c>
      <c r="AA42" s="32" t="n">
        <v>0.1</v>
      </c>
      <c r="AB42" s="134" t="n">
        <v>0.6</v>
      </c>
      <c r="AC42" s="170" t="n">
        <v>0.6</v>
      </c>
      <c r="AD42" s="159" t="n">
        <v>0.0059</v>
      </c>
      <c r="AE42" s="159" t="n">
        <v>0.0066</v>
      </c>
      <c r="AF42" s="159" t="n">
        <v>-99999</v>
      </c>
      <c r="AG42" s="159" t="n">
        <v>0.0053</v>
      </c>
      <c r="AH42" s="159" t="n">
        <v>0.0028</v>
      </c>
      <c r="AI42" s="159" t="n">
        <v>-99999</v>
      </c>
      <c r="AJ42" s="159" t="n">
        <v>-99999</v>
      </c>
      <c r="AK42" s="159" t="n">
        <v>0.0006</v>
      </c>
      <c r="AL42" s="159" t="n">
        <v>0.0216</v>
      </c>
      <c r="AM42" s="159" t="n">
        <v>0.0039</v>
      </c>
      <c r="AN42" s="159" t="n">
        <v>-99999</v>
      </c>
      <c r="AO42" s="159" t="n">
        <v>-99999</v>
      </c>
      <c r="AP42" s="159" t="n">
        <v>0.0884</v>
      </c>
      <c r="AQ42" s="159"/>
      <c r="AR42" s="159" t="n">
        <v>0.0028</v>
      </c>
      <c r="AS42" s="159" t="n">
        <v>0.0039</v>
      </c>
      <c r="AT42" s="159"/>
      <c r="AU42" s="159" t="n">
        <v>0.0099</v>
      </c>
      <c r="AV42" s="159" t="n">
        <v>-99999</v>
      </c>
      <c r="AW42" s="159"/>
      <c r="AX42" s="159" t="n">
        <v>0.0337</v>
      </c>
      <c r="AY42" s="159" t="n">
        <v>0.0562</v>
      </c>
      <c r="AZ42" s="159"/>
      <c r="BA42" s="159" t="n">
        <v>-99999</v>
      </c>
      <c r="BB42" s="136"/>
    </row>
    <row r="43" customFormat="false" ht="15" hidden="false" customHeight="false" outlineLevel="0" collapsed="false">
      <c r="A43" s="108" t="n">
        <f aca="false">IF(ISBLANK(VLOOKUP(D43,'Volumes flacons'!A5:C623,3)),0,1)</f>
        <v>1</v>
      </c>
      <c r="B43" s="109" t="n">
        <f aca="false">IF(ISBLANK(D43),0,IF(ISBLANK(E43),0,IF(ISBLANK(F43),0,1)))</f>
        <v>1</v>
      </c>
      <c r="C43" s="124" t="n">
        <v>9</v>
      </c>
      <c r="D43" s="125" t="n">
        <v>402</v>
      </c>
      <c r="E43" s="125" t="n">
        <v>26.1</v>
      </c>
      <c r="F43" s="126" t="n">
        <v>4.89</v>
      </c>
      <c r="G43" s="127" t="n">
        <v>36.48</v>
      </c>
      <c r="H43" s="125" t="n">
        <v>20</v>
      </c>
      <c r="I43" s="125" t="n">
        <v>21</v>
      </c>
      <c r="J43" s="128" t="n">
        <v>119.3</v>
      </c>
      <c r="K43" s="129" t="n">
        <f aca="false">IF(ISBLANK(E43),"",(0.000824493-(0.0000040899*E43)+(0.000000076438*E43^2)-(0.00000000082467*E43^3)+(0.0000000000053875*E43^4)))</f>
        <v>0.000757654706474569</v>
      </c>
      <c r="L43" s="129" t="n">
        <f aca="false">IF(ISBLANK(E43),"",(-0.00000572466+(0.00000010227*E43)-(0.0000000016546*E43^2)))</f>
        <v>-4.182543066E-006</v>
      </c>
      <c r="M43" s="129" t="n">
        <f aca="false">IF(ISBLANK(E43),"",IF(ISBLANK(G43),(O43+(K43*35)+(L43*35^1.5)+(0.00000048314*35^2)),(O43+(K43*G43)+(L43*G43^1.5)+(0.00000048314*G43^2))))</f>
        <v>1.02412100510921</v>
      </c>
      <c r="N43" s="130" t="n">
        <f aca="false">IF(ISBLANK(D43),"",IF(ISBLANK(G43),J43*(1+0.00001*(35-20)),J43*(1+0.00001*(G43-20))))</f>
        <v>119.31966064</v>
      </c>
      <c r="O43" s="129" t="n">
        <f aca="false">IF(ISBLANK(E43),"",(0.999842594+(0.00006793952*E43)-(0.00000909529*E43^2)+(0.0000001001685*E43^3)-(0.000000001120083*E43^4)+(0.000000000006536332*E43^5)))</f>
        <v>0.996760361326907</v>
      </c>
      <c r="P43" s="131" t="n">
        <v>4.652</v>
      </c>
      <c r="Q43" s="132" t="n">
        <v>4.542</v>
      </c>
      <c r="R43" s="133" t="n">
        <v>207.7</v>
      </c>
      <c r="S43" s="133" t="n">
        <v>202.9</v>
      </c>
      <c r="T43" s="32" t="n">
        <v>0</v>
      </c>
      <c r="U43" s="32" t="n">
        <v>0</v>
      </c>
      <c r="V43" s="134" t="n">
        <v>0</v>
      </c>
      <c r="W43" s="134" t="n">
        <v>0</v>
      </c>
      <c r="X43" s="134" t="n">
        <v>0</v>
      </c>
      <c r="Y43" s="134" t="n">
        <v>0</v>
      </c>
      <c r="Z43" s="32" t="n">
        <v>0.1</v>
      </c>
      <c r="AA43" s="32" t="n">
        <v>0.1</v>
      </c>
      <c r="AB43" s="134" t="n">
        <v>0.5</v>
      </c>
      <c r="AC43" s="170" t="n">
        <v>0.5</v>
      </c>
      <c r="AD43" s="159" t="n">
        <v>0.0036</v>
      </c>
      <c r="AE43" s="159" t="n">
        <v>0.0043</v>
      </c>
      <c r="AF43" s="159" t="n">
        <v>-99999</v>
      </c>
      <c r="AG43" s="159" t="n">
        <v>0.0037</v>
      </c>
      <c r="AH43" s="159" t="n">
        <v>0.0023</v>
      </c>
      <c r="AI43" s="159" t="n">
        <v>-99999</v>
      </c>
      <c r="AJ43" s="159" t="n">
        <v>-99999</v>
      </c>
      <c r="AK43" s="159" t="n">
        <v>0.0006</v>
      </c>
      <c r="AL43" s="159" t="n">
        <v>0.0144</v>
      </c>
      <c r="AM43" s="159" t="n">
        <v>0.0029</v>
      </c>
      <c r="AN43" s="159" t="n">
        <v>-99999</v>
      </c>
      <c r="AO43" s="159" t="n">
        <v>-99999</v>
      </c>
      <c r="AP43" s="159" t="n">
        <v>0.0705</v>
      </c>
      <c r="AQ43" s="159"/>
      <c r="AR43" s="159" t="n">
        <v>0.0009</v>
      </c>
      <c r="AS43" s="159" t="n">
        <v>0.0028</v>
      </c>
      <c r="AT43" s="159"/>
      <c r="AU43" s="159" t="n">
        <v>0.0084</v>
      </c>
      <c r="AV43" s="159" t="n">
        <v>-99999</v>
      </c>
      <c r="AW43" s="159"/>
      <c r="AX43" s="159" t="n">
        <v>0.0369</v>
      </c>
      <c r="AY43" s="159" t="n">
        <v>0.0286</v>
      </c>
      <c r="AZ43" s="159"/>
      <c r="BA43" s="159" t="n">
        <v>-99999</v>
      </c>
      <c r="BB43" s="136"/>
    </row>
    <row r="44" customFormat="false" ht="15" hidden="false" customHeight="false" outlineLevel="0" collapsed="false">
      <c r="A44" s="108" t="n">
        <f aca="false">IF(ISBLANK(VLOOKUP(D44,'Volumes flacons'!A5:C623,3)),0,1)</f>
        <v>1</v>
      </c>
      <c r="B44" s="109" t="n">
        <f aca="false">IF(ISBLANK(D44),0,IF(ISBLANK(E44),0,IF(ISBLANK(F44),0,1)))</f>
        <v>1</v>
      </c>
      <c r="C44" s="124" t="n">
        <v>10</v>
      </c>
      <c r="D44" s="125" t="n">
        <v>403</v>
      </c>
      <c r="E44" s="125" t="n">
        <v>26.1</v>
      </c>
      <c r="F44" s="126" t="n">
        <v>4.858</v>
      </c>
      <c r="G44" s="127" t="n">
        <v>36.48</v>
      </c>
      <c r="H44" s="125" t="n">
        <v>10</v>
      </c>
      <c r="I44" s="125" t="n">
        <v>11</v>
      </c>
      <c r="J44" s="128" t="n">
        <v>118.54</v>
      </c>
      <c r="K44" s="129" t="n">
        <f aca="false">IF(ISBLANK(E44),"",(0.000824493-(0.0000040899*E44)+(0.000000076438*E44^2)-(0.00000000082467*E44^3)+(0.0000000000053875*E44^4)))</f>
        <v>0.000757654706474569</v>
      </c>
      <c r="L44" s="129" t="n">
        <f aca="false">IF(ISBLANK(E44),"",(-0.00000572466+(0.00000010227*E44)-(0.0000000016546*E44^2)))</f>
        <v>-4.182543066E-006</v>
      </c>
      <c r="M44" s="129" t="n">
        <f aca="false">IF(ISBLANK(E44),"",IF(ISBLANK(G44),(O44+(K44*35)+(L44*35^1.5)+(0.00000048314*35^2)),(O44+(K44*G44)+(L44*G44^1.5)+(0.00000048314*G44^2))))</f>
        <v>1.02412100510921</v>
      </c>
      <c r="N44" s="130" t="n">
        <f aca="false">IF(ISBLANK(D44),"",IF(ISBLANK(G44),J44*(1+0.00001*(35-20)),J44*(1+0.00001*(G44-20))))</f>
        <v>118.559535392</v>
      </c>
      <c r="O44" s="129" t="n">
        <f aca="false">IF(ISBLANK(E44),"",(0.999842594+(0.00006793952*E44)-(0.00000909529*E44^2)+(0.0000001001685*E44^3)-(0.000000001120083*E44^4)+(0.000000000006536332*E44^5)))</f>
        <v>0.996760361326907</v>
      </c>
      <c r="P44" s="131" t="n">
        <v>4.651</v>
      </c>
      <c r="Q44" s="132" t="n">
        <v>4.542</v>
      </c>
      <c r="R44" s="133" t="n">
        <v>207.7</v>
      </c>
      <c r="S44" s="133" t="n">
        <v>202.8</v>
      </c>
      <c r="T44" s="32" t="n">
        <v>0</v>
      </c>
      <c r="U44" s="32" t="n">
        <v>0</v>
      </c>
      <c r="V44" s="134" t="n">
        <v>0.1</v>
      </c>
      <c r="W44" s="134" t="n">
        <v>0.1</v>
      </c>
      <c r="X44" s="134" t="n">
        <v>0.1</v>
      </c>
      <c r="Y44" s="134" t="n">
        <v>0.1</v>
      </c>
      <c r="Z44" s="32" t="n">
        <v>0.1</v>
      </c>
      <c r="AA44" s="32" t="n">
        <v>0.09</v>
      </c>
      <c r="AB44" s="134" t="n">
        <v>0.5</v>
      </c>
      <c r="AC44" s="170" t="n">
        <v>0.5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" hidden="false" customHeight="false" outlineLevel="0" collapsed="false">
      <c r="A45" s="108" t="n">
        <f aca="false">IF(ISBLANK(VLOOKUP(D45,'Volumes flacons'!A5:C623,3)),0,1)</f>
        <v>1</v>
      </c>
      <c r="B45" s="109" t="n">
        <f aca="false">IF(ISBLANK(D45),0,IF(ISBLANK(E45),0,IF(ISBLANK(F45),0,1)))</f>
        <v>1</v>
      </c>
      <c r="C45" s="124" t="n">
        <v>11</v>
      </c>
      <c r="D45" s="125" t="n">
        <v>404</v>
      </c>
      <c r="E45" s="125" t="n">
        <v>26</v>
      </c>
      <c r="F45" s="126" t="n">
        <v>4.667</v>
      </c>
      <c r="G45" s="127" t="n">
        <v>36.481</v>
      </c>
      <c r="H45" s="125" t="n">
        <v>0</v>
      </c>
      <c r="I45" s="125" t="n">
        <v>2.2</v>
      </c>
      <c r="J45" s="128" t="n">
        <v>113.87</v>
      </c>
      <c r="K45" s="129" t="n">
        <f aca="false">IF(ISBLANK(E45),"",(0.000824493-(0.0000040899*E45)+(0.000000076438*E45^2)-(0.00000000082467*E45^3)+(0.0000000000053875*E45^4)))</f>
        <v>0.00075779524628</v>
      </c>
      <c r="L45" s="129" t="n">
        <f aca="false">IF(ISBLANK(E45),"",(-0.00000572466+(0.00000010227*E45)-(0.0000000016546*E45^2)))</f>
        <v>-4.1841496E-006</v>
      </c>
      <c r="M45" s="129" t="n">
        <f aca="false">IF(ISBLANK(E45),"",IF(ISBLANK(G45),(O45+(K45*35)+(L45*35^1.5)+(0.00000048314*35^2)),(O45+(K45*G45)+(L45*G45^1.5)+(0.00000048314*G45^2))))</f>
        <v>1.0241531484427</v>
      </c>
      <c r="N45" s="130" t="n">
        <f aca="false">IF(ISBLANK(D45),"",IF(ISBLANK(G45),J45*(1+0.00001*(35-20)),J45*(1+0.00001*(G45-20))))</f>
        <v>113.8887669147</v>
      </c>
      <c r="O45" s="129" t="n">
        <f aca="false">IF(ISBLANK(E45),"",(0.999842594+(0.00006793952*E45)-(0.00000909529*E45^2)+(0.0000001001685*E45^3)-(0.000000001120083*E45^4)+(0.000000000006536332*E45^5)))</f>
        <v>0.996786976605145</v>
      </c>
      <c r="P45" s="131" t="n">
        <v>4.654</v>
      </c>
      <c r="Q45" s="132" t="n">
        <v>4.544</v>
      </c>
      <c r="R45" s="133" t="n">
        <v>207.9</v>
      </c>
      <c r="S45" s="133" t="n">
        <v>203</v>
      </c>
      <c r="T45" s="32" t="n">
        <v>0</v>
      </c>
      <c r="U45" s="32" t="n">
        <v>0</v>
      </c>
      <c r="V45" s="134" t="n">
        <v>0.1</v>
      </c>
      <c r="W45" s="134" t="n">
        <v>0.1</v>
      </c>
      <c r="X45" s="134" t="n">
        <v>0.1</v>
      </c>
      <c r="Y45" s="134" t="n">
        <v>0.1</v>
      </c>
      <c r="Z45" s="32" t="n">
        <v>0.12</v>
      </c>
      <c r="AA45" s="32" t="n">
        <v>0.12</v>
      </c>
      <c r="AB45" s="134" t="n">
        <v>0.6</v>
      </c>
      <c r="AC45" s="170" t="n">
        <v>0.5</v>
      </c>
      <c r="AD45" s="159" t="n">
        <v>0.0032</v>
      </c>
      <c r="AE45" s="159" t="n">
        <v>0.0041</v>
      </c>
      <c r="AF45" s="159" t="n">
        <v>-99999</v>
      </c>
      <c r="AG45" s="159" t="n">
        <v>0.0032</v>
      </c>
      <c r="AH45" s="159" t="n">
        <v>0.002</v>
      </c>
      <c r="AI45" s="159" t="n">
        <v>-99999</v>
      </c>
      <c r="AJ45" s="159" t="n">
        <v>-99999</v>
      </c>
      <c r="AK45" s="159" t="n">
        <v>0.0006</v>
      </c>
      <c r="AL45" s="159" t="n">
        <v>0.0134</v>
      </c>
      <c r="AM45" s="159" t="n">
        <v>0.0028</v>
      </c>
      <c r="AN45" s="159" t="n">
        <v>-99999</v>
      </c>
      <c r="AO45" s="159" t="n">
        <v>-99999</v>
      </c>
      <c r="AP45" s="159" t="n">
        <v>0.0647</v>
      </c>
      <c r="AQ45" s="159"/>
      <c r="AR45" s="159" t="n">
        <v>0.0015</v>
      </c>
      <c r="AS45" s="159" t="n">
        <v>0.0025</v>
      </c>
      <c r="AT45" s="159"/>
      <c r="AU45" s="159" t="n">
        <v>0.0075</v>
      </c>
      <c r="AV45" s="159" t="n">
        <v>-99999</v>
      </c>
      <c r="AW45" s="159"/>
      <c r="AX45" s="159" t="n">
        <v>0.025</v>
      </c>
      <c r="AY45" s="159" t="n">
        <v>0.0355</v>
      </c>
      <c r="AZ45" s="159"/>
      <c r="BA45" s="159" t="n">
        <v>-99999</v>
      </c>
      <c r="BB45" s="136"/>
    </row>
    <row r="46" customFormat="false" ht="15" hidden="false" customHeight="false" outlineLevel="0" collapsed="false">
      <c r="A46" s="108" t="n">
        <f aca="false">IF(ISBLANK(VLOOKUP(D46,'Volumes flacons'!A5:C623,3)),0,1)</f>
        <v>1</v>
      </c>
      <c r="B46" s="109" t="n">
        <f aca="false">IF(ISBLANK(D46),0,IF(ISBLANK(E46),0,IF(ISBLANK(F46),0,1)))</f>
        <v>0</v>
      </c>
      <c r="C46" s="124" t="n">
        <v>12</v>
      </c>
      <c r="D46" s="125"/>
      <c r="E46" s="125"/>
      <c r="F46" s="126"/>
      <c r="G46" s="127"/>
      <c r="H46" s="125"/>
      <c r="I46" s="125"/>
      <c r="J46" s="128" t="str">
        <f aca="false">IF(ISBLANK(D46),"",IF(VLOOKUP(D46,'Volumes flacons'!$A$5:$C$623,2)=0,"",IF(D46&gt;'Volumes flacons'!$A$623,"Mauvais numéro",IF(D46&lt;'Volumes flacons'!$A$5,"Mauvais numéro",(VLOOKUP(D46,'Volumes flacons'!$A$5:$C$623,3))))))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Flac.",P46*M46)))))))))</f>
        <v/>
      </c>
      <c r="R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69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08" t="n">
        <f aca="false">IF(ISBLANK(VLOOKUP(D47,'Volumes flacons'!A5:C623,3)),0,1)</f>
        <v>1</v>
      </c>
      <c r="B47" s="109" t="n">
        <f aca="false">IF(ISBLANK(D47),0,IF(ISBLANK(E47),0,IF(ISBLANK(F47),0,1)))</f>
        <v>0</v>
      </c>
      <c r="C47" s="124" t="n">
        <v>13</v>
      </c>
      <c r="D47" s="125"/>
      <c r="E47" s="125"/>
      <c r="F47" s="126"/>
      <c r="G47" s="127"/>
      <c r="H47" s="125"/>
      <c r="I47" s="125"/>
      <c r="J47" s="128" t="str">
        <f aca="false">IF(ISBLANK(D47),"",IF(VLOOKUP(D47,'Volumes flacons'!$A$5:$C$623,2)=0,"",IF(D47&gt;'Volumes flacons'!$A$623,"Mauvais numéro",IF(D47&lt;'Volumes flacons'!$A$5,"Mauvais numéro",(VLOOKUP(D47,'Volumes flacons'!$A$5:$C$623,3))))))</f>
        <v/>
      </c>
      <c r="K47" s="129" t="str">
        <f aca="false">IF(ISBLANK(E47),"",(0.000824493-(0.0000040899*E47)+(0.000000076438*E47^2)-(0.00000000082467*E47^3)+(0.0000000000053875*E47^4)))</f>
        <v/>
      </c>
      <c r="L47" s="129" t="str">
        <f aca="false">IF(ISBLANK(E47),"",(-0.00000572466+(0.00000010227*E47)-(0.0000000016546*E47^2)))</f>
        <v/>
      </c>
      <c r="M47" s="129" t="str">
        <f aca="false">IF(ISBLANK(E47),"",IF(ISBLANK(G47),(O47+(K47*35)+(L47*35^1.5)+(0.00000048314*35^2)),(O47+(K47*G47)+(L47*G47^1.5)+(0.00000048314*G47^2))))</f>
        <v/>
      </c>
      <c r="N47" s="130" t="str">
        <f aca="false">IF(ISBLANK(D47),"",IF(ISBLANK(G47),J47*(1+0.00001*(35-20)),J47*(1+0.00001*(G47-20))))</f>
        <v/>
      </c>
      <c r="O47" s="129" t="str">
        <f aca="false">IF(ISBLANK(E47),"",(0.999842594+(0.00006793952*E47)-(0.00000909529*E47^2)+(0.0000001001685*E47^3)-(0.000000001120083*E47^4)+(0.000000000006536332*E47^5)))</f>
        <v/>
      </c>
      <c r="P47" s="13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Flac.",P47*M47)))))))))</f>
        <v/>
      </c>
      <c r="R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69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08" t="n">
        <f aca="false">IF(ISBLANK(VLOOKUP(D48,'Volumes flacons'!A5:C623,3)),0,1)</f>
        <v>1</v>
      </c>
      <c r="B48" s="109" t="n">
        <f aca="false">IF(ISBLANK(D48),0,IF(ISBLANK(E48),0,IF(ISBLANK(F48),0,1)))</f>
        <v>0</v>
      </c>
      <c r="C48" s="124" t="n">
        <v>14</v>
      </c>
      <c r="D48" s="125"/>
      <c r="E48" s="125"/>
      <c r="F48" s="126"/>
      <c r="G48" s="127"/>
      <c r="H48" s="125"/>
      <c r="I48" s="125"/>
      <c r="J48" s="128" t="str">
        <f aca="false">IF(ISBLANK(D48),"",IF(VLOOKUP(D48,'Volumes flacons'!$A$5:$C$623,2)=0,"",IF(D48&gt;'Volumes flacons'!$A$623,"Mauvais numéro",IF(D48&lt;'Volumes flacons'!$A$5,"Mauvais numéro",(VLOOKUP(D48,'Volumes flacons'!$A$5:$C$623,3))))))</f>
        <v/>
      </c>
      <c r="K48" s="129" t="str">
        <f aca="false">IF(ISBLANK(E48),"",(0.000824493-(0.0000040899*E48)+(0.000000076438*E48^2)-(0.00000000082467*E48^3)+(0.0000000000053875*E48^4)))</f>
        <v/>
      </c>
      <c r="L48" s="129" t="str">
        <f aca="false">IF(ISBLANK(E48),"",(-0.00000572466+(0.00000010227*E48)-(0.0000000016546*E48^2)))</f>
        <v/>
      </c>
      <c r="M48" s="129" t="str">
        <f aca="false">IF(ISBLANK(E48),"",IF(ISBLANK(G48),(O48+(K48*35)+(L48*35^1.5)+(0.00000048314*35^2)),(O48+(K48*G48)+(L48*G48^1.5)+(0.00000048314*G48^2))))</f>
        <v/>
      </c>
      <c r="N48" s="130" t="str">
        <f aca="false">IF(ISBLANK(D48),"",IF(ISBLANK(G48),J48*(1+0.00001*(35-20)),J48*(1+0.00001*(G48-20))))</f>
        <v/>
      </c>
      <c r="O48" s="129" t="str">
        <f aca="false">IF(ISBLANK(E48),"",(0.999842594+(0.00006793952*E48)-(0.00000909529*E48^2)+(0.0000001001685*E48^3)-(0.000000001120083*E48^4)+(0.000000000006536332*E48^5)))</f>
        <v/>
      </c>
      <c r="P48" s="13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Flac.",P48*M48)))))))))</f>
        <v/>
      </c>
      <c r="R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69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08" t="n">
        <f aca="false">IF(ISBLANK(VLOOKUP(D49,'Volumes flacons'!A5:C623,3)),0,1)</f>
        <v>1</v>
      </c>
      <c r="B49" s="109" t="n">
        <f aca="false">IF(ISBLANK(D49),0,IF(ISBLANK(E49),0,IF(ISBLANK(F49),0,1)))</f>
        <v>0</v>
      </c>
      <c r="C49" s="124" t="n">
        <v>15</v>
      </c>
      <c r="D49" s="125"/>
      <c r="E49" s="125"/>
      <c r="F49" s="126"/>
      <c r="G49" s="127"/>
      <c r="H49" s="125"/>
      <c r="I49" s="125"/>
      <c r="J49" s="128" t="str">
        <f aca="false">IF(ISBLANK(D49),"",IF(VLOOKUP(D49,'Volumes flacons'!$A$5:$C$623,2)=0,"",IF(D49&gt;'Volumes flacons'!$A$623,"Mauvais numéro",IF(D49&lt;'Volumes flacons'!$A$5,"Mauvais numéro",(VLOOKUP(D49,'Volumes flacons'!$A$5:$C$623,3))))))</f>
        <v/>
      </c>
      <c r="K49" s="129" t="str">
        <f aca="false">IF(ISBLANK(E49),"",(0.000824493-(0.0000040899*E49)+(0.000000076438*E49^2)-(0.00000000082467*E49^3)+(0.0000000000053875*E49^4)))</f>
        <v/>
      </c>
      <c r="L49" s="129" t="str">
        <f aca="false">IF(ISBLANK(E49),"",(-0.00000572466+(0.00000010227*E49)-(0.0000000016546*E49^2)))</f>
        <v/>
      </c>
      <c r="M49" s="129" t="str">
        <f aca="false">IF(ISBLANK(E49),"",IF(ISBLANK(G49),(O49+(K49*35)+(L49*35^1.5)+(0.00000048314*35^2)),(O49+(K49*G49)+(L49*G49^1.5)+(0.00000048314*G49^2))))</f>
        <v/>
      </c>
      <c r="N49" s="130" t="str">
        <f aca="false">IF(ISBLANK(D49),"",IF(ISBLANK(G49),J49*(1+0.00001*(35-20)),J49*(1+0.00001*(G49-20))))</f>
        <v/>
      </c>
      <c r="O49" s="129" t="str">
        <f aca="false">IF(ISBLANK(E49),"",(0.999842594+(0.00006793952*E49)-(0.00000909529*E49^2)+(0.0000001001685*E49^3)-(0.000000001120083*E49^4)+(0.000000000006536332*E49^5)))</f>
        <v/>
      </c>
      <c r="P49" s="13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Flac.",P49*M49)))))))))</f>
        <v/>
      </c>
      <c r="R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69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08" t="n">
        <f aca="false">IF(ISBLANK(VLOOKUP(D50,'Volumes flacons'!A5:C623,3)),0,1)</f>
        <v>1</v>
      </c>
      <c r="B50" s="109" t="n">
        <f aca="false">IF(ISBLANK(D50),0,IF(ISBLANK(E50),0,IF(ISBLANK(F50),0,1)))</f>
        <v>0</v>
      </c>
      <c r="C50" s="124" t="n">
        <v>16</v>
      </c>
      <c r="D50" s="125"/>
      <c r="E50" s="125"/>
      <c r="F50" s="126"/>
      <c r="G50" s="127"/>
      <c r="H50" s="125"/>
      <c r="I50" s="125"/>
      <c r="J50" s="128" t="str">
        <f aca="false">IF(ISBLANK(D50),"",IF(VLOOKUP(D50,'Volumes flacons'!$A$5:$C$623,2)=0,"",IF(D50&gt;'Volumes flacons'!$A$623,"Mauvais numéro",IF(D50&lt;'Volumes flacons'!$A$5,"Mauvais numéro",(VLOOKUP(D50,'Volumes flacons'!$A$5:$C$623,3))))))</f>
        <v/>
      </c>
      <c r="K50" s="129" t="str">
        <f aca="false">IF(ISBLANK(E50),"",(0.000824493-(0.0000040899*E50)+(0.000000076438*E50^2)-(0.00000000082467*E50^3)+(0.0000000000053875*E50^4)))</f>
        <v/>
      </c>
      <c r="L50" s="129" t="str">
        <f aca="false">IF(ISBLANK(E50),"",(-0.00000572466+(0.00000010227*E50)-(0.0000000016546*E50^2)))</f>
        <v/>
      </c>
      <c r="M50" s="129" t="str">
        <f aca="false">IF(ISBLANK(E50),"",IF(ISBLANK(G50),(O50+(K50*35)+(L50*35^1.5)+(0.00000048314*35^2)),(O50+(K50*G50)+(L50*G50^1.5)+(0.00000048314*G50^2))))</f>
        <v/>
      </c>
      <c r="N50" s="130" t="str">
        <f aca="false">IF(ISBLANK(D50),"",IF(ISBLANK(G50),J50*(1+0.00001*(35-20)),J50*(1+0.00001*(G50-20))))</f>
        <v/>
      </c>
      <c r="O50" s="129" t="str">
        <f aca="false">IF(ISBLANK(E50),"",(0.999842594+(0.00006793952*E50)-(0.00000909529*E50^2)+(0.0000001001685*E50^3)-(0.000000001120083*E50^4)+(0.000000000006536332*E50^5)))</f>
        <v/>
      </c>
      <c r="P50" s="13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Flac.",P50*M50)))))))))</f>
        <v/>
      </c>
      <c r="R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69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08" t="n">
        <f aca="false">IF(ISBLANK(VLOOKUP(D51,'Volumes flacons'!A5:C623,3)),0,1)</f>
        <v>1</v>
      </c>
      <c r="B51" s="109" t="n">
        <f aca="false">IF(ISBLANK(D51),0,IF(ISBLANK(E51),0,IF(ISBLANK(F51),0,1)))</f>
        <v>0</v>
      </c>
      <c r="C51" s="124" t="n">
        <v>17</v>
      </c>
      <c r="D51" s="125"/>
      <c r="E51" s="125"/>
      <c r="F51" s="126"/>
      <c r="G51" s="127"/>
      <c r="H51" s="125"/>
      <c r="I51" s="125"/>
      <c r="J51" s="128" t="str">
        <f aca="false">IF(ISBLANK(D51),"",IF(VLOOKUP(D51,'Volumes flacons'!$A$5:$C$623,2)=0,"",IF(D51&gt;'Volumes flacons'!$A$623,"Mauvais numéro",IF(D51&lt;'Volumes flacons'!$A$5,"Mauvais numéro",(VLOOKUP(D51,'Volumes flacons'!$A$5:$C$623,3))))))</f>
        <v/>
      </c>
      <c r="K51" s="129" t="str">
        <f aca="false">IF(ISBLANK(E51),"",(0.000824493-(0.0000040899*E51)+(0.000000076438*E51^2)-(0.00000000082467*E51^3)+(0.0000000000053875*E51^4)))</f>
        <v/>
      </c>
      <c r="L51" s="129" t="str">
        <f aca="false">IF(ISBLANK(E51),"",(-0.00000572466+(0.00000010227*E51)-(0.0000000016546*E51^2)))</f>
        <v/>
      </c>
      <c r="M51" s="129" t="str">
        <f aca="false">IF(ISBLANK(E51),"",IF(ISBLANK(G51),(O51+(K51*35)+(L51*35^1.5)+(0.00000048314*35^2)),(O51+(K51*G51)+(L51*G51^1.5)+(0.00000048314*G51^2))))</f>
        <v/>
      </c>
      <c r="N51" s="130" t="str">
        <f aca="false">IF(ISBLANK(D51),"",IF(ISBLANK(G51),J51*(1+0.00001*(35-20)),J51*(1+0.00001*(G51-20))))</f>
        <v/>
      </c>
      <c r="O51" s="129" t="str">
        <f aca="false">IF(ISBLANK(E51),"",(0.999842594+(0.00006793952*E51)-(0.00000909529*E51^2)+(0.0000001001685*E51^3)-(0.000000001120083*E51^4)+(0.000000000006536332*E51^5)))</f>
        <v/>
      </c>
      <c r="P51" s="13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Flac.",P51*M51)))))))))</f>
        <v/>
      </c>
      <c r="R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69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08" t="n">
        <f aca="false">IF(ISBLANK(VLOOKUP(D52,'Volumes flacons'!A5:C623,3)),0,1)</f>
        <v>1</v>
      </c>
      <c r="B52" s="109" t="n">
        <f aca="false">IF(ISBLANK(D52),0,IF(ISBLANK(E52),0,IF(ISBLANK(F52),0,1)))</f>
        <v>0</v>
      </c>
      <c r="C52" s="124" t="n">
        <v>18</v>
      </c>
      <c r="D52" s="125"/>
      <c r="E52" s="125"/>
      <c r="F52" s="126"/>
      <c r="G52" s="127"/>
      <c r="H52" s="125"/>
      <c r="I52" s="125"/>
      <c r="J52" s="128" t="str">
        <f aca="false">IF(ISBLANK(D52),"",IF(VLOOKUP(D52,'Volumes flacons'!$A$5:$C$623,2)=0,"",IF(D52&gt;'Volumes flacons'!$A$623,"Mauvais numéro",IF(D52&lt;'Volumes flacons'!$A$5,"Mauvais numéro",(VLOOKUP(D52,'Volumes flacons'!$A$5:$C$623,3))))))</f>
        <v/>
      </c>
      <c r="K52" s="129" t="str">
        <f aca="false">IF(ISBLANK(E52),"",(0.000824493-(0.0000040899*E52)+(0.000000076438*E52^2)-(0.00000000082467*E52^3)+(0.0000000000053875*E52^4)))</f>
        <v/>
      </c>
      <c r="L52" s="129" t="str">
        <f aca="false">IF(ISBLANK(E52),"",(-0.00000572466+(0.00000010227*E52)-(0.0000000016546*E52^2)))</f>
        <v/>
      </c>
      <c r="M52" s="129" t="str">
        <f aca="false">IF(ISBLANK(E52),"",IF(ISBLANK(G52),(O52+(K52*35)+(L52*35^1.5)+(0.00000048314*35^2)),(O52+(K52*G52)+(L52*G52^1.5)+(0.00000048314*G52^2))))</f>
        <v/>
      </c>
      <c r="N52" s="130" t="str">
        <f aca="false">IF(ISBLANK(D52),"",IF(ISBLANK(G52),J52*(1+0.00001*(35-20)),J52*(1+0.00001*(G52-20))))</f>
        <v/>
      </c>
      <c r="O52" s="129" t="str">
        <f aca="false">IF(ISBLANK(E52),"",(0.999842594+(0.00006793952*E52)-(0.00000909529*E52^2)+(0.0000001001685*E52^3)-(0.000000001120083*E52^4)+(0.000000000006536332*E52^5)))</f>
        <v/>
      </c>
      <c r="P52" s="13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Flac.",P52*M52)))))))))</f>
        <v/>
      </c>
      <c r="R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69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08" t="n">
        <f aca="false">IF(ISBLANK(VLOOKUP(D53,'Volumes flacons'!A5:C623,3)),0,1)</f>
        <v>1</v>
      </c>
      <c r="B53" s="109" t="n">
        <f aca="false">IF(ISBLANK(D53),0,IF(ISBLANK(E53),0,IF(ISBLANK(F53),0,1)))</f>
        <v>0</v>
      </c>
      <c r="C53" s="124" t="n">
        <v>19</v>
      </c>
      <c r="D53" s="125"/>
      <c r="E53" s="125"/>
      <c r="F53" s="126"/>
      <c r="G53" s="127"/>
      <c r="H53" s="125"/>
      <c r="I53" s="125"/>
      <c r="J53" s="128" t="str">
        <f aca="false">IF(ISBLANK(D53),"",IF(VLOOKUP(D53,'Volumes flacons'!$A$5:$C$623,2)=0,"",IF(D53&gt;'Volumes flacons'!$A$623,"Mauvais numéro",IF(D53&lt;'Volumes flacons'!$A$5,"Mauvais numéro",(VLOOKUP(D53,'Volumes flacons'!$A$5:$C$623,3))))))</f>
        <v/>
      </c>
      <c r="K53" s="129" t="str">
        <f aca="false">IF(ISBLANK(E53),"",(0.000824493-(0.0000040899*E53)+(0.000000076438*E53^2)-(0.00000000082467*E53^3)+(0.0000000000053875*E53^4)))</f>
        <v/>
      </c>
      <c r="L53" s="129" t="str">
        <f aca="false">IF(ISBLANK(E53),"",(-0.00000572466+(0.00000010227*E53)-(0.0000000016546*E53^2)))</f>
        <v/>
      </c>
      <c r="M53" s="129" t="str">
        <f aca="false">IF(ISBLANK(E53),"",IF(ISBLANK(G53),(O53+(K53*35)+(L53*35^1.5)+(0.00000048314*35^2)),(O53+(K53*G53)+(L53*G53^1.5)+(0.00000048314*G53^2))))</f>
        <v/>
      </c>
      <c r="N53" s="130" t="str">
        <f aca="false">IF(ISBLANK(D53),"",IF(ISBLANK(G53),J53*(1+0.00001*(35-20)),J53*(1+0.00001*(G53-20))))</f>
        <v/>
      </c>
      <c r="O53" s="129" t="str">
        <f aca="false">IF(ISBLANK(E53),"",(0.999842594+(0.00006793952*E53)-(0.00000909529*E53^2)+(0.0000001001685*E53^3)-(0.000000001120083*E53^4)+(0.000000000006536332*E53^5)))</f>
        <v/>
      </c>
      <c r="P53" s="13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Flac.",P53*M53)))))))))</f>
        <v/>
      </c>
      <c r="R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69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08" t="n">
        <f aca="false">IF(ISBLANK(VLOOKUP(D54,'Volumes flacons'!A5:C623,3)),0,1)</f>
        <v>1</v>
      </c>
      <c r="B54" s="109" t="n">
        <f aca="false">IF(ISBLANK(D54),0,IF(ISBLANK(E54),0,IF(ISBLANK(F54),0,1)))</f>
        <v>0</v>
      </c>
      <c r="C54" s="124" t="n">
        <v>20</v>
      </c>
      <c r="D54" s="125"/>
      <c r="E54" s="125"/>
      <c r="F54" s="126"/>
      <c r="G54" s="127"/>
      <c r="H54" s="125"/>
      <c r="I54" s="125"/>
      <c r="J54" s="128" t="str">
        <f aca="false">IF(ISBLANK(D54),"",IF(VLOOKUP(D54,'Volumes flacons'!$A$5:$C$623,2)=0,"",IF(D54&gt;'Volumes flacons'!$A$623,"Mauvais numéro",IF(D54&lt;'Volumes flacons'!$A$5,"Mauvais numéro",(VLOOKUP(D54,'Volumes flacons'!$A$5:$C$623,3))))))</f>
        <v/>
      </c>
      <c r="K54" s="129" t="str">
        <f aca="false">IF(ISBLANK(E54),"",(0.000824493-(0.0000040899*E54)+(0.000000076438*E54^2)-(0.00000000082467*E54^3)+(0.0000000000053875*E54^4)))</f>
        <v/>
      </c>
      <c r="L54" s="129" t="str">
        <f aca="false">IF(ISBLANK(E54),"",(-0.00000572466+(0.00000010227*E54)-(0.0000000016546*E54^2)))</f>
        <v/>
      </c>
      <c r="M54" s="129" t="str">
        <f aca="false">IF(ISBLANK(E54),"",IF(ISBLANK(G54),(O54+(K54*35)+(L54*35^1.5)+(0.00000048314*35^2)),(O54+(K54*G54)+(L54*G54^1.5)+(0.00000048314*G54^2))))</f>
        <v/>
      </c>
      <c r="N54" s="130" t="str">
        <f aca="false">IF(ISBLANK(D54),"",IF(ISBLANK(G54),J54*(1+0.00001*(35-20)),J54*(1+0.00001*(G54-20))))</f>
        <v/>
      </c>
      <c r="O54" s="129" t="str">
        <f aca="false">IF(ISBLANK(E54),"",(0.999842594+(0.00006793952*E54)-(0.00000909529*E54^2)+(0.0000001001685*E54^3)-(0.000000001120083*E54^4)+(0.000000000006536332*E54^5)))</f>
        <v/>
      </c>
      <c r="P54" s="13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Flac.",P54*M54)))))))))</f>
        <v/>
      </c>
      <c r="R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69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08" t="n">
        <f aca="false">IF(ISBLANK(VLOOKUP(D55,'Volumes flacons'!A5:C623,3)),0,1)</f>
        <v>1</v>
      </c>
      <c r="B55" s="109" t="n">
        <f aca="false">IF(ISBLANK(D55),0,IF(ISBLANK(E55),0,IF(ISBLANK(F55),0,1)))</f>
        <v>0</v>
      </c>
      <c r="C55" s="124" t="n">
        <v>21</v>
      </c>
      <c r="D55" s="125"/>
      <c r="E55" s="125"/>
      <c r="F55" s="126"/>
      <c r="G55" s="127"/>
      <c r="H55" s="125"/>
      <c r="I55" s="125"/>
      <c r="J55" s="128" t="str">
        <f aca="false">IF(ISBLANK(D55),"",IF(VLOOKUP(D55,'Volumes flacons'!$A$5:$C$623,2)=0,"",IF(D55&gt;'Volumes flacons'!$A$623,"Mauvais numéro",IF(D55&lt;'Volumes flacons'!$A$5,"Mauvais numéro",(VLOOKUP(D55,'Volumes flacons'!$A$5:$C$623,3))))))</f>
        <v/>
      </c>
      <c r="K55" s="129" t="str">
        <f aca="false">IF(ISBLANK(E55),"",(0.000824493-(0.0000040899*E55)+(0.000000076438*E55^2)-(0.00000000082467*E55^3)+(0.0000000000053875*E55^4)))</f>
        <v/>
      </c>
      <c r="L55" s="129" t="str">
        <f aca="false">IF(ISBLANK(E55),"",(-0.00000572466+(0.00000010227*E55)-(0.0000000016546*E55^2)))</f>
        <v/>
      </c>
      <c r="M55" s="129" t="str">
        <f aca="false">IF(ISBLANK(E55),"",IF(ISBLANK(G55),(O55+(K55*35)+(L55*35^1.5)+(0.00000048314*35^2)),(O55+(K55*G55)+(L55*G55^1.5)+(0.00000048314*G55^2))))</f>
        <v/>
      </c>
      <c r="N55" s="130" t="str">
        <f aca="false">IF(ISBLANK(D55),"",IF(ISBLANK(G55),J55*(1+0.00001*(35-20)),J55*(1+0.00001*(G55-20))))</f>
        <v/>
      </c>
      <c r="O55" s="129" t="str">
        <f aca="false">IF(ISBLANK(E55),"",(0.999842594+(0.00006793952*E55)-(0.00000909529*E55^2)+(0.0000001001685*E55^3)-(0.000000001120083*E55^4)+(0.000000000006536332*E55^5)))</f>
        <v/>
      </c>
      <c r="P55" s="13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Flac.",P55*M55)))))))))</f>
        <v/>
      </c>
      <c r="R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69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08" t="n">
        <f aca="false">IF(ISBLANK(VLOOKUP(D56,'Volumes flacons'!A5:C623,3)),0,1)</f>
        <v>1</v>
      </c>
      <c r="B56" s="109" t="n">
        <f aca="false">IF(ISBLANK(D56),0,IF(ISBLANK(E56),0,IF(ISBLANK(F56),0,1)))</f>
        <v>0</v>
      </c>
      <c r="C56" s="124" t="n">
        <v>22</v>
      </c>
      <c r="D56" s="125"/>
      <c r="E56" s="125"/>
      <c r="F56" s="126"/>
      <c r="G56" s="127"/>
      <c r="H56" s="125"/>
      <c r="I56" s="125"/>
      <c r="J56" s="128" t="str">
        <f aca="false">IF(ISBLANK(D56),"",IF(VLOOKUP(D56,'Volumes flacons'!$A$5:$C$623,2)=0,"",IF(D56&gt;'Volumes flacons'!$A$623,"Mauvais numéro",IF(D56&lt;'Volumes flacons'!$A$5,"Mauvais numéro",(VLOOKUP(D56,'Volumes flacons'!$A$5:$C$623,3))))))</f>
        <v/>
      </c>
      <c r="K56" s="129" t="str">
        <f aca="false">IF(ISBLANK(E56),"",(0.000824493-(0.0000040899*E56)+(0.000000076438*E56^2)-(0.00000000082467*E56^3)+(0.0000000000053875*E56^4)))</f>
        <v/>
      </c>
      <c r="L56" s="129" t="str">
        <f aca="false">IF(ISBLANK(E56),"",(-0.00000572466+(0.00000010227*E56)-(0.0000000016546*E56^2)))</f>
        <v/>
      </c>
      <c r="M56" s="129" t="str">
        <f aca="false">IF(ISBLANK(E56),"",IF(ISBLANK(G56),(O56+(K56*35)+(L56*35^1.5)+(0.00000048314*35^2)),(O56+(K56*G56)+(L56*G56^1.5)+(0.00000048314*G56^2))))</f>
        <v/>
      </c>
      <c r="N56" s="130" t="str">
        <f aca="false">IF(ISBLANK(D56),"",IF(ISBLANK(G56),J56*(1+0.00001*(35-20)),J56*(1+0.00001*(G56-20))))</f>
        <v/>
      </c>
      <c r="O56" s="129" t="str">
        <f aca="false">IF(ISBLANK(E56),"",(0.999842594+(0.00006793952*E56)-(0.00000909529*E56^2)+(0.0000001001685*E56^3)-(0.000000001120083*E56^4)+(0.000000000006536332*E56^5)))</f>
        <v/>
      </c>
      <c r="P56" s="13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Flac.",P56*M56)))))))))</f>
        <v/>
      </c>
      <c r="R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35"/>
      <c r="U56" s="135"/>
      <c r="V56" s="135"/>
      <c r="W56" s="135"/>
      <c r="X56" s="135"/>
      <c r="Y56" s="135"/>
      <c r="Z56" s="135"/>
      <c r="AA56" s="135"/>
      <c r="AB56" s="135"/>
      <c r="AC56" s="169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08" t="n">
        <f aca="false">IF(ISBLANK(VLOOKUP(D57,'Volumes flacons'!A5:C623,3)),0,1)</f>
        <v>1</v>
      </c>
      <c r="B57" s="109" t="n">
        <f aca="false">IF(ISBLANK(D57),0,IF(ISBLANK(E57),0,IF(ISBLANK(F57),0,1)))</f>
        <v>0</v>
      </c>
      <c r="C57" s="124" t="n">
        <v>23</v>
      </c>
      <c r="D57" s="125"/>
      <c r="E57" s="125"/>
      <c r="F57" s="126"/>
      <c r="G57" s="127"/>
      <c r="H57" s="125"/>
      <c r="I57" s="125"/>
      <c r="J57" s="128" t="str">
        <f aca="false">IF(ISBLANK(D57),"",IF(VLOOKUP(D57,'Volumes flacons'!$A$5:$C$623,2)=0,"",IF(D57&gt;'Volumes flacons'!$A$623,"Mauvais numéro",IF(D57&lt;'Volumes flacons'!$A$5,"Mauvais numéro",(VLOOKUP(D57,'Volumes flacons'!$A$5:$C$623,3))))))</f>
        <v/>
      </c>
      <c r="K57" s="129" t="str">
        <f aca="false">IF(ISBLANK(E57),"",(0.000824493-(0.0000040899*E57)+(0.000000076438*E57^2)-(0.00000000082467*E57^3)+(0.0000000000053875*E57^4)))</f>
        <v/>
      </c>
      <c r="L57" s="129" t="str">
        <f aca="false">IF(ISBLANK(E57),"",(-0.00000572466+(0.00000010227*E57)-(0.0000000016546*E57^2)))</f>
        <v/>
      </c>
      <c r="M57" s="129" t="str">
        <f aca="false">IF(ISBLANK(E57),"",IF(ISBLANK(G57),(O57+(K57*35)+(L57*35^1.5)+(0.00000048314*35^2)),(O57+(K57*G57)+(L57*G57^1.5)+(0.00000048314*G57^2))))</f>
        <v/>
      </c>
      <c r="N57" s="130" t="str">
        <f aca="false">IF(ISBLANK(D57),"",IF(ISBLANK(G57),J57*(1+0.00001*(35-20)),J57*(1+0.00001*(G57-20))))</f>
        <v/>
      </c>
      <c r="O57" s="129" t="str">
        <f aca="false">IF(ISBLANK(E57),"",(0.999842594+(0.00006793952*E57)-(0.00000909529*E57^2)+(0.0000001001685*E57^3)-(0.000000001120083*E57^4)+(0.000000000006536332*E57^5)))</f>
        <v/>
      </c>
      <c r="P57" s="13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Flac.",P57*M57)))))))))</f>
        <v/>
      </c>
      <c r="R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69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5.75" hidden="false" customHeight="false" outlineLevel="0" collapsed="false">
      <c r="A58" s="108" t="n">
        <f aca="false">IF(ISBLANK(VLOOKUP(D58,'Volumes flacons'!A5:C623,3)),0,1)</f>
        <v>1</v>
      </c>
      <c r="B58" s="109" t="n">
        <f aca="false">IF(ISBLANK(D58),0,IF(ISBLANK(E58),0,IF(ISBLANK(F58),0,1)))</f>
        <v>0</v>
      </c>
      <c r="C58" s="141" t="n">
        <v>24</v>
      </c>
      <c r="D58" s="142"/>
      <c r="E58" s="142"/>
      <c r="F58" s="143"/>
      <c r="G58" s="144"/>
      <c r="H58" s="142"/>
      <c r="I58" s="142"/>
      <c r="J58" s="145" t="str">
        <f aca="false">IF(ISBLANK(D58),"",IF(VLOOKUP(D58,'Volumes flacons'!$A$5:$C$623,2)=0,"",IF(D58&gt;'Volumes flacons'!$A$623,"Mauvais numéro",IF(D58&lt;'Volumes flacons'!$A$5,"Mauvais numéro",(VLOOKUP(D58,'Volumes flacons'!$A$5:$C$623,3))))))</f>
        <v/>
      </c>
      <c r="K58" s="146" t="str">
        <f aca="false">IF(ISBLANK(E58),"",(0.000824493-(0.0000040899*E58)+(0.000000076438*E58^2)-(0.00000000082467*E58^3)+(0.0000000000053875*E58^4)))</f>
        <v/>
      </c>
      <c r="L58" s="146" t="str">
        <f aca="false">IF(ISBLANK(E58),"",(-0.00000572466+(0.00000010227*E58)-(0.0000000016546*E58^2)))</f>
        <v/>
      </c>
      <c r="M58" s="146" t="str">
        <f aca="false">IF(ISBLANK(E58),"",IF(ISBLANK(G58),(O58+(K58*35)+(L58*35^1.5)+(0.00000048314*35^2)),(O58+(K58*G58)+(L58*G58^1.5)+(0.00000048314*G58^2))))</f>
        <v/>
      </c>
      <c r="N58" s="147" t="str">
        <f aca="false">IF(ISBLANK(D58),"",IF(ISBLANK(G58),J58*(1+0.00001*(35-20)),J58*(1+0.00001*(G58-20))))</f>
        <v/>
      </c>
      <c r="O58" s="146" t="str">
        <f aca="false">IF(ISBLANK(E58),"",(0.999842594+(0.00006793952*E58)-(0.00000909529*E58^2)+(0.0000001001685*E58^3)-(0.000000001120083*E58^4)+(0.000000000006536332*E58^5)))</f>
        <v/>
      </c>
      <c r="P58" s="14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4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Flac.",P58*M58)))))))))</f>
        <v/>
      </c>
      <c r="R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1"/>
      <c r="U58" s="151"/>
      <c r="V58" s="151"/>
      <c r="W58" s="151"/>
      <c r="X58" s="151"/>
      <c r="Y58" s="151"/>
      <c r="Z58" s="151"/>
      <c r="AA58" s="151"/>
      <c r="AB58" s="151"/>
      <c r="AC58" s="17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2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53" t="s">
        <v>146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Q10" activeCellId="0" sqref="Q10:R10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11.33"/>
    <col collapsed="false" customWidth="true" hidden="false" outlineLevel="0" max="33" min="33" style="0" width="26.11"/>
    <col collapsed="false" customWidth="true" hidden="false" outlineLevel="0" max="34" min="34" style="0" width="12.66"/>
    <col collapsed="false" customWidth="true" hidden="false" outlineLevel="0" max="35" min="35" style="0" width="11.33"/>
    <col collapsed="false" customWidth="true" hidden="false" outlineLevel="0" max="36" min="36" style="0" width="14.33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.33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3" min="53" style="0" width="13.3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40638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0" t="n">
        <v>-6</v>
      </c>
      <c r="R9" s="172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3" t="str">
        <f aca="false">IF(ISBLANK(I10),"",IF(ISBLANK(J10),"",IF(P10=N10,L10&amp;N12,N12)))</f>
        <v>-10°0</v>
      </c>
      <c r="P10" s="29" t="s">
        <v>17</v>
      </c>
      <c r="Q10" s="0" t="n">
        <v>-10</v>
      </c>
      <c r="S10" s="34"/>
      <c r="T10" s="34"/>
    </row>
    <row r="11" customFormat="false" ht="13.8" hidden="false" customHeight="false" outlineLevel="0" collapsed="false">
      <c r="G11" s="35" t="s">
        <v>18</v>
      </c>
      <c r="H11" s="35"/>
      <c r="I11" s="36" t="s">
        <v>19</v>
      </c>
      <c r="J11" s="37" t="n">
        <v>40638</v>
      </c>
      <c r="K11" s="37"/>
      <c r="L11" s="37"/>
      <c r="M11" s="37"/>
      <c r="N11" s="38" t="str">
        <f aca="false">I9&amp;"°"&amp;J9</f>
        <v>6°0</v>
      </c>
      <c r="O11" s="39" t="n">
        <f aca="false">IF(P9=M10,-1,1)</f>
        <v>-1</v>
      </c>
      <c r="P11" s="0" t="s">
        <v>152</v>
      </c>
      <c r="T11" s="40"/>
      <c r="U11" s="40"/>
      <c r="V11" s="5"/>
      <c r="W11" s="5"/>
    </row>
    <row r="12" customFormat="false" ht="13.8" hidden="false" customHeight="false" outlineLevel="0" collapsed="false">
      <c r="G12" s="35"/>
      <c r="H12" s="35"/>
      <c r="I12" s="41" t="s">
        <v>21</v>
      </c>
      <c r="J12" s="42" t="n">
        <v>0.215972222222222</v>
      </c>
      <c r="K12" s="42"/>
      <c r="L12" s="42"/>
      <c r="M12" s="42"/>
      <c r="N12" s="43" t="str">
        <f aca="false">I10&amp;"°"&amp;J10</f>
        <v>10°0</v>
      </c>
      <c r="O12" s="39" t="n">
        <f aca="false">IF(P10=N10,-1,1)</f>
        <v>-1</v>
      </c>
      <c r="T12" s="40"/>
      <c r="U12" s="40"/>
      <c r="V12" s="5"/>
      <c r="W12" s="5"/>
    </row>
    <row r="13" customFormat="false" ht="15" hidden="false" customHeight="false" outlineLevel="0" collapsed="false">
      <c r="C13" s="44" t="s">
        <v>22</v>
      </c>
      <c r="D13" s="44"/>
      <c r="E13" s="5"/>
      <c r="K13" s="45"/>
      <c r="L13" s="45"/>
      <c r="M13" s="45"/>
      <c r="N13" s="45"/>
      <c r="O13" s="45"/>
      <c r="P13" s="45"/>
      <c r="Q13" s="46"/>
    </row>
    <row r="14" customFormat="false" ht="15" hidden="false" customHeight="true" outlineLevel="0" collapsed="false">
      <c r="C14" s="47" t="s">
        <v>23</v>
      </c>
      <c r="D14" s="48"/>
      <c r="E14" s="48"/>
      <c r="F14" s="48"/>
      <c r="G14" s="48"/>
      <c r="H14" s="49"/>
      <c r="I14" s="49"/>
      <c r="J14" s="49"/>
      <c r="K14" s="48"/>
      <c r="L14" s="48"/>
      <c r="M14" s="48"/>
      <c r="N14" s="49"/>
      <c r="O14" s="50"/>
      <c r="P14" s="49"/>
      <c r="Q14" s="50" t="s">
        <v>24</v>
      </c>
      <c r="R14" s="51" t="n">
        <v>23.9</v>
      </c>
      <c r="S14" s="52" t="s">
        <v>25</v>
      </c>
    </row>
    <row r="15" customFormat="false" ht="14.25" hidden="false" customHeight="true" outlineLevel="0" collapsed="false">
      <c r="C15" s="53" t="s">
        <v>26</v>
      </c>
      <c r="D15" s="54"/>
      <c r="E15" s="54"/>
      <c r="F15" s="54"/>
      <c r="G15" s="54"/>
      <c r="H15" s="55"/>
      <c r="I15" s="55"/>
      <c r="J15" s="55"/>
      <c r="K15" s="54"/>
      <c r="L15" s="54"/>
      <c r="M15" s="54"/>
      <c r="N15" s="55"/>
      <c r="O15" s="56"/>
      <c r="P15" s="55"/>
      <c r="Q15" s="56" t="s">
        <v>27</v>
      </c>
      <c r="R15" s="57" t="n">
        <v>23.9</v>
      </c>
      <c r="S15" s="58" t="s">
        <v>25</v>
      </c>
    </row>
    <row r="16" customFormat="false" ht="15" hidden="false" customHeight="false" outlineLevel="0" collapsed="false">
      <c r="C16" s="53" t="s">
        <v>28</v>
      </c>
      <c r="D16" s="54"/>
      <c r="E16" s="54"/>
      <c r="F16" s="54"/>
      <c r="G16" s="54"/>
      <c r="H16" s="55"/>
      <c r="I16" s="55"/>
      <c r="J16" s="55"/>
      <c r="K16" s="54"/>
      <c r="L16" s="54"/>
      <c r="M16" s="54"/>
      <c r="N16" s="55"/>
      <c r="O16" s="56"/>
      <c r="P16" s="55"/>
      <c r="Q16" s="56" t="s">
        <v>29</v>
      </c>
      <c r="R16" s="59" t="n">
        <v>5.005</v>
      </c>
      <c r="S16" s="58" t="s">
        <v>30</v>
      </c>
    </row>
    <row r="17" customFormat="false" ht="15" hidden="false" customHeight="false" outlineLevel="0" collapsed="false">
      <c r="C17" s="60" t="s">
        <v>31</v>
      </c>
      <c r="D17" s="61"/>
      <c r="E17" s="61"/>
      <c r="F17" s="61"/>
      <c r="G17" s="61"/>
      <c r="H17" s="62"/>
      <c r="I17" s="62"/>
      <c r="J17" s="62"/>
      <c r="K17" s="61"/>
      <c r="L17" s="61"/>
      <c r="M17" s="61"/>
      <c r="N17" s="62"/>
      <c r="O17" s="63"/>
      <c r="P17" s="62"/>
      <c r="Q17" s="63" t="s">
        <v>32</v>
      </c>
      <c r="R17" s="64" t="n">
        <v>0.006</v>
      </c>
      <c r="S17" s="65" t="s">
        <v>30</v>
      </c>
    </row>
    <row r="18" customFormat="false" ht="14.25" hidden="true" customHeight="false" outlineLevel="0" collapsed="false">
      <c r="C18" s="66" t="s">
        <v>33</v>
      </c>
      <c r="D18" s="67"/>
      <c r="E18" s="67"/>
      <c r="F18" s="67"/>
      <c r="G18" s="67"/>
      <c r="H18" s="67"/>
      <c r="I18" s="67"/>
      <c r="J18" s="67"/>
      <c r="K18" s="68"/>
      <c r="L18" s="68"/>
      <c r="M18" s="68"/>
      <c r="N18" s="68"/>
      <c r="O18" s="69" t="s">
        <v>34</v>
      </c>
      <c r="P18" s="70" t="n">
        <f aca="false">(0.999842594+(0.00006793952*$R$14)-(0.00000909529*$R$14^2)+(0.0000001001685*$R$14^3)-(0.000000001120083*$R$14^4)+(0.000000000006536332*$R$14^5))</f>
        <v>0.997324029579615</v>
      </c>
      <c r="Q18" s="68"/>
      <c r="R18" s="6"/>
    </row>
    <row r="19" customFormat="false" ht="14.25" hidden="true" customHeight="false" outlineLevel="0" collapsed="false">
      <c r="C19" s="66" t="s">
        <v>35</v>
      </c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9" t="s">
        <v>36</v>
      </c>
      <c r="P19" s="70" t="n">
        <f aca="false">$P$24*($P$18/'Titre d''iodate'!E19)</f>
        <v>0.0199786249373382</v>
      </c>
      <c r="Q19" s="68" t="s">
        <v>13</v>
      </c>
      <c r="R19" s="6"/>
    </row>
    <row r="20" customFormat="false" ht="14.25" hidden="true" customHeight="false" outlineLevel="0" collapsed="false">
      <c r="C20" s="66" t="s">
        <v>37</v>
      </c>
      <c r="D20" s="67"/>
      <c r="E20" s="67"/>
      <c r="F20" s="67"/>
      <c r="G20" s="67"/>
      <c r="H20" s="67"/>
      <c r="I20" s="67"/>
      <c r="J20" s="67"/>
      <c r="K20" s="68"/>
      <c r="L20" s="68"/>
      <c r="M20" s="68"/>
      <c r="N20" s="68"/>
      <c r="O20" s="69" t="s">
        <v>38</v>
      </c>
      <c r="P20" s="70" t="n">
        <f aca="false">5+'Correction de volume'!G8</f>
        <v>5.00308998756</v>
      </c>
      <c r="Q20" s="68" t="s">
        <v>30</v>
      </c>
      <c r="R20" s="6"/>
    </row>
    <row r="21" customFormat="false" ht="14.25" hidden="true" customHeight="false" outlineLevel="0" collapsed="false">
      <c r="C21" s="66" t="s">
        <v>39</v>
      </c>
      <c r="D21" s="67"/>
      <c r="E21" s="67"/>
      <c r="F21" s="67"/>
      <c r="G21" s="67"/>
      <c r="H21" s="67"/>
      <c r="I21" s="67"/>
      <c r="J21" s="67"/>
      <c r="K21" s="68"/>
      <c r="L21" s="68"/>
      <c r="M21" s="68"/>
      <c r="N21" s="68"/>
      <c r="O21" s="69" t="s">
        <v>40</v>
      </c>
      <c r="P21" s="70" t="n">
        <f aca="false">P20*(1+0.00001*(R14-20))</f>
        <v>5.00328510806951</v>
      </c>
      <c r="Q21" s="68" t="s">
        <v>30</v>
      </c>
      <c r="R21" s="6"/>
    </row>
    <row r="22" customFormat="false" ht="14.25" hidden="true" customHeight="false" outlineLevel="0" collapsed="false">
      <c r="C22" s="66" t="s">
        <v>41</v>
      </c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9" t="s">
        <v>42</v>
      </c>
      <c r="P22" s="71" t="n">
        <f aca="false">$R$16*(1+0.00001*(20-$R$14))</f>
        <v>5.004804805</v>
      </c>
      <c r="Q22" s="68" t="s">
        <v>30</v>
      </c>
      <c r="R22" s="6"/>
    </row>
    <row r="23" customFormat="false" ht="14.25" hidden="true" customHeight="false" outlineLevel="0" collapsed="false">
      <c r="C23" s="66" t="s">
        <v>43</v>
      </c>
      <c r="D23" s="67"/>
      <c r="E23" s="67"/>
      <c r="F23" s="67"/>
      <c r="G23" s="67"/>
      <c r="H23" s="67"/>
      <c r="I23" s="67"/>
      <c r="J23" s="67"/>
      <c r="K23" s="68"/>
      <c r="L23" s="68"/>
      <c r="M23" s="68"/>
      <c r="N23" s="68"/>
      <c r="O23" s="69" t="s">
        <v>44</v>
      </c>
      <c r="P23" s="71" t="n">
        <f aca="false">$R$17*(1+0.00001*(20-$R$14))</f>
        <v>0.005999766</v>
      </c>
      <c r="Q23" s="68" t="s">
        <v>30</v>
      </c>
      <c r="R23" s="6"/>
    </row>
    <row r="24" customFormat="false" ht="14.25" hidden="true" customHeight="false" outlineLevel="0" collapsed="false">
      <c r="C24" s="66" t="s">
        <v>45</v>
      </c>
      <c r="D24" s="67"/>
      <c r="E24" s="67"/>
      <c r="F24" s="67"/>
      <c r="G24" s="67"/>
      <c r="H24" s="67"/>
      <c r="I24" s="67"/>
      <c r="J24" s="67"/>
      <c r="K24" s="68"/>
      <c r="L24" s="68"/>
      <c r="M24" s="68"/>
      <c r="N24" s="68"/>
      <c r="O24" s="69" t="s">
        <v>46</v>
      </c>
      <c r="P24" s="55" t="n">
        <f aca="false">MAX('Titre d''iodate'!F7:F10)</f>
        <v>0.0199962991701183</v>
      </c>
      <c r="Q24" s="68" t="s">
        <v>13</v>
      </c>
      <c r="R24" s="6"/>
    </row>
    <row r="25" customFormat="false" ht="14.25" hidden="true" customHeight="false" outlineLevel="0" collapsed="false">
      <c r="C25" s="66" t="s">
        <v>47</v>
      </c>
      <c r="D25" s="67"/>
      <c r="E25" s="67"/>
      <c r="F25" s="67"/>
      <c r="G25" s="67"/>
      <c r="H25" s="67"/>
      <c r="I25" s="67"/>
      <c r="J25" s="67"/>
      <c r="K25" s="68"/>
      <c r="L25" s="68"/>
      <c r="M25" s="68"/>
      <c r="N25" s="68"/>
      <c r="O25" s="69" t="s">
        <v>48</v>
      </c>
      <c r="P25" s="55" t="n">
        <f aca="false">IF(ISBLANK(R14),"",IF(ISBLANK(P21),"",IF(ISBLANK(R17),"",(($P$24*$P$18)/($P$22-$P$23)))))</f>
        <v>0.00398951139510961</v>
      </c>
      <c r="Q25" s="68" t="s">
        <v>13</v>
      </c>
      <c r="R25" s="6"/>
    </row>
    <row r="26" customFormat="false" ht="14.25" hidden="true" customHeight="false" outlineLevel="0" collapsed="false">
      <c r="C26" s="72" t="s">
        <v>49</v>
      </c>
      <c r="D26" s="73"/>
      <c r="E26" s="73"/>
      <c r="F26" s="73"/>
      <c r="G26" s="73"/>
      <c r="H26" s="73"/>
      <c r="I26" s="73"/>
      <c r="J26" s="73"/>
      <c r="K26" s="68"/>
      <c r="L26" s="68"/>
      <c r="M26" s="68"/>
      <c r="N26" s="68"/>
      <c r="O26" s="69" t="s">
        <v>50</v>
      </c>
      <c r="P26" s="55" t="n">
        <f aca="false">2+('Correction de volume'!G10+'Correction de volume'!G9)</f>
        <v>2.0163939508</v>
      </c>
      <c r="Q26" s="68" t="s">
        <v>30</v>
      </c>
      <c r="R26" s="6"/>
    </row>
    <row r="27" customFormat="false" ht="15" hidden="true" customHeight="false" outlineLevel="0" collapsed="false">
      <c r="C27" s="74"/>
      <c r="D27" s="75"/>
      <c r="E27" s="75"/>
      <c r="F27" s="75"/>
      <c r="G27" s="75"/>
      <c r="H27" s="75"/>
      <c r="I27" s="75"/>
      <c r="J27" s="75"/>
      <c r="K27" s="76"/>
      <c r="L27" s="76"/>
      <c r="M27" s="76"/>
      <c r="N27" s="76"/>
      <c r="O27" s="77" t="s">
        <v>51</v>
      </c>
      <c r="P27" s="62" t="n">
        <v>0.0017</v>
      </c>
      <c r="Q27" s="76"/>
      <c r="R27" s="78"/>
    </row>
    <row r="29" customFormat="false" ht="15" hidden="false" customHeight="false" outlineLevel="0" collapsed="false">
      <c r="E29" s="18" t="s">
        <v>52</v>
      </c>
      <c r="F29" s="18"/>
      <c r="G29" s="18"/>
      <c r="H29" s="18"/>
      <c r="I29" s="79" t="s">
        <v>53</v>
      </c>
      <c r="K29" s="80"/>
      <c r="L29" s="80"/>
      <c r="M29" s="80"/>
      <c r="N29" s="81"/>
      <c r="O29" s="80" t="s">
        <v>54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2"/>
      <c r="K30" s="17"/>
      <c r="L30" s="17"/>
      <c r="M30" s="17"/>
      <c r="N30" s="81"/>
      <c r="O30" s="81" t="s">
        <v>53</v>
      </c>
      <c r="P30" s="81"/>
    </row>
    <row r="31" customFormat="false" ht="15.75" hidden="false" customHeight="true" outlineLevel="0" collapsed="false">
      <c r="C31" s="83" t="s">
        <v>55</v>
      </c>
      <c r="D31" s="84" t="s">
        <v>56</v>
      </c>
      <c r="E31" s="84" t="s">
        <v>57</v>
      </c>
      <c r="F31" s="84" t="s">
        <v>58</v>
      </c>
      <c r="G31" s="84" t="s">
        <v>59</v>
      </c>
      <c r="H31" s="84" t="s">
        <v>60</v>
      </c>
      <c r="I31" s="84" t="s">
        <v>61</v>
      </c>
      <c r="J31" s="84" t="s">
        <v>62</v>
      </c>
      <c r="K31" s="84" t="s">
        <v>63</v>
      </c>
      <c r="L31" s="84" t="s">
        <v>64</v>
      </c>
      <c r="M31" s="84" t="s">
        <v>65</v>
      </c>
      <c r="N31" s="84" t="s">
        <v>66</v>
      </c>
      <c r="O31" s="84" t="s">
        <v>67</v>
      </c>
      <c r="P31" s="85" t="s">
        <v>68</v>
      </c>
      <c r="Q31" s="85"/>
      <c r="R31" s="85"/>
      <c r="S31" s="85"/>
      <c r="T31" s="86" t="s">
        <v>69</v>
      </c>
      <c r="U31" s="86"/>
      <c r="V31" s="86" t="s">
        <v>70</v>
      </c>
      <c r="W31" s="86"/>
      <c r="X31" s="86" t="s">
        <v>71</v>
      </c>
      <c r="Y31" s="86"/>
      <c r="Z31" s="86" t="s">
        <v>72</v>
      </c>
      <c r="AA31" s="86"/>
      <c r="AB31" s="87" t="s">
        <v>73</v>
      </c>
      <c r="AC31" s="87"/>
      <c r="AD31" s="88" t="s">
        <v>74</v>
      </c>
      <c r="AE31" s="88" t="s">
        <v>75</v>
      </c>
      <c r="AF31" s="88" t="s">
        <v>76</v>
      </c>
      <c r="AG31" s="89" t="s">
        <v>77</v>
      </c>
      <c r="AH31" s="88" t="s">
        <v>78</v>
      </c>
      <c r="AI31" s="88" t="s">
        <v>79</v>
      </c>
      <c r="AJ31" s="88" t="s">
        <v>80</v>
      </c>
      <c r="AK31" s="88" t="s">
        <v>81</v>
      </c>
      <c r="AL31" s="89" t="s">
        <v>82</v>
      </c>
      <c r="AM31" s="88" t="s">
        <v>83</v>
      </c>
      <c r="AN31" s="88" t="s">
        <v>84</v>
      </c>
      <c r="AO31" s="88" t="s">
        <v>85</v>
      </c>
      <c r="AP31" s="88" t="s">
        <v>86</v>
      </c>
      <c r="AQ31" s="88" t="s">
        <v>87</v>
      </c>
      <c r="AR31" s="89" t="s">
        <v>88</v>
      </c>
      <c r="AS31" s="89" t="s">
        <v>89</v>
      </c>
      <c r="AT31" s="89" t="s">
        <v>90</v>
      </c>
      <c r="AU31" s="88" t="s">
        <v>91</v>
      </c>
      <c r="AV31" s="88" t="s">
        <v>92</v>
      </c>
      <c r="AW31" s="90" t="s">
        <v>93</v>
      </c>
      <c r="AX31" s="88" t="s">
        <v>94</v>
      </c>
      <c r="AY31" s="88" t="s">
        <v>95</v>
      </c>
      <c r="AZ31" s="89" t="s">
        <v>96</v>
      </c>
      <c r="BA31" s="88" t="s">
        <v>97</v>
      </c>
      <c r="BB31" s="91" t="s">
        <v>98</v>
      </c>
    </row>
    <row r="32" customFormat="false" ht="15.75" hidden="false" customHeight="true" outlineLevel="0" collapsed="false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  <c r="Q32" s="85"/>
      <c r="R32" s="85"/>
      <c r="S32" s="85"/>
      <c r="T32" s="86"/>
      <c r="U32" s="86"/>
      <c r="V32" s="86"/>
      <c r="W32" s="86"/>
      <c r="X32" s="86"/>
      <c r="Y32" s="86"/>
      <c r="Z32" s="86"/>
      <c r="AA32" s="86"/>
      <c r="AB32" s="87"/>
      <c r="AC32" s="87"/>
      <c r="AD32" s="88"/>
      <c r="AE32" s="88"/>
      <c r="AF32" s="88"/>
      <c r="AG32" s="89"/>
      <c r="AH32" s="88"/>
      <c r="AI32" s="88"/>
      <c r="AJ32" s="88"/>
      <c r="AK32" s="88"/>
      <c r="AL32" s="89"/>
      <c r="AM32" s="88"/>
      <c r="AN32" s="88"/>
      <c r="AO32" s="88"/>
      <c r="AP32" s="88"/>
      <c r="AQ32" s="88"/>
      <c r="AR32" s="89"/>
      <c r="AS32" s="89"/>
      <c r="AT32" s="89"/>
      <c r="AU32" s="88"/>
      <c r="AV32" s="88"/>
      <c r="AW32" s="90"/>
      <c r="AX32" s="88"/>
      <c r="AY32" s="88"/>
      <c r="AZ32" s="89"/>
      <c r="BA32" s="88"/>
      <c r="BB32" s="91"/>
    </row>
    <row r="33" customFormat="false" ht="15.75" hidden="false" customHeight="true" outlineLevel="0" collapsed="false">
      <c r="C33" s="154" t="s">
        <v>99</v>
      </c>
      <c r="D33" s="93" t="s">
        <v>100</v>
      </c>
      <c r="E33" s="93" t="s">
        <v>25</v>
      </c>
      <c r="F33" s="94" t="s">
        <v>101</v>
      </c>
      <c r="G33" s="95"/>
      <c r="H33" s="94" t="s">
        <v>102</v>
      </c>
      <c r="I33" s="94" t="s">
        <v>102</v>
      </c>
      <c r="J33" s="94" t="s">
        <v>101</v>
      </c>
      <c r="K33" s="95"/>
      <c r="L33" s="95"/>
      <c r="M33" s="95"/>
      <c r="N33" s="95"/>
      <c r="O33" s="95"/>
      <c r="P33" s="96" t="s">
        <v>103</v>
      </c>
      <c r="Q33" s="96"/>
      <c r="R33" s="96" t="s">
        <v>104</v>
      </c>
      <c r="S33" s="96" t="s">
        <v>105</v>
      </c>
      <c r="T33" s="97" t="s">
        <v>106</v>
      </c>
      <c r="U33" s="97" t="s">
        <v>107</v>
      </c>
      <c r="V33" s="97" t="s">
        <v>108</v>
      </c>
      <c r="W33" s="97" t="s">
        <v>109</v>
      </c>
      <c r="X33" s="97" t="s">
        <v>110</v>
      </c>
      <c r="Y33" s="97" t="s">
        <v>111</v>
      </c>
      <c r="Z33" s="97" t="s">
        <v>112</v>
      </c>
      <c r="AA33" s="97" t="s">
        <v>113</v>
      </c>
      <c r="AB33" s="97" t="s">
        <v>114</v>
      </c>
      <c r="AC33" s="98" t="s">
        <v>115</v>
      </c>
      <c r="AD33" s="99" t="s">
        <v>116</v>
      </c>
      <c r="AE33" s="99" t="s">
        <v>117</v>
      </c>
      <c r="AF33" s="99" t="s">
        <v>118</v>
      </c>
      <c r="AG33" s="99" t="s">
        <v>119</v>
      </c>
      <c r="AH33" s="99" t="s">
        <v>120</v>
      </c>
      <c r="AI33" s="100" t="s">
        <v>121</v>
      </c>
      <c r="AJ33" s="99" t="s">
        <v>122</v>
      </c>
      <c r="AK33" s="100" t="s">
        <v>123</v>
      </c>
      <c r="AL33" s="99" t="s">
        <v>124</v>
      </c>
      <c r="AM33" s="99" t="s">
        <v>125</v>
      </c>
      <c r="AN33" s="99" t="s">
        <v>126</v>
      </c>
      <c r="AO33" s="99" t="s">
        <v>127</v>
      </c>
      <c r="AP33" s="99" t="s">
        <v>128</v>
      </c>
      <c r="AQ33" s="100" t="s">
        <v>129</v>
      </c>
      <c r="AR33" s="99" t="s">
        <v>130</v>
      </c>
      <c r="AS33" s="99" t="s">
        <v>131</v>
      </c>
      <c r="AT33" s="100" t="s">
        <v>132</v>
      </c>
      <c r="AU33" s="101" t="s">
        <v>133</v>
      </c>
      <c r="AV33" s="101" t="s">
        <v>134</v>
      </c>
      <c r="AW33" s="101" t="s">
        <v>135</v>
      </c>
      <c r="AX33" s="99" t="s">
        <v>136</v>
      </c>
      <c r="AY33" s="99" t="s">
        <v>137</v>
      </c>
      <c r="AZ33" s="99" t="s">
        <v>138</v>
      </c>
      <c r="BA33" s="99" t="s">
        <v>139</v>
      </c>
      <c r="BB33" s="102" t="s">
        <v>140</v>
      </c>
    </row>
    <row r="34" customFormat="false" ht="14.25" hidden="false" customHeight="true" outlineLevel="0" collapsed="false">
      <c r="C34" s="154"/>
      <c r="D34" s="93"/>
      <c r="E34" s="93"/>
      <c r="F34" s="94"/>
      <c r="G34" s="95"/>
      <c r="H34" s="94"/>
      <c r="I34" s="94"/>
      <c r="J34" s="94"/>
      <c r="K34" s="103"/>
      <c r="L34" s="103"/>
      <c r="M34" s="103"/>
      <c r="N34" s="104" t="s">
        <v>30</v>
      </c>
      <c r="O34" s="103"/>
      <c r="P34" s="104" t="s">
        <v>141</v>
      </c>
      <c r="Q34" s="104" t="s">
        <v>142</v>
      </c>
      <c r="R34" s="104" t="s">
        <v>143</v>
      </c>
      <c r="S34" s="104" t="s">
        <v>144</v>
      </c>
      <c r="T34" s="105" t="s">
        <v>143</v>
      </c>
      <c r="U34" s="105" t="s">
        <v>144</v>
      </c>
      <c r="V34" s="105" t="s">
        <v>143</v>
      </c>
      <c r="W34" s="105" t="s">
        <v>144</v>
      </c>
      <c r="X34" s="105" t="s">
        <v>143</v>
      </c>
      <c r="Y34" s="105" t="s">
        <v>144</v>
      </c>
      <c r="Z34" s="105" t="s">
        <v>143</v>
      </c>
      <c r="AA34" s="105" t="s">
        <v>144</v>
      </c>
      <c r="AB34" s="105" t="s">
        <v>143</v>
      </c>
      <c r="AC34" s="106" t="s">
        <v>144</v>
      </c>
      <c r="AD34" s="107" t="s">
        <v>145</v>
      </c>
      <c r="AE34" s="107" t="s">
        <v>145</v>
      </c>
      <c r="AF34" s="107" t="s">
        <v>145</v>
      </c>
      <c r="AG34" s="107" t="s">
        <v>145</v>
      </c>
      <c r="AH34" s="107" t="s">
        <v>145</v>
      </c>
      <c r="AI34" s="107" t="s">
        <v>145</v>
      </c>
      <c r="AJ34" s="107" t="s">
        <v>145</v>
      </c>
      <c r="AK34" s="107" t="s">
        <v>145</v>
      </c>
      <c r="AL34" s="107" t="s">
        <v>145</v>
      </c>
      <c r="AM34" s="107" t="s">
        <v>145</v>
      </c>
      <c r="AN34" s="107" t="s">
        <v>145</v>
      </c>
      <c r="AO34" s="107" t="s">
        <v>145</v>
      </c>
      <c r="AP34" s="107" t="s">
        <v>145</v>
      </c>
      <c r="AQ34" s="107" t="s">
        <v>145</v>
      </c>
      <c r="AR34" s="107" t="s">
        <v>145</v>
      </c>
      <c r="AS34" s="107" t="s">
        <v>145</v>
      </c>
      <c r="AT34" s="107" t="s">
        <v>145</v>
      </c>
      <c r="AU34" s="107" t="s">
        <v>145</v>
      </c>
      <c r="AV34" s="107" t="s">
        <v>145</v>
      </c>
      <c r="AW34" s="107" t="s">
        <v>145</v>
      </c>
      <c r="AX34" s="107" t="s">
        <v>145</v>
      </c>
      <c r="AY34" s="107" t="s">
        <v>145</v>
      </c>
      <c r="AZ34" s="107" t="s">
        <v>145</v>
      </c>
      <c r="BA34" s="107" t="s">
        <v>145</v>
      </c>
      <c r="BB34" s="107" t="s">
        <v>145</v>
      </c>
    </row>
    <row r="35" customFormat="false" ht="15" hidden="false" customHeight="false" outlineLevel="0" collapsed="false">
      <c r="A35" s="108" t="n">
        <f aca="false">IF(ISBLANK(VLOOKUP(D35,'Volumes flacons'!A5:C623,3)),0,1)</f>
        <v>1</v>
      </c>
      <c r="B35" s="109" t="n">
        <f aca="false">IF(ISBLANK(D35),0,IF(ISBLANK(E35),0,IF(ISBLANK(F35),0,1)))</f>
        <v>1</v>
      </c>
      <c r="C35" s="155" t="n">
        <v>1</v>
      </c>
      <c r="D35" s="156" t="n">
        <v>326</v>
      </c>
      <c r="E35" s="111" t="n">
        <v>6.9</v>
      </c>
      <c r="F35" s="112" t="n">
        <v>5.852</v>
      </c>
      <c r="G35" s="113" t="n">
        <v>34.942</v>
      </c>
      <c r="H35" s="111" t="n">
        <v>2000</v>
      </c>
      <c r="I35" s="111" t="n">
        <v>2021</v>
      </c>
      <c r="J35" s="114" t="n">
        <v>118.59</v>
      </c>
      <c r="K35" s="115" t="n">
        <f aca="false">IF(ISBLANK(E35),"",(0.000824493-(0.0000040899*E35)+(0.000000076438*E35^2)-(0.00000000082467*E35^3)+(0.0000000000053875*E35^4)))</f>
        <v>0.000799653203574409</v>
      </c>
      <c r="L35" s="115" t="n">
        <f aca="false">IF(ISBLANK(E35),"",(-0.00000572466+(0.00000010227*E35)-(0.0000000016546*E35^2)))</f>
        <v>-5.097772506E-006</v>
      </c>
      <c r="M35" s="115" t="n">
        <f aca="false">IF(ISBLANK(E35),"",IF(ISBLANK(G35),(O35+(K35*35)+(L35*35^1.5)+(0.00000048314*35^2)),(O35+(K35*G35)+(L35*G35^1.5)+(0.00000048314*G35^2))))</f>
        <v>1.02738725204628</v>
      </c>
      <c r="N35" s="116" t="n">
        <f aca="false">IF(ISBLANK(D35),"",IF(ISBLANK(G35),J35*(1+0.00001*(35-20)),J35*(1+0.00001*(G35-20))))</f>
        <v>118.6077197178</v>
      </c>
      <c r="O35" s="115" t="n">
        <f aca="false">IF(ISBLANK(E35),"",(0.999842594+(0.00006793952*E35)-(0.00000909529*E35^2)+(0.0000001001685*E35^3)-(0.000000001120083*E35^4)+(0.000000000006536332*E35^5)))</f>
        <v>0.999908819509459</v>
      </c>
      <c r="P35" s="117" t="n">
        <v>5.604</v>
      </c>
      <c r="Q35" s="118" t="n">
        <v>5.454</v>
      </c>
      <c r="R35" s="119" t="n">
        <v>250.3</v>
      </c>
      <c r="S35" s="119" t="n">
        <v>243.6</v>
      </c>
      <c r="T35" s="122"/>
      <c r="U35" s="122"/>
      <c r="V35" s="122"/>
      <c r="W35" s="163"/>
      <c r="X35" s="122"/>
      <c r="Y35" s="122"/>
      <c r="Z35" s="122"/>
      <c r="AA35" s="122"/>
      <c r="AB35" s="122"/>
      <c r="AC35" s="168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3"/>
    </row>
    <row r="36" customFormat="false" ht="15" hidden="false" customHeight="false" outlineLevel="0" collapsed="false">
      <c r="A36" s="108" t="n">
        <f aca="false">IF(ISBLANK(VLOOKUP(D36,'Volumes flacons'!A5:C623,3)),0,1)</f>
        <v>1</v>
      </c>
      <c r="B36" s="109" t="n">
        <f aca="false">IF(ISBLANK(D36),0,IF(ISBLANK(E36),0,IF(ISBLANK(F36),0,1)))</f>
        <v>1</v>
      </c>
      <c r="C36" s="157" t="n">
        <v>2</v>
      </c>
      <c r="D36" s="158" t="n">
        <v>333</v>
      </c>
      <c r="E36" s="125" t="n">
        <v>7.7</v>
      </c>
      <c r="F36" s="126" t="n">
        <v>3.809</v>
      </c>
      <c r="G36" s="127" t="n">
        <v>34.59</v>
      </c>
      <c r="H36" s="125" t="n">
        <v>1000</v>
      </c>
      <c r="I36" s="125" t="n">
        <v>1008</v>
      </c>
      <c r="J36" s="128" t="n">
        <v>117.98</v>
      </c>
      <c r="K36" s="129" t="n">
        <f aca="false">IF(ISBLANK(E36),"",(0.000824493-(0.0000040899*E36)+(0.000000076438*E36^2)-(0.00000000082467*E36^3)+(0.0000000000053875*E36^4)))</f>
        <v>0.000797175228651729</v>
      </c>
      <c r="L36" s="129" t="n">
        <f aca="false">IF(ISBLANK(E36),"",(-0.00000572466+(0.00000010227*E36)-(0.0000000016546*E36^2)))</f>
        <v>-5.035282234E-006</v>
      </c>
      <c r="M36" s="129" t="n">
        <f aca="false">IF(ISBLANK(E36),"",IF(ISBLANK(G36),(O36+(K36*35)+(L36*35^1.5)+(0.00000048314*35^2)),(O36+(K36*G36)+(L36*G36^1.5)+(0.00000048314*G36^2))))</f>
        <v>1.02699643799297</v>
      </c>
      <c r="N36" s="130" t="n">
        <f aca="false">IF(ISBLANK(D36),"",IF(ISBLANK(G36),J36*(1+0.00001*(35-20)),J36*(1+0.00001*(G36-20))))</f>
        <v>117.997213282</v>
      </c>
      <c r="O36" s="129" t="n">
        <f aca="false">IF(ISBLANK(E36),"",(0.999842594+(0.00006793952*E36)-(0.00000909529*E36^2)+(0.0000001001685*E36^3)-(0.000000001120083*E36^4)+(0.000000000006536332*E36^5)))</f>
        <v>0.999868438277747</v>
      </c>
      <c r="P36" s="131" t="n">
        <v>3.661</v>
      </c>
      <c r="Q36" s="132" t="n">
        <v>3.565</v>
      </c>
      <c r="R36" s="133" t="n">
        <v>163.5</v>
      </c>
      <c r="S36" s="133" t="n">
        <v>159.2</v>
      </c>
      <c r="T36" s="135"/>
      <c r="U36" s="135"/>
      <c r="V36" s="135"/>
      <c r="W36" s="165"/>
      <c r="X36" s="135"/>
      <c r="Y36" s="135"/>
      <c r="Z36" s="135"/>
      <c r="AA36" s="135"/>
      <c r="AB36" s="135"/>
      <c r="AC36" s="169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" hidden="false" customHeight="false" outlineLevel="0" collapsed="false">
      <c r="A37" s="108" t="n">
        <f aca="false">IF(ISBLANK(VLOOKUP(D37,'Volumes flacons'!A5:C623,3)),0,1)</f>
        <v>1</v>
      </c>
      <c r="B37" s="109" t="n">
        <f aca="false">IF(ISBLANK(D37),0,IF(ISBLANK(E37),0,IF(ISBLANK(F37),0,1)))</f>
        <v>1</v>
      </c>
      <c r="C37" s="157" t="n">
        <v>3</v>
      </c>
      <c r="D37" s="158" t="n">
        <v>334</v>
      </c>
      <c r="E37" s="125" t="n">
        <v>10</v>
      </c>
      <c r="F37" s="126" t="n">
        <v>2.134</v>
      </c>
      <c r="G37" s="127" t="n">
        <v>34.61</v>
      </c>
      <c r="H37" s="125" t="n">
        <v>500</v>
      </c>
      <c r="I37" s="125" t="n">
        <v>502.4</v>
      </c>
      <c r="J37" s="128" t="n">
        <v>117.64</v>
      </c>
      <c r="K37" s="129" t="n">
        <f aca="false">IF(ISBLANK(E37),"",(0.000824493-(0.0000040899*E37)+(0.000000076438*E37^2)-(0.00000000082467*E37^3)+(0.0000000000053875*E37^4)))</f>
        <v>0.000790467005</v>
      </c>
      <c r="L37" s="129" t="n">
        <f aca="false">IF(ISBLANK(E37),"",(-0.00000572466+(0.00000010227*E37)-(0.0000000016546*E37^2)))</f>
        <v>-4.86742E-006</v>
      </c>
      <c r="M37" s="129" t="n">
        <f aca="false">IF(ISBLANK(E37),"",IF(ISBLANK(G37),(O37+(K37*35)+(L37*35^1.5)+(0.00000048314*35^2)),(O37+(K37*G37)+(L37*G37^1.5)+(0.00000048314*G37^2))))</f>
        <v>1.02664781190439</v>
      </c>
      <c r="N37" s="130" t="n">
        <f aca="false">IF(ISBLANK(D37),"",IF(ISBLANK(G37),J37*(1+0.00001*(35-20)),J37*(1+0.00001*(G37-20))))</f>
        <v>117.657187204</v>
      </c>
      <c r="O37" s="129" t="n">
        <f aca="false">IF(ISBLANK(E37),"",(0.999842594+(0.00006793952*E37)-(0.00000909529*E37^2)+(0.0000001001685*E37^3)-(0.000000001120083*E37^4)+(0.000000000006536332*E37^5)))</f>
        <v>0.9997020815032</v>
      </c>
      <c r="P37" s="131" t="n">
        <v>2.051</v>
      </c>
      <c r="Q37" s="132" t="n">
        <v>1.998</v>
      </c>
      <c r="R37" s="133" t="n">
        <v>91.6</v>
      </c>
      <c r="S37" s="133" t="n">
        <v>89.2</v>
      </c>
      <c r="T37" s="135"/>
      <c r="U37" s="135"/>
      <c r="V37" s="135"/>
      <c r="W37" s="135"/>
      <c r="X37" s="135"/>
      <c r="Y37" s="135"/>
      <c r="Z37" s="135"/>
      <c r="AA37" s="135"/>
      <c r="AB37" s="135"/>
      <c r="AC37" s="169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" hidden="false" customHeight="false" outlineLevel="0" collapsed="false">
      <c r="A38" s="108" t="n">
        <f aca="false">IF(ISBLANK(VLOOKUP(D38,'Volumes flacons'!A5:C623,3)),0,1)</f>
        <v>1</v>
      </c>
      <c r="B38" s="109" t="n">
        <f aca="false">IF(ISBLANK(D38),0,IF(ISBLANK(E38),0,IF(ISBLANK(F38),0,1)))</f>
        <v>1</v>
      </c>
      <c r="C38" s="157" t="n">
        <v>4</v>
      </c>
      <c r="D38" s="158" t="n">
        <v>336</v>
      </c>
      <c r="E38" s="125" t="n">
        <v>20.3</v>
      </c>
      <c r="F38" s="126" t="n">
        <v>3.319</v>
      </c>
      <c r="G38" s="127" t="n">
        <v>35.924</v>
      </c>
      <c r="H38" s="125" t="n">
        <v>100</v>
      </c>
      <c r="I38" s="125" t="n">
        <v>100.3</v>
      </c>
      <c r="J38" s="128" t="n">
        <v>118.01</v>
      </c>
      <c r="K38" s="129" t="n">
        <f aca="false">IF(ISBLANK(E38),"",(0.000824493-(0.0000040899*E38)+(0.000000076438*E38^2)-(0.00000000082467*E38^3)+(0.0000000000053875*E38^4)))</f>
        <v>0.000766983544116549</v>
      </c>
      <c r="L38" s="129" t="n">
        <f aca="false">IF(ISBLANK(E38),"",(-0.00000572466+(0.00000010227*E38)-(0.0000000016546*E38^2)))</f>
        <v>-4.330423114E-006</v>
      </c>
      <c r="M38" s="129" t="n">
        <f aca="false">IF(ISBLANK(E38),"",IF(ISBLANK(G38),(O38+(K38*35)+(L38*35^1.5)+(0.00000048314*35^2)),(O38+(K38*G38)+(L38*G38^1.5)+(0.00000048314*G38^2))))</f>
        <v>1.02538817716641</v>
      </c>
      <c r="N38" s="130" t="n">
        <f aca="false">IF(ISBLANK(D38),"",IF(ISBLANK(G38),J38*(1+0.00001*(35-20)),J38*(1+0.00001*(G38-20))))</f>
        <v>118.0287919124</v>
      </c>
      <c r="O38" s="129" t="n">
        <f aca="false">IF(ISBLANK(E38),"",(0.999842594+(0.00006793952*E38)-(0.00000909529*E38^2)+(0.0000001001685*E38^3)-(0.000000001120083*E38^4)+(0.000000000006536332*E38^5)))</f>
        <v>0.998143962786074</v>
      </c>
      <c r="P38" s="131" t="n">
        <v>3.188</v>
      </c>
      <c r="Q38" s="132" t="n">
        <v>3.109</v>
      </c>
      <c r="R38" s="133" t="n">
        <v>142.4</v>
      </c>
      <c r="S38" s="133" t="n">
        <v>138.8</v>
      </c>
      <c r="T38" s="32" t="n">
        <v>0.5</v>
      </c>
      <c r="U38" s="32" t="n">
        <v>0.49</v>
      </c>
      <c r="V38" s="134" t="n">
        <v>12.1</v>
      </c>
      <c r="W38" s="134" t="n">
        <v>11.9</v>
      </c>
      <c r="X38" s="134" t="n">
        <v>11.6</v>
      </c>
      <c r="Y38" s="134" t="n">
        <v>11.4</v>
      </c>
      <c r="Z38" s="32" t="n">
        <v>0.89</v>
      </c>
      <c r="AA38" s="32" t="n">
        <v>0.87</v>
      </c>
      <c r="AB38" s="134" t="n">
        <v>3.4</v>
      </c>
      <c r="AC38" s="170" t="n">
        <v>3.3</v>
      </c>
      <c r="AD38" s="159" t="n">
        <v>0.0452</v>
      </c>
      <c r="AE38" s="159" t="n">
        <v>0.0308</v>
      </c>
      <c r="AF38" s="159" t="n">
        <v>0.0023</v>
      </c>
      <c r="AG38" s="159" t="n">
        <v>0.0614</v>
      </c>
      <c r="AH38" s="159" t="n">
        <v>0.0138</v>
      </c>
      <c r="AI38" s="159" t="n">
        <v>0.0054</v>
      </c>
      <c r="AJ38" s="159" t="n">
        <v>0.0023</v>
      </c>
      <c r="AK38" s="159" t="n">
        <v>0.0025</v>
      </c>
      <c r="AL38" s="159" t="n">
        <v>0.0646</v>
      </c>
      <c r="AM38" s="159" t="n">
        <v>0.0059</v>
      </c>
      <c r="AN38" s="159" t="n">
        <v>-99999</v>
      </c>
      <c r="AO38" s="159" t="n">
        <v>-99999</v>
      </c>
      <c r="AP38" s="159" t="n">
        <v>0.0368</v>
      </c>
      <c r="AQ38" s="159"/>
      <c r="AR38" s="159" t="n">
        <v>0.1761</v>
      </c>
      <c r="AS38" s="159" t="n">
        <v>-99999</v>
      </c>
      <c r="AT38" s="159"/>
      <c r="AU38" s="159" t="n">
        <v>0.0325</v>
      </c>
      <c r="AV38" s="159" t="n">
        <v>-99999</v>
      </c>
      <c r="AW38" s="159"/>
      <c r="AX38" s="159" t="n">
        <v>0.0733</v>
      </c>
      <c r="AY38" s="159" t="n">
        <v>0.2006</v>
      </c>
      <c r="AZ38" s="159"/>
      <c r="BA38" s="159" t="n">
        <v>-99999</v>
      </c>
      <c r="BB38" s="136"/>
    </row>
    <row r="39" customFormat="false" ht="15" hidden="false" customHeight="false" outlineLevel="0" collapsed="false">
      <c r="A39" s="108" t="n">
        <f aca="false">IF(ISBLANK(VLOOKUP(D39,'Volumes flacons'!A5:C623,3)),0,1)</f>
        <v>1</v>
      </c>
      <c r="B39" s="109" t="n">
        <f aca="false">IF(ISBLANK(D39),0,IF(ISBLANK(E39),0,IF(ISBLANK(F39),0,1)))</f>
        <v>1</v>
      </c>
      <c r="C39" s="157" t="n">
        <v>5</v>
      </c>
      <c r="D39" s="158" t="n">
        <v>337</v>
      </c>
      <c r="E39" s="125" t="n">
        <v>22.2</v>
      </c>
      <c r="F39" s="126" t="n">
        <v>4.031</v>
      </c>
      <c r="G39" s="127" t="n">
        <v>36.052</v>
      </c>
      <c r="H39" s="125" t="n">
        <v>80</v>
      </c>
      <c r="I39" s="125" t="n">
        <v>80.8</v>
      </c>
      <c r="J39" s="128" t="n">
        <v>118.14</v>
      </c>
      <c r="K39" s="129" t="n">
        <f aca="false">IF(ISBLANK(E39),"",(0.000824493-(0.0000040899*E39)+(0.000000076438*E39^2)-(0.00000000082467*E39^3)+(0.0000000000053875*E39^4)))</f>
        <v>0.00076365474655926</v>
      </c>
      <c r="L39" s="129" t="n">
        <f aca="false">IF(ISBLANK(E39),"",(-0.00000572466+(0.00000010227*E39)-(0.0000000016546*E39^2)))</f>
        <v>-4.269719064E-006</v>
      </c>
      <c r="M39" s="129" t="n">
        <f aca="false">IF(ISBLANK(E39),"",IF(ISBLANK(G39),(O39+(K39*35)+(L39*35^1.5)+(0.00000048314*35^2)),(O39+(K39*G39)+(L39*G39^1.5)+(0.00000048314*G39^2))))</f>
        <v>1.02496244600584</v>
      </c>
      <c r="N39" s="130" t="n">
        <f aca="false">IF(ISBLANK(D39),"",IF(ISBLANK(G39),J39*(1+0.00001*(35-20)),J39*(1+0.00001*(G39-20))))</f>
        <v>118.1589638328</v>
      </c>
      <c r="O39" s="129" t="n">
        <f aca="false">IF(ISBLANK(E39),"",(0.999842594+(0.00006793952*E39)-(0.00000909529*E39^2)+(0.0000001001685*E39^3)-(0.000000001120083*E39^4)+(0.000000000006536332*E39^5)))</f>
        <v>0.997727463728072</v>
      </c>
      <c r="P39" s="131" t="n">
        <v>3.87</v>
      </c>
      <c r="Q39" s="132" t="n">
        <v>3.776</v>
      </c>
      <c r="R39" s="133" t="n">
        <v>172.8</v>
      </c>
      <c r="S39" s="133" t="n">
        <v>168.6</v>
      </c>
      <c r="T39" s="32" t="n">
        <v>0.4</v>
      </c>
      <c r="U39" s="32" t="n">
        <v>0.39</v>
      </c>
      <c r="V39" s="134" t="n">
        <v>6.1</v>
      </c>
      <c r="W39" s="134" t="n">
        <v>6</v>
      </c>
      <c r="X39" s="134" t="n">
        <v>5.7</v>
      </c>
      <c r="Y39" s="134" t="n">
        <v>5.6</v>
      </c>
      <c r="Z39" s="32" t="n">
        <v>0.55</v>
      </c>
      <c r="AA39" s="32" t="n">
        <v>0.53</v>
      </c>
      <c r="AB39" s="134" t="n">
        <v>2.2</v>
      </c>
      <c r="AC39" s="170" t="n">
        <v>2.2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" hidden="false" customHeight="false" outlineLevel="0" collapsed="false">
      <c r="A40" s="108" t="n">
        <f aca="false">IF(ISBLANK(VLOOKUP(D40,'Volumes flacons'!A5:C623,3)),0,1)</f>
        <v>1</v>
      </c>
      <c r="B40" s="109" t="n">
        <f aca="false">IF(ISBLANK(D40),0,IF(ISBLANK(E40),0,IF(ISBLANK(F40),0,1)))</f>
        <v>1</v>
      </c>
      <c r="C40" s="157" t="n">
        <v>6</v>
      </c>
      <c r="D40" s="158" t="n">
        <v>339</v>
      </c>
      <c r="E40" s="125" t="n">
        <v>24.2</v>
      </c>
      <c r="F40" s="126" t="n">
        <v>4.951</v>
      </c>
      <c r="G40" s="127" t="n">
        <v>36.129</v>
      </c>
      <c r="H40" s="125" t="n">
        <v>60</v>
      </c>
      <c r="I40" s="125" t="n">
        <v>61.5</v>
      </c>
      <c r="J40" s="128" t="n">
        <v>116.25</v>
      </c>
      <c r="K40" s="129" t="n">
        <f aca="false">IF(ISBLANK(E40),"",(0.000824493-(0.0000040899*E40)+(0.000000076438*E40^2)-(0.00000000082467*E40^3)+(0.0000000000053875*E40^4)))</f>
        <v>0.00076044271819526</v>
      </c>
      <c r="L40" s="129" t="n">
        <f aca="false">IF(ISBLANK(E40),"",(-0.00000572466+(0.00000010227*E40)-(0.0000000016546*E40^2)))</f>
        <v>-4.218725944E-006</v>
      </c>
      <c r="M40" s="129" t="n">
        <f aca="false">IF(ISBLANK(E40),"",IF(ISBLANK(G40),(O40+(K40*35)+(L40*35^1.5)+(0.00000048314*35^2)),(O40+(K40*G40)+(L40*G40^1.5)+(0.00000048314*G40^2))))</f>
        <v>1.02443842614899</v>
      </c>
      <c r="N40" s="130" t="n">
        <f aca="false">IF(ISBLANK(D40),"",IF(ISBLANK(G40),J40*(1+0.00001*(35-20)),J40*(1+0.00001*(G40-20))))</f>
        <v>116.2687499625</v>
      </c>
      <c r="O40" s="129" t="n">
        <f aca="false">IF(ISBLANK(E40),"",(0.999842594+(0.00006793952*E40)-(0.00000909529*E40^2)+(0.0000001001685*E40^3)-(0.000000001120083*E40^4)+(0.000000000006536332*E40^5)))</f>
        <v>0.99724989342891</v>
      </c>
      <c r="P40" s="131" t="n">
        <v>4.836</v>
      </c>
      <c r="Q40" s="132" t="n">
        <v>4.72</v>
      </c>
      <c r="R40" s="133" t="n">
        <v>216</v>
      </c>
      <c r="S40" s="133" t="n">
        <v>210.8</v>
      </c>
      <c r="T40" s="32" t="n">
        <v>0</v>
      </c>
      <c r="U40" s="32" t="n">
        <v>0</v>
      </c>
      <c r="V40" s="134" t="n">
        <v>0.1</v>
      </c>
      <c r="W40" s="134" t="n">
        <v>0.1</v>
      </c>
      <c r="X40" s="134" t="n">
        <v>0.1</v>
      </c>
      <c r="Y40" s="134" t="n">
        <v>0.1</v>
      </c>
      <c r="Z40" s="32" t="n">
        <v>0.2</v>
      </c>
      <c r="AA40" s="32" t="n">
        <v>0.2</v>
      </c>
      <c r="AB40" s="134" t="n">
        <v>1.3</v>
      </c>
      <c r="AC40" s="170" t="n">
        <v>1.2</v>
      </c>
      <c r="AD40" s="159" t="n">
        <v>0.0619</v>
      </c>
      <c r="AE40" s="159" t="n">
        <v>0.0473</v>
      </c>
      <c r="AF40" s="159" t="n">
        <v>0.0055</v>
      </c>
      <c r="AG40" s="159" t="n">
        <v>0.0753</v>
      </c>
      <c r="AH40" s="159" t="n">
        <v>0.0159</v>
      </c>
      <c r="AI40" s="159" t="n">
        <v>0.0134</v>
      </c>
      <c r="AJ40" s="159" t="n">
        <v>0.0027</v>
      </c>
      <c r="AK40" s="159" t="n">
        <v>0.005</v>
      </c>
      <c r="AL40" s="159" t="n">
        <v>0.1196</v>
      </c>
      <c r="AM40" s="159" t="n">
        <v>0.0102</v>
      </c>
      <c r="AN40" s="159" t="n">
        <v>0.0003</v>
      </c>
      <c r="AO40" s="159" t="n">
        <v>0.0009</v>
      </c>
      <c r="AP40" s="159" t="n">
        <v>0.0874</v>
      </c>
      <c r="AQ40" s="159"/>
      <c r="AR40" s="159" t="n">
        <v>0.0481</v>
      </c>
      <c r="AS40" s="159" t="n">
        <v>0.1852</v>
      </c>
      <c r="AT40" s="159"/>
      <c r="AU40" s="159" t="n">
        <v>0.0462</v>
      </c>
      <c r="AV40" s="159" t="n">
        <v>-99999</v>
      </c>
      <c r="AW40" s="159"/>
      <c r="AX40" s="159" t="n">
        <v>0.1383</v>
      </c>
      <c r="AY40" s="159" t="n">
        <v>0.3131</v>
      </c>
      <c r="AZ40" s="159"/>
      <c r="BA40" s="159" t="n">
        <v>-99999</v>
      </c>
      <c r="BB40" s="136"/>
    </row>
    <row r="41" customFormat="false" ht="15" hidden="false" customHeight="false" outlineLevel="0" collapsed="false">
      <c r="A41" s="108" t="n">
        <f aca="false">IF(ISBLANK(VLOOKUP(D41,'Volumes flacons'!A5:C623,3)),0,1)</f>
        <v>1</v>
      </c>
      <c r="B41" s="109" t="n">
        <f aca="false">IF(ISBLANK(D41),0,IF(ISBLANK(E41),0,IF(ISBLANK(F41),0,1)))</f>
        <v>1</v>
      </c>
      <c r="C41" s="157" t="n">
        <v>7</v>
      </c>
      <c r="D41" s="158" t="n">
        <v>340</v>
      </c>
      <c r="E41" s="125" t="n">
        <v>24.4</v>
      </c>
      <c r="F41" s="126" t="n">
        <v>5.033</v>
      </c>
      <c r="G41" s="127" t="n">
        <v>36.135</v>
      </c>
      <c r="H41" s="125" t="n">
        <v>60</v>
      </c>
      <c r="I41" s="125" t="n">
        <v>61.5</v>
      </c>
      <c r="J41" s="128" t="n">
        <v>117.73</v>
      </c>
      <c r="K41" s="129" t="n">
        <f aca="false">IF(ISBLANK(E41),"",(0.000824493-(0.0000040899*E41)+(0.000000076438*E41^2)-(0.00000000082467*E41^3)+(0.0000000000053875*E41^4)))</f>
        <v>0.00076013738310944</v>
      </c>
      <c r="L41" s="129" t="n">
        <f aca="false">IF(ISBLANK(E41),"",(-0.00000572466+(0.00000010227*E41)-(0.0000000016546*E41^2)))</f>
        <v>-4.214354656E-006</v>
      </c>
      <c r="M41" s="129" t="n">
        <f aca="false">IF(ISBLANK(E41),"",IF(ISBLANK(G41),(O41+(K41*35)+(L41*35^1.5)+(0.00000048314*35^2)),(O41+(K41*G41)+(L41*G41^1.5)+(0.00000048314*G41^2))))</f>
        <v>1.02438297863771</v>
      </c>
      <c r="N41" s="130" t="n">
        <f aca="false">IF(ISBLANK(D41),"",IF(ISBLANK(G41),J41*(1+0.00001*(35-20)),J41*(1+0.00001*(G41-20))))</f>
        <v>117.7489957355</v>
      </c>
      <c r="O41" s="129" t="n">
        <f aca="false">IF(ISBLANK(E41),"",(0.999842594+(0.00006793952*E41)-(0.00000909529*E41^2)+(0.0000001001685*E41^3)-(0.000000001120083*E41^4)+(0.000000000006536332*E41^5)))</f>
        <v>0.997199985777041</v>
      </c>
      <c r="P41" s="131" t="n">
        <v>4.853</v>
      </c>
      <c r="Q41" s="132" t="n">
        <v>4.738</v>
      </c>
      <c r="R41" s="133" t="n">
        <v>216.7</v>
      </c>
      <c r="S41" s="133" t="n">
        <v>211.6</v>
      </c>
      <c r="T41" s="32" t="n">
        <v>0</v>
      </c>
      <c r="U41" s="32" t="n">
        <v>0</v>
      </c>
      <c r="V41" s="134" t="n">
        <v>0</v>
      </c>
      <c r="W41" s="134" t="n">
        <v>0</v>
      </c>
      <c r="X41" s="134" t="n">
        <v>0</v>
      </c>
      <c r="Y41" s="134" t="n">
        <v>0</v>
      </c>
      <c r="Z41" s="32" t="n">
        <v>0.19</v>
      </c>
      <c r="AA41" s="32" t="n">
        <v>0.18</v>
      </c>
      <c r="AB41" s="134" t="n">
        <v>1.2</v>
      </c>
      <c r="AC41" s="170" t="n">
        <v>1.2</v>
      </c>
      <c r="AD41" s="159" t="n">
        <v>0.035</v>
      </c>
      <c r="AE41" s="159" t="n">
        <v>0.0333</v>
      </c>
      <c r="AF41" s="159" t="n">
        <v>0.0061</v>
      </c>
      <c r="AG41" s="159" t="n">
        <v>0.0392</v>
      </c>
      <c r="AH41" s="159" t="n">
        <v>0.0101</v>
      </c>
      <c r="AI41" s="159" t="n">
        <v>-99999</v>
      </c>
      <c r="AJ41" s="159" t="n">
        <v>-99999</v>
      </c>
      <c r="AK41" s="159" t="n">
        <v>0.0012</v>
      </c>
      <c r="AL41" s="159" t="n">
        <v>0.0886</v>
      </c>
      <c r="AM41" s="159" t="n">
        <v>0.0064</v>
      </c>
      <c r="AN41" s="159" t="n">
        <v>-99999</v>
      </c>
      <c r="AO41" s="159" t="n">
        <v>-99999</v>
      </c>
      <c r="AP41" s="159" t="n">
        <v>0.0849</v>
      </c>
      <c r="AQ41" s="159"/>
      <c r="AR41" s="159" t="n">
        <v>0.0062</v>
      </c>
      <c r="AS41" s="159" t="n">
        <v>0.0629</v>
      </c>
      <c r="AT41" s="159"/>
      <c r="AU41" s="159" t="n">
        <v>0.0252</v>
      </c>
      <c r="AV41" s="159" t="n">
        <v>-99999</v>
      </c>
      <c r="AW41" s="159"/>
      <c r="AX41" s="159" t="n">
        <v>0.0856</v>
      </c>
      <c r="AY41" s="159" t="n">
        <v>0.192</v>
      </c>
      <c r="AZ41" s="159"/>
      <c r="BA41" s="159" t="n">
        <v>-99999</v>
      </c>
      <c r="BB41" s="136"/>
    </row>
    <row r="42" customFormat="false" ht="15" hidden="false" customHeight="false" outlineLevel="0" collapsed="false">
      <c r="A42" s="108" t="n">
        <f aca="false">IF(ISBLANK(VLOOKUP(D42,'Volumes flacons'!A5:C623,3)),0,1)</f>
        <v>1</v>
      </c>
      <c r="B42" s="109" t="n">
        <f aca="false">IF(ISBLANK(D42),0,IF(ISBLANK(E42),0,IF(ISBLANK(F42),0,1)))</f>
        <v>1</v>
      </c>
      <c r="C42" s="157" t="n">
        <v>8</v>
      </c>
      <c r="D42" s="158" t="n">
        <v>346</v>
      </c>
      <c r="E42" s="125" t="n">
        <v>27.8</v>
      </c>
      <c r="F42" s="126" t="n">
        <v>4.793</v>
      </c>
      <c r="G42" s="127" t="n">
        <v>36.244</v>
      </c>
      <c r="H42" s="125" t="n">
        <v>40</v>
      </c>
      <c r="I42" s="125" t="n">
        <v>40.6</v>
      </c>
      <c r="J42" s="128" t="n">
        <v>118.77</v>
      </c>
      <c r="K42" s="129" t="n">
        <f aca="false">IF(ISBLANK(E42),"",(0.000824493-(0.0000040899*E42)+(0.000000076438*E42^2)-(0.00000000082467*E42^3)+(0.0000000000053875*E42^4)))</f>
        <v>0.00075536798352758</v>
      </c>
      <c r="L42" s="129" t="n">
        <f aca="false">IF(ISBLANK(E42),"",(-0.00000572466+(0.00000010227*E42)-(0.0000000016546*E42^2)))</f>
        <v>-4.160295064E-006</v>
      </c>
      <c r="M42" s="129" t="n">
        <f aca="false">IF(ISBLANK(E42),"",IF(ISBLANK(G42),(O42+(K42*35)+(L42*35^1.5)+(0.00000048314*35^2)),(O42+(K42*G42)+(L42*G42^1.5)+(0.00000048314*G42^2))))</f>
        <v>1.02339819917401</v>
      </c>
      <c r="N42" s="130" t="n">
        <f aca="false">IF(ISBLANK(D42),"",IF(ISBLANK(G42),J42*(1+0.00001*(35-20)),J42*(1+0.00001*(G42-20))))</f>
        <v>118.7892929988</v>
      </c>
      <c r="O42" s="129" t="n">
        <f aca="false">IF(ISBLANK(E42),"",(0.999842594+(0.00006793952*E42)-(0.00000909529*E42^2)+(0.0000001001685*E42^3)-(0.000000001120083*E42^4)+(0.000000000006536332*E42^5)))</f>
        <v>0.996293751176097</v>
      </c>
      <c r="P42" s="131" t="n">
        <v>4.58</v>
      </c>
      <c r="Q42" s="132" t="n">
        <v>4.475</v>
      </c>
      <c r="R42" s="133" t="n">
        <v>204.5</v>
      </c>
      <c r="S42" s="133" t="n">
        <v>199.9</v>
      </c>
      <c r="T42" s="32" t="n">
        <v>0</v>
      </c>
      <c r="U42" s="32" t="n">
        <v>0</v>
      </c>
      <c r="V42" s="134" t="n">
        <v>0</v>
      </c>
      <c r="W42" s="134" t="n">
        <v>0</v>
      </c>
      <c r="X42" s="134" t="n">
        <v>0</v>
      </c>
      <c r="Y42" s="134" t="n">
        <v>0</v>
      </c>
      <c r="Z42" s="32" t="n">
        <v>0.12</v>
      </c>
      <c r="AA42" s="32" t="n">
        <v>0.12</v>
      </c>
      <c r="AB42" s="134" t="n">
        <v>0.6</v>
      </c>
      <c r="AC42" s="170" t="n">
        <v>0.6</v>
      </c>
      <c r="AD42" s="159" t="n">
        <v>0.0048</v>
      </c>
      <c r="AE42" s="159" t="n">
        <v>0.0074</v>
      </c>
      <c r="AF42" s="159" t="n">
        <v>0.0018</v>
      </c>
      <c r="AG42" s="159" t="n">
        <v>0.0029</v>
      </c>
      <c r="AH42" s="159" t="n">
        <v>0.0026</v>
      </c>
      <c r="AI42" s="159" t="n">
        <v>-99999</v>
      </c>
      <c r="AJ42" s="159" t="n">
        <v>-99999</v>
      </c>
      <c r="AK42" s="159" t="n">
        <v>0.0005</v>
      </c>
      <c r="AL42" s="159" t="n">
        <v>0.0162</v>
      </c>
      <c r="AM42" s="159" t="n">
        <v>0.0028</v>
      </c>
      <c r="AN42" s="159" t="n">
        <v>-99999</v>
      </c>
      <c r="AO42" s="159" t="n">
        <v>-99999</v>
      </c>
      <c r="AP42" s="159" t="n">
        <v>0.0661</v>
      </c>
      <c r="AQ42" s="159"/>
      <c r="AR42" s="159" t="n">
        <v>0.0023</v>
      </c>
      <c r="AS42" s="159" t="n">
        <v>0.0048</v>
      </c>
      <c r="AT42" s="159"/>
      <c r="AU42" s="159" t="n">
        <v>0.0105</v>
      </c>
      <c r="AV42" s="159" t="n">
        <v>-99999</v>
      </c>
      <c r="AW42" s="159"/>
      <c r="AX42" s="159" t="n">
        <v>0.0427</v>
      </c>
      <c r="AY42" s="159" t="n">
        <v>0.0532</v>
      </c>
      <c r="AZ42" s="159"/>
      <c r="BA42" s="159" t="n">
        <v>-99999</v>
      </c>
      <c r="BB42" s="136"/>
    </row>
    <row r="43" customFormat="false" ht="15" hidden="false" customHeight="false" outlineLevel="0" collapsed="false">
      <c r="A43" s="108" t="n">
        <f aca="false">IF(ISBLANK(VLOOKUP(D43,'Volumes flacons'!A5:C623,3)),0,1)</f>
        <v>1</v>
      </c>
      <c r="B43" s="109" t="n">
        <f aca="false">IF(ISBLANK(D43),0,IF(ISBLANK(E43),0,IF(ISBLANK(F43),0,1)))</f>
        <v>1</v>
      </c>
      <c r="C43" s="157" t="n">
        <v>9</v>
      </c>
      <c r="D43" s="158" t="n">
        <v>349</v>
      </c>
      <c r="E43" s="125" t="n">
        <v>27.7</v>
      </c>
      <c r="F43" s="126" t="n">
        <v>4.784</v>
      </c>
      <c r="G43" s="127" t="n">
        <v>36.243</v>
      </c>
      <c r="H43" s="125" t="n">
        <v>20</v>
      </c>
      <c r="I43" s="125" t="n">
        <v>20.9</v>
      </c>
      <c r="J43" s="128" t="n">
        <v>118.69</v>
      </c>
      <c r="K43" s="129" t="n">
        <f aca="false">IF(ISBLANK(E43),"",(0.000824493-(0.0000040899*E43)+(0.000000076438*E43^2)-(0.00000000082467*E43^3)+(0.0000000000053875*E43^4)))</f>
        <v>0.000755497206216729</v>
      </c>
      <c r="L43" s="129" t="n">
        <f aca="false">IF(ISBLANK(E43),"",(-0.00000572466+(0.00000010227*E43)-(0.0000000016546*E43^2)))</f>
        <v>-4.161339034E-006</v>
      </c>
      <c r="M43" s="129" t="n">
        <f aca="false">IF(ISBLANK(E43),"",IF(ISBLANK(G43),(O43+(K43*35)+(L43*35^1.5)+(0.00000048314*35^2)),(O43+(K43*G43)+(L43*G43^1.5)+(0.00000048314*G43^2))))</f>
        <v>1.02343008220269</v>
      </c>
      <c r="N43" s="130" t="n">
        <f aca="false">IF(ISBLANK(D43),"",IF(ISBLANK(G43),J43*(1+0.00001*(35-20)),J43*(1+0.00001*(G43-20))))</f>
        <v>118.7092788167</v>
      </c>
      <c r="O43" s="129" t="n">
        <f aca="false">IF(ISBLANK(E43),"",(0.999842594+(0.00006793952*E43)-(0.00000909529*E43^2)+(0.0000001001685*E43^3)-(0.000000001120083*E43^4)+(0.000000000006536332*E43^5)))</f>
        <v>0.996321931391658</v>
      </c>
      <c r="P43" s="131" t="n">
        <v>4.574</v>
      </c>
      <c r="Q43" s="132" t="n">
        <v>4.47</v>
      </c>
      <c r="R43" s="133" t="n">
        <v>204.3</v>
      </c>
      <c r="S43" s="133" t="n">
        <v>199.6</v>
      </c>
      <c r="T43" s="32" t="n">
        <v>0</v>
      </c>
      <c r="U43" s="32" t="n">
        <v>0</v>
      </c>
      <c r="V43" s="134" t="n">
        <v>0.1</v>
      </c>
      <c r="W43" s="134" t="n">
        <v>0</v>
      </c>
      <c r="X43" s="134" t="n">
        <v>0</v>
      </c>
      <c r="Y43" s="134" t="n">
        <v>0</v>
      </c>
      <c r="Z43" s="32" t="n">
        <v>0.13</v>
      </c>
      <c r="AA43" s="32" t="n">
        <v>0.12</v>
      </c>
      <c r="AB43" s="134" t="n">
        <v>0.6</v>
      </c>
      <c r="AC43" s="170" t="n">
        <v>0.6</v>
      </c>
      <c r="AD43" s="159" t="n">
        <v>0.0051</v>
      </c>
      <c r="AE43" s="159" t="n">
        <v>0.0072</v>
      </c>
      <c r="AF43" s="159" t="n">
        <v>-99999</v>
      </c>
      <c r="AG43" s="159" t="n">
        <v>0.0032</v>
      </c>
      <c r="AH43" s="159" t="n">
        <v>0.0028</v>
      </c>
      <c r="AI43" s="159" t="n">
        <v>-99999</v>
      </c>
      <c r="AJ43" s="159" t="n">
        <v>-99999</v>
      </c>
      <c r="AK43" s="159" t="n">
        <v>0.0005</v>
      </c>
      <c r="AL43" s="159" t="n">
        <v>0.0161</v>
      </c>
      <c r="AM43" s="159" t="n">
        <v>0.0029</v>
      </c>
      <c r="AN43" s="159" t="n">
        <v>-99999</v>
      </c>
      <c r="AO43" s="159" t="n">
        <v>-99999</v>
      </c>
      <c r="AP43" s="159" t="n">
        <v>0.069</v>
      </c>
      <c r="AQ43" s="159"/>
      <c r="AR43" s="159" t="n">
        <v>0.0026</v>
      </c>
      <c r="AS43" s="159" t="n">
        <v>0.0049</v>
      </c>
      <c r="AT43" s="159"/>
      <c r="AU43" s="159" t="n">
        <v>0.0111</v>
      </c>
      <c r="AV43" s="159" t="n">
        <v>-99999</v>
      </c>
      <c r="AW43" s="159"/>
      <c r="AX43" s="159" t="n">
        <v>0.043</v>
      </c>
      <c r="AY43" s="159" t="n">
        <v>0.056</v>
      </c>
      <c r="AZ43" s="159"/>
      <c r="BA43" s="159" t="n">
        <v>-99999</v>
      </c>
      <c r="BB43" s="136"/>
    </row>
    <row r="44" customFormat="false" ht="15" hidden="false" customHeight="false" outlineLevel="0" collapsed="false">
      <c r="A44" s="108" t="n">
        <f aca="false">IF(ISBLANK(VLOOKUP(D44,'Volumes flacons'!A5:C623,3)),0,1)</f>
        <v>1</v>
      </c>
      <c r="B44" s="109" t="n">
        <f aca="false">IF(ISBLANK(D44),0,IF(ISBLANK(E44),0,IF(ISBLANK(F44),0,1)))</f>
        <v>1</v>
      </c>
      <c r="C44" s="157" t="n">
        <v>10</v>
      </c>
      <c r="D44" s="158" t="n">
        <v>353</v>
      </c>
      <c r="E44" s="125" t="n">
        <v>27.8</v>
      </c>
      <c r="F44" s="126" t="n">
        <v>4.781</v>
      </c>
      <c r="G44" s="127" t="n">
        <v>36.244</v>
      </c>
      <c r="H44" s="125" t="n">
        <v>10</v>
      </c>
      <c r="I44" s="125" t="n">
        <v>10.1</v>
      </c>
      <c r="J44" s="128" t="n">
        <v>118.58</v>
      </c>
      <c r="K44" s="129" t="n">
        <f aca="false">IF(ISBLANK(E44),"",(0.000824493-(0.0000040899*E44)+(0.000000076438*E44^2)-(0.00000000082467*E44^3)+(0.0000000000053875*E44^4)))</f>
        <v>0.00075536798352758</v>
      </c>
      <c r="L44" s="129" t="n">
        <f aca="false">IF(ISBLANK(E44),"",(-0.00000572466+(0.00000010227*E44)-(0.0000000016546*E44^2)))</f>
        <v>-4.160295064E-006</v>
      </c>
      <c r="M44" s="129" t="n">
        <f aca="false">IF(ISBLANK(E44),"",IF(ISBLANK(G44),(O44+(K44*35)+(L44*35^1.5)+(0.00000048314*35^2)),(O44+(K44*G44)+(L44*G44^1.5)+(0.00000048314*G44^2))))</f>
        <v>1.02339819917401</v>
      </c>
      <c r="N44" s="130" t="n">
        <f aca="false">IF(ISBLANK(D44),"",IF(ISBLANK(G44),J44*(1+0.00001*(35-20)),J44*(1+0.00001*(G44-20))))</f>
        <v>118.5992621352</v>
      </c>
      <c r="O44" s="129" t="n">
        <f aca="false">IF(ISBLANK(E44),"",(0.999842594+(0.00006793952*E44)-(0.00000909529*E44^2)+(0.0000001001685*E44^3)-(0.000000001120083*E44^4)+(0.000000000006536332*E44^5)))</f>
        <v>0.996293751176097</v>
      </c>
      <c r="P44" s="131" t="n">
        <v>4.576</v>
      </c>
      <c r="Q44" s="132" t="n">
        <v>4.471</v>
      </c>
      <c r="R44" s="133" t="n">
        <v>204.4</v>
      </c>
      <c r="S44" s="133" t="n">
        <v>199.7</v>
      </c>
      <c r="T44" s="32" t="n">
        <v>0</v>
      </c>
      <c r="U44" s="32" t="n">
        <v>0</v>
      </c>
      <c r="V44" s="134" t="n">
        <v>0.1</v>
      </c>
      <c r="W44" s="134" t="n">
        <v>0</v>
      </c>
      <c r="X44" s="134" t="n">
        <v>0</v>
      </c>
      <c r="Y44" s="134" t="n">
        <v>0</v>
      </c>
      <c r="Z44" s="32" t="n">
        <v>0.11</v>
      </c>
      <c r="AA44" s="32" t="n">
        <v>0.11</v>
      </c>
      <c r="AB44" s="134" t="n">
        <v>0.6</v>
      </c>
      <c r="AC44" s="170" t="n">
        <v>0.6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" hidden="false" customHeight="false" outlineLevel="0" collapsed="false">
      <c r="A45" s="108" t="n">
        <f aca="false">IF(ISBLANK(VLOOKUP(D45,'Volumes flacons'!A5:C623,3)),0,1)</f>
        <v>1</v>
      </c>
      <c r="B45" s="109" t="n">
        <f aca="false">IF(ISBLANK(D45),0,IF(ISBLANK(E45),0,IF(ISBLANK(F45),0,1)))</f>
        <v>1</v>
      </c>
      <c r="C45" s="157" t="n">
        <v>11</v>
      </c>
      <c r="D45" s="158" t="n">
        <v>355</v>
      </c>
      <c r="E45" s="125" t="n">
        <v>27.7</v>
      </c>
      <c r="F45" s="126" t="n">
        <v>4.835</v>
      </c>
      <c r="G45" s="127" t="n">
        <v>36.244</v>
      </c>
      <c r="H45" s="125" t="n">
        <v>0</v>
      </c>
      <c r="I45" s="125" t="n">
        <v>2.3</v>
      </c>
      <c r="J45" s="128" t="n">
        <v>119.95</v>
      </c>
      <c r="K45" s="129" t="n">
        <f aca="false">IF(ISBLANK(E45),"",(0.000824493-(0.0000040899*E45)+(0.000000076438*E45^2)-(0.00000000082467*E45^3)+(0.0000000000053875*E45^4)))</f>
        <v>0.000755497206216729</v>
      </c>
      <c r="L45" s="129" t="n">
        <f aca="false">IF(ISBLANK(E45),"",(-0.00000572466+(0.00000010227*E45)-(0.0000000016546*E45^2)))</f>
        <v>-4.161339034E-006</v>
      </c>
      <c r="M45" s="129" t="n">
        <f aca="false">IF(ISBLANK(E45),"",IF(ISBLANK(G45),(O45+(K45*35)+(L45*35^1.5)+(0.00000048314*35^2)),(O45+(K45*G45)+(L45*G45^1.5)+(0.00000048314*G45^2))))</f>
        <v>1.02343083514276</v>
      </c>
      <c r="N45" s="130" t="n">
        <f aca="false">IF(ISBLANK(D45),"",IF(ISBLANK(G45),J45*(1+0.00001*(35-20)),J45*(1+0.00001*(G45-20))))</f>
        <v>119.969484678</v>
      </c>
      <c r="O45" s="129" t="n">
        <f aca="false">IF(ISBLANK(E45),"",(0.999842594+(0.00006793952*E45)-(0.00000909529*E45^2)+(0.0000001001685*E45^3)-(0.000000001120083*E45^4)+(0.000000000006536332*E45^5)))</f>
        <v>0.996321931391658</v>
      </c>
      <c r="P45" s="131" t="n">
        <v>4.574</v>
      </c>
      <c r="Q45" s="132" t="n">
        <v>4.469</v>
      </c>
      <c r="R45" s="133" t="n">
        <v>204.3</v>
      </c>
      <c r="S45" s="133" t="n">
        <v>199.6</v>
      </c>
      <c r="T45" s="32" t="n">
        <v>0.01</v>
      </c>
      <c r="U45" s="32" t="n">
        <v>0.01</v>
      </c>
      <c r="V45" s="134" t="n">
        <v>0</v>
      </c>
      <c r="W45" s="134" t="n">
        <v>0</v>
      </c>
      <c r="X45" s="134" t="n">
        <v>0</v>
      </c>
      <c r="Y45" s="134" t="n">
        <v>0</v>
      </c>
      <c r="Z45" s="32" t="n">
        <v>0.11</v>
      </c>
      <c r="AA45" s="32" t="n">
        <v>0.11</v>
      </c>
      <c r="AB45" s="134" t="n">
        <v>0.6</v>
      </c>
      <c r="AC45" s="170" t="n">
        <v>0.6</v>
      </c>
      <c r="AD45" s="159" t="n">
        <v>0.0009</v>
      </c>
      <c r="AE45" s="159" t="n">
        <v>0.0031</v>
      </c>
      <c r="AF45" s="159" t="n">
        <v>-99999</v>
      </c>
      <c r="AG45" s="159" t="n">
        <v>-99999</v>
      </c>
      <c r="AH45" s="159" t="n">
        <v>-99999</v>
      </c>
      <c r="AI45" s="159" t="n">
        <v>-99999</v>
      </c>
      <c r="AJ45" s="159" t="n">
        <v>-99999</v>
      </c>
      <c r="AK45" s="159" t="n">
        <v>-99999</v>
      </c>
      <c r="AL45" s="159" t="n">
        <v>0.002</v>
      </c>
      <c r="AM45" s="159" t="n">
        <v>0.0011</v>
      </c>
      <c r="AN45" s="159" t="n">
        <v>-99999</v>
      </c>
      <c r="AO45" s="159" t="n">
        <v>-99999</v>
      </c>
      <c r="AP45" s="159" t="n">
        <v>0.0802</v>
      </c>
      <c r="AQ45" s="159"/>
      <c r="AR45" s="159" t="n">
        <v>-99999</v>
      </c>
      <c r="AS45" s="159" t="n">
        <v>0.0037</v>
      </c>
      <c r="AT45" s="159"/>
      <c r="AU45" s="159" t="n">
        <v>0.0089</v>
      </c>
      <c r="AV45" s="159" t="n">
        <v>-99999</v>
      </c>
      <c r="AW45" s="159"/>
      <c r="AX45" s="159" t="n">
        <v>0.036</v>
      </c>
      <c r="AY45" s="159" t="n">
        <v>0.0182</v>
      </c>
      <c r="AZ45" s="159"/>
      <c r="BA45" s="159" t="n">
        <v>-99999</v>
      </c>
      <c r="BB45" s="136"/>
    </row>
    <row r="46" customFormat="false" ht="15" hidden="false" customHeight="false" outlineLevel="0" collapsed="false">
      <c r="A46" s="108" t="n">
        <f aca="false">IF(ISBLANK(VLOOKUP(D46,'Volumes flacons'!A5:C623,3)),0,1)</f>
        <v>1</v>
      </c>
      <c r="B46" s="109" t="n">
        <f aca="false">IF(ISBLANK(D46),0,IF(ISBLANK(E46),0,IF(ISBLANK(F46),0,1)))</f>
        <v>0</v>
      </c>
      <c r="C46" s="157" t="n">
        <v>12</v>
      </c>
      <c r="D46" s="158"/>
      <c r="E46" s="125"/>
      <c r="F46" s="126"/>
      <c r="G46" s="127"/>
      <c r="H46" s="125"/>
      <c r="I46" s="125"/>
      <c r="J46" s="128" t="str">
        <f aca="false">IF(ISBLANK(D46),"",IF(VLOOKUP(D46,'Volumes flacons'!$A$5:$C$623,2)=0,"",IF(D46&gt;'Volumes flacons'!$A$623,"Mauvais numéro",IF(D46&lt;'Volumes flacons'!$A$5,"Mauvais numéro",(VLOOKUP(D46,'Volumes flacons'!$A$5:$C$623,3))))))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Flac.",P46*M46)))))))))</f>
        <v/>
      </c>
      <c r="R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69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08" t="n">
        <f aca="false">IF(ISBLANK(VLOOKUP(D47,'Volumes flacons'!A5:C623,3)),0,1)</f>
        <v>1</v>
      </c>
      <c r="B47" s="109" t="n">
        <f aca="false">IF(ISBLANK(D47),0,IF(ISBLANK(E47),0,IF(ISBLANK(F47),0,1)))</f>
        <v>0</v>
      </c>
      <c r="C47" s="157" t="n">
        <v>13</v>
      </c>
      <c r="D47" s="158"/>
      <c r="E47" s="125"/>
      <c r="F47" s="126"/>
      <c r="G47" s="127"/>
      <c r="H47" s="125"/>
      <c r="I47" s="125"/>
      <c r="J47" s="128" t="str">
        <f aca="false">IF(ISBLANK(D47),"",IF(VLOOKUP(D47,'Volumes flacons'!$A$5:$C$623,2)=0,"",IF(D47&gt;'Volumes flacons'!$A$623,"Mauvais numéro",IF(D47&lt;'Volumes flacons'!$A$5,"Mauvais numéro",(VLOOKUP(D47,'Volumes flacons'!$A$5:$C$623,3))))))</f>
        <v/>
      </c>
      <c r="K47" s="129" t="str">
        <f aca="false">IF(ISBLANK(E47),"",(0.000824493-(0.0000040899*E47)+(0.000000076438*E47^2)-(0.00000000082467*E47^3)+(0.0000000000053875*E47^4)))</f>
        <v/>
      </c>
      <c r="L47" s="129" t="str">
        <f aca="false">IF(ISBLANK(E47),"",(-0.00000572466+(0.00000010227*E47)-(0.0000000016546*E47^2)))</f>
        <v/>
      </c>
      <c r="M47" s="129" t="str">
        <f aca="false">IF(ISBLANK(E47),"",IF(ISBLANK(G47),(O47+(K47*35)+(L47*35^1.5)+(0.00000048314*35^2)),(O47+(K47*G47)+(L47*G47^1.5)+(0.00000048314*G47^2))))</f>
        <v/>
      </c>
      <c r="N47" s="130" t="str">
        <f aca="false">IF(ISBLANK(D47),"",IF(ISBLANK(G47),J47*(1+0.00001*(35-20)),J47*(1+0.00001*(G47-20))))</f>
        <v/>
      </c>
      <c r="O47" s="129" t="str">
        <f aca="false">IF(ISBLANK(E47),"",(0.999842594+(0.00006793952*E47)-(0.00000909529*E47^2)+(0.0000001001685*E47^3)-(0.000000001120083*E47^4)+(0.000000000006536332*E47^5)))</f>
        <v/>
      </c>
      <c r="P47" s="13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Flac.",P47*M47)))))))))</f>
        <v/>
      </c>
      <c r="R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69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08" t="n">
        <f aca="false">IF(ISBLANK(VLOOKUP(D48,'Volumes flacons'!A5:C623,3)),0,1)</f>
        <v>1</v>
      </c>
      <c r="B48" s="109" t="n">
        <f aca="false">IF(ISBLANK(D48),0,IF(ISBLANK(E48),0,IF(ISBLANK(F48),0,1)))</f>
        <v>0</v>
      </c>
      <c r="C48" s="157" t="n">
        <v>14</v>
      </c>
      <c r="D48" s="158"/>
      <c r="E48" s="125"/>
      <c r="F48" s="126"/>
      <c r="G48" s="127"/>
      <c r="H48" s="125"/>
      <c r="I48" s="125"/>
      <c r="J48" s="128" t="str">
        <f aca="false">IF(ISBLANK(D48),"",IF(VLOOKUP(D48,'Volumes flacons'!$A$5:$C$623,2)=0,"",IF(D48&gt;'Volumes flacons'!$A$623,"Mauvais numéro",IF(D48&lt;'Volumes flacons'!$A$5,"Mauvais numéro",(VLOOKUP(D48,'Volumes flacons'!$A$5:$C$623,3))))))</f>
        <v/>
      </c>
      <c r="K48" s="129" t="str">
        <f aca="false">IF(ISBLANK(E48),"",(0.000824493-(0.0000040899*E48)+(0.000000076438*E48^2)-(0.00000000082467*E48^3)+(0.0000000000053875*E48^4)))</f>
        <v/>
      </c>
      <c r="L48" s="129" t="str">
        <f aca="false">IF(ISBLANK(E48),"",(-0.00000572466+(0.00000010227*E48)-(0.0000000016546*E48^2)))</f>
        <v/>
      </c>
      <c r="M48" s="129" t="str">
        <f aca="false">IF(ISBLANK(E48),"",IF(ISBLANK(G48),(O48+(K48*35)+(L48*35^1.5)+(0.00000048314*35^2)),(O48+(K48*G48)+(L48*G48^1.5)+(0.00000048314*G48^2))))</f>
        <v/>
      </c>
      <c r="N48" s="130" t="str">
        <f aca="false">IF(ISBLANK(D48),"",IF(ISBLANK(G48),J48*(1+0.00001*(35-20)),J48*(1+0.00001*(G48-20))))</f>
        <v/>
      </c>
      <c r="O48" s="129" t="str">
        <f aca="false">IF(ISBLANK(E48),"",(0.999842594+(0.00006793952*E48)-(0.00000909529*E48^2)+(0.0000001001685*E48^3)-(0.000000001120083*E48^4)+(0.000000000006536332*E48^5)))</f>
        <v/>
      </c>
      <c r="P48" s="13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Flac.",P48*M48)))))))))</f>
        <v/>
      </c>
      <c r="R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69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08" t="n">
        <f aca="false">IF(ISBLANK(VLOOKUP(D49,'Volumes flacons'!A5:C623,3)),0,1)</f>
        <v>1</v>
      </c>
      <c r="B49" s="109" t="n">
        <f aca="false">IF(ISBLANK(D49),0,IF(ISBLANK(E49),0,IF(ISBLANK(F49),0,1)))</f>
        <v>0</v>
      </c>
      <c r="C49" s="157" t="n">
        <v>15</v>
      </c>
      <c r="D49" s="158"/>
      <c r="E49" s="125"/>
      <c r="F49" s="126"/>
      <c r="G49" s="127"/>
      <c r="H49" s="125"/>
      <c r="I49" s="125"/>
      <c r="J49" s="128" t="str">
        <f aca="false">IF(ISBLANK(D49),"",IF(VLOOKUP(D49,'Volumes flacons'!$A$5:$C$623,2)=0,"",IF(D49&gt;'Volumes flacons'!$A$623,"Mauvais numéro",IF(D49&lt;'Volumes flacons'!$A$5,"Mauvais numéro",(VLOOKUP(D49,'Volumes flacons'!$A$5:$C$623,3))))))</f>
        <v/>
      </c>
      <c r="K49" s="129" t="str">
        <f aca="false">IF(ISBLANK(E49),"",(0.000824493-(0.0000040899*E49)+(0.000000076438*E49^2)-(0.00000000082467*E49^3)+(0.0000000000053875*E49^4)))</f>
        <v/>
      </c>
      <c r="L49" s="129" t="str">
        <f aca="false">IF(ISBLANK(E49),"",(-0.00000572466+(0.00000010227*E49)-(0.0000000016546*E49^2)))</f>
        <v/>
      </c>
      <c r="M49" s="129" t="str">
        <f aca="false">IF(ISBLANK(E49),"",IF(ISBLANK(G49),(O49+(K49*35)+(L49*35^1.5)+(0.00000048314*35^2)),(O49+(K49*G49)+(L49*G49^1.5)+(0.00000048314*G49^2))))</f>
        <v/>
      </c>
      <c r="N49" s="130" t="str">
        <f aca="false">IF(ISBLANK(D49),"",IF(ISBLANK(G49),J49*(1+0.00001*(35-20)),J49*(1+0.00001*(G49-20))))</f>
        <v/>
      </c>
      <c r="O49" s="129" t="str">
        <f aca="false">IF(ISBLANK(E49),"",(0.999842594+(0.00006793952*E49)-(0.00000909529*E49^2)+(0.0000001001685*E49^3)-(0.000000001120083*E49^4)+(0.000000000006536332*E49^5)))</f>
        <v/>
      </c>
      <c r="P49" s="13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Flac.",P49*M49)))))))))</f>
        <v/>
      </c>
      <c r="R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69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08" t="n">
        <f aca="false">IF(ISBLANK(VLOOKUP(D50,'Volumes flacons'!A5:C623,3)),0,1)</f>
        <v>1</v>
      </c>
      <c r="B50" s="109" t="n">
        <f aca="false">IF(ISBLANK(D50),0,IF(ISBLANK(E50),0,IF(ISBLANK(F50),0,1)))</f>
        <v>0</v>
      </c>
      <c r="C50" s="157" t="n">
        <v>16</v>
      </c>
      <c r="D50" s="158"/>
      <c r="E50" s="125"/>
      <c r="F50" s="126"/>
      <c r="G50" s="127"/>
      <c r="H50" s="125"/>
      <c r="I50" s="125"/>
      <c r="J50" s="128" t="str">
        <f aca="false">IF(ISBLANK(D50),"",IF(VLOOKUP(D50,'Volumes flacons'!$A$5:$C$623,2)=0,"",IF(D50&gt;'Volumes flacons'!$A$623,"Mauvais numéro",IF(D50&lt;'Volumes flacons'!$A$5,"Mauvais numéro",(VLOOKUP(D50,'Volumes flacons'!$A$5:$C$623,3))))))</f>
        <v/>
      </c>
      <c r="K50" s="129" t="str">
        <f aca="false">IF(ISBLANK(E50),"",(0.000824493-(0.0000040899*E50)+(0.000000076438*E50^2)-(0.00000000082467*E50^3)+(0.0000000000053875*E50^4)))</f>
        <v/>
      </c>
      <c r="L50" s="129" t="str">
        <f aca="false">IF(ISBLANK(E50),"",(-0.00000572466+(0.00000010227*E50)-(0.0000000016546*E50^2)))</f>
        <v/>
      </c>
      <c r="M50" s="129" t="str">
        <f aca="false">IF(ISBLANK(E50),"",IF(ISBLANK(G50),(O50+(K50*35)+(L50*35^1.5)+(0.00000048314*35^2)),(O50+(K50*G50)+(L50*G50^1.5)+(0.00000048314*G50^2))))</f>
        <v/>
      </c>
      <c r="N50" s="130" t="str">
        <f aca="false">IF(ISBLANK(D50),"",IF(ISBLANK(G50),J50*(1+0.00001*(35-20)),J50*(1+0.00001*(G50-20))))</f>
        <v/>
      </c>
      <c r="O50" s="129" t="str">
        <f aca="false">IF(ISBLANK(E50),"",(0.999842594+(0.00006793952*E50)-(0.00000909529*E50^2)+(0.0000001001685*E50^3)-(0.000000001120083*E50^4)+(0.000000000006536332*E50^5)))</f>
        <v/>
      </c>
      <c r="P50" s="13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Flac.",P50*M50)))))))))</f>
        <v/>
      </c>
      <c r="R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69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08" t="n">
        <f aca="false">IF(ISBLANK(VLOOKUP(D51,'Volumes flacons'!A5:C623,3)),0,1)</f>
        <v>1</v>
      </c>
      <c r="B51" s="109" t="n">
        <f aca="false">IF(ISBLANK(D51),0,IF(ISBLANK(E51),0,IF(ISBLANK(F51),0,1)))</f>
        <v>0</v>
      </c>
      <c r="C51" s="157" t="n">
        <v>17</v>
      </c>
      <c r="D51" s="158"/>
      <c r="E51" s="125"/>
      <c r="F51" s="126"/>
      <c r="G51" s="127"/>
      <c r="H51" s="125"/>
      <c r="I51" s="125"/>
      <c r="J51" s="128" t="str">
        <f aca="false">IF(ISBLANK(D51),"",IF(VLOOKUP(D51,'Volumes flacons'!$A$5:$C$623,2)=0,"",IF(D51&gt;'Volumes flacons'!$A$623,"Mauvais numéro",IF(D51&lt;'Volumes flacons'!$A$5,"Mauvais numéro",(VLOOKUP(D51,'Volumes flacons'!$A$5:$C$623,3))))))</f>
        <v/>
      </c>
      <c r="K51" s="129" t="str">
        <f aca="false">IF(ISBLANK(E51),"",(0.000824493-(0.0000040899*E51)+(0.000000076438*E51^2)-(0.00000000082467*E51^3)+(0.0000000000053875*E51^4)))</f>
        <v/>
      </c>
      <c r="L51" s="129" t="str">
        <f aca="false">IF(ISBLANK(E51),"",(-0.00000572466+(0.00000010227*E51)-(0.0000000016546*E51^2)))</f>
        <v/>
      </c>
      <c r="M51" s="129" t="str">
        <f aca="false">IF(ISBLANK(E51),"",IF(ISBLANK(G51),(O51+(K51*35)+(L51*35^1.5)+(0.00000048314*35^2)),(O51+(K51*G51)+(L51*G51^1.5)+(0.00000048314*G51^2))))</f>
        <v/>
      </c>
      <c r="N51" s="130" t="str">
        <f aca="false">IF(ISBLANK(D51),"",IF(ISBLANK(G51),J51*(1+0.00001*(35-20)),J51*(1+0.00001*(G51-20))))</f>
        <v/>
      </c>
      <c r="O51" s="129" t="str">
        <f aca="false">IF(ISBLANK(E51),"",(0.999842594+(0.00006793952*E51)-(0.00000909529*E51^2)+(0.0000001001685*E51^3)-(0.000000001120083*E51^4)+(0.000000000006536332*E51^5)))</f>
        <v/>
      </c>
      <c r="P51" s="13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Flac.",P51*M51)))))))))</f>
        <v/>
      </c>
      <c r="R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69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08" t="n">
        <f aca="false">IF(ISBLANK(VLOOKUP(D52,'Volumes flacons'!A5:C623,3)),0,1)</f>
        <v>1</v>
      </c>
      <c r="B52" s="109" t="n">
        <f aca="false">IF(ISBLANK(D52),0,IF(ISBLANK(E52),0,IF(ISBLANK(F52),0,1)))</f>
        <v>0</v>
      </c>
      <c r="C52" s="157" t="n">
        <v>18</v>
      </c>
      <c r="D52" s="158"/>
      <c r="E52" s="125"/>
      <c r="F52" s="126"/>
      <c r="G52" s="127"/>
      <c r="H52" s="125"/>
      <c r="I52" s="125"/>
      <c r="J52" s="128" t="str">
        <f aca="false">IF(ISBLANK(D52),"",IF(VLOOKUP(D52,'Volumes flacons'!$A$5:$C$623,2)=0,"",IF(D52&gt;'Volumes flacons'!$A$623,"Mauvais numéro",IF(D52&lt;'Volumes flacons'!$A$5,"Mauvais numéro",(VLOOKUP(D52,'Volumes flacons'!$A$5:$C$623,3))))))</f>
        <v/>
      </c>
      <c r="K52" s="129" t="str">
        <f aca="false">IF(ISBLANK(E52),"",(0.000824493-(0.0000040899*E52)+(0.000000076438*E52^2)-(0.00000000082467*E52^3)+(0.0000000000053875*E52^4)))</f>
        <v/>
      </c>
      <c r="L52" s="129" t="str">
        <f aca="false">IF(ISBLANK(E52),"",(-0.00000572466+(0.00000010227*E52)-(0.0000000016546*E52^2)))</f>
        <v/>
      </c>
      <c r="M52" s="129" t="str">
        <f aca="false">IF(ISBLANK(E52),"",IF(ISBLANK(G52),(O52+(K52*35)+(L52*35^1.5)+(0.00000048314*35^2)),(O52+(K52*G52)+(L52*G52^1.5)+(0.00000048314*G52^2))))</f>
        <v/>
      </c>
      <c r="N52" s="130" t="str">
        <f aca="false">IF(ISBLANK(D52),"",IF(ISBLANK(G52),J52*(1+0.00001*(35-20)),J52*(1+0.00001*(G52-20))))</f>
        <v/>
      </c>
      <c r="O52" s="129" t="str">
        <f aca="false">IF(ISBLANK(E52),"",(0.999842594+(0.00006793952*E52)-(0.00000909529*E52^2)+(0.0000001001685*E52^3)-(0.000000001120083*E52^4)+(0.000000000006536332*E52^5)))</f>
        <v/>
      </c>
      <c r="P52" s="13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Flac.",P52*M52)))))))))</f>
        <v/>
      </c>
      <c r="R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69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08" t="n">
        <f aca="false">IF(ISBLANK(VLOOKUP(D53,'Volumes flacons'!A5:C623,3)),0,1)</f>
        <v>1</v>
      </c>
      <c r="B53" s="109" t="n">
        <f aca="false">IF(ISBLANK(D53),0,IF(ISBLANK(E53),0,IF(ISBLANK(F53),0,1)))</f>
        <v>0</v>
      </c>
      <c r="C53" s="157" t="n">
        <v>19</v>
      </c>
      <c r="D53" s="158"/>
      <c r="E53" s="125"/>
      <c r="F53" s="126"/>
      <c r="G53" s="127"/>
      <c r="H53" s="125"/>
      <c r="I53" s="125"/>
      <c r="J53" s="128" t="str">
        <f aca="false">IF(ISBLANK(D53),"",IF(VLOOKUP(D53,'Volumes flacons'!$A$5:$C$623,2)=0,"",IF(D53&gt;'Volumes flacons'!$A$623,"Mauvais numéro",IF(D53&lt;'Volumes flacons'!$A$5,"Mauvais numéro",(VLOOKUP(D53,'Volumes flacons'!$A$5:$C$623,3))))))</f>
        <v/>
      </c>
      <c r="K53" s="129" t="str">
        <f aca="false">IF(ISBLANK(E53),"",(0.000824493-(0.0000040899*E53)+(0.000000076438*E53^2)-(0.00000000082467*E53^3)+(0.0000000000053875*E53^4)))</f>
        <v/>
      </c>
      <c r="L53" s="129" t="str">
        <f aca="false">IF(ISBLANK(E53),"",(-0.00000572466+(0.00000010227*E53)-(0.0000000016546*E53^2)))</f>
        <v/>
      </c>
      <c r="M53" s="129" t="str">
        <f aca="false">IF(ISBLANK(E53),"",IF(ISBLANK(G53),(O53+(K53*35)+(L53*35^1.5)+(0.00000048314*35^2)),(O53+(K53*G53)+(L53*G53^1.5)+(0.00000048314*G53^2))))</f>
        <v/>
      </c>
      <c r="N53" s="130" t="str">
        <f aca="false">IF(ISBLANK(D53),"",IF(ISBLANK(G53),J53*(1+0.00001*(35-20)),J53*(1+0.00001*(G53-20))))</f>
        <v/>
      </c>
      <c r="O53" s="129" t="str">
        <f aca="false">IF(ISBLANK(E53),"",(0.999842594+(0.00006793952*E53)-(0.00000909529*E53^2)+(0.0000001001685*E53^3)-(0.000000001120083*E53^4)+(0.000000000006536332*E53^5)))</f>
        <v/>
      </c>
      <c r="P53" s="13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Flac.",P53*M53)))))))))</f>
        <v/>
      </c>
      <c r="R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69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08" t="n">
        <f aca="false">IF(ISBLANK(VLOOKUP(D54,'Volumes flacons'!A5:C623,3)),0,1)</f>
        <v>1</v>
      </c>
      <c r="B54" s="109" t="n">
        <f aca="false">IF(ISBLANK(D54),0,IF(ISBLANK(E54),0,IF(ISBLANK(F54),0,1)))</f>
        <v>0</v>
      </c>
      <c r="C54" s="157" t="n">
        <v>20</v>
      </c>
      <c r="D54" s="158"/>
      <c r="E54" s="125"/>
      <c r="F54" s="126"/>
      <c r="G54" s="127"/>
      <c r="H54" s="125"/>
      <c r="I54" s="125"/>
      <c r="J54" s="128" t="str">
        <f aca="false">IF(ISBLANK(D54),"",IF(VLOOKUP(D54,'Volumes flacons'!$A$5:$C$623,2)=0,"",IF(D54&gt;'Volumes flacons'!$A$623,"Mauvais numéro",IF(D54&lt;'Volumes flacons'!$A$5,"Mauvais numéro",(VLOOKUP(D54,'Volumes flacons'!$A$5:$C$623,3))))))</f>
        <v/>
      </c>
      <c r="K54" s="129" t="str">
        <f aca="false">IF(ISBLANK(E54),"",(0.000824493-(0.0000040899*E54)+(0.000000076438*E54^2)-(0.00000000082467*E54^3)+(0.0000000000053875*E54^4)))</f>
        <v/>
      </c>
      <c r="L54" s="129" t="str">
        <f aca="false">IF(ISBLANK(E54),"",(-0.00000572466+(0.00000010227*E54)-(0.0000000016546*E54^2)))</f>
        <v/>
      </c>
      <c r="M54" s="129" t="str">
        <f aca="false">IF(ISBLANK(E54),"",IF(ISBLANK(G54),(O54+(K54*35)+(L54*35^1.5)+(0.00000048314*35^2)),(O54+(K54*G54)+(L54*G54^1.5)+(0.00000048314*G54^2))))</f>
        <v/>
      </c>
      <c r="N54" s="130" t="str">
        <f aca="false">IF(ISBLANK(D54),"",IF(ISBLANK(G54),J54*(1+0.00001*(35-20)),J54*(1+0.00001*(G54-20))))</f>
        <v/>
      </c>
      <c r="O54" s="129" t="str">
        <f aca="false">IF(ISBLANK(E54),"",(0.999842594+(0.00006793952*E54)-(0.00000909529*E54^2)+(0.0000001001685*E54^3)-(0.000000001120083*E54^4)+(0.000000000006536332*E54^5)))</f>
        <v/>
      </c>
      <c r="P54" s="13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Flac.",P54*M54)))))))))</f>
        <v/>
      </c>
      <c r="R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69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08" t="n">
        <f aca="false">IF(ISBLANK(VLOOKUP(D55,'Volumes flacons'!A5:C623,3)),0,1)</f>
        <v>1</v>
      </c>
      <c r="B55" s="109" t="n">
        <f aca="false">IF(ISBLANK(D55),0,IF(ISBLANK(E55),0,IF(ISBLANK(F55),0,1)))</f>
        <v>0</v>
      </c>
      <c r="C55" s="157" t="n">
        <v>21</v>
      </c>
      <c r="D55" s="158"/>
      <c r="E55" s="125"/>
      <c r="F55" s="126"/>
      <c r="G55" s="127"/>
      <c r="H55" s="125"/>
      <c r="I55" s="125"/>
      <c r="J55" s="128" t="str">
        <f aca="false">IF(ISBLANK(D55),"",IF(VLOOKUP(D55,'Volumes flacons'!$A$5:$C$623,2)=0,"",IF(D55&gt;'Volumes flacons'!$A$623,"Mauvais numéro",IF(D55&lt;'Volumes flacons'!$A$5,"Mauvais numéro",(VLOOKUP(D55,'Volumes flacons'!$A$5:$C$623,3))))))</f>
        <v/>
      </c>
      <c r="K55" s="129" t="str">
        <f aca="false">IF(ISBLANK(E55),"",(0.000824493-(0.0000040899*E55)+(0.000000076438*E55^2)-(0.00000000082467*E55^3)+(0.0000000000053875*E55^4)))</f>
        <v/>
      </c>
      <c r="L55" s="129" t="str">
        <f aca="false">IF(ISBLANK(E55),"",(-0.00000572466+(0.00000010227*E55)-(0.0000000016546*E55^2)))</f>
        <v/>
      </c>
      <c r="M55" s="129" t="str">
        <f aca="false">IF(ISBLANK(E55),"",IF(ISBLANK(G55),(O55+(K55*35)+(L55*35^1.5)+(0.00000048314*35^2)),(O55+(K55*G55)+(L55*G55^1.5)+(0.00000048314*G55^2))))</f>
        <v/>
      </c>
      <c r="N55" s="130" t="str">
        <f aca="false">IF(ISBLANK(D55),"",IF(ISBLANK(G55),J55*(1+0.00001*(35-20)),J55*(1+0.00001*(G55-20))))</f>
        <v/>
      </c>
      <c r="O55" s="129" t="str">
        <f aca="false">IF(ISBLANK(E55),"",(0.999842594+(0.00006793952*E55)-(0.00000909529*E55^2)+(0.0000001001685*E55^3)-(0.000000001120083*E55^4)+(0.000000000006536332*E55^5)))</f>
        <v/>
      </c>
      <c r="P55" s="13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Flac.",P55*M55)))))))))</f>
        <v/>
      </c>
      <c r="R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69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08" t="n">
        <f aca="false">IF(ISBLANK(VLOOKUP(D56,'Volumes flacons'!A5:C623,3)),0,1)</f>
        <v>1</v>
      </c>
      <c r="B56" s="109" t="n">
        <f aca="false">IF(ISBLANK(D56),0,IF(ISBLANK(E56),0,IF(ISBLANK(F56),0,1)))</f>
        <v>0</v>
      </c>
      <c r="C56" s="157" t="n">
        <v>22</v>
      </c>
      <c r="D56" s="158"/>
      <c r="E56" s="125"/>
      <c r="F56" s="126"/>
      <c r="G56" s="127"/>
      <c r="H56" s="125"/>
      <c r="I56" s="125"/>
      <c r="J56" s="128" t="str">
        <f aca="false">IF(ISBLANK(D56),"",IF(VLOOKUP(D56,'Volumes flacons'!$A$5:$C$623,2)=0,"",IF(D56&gt;'Volumes flacons'!$A$623,"Mauvais numéro",IF(D56&lt;'Volumes flacons'!$A$5,"Mauvais numéro",(VLOOKUP(D56,'Volumes flacons'!$A$5:$C$623,3))))))</f>
        <v/>
      </c>
      <c r="K56" s="129" t="str">
        <f aca="false">IF(ISBLANK(E56),"",(0.000824493-(0.0000040899*E56)+(0.000000076438*E56^2)-(0.00000000082467*E56^3)+(0.0000000000053875*E56^4)))</f>
        <v/>
      </c>
      <c r="L56" s="129" t="str">
        <f aca="false">IF(ISBLANK(E56),"",(-0.00000572466+(0.00000010227*E56)-(0.0000000016546*E56^2)))</f>
        <v/>
      </c>
      <c r="M56" s="129" t="str">
        <f aca="false">IF(ISBLANK(E56),"",IF(ISBLANK(G56),(O56+(K56*35)+(L56*35^1.5)+(0.00000048314*35^2)),(O56+(K56*G56)+(L56*G56^1.5)+(0.00000048314*G56^2))))</f>
        <v/>
      </c>
      <c r="N56" s="130" t="str">
        <f aca="false">IF(ISBLANK(D56),"",IF(ISBLANK(G56),J56*(1+0.00001*(35-20)),J56*(1+0.00001*(G56-20))))</f>
        <v/>
      </c>
      <c r="O56" s="129" t="str">
        <f aca="false">IF(ISBLANK(E56),"",(0.999842594+(0.00006793952*E56)-(0.00000909529*E56^2)+(0.0000001001685*E56^3)-(0.000000001120083*E56^4)+(0.000000000006536332*E56^5)))</f>
        <v/>
      </c>
      <c r="P56" s="13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Flac.",P56*M56)))))))))</f>
        <v/>
      </c>
      <c r="R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35"/>
      <c r="U56" s="135"/>
      <c r="V56" s="135"/>
      <c r="W56" s="135"/>
      <c r="X56" s="135"/>
      <c r="Y56" s="135"/>
      <c r="Z56" s="135"/>
      <c r="AA56" s="135"/>
      <c r="AB56" s="135"/>
      <c r="AC56" s="169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08" t="n">
        <f aca="false">IF(ISBLANK(VLOOKUP(D57,'Volumes flacons'!A5:C623,3)),0,1)</f>
        <v>1</v>
      </c>
      <c r="B57" s="109" t="n">
        <f aca="false">IF(ISBLANK(D57),0,IF(ISBLANK(E57),0,IF(ISBLANK(F57),0,1)))</f>
        <v>0</v>
      </c>
      <c r="C57" s="157" t="n">
        <v>23</v>
      </c>
      <c r="D57" s="158"/>
      <c r="E57" s="125"/>
      <c r="F57" s="126"/>
      <c r="G57" s="127"/>
      <c r="H57" s="125"/>
      <c r="I57" s="125"/>
      <c r="J57" s="128" t="str">
        <f aca="false">IF(ISBLANK(D57),"",IF(VLOOKUP(D57,'Volumes flacons'!$A$5:$C$623,2)=0,"",IF(D57&gt;'Volumes flacons'!$A$623,"Mauvais numéro",IF(D57&lt;'Volumes flacons'!$A$5,"Mauvais numéro",(VLOOKUP(D57,'Volumes flacons'!$A$5:$C$623,3))))))</f>
        <v/>
      </c>
      <c r="K57" s="129" t="str">
        <f aca="false">IF(ISBLANK(E57),"",(0.000824493-(0.0000040899*E57)+(0.000000076438*E57^2)-(0.00000000082467*E57^3)+(0.0000000000053875*E57^4)))</f>
        <v/>
      </c>
      <c r="L57" s="129" t="str">
        <f aca="false">IF(ISBLANK(E57),"",(-0.00000572466+(0.00000010227*E57)-(0.0000000016546*E57^2)))</f>
        <v/>
      </c>
      <c r="M57" s="129" t="str">
        <f aca="false">IF(ISBLANK(E57),"",IF(ISBLANK(G57),(O57+(K57*35)+(L57*35^1.5)+(0.00000048314*35^2)),(O57+(K57*G57)+(L57*G57^1.5)+(0.00000048314*G57^2))))</f>
        <v/>
      </c>
      <c r="N57" s="130" t="str">
        <f aca="false">IF(ISBLANK(D57),"",IF(ISBLANK(G57),J57*(1+0.00001*(35-20)),J57*(1+0.00001*(G57-20))))</f>
        <v/>
      </c>
      <c r="O57" s="129" t="str">
        <f aca="false">IF(ISBLANK(E57),"",(0.999842594+(0.00006793952*E57)-(0.00000909529*E57^2)+(0.0000001001685*E57^3)-(0.000000001120083*E57^4)+(0.000000000006536332*E57^5)))</f>
        <v/>
      </c>
      <c r="P57" s="13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Flac.",P57*M57)))))))))</f>
        <v/>
      </c>
      <c r="R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69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5.75" hidden="false" customHeight="false" outlineLevel="0" collapsed="false">
      <c r="A58" s="108" t="n">
        <f aca="false">IF(ISBLANK(VLOOKUP(D58,'Volumes flacons'!A5:C623,3)),0,1)</f>
        <v>1</v>
      </c>
      <c r="B58" s="109" t="n">
        <f aca="false">IF(ISBLANK(D58),0,IF(ISBLANK(E58),0,IF(ISBLANK(F58),0,1)))</f>
        <v>0</v>
      </c>
      <c r="C58" s="160" t="n">
        <v>24</v>
      </c>
      <c r="D58" s="161"/>
      <c r="E58" s="142"/>
      <c r="F58" s="143"/>
      <c r="G58" s="144"/>
      <c r="H58" s="142"/>
      <c r="I58" s="142"/>
      <c r="J58" s="145" t="str">
        <f aca="false">IF(ISBLANK(D58),"",IF(VLOOKUP(D58,'Volumes flacons'!$A$5:$C$623,2)=0,"",IF(D58&gt;'Volumes flacons'!$A$623,"Mauvais numéro",IF(D58&lt;'Volumes flacons'!$A$5,"Mauvais numéro",(VLOOKUP(D58,'Volumes flacons'!$A$5:$C$623,3))))))</f>
        <v/>
      </c>
      <c r="K58" s="146" t="str">
        <f aca="false">IF(ISBLANK(E58),"",(0.000824493-(0.0000040899*E58)+(0.000000076438*E58^2)-(0.00000000082467*E58^3)+(0.0000000000053875*E58^4)))</f>
        <v/>
      </c>
      <c r="L58" s="146" t="str">
        <f aca="false">IF(ISBLANK(E58),"",(-0.00000572466+(0.00000010227*E58)-(0.0000000016546*E58^2)))</f>
        <v/>
      </c>
      <c r="M58" s="146" t="str">
        <f aca="false">IF(ISBLANK(E58),"",IF(ISBLANK(G58),(O58+(K58*35)+(L58*35^1.5)+(0.00000048314*35^2)),(O58+(K58*G58)+(L58*G58^1.5)+(0.00000048314*G58^2))))</f>
        <v/>
      </c>
      <c r="N58" s="147" t="str">
        <f aca="false">IF(ISBLANK(D58),"",IF(ISBLANK(G58),J58*(1+0.00001*(35-20)),J58*(1+0.00001*(G58-20))))</f>
        <v/>
      </c>
      <c r="O58" s="146" t="str">
        <f aca="false">IF(ISBLANK(E58),"",(0.999842594+(0.00006793952*E58)-(0.00000909529*E58^2)+(0.0000001001685*E58^3)-(0.000000001120083*E58^4)+(0.000000000006536332*E58^5)))</f>
        <v/>
      </c>
      <c r="P58" s="14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4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Flac.",P58*M58)))))))))</f>
        <v/>
      </c>
      <c r="R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1"/>
      <c r="U58" s="151"/>
      <c r="V58" s="151"/>
      <c r="W58" s="151"/>
      <c r="X58" s="151"/>
      <c r="Y58" s="151"/>
      <c r="Z58" s="151"/>
      <c r="AA58" s="151"/>
      <c r="AB58" s="151"/>
      <c r="AC58" s="17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2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53" t="s">
        <v>146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9" activeCellId="1" sqref="Q10:R10 R9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66"/>
    <col collapsed="false" customWidth="true" hidden="false" outlineLevel="0" max="9" min="4" style="0" width="10.33"/>
    <col collapsed="false" customWidth="true" hidden="false" outlineLevel="0" max="10" min="10" style="0" width="10.66"/>
    <col collapsed="false" customWidth="true" hidden="true" outlineLevel="0" max="15" min="11" style="0" width="10.66"/>
    <col collapsed="false" customWidth="true" hidden="false" outlineLevel="0" max="16" min="16" style="0" width="10.66"/>
    <col collapsed="false" customWidth="true" hidden="false" outlineLevel="0" max="29" min="17" style="0" width="10.33"/>
    <col collapsed="false" customWidth="true" hidden="false" outlineLevel="0" max="30" min="30" style="0" width="15.44"/>
    <col collapsed="false" customWidth="true" hidden="false" outlineLevel="0" max="31" min="31" style="0" width="16.55"/>
    <col collapsed="false" customWidth="true" hidden="false" outlineLevel="0" max="33" min="33" style="0" width="26.11"/>
    <col collapsed="false" customWidth="true" hidden="false" outlineLevel="0" max="34" min="34" style="0" width="12.44"/>
    <col collapsed="false" customWidth="true" hidden="false" outlineLevel="0" max="35" min="35" style="0" width="13.55"/>
    <col collapsed="false" customWidth="true" hidden="false" outlineLevel="0" max="36" min="36" style="0" width="14.33"/>
    <col collapsed="false" customWidth="true" hidden="false" outlineLevel="0" max="37" min="37" style="0" width="19.89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33"/>
    <col collapsed="false" customWidth="true" hidden="false" outlineLevel="0" max="42" min="42" style="0" width="10.66"/>
    <col collapsed="false" customWidth="true" hidden="false" outlineLevel="0" max="43" min="43" style="0" width="6.3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8" min="48" style="0" width="13.55"/>
    <col collapsed="false" customWidth="true" hidden="false" outlineLevel="0" max="49" min="49" style="0" width="13.66"/>
    <col collapsed="false" customWidth="true" hidden="false" outlineLevel="0" max="50" min="50" style="0" width="19.67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33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40643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0" t="n">
        <v>0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3" t="str">
        <f aca="false">IF(ISBLANK(I10),"",IF(ISBLANK(J10),"",IF(P10=N10,L10&amp;N12,N12)))</f>
        <v>-23°0</v>
      </c>
      <c r="P10" s="29" t="s">
        <v>17</v>
      </c>
      <c r="Q10" s="0" t="n">
        <v>-23</v>
      </c>
      <c r="S10" s="34"/>
      <c r="T10" s="34"/>
    </row>
    <row r="11" customFormat="false" ht="13.8" hidden="false" customHeight="false" outlineLevel="0" collapsed="false">
      <c r="G11" s="35" t="s">
        <v>18</v>
      </c>
      <c r="H11" s="35"/>
      <c r="I11" s="36" t="s">
        <v>19</v>
      </c>
      <c r="J11" s="37" t="n">
        <v>40643</v>
      </c>
      <c r="K11" s="37"/>
      <c r="L11" s="37"/>
      <c r="M11" s="37"/>
      <c r="N11" s="38" t="str">
        <f aca="false">I9&amp;"°"&amp;J9</f>
        <v>0°0</v>
      </c>
      <c r="O11" s="39" t="n">
        <f aca="false">IF(P9=M10,-1,1)</f>
        <v>1</v>
      </c>
      <c r="P11" s="0" t="s">
        <v>153</v>
      </c>
      <c r="T11" s="40"/>
      <c r="U11" s="40"/>
      <c r="V11" s="5"/>
      <c r="W11" s="5"/>
    </row>
    <row r="12" customFormat="false" ht="13.8" hidden="false" customHeight="false" outlineLevel="0" collapsed="false">
      <c r="G12" s="35"/>
      <c r="H12" s="35"/>
      <c r="I12" s="41" t="s">
        <v>21</v>
      </c>
      <c r="J12" s="42" t="n">
        <v>0.25</v>
      </c>
      <c r="K12" s="42"/>
      <c r="L12" s="42"/>
      <c r="M12" s="42"/>
      <c r="N12" s="43" t="str">
        <f aca="false">I10&amp;"°"&amp;J10</f>
        <v>23°0</v>
      </c>
      <c r="O12" s="39" t="n">
        <f aca="false">IF(P10=N10,-1,1)</f>
        <v>-1</v>
      </c>
      <c r="T12" s="40"/>
      <c r="U12" s="40"/>
      <c r="V12" s="5"/>
      <c r="W12" s="5"/>
    </row>
    <row r="13" customFormat="false" ht="15" hidden="false" customHeight="false" outlineLevel="0" collapsed="false">
      <c r="C13" s="44" t="s">
        <v>22</v>
      </c>
      <c r="D13" s="44"/>
      <c r="E13" s="5"/>
      <c r="K13" s="45"/>
      <c r="L13" s="45"/>
      <c r="M13" s="45"/>
      <c r="N13" s="45"/>
      <c r="O13" s="45"/>
      <c r="P13" s="45"/>
      <c r="Q13" s="46"/>
    </row>
    <row r="14" customFormat="false" ht="15" hidden="false" customHeight="true" outlineLevel="0" collapsed="false">
      <c r="C14" s="47" t="s">
        <v>23</v>
      </c>
      <c r="D14" s="48"/>
      <c r="E14" s="48"/>
      <c r="F14" s="48"/>
      <c r="G14" s="48"/>
      <c r="H14" s="49"/>
      <c r="I14" s="49"/>
      <c r="J14" s="49"/>
      <c r="K14" s="48"/>
      <c r="L14" s="48"/>
      <c r="M14" s="48"/>
      <c r="N14" s="49"/>
      <c r="O14" s="50"/>
      <c r="P14" s="49"/>
      <c r="Q14" s="50" t="s">
        <v>24</v>
      </c>
      <c r="R14" s="51" t="n">
        <v>20.9</v>
      </c>
      <c r="S14" s="52" t="s">
        <v>25</v>
      </c>
    </row>
    <row r="15" customFormat="false" ht="14.25" hidden="false" customHeight="true" outlineLevel="0" collapsed="false">
      <c r="C15" s="53" t="s">
        <v>26</v>
      </c>
      <c r="D15" s="54"/>
      <c r="E15" s="54"/>
      <c r="F15" s="54"/>
      <c r="G15" s="54"/>
      <c r="H15" s="55"/>
      <c r="I15" s="55"/>
      <c r="J15" s="55"/>
      <c r="K15" s="54"/>
      <c r="L15" s="54"/>
      <c r="M15" s="54"/>
      <c r="N15" s="55"/>
      <c r="O15" s="56"/>
      <c r="P15" s="55"/>
      <c r="Q15" s="56" t="s">
        <v>27</v>
      </c>
      <c r="R15" s="57" t="n">
        <v>21.4</v>
      </c>
      <c r="S15" s="58" t="s">
        <v>25</v>
      </c>
    </row>
    <row r="16" customFormat="false" ht="15" hidden="false" customHeight="false" outlineLevel="0" collapsed="false">
      <c r="C16" s="53" t="s">
        <v>28</v>
      </c>
      <c r="D16" s="54"/>
      <c r="E16" s="54"/>
      <c r="F16" s="54"/>
      <c r="G16" s="54"/>
      <c r="H16" s="55"/>
      <c r="I16" s="55"/>
      <c r="J16" s="55"/>
      <c r="K16" s="54"/>
      <c r="L16" s="54"/>
      <c r="M16" s="54"/>
      <c r="N16" s="55"/>
      <c r="O16" s="56"/>
      <c r="P16" s="55"/>
      <c r="Q16" s="56" t="s">
        <v>29</v>
      </c>
      <c r="R16" s="59" t="n">
        <v>5.002</v>
      </c>
      <c r="S16" s="58" t="s">
        <v>30</v>
      </c>
    </row>
    <row r="17" customFormat="false" ht="15" hidden="false" customHeight="false" outlineLevel="0" collapsed="false">
      <c r="C17" s="60" t="s">
        <v>31</v>
      </c>
      <c r="D17" s="61"/>
      <c r="E17" s="61"/>
      <c r="F17" s="61"/>
      <c r="G17" s="61"/>
      <c r="H17" s="62"/>
      <c r="I17" s="62"/>
      <c r="J17" s="62"/>
      <c r="K17" s="61"/>
      <c r="L17" s="61"/>
      <c r="M17" s="61"/>
      <c r="N17" s="62"/>
      <c r="O17" s="63"/>
      <c r="P17" s="62"/>
      <c r="Q17" s="63" t="s">
        <v>32</v>
      </c>
      <c r="R17" s="64" t="n">
        <v>0.006</v>
      </c>
      <c r="S17" s="65" t="s">
        <v>30</v>
      </c>
    </row>
    <row r="18" customFormat="false" ht="14.25" hidden="true" customHeight="false" outlineLevel="0" collapsed="false">
      <c r="C18" s="66" t="s">
        <v>33</v>
      </c>
      <c r="D18" s="67"/>
      <c r="E18" s="67"/>
      <c r="F18" s="67"/>
      <c r="G18" s="67"/>
      <c r="H18" s="67"/>
      <c r="I18" s="67"/>
      <c r="J18" s="67"/>
      <c r="K18" s="68"/>
      <c r="L18" s="68"/>
      <c r="M18" s="68"/>
      <c r="N18" s="68"/>
      <c r="O18" s="69" t="s">
        <v>34</v>
      </c>
      <c r="P18" s="70" t="n">
        <f aca="false">(0.999842594+(0.00006793952*$R$14)-(0.00000909529*$R$14^2)+(0.0000001001685*$R$14^3)-(0.000000001120083*$R$14^4)+(0.000000000006536332*$R$14^5))</f>
        <v>0.998016437833564</v>
      </c>
      <c r="Q18" s="68"/>
      <c r="R18" s="6"/>
    </row>
    <row r="19" customFormat="false" ht="14.25" hidden="true" customHeight="false" outlineLevel="0" collapsed="false">
      <c r="C19" s="66" t="s">
        <v>35</v>
      </c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9" t="s">
        <v>36</v>
      </c>
      <c r="P19" s="70" t="n">
        <f aca="false">$P$24*($P$18/'Titre d''iodate'!E19)</f>
        <v>0.0199924954191464</v>
      </c>
      <c r="Q19" s="68" t="s">
        <v>13</v>
      </c>
      <c r="R19" s="6"/>
    </row>
    <row r="20" customFormat="false" ht="14.25" hidden="true" customHeight="false" outlineLevel="0" collapsed="false">
      <c r="C20" s="66" t="s">
        <v>37</v>
      </c>
      <c r="D20" s="67"/>
      <c r="E20" s="67"/>
      <c r="F20" s="67"/>
      <c r="G20" s="67"/>
      <c r="H20" s="67"/>
      <c r="I20" s="67"/>
      <c r="J20" s="67"/>
      <c r="K20" s="68"/>
      <c r="L20" s="68"/>
      <c r="M20" s="68"/>
      <c r="N20" s="68"/>
      <c r="O20" s="69" t="s">
        <v>38</v>
      </c>
      <c r="P20" s="70" t="n">
        <f aca="false">5+'Correction de volume'!G8</f>
        <v>5.00308998756</v>
      </c>
      <c r="Q20" s="68" t="s">
        <v>30</v>
      </c>
      <c r="R20" s="6"/>
    </row>
    <row r="21" customFormat="false" ht="14.25" hidden="true" customHeight="false" outlineLevel="0" collapsed="false">
      <c r="C21" s="66" t="s">
        <v>39</v>
      </c>
      <c r="D21" s="67"/>
      <c r="E21" s="67"/>
      <c r="F21" s="67"/>
      <c r="G21" s="67"/>
      <c r="H21" s="67"/>
      <c r="I21" s="67"/>
      <c r="J21" s="67"/>
      <c r="K21" s="68"/>
      <c r="L21" s="68"/>
      <c r="M21" s="68"/>
      <c r="N21" s="68"/>
      <c r="O21" s="69" t="s">
        <v>40</v>
      </c>
      <c r="P21" s="70" t="n">
        <f aca="false">P20*(1+0.00001*(R14-20))</f>
        <v>5.00313501536989</v>
      </c>
      <c r="Q21" s="68" t="s">
        <v>30</v>
      </c>
      <c r="R21" s="6"/>
    </row>
    <row r="22" customFormat="false" ht="14.25" hidden="true" customHeight="false" outlineLevel="0" collapsed="false">
      <c r="C22" s="66" t="s">
        <v>41</v>
      </c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9" t="s">
        <v>42</v>
      </c>
      <c r="P22" s="71" t="n">
        <f aca="false">$R$16*(1+0.00001*(20-$R$14))</f>
        <v>5.001954982</v>
      </c>
      <c r="Q22" s="68" t="s">
        <v>30</v>
      </c>
      <c r="R22" s="6"/>
    </row>
    <row r="23" customFormat="false" ht="14.25" hidden="true" customHeight="false" outlineLevel="0" collapsed="false">
      <c r="C23" s="66" t="s">
        <v>43</v>
      </c>
      <c r="D23" s="67"/>
      <c r="E23" s="67"/>
      <c r="F23" s="67"/>
      <c r="G23" s="67"/>
      <c r="H23" s="67"/>
      <c r="I23" s="67"/>
      <c r="J23" s="67"/>
      <c r="K23" s="68"/>
      <c r="L23" s="68"/>
      <c r="M23" s="68"/>
      <c r="N23" s="68"/>
      <c r="O23" s="69" t="s">
        <v>44</v>
      </c>
      <c r="P23" s="71" t="n">
        <f aca="false">$R$17*(1+0.00001*(20-$R$14))</f>
        <v>0.005999946</v>
      </c>
      <c r="Q23" s="68" t="s">
        <v>30</v>
      </c>
      <c r="R23" s="6"/>
    </row>
    <row r="24" customFormat="false" ht="14.25" hidden="true" customHeight="false" outlineLevel="0" collapsed="false">
      <c r="C24" s="66" t="s">
        <v>45</v>
      </c>
      <c r="D24" s="67"/>
      <c r="E24" s="67"/>
      <c r="F24" s="67"/>
      <c r="G24" s="67"/>
      <c r="H24" s="67"/>
      <c r="I24" s="67"/>
      <c r="J24" s="67"/>
      <c r="K24" s="68"/>
      <c r="L24" s="68"/>
      <c r="M24" s="68"/>
      <c r="N24" s="68"/>
      <c r="O24" s="69" t="s">
        <v>46</v>
      </c>
      <c r="P24" s="55" t="n">
        <f aca="false">MAX('Titre d''iodate'!F7:F10)</f>
        <v>0.0199962991701183</v>
      </c>
      <c r="Q24" s="68" t="s">
        <v>13</v>
      </c>
      <c r="R24" s="6"/>
    </row>
    <row r="25" customFormat="false" ht="14.25" hidden="true" customHeight="false" outlineLevel="0" collapsed="false">
      <c r="C25" s="66" t="s">
        <v>47</v>
      </c>
      <c r="D25" s="67"/>
      <c r="E25" s="67"/>
      <c r="F25" s="67"/>
      <c r="G25" s="67"/>
      <c r="H25" s="67"/>
      <c r="I25" s="67"/>
      <c r="J25" s="67"/>
      <c r="K25" s="68"/>
      <c r="L25" s="68"/>
      <c r="M25" s="68"/>
      <c r="N25" s="68"/>
      <c r="O25" s="69" t="s">
        <v>48</v>
      </c>
      <c r="P25" s="55" t="n">
        <f aca="false">IF(ISBLANK(R14),"",IF(ISBLANK(P21),"",IF(ISBLANK(R17),"",(($P$24*$P$18)/($P$22-$P$23)))))</f>
        <v>0.00399455862268807</v>
      </c>
      <c r="Q25" s="68" t="s">
        <v>13</v>
      </c>
      <c r="R25" s="6"/>
    </row>
    <row r="26" customFormat="false" ht="14.25" hidden="true" customHeight="false" outlineLevel="0" collapsed="false">
      <c r="C26" s="72" t="s">
        <v>49</v>
      </c>
      <c r="D26" s="73"/>
      <c r="E26" s="73"/>
      <c r="F26" s="73"/>
      <c r="G26" s="73"/>
      <c r="H26" s="73"/>
      <c r="I26" s="73"/>
      <c r="J26" s="73"/>
      <c r="K26" s="68"/>
      <c r="L26" s="68"/>
      <c r="M26" s="68"/>
      <c r="N26" s="68"/>
      <c r="O26" s="69" t="s">
        <v>50</v>
      </c>
      <c r="P26" s="55" t="n">
        <f aca="false">2+('Correction de volume'!G10+'Correction de volume'!G9)</f>
        <v>2.0163939508</v>
      </c>
      <c r="Q26" s="68" t="s">
        <v>30</v>
      </c>
      <c r="R26" s="6"/>
    </row>
    <row r="27" customFormat="false" ht="15" hidden="true" customHeight="false" outlineLevel="0" collapsed="false">
      <c r="C27" s="74"/>
      <c r="D27" s="75"/>
      <c r="E27" s="75"/>
      <c r="F27" s="75"/>
      <c r="G27" s="75"/>
      <c r="H27" s="75"/>
      <c r="I27" s="75"/>
      <c r="J27" s="75"/>
      <c r="K27" s="76"/>
      <c r="L27" s="76"/>
      <c r="M27" s="76"/>
      <c r="N27" s="76"/>
      <c r="O27" s="77" t="s">
        <v>51</v>
      </c>
      <c r="P27" s="62" t="n">
        <v>0.0017</v>
      </c>
      <c r="Q27" s="76"/>
      <c r="R27" s="78"/>
    </row>
    <row r="29" customFormat="false" ht="15" hidden="false" customHeight="false" outlineLevel="0" collapsed="false">
      <c r="E29" s="18" t="s">
        <v>52</v>
      </c>
      <c r="F29" s="18"/>
      <c r="G29" s="18"/>
      <c r="H29" s="18"/>
      <c r="I29" s="79" t="s">
        <v>53</v>
      </c>
      <c r="K29" s="80"/>
      <c r="L29" s="80"/>
      <c r="M29" s="80"/>
      <c r="N29" s="81"/>
      <c r="O29" s="80" t="s">
        <v>54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2"/>
      <c r="K30" s="17"/>
      <c r="L30" s="17"/>
      <c r="M30" s="17"/>
      <c r="N30" s="81"/>
      <c r="O30" s="81" t="s">
        <v>53</v>
      </c>
      <c r="P30" s="81"/>
    </row>
    <row r="31" customFormat="false" ht="15.75" hidden="false" customHeight="true" outlineLevel="0" collapsed="false">
      <c r="C31" s="83" t="s">
        <v>55</v>
      </c>
      <c r="D31" s="84" t="s">
        <v>56</v>
      </c>
      <c r="E31" s="84" t="s">
        <v>57</v>
      </c>
      <c r="F31" s="84" t="s">
        <v>58</v>
      </c>
      <c r="G31" s="84" t="s">
        <v>59</v>
      </c>
      <c r="H31" s="84" t="s">
        <v>60</v>
      </c>
      <c r="I31" s="84" t="s">
        <v>61</v>
      </c>
      <c r="J31" s="84" t="s">
        <v>62</v>
      </c>
      <c r="K31" s="84" t="s">
        <v>63</v>
      </c>
      <c r="L31" s="84" t="s">
        <v>64</v>
      </c>
      <c r="M31" s="84" t="s">
        <v>65</v>
      </c>
      <c r="N31" s="84" t="s">
        <v>66</v>
      </c>
      <c r="O31" s="84" t="s">
        <v>67</v>
      </c>
      <c r="P31" s="85" t="s">
        <v>68</v>
      </c>
      <c r="Q31" s="85"/>
      <c r="R31" s="85"/>
      <c r="S31" s="85"/>
      <c r="T31" s="86" t="s">
        <v>69</v>
      </c>
      <c r="U31" s="86"/>
      <c r="V31" s="86" t="s">
        <v>70</v>
      </c>
      <c r="W31" s="86"/>
      <c r="X31" s="86" t="s">
        <v>71</v>
      </c>
      <c r="Y31" s="86"/>
      <c r="Z31" s="86" t="s">
        <v>72</v>
      </c>
      <c r="AA31" s="86"/>
      <c r="AB31" s="173" t="s">
        <v>73</v>
      </c>
      <c r="AC31" s="173"/>
      <c r="AD31" s="88" t="s">
        <v>74</v>
      </c>
      <c r="AE31" s="88" t="s">
        <v>75</v>
      </c>
      <c r="AF31" s="88" t="s">
        <v>76</v>
      </c>
      <c r="AG31" s="89" t="s">
        <v>77</v>
      </c>
      <c r="AH31" s="88" t="s">
        <v>78</v>
      </c>
      <c r="AI31" s="88" t="s">
        <v>79</v>
      </c>
      <c r="AJ31" s="88" t="s">
        <v>80</v>
      </c>
      <c r="AK31" s="88" t="s">
        <v>81</v>
      </c>
      <c r="AL31" s="89" t="s">
        <v>82</v>
      </c>
      <c r="AM31" s="88" t="s">
        <v>83</v>
      </c>
      <c r="AN31" s="88" t="s">
        <v>84</v>
      </c>
      <c r="AO31" s="88" t="s">
        <v>85</v>
      </c>
      <c r="AP31" s="88" t="s">
        <v>86</v>
      </c>
      <c r="AQ31" s="88" t="s">
        <v>87</v>
      </c>
      <c r="AR31" s="89" t="s">
        <v>88</v>
      </c>
      <c r="AS31" s="89" t="s">
        <v>89</v>
      </c>
      <c r="AT31" s="89" t="s">
        <v>90</v>
      </c>
      <c r="AU31" s="88" t="s">
        <v>91</v>
      </c>
      <c r="AV31" s="88" t="s">
        <v>92</v>
      </c>
      <c r="AW31" s="90" t="s">
        <v>93</v>
      </c>
      <c r="AX31" s="88" t="s">
        <v>94</v>
      </c>
      <c r="AY31" s="88" t="s">
        <v>95</v>
      </c>
      <c r="AZ31" s="89" t="s">
        <v>96</v>
      </c>
      <c r="BA31" s="88" t="s">
        <v>97</v>
      </c>
      <c r="BB31" s="91" t="s">
        <v>98</v>
      </c>
    </row>
    <row r="32" customFormat="false" ht="15.75" hidden="false" customHeight="true" outlineLevel="0" collapsed="false"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5"/>
      <c r="Q32" s="85"/>
      <c r="R32" s="85"/>
      <c r="S32" s="85"/>
      <c r="T32" s="86"/>
      <c r="U32" s="86"/>
      <c r="V32" s="86"/>
      <c r="W32" s="86"/>
      <c r="X32" s="86"/>
      <c r="Y32" s="86"/>
      <c r="Z32" s="86"/>
      <c r="AA32" s="86"/>
      <c r="AB32" s="173"/>
      <c r="AC32" s="173"/>
      <c r="AD32" s="88"/>
      <c r="AE32" s="88"/>
      <c r="AF32" s="88"/>
      <c r="AG32" s="89"/>
      <c r="AH32" s="88"/>
      <c r="AI32" s="88"/>
      <c r="AJ32" s="88"/>
      <c r="AK32" s="88"/>
      <c r="AL32" s="89"/>
      <c r="AM32" s="88"/>
      <c r="AN32" s="88"/>
      <c r="AO32" s="88"/>
      <c r="AP32" s="88"/>
      <c r="AQ32" s="88"/>
      <c r="AR32" s="89"/>
      <c r="AS32" s="89"/>
      <c r="AT32" s="89"/>
      <c r="AU32" s="88"/>
      <c r="AV32" s="88"/>
      <c r="AW32" s="90"/>
      <c r="AX32" s="88"/>
      <c r="AY32" s="88"/>
      <c r="AZ32" s="89"/>
      <c r="BA32" s="88"/>
      <c r="BB32" s="91"/>
    </row>
    <row r="33" customFormat="false" ht="15.75" hidden="false" customHeight="true" outlineLevel="0" collapsed="false">
      <c r="C33" s="92" t="s">
        <v>99</v>
      </c>
      <c r="D33" s="93" t="s">
        <v>100</v>
      </c>
      <c r="E33" s="93" t="s">
        <v>25</v>
      </c>
      <c r="F33" s="94" t="s">
        <v>101</v>
      </c>
      <c r="G33" s="95"/>
      <c r="H33" s="94" t="s">
        <v>102</v>
      </c>
      <c r="I33" s="94" t="s">
        <v>102</v>
      </c>
      <c r="J33" s="94" t="s">
        <v>101</v>
      </c>
      <c r="K33" s="95"/>
      <c r="L33" s="95"/>
      <c r="M33" s="95"/>
      <c r="N33" s="95"/>
      <c r="O33" s="95"/>
      <c r="P33" s="96" t="s">
        <v>103</v>
      </c>
      <c r="Q33" s="96"/>
      <c r="R33" s="96" t="s">
        <v>104</v>
      </c>
      <c r="S33" s="96" t="s">
        <v>105</v>
      </c>
      <c r="T33" s="97" t="s">
        <v>106</v>
      </c>
      <c r="U33" s="97" t="s">
        <v>107</v>
      </c>
      <c r="V33" s="97" t="s">
        <v>108</v>
      </c>
      <c r="W33" s="97" t="s">
        <v>109</v>
      </c>
      <c r="X33" s="97" t="s">
        <v>110</v>
      </c>
      <c r="Y33" s="97" t="s">
        <v>111</v>
      </c>
      <c r="Z33" s="97" t="s">
        <v>112</v>
      </c>
      <c r="AA33" s="97" t="s">
        <v>113</v>
      </c>
      <c r="AB33" s="97" t="s">
        <v>114</v>
      </c>
      <c r="AC33" s="174" t="s">
        <v>115</v>
      </c>
      <c r="AD33" s="99" t="s">
        <v>116</v>
      </c>
      <c r="AE33" s="99" t="s">
        <v>117</v>
      </c>
      <c r="AF33" s="99" t="s">
        <v>118</v>
      </c>
      <c r="AG33" s="99" t="s">
        <v>119</v>
      </c>
      <c r="AH33" s="99" t="s">
        <v>120</v>
      </c>
      <c r="AI33" s="100" t="s">
        <v>121</v>
      </c>
      <c r="AJ33" s="99" t="s">
        <v>122</v>
      </c>
      <c r="AK33" s="100" t="s">
        <v>123</v>
      </c>
      <c r="AL33" s="99" t="s">
        <v>124</v>
      </c>
      <c r="AM33" s="99" t="s">
        <v>125</v>
      </c>
      <c r="AN33" s="99" t="s">
        <v>126</v>
      </c>
      <c r="AO33" s="99" t="s">
        <v>127</v>
      </c>
      <c r="AP33" s="99" t="s">
        <v>128</v>
      </c>
      <c r="AQ33" s="100" t="s">
        <v>129</v>
      </c>
      <c r="AR33" s="99" t="s">
        <v>130</v>
      </c>
      <c r="AS33" s="99" t="s">
        <v>131</v>
      </c>
      <c r="AT33" s="100" t="s">
        <v>132</v>
      </c>
      <c r="AU33" s="101" t="s">
        <v>133</v>
      </c>
      <c r="AV33" s="101" t="s">
        <v>134</v>
      </c>
      <c r="AW33" s="101" t="s">
        <v>135</v>
      </c>
      <c r="AX33" s="99" t="s">
        <v>136</v>
      </c>
      <c r="AY33" s="99" t="s">
        <v>137</v>
      </c>
      <c r="AZ33" s="99" t="s">
        <v>138</v>
      </c>
      <c r="BA33" s="99" t="s">
        <v>139</v>
      </c>
      <c r="BB33" s="102" t="s">
        <v>140</v>
      </c>
    </row>
    <row r="34" customFormat="false" ht="14.25" hidden="false" customHeight="true" outlineLevel="0" collapsed="false">
      <c r="C34" s="92"/>
      <c r="D34" s="93"/>
      <c r="E34" s="93"/>
      <c r="F34" s="94"/>
      <c r="G34" s="95"/>
      <c r="H34" s="94"/>
      <c r="I34" s="94"/>
      <c r="J34" s="94"/>
      <c r="K34" s="103"/>
      <c r="L34" s="103"/>
      <c r="M34" s="103"/>
      <c r="N34" s="104" t="s">
        <v>30</v>
      </c>
      <c r="O34" s="103"/>
      <c r="P34" s="104" t="s">
        <v>141</v>
      </c>
      <c r="Q34" s="104" t="s">
        <v>142</v>
      </c>
      <c r="R34" s="104" t="s">
        <v>143</v>
      </c>
      <c r="S34" s="104" t="s">
        <v>144</v>
      </c>
      <c r="T34" s="105" t="s">
        <v>143</v>
      </c>
      <c r="U34" s="105" t="s">
        <v>144</v>
      </c>
      <c r="V34" s="105" t="s">
        <v>143</v>
      </c>
      <c r="W34" s="105" t="s">
        <v>144</v>
      </c>
      <c r="X34" s="105" t="s">
        <v>143</v>
      </c>
      <c r="Y34" s="105" t="s">
        <v>144</v>
      </c>
      <c r="Z34" s="105" t="s">
        <v>143</v>
      </c>
      <c r="AA34" s="105" t="s">
        <v>144</v>
      </c>
      <c r="AB34" s="105" t="s">
        <v>143</v>
      </c>
      <c r="AC34" s="175" t="s">
        <v>144</v>
      </c>
      <c r="AD34" s="107" t="s">
        <v>145</v>
      </c>
      <c r="AE34" s="107" t="s">
        <v>145</v>
      </c>
      <c r="AF34" s="107" t="s">
        <v>145</v>
      </c>
      <c r="AG34" s="107" t="s">
        <v>145</v>
      </c>
      <c r="AH34" s="107" t="s">
        <v>145</v>
      </c>
      <c r="AI34" s="107" t="s">
        <v>145</v>
      </c>
      <c r="AJ34" s="107" t="s">
        <v>145</v>
      </c>
      <c r="AK34" s="107" t="s">
        <v>145</v>
      </c>
      <c r="AL34" s="107" t="s">
        <v>145</v>
      </c>
      <c r="AM34" s="107" t="s">
        <v>145</v>
      </c>
      <c r="AN34" s="107" t="s">
        <v>145</v>
      </c>
      <c r="AO34" s="107" t="s">
        <v>145</v>
      </c>
      <c r="AP34" s="107" t="s">
        <v>145</v>
      </c>
      <c r="AQ34" s="107" t="s">
        <v>145</v>
      </c>
      <c r="AR34" s="107" t="s">
        <v>145</v>
      </c>
      <c r="AS34" s="107" t="s">
        <v>145</v>
      </c>
      <c r="AT34" s="107" t="s">
        <v>145</v>
      </c>
      <c r="AU34" s="107" t="s">
        <v>145</v>
      </c>
      <c r="AV34" s="107" t="s">
        <v>145</v>
      </c>
      <c r="AW34" s="107" t="s">
        <v>145</v>
      </c>
      <c r="AX34" s="107" t="s">
        <v>145</v>
      </c>
      <c r="AY34" s="107" t="s">
        <v>145</v>
      </c>
      <c r="AZ34" s="107" t="s">
        <v>145</v>
      </c>
      <c r="BA34" s="107" t="s">
        <v>145</v>
      </c>
      <c r="BB34" s="107" t="s">
        <v>145</v>
      </c>
    </row>
    <row r="35" customFormat="false" ht="15" hidden="false" customHeight="false" outlineLevel="0" collapsed="false">
      <c r="A35" s="108" t="n">
        <f aca="false">IF(ISBLANK(VLOOKUP(D35,'Volumes flacons'!A5:C623,3)),0,1)</f>
        <v>1</v>
      </c>
      <c r="B35" s="109" t="n">
        <f aca="false">IF(ISBLANK(D35),0,IF(ISBLANK(E35),0,IF(ISBLANK(F35),0,1)))</f>
        <v>1</v>
      </c>
      <c r="C35" s="176" t="n">
        <v>1</v>
      </c>
      <c r="D35" s="156" t="n">
        <v>326</v>
      </c>
      <c r="E35" s="111" t="n">
        <v>10.3</v>
      </c>
      <c r="F35" s="112" t="n">
        <v>6.065</v>
      </c>
      <c r="G35" s="113" t="n">
        <v>34.964</v>
      </c>
      <c r="H35" s="111" t="n">
        <v>2000</v>
      </c>
      <c r="I35" s="111" t="n">
        <v>2020</v>
      </c>
      <c r="J35" s="114" t="n">
        <v>118.59</v>
      </c>
      <c r="K35" s="115" t="n">
        <f aca="false">IF(ISBLANK(E35),"",(0.000824493-(0.0000040899*E35)+(0.000000076438*E35^2)-(0.00000000082467*E35^3)+(0.0000000000053875*E35^4)))</f>
        <v>0.000789635835032049</v>
      </c>
      <c r="L35" s="115" t="n">
        <f aca="false">IF(ISBLANK(E35),"",(-0.00000572466+(0.00000010227*E35)-(0.0000000016546*E35^2)))</f>
        <v>-4.846815514E-006</v>
      </c>
      <c r="M35" s="115" t="n">
        <f aca="false">IF(ISBLANK(E35),"",IF(ISBLANK(G35),(O35+(K35*35)+(L35*35^1.5)+(0.00000048314*35^2)),(O35+(K35*G35)+(L35*G35^1.5)+(0.00000048314*G35^2))))</f>
        <v>1.02687246947209</v>
      </c>
      <c r="N35" s="116" t="n">
        <f aca="false">IF(ISBLANK(D35),"",IF(ISBLANK(G35),J35*(1+0.00001*(35-20)),J35*(1+0.00001*(G35-20))))</f>
        <v>118.6077458076</v>
      </c>
      <c r="O35" s="115" t="n">
        <f aca="false">IF(ISBLANK(E35),"",(0.999842594+(0.00006793952*E35)-(0.00000909529*E35^2)+(0.0000001001685*E35^3)-(0.000000001120083*E35^4)+(0.000000000006536332*E35^5)))</f>
        <v>0.999675059671578</v>
      </c>
      <c r="P35" s="117" t="n">
        <v>5.816</v>
      </c>
      <c r="Q35" s="118" t="n">
        <v>5.663</v>
      </c>
      <c r="R35" s="119" t="n">
        <v>259.7</v>
      </c>
      <c r="S35" s="119" t="n">
        <v>252.9</v>
      </c>
      <c r="T35" s="122"/>
      <c r="U35" s="122"/>
      <c r="V35" s="122"/>
      <c r="W35" s="163"/>
      <c r="X35" s="122"/>
      <c r="Y35" s="122"/>
      <c r="Z35" s="122"/>
      <c r="AA35" s="122"/>
      <c r="AB35" s="122"/>
      <c r="AC35" s="168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23"/>
    </row>
    <row r="36" customFormat="false" ht="15" hidden="false" customHeight="false" outlineLevel="0" collapsed="false">
      <c r="A36" s="108" t="n">
        <f aca="false">IF(ISBLANK(VLOOKUP(D36,'Volumes flacons'!A5:C623,3)),0,1)</f>
        <v>1</v>
      </c>
      <c r="B36" s="109" t="n">
        <f aca="false">IF(ISBLANK(D36),0,IF(ISBLANK(E36),0,IF(ISBLANK(F36),0,1)))</f>
        <v>1</v>
      </c>
      <c r="C36" s="157" t="n">
        <v>2</v>
      </c>
      <c r="D36" s="158" t="n">
        <v>333</v>
      </c>
      <c r="E36" s="125" t="n">
        <v>11.2</v>
      </c>
      <c r="F36" s="126" t="n">
        <v>3.763</v>
      </c>
      <c r="G36" s="127" t="n">
        <v>34.61</v>
      </c>
      <c r="H36" s="125" t="n">
        <v>1000</v>
      </c>
      <c r="I36" s="125" t="n">
        <v>1009</v>
      </c>
      <c r="J36" s="128" t="n">
        <v>117.98</v>
      </c>
      <c r="K36" s="129" t="n">
        <f aca="false">IF(ISBLANK(E36),"",(0.000824493-(0.0000040899*E36)+(0.000000076438*E36^2)-(0.00000000082467*E36^3)+(0.0000000000053875*E36^4)))</f>
        <v>0.00078720067410176</v>
      </c>
      <c r="L36" s="129" t="n">
        <f aca="false">IF(ISBLANK(E36),"",(-0.00000572466+(0.00000010227*E36)-(0.0000000016546*E36^2)))</f>
        <v>-4.786789024E-006</v>
      </c>
      <c r="M36" s="129" t="n">
        <f aca="false">IF(ISBLANK(E36),"",IF(ISBLANK(G36),(O36+(K36*35)+(L36*35^1.5)+(0.00000048314*35^2)),(O36+(K36*G36)+(L36*G36^1.5)+(0.00000048314*G36^2))))</f>
        <v>1.02643596026534</v>
      </c>
      <c r="N36" s="130" t="n">
        <f aca="false">IF(ISBLANK(D36),"",IF(ISBLANK(G36),J36*(1+0.00001*(35-20)),J36*(1+0.00001*(G36-20))))</f>
        <v>117.997236878</v>
      </c>
      <c r="O36" s="129" t="n">
        <f aca="false">IF(ISBLANK(E36),"",(0.999842594+(0.00006793952*E36)-(0.00000909529*E36^2)+(0.0000001001685*E36^3)-(0.000000001120083*E36^4)+(0.000000000006536332*E36^5)))</f>
        <v>0.999586860178949</v>
      </c>
      <c r="P36" s="131" t="n">
        <v>3.622</v>
      </c>
      <c r="Q36" s="132" t="n">
        <v>3.528</v>
      </c>
      <c r="R36" s="133" t="n">
        <v>161.7</v>
      </c>
      <c r="S36" s="133" t="n">
        <v>157.6</v>
      </c>
      <c r="T36" s="135"/>
      <c r="U36" s="135"/>
      <c r="V36" s="135"/>
      <c r="W36" s="165"/>
      <c r="X36" s="135"/>
      <c r="Y36" s="135"/>
      <c r="Z36" s="135"/>
      <c r="AA36" s="135"/>
      <c r="AB36" s="135"/>
      <c r="AC36" s="16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36"/>
    </row>
    <row r="37" customFormat="false" ht="15" hidden="false" customHeight="false" outlineLevel="0" collapsed="false">
      <c r="A37" s="108" t="n">
        <f aca="false">IF(ISBLANK(VLOOKUP(D37,'Volumes flacons'!A5:C623,3)),0,1)</f>
        <v>1</v>
      </c>
      <c r="B37" s="109" t="n">
        <f aca="false">IF(ISBLANK(D37),0,IF(ISBLANK(E37),0,IF(ISBLANK(F37),0,1)))</f>
        <v>1</v>
      </c>
      <c r="C37" s="157" t="n">
        <v>3</v>
      </c>
      <c r="D37" s="158" t="n">
        <v>334</v>
      </c>
      <c r="E37" s="125" t="n">
        <v>13.3</v>
      </c>
      <c r="F37" s="126" t="n">
        <v>3.006</v>
      </c>
      <c r="G37" s="127" t="n">
        <v>34.644</v>
      </c>
      <c r="H37" s="125" t="n">
        <v>500</v>
      </c>
      <c r="I37" s="125" t="n">
        <v>504.1</v>
      </c>
      <c r="J37" s="128" t="n">
        <v>117.64</v>
      </c>
      <c r="K37" s="129" t="n">
        <f aca="false">IF(ISBLANK(E37),"",(0.000824493-(0.0000040899*E37)+(0.000000076438*E37^2)-(0.00000000082467*E37^3)+(0.0000000000053875*E37^4)))</f>
        <v>0.000781846873928649</v>
      </c>
      <c r="L37" s="129" t="n">
        <f aca="false">IF(ISBLANK(E37),"",(-0.00000572466+(0.00000010227*E37)-(0.0000000016546*E37^2)))</f>
        <v>-4.657151194E-006</v>
      </c>
      <c r="M37" s="129" t="n">
        <f aca="false">IF(ISBLANK(E37),"",IF(ISBLANK(G37),(O37+(K37*35)+(L37*35^1.5)+(0.00000048314*35^2)),(O37+(K37*G37)+(L37*G37^1.5)+(0.00000048314*G37^2))))</f>
        <v>1.02605718014133</v>
      </c>
      <c r="N37" s="130" t="n">
        <f aca="false">IF(ISBLANK(D37),"",IF(ISBLANK(G37),J37*(1+0.00001*(35-20)),J37*(1+0.00001*(G37-20))))</f>
        <v>117.6572272016</v>
      </c>
      <c r="O37" s="129" t="n">
        <f aca="false">IF(ISBLANK(E37),"",(0.999842594+(0.00006793952*E37)-(0.00000909529*E37^2)+(0.0000001001685*E37^3)-(0.000000001120083*E37^4)+(0.000000000006536332*E37^5)))</f>
        <v>0.99934065655599</v>
      </c>
      <c r="P37" s="131" t="n">
        <v>2.899</v>
      </c>
      <c r="Q37" s="132" t="n">
        <v>2.825</v>
      </c>
      <c r="R37" s="133" t="n">
        <v>129.4</v>
      </c>
      <c r="S37" s="133" t="n">
        <v>126.2</v>
      </c>
      <c r="T37" s="135"/>
      <c r="U37" s="135"/>
      <c r="V37" s="135"/>
      <c r="W37" s="135"/>
      <c r="X37" s="135"/>
      <c r="Y37" s="135"/>
      <c r="Z37" s="135"/>
      <c r="AA37" s="135"/>
      <c r="AB37" s="135"/>
      <c r="AC37" s="16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36"/>
    </row>
    <row r="38" customFormat="false" ht="15" hidden="false" customHeight="false" outlineLevel="0" collapsed="false">
      <c r="A38" s="108" t="n">
        <f aca="false">IF(ISBLANK(VLOOKUP(D38,'Volumes flacons'!A5:C623,3)),0,1)</f>
        <v>1</v>
      </c>
      <c r="B38" s="109" t="n">
        <f aca="false">IF(ISBLANK(D38),0,IF(ISBLANK(E38),0,IF(ISBLANK(F38),0,1)))</f>
        <v>1</v>
      </c>
      <c r="C38" s="157" t="n">
        <v>4</v>
      </c>
      <c r="D38" s="158" t="n">
        <v>336</v>
      </c>
      <c r="E38" s="125" t="n">
        <v>20.3</v>
      </c>
      <c r="F38" s="126" t="n">
        <v>3.982</v>
      </c>
      <c r="G38" s="127" t="n">
        <v>35.995</v>
      </c>
      <c r="H38" s="125" t="n">
        <v>100</v>
      </c>
      <c r="I38" s="125" t="n">
        <v>100.5</v>
      </c>
      <c r="J38" s="128" t="n">
        <v>118.01</v>
      </c>
      <c r="K38" s="129" t="n">
        <f aca="false">IF(ISBLANK(E38),"",(0.000824493-(0.0000040899*E38)+(0.000000076438*E38^2)-(0.00000000082467*E38^3)+(0.0000000000053875*E38^4)))</f>
        <v>0.000766983544116549</v>
      </c>
      <c r="L38" s="129" t="n">
        <f aca="false">IF(ISBLANK(E38),"",(-0.00000572466+(0.00000010227*E38)-(0.0000000016546*E38^2)))</f>
        <v>-4.330423114E-006</v>
      </c>
      <c r="M38" s="129" t="n">
        <f aca="false">IF(ISBLANK(E38),"",IF(ISBLANK(G38),(O38+(K38*35)+(L38*35^1.5)+(0.00000048314*35^2)),(O38+(K38*G38)+(L38*G38^1.5)+(0.00000048314*G38^2))))</f>
        <v>1.02544233444788</v>
      </c>
      <c r="N38" s="130" t="n">
        <f aca="false">IF(ISBLANK(D38),"",IF(ISBLANK(G38),J38*(1+0.00001*(35-20)),J38*(1+0.00001*(G38-20))))</f>
        <v>118.0288756995</v>
      </c>
      <c r="O38" s="129" t="n">
        <f aca="false">IF(ISBLANK(E38),"",(0.999842594+(0.00006793952*E38)-(0.00000909529*E38^2)+(0.0000001001685*E38^3)-(0.000000001120083*E38^4)+(0.000000000006536332*E38^5)))</f>
        <v>0.998143962786074</v>
      </c>
      <c r="P38" s="131" t="n">
        <v>3.832</v>
      </c>
      <c r="Q38" s="132" t="n">
        <v>3.737</v>
      </c>
      <c r="R38" s="133" t="n">
        <v>171.1</v>
      </c>
      <c r="S38" s="133" t="n">
        <v>166.9</v>
      </c>
      <c r="T38" s="32" t="n">
        <v>0.1</v>
      </c>
      <c r="U38" s="32" t="n">
        <v>0.09</v>
      </c>
      <c r="V38" s="134" t="n">
        <v>9.3</v>
      </c>
      <c r="W38" s="134" t="n">
        <v>9.1</v>
      </c>
      <c r="X38" s="134" t="n">
        <v>9.2</v>
      </c>
      <c r="Y38" s="134" t="n">
        <v>9</v>
      </c>
      <c r="Z38" s="32" t="n">
        <v>0.71</v>
      </c>
      <c r="AA38" s="32" t="n">
        <v>0.69</v>
      </c>
      <c r="AB38" s="134" t="n">
        <v>3.5</v>
      </c>
      <c r="AC38" s="170" t="n">
        <v>3.4</v>
      </c>
      <c r="AD38" s="159" t="n">
        <v>0.0305</v>
      </c>
      <c r="AE38" s="159" t="n">
        <v>0.0198</v>
      </c>
      <c r="AF38" s="159" t="n">
        <v>0.0016</v>
      </c>
      <c r="AG38" s="159" t="n">
        <v>0.0365</v>
      </c>
      <c r="AH38" s="159" t="n">
        <v>0.0113</v>
      </c>
      <c r="AI38" s="159" t="n">
        <v>-99999</v>
      </c>
      <c r="AJ38" s="159" t="n">
        <v>-99999</v>
      </c>
      <c r="AK38" s="159" t="n">
        <v>-99999</v>
      </c>
      <c r="AL38" s="159" t="n">
        <v>0.0475</v>
      </c>
      <c r="AM38" s="159" t="n">
        <v>0.0029</v>
      </c>
      <c r="AN38" s="159" t="n">
        <v>0.0008</v>
      </c>
      <c r="AO38" s="159" t="n">
        <v>-99999</v>
      </c>
      <c r="AP38" s="159" t="n">
        <v>0.012</v>
      </c>
      <c r="AQ38" s="159"/>
      <c r="AR38" s="159" t="n">
        <v>0.0329</v>
      </c>
      <c r="AS38" s="159" t="n">
        <v>0.07</v>
      </c>
      <c r="AT38" s="159"/>
      <c r="AU38" s="159" t="n">
        <v>0.0222</v>
      </c>
      <c r="AV38" s="159" t="n">
        <v>-99999</v>
      </c>
      <c r="AW38" s="159"/>
      <c r="AX38" s="159" t="n">
        <v>0.0391</v>
      </c>
      <c r="AY38" s="159" t="n">
        <v>0.1387</v>
      </c>
      <c r="AZ38" s="159"/>
      <c r="BA38" s="159" t="n">
        <v>-99999</v>
      </c>
      <c r="BB38" s="136"/>
    </row>
    <row r="39" customFormat="false" ht="15" hidden="false" customHeight="false" outlineLevel="0" collapsed="false">
      <c r="A39" s="108" t="n">
        <f aca="false">IF(ISBLANK(VLOOKUP(D39,'Volumes flacons'!A5:C623,3)),0,1)</f>
        <v>1</v>
      </c>
      <c r="B39" s="109" t="n">
        <f aca="false">IF(ISBLANK(D39),0,IF(ISBLANK(E39),0,IF(ISBLANK(F39),0,1)))</f>
        <v>1</v>
      </c>
      <c r="C39" s="157" t="n">
        <v>5</v>
      </c>
      <c r="D39" s="158" t="n">
        <v>337</v>
      </c>
      <c r="E39" s="125" t="n">
        <v>22.6</v>
      </c>
      <c r="F39" s="126" t="n">
        <v>4.394</v>
      </c>
      <c r="G39" s="127" t="n">
        <v>36.388</v>
      </c>
      <c r="H39" s="125" t="n">
        <v>80</v>
      </c>
      <c r="I39" s="125" t="n">
        <v>81.3</v>
      </c>
      <c r="J39" s="128" t="n">
        <v>118.14</v>
      </c>
      <c r="K39" s="129" t="n">
        <f aca="false">IF(ISBLANK(E39),"",(0.000824493-(0.0000040899*E39)+(0.000000076438*E39^2)-(0.00000000082467*E39^3)+(0.0000000000053875*E39^4)))</f>
        <v>0.0007629888901799</v>
      </c>
      <c r="L39" s="129" t="n">
        <f aca="false">IF(ISBLANK(E39),"",(-0.00000572466+(0.00000010227*E39)-(0.0000000016546*E39^2)))</f>
        <v>-4.258461496E-006</v>
      </c>
      <c r="M39" s="129" t="n">
        <f aca="false">IF(ISBLANK(E39),"",IF(ISBLANK(G39),(O39+(K39*35)+(L39*35^1.5)+(0.00000048314*35^2)),(O39+(K39*G39)+(L39*G39^1.5)+(0.00000048314*G39^2))))</f>
        <v>1.02510373447269</v>
      </c>
      <c r="N39" s="130" t="n">
        <f aca="false">IF(ISBLANK(D39),"",IF(ISBLANK(G39),J39*(1+0.00001*(35-20)),J39*(1+0.00001*(G39-20))))</f>
        <v>118.1593607832</v>
      </c>
      <c r="O39" s="129" t="n">
        <f aca="false">IF(ISBLANK(E39),"",(0.999842594+(0.00006793952*E39)-(0.00000909529*E39^2)+(0.0000001001685*E39^3)-(0.000000001120083*E39^4)+(0.000000000006536332*E39^5)))</f>
        <v>0.99763511379082</v>
      </c>
      <c r="P39" s="131" t="n">
        <v>4.225</v>
      </c>
      <c r="Q39" s="132" t="n">
        <v>4.122</v>
      </c>
      <c r="R39" s="133" t="n">
        <v>188.7</v>
      </c>
      <c r="S39" s="133" t="n">
        <v>184.1</v>
      </c>
      <c r="T39" s="32" t="n">
        <v>0.23</v>
      </c>
      <c r="U39" s="32" t="n">
        <v>0.22</v>
      </c>
      <c r="V39" s="134" t="n">
        <v>3.9</v>
      </c>
      <c r="W39" s="134" t="n">
        <v>3.9</v>
      </c>
      <c r="X39" s="134" t="n">
        <v>3.7</v>
      </c>
      <c r="Y39" s="134" t="n">
        <v>3.6</v>
      </c>
      <c r="Z39" s="32" t="n">
        <v>0.41</v>
      </c>
      <c r="AA39" s="32" t="n">
        <v>0.4</v>
      </c>
      <c r="AB39" s="134" t="n">
        <v>1.8</v>
      </c>
      <c r="AC39" s="170" t="n">
        <v>1.8</v>
      </c>
      <c r="AD39" s="159" t="n">
        <v>0.039</v>
      </c>
      <c r="AE39" s="159" t="n">
        <v>0.0328</v>
      </c>
      <c r="AF39" s="159" t="n">
        <v>0.0022</v>
      </c>
      <c r="AG39" s="159" t="n">
        <v>0.0542</v>
      </c>
      <c r="AH39" s="159" t="n">
        <v>0.026</v>
      </c>
      <c r="AI39" s="159" t="n">
        <v>0.0046</v>
      </c>
      <c r="AJ39" s="159" t="n">
        <v>0.003</v>
      </c>
      <c r="AK39" s="159" t="n">
        <v>0.0027</v>
      </c>
      <c r="AL39" s="159" t="n">
        <v>0.0678</v>
      </c>
      <c r="AM39" s="159" t="n">
        <v>0.0048</v>
      </c>
      <c r="AN39" s="159" t="n">
        <v>0.0017</v>
      </c>
      <c r="AO39" s="159" t="n">
        <v>-99999</v>
      </c>
      <c r="AP39" s="159" t="n">
        <v>0.0398</v>
      </c>
      <c r="AQ39" s="159"/>
      <c r="AR39" s="159" t="n">
        <v>0.1834</v>
      </c>
      <c r="AS39" s="159" t="n">
        <v>-99999</v>
      </c>
      <c r="AT39" s="159"/>
      <c r="AU39" s="159" t="n">
        <v>0.0415</v>
      </c>
      <c r="AV39" s="159" t="n">
        <v>-99999</v>
      </c>
      <c r="AW39" s="159"/>
      <c r="AX39" s="159" t="n">
        <v>0.0859</v>
      </c>
      <c r="AY39" s="159" t="n">
        <v>0.2284</v>
      </c>
      <c r="AZ39" s="159"/>
      <c r="BA39" s="159" t="n">
        <v>-99999</v>
      </c>
      <c r="BB39" s="136"/>
    </row>
    <row r="40" customFormat="false" ht="15" hidden="false" customHeight="false" outlineLevel="0" collapsed="false">
      <c r="A40" s="108" t="n">
        <f aca="false">IF(ISBLANK(VLOOKUP(D40,'Volumes flacons'!A5:C623,3)),0,1)</f>
        <v>1</v>
      </c>
      <c r="B40" s="109" t="n">
        <f aca="false">IF(ISBLANK(D40),0,IF(ISBLANK(E40),0,IF(ISBLANK(F40),0,1)))</f>
        <v>1</v>
      </c>
      <c r="C40" s="157" t="n">
        <v>6</v>
      </c>
      <c r="D40" s="158" t="n">
        <v>339</v>
      </c>
      <c r="E40" s="125" t="n">
        <v>25.5</v>
      </c>
      <c r="F40" s="126" t="n">
        <v>4.8</v>
      </c>
      <c r="G40" s="127" t="n">
        <v>36.466</v>
      </c>
      <c r="H40" s="125" t="n">
        <v>60</v>
      </c>
      <c r="I40" s="125" t="n">
        <v>61.5</v>
      </c>
      <c r="J40" s="128" t="n">
        <v>116.25</v>
      </c>
      <c r="K40" s="129" t="n">
        <f aca="false">IF(ISBLANK(E40),"",(0.000824493-(0.0000040899*E40)+(0.000000076438*E40^2)-(0.00000000082467*E40^3)+(0.0000000000053875*E40^4)))</f>
        <v>0.000758508167002969</v>
      </c>
      <c r="L40" s="129" t="n">
        <f aca="false">IF(ISBLANK(E40),"",(-0.00000572466+(0.00000010227*E40)-(0.0000000016546*E40^2)))</f>
        <v>-4.19267865E-006</v>
      </c>
      <c r="M40" s="129" t="n">
        <f aca="false">IF(ISBLANK(E40),"",IF(ISBLANK(G40),(O40+(K40*35)+(L40*35^1.5)+(0.00000048314*35^2)),(O40+(K40*G40)+(L40*G40^1.5)+(0.00000048314*G40^2))))</f>
        <v>1.02429761074525</v>
      </c>
      <c r="N40" s="130" t="n">
        <f aca="false">IF(ISBLANK(D40),"",IF(ISBLANK(G40),J40*(1+0.00001*(35-20)),J40*(1+0.00001*(G40-20))))</f>
        <v>116.269141725</v>
      </c>
      <c r="O40" s="129" t="n">
        <f aca="false">IF(ISBLANK(E40),"",(0.999842594+(0.00006793952*E40)-(0.00000909529*E40^2)+(0.0000001001685*E40^3)-(0.000000001120083*E40^4)+(0.000000000006536332*E40^5)))</f>
        <v>0.996918646721861</v>
      </c>
      <c r="P40" s="131" t="n">
        <v>4.694</v>
      </c>
      <c r="Q40" s="132" t="n">
        <v>4.582</v>
      </c>
      <c r="R40" s="133" t="n">
        <v>209.6</v>
      </c>
      <c r="S40" s="133" t="n">
        <v>204.6</v>
      </c>
      <c r="T40" s="32" t="n">
        <v>0</v>
      </c>
      <c r="U40" s="32" t="n">
        <v>0</v>
      </c>
      <c r="V40" s="134" t="n">
        <v>0</v>
      </c>
      <c r="W40" s="134" t="n">
        <v>0</v>
      </c>
      <c r="X40" s="134" t="n">
        <v>0</v>
      </c>
      <c r="Y40" s="134" t="n">
        <v>0</v>
      </c>
      <c r="Z40" s="32" t="n">
        <v>0.15</v>
      </c>
      <c r="AA40" s="32" t="n">
        <v>0.15</v>
      </c>
      <c r="AB40" s="134" t="n">
        <v>1</v>
      </c>
      <c r="AC40" s="170" t="n">
        <v>1</v>
      </c>
      <c r="AD40" s="159" t="n">
        <v>0.039</v>
      </c>
      <c r="AE40" s="159" t="n">
        <v>0.0383</v>
      </c>
      <c r="AF40" s="159" t="n">
        <v>0.0077</v>
      </c>
      <c r="AG40" s="159" t="n">
        <v>0.0283</v>
      </c>
      <c r="AH40" s="159" t="n">
        <v>0.0134</v>
      </c>
      <c r="AI40" s="159" t="n">
        <v>0.0028</v>
      </c>
      <c r="AJ40" s="159" t="n">
        <v>0.0022</v>
      </c>
      <c r="AK40" s="159" t="n">
        <v>0.0019</v>
      </c>
      <c r="AL40" s="159" t="n">
        <v>0.0885</v>
      </c>
      <c r="AM40" s="159" t="n">
        <v>0.0072</v>
      </c>
      <c r="AN40" s="159" t="n">
        <v>0.002</v>
      </c>
      <c r="AO40" s="159" t="n">
        <v>-99999</v>
      </c>
      <c r="AP40" s="159" t="n">
        <v>0.1155</v>
      </c>
      <c r="AQ40" s="159"/>
      <c r="AR40" s="159" t="n">
        <v>0.0317</v>
      </c>
      <c r="AS40" s="159" t="n">
        <v>0.1035</v>
      </c>
      <c r="AT40" s="159"/>
      <c r="AU40" s="159" t="n">
        <v>0.0584</v>
      </c>
      <c r="AV40" s="159" t="n">
        <v>-99999</v>
      </c>
      <c r="AW40" s="159"/>
      <c r="AX40" s="159" t="n">
        <v>0.1896</v>
      </c>
      <c r="AY40" s="159" t="n">
        <v>0.3345</v>
      </c>
      <c r="AZ40" s="159"/>
      <c r="BA40" s="159" t="n">
        <v>-99999</v>
      </c>
      <c r="BB40" s="136"/>
    </row>
    <row r="41" customFormat="false" ht="15" hidden="false" customHeight="false" outlineLevel="0" collapsed="false">
      <c r="A41" s="108" t="n">
        <f aca="false">IF(ISBLANK(VLOOKUP(D41,'Volumes flacons'!A5:C623,3)),0,1)</f>
        <v>1</v>
      </c>
      <c r="B41" s="109" t="n">
        <f aca="false">IF(ISBLANK(D41),0,IF(ISBLANK(E41),0,IF(ISBLANK(F41),0,1)))</f>
        <v>1</v>
      </c>
      <c r="C41" s="157" t="n">
        <v>7</v>
      </c>
      <c r="D41" s="158" t="n">
        <v>340</v>
      </c>
      <c r="E41" s="125" t="n">
        <v>27.1</v>
      </c>
      <c r="F41" s="126" t="n">
        <v>4.904</v>
      </c>
      <c r="G41" s="127" t="n">
        <v>36.138</v>
      </c>
      <c r="H41" s="125" t="n">
        <v>40</v>
      </c>
      <c r="I41" s="125" t="n">
        <v>41.7</v>
      </c>
      <c r="J41" s="128" t="n">
        <v>117.73</v>
      </c>
      <c r="K41" s="129" t="n">
        <f aca="false">IF(ISBLANK(E41),"",(0.000824493-(0.0000040899*E41)+(0.000000076438*E41^2)-(0.00000000082467*E41^3)+(0.0000000000053875*E41^4)))</f>
        <v>0.000756286329317769</v>
      </c>
      <c r="L41" s="129" t="n">
        <f aca="false">IF(ISBLANK(E41),"",(-0.00000572466+(0.00000010227*E41)-(0.0000000016546*E41^2)))</f>
        <v>-4.168297786E-006</v>
      </c>
      <c r="M41" s="129" t="n">
        <f aca="false">IF(ISBLANK(E41),"",IF(ISBLANK(G41),(O41+(K41*35)+(L41*35^1.5)+(0.00000048314*35^2)),(O41+(K41*G41)+(L41*G41^1.5)+(0.00000048314*G41^2))))</f>
        <v>1.02354520110928</v>
      </c>
      <c r="N41" s="130" t="n">
        <f aca="false">IF(ISBLANK(D41),"",IF(ISBLANK(G41),J41*(1+0.00001*(35-20)),J41*(1+0.00001*(G41-20))))</f>
        <v>117.7489992674</v>
      </c>
      <c r="O41" s="129" t="n">
        <f aca="false">IF(ISBLANK(E41),"",(0.999842594+(0.00006793952*E41)-(0.00000909529*E41^2)+(0.0000001001685*E41^3)-(0.000000001120083*E41^4)+(0.000000000006536332*E41^5)))</f>
        <v>0.99648910092621</v>
      </c>
      <c r="P41" s="131" t="n">
        <v>4.734</v>
      </c>
      <c r="Q41" s="132" t="n">
        <v>4.625</v>
      </c>
      <c r="R41" s="133" t="n">
        <v>211.4</v>
      </c>
      <c r="S41" s="133" t="n">
        <v>206.6</v>
      </c>
      <c r="T41" s="32" t="n">
        <v>0</v>
      </c>
      <c r="U41" s="32" t="n">
        <v>0</v>
      </c>
      <c r="V41" s="134" t="n">
        <v>0</v>
      </c>
      <c r="W41" s="134" t="n">
        <v>0</v>
      </c>
      <c r="X41" s="134" t="n">
        <v>0</v>
      </c>
      <c r="Y41" s="134" t="n">
        <v>0</v>
      </c>
      <c r="Z41" s="32" t="n">
        <v>0.09</v>
      </c>
      <c r="AA41" s="32" t="n">
        <v>0.09</v>
      </c>
      <c r="AB41" s="134" t="n">
        <v>0.8</v>
      </c>
      <c r="AC41" s="170" t="n">
        <v>0.8</v>
      </c>
      <c r="AD41" s="159" t="n">
        <v>0.0172</v>
      </c>
      <c r="AE41" s="159" t="n">
        <v>0.0193</v>
      </c>
      <c r="AF41" s="159" t="n">
        <v>0.0078</v>
      </c>
      <c r="AG41" s="159" t="n">
        <v>0.0101</v>
      </c>
      <c r="AH41" s="159" t="n">
        <v>0.008</v>
      </c>
      <c r="AI41" s="159" t="n">
        <v>-99999</v>
      </c>
      <c r="AJ41" s="159" t="n">
        <v>-99999</v>
      </c>
      <c r="AK41" s="159" t="n">
        <v>0.0012</v>
      </c>
      <c r="AL41" s="159" t="n">
        <v>0.051</v>
      </c>
      <c r="AM41" s="159" t="n">
        <v>0.0058</v>
      </c>
      <c r="AN41" s="159" t="n">
        <v>-99999</v>
      </c>
      <c r="AO41" s="159" t="n">
        <v>-99999</v>
      </c>
      <c r="AP41" s="159" t="n">
        <v>0.1299</v>
      </c>
      <c r="AQ41" s="159"/>
      <c r="AR41" s="159" t="n">
        <v>0.0058</v>
      </c>
      <c r="AS41" s="159" t="n">
        <v>0.0186</v>
      </c>
      <c r="AT41" s="159"/>
      <c r="AU41" s="159" t="n">
        <v>0.027</v>
      </c>
      <c r="AV41" s="159" t="n">
        <v>-99999</v>
      </c>
      <c r="AW41" s="159"/>
      <c r="AX41" s="159" t="n">
        <v>0.0797</v>
      </c>
      <c r="AY41" s="159" t="n">
        <v>0.1842</v>
      </c>
      <c r="AZ41" s="159"/>
      <c r="BA41" s="159" t="n">
        <v>-99999</v>
      </c>
      <c r="BB41" s="136"/>
    </row>
    <row r="42" customFormat="false" ht="15" hidden="false" customHeight="false" outlineLevel="0" collapsed="false">
      <c r="A42" s="108" t="n">
        <f aca="false">IF(ISBLANK(VLOOKUP(D42,'Volumes flacons'!A5:C623,3)),0,1)</f>
        <v>1</v>
      </c>
      <c r="B42" s="109" t="n">
        <f aca="false">IF(ISBLANK(D42),0,IF(ISBLANK(E42),0,IF(ISBLANK(F42),0,1)))</f>
        <v>1</v>
      </c>
      <c r="C42" s="157" t="n">
        <v>8</v>
      </c>
      <c r="D42" s="158" t="n">
        <v>346</v>
      </c>
      <c r="E42" s="125" t="n">
        <v>27.1</v>
      </c>
      <c r="F42" s="126" t="n">
        <v>4.944</v>
      </c>
      <c r="G42" s="127" t="n">
        <v>36.132</v>
      </c>
      <c r="H42" s="125" t="n">
        <v>40</v>
      </c>
      <c r="I42" s="125" t="n">
        <v>41.7</v>
      </c>
      <c r="J42" s="128" t="n">
        <v>118.77</v>
      </c>
      <c r="K42" s="129" t="n">
        <f aca="false">IF(ISBLANK(E42),"",(0.000824493-(0.0000040899*E42)+(0.000000076438*E42^2)-(0.00000000082467*E42^3)+(0.0000000000053875*E42^4)))</f>
        <v>0.000756286329317769</v>
      </c>
      <c r="L42" s="129" t="n">
        <f aca="false">IF(ISBLANK(E42),"",(-0.00000572466+(0.00000010227*E42)-(0.0000000016546*E42^2)))</f>
        <v>-4.168297786E-006</v>
      </c>
      <c r="M42" s="129" t="n">
        <f aca="false">IF(ISBLANK(E42),"",IF(ISBLANK(G42),(O42+(K42*35)+(L42*35^1.5)+(0.00000048314*35^2)),(O42+(K42*G42)+(L42*G42^1.5)+(0.00000048314*G42^2))))</f>
        <v>1.02354067940186</v>
      </c>
      <c r="N42" s="130" t="n">
        <f aca="false">IF(ISBLANK(D42),"",IF(ISBLANK(G42),J42*(1+0.00001*(35-20)),J42*(1+0.00001*(G42-20))))</f>
        <v>118.7891599764</v>
      </c>
      <c r="O42" s="129" t="n">
        <f aca="false">IF(ISBLANK(E42),"",(0.999842594+(0.00006793952*E42)-(0.00000909529*E42^2)+(0.0000001001685*E42^3)-(0.000000001120083*E42^4)+(0.000000000006536332*E42^5)))</f>
        <v>0.99648910092621</v>
      </c>
      <c r="P42" s="131" t="n">
        <v>4.731</v>
      </c>
      <c r="Q42" s="132" t="n">
        <v>4.622</v>
      </c>
      <c r="R42" s="133" t="n">
        <v>211.3</v>
      </c>
      <c r="S42" s="133" t="n">
        <v>206.4</v>
      </c>
      <c r="T42" s="32" t="n">
        <v>0</v>
      </c>
      <c r="U42" s="32" t="n">
        <v>0</v>
      </c>
      <c r="V42" s="134" t="n">
        <v>0</v>
      </c>
      <c r="W42" s="134" t="n">
        <v>0</v>
      </c>
      <c r="X42" s="134" t="n">
        <v>0</v>
      </c>
      <c r="Y42" s="134" t="n">
        <v>0</v>
      </c>
      <c r="Z42" s="32" t="n">
        <v>0.07</v>
      </c>
      <c r="AA42" s="32" t="n">
        <v>0.07</v>
      </c>
      <c r="AB42" s="134" t="n">
        <v>0.8</v>
      </c>
      <c r="AC42" s="170" t="n">
        <v>0.8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36"/>
    </row>
    <row r="43" customFormat="false" ht="15" hidden="false" customHeight="false" outlineLevel="0" collapsed="false">
      <c r="A43" s="108" t="n">
        <f aca="false">IF(ISBLANK(VLOOKUP(D43,'Volumes flacons'!A5:C623,3)),0,1)</f>
        <v>1</v>
      </c>
      <c r="B43" s="109" t="n">
        <f aca="false">IF(ISBLANK(D43),0,IF(ISBLANK(E43),0,IF(ISBLANK(F43),0,1)))</f>
        <v>1</v>
      </c>
      <c r="C43" s="157" t="n">
        <v>9</v>
      </c>
      <c r="D43" s="158" t="n">
        <v>349</v>
      </c>
      <c r="E43" s="125" t="n">
        <v>27.4</v>
      </c>
      <c r="F43" s="126" t="n">
        <v>4.91</v>
      </c>
      <c r="G43" s="127" t="n">
        <v>35.87</v>
      </c>
      <c r="H43" s="125" t="n">
        <v>20</v>
      </c>
      <c r="I43" s="125" t="n">
        <v>21.4</v>
      </c>
      <c r="J43" s="128" t="n">
        <v>118.69</v>
      </c>
      <c r="K43" s="129" t="n">
        <f aca="false">IF(ISBLANK(E43),"",(0.000824493-(0.0000040899*E43)+(0.000000076438*E43^2)-(0.00000000082467*E43^3)+(0.0000000000053875*E43^4)))</f>
        <v>0.00075588880506374</v>
      </c>
      <c r="L43" s="129" t="n">
        <f aca="false">IF(ISBLANK(E43),"",(-0.00000572466+(0.00000010227*E43)-(0.0000000016546*E43^2)))</f>
        <v>-4.164669496E-006</v>
      </c>
      <c r="M43" s="129" t="n">
        <f aca="false">IF(ISBLANK(E43),"",IF(ISBLANK(G43),(O43+(K43*35)+(L43*35^1.5)+(0.00000048314*35^2)),(O43+(K43*G43)+(L43*G43^1.5)+(0.00000048314*G43^2))))</f>
        <v>1.02324659327452</v>
      </c>
      <c r="N43" s="130" t="n">
        <f aca="false">IF(ISBLANK(D43),"",IF(ISBLANK(G43),J43*(1+0.00001*(35-20)),J43*(1+0.00001*(G43-20))))</f>
        <v>118.708836103</v>
      </c>
      <c r="O43" s="129" t="n">
        <f aca="false">IF(ISBLANK(E43),"",(0.999842594+(0.00006793952*E43)-(0.00000909529*E43^2)+(0.0000001001685*E43^3)-(0.000000001120083*E43^4)+(0.000000000006536332*E43^5)))</f>
        <v>0.996405926771626</v>
      </c>
      <c r="P43" s="131" t="n">
        <v>4.701</v>
      </c>
      <c r="Q43" s="132" t="n">
        <v>4.594</v>
      </c>
      <c r="R43" s="133" t="n">
        <v>210</v>
      </c>
      <c r="S43" s="133" t="n">
        <v>205.2</v>
      </c>
      <c r="T43" s="32" t="n">
        <v>0</v>
      </c>
      <c r="U43" s="32" t="n">
        <v>0</v>
      </c>
      <c r="V43" s="134" t="n">
        <v>0</v>
      </c>
      <c r="W43" s="134" t="n">
        <v>0</v>
      </c>
      <c r="X43" s="134" t="n">
        <v>0</v>
      </c>
      <c r="Y43" s="134" t="n">
        <v>0</v>
      </c>
      <c r="Z43" s="32" t="n">
        <v>0.07</v>
      </c>
      <c r="AA43" s="32" t="n">
        <v>0.07</v>
      </c>
      <c r="AB43" s="134" t="n">
        <v>0.9</v>
      </c>
      <c r="AC43" s="170" t="n">
        <v>0.9</v>
      </c>
      <c r="AD43" s="159" t="n">
        <v>0.0131</v>
      </c>
      <c r="AE43" s="159" t="n">
        <v>0.0172</v>
      </c>
      <c r="AF43" s="159" t="n">
        <v>0.0082</v>
      </c>
      <c r="AG43" s="159" t="n">
        <v>0.009</v>
      </c>
      <c r="AH43" s="159" t="n">
        <v>0.0065</v>
      </c>
      <c r="AI43" s="159" t="n">
        <v>-99999</v>
      </c>
      <c r="AJ43" s="159" t="n">
        <v>-99999</v>
      </c>
      <c r="AK43" s="159" t="n">
        <v>0.0019</v>
      </c>
      <c r="AL43" s="159" t="n">
        <v>0.0416</v>
      </c>
      <c r="AM43" s="159" t="n">
        <v>0.0071</v>
      </c>
      <c r="AN43" s="159" t="n">
        <v>-99999</v>
      </c>
      <c r="AO43" s="159" t="n">
        <v>-99999</v>
      </c>
      <c r="AP43" s="159" t="n">
        <v>0.1219</v>
      </c>
      <c r="AQ43" s="159"/>
      <c r="AR43" s="159" t="n">
        <v>0.0043</v>
      </c>
      <c r="AS43" s="159" t="n">
        <v>0.017</v>
      </c>
      <c r="AT43" s="159"/>
      <c r="AU43" s="159" t="n">
        <v>0.0295</v>
      </c>
      <c r="AV43" s="159" t="n">
        <v>-99999</v>
      </c>
      <c r="AW43" s="159"/>
      <c r="AX43" s="159" t="n">
        <v>0.0681</v>
      </c>
      <c r="AY43" s="159" t="n">
        <v>0.2084</v>
      </c>
      <c r="AZ43" s="159"/>
      <c r="BA43" s="159" t="n">
        <v>-99999</v>
      </c>
      <c r="BB43" s="136"/>
    </row>
    <row r="44" customFormat="false" ht="15" hidden="false" customHeight="false" outlineLevel="0" collapsed="false">
      <c r="A44" s="108" t="n">
        <f aca="false">IF(ISBLANK(VLOOKUP(D44,'Volumes flacons'!A5:C623,3)),0,1)</f>
        <v>1</v>
      </c>
      <c r="B44" s="109" t="n">
        <f aca="false">IF(ISBLANK(D44),0,IF(ISBLANK(E44),0,IF(ISBLANK(F44),0,1)))</f>
        <v>1</v>
      </c>
      <c r="C44" s="157" t="n">
        <v>10</v>
      </c>
      <c r="D44" s="158" t="n">
        <v>353</v>
      </c>
      <c r="E44" s="125" t="n">
        <v>27.6</v>
      </c>
      <c r="F44" s="126" t="n">
        <v>4.861</v>
      </c>
      <c r="G44" s="127" t="n">
        <v>35.379</v>
      </c>
      <c r="H44" s="125" t="n">
        <v>10</v>
      </c>
      <c r="I44" s="125" t="n">
        <v>11.2</v>
      </c>
      <c r="J44" s="128" t="n">
        <v>118.58</v>
      </c>
      <c r="K44" s="129" t="n">
        <f aca="false">IF(ISBLANK(E44),"",(0.000824493-(0.0000040899*E44)+(0.000000076438*E44^2)-(0.00000000082467*E44^3)+(0.0000000000053875*E44^4)))</f>
        <v>0.0007556270831184</v>
      </c>
      <c r="L44" s="129" t="n">
        <f aca="false">IF(ISBLANK(E44),"",(-0.00000572466+(0.00000010227*E44)-(0.0000000016546*E44^2)))</f>
        <v>-4.162416096E-006</v>
      </c>
      <c r="M44" s="129" t="n">
        <f aca="false">IF(ISBLANK(E44),"",IF(ISBLANK(G44),(O44+(K44*35)+(L44*35^1.5)+(0.00000048314*35^2)),(O44+(K44*G44)+(L44*G44^1.5)+(0.00000048314*G44^2))))</f>
        <v>1.02281216626273</v>
      </c>
      <c r="N44" s="130" t="n">
        <f aca="false">IF(ISBLANK(D44),"",IF(ISBLANK(G44),J44*(1+0.00001*(35-20)),J44*(1+0.00001*(G44-20))))</f>
        <v>118.5982364182</v>
      </c>
      <c r="O44" s="129" t="n">
        <f aca="false">IF(ISBLANK(E44),"",(0.999842594+(0.00006793952*E44)-(0.00000909529*E44^2)+(0.0000001001685*E44^3)-(0.000000001120083*E44^4)+(0.000000000006536332*E44^5)))</f>
        <v>0.996350020834557</v>
      </c>
      <c r="P44" s="131" t="n">
        <v>4.659</v>
      </c>
      <c r="Q44" s="132" t="n">
        <v>4.555</v>
      </c>
      <c r="R44" s="133" t="n">
        <v>208.1</v>
      </c>
      <c r="S44" s="133" t="n">
        <v>203.4</v>
      </c>
      <c r="T44" s="32" t="n">
        <v>0</v>
      </c>
      <c r="U44" s="32" t="n">
        <v>0</v>
      </c>
      <c r="V44" s="134" t="n">
        <v>0</v>
      </c>
      <c r="W44" s="134" t="n">
        <v>0</v>
      </c>
      <c r="X44" s="134" t="n">
        <v>0</v>
      </c>
      <c r="Y44" s="134" t="n">
        <v>0</v>
      </c>
      <c r="Z44" s="32" t="n">
        <v>0.05</v>
      </c>
      <c r="AA44" s="32" t="n">
        <v>0.05</v>
      </c>
      <c r="AB44" s="134" t="n">
        <v>0.8</v>
      </c>
      <c r="AC44" s="170" t="n">
        <v>0.8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36"/>
    </row>
    <row r="45" customFormat="false" ht="15" hidden="false" customHeight="false" outlineLevel="0" collapsed="false">
      <c r="A45" s="108" t="n">
        <f aca="false">IF(ISBLANK(VLOOKUP(D45,'Volumes flacons'!A5:C623,3)),0,1)</f>
        <v>1</v>
      </c>
      <c r="B45" s="109" t="n">
        <f aca="false">IF(ISBLANK(D45),0,IF(ISBLANK(E45),0,IF(ISBLANK(F45),0,1)))</f>
        <v>1</v>
      </c>
      <c r="C45" s="157" t="n">
        <v>11</v>
      </c>
      <c r="D45" s="158" t="n">
        <v>355</v>
      </c>
      <c r="E45" s="125" t="n">
        <v>27.3</v>
      </c>
      <c r="F45" s="126" t="n">
        <v>4.988</v>
      </c>
      <c r="G45" s="127" t="n">
        <v>35.125</v>
      </c>
      <c r="H45" s="125" t="n">
        <v>0</v>
      </c>
      <c r="I45" s="125" t="n">
        <v>2.5</v>
      </c>
      <c r="J45" s="128" t="n">
        <v>119.95</v>
      </c>
      <c r="K45" s="129" t="n">
        <f aca="false">IF(ISBLANK(E45),"",(0.000824493-(0.0000040899*E45)+(0.000000076438*E45^2)-(0.00000000082467*E45^3)+(0.0000000000053875*E45^4)))</f>
        <v>0.000756020652891949</v>
      </c>
      <c r="L45" s="129" t="n">
        <f aca="false">IF(ISBLANK(E45),"",(-0.00000572466+(0.00000010227*E45)-(0.0000000016546*E45^2)))</f>
        <v>-4.165845834E-006</v>
      </c>
      <c r="M45" s="129" t="n">
        <f aca="false">IF(ISBLANK(E45),"",IF(ISBLANK(G45),(O45+(K45*35)+(L45*35^1.5)+(0.00000048314*35^2)),(O45+(K45*G45)+(L45*G45^1.5)+(0.00000048314*G45^2))))</f>
        <v>1.02271783308459</v>
      </c>
      <c r="N45" s="130" t="n">
        <f aca="false">IF(ISBLANK(D45),"",IF(ISBLANK(G45),J45*(1+0.00001*(35-20)),J45*(1+0.00001*(G45-20))))</f>
        <v>119.9681424375</v>
      </c>
      <c r="O45" s="129" t="n">
        <f aca="false">IF(ISBLANK(E45),"",(0.999842594+(0.00006793952*E45)-(0.00000909529*E45^2)+(0.0000001001685*E45^3)-(0.000000001120083*E45^4)+(0.000000000006536332*E45^5)))</f>
        <v>0.996433742949107</v>
      </c>
      <c r="P45" s="131" t="n">
        <v>4.725</v>
      </c>
      <c r="Q45" s="132" t="n">
        <v>4.62</v>
      </c>
      <c r="R45" s="133" t="n">
        <v>211</v>
      </c>
      <c r="S45" s="133" t="n">
        <v>206.3</v>
      </c>
      <c r="T45" s="32" t="n">
        <v>0</v>
      </c>
      <c r="U45" s="32" t="n">
        <v>0</v>
      </c>
      <c r="V45" s="134" t="n">
        <v>0</v>
      </c>
      <c r="W45" s="134" t="n">
        <v>0</v>
      </c>
      <c r="X45" s="134" t="n">
        <v>0</v>
      </c>
      <c r="Y45" s="134" t="n">
        <v>0</v>
      </c>
      <c r="Z45" s="32" t="n">
        <v>0.06</v>
      </c>
      <c r="AA45" s="32" t="n">
        <v>0.06</v>
      </c>
      <c r="AB45" s="134" t="n">
        <v>0.9</v>
      </c>
      <c r="AC45" s="170" t="n">
        <v>0.8</v>
      </c>
      <c r="AD45" s="159" t="n">
        <v>0.0125</v>
      </c>
      <c r="AE45" s="159" t="n">
        <v>0.0154</v>
      </c>
      <c r="AF45" s="159" t="n">
        <v>0.0041</v>
      </c>
      <c r="AG45" s="159" t="n">
        <v>0.0086</v>
      </c>
      <c r="AH45" s="159" t="n">
        <v>0.0102</v>
      </c>
      <c r="AI45" s="159" t="n">
        <v>-99999</v>
      </c>
      <c r="AJ45" s="159" t="n">
        <v>-99999</v>
      </c>
      <c r="AK45" s="159" t="n">
        <v>0.0022</v>
      </c>
      <c r="AL45" s="159" t="n">
        <v>0.0325</v>
      </c>
      <c r="AM45" s="159" t="n">
        <v>0.0077</v>
      </c>
      <c r="AN45" s="159" t="n">
        <v>-99999</v>
      </c>
      <c r="AO45" s="159" t="n">
        <v>-99999</v>
      </c>
      <c r="AP45" s="159" t="n">
        <v>0.132</v>
      </c>
      <c r="AQ45" s="159"/>
      <c r="AR45" s="159" t="n">
        <v>0.0047</v>
      </c>
      <c r="AS45" s="159" t="n">
        <v>0.0193</v>
      </c>
      <c r="AT45" s="159"/>
      <c r="AU45" s="159" t="n">
        <v>-99999</v>
      </c>
      <c r="AV45" s="159" t="n">
        <v>0.0423</v>
      </c>
      <c r="AW45" s="159"/>
      <c r="AX45" s="159" t="n">
        <v>0.0806</v>
      </c>
      <c r="AY45" s="159" t="n">
        <v>0.2512</v>
      </c>
      <c r="AZ45" s="159"/>
      <c r="BA45" s="159" t="n">
        <v>-99999</v>
      </c>
      <c r="BB45" s="136"/>
    </row>
    <row r="46" customFormat="false" ht="15" hidden="false" customHeight="false" outlineLevel="0" collapsed="false">
      <c r="A46" s="108" t="n">
        <f aca="false">IF(ISBLANK(VLOOKUP(D46,'Volumes flacons'!A5:C623,3)),0,1)</f>
        <v>1</v>
      </c>
      <c r="B46" s="109" t="n">
        <f aca="false">IF(ISBLANK(D46),0,IF(ISBLANK(E46),0,IF(ISBLANK(F46),0,1)))</f>
        <v>0</v>
      </c>
      <c r="C46" s="157" t="n">
        <v>12</v>
      </c>
      <c r="D46" s="158"/>
      <c r="E46" s="125"/>
      <c r="F46" s="126"/>
      <c r="G46" s="127"/>
      <c r="H46" s="125"/>
      <c r="I46" s="125"/>
      <c r="J46" s="128" t="str">
        <f aca="false">IF(ISBLANK(D46),"",IF(VLOOKUP(D46,'Volumes flacons'!$A$5:$C$623,2)=0,"",IF(D46&gt;'Volumes flacons'!$A$623,"Mauvais numéro",IF(D46&lt;'Volumes flacons'!$A$5,"Mauvais numéro",(VLOOKUP(D46,'Volumes flacons'!$A$5:$C$623,3))))))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4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Flac.",P46*M46)))))))))</f>
        <v/>
      </c>
      <c r="R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69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08" t="n">
        <f aca="false">IF(ISBLANK(VLOOKUP(D47,'Volumes flacons'!A5:C623,3)),0,1)</f>
        <v>1</v>
      </c>
      <c r="B47" s="109" t="n">
        <f aca="false">IF(ISBLANK(D47),0,IF(ISBLANK(E47),0,IF(ISBLANK(F47),0,1)))</f>
        <v>0</v>
      </c>
      <c r="C47" s="157" t="n">
        <v>13</v>
      </c>
      <c r="D47" s="158"/>
      <c r="E47" s="125"/>
      <c r="F47" s="126"/>
      <c r="G47" s="127"/>
      <c r="H47" s="125"/>
      <c r="I47" s="125"/>
      <c r="J47" s="128" t="str">
        <f aca="false">IF(ISBLANK(D47),"",IF(VLOOKUP(D47,'Volumes flacons'!$A$5:$C$623,2)=0,"",IF(D47&gt;'Volumes flacons'!$A$623,"Mauvais numéro",IF(D47&lt;'Volumes flacons'!$A$5,"Mauvais numéro",(VLOOKUP(D47,'Volumes flacons'!$A$5:$C$623,3))))))</f>
        <v/>
      </c>
      <c r="K47" s="129" t="str">
        <f aca="false">IF(ISBLANK(E47),"",(0.000824493-(0.0000040899*E47)+(0.000000076438*E47^2)-(0.00000000082467*E47^3)+(0.0000000000053875*E47^4)))</f>
        <v/>
      </c>
      <c r="L47" s="129" t="str">
        <f aca="false">IF(ISBLANK(E47),"",(-0.00000572466+(0.00000010227*E47)-(0.0000000016546*E47^2)))</f>
        <v/>
      </c>
      <c r="M47" s="129" t="str">
        <f aca="false">IF(ISBLANK(E47),"",IF(ISBLANK(G47),(O47+(K47*35)+(L47*35^1.5)+(0.00000048314*35^2)),(O47+(K47*G47)+(L47*G47^1.5)+(0.00000048314*G47^2))))</f>
        <v/>
      </c>
      <c r="N47" s="130" t="str">
        <f aca="false">IF(ISBLANK(D47),"",IF(ISBLANK(G47),J47*(1+0.00001*(35-20)),J47*(1+0.00001*(G47-20))))</f>
        <v/>
      </c>
      <c r="O47" s="129" t="str">
        <f aca="false">IF(ISBLANK(E47),"",(0.999842594+(0.00006793952*E47)-(0.00000909529*E47^2)+(0.0000001001685*E47^3)-(0.000000001120083*E47^4)+(0.000000000006536332*E47^5)))</f>
        <v/>
      </c>
      <c r="P47" s="13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4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Flac.",P47*M47)))))))))</f>
        <v/>
      </c>
      <c r="R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69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08" t="n">
        <f aca="false">IF(ISBLANK(VLOOKUP(D48,'Volumes flacons'!A5:C623,3)),0,1)</f>
        <v>1</v>
      </c>
      <c r="B48" s="109" t="n">
        <f aca="false">IF(ISBLANK(D48),0,IF(ISBLANK(E48),0,IF(ISBLANK(F48),0,1)))</f>
        <v>0</v>
      </c>
      <c r="C48" s="157" t="n">
        <v>14</v>
      </c>
      <c r="D48" s="158"/>
      <c r="E48" s="125"/>
      <c r="F48" s="126"/>
      <c r="G48" s="127"/>
      <c r="H48" s="125"/>
      <c r="I48" s="125"/>
      <c r="J48" s="128" t="str">
        <f aca="false">IF(ISBLANK(D48),"",IF(VLOOKUP(D48,'Volumes flacons'!$A$5:$C$623,2)=0,"",IF(D48&gt;'Volumes flacons'!$A$623,"Mauvais numéro",IF(D48&lt;'Volumes flacons'!$A$5,"Mauvais numéro",(VLOOKUP(D48,'Volumes flacons'!$A$5:$C$623,3))))))</f>
        <v/>
      </c>
      <c r="K48" s="129" t="str">
        <f aca="false">IF(ISBLANK(E48),"",(0.000824493-(0.0000040899*E48)+(0.000000076438*E48^2)-(0.00000000082467*E48^3)+(0.0000000000053875*E48^4)))</f>
        <v/>
      </c>
      <c r="L48" s="129" t="str">
        <f aca="false">IF(ISBLANK(E48),"",(-0.00000572466+(0.00000010227*E48)-(0.0000000016546*E48^2)))</f>
        <v/>
      </c>
      <c r="M48" s="129" t="str">
        <f aca="false">IF(ISBLANK(E48),"",IF(ISBLANK(G48),(O48+(K48*35)+(L48*35^1.5)+(0.00000048314*35^2)),(O48+(K48*G48)+(L48*G48^1.5)+(0.00000048314*G48^2))))</f>
        <v/>
      </c>
      <c r="N48" s="130" t="str">
        <f aca="false">IF(ISBLANK(D48),"",IF(ISBLANK(G48),J48*(1+0.00001*(35-20)),J48*(1+0.00001*(G48-20))))</f>
        <v/>
      </c>
      <c r="O48" s="129" t="str">
        <f aca="false">IF(ISBLANK(E48),"",(0.999842594+(0.00006793952*E48)-(0.00000909529*E48^2)+(0.0000001001685*E48^3)-(0.000000001120083*E48^4)+(0.000000000006536332*E48^5)))</f>
        <v/>
      </c>
      <c r="P48" s="13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4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Flac.",P48*M48)))))))))</f>
        <v/>
      </c>
      <c r="R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69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08" t="n">
        <f aca="false">IF(ISBLANK(VLOOKUP(D49,'Volumes flacons'!A5:C623,3)),0,1)</f>
        <v>1</v>
      </c>
      <c r="B49" s="109" t="n">
        <f aca="false">IF(ISBLANK(D49),0,IF(ISBLANK(E49),0,IF(ISBLANK(F49),0,1)))</f>
        <v>0</v>
      </c>
      <c r="C49" s="157" t="n">
        <v>15</v>
      </c>
      <c r="D49" s="158"/>
      <c r="E49" s="125"/>
      <c r="F49" s="126"/>
      <c r="G49" s="127"/>
      <c r="H49" s="125"/>
      <c r="I49" s="125"/>
      <c r="J49" s="128" t="str">
        <f aca="false">IF(ISBLANK(D49),"",IF(VLOOKUP(D49,'Volumes flacons'!$A$5:$C$623,2)=0,"",IF(D49&gt;'Volumes flacons'!$A$623,"Mauvais numéro",IF(D49&lt;'Volumes flacons'!$A$5,"Mauvais numéro",(VLOOKUP(D49,'Volumes flacons'!$A$5:$C$623,3))))))</f>
        <v/>
      </c>
      <c r="K49" s="129" t="str">
        <f aca="false">IF(ISBLANK(E49),"",(0.000824493-(0.0000040899*E49)+(0.000000076438*E49^2)-(0.00000000082467*E49^3)+(0.0000000000053875*E49^4)))</f>
        <v/>
      </c>
      <c r="L49" s="129" t="str">
        <f aca="false">IF(ISBLANK(E49),"",(-0.00000572466+(0.00000010227*E49)-(0.0000000016546*E49^2)))</f>
        <v/>
      </c>
      <c r="M49" s="129" t="str">
        <f aca="false">IF(ISBLANK(E49),"",IF(ISBLANK(G49),(O49+(K49*35)+(L49*35^1.5)+(0.00000048314*35^2)),(O49+(K49*G49)+(L49*G49^1.5)+(0.00000048314*G49^2))))</f>
        <v/>
      </c>
      <c r="N49" s="130" t="str">
        <f aca="false">IF(ISBLANK(D49),"",IF(ISBLANK(G49),J49*(1+0.00001*(35-20)),J49*(1+0.00001*(G49-20))))</f>
        <v/>
      </c>
      <c r="O49" s="129" t="str">
        <f aca="false">IF(ISBLANK(E49),"",(0.999842594+(0.00006793952*E49)-(0.00000909529*E49^2)+(0.0000001001685*E49^3)-(0.000000001120083*E49^4)+(0.000000000006536332*E49^5)))</f>
        <v/>
      </c>
      <c r="P49" s="13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4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Flac.",P49*M49)))))))))</f>
        <v/>
      </c>
      <c r="R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69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08" t="n">
        <f aca="false">IF(ISBLANK(VLOOKUP(D50,'Volumes flacons'!A5:C623,3)),0,1)</f>
        <v>1</v>
      </c>
      <c r="B50" s="109" t="n">
        <f aca="false">IF(ISBLANK(D50),0,IF(ISBLANK(E50),0,IF(ISBLANK(F50),0,1)))</f>
        <v>0</v>
      </c>
      <c r="C50" s="157" t="n">
        <v>16</v>
      </c>
      <c r="D50" s="158"/>
      <c r="E50" s="125"/>
      <c r="F50" s="126"/>
      <c r="G50" s="127"/>
      <c r="H50" s="125"/>
      <c r="I50" s="125"/>
      <c r="J50" s="128" t="str">
        <f aca="false">IF(ISBLANK(D50),"",IF(VLOOKUP(D50,'Volumes flacons'!$A$5:$C$623,2)=0,"",IF(D50&gt;'Volumes flacons'!$A$623,"Mauvais numéro",IF(D50&lt;'Volumes flacons'!$A$5,"Mauvais numéro",(VLOOKUP(D50,'Volumes flacons'!$A$5:$C$623,3))))))</f>
        <v/>
      </c>
      <c r="K50" s="129" t="str">
        <f aca="false">IF(ISBLANK(E50),"",(0.000824493-(0.0000040899*E50)+(0.000000076438*E50^2)-(0.00000000082467*E50^3)+(0.0000000000053875*E50^4)))</f>
        <v/>
      </c>
      <c r="L50" s="129" t="str">
        <f aca="false">IF(ISBLANK(E50),"",(-0.00000572466+(0.00000010227*E50)-(0.0000000016546*E50^2)))</f>
        <v/>
      </c>
      <c r="M50" s="129" t="str">
        <f aca="false">IF(ISBLANK(E50),"",IF(ISBLANK(G50),(O50+(K50*35)+(L50*35^1.5)+(0.00000048314*35^2)),(O50+(K50*G50)+(L50*G50^1.5)+(0.00000048314*G50^2))))</f>
        <v/>
      </c>
      <c r="N50" s="130" t="str">
        <f aca="false">IF(ISBLANK(D50),"",IF(ISBLANK(G50),J50*(1+0.00001*(35-20)),J50*(1+0.00001*(G50-20))))</f>
        <v/>
      </c>
      <c r="O50" s="129" t="str">
        <f aca="false">IF(ISBLANK(E50),"",(0.999842594+(0.00006793952*E50)-(0.00000909529*E50^2)+(0.0000001001685*E50^3)-(0.000000001120083*E50^4)+(0.000000000006536332*E50^5)))</f>
        <v/>
      </c>
      <c r="P50" s="13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4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Flac.",P50*M50)))))))))</f>
        <v/>
      </c>
      <c r="R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69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08" t="n">
        <f aca="false">IF(ISBLANK(VLOOKUP(D51,'Volumes flacons'!A5:C623,3)),0,1)</f>
        <v>1</v>
      </c>
      <c r="B51" s="109" t="n">
        <f aca="false">IF(ISBLANK(D51),0,IF(ISBLANK(E51),0,IF(ISBLANK(F51),0,1)))</f>
        <v>0</v>
      </c>
      <c r="C51" s="157" t="n">
        <v>17</v>
      </c>
      <c r="D51" s="158"/>
      <c r="E51" s="125"/>
      <c r="F51" s="126"/>
      <c r="G51" s="127"/>
      <c r="H51" s="125"/>
      <c r="I51" s="125"/>
      <c r="J51" s="128" t="str">
        <f aca="false">IF(ISBLANK(D51),"",IF(VLOOKUP(D51,'Volumes flacons'!$A$5:$C$623,2)=0,"",IF(D51&gt;'Volumes flacons'!$A$623,"Mauvais numéro",IF(D51&lt;'Volumes flacons'!$A$5,"Mauvais numéro",(VLOOKUP(D51,'Volumes flacons'!$A$5:$C$623,3))))))</f>
        <v/>
      </c>
      <c r="K51" s="129" t="str">
        <f aca="false">IF(ISBLANK(E51),"",(0.000824493-(0.0000040899*E51)+(0.000000076438*E51^2)-(0.00000000082467*E51^3)+(0.0000000000053875*E51^4)))</f>
        <v/>
      </c>
      <c r="L51" s="129" t="str">
        <f aca="false">IF(ISBLANK(E51),"",(-0.00000572466+(0.00000010227*E51)-(0.0000000016546*E51^2)))</f>
        <v/>
      </c>
      <c r="M51" s="129" t="str">
        <f aca="false">IF(ISBLANK(E51),"",IF(ISBLANK(G51),(O51+(K51*35)+(L51*35^1.5)+(0.00000048314*35^2)),(O51+(K51*G51)+(L51*G51^1.5)+(0.00000048314*G51^2))))</f>
        <v/>
      </c>
      <c r="N51" s="130" t="str">
        <f aca="false">IF(ISBLANK(D51),"",IF(ISBLANK(G51),J51*(1+0.00001*(35-20)),J51*(1+0.00001*(G51-20))))</f>
        <v/>
      </c>
      <c r="O51" s="129" t="str">
        <f aca="false">IF(ISBLANK(E51),"",(0.999842594+(0.00006793952*E51)-(0.00000909529*E51^2)+(0.0000001001685*E51^3)-(0.000000001120083*E51^4)+(0.000000000006536332*E51^5)))</f>
        <v/>
      </c>
      <c r="P51" s="13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4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Flac.",P51*M51)))))))))</f>
        <v/>
      </c>
      <c r="R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69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08" t="n">
        <f aca="false">IF(ISBLANK(VLOOKUP(D52,'Volumes flacons'!A5:C623,3)),0,1)</f>
        <v>1</v>
      </c>
      <c r="B52" s="109" t="n">
        <f aca="false">IF(ISBLANK(D52),0,IF(ISBLANK(E52),0,IF(ISBLANK(F52),0,1)))</f>
        <v>0</v>
      </c>
      <c r="C52" s="157" t="n">
        <v>18</v>
      </c>
      <c r="D52" s="158"/>
      <c r="E52" s="125"/>
      <c r="F52" s="126"/>
      <c r="G52" s="127"/>
      <c r="H52" s="125"/>
      <c r="I52" s="125"/>
      <c r="J52" s="128" t="str">
        <f aca="false">IF(ISBLANK(D52),"",IF(VLOOKUP(D52,'Volumes flacons'!$A$5:$C$623,2)=0,"",IF(D52&gt;'Volumes flacons'!$A$623,"Mauvais numéro",IF(D52&lt;'Volumes flacons'!$A$5,"Mauvais numéro",(VLOOKUP(D52,'Volumes flacons'!$A$5:$C$623,3))))))</f>
        <v/>
      </c>
      <c r="K52" s="129" t="str">
        <f aca="false">IF(ISBLANK(E52),"",(0.000824493-(0.0000040899*E52)+(0.000000076438*E52^2)-(0.00000000082467*E52^3)+(0.0000000000053875*E52^4)))</f>
        <v/>
      </c>
      <c r="L52" s="129" t="str">
        <f aca="false">IF(ISBLANK(E52),"",(-0.00000572466+(0.00000010227*E52)-(0.0000000016546*E52^2)))</f>
        <v/>
      </c>
      <c r="M52" s="129" t="str">
        <f aca="false">IF(ISBLANK(E52),"",IF(ISBLANK(G52),(O52+(K52*35)+(L52*35^1.5)+(0.00000048314*35^2)),(O52+(K52*G52)+(L52*G52^1.5)+(0.00000048314*G52^2))))</f>
        <v/>
      </c>
      <c r="N52" s="130" t="str">
        <f aca="false">IF(ISBLANK(D52),"",IF(ISBLANK(G52),J52*(1+0.00001*(35-20)),J52*(1+0.00001*(G52-20))))</f>
        <v/>
      </c>
      <c r="O52" s="129" t="str">
        <f aca="false">IF(ISBLANK(E52),"",(0.999842594+(0.00006793952*E52)-(0.00000909529*E52^2)+(0.0000001001685*E52^3)-(0.000000001120083*E52^4)+(0.000000000006536332*E52^5)))</f>
        <v/>
      </c>
      <c r="P52" s="13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Flac.",P52*M52)))))))))</f>
        <v/>
      </c>
      <c r="R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69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08" t="n">
        <f aca="false">IF(ISBLANK(VLOOKUP(D53,'Volumes flacons'!A5:C623,3)),0,1)</f>
        <v>1</v>
      </c>
      <c r="B53" s="109" t="n">
        <f aca="false">IF(ISBLANK(D53),0,IF(ISBLANK(E53),0,IF(ISBLANK(F53),0,1)))</f>
        <v>0</v>
      </c>
      <c r="C53" s="157" t="n">
        <v>19</v>
      </c>
      <c r="D53" s="158"/>
      <c r="E53" s="125"/>
      <c r="F53" s="126"/>
      <c r="G53" s="127"/>
      <c r="H53" s="125"/>
      <c r="I53" s="125"/>
      <c r="J53" s="128" t="str">
        <f aca="false">IF(ISBLANK(D53),"",IF(VLOOKUP(D53,'Volumes flacons'!$A$5:$C$623,2)=0,"",IF(D53&gt;'Volumes flacons'!$A$623,"Mauvais numéro",IF(D53&lt;'Volumes flacons'!$A$5,"Mauvais numéro",(VLOOKUP(D53,'Volumes flacons'!$A$5:$C$623,3))))))</f>
        <v/>
      </c>
      <c r="K53" s="129" t="str">
        <f aca="false">IF(ISBLANK(E53),"",(0.000824493-(0.0000040899*E53)+(0.000000076438*E53^2)-(0.00000000082467*E53^3)+(0.0000000000053875*E53^4)))</f>
        <v/>
      </c>
      <c r="L53" s="129" t="str">
        <f aca="false">IF(ISBLANK(E53),"",(-0.00000572466+(0.00000010227*E53)-(0.0000000016546*E53^2)))</f>
        <v/>
      </c>
      <c r="M53" s="129" t="str">
        <f aca="false">IF(ISBLANK(E53),"",IF(ISBLANK(G53),(O53+(K53*35)+(L53*35^1.5)+(0.00000048314*35^2)),(O53+(K53*G53)+(L53*G53^1.5)+(0.00000048314*G53^2))))</f>
        <v/>
      </c>
      <c r="N53" s="130" t="str">
        <f aca="false">IF(ISBLANK(D53),"",IF(ISBLANK(G53),J53*(1+0.00001*(35-20)),J53*(1+0.00001*(G53-20))))</f>
        <v/>
      </c>
      <c r="O53" s="129" t="str">
        <f aca="false">IF(ISBLANK(E53),"",(0.999842594+(0.00006793952*E53)-(0.00000909529*E53^2)+(0.0000001001685*E53^3)-(0.000000001120083*E53^4)+(0.000000000006536332*E53^5)))</f>
        <v/>
      </c>
      <c r="P53" s="13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4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Flac.",P53*M53)))))))))</f>
        <v/>
      </c>
      <c r="R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69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08" t="n">
        <f aca="false">IF(ISBLANK(VLOOKUP(D54,'Volumes flacons'!A5:C623,3)),0,1)</f>
        <v>1</v>
      </c>
      <c r="B54" s="109" t="n">
        <f aca="false">IF(ISBLANK(D54),0,IF(ISBLANK(E54),0,IF(ISBLANK(F54),0,1)))</f>
        <v>0</v>
      </c>
      <c r="C54" s="157" t="n">
        <v>20</v>
      </c>
      <c r="D54" s="158"/>
      <c r="E54" s="125"/>
      <c r="F54" s="126"/>
      <c r="G54" s="127"/>
      <c r="H54" s="125"/>
      <c r="I54" s="125"/>
      <c r="J54" s="128" t="str">
        <f aca="false">IF(ISBLANK(D54),"",IF(VLOOKUP(D54,'Volumes flacons'!$A$5:$C$623,2)=0,"",IF(D54&gt;'Volumes flacons'!$A$623,"Mauvais numéro",IF(D54&lt;'Volumes flacons'!$A$5,"Mauvais numéro",(VLOOKUP(D54,'Volumes flacons'!$A$5:$C$623,3))))))</f>
        <v/>
      </c>
      <c r="K54" s="129" t="str">
        <f aca="false">IF(ISBLANK(E54),"",(0.000824493-(0.0000040899*E54)+(0.000000076438*E54^2)-(0.00000000082467*E54^3)+(0.0000000000053875*E54^4)))</f>
        <v/>
      </c>
      <c r="L54" s="129" t="str">
        <f aca="false">IF(ISBLANK(E54),"",(-0.00000572466+(0.00000010227*E54)-(0.0000000016546*E54^2)))</f>
        <v/>
      </c>
      <c r="M54" s="129" t="str">
        <f aca="false">IF(ISBLANK(E54),"",IF(ISBLANK(G54),(O54+(K54*35)+(L54*35^1.5)+(0.00000048314*35^2)),(O54+(K54*G54)+(L54*G54^1.5)+(0.00000048314*G54^2))))</f>
        <v/>
      </c>
      <c r="N54" s="130" t="str">
        <f aca="false">IF(ISBLANK(D54),"",IF(ISBLANK(G54),J54*(1+0.00001*(35-20)),J54*(1+0.00001*(G54-20))))</f>
        <v/>
      </c>
      <c r="O54" s="129" t="str">
        <f aca="false">IF(ISBLANK(E54),"",(0.999842594+(0.00006793952*E54)-(0.00000909529*E54^2)+(0.0000001001685*E54^3)-(0.000000001120083*E54^4)+(0.000000000006536332*E54^5)))</f>
        <v/>
      </c>
      <c r="P54" s="13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4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Flac.",P54*M54)))))))))</f>
        <v/>
      </c>
      <c r="R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69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08" t="n">
        <f aca="false">IF(ISBLANK(VLOOKUP(D55,'Volumes flacons'!A5:C623,3)),0,1)</f>
        <v>1</v>
      </c>
      <c r="B55" s="109" t="n">
        <f aca="false">IF(ISBLANK(D55),0,IF(ISBLANK(E55),0,IF(ISBLANK(F55),0,1)))</f>
        <v>0</v>
      </c>
      <c r="C55" s="157" t="n">
        <v>21</v>
      </c>
      <c r="D55" s="158"/>
      <c r="E55" s="125"/>
      <c r="F55" s="126"/>
      <c r="G55" s="127"/>
      <c r="H55" s="125"/>
      <c r="I55" s="125"/>
      <c r="J55" s="128" t="str">
        <f aca="false">IF(ISBLANK(D55),"",IF(VLOOKUP(D55,'Volumes flacons'!$A$5:$C$623,2)=0,"",IF(D55&gt;'Volumes flacons'!$A$623,"Mauvais numéro",IF(D55&lt;'Volumes flacons'!$A$5,"Mauvais numéro",(VLOOKUP(D55,'Volumes flacons'!$A$5:$C$623,3))))))</f>
        <v/>
      </c>
      <c r="K55" s="129" t="str">
        <f aca="false">IF(ISBLANK(E55),"",(0.000824493-(0.0000040899*E55)+(0.000000076438*E55^2)-(0.00000000082467*E55^3)+(0.0000000000053875*E55^4)))</f>
        <v/>
      </c>
      <c r="L55" s="129" t="str">
        <f aca="false">IF(ISBLANK(E55),"",(-0.00000572466+(0.00000010227*E55)-(0.0000000016546*E55^2)))</f>
        <v/>
      </c>
      <c r="M55" s="129" t="str">
        <f aca="false">IF(ISBLANK(E55),"",IF(ISBLANK(G55),(O55+(K55*35)+(L55*35^1.5)+(0.00000048314*35^2)),(O55+(K55*G55)+(L55*G55^1.5)+(0.00000048314*G55^2))))</f>
        <v/>
      </c>
      <c r="N55" s="130" t="str">
        <f aca="false">IF(ISBLANK(D55),"",IF(ISBLANK(G55),J55*(1+0.00001*(35-20)),J55*(1+0.00001*(G55-20))))</f>
        <v/>
      </c>
      <c r="O55" s="129" t="str">
        <f aca="false">IF(ISBLANK(E55),"",(0.999842594+(0.00006793952*E55)-(0.00000909529*E55^2)+(0.0000001001685*E55^3)-(0.000000001120083*E55^4)+(0.000000000006536332*E55^5)))</f>
        <v/>
      </c>
      <c r="P55" s="13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4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Flac.",P55*M55)))))))))</f>
        <v/>
      </c>
      <c r="R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69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08" t="n">
        <f aca="false">IF(ISBLANK(VLOOKUP(D56,'Volumes flacons'!A5:C623,3)),0,1)</f>
        <v>1</v>
      </c>
      <c r="B56" s="109" t="n">
        <f aca="false">IF(ISBLANK(D56),0,IF(ISBLANK(E56),0,IF(ISBLANK(F56),0,1)))</f>
        <v>0</v>
      </c>
      <c r="C56" s="157" t="n">
        <v>22</v>
      </c>
      <c r="D56" s="158"/>
      <c r="E56" s="125"/>
      <c r="F56" s="126"/>
      <c r="G56" s="127"/>
      <c r="H56" s="125"/>
      <c r="I56" s="125"/>
      <c r="J56" s="128" t="str">
        <f aca="false">IF(ISBLANK(D56),"",IF(VLOOKUP(D56,'Volumes flacons'!$A$5:$C$623,2)=0,"",IF(D56&gt;'Volumes flacons'!$A$623,"Mauvais numéro",IF(D56&lt;'Volumes flacons'!$A$5,"Mauvais numéro",(VLOOKUP(D56,'Volumes flacons'!$A$5:$C$623,3))))))</f>
        <v/>
      </c>
      <c r="K56" s="129" t="str">
        <f aca="false">IF(ISBLANK(E56),"",(0.000824493-(0.0000040899*E56)+(0.000000076438*E56^2)-(0.00000000082467*E56^3)+(0.0000000000053875*E56^4)))</f>
        <v/>
      </c>
      <c r="L56" s="129" t="str">
        <f aca="false">IF(ISBLANK(E56),"",(-0.00000572466+(0.00000010227*E56)-(0.0000000016546*E56^2)))</f>
        <v/>
      </c>
      <c r="M56" s="129" t="str">
        <f aca="false">IF(ISBLANK(E56),"",IF(ISBLANK(G56),(O56+(K56*35)+(L56*35^1.5)+(0.00000048314*35^2)),(O56+(K56*G56)+(L56*G56^1.5)+(0.00000048314*G56^2))))</f>
        <v/>
      </c>
      <c r="N56" s="130" t="str">
        <f aca="false">IF(ISBLANK(D56),"",IF(ISBLANK(G56),J56*(1+0.00001*(35-20)),J56*(1+0.00001*(G56-20))))</f>
        <v/>
      </c>
      <c r="O56" s="129" t="str">
        <f aca="false">IF(ISBLANK(E56),"",(0.999842594+(0.00006793952*E56)-(0.00000909529*E56^2)+(0.0000001001685*E56^3)-(0.000000001120083*E56^4)+(0.000000000006536332*E56^5)))</f>
        <v/>
      </c>
      <c r="P56" s="13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4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Flac.",P56*M56)))))))))</f>
        <v/>
      </c>
      <c r="R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35"/>
      <c r="U56" s="135"/>
      <c r="V56" s="135"/>
      <c r="W56" s="135"/>
      <c r="X56" s="135"/>
      <c r="Y56" s="135"/>
      <c r="Z56" s="135"/>
      <c r="AA56" s="135"/>
      <c r="AB56" s="135"/>
      <c r="AC56" s="169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08" t="n">
        <f aca="false">IF(ISBLANK(VLOOKUP(D57,'Volumes flacons'!A5:C623,3)),0,1)</f>
        <v>1</v>
      </c>
      <c r="B57" s="109" t="n">
        <f aca="false">IF(ISBLANK(D57),0,IF(ISBLANK(E57),0,IF(ISBLANK(F57),0,1)))</f>
        <v>0</v>
      </c>
      <c r="C57" s="157" t="n">
        <v>23</v>
      </c>
      <c r="D57" s="158"/>
      <c r="E57" s="125"/>
      <c r="F57" s="126"/>
      <c r="G57" s="127"/>
      <c r="H57" s="125"/>
      <c r="I57" s="125"/>
      <c r="J57" s="128" t="str">
        <f aca="false">IF(ISBLANK(D57),"",IF(VLOOKUP(D57,'Volumes flacons'!$A$5:$C$623,2)=0,"",IF(D57&gt;'Volumes flacons'!$A$623,"Mauvais numéro",IF(D57&lt;'Volumes flacons'!$A$5,"Mauvais numéro",(VLOOKUP(D57,'Volumes flacons'!$A$5:$C$623,3))))))</f>
        <v/>
      </c>
      <c r="K57" s="129" t="str">
        <f aca="false">IF(ISBLANK(E57),"",(0.000824493-(0.0000040899*E57)+(0.000000076438*E57^2)-(0.00000000082467*E57^3)+(0.0000000000053875*E57^4)))</f>
        <v/>
      </c>
      <c r="L57" s="129" t="str">
        <f aca="false">IF(ISBLANK(E57),"",(-0.00000572466+(0.00000010227*E57)-(0.0000000016546*E57^2)))</f>
        <v/>
      </c>
      <c r="M57" s="129" t="str">
        <f aca="false">IF(ISBLANK(E57),"",IF(ISBLANK(G57),(O57+(K57*35)+(L57*35^1.5)+(0.00000048314*35^2)),(O57+(K57*G57)+(L57*G57^1.5)+(0.00000048314*G57^2))))</f>
        <v/>
      </c>
      <c r="N57" s="130" t="str">
        <f aca="false">IF(ISBLANK(D57),"",IF(ISBLANK(G57),J57*(1+0.00001*(35-20)),J57*(1+0.00001*(G57-20))))</f>
        <v/>
      </c>
      <c r="O57" s="129" t="str">
        <f aca="false">IF(ISBLANK(E57),"",(0.999842594+(0.00006793952*E57)-(0.00000909529*E57^2)+(0.0000001001685*E57^3)-(0.000000001120083*E57^4)+(0.000000000006536332*E57^5)))</f>
        <v/>
      </c>
      <c r="P57" s="13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4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Flac.",P57*M57)))))))))</f>
        <v/>
      </c>
      <c r="R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69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5.75" hidden="false" customHeight="false" outlineLevel="0" collapsed="false">
      <c r="A58" s="108" t="n">
        <f aca="false">IF(ISBLANK(VLOOKUP(D58,'Volumes flacons'!A5:C623,3)),0,1)</f>
        <v>1</v>
      </c>
      <c r="B58" s="109" t="n">
        <f aca="false">IF(ISBLANK(D58),0,IF(ISBLANK(E58),0,IF(ISBLANK(F58),0,1)))</f>
        <v>0</v>
      </c>
      <c r="C58" s="160" t="n">
        <v>24</v>
      </c>
      <c r="D58" s="161"/>
      <c r="E58" s="142"/>
      <c r="F58" s="143"/>
      <c r="G58" s="144"/>
      <c r="H58" s="142"/>
      <c r="I58" s="142"/>
      <c r="J58" s="145" t="str">
        <f aca="false">IF(ISBLANK(D58),"",IF(VLOOKUP(D58,'Volumes flacons'!$A$5:$C$623,2)=0,"",IF(D58&gt;'Volumes flacons'!$A$623,"Mauvais numéro",IF(D58&lt;'Volumes flacons'!$A$5,"Mauvais numéro",(VLOOKUP(D58,'Volumes flacons'!$A$5:$C$623,3))))))</f>
        <v/>
      </c>
      <c r="K58" s="146" t="str">
        <f aca="false">IF(ISBLANK(E58),"",(0.000824493-(0.0000040899*E58)+(0.000000076438*E58^2)-(0.00000000082467*E58^3)+(0.0000000000053875*E58^4)))</f>
        <v/>
      </c>
      <c r="L58" s="146" t="str">
        <f aca="false">IF(ISBLANK(E58),"",(-0.00000572466+(0.00000010227*E58)-(0.0000000016546*E58^2)))</f>
        <v/>
      </c>
      <c r="M58" s="146" t="str">
        <f aca="false">IF(ISBLANK(E58),"",IF(ISBLANK(G58),(O58+(K58*35)+(L58*35^1.5)+(0.00000048314*35^2)),(O58+(K58*G58)+(L58*G58^1.5)+(0.00000048314*G58^2))))</f>
        <v/>
      </c>
      <c r="N58" s="147" t="str">
        <f aca="false">IF(ISBLANK(D58),"",IF(ISBLANK(G58),J58*(1+0.00001*(35-20)),J58*(1+0.00001*(G58-20))))</f>
        <v/>
      </c>
      <c r="O58" s="146" t="str">
        <f aca="false">IF(ISBLANK(E58),"",(0.999842594+(0.00006793952*E58)-(0.00000909529*E58^2)+(0.0000001001685*E58^3)-(0.000000001120083*E58^4)+(0.000000000006536332*E58^5)))</f>
        <v/>
      </c>
      <c r="P58" s="148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49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Flac.",P58*M58)))))))))</f>
        <v/>
      </c>
      <c r="R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50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1"/>
      <c r="U58" s="151"/>
      <c r="V58" s="151"/>
      <c r="W58" s="151"/>
      <c r="X58" s="151"/>
      <c r="Y58" s="151"/>
      <c r="Z58" s="151"/>
      <c r="AA58" s="151"/>
      <c r="AB58" s="151"/>
      <c r="AC58" s="17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2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53" t="s">
        <v>146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V623"/>
  <sheetViews>
    <sheetView showFormulas="false" showGridLines="true" showRowColHeaders="true" showZeros="true" rightToLeft="false" tabSelected="false" showOutlineSymbols="true" defaultGridColor="true" view="normal" topLeftCell="A114" colorId="64" zoomScale="100" zoomScaleNormal="100" zoomScalePageLayoutView="100" workbookViewId="0">
      <selection pane="topLeft" activeCell="C134" activeCellId="1" sqref="Q10:R10 C134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.66"/>
    <col collapsed="false" customWidth="true" hidden="false" outlineLevel="0" max="3" min="3" style="0" width="9.87"/>
    <col collapsed="false" customWidth="true" hidden="false" outlineLevel="0" max="5" min="5" style="178" width="11.44"/>
  </cols>
  <sheetData>
    <row r="1" customFormat="false" ht="21" hidden="false" customHeight="false" outlineLevel="0" collapsed="false">
      <c r="B1" s="179" t="s">
        <v>154</v>
      </c>
      <c r="D1" s="180"/>
      <c r="E1" s="179"/>
      <c r="F1" s="180"/>
      <c r="G1" s="180"/>
      <c r="H1" s="180"/>
    </row>
    <row r="2" customFormat="false" ht="15" hidden="false" customHeight="false" outlineLevel="0" collapsed="false"/>
    <row r="3" customFormat="false" ht="14.25" hidden="false" customHeight="true" outlineLevel="0" collapsed="false">
      <c r="A3" s="181" t="s">
        <v>155</v>
      </c>
      <c r="B3" s="182"/>
      <c r="C3" s="183" t="s">
        <v>156</v>
      </c>
      <c r="D3" s="184" t="s">
        <v>157</v>
      </c>
      <c r="E3" s="184" t="s">
        <v>158</v>
      </c>
    </row>
    <row r="4" customFormat="false" ht="15" hidden="false" customHeight="false" outlineLevel="0" collapsed="false">
      <c r="A4" s="185"/>
      <c r="B4" s="182"/>
      <c r="C4" s="186" t="s">
        <v>30</v>
      </c>
      <c r="D4" s="184"/>
      <c r="E4" s="184"/>
    </row>
    <row r="5" customFormat="false" ht="14.25" hidden="false" customHeight="false" outlineLevel="0" collapsed="false">
      <c r="A5" s="187" t="n">
        <v>26</v>
      </c>
      <c r="B5" s="188" t="n">
        <f aca="false">IF(D5="x",0,IF(C5&lt;1,0,IF(C5&gt;1,1)))</f>
        <v>1</v>
      </c>
      <c r="C5" s="189" t="n">
        <v>128.224</v>
      </c>
      <c r="D5" s="190"/>
      <c r="E5" s="191" t="s">
        <v>53</v>
      </c>
    </row>
    <row r="6" customFormat="false" ht="15" hidden="false" customHeight="false" outlineLevel="0" collapsed="false">
      <c r="A6" s="192" t="n">
        <v>27</v>
      </c>
      <c r="B6" s="188" t="n">
        <f aca="false">IF(D6="x",0,IF(C6&lt;1,0,IF(C6&gt;1,1)))</f>
        <v>0</v>
      </c>
      <c r="C6" s="193"/>
      <c r="D6" s="194"/>
      <c r="E6" s="191" t="s">
        <v>53</v>
      </c>
    </row>
    <row r="7" customFormat="false" ht="14.25" hidden="false" customHeight="false" outlineLevel="0" collapsed="false">
      <c r="A7" s="187" t="n">
        <v>28</v>
      </c>
      <c r="B7" s="188" t="n">
        <f aca="false">IF(D7="x",0,IF(C7&lt;1,0,IF(C7&gt;1,1)))</f>
        <v>0</v>
      </c>
      <c r="C7" s="193"/>
      <c r="D7" s="194"/>
      <c r="E7" s="191" t="s">
        <v>53</v>
      </c>
    </row>
    <row r="8" customFormat="false" ht="15" hidden="false" customHeight="false" outlineLevel="0" collapsed="false">
      <c r="A8" s="192" t="n">
        <v>29</v>
      </c>
      <c r="B8" s="188" t="n">
        <f aca="false">IF(D8="x",0,IF(C8&lt;1,0,IF(C8&gt;1,1)))</f>
        <v>0</v>
      </c>
      <c r="C8" s="193"/>
      <c r="D8" s="194"/>
      <c r="E8" s="191" t="s">
        <v>53</v>
      </c>
    </row>
    <row r="9" customFormat="false" ht="14.25" hidden="false" customHeight="false" outlineLevel="0" collapsed="false">
      <c r="A9" s="187" t="n">
        <v>30</v>
      </c>
      <c r="B9" s="188" t="n">
        <f aca="false">IF(D9="x",0,IF(C9&lt;1,0,IF(C9&gt;1,1)))</f>
        <v>0</v>
      </c>
      <c r="C9" s="193"/>
      <c r="D9" s="194"/>
      <c r="E9" s="191" t="s">
        <v>53</v>
      </c>
    </row>
    <row r="10" customFormat="false" ht="14.25" hidden="false" customHeight="false" outlineLevel="0" collapsed="false">
      <c r="A10" s="192" t="n">
        <v>31</v>
      </c>
      <c r="B10" s="188" t="n">
        <f aca="false">IF(D10="x",0,IF(C10&lt;1,0,IF(C10&gt;1,1)))</f>
        <v>0</v>
      </c>
      <c r="C10" s="193"/>
      <c r="D10" s="194"/>
      <c r="E10" s="191" t="s">
        <v>53</v>
      </c>
    </row>
    <row r="11" customFormat="false" ht="14.25" hidden="false" customHeight="false" outlineLevel="0" collapsed="false">
      <c r="A11" s="195" t="n">
        <v>32</v>
      </c>
      <c r="B11" s="188" t="n">
        <f aca="false">IF(D11="x",0,IF(C11&lt;1,0,IF(C11&gt;1,1)))</f>
        <v>1</v>
      </c>
      <c r="C11" s="196" t="n">
        <v>125.283</v>
      </c>
      <c r="D11" s="197"/>
      <c r="E11" s="191" t="s">
        <v>53</v>
      </c>
    </row>
    <row r="12" customFormat="false" ht="14.25" hidden="false" customHeight="false" outlineLevel="0" collapsed="false">
      <c r="A12" s="192" t="n">
        <v>33</v>
      </c>
      <c r="B12" s="188" t="n">
        <f aca="false">IF(D12="x",0,IF(C12&lt;1,0,IF(C12&gt;1,1)))</f>
        <v>0</v>
      </c>
      <c r="C12" s="196"/>
      <c r="D12" s="197"/>
      <c r="E12" s="191" t="s">
        <v>53</v>
      </c>
    </row>
    <row r="13" customFormat="false" ht="14.25" hidden="false" customHeight="false" outlineLevel="0" collapsed="false">
      <c r="A13" s="195" t="n">
        <v>34</v>
      </c>
      <c r="B13" s="188" t="n">
        <f aca="false">IF(D13="x",0,IF(C13&lt;1,0,IF(C13&gt;1,1)))</f>
        <v>0</v>
      </c>
      <c r="C13" s="196"/>
      <c r="D13" s="197"/>
      <c r="E13" s="191" t="s">
        <v>53</v>
      </c>
    </row>
    <row r="14" customFormat="false" ht="14.25" hidden="false" customHeight="false" outlineLevel="0" collapsed="false">
      <c r="A14" s="192" t="n">
        <v>35</v>
      </c>
      <c r="B14" s="188" t="n">
        <f aca="false">IF(D14="x",0,IF(C14&lt;1,0,IF(C14&gt;1,1)))</f>
        <v>0</v>
      </c>
      <c r="C14" s="196"/>
      <c r="D14" s="197"/>
      <c r="E14" s="191" t="s">
        <v>53</v>
      </c>
    </row>
    <row r="15" customFormat="false" ht="14.25" hidden="false" customHeight="false" outlineLevel="0" collapsed="false">
      <c r="A15" s="195" t="n">
        <v>36</v>
      </c>
      <c r="B15" s="188" t="n">
        <f aca="false">IF(D15="x",0,IF(C15&lt;1,0,IF(C15&gt;1,1)))</f>
        <v>0</v>
      </c>
      <c r="C15" s="196"/>
      <c r="D15" s="197"/>
      <c r="E15" s="191" t="s">
        <v>53</v>
      </c>
    </row>
    <row r="16" customFormat="false" ht="14.25" hidden="false" customHeight="false" outlineLevel="0" collapsed="false">
      <c r="A16" s="192" t="n">
        <v>37</v>
      </c>
      <c r="B16" s="188" t="n">
        <f aca="false">IF(D16="x",0,IF(C16&lt;1,0,IF(C16&gt;1,1)))</f>
        <v>0</v>
      </c>
      <c r="C16" s="196"/>
      <c r="D16" s="197"/>
      <c r="E16" s="191" t="s">
        <v>53</v>
      </c>
    </row>
    <row r="17" customFormat="false" ht="14.25" hidden="false" customHeight="false" outlineLevel="0" collapsed="false">
      <c r="A17" s="195" t="n">
        <v>38</v>
      </c>
      <c r="B17" s="188" t="n">
        <f aca="false">IF(D17="x",0,IF(C17&lt;1,0,IF(C17&gt;1,1)))</f>
        <v>0</v>
      </c>
      <c r="C17" s="196"/>
      <c r="D17" s="197"/>
      <c r="E17" s="191" t="s">
        <v>53</v>
      </c>
    </row>
    <row r="18" customFormat="false" ht="14.25" hidden="false" customHeight="false" outlineLevel="0" collapsed="false">
      <c r="A18" s="192" t="n">
        <v>39</v>
      </c>
      <c r="B18" s="188" t="n">
        <f aca="false">IF(D18="x",0,IF(C18&lt;1,0,IF(C18&gt;1,1)))</f>
        <v>0</v>
      </c>
      <c r="C18" s="196"/>
      <c r="D18" s="197"/>
      <c r="E18" s="191" t="s">
        <v>53</v>
      </c>
    </row>
    <row r="19" customFormat="false" ht="14.25" hidden="false" customHeight="false" outlineLevel="0" collapsed="false">
      <c r="A19" s="195" t="n">
        <v>40</v>
      </c>
      <c r="B19" s="188" t="n">
        <f aca="false">IF(D19="x",0,IF(C19&lt;1,0,IF(C19&gt;1,1)))</f>
        <v>1</v>
      </c>
      <c r="C19" s="196" t="n">
        <v>122.335</v>
      </c>
      <c r="D19" s="197"/>
      <c r="E19" s="191" t="s">
        <v>53</v>
      </c>
    </row>
    <row r="20" customFormat="false" ht="14.25" hidden="false" customHeight="false" outlineLevel="0" collapsed="false">
      <c r="A20" s="192" t="n">
        <v>41</v>
      </c>
      <c r="B20" s="188" t="n">
        <f aca="false">IF(D20="x",0,IF(C20&lt;1,0,IF(C20&gt;1,1)))</f>
        <v>0</v>
      </c>
      <c r="C20" s="196"/>
      <c r="D20" s="197"/>
      <c r="E20" s="191" t="s">
        <v>53</v>
      </c>
    </row>
    <row r="21" customFormat="false" ht="14.25" hidden="false" customHeight="false" outlineLevel="0" collapsed="false">
      <c r="A21" s="195" t="n">
        <v>42</v>
      </c>
      <c r="B21" s="188" t="n">
        <f aca="false">IF(D21="x",0,IF(C21&lt;1,0,IF(C21&gt;1,1)))</f>
        <v>0</v>
      </c>
      <c r="C21" s="196"/>
      <c r="D21" s="197"/>
      <c r="E21" s="191" t="s">
        <v>53</v>
      </c>
    </row>
    <row r="22" customFormat="false" ht="14.25" hidden="false" customHeight="false" outlineLevel="0" collapsed="false">
      <c r="A22" s="192" t="n">
        <v>43</v>
      </c>
      <c r="B22" s="188" t="n">
        <f aca="false">IF(D22="x",0,IF(C22&lt;1,0,IF(C22&gt;1,1)))</f>
        <v>0</v>
      </c>
      <c r="C22" s="196"/>
      <c r="D22" s="197"/>
      <c r="E22" s="191" t="s">
        <v>53</v>
      </c>
    </row>
    <row r="23" customFormat="false" ht="14.25" hidden="false" customHeight="false" outlineLevel="0" collapsed="false">
      <c r="A23" s="195" t="n">
        <v>44</v>
      </c>
      <c r="B23" s="188" t="n">
        <f aca="false">IF(D23="x",0,IF(C23&lt;1,0,IF(C23&gt;1,1)))</f>
        <v>1</v>
      </c>
      <c r="C23" s="196" t="n">
        <v>129.671</v>
      </c>
      <c r="D23" s="197"/>
      <c r="E23" s="191" t="s">
        <v>53</v>
      </c>
    </row>
    <row r="24" customFormat="false" ht="14.25" hidden="false" customHeight="false" outlineLevel="0" collapsed="false">
      <c r="A24" s="192" t="n">
        <v>45</v>
      </c>
      <c r="B24" s="188" t="n">
        <f aca="false">IF(D24="x",0,IF(C24&lt;1,0,IF(C24&gt;1,1)))</f>
        <v>0</v>
      </c>
      <c r="C24" s="196"/>
      <c r="D24" s="197"/>
      <c r="E24" s="191" t="s">
        <v>53</v>
      </c>
    </row>
    <row r="25" customFormat="false" ht="14.25" hidden="false" customHeight="false" outlineLevel="0" collapsed="false">
      <c r="A25" s="195" t="n">
        <v>46</v>
      </c>
      <c r="B25" s="188" t="n">
        <f aca="false">IF(D25="x",0,IF(C25&lt;1,0,IF(C25&gt;1,1)))</f>
        <v>0</v>
      </c>
      <c r="C25" s="196"/>
      <c r="D25" s="197"/>
      <c r="E25" s="191" t="s">
        <v>53</v>
      </c>
    </row>
    <row r="26" customFormat="false" ht="14.25" hidden="false" customHeight="false" outlineLevel="0" collapsed="false">
      <c r="A26" s="192" t="n">
        <v>47</v>
      </c>
      <c r="B26" s="188" t="n">
        <f aca="false">IF(D26="x",0,IF(C26&lt;1,0,IF(C26&gt;1,1)))</f>
        <v>0</v>
      </c>
      <c r="C26" s="196"/>
      <c r="D26" s="197"/>
      <c r="E26" s="191" t="s">
        <v>53</v>
      </c>
    </row>
    <row r="27" customFormat="false" ht="14.25" hidden="false" customHeight="false" outlineLevel="0" collapsed="false">
      <c r="A27" s="195" t="n">
        <v>48</v>
      </c>
      <c r="B27" s="188" t="n">
        <f aca="false">IF(D27="x",0,IF(C27&lt;1,0,IF(C27&gt;1,1)))</f>
        <v>0</v>
      </c>
      <c r="C27" s="196"/>
      <c r="D27" s="197"/>
      <c r="E27" s="191" t="s">
        <v>53</v>
      </c>
    </row>
    <row r="28" customFormat="false" ht="14.25" hidden="false" customHeight="false" outlineLevel="0" collapsed="false">
      <c r="A28" s="192" t="n">
        <v>49</v>
      </c>
      <c r="B28" s="188" t="n">
        <f aca="false">IF(D28="x",0,IF(C28&lt;1,0,IF(C28&gt;1,1)))</f>
        <v>0</v>
      </c>
      <c r="C28" s="196"/>
      <c r="D28" s="197"/>
      <c r="E28" s="191" t="s">
        <v>53</v>
      </c>
    </row>
    <row r="29" customFormat="false" ht="14.25" hidden="false" customHeight="false" outlineLevel="0" collapsed="false">
      <c r="A29" s="195" t="n">
        <v>50</v>
      </c>
      <c r="B29" s="188" t="n">
        <f aca="false">IF(D29="x",0,IF(C29&lt;1,0,IF(C29&gt;1,1)))</f>
        <v>0</v>
      </c>
      <c r="C29" s="196"/>
      <c r="D29" s="197"/>
      <c r="E29" s="191" t="s">
        <v>53</v>
      </c>
    </row>
    <row r="30" customFormat="false" ht="14.25" hidden="false" customHeight="false" outlineLevel="0" collapsed="false">
      <c r="A30" s="192" t="n">
        <v>51</v>
      </c>
      <c r="B30" s="188" t="n">
        <f aca="false">IF(D30="x",0,IF(C30&lt;1,0,IF(C30&gt;1,1)))</f>
        <v>0</v>
      </c>
      <c r="C30" s="196"/>
      <c r="D30" s="197"/>
      <c r="E30" s="191" t="s">
        <v>53</v>
      </c>
    </row>
    <row r="31" customFormat="false" ht="14.25" hidden="false" customHeight="false" outlineLevel="0" collapsed="false">
      <c r="A31" s="195" t="n">
        <v>52</v>
      </c>
      <c r="B31" s="188" t="n">
        <f aca="false">IF(D31="x",0,IF(C31&lt;1,0,IF(C31&gt;1,1)))</f>
        <v>0</v>
      </c>
      <c r="C31" s="196"/>
      <c r="D31" s="197"/>
      <c r="E31" s="191" t="s">
        <v>53</v>
      </c>
    </row>
    <row r="32" customFormat="false" ht="14.25" hidden="false" customHeight="false" outlineLevel="0" collapsed="false">
      <c r="A32" s="192" t="n">
        <v>53</v>
      </c>
      <c r="B32" s="188" t="n">
        <f aca="false">IF(D32="x",0,IF(C32&lt;1,0,IF(C32&gt;1,1)))</f>
        <v>0</v>
      </c>
      <c r="C32" s="196"/>
      <c r="D32" s="197"/>
      <c r="E32" s="191" t="s">
        <v>53</v>
      </c>
    </row>
    <row r="33" customFormat="false" ht="14.25" hidden="false" customHeight="false" outlineLevel="0" collapsed="false">
      <c r="A33" s="195" t="n">
        <v>54</v>
      </c>
      <c r="B33" s="188" t="n">
        <f aca="false">IF(D33="x",0,IF(C33&lt;1,0,IF(C33&gt;1,1)))</f>
        <v>0</v>
      </c>
      <c r="C33" s="196"/>
      <c r="D33" s="197"/>
      <c r="E33" s="191" t="s">
        <v>53</v>
      </c>
    </row>
    <row r="34" customFormat="false" ht="14.25" hidden="false" customHeight="false" outlineLevel="0" collapsed="false">
      <c r="A34" s="192" t="n">
        <v>55</v>
      </c>
      <c r="B34" s="188" t="n">
        <f aca="false">IF(D34="x",0,IF(C34&lt;1,0,IF(C34&gt;1,1)))</f>
        <v>1</v>
      </c>
      <c r="C34" s="196" t="n">
        <v>126.672</v>
      </c>
      <c r="D34" s="197"/>
      <c r="E34" s="191" t="s">
        <v>53</v>
      </c>
    </row>
    <row r="35" customFormat="false" ht="14.25" hidden="false" customHeight="false" outlineLevel="0" collapsed="false">
      <c r="A35" s="195" t="n">
        <v>56</v>
      </c>
      <c r="B35" s="188" t="n">
        <f aca="false">IF(D35="x",0,IF(C35&lt;1,0,IF(C35&gt;1,1)))</f>
        <v>0</v>
      </c>
      <c r="C35" s="196"/>
      <c r="D35" s="197"/>
      <c r="E35" s="191" t="s">
        <v>53</v>
      </c>
    </row>
    <row r="36" customFormat="false" ht="14.25" hidden="false" customHeight="false" outlineLevel="0" collapsed="false">
      <c r="A36" s="192" t="n">
        <v>57</v>
      </c>
      <c r="B36" s="188" t="n">
        <f aca="false">IF(D36="x",0,IF(C36&lt;1,0,IF(C36&gt;1,1)))</f>
        <v>0</v>
      </c>
      <c r="C36" s="196"/>
      <c r="D36" s="197"/>
      <c r="E36" s="191" t="s">
        <v>53</v>
      </c>
    </row>
    <row r="37" customFormat="false" ht="14.25" hidden="false" customHeight="false" outlineLevel="0" collapsed="false">
      <c r="A37" s="195" t="n">
        <v>58</v>
      </c>
      <c r="B37" s="188" t="n">
        <f aca="false">IF(D37="x",0,IF(C37&lt;1,0,IF(C37&gt;1,1)))</f>
        <v>0</v>
      </c>
      <c r="C37" s="196"/>
      <c r="D37" s="197"/>
      <c r="E37" s="191" t="s">
        <v>53</v>
      </c>
    </row>
    <row r="38" customFormat="false" ht="14.25" hidden="false" customHeight="false" outlineLevel="0" collapsed="false">
      <c r="A38" s="192" t="n">
        <v>59</v>
      </c>
      <c r="B38" s="188" t="n">
        <f aca="false">IF(D38="x",0,IF(C38&lt;1,0,IF(C38&gt;1,1)))</f>
        <v>0</v>
      </c>
      <c r="C38" s="196"/>
      <c r="D38" s="197"/>
      <c r="E38" s="191" t="s">
        <v>53</v>
      </c>
    </row>
    <row r="39" customFormat="false" ht="14.25" hidden="false" customHeight="false" outlineLevel="0" collapsed="false">
      <c r="A39" s="195" t="n">
        <v>60</v>
      </c>
      <c r="B39" s="188" t="n">
        <f aca="false">IF(D39="x",0,IF(C39&lt;1,0,IF(C39&gt;1,1)))</f>
        <v>0</v>
      </c>
      <c r="C39" s="196"/>
      <c r="D39" s="197"/>
      <c r="E39" s="191" t="s">
        <v>53</v>
      </c>
    </row>
    <row r="40" customFormat="false" ht="14.25" hidden="false" customHeight="false" outlineLevel="0" collapsed="false">
      <c r="A40" s="192" t="n">
        <v>61</v>
      </c>
      <c r="B40" s="188" t="n">
        <f aca="false">IF(D40="x",0,IF(C40&lt;1,0,IF(C40&gt;1,1)))</f>
        <v>0</v>
      </c>
      <c r="C40" s="196"/>
      <c r="D40" s="197"/>
      <c r="E40" s="191" t="s">
        <v>53</v>
      </c>
    </row>
    <row r="41" customFormat="false" ht="14.25" hidden="false" customHeight="false" outlineLevel="0" collapsed="false">
      <c r="A41" s="195" t="n">
        <v>62</v>
      </c>
      <c r="B41" s="188" t="n">
        <f aca="false">IF(D41="x",0,IF(C41&lt;1,0,IF(C41&gt;1,1)))</f>
        <v>0</v>
      </c>
      <c r="C41" s="196"/>
      <c r="D41" s="197"/>
      <c r="E41" s="191" t="s">
        <v>53</v>
      </c>
    </row>
    <row r="42" customFormat="false" ht="14.25" hidden="false" customHeight="false" outlineLevel="0" collapsed="false">
      <c r="A42" s="192" t="n">
        <v>63</v>
      </c>
      <c r="B42" s="188" t="n">
        <f aca="false">IF(D42="x",0,IF(C42&lt;1,0,IF(C42&gt;1,1)))</f>
        <v>0</v>
      </c>
      <c r="C42" s="196"/>
      <c r="D42" s="197"/>
      <c r="E42" s="191" t="s">
        <v>53</v>
      </c>
    </row>
    <row r="43" customFormat="false" ht="14.25" hidden="false" customHeight="false" outlineLevel="0" collapsed="false">
      <c r="A43" s="195" t="n">
        <v>64</v>
      </c>
      <c r="B43" s="188" t="n">
        <f aca="false">IF(D43="x",0,IF(C43&lt;1,0,IF(C43&gt;1,1)))</f>
        <v>0</v>
      </c>
      <c r="C43" s="196"/>
      <c r="D43" s="197"/>
      <c r="E43" s="191" t="s">
        <v>53</v>
      </c>
    </row>
    <row r="44" customFormat="false" ht="14.25" hidden="false" customHeight="false" outlineLevel="0" collapsed="false">
      <c r="A44" s="192" t="n">
        <v>65</v>
      </c>
      <c r="B44" s="188" t="n">
        <f aca="false">IF(D44="x",0,IF(C44&lt;1,0,IF(C44&gt;1,1)))</f>
        <v>0</v>
      </c>
      <c r="C44" s="196"/>
      <c r="D44" s="197"/>
      <c r="E44" s="191" t="s">
        <v>53</v>
      </c>
    </row>
    <row r="45" customFormat="false" ht="14.25" hidden="false" customHeight="false" outlineLevel="0" collapsed="false">
      <c r="A45" s="195" t="n">
        <v>66</v>
      </c>
      <c r="B45" s="188" t="n">
        <f aca="false">IF(D45="x",0,IF(C45&lt;1,0,IF(C45&gt;1,1)))</f>
        <v>0</v>
      </c>
      <c r="C45" s="196"/>
      <c r="D45" s="197"/>
      <c r="E45" s="191" t="s">
        <v>53</v>
      </c>
    </row>
    <row r="46" customFormat="false" ht="14.25" hidden="false" customHeight="false" outlineLevel="0" collapsed="false">
      <c r="A46" s="192" t="n">
        <v>67</v>
      </c>
      <c r="B46" s="188" t="n">
        <f aca="false">IF(D46="x",0,IF(C46&lt;1,0,IF(C46&gt;1,1)))</f>
        <v>0</v>
      </c>
      <c r="C46" s="196"/>
      <c r="D46" s="197"/>
      <c r="E46" s="191" t="s">
        <v>53</v>
      </c>
    </row>
    <row r="47" customFormat="false" ht="14.25" hidden="false" customHeight="false" outlineLevel="0" collapsed="false">
      <c r="A47" s="195" t="n">
        <v>68</v>
      </c>
      <c r="B47" s="188" t="n">
        <f aca="false">IF(D47="x",0,IF(C47&lt;1,0,IF(C47&gt;1,1)))</f>
        <v>0</v>
      </c>
      <c r="C47" s="196"/>
      <c r="D47" s="197"/>
      <c r="E47" s="191" t="s">
        <v>53</v>
      </c>
    </row>
    <row r="48" customFormat="false" ht="14.25" hidden="false" customHeight="false" outlineLevel="0" collapsed="false">
      <c r="A48" s="192" t="n">
        <v>69</v>
      </c>
      <c r="B48" s="188" t="n">
        <f aca="false">IF(D48="x",0,IF(C48&lt;1,0,IF(C48&gt;1,1)))</f>
        <v>0</v>
      </c>
      <c r="C48" s="196"/>
      <c r="D48" s="197"/>
      <c r="E48" s="191" t="s">
        <v>53</v>
      </c>
    </row>
    <row r="49" customFormat="false" ht="14.25" hidden="false" customHeight="false" outlineLevel="0" collapsed="false">
      <c r="A49" s="195" t="n">
        <v>70</v>
      </c>
      <c r="B49" s="188" t="n">
        <f aca="false">IF(D49="x",0,IF(C49&lt;1,0,IF(C49&gt;1,1)))</f>
        <v>0</v>
      </c>
      <c r="C49" s="196"/>
      <c r="D49" s="197"/>
      <c r="E49" s="191" t="s">
        <v>53</v>
      </c>
    </row>
    <row r="50" customFormat="false" ht="14.25" hidden="false" customHeight="false" outlineLevel="0" collapsed="false">
      <c r="A50" s="192" t="n">
        <v>71</v>
      </c>
      <c r="B50" s="188" t="n">
        <f aca="false">IF(D50="x",0,IF(C50&lt;1,0,IF(C50&gt;1,1)))</f>
        <v>0</v>
      </c>
      <c r="C50" s="196"/>
      <c r="D50" s="197"/>
      <c r="E50" s="191" t="s">
        <v>53</v>
      </c>
    </row>
    <row r="51" customFormat="false" ht="14.25" hidden="false" customHeight="false" outlineLevel="0" collapsed="false">
      <c r="A51" s="195" t="n">
        <v>72</v>
      </c>
      <c r="B51" s="188" t="n">
        <f aca="false">IF(D51="x",0,IF(C51&lt;1,0,IF(C51&gt;1,1)))</f>
        <v>0</v>
      </c>
      <c r="C51" s="196"/>
      <c r="D51" s="197"/>
      <c r="E51" s="191" t="s">
        <v>53</v>
      </c>
    </row>
    <row r="52" customFormat="false" ht="14.25" hidden="false" customHeight="false" outlineLevel="0" collapsed="false">
      <c r="A52" s="192" t="n">
        <v>73</v>
      </c>
      <c r="B52" s="188" t="n">
        <f aca="false">IF(D52="x",0,IF(C52&lt;1,0,IF(C52&gt;1,1)))</f>
        <v>0</v>
      </c>
      <c r="C52" s="196"/>
      <c r="D52" s="197"/>
      <c r="E52" s="191" t="s">
        <v>53</v>
      </c>
    </row>
    <row r="53" customFormat="false" ht="14.25" hidden="false" customHeight="false" outlineLevel="0" collapsed="false">
      <c r="A53" s="195" t="n">
        <v>74</v>
      </c>
      <c r="B53" s="188" t="n">
        <f aca="false">IF(D53="x",0,IF(C53&lt;1,0,IF(C53&gt;1,1)))</f>
        <v>0</v>
      </c>
      <c r="C53" s="196"/>
      <c r="D53" s="197"/>
      <c r="E53" s="191" t="s">
        <v>53</v>
      </c>
    </row>
    <row r="54" customFormat="false" ht="14.25" hidden="false" customHeight="false" outlineLevel="0" collapsed="false">
      <c r="A54" s="192" t="n">
        <v>75</v>
      </c>
      <c r="B54" s="188" t="n">
        <f aca="false">IF(D54="x",0,IF(C54&lt;1,0,IF(C54&gt;1,1)))</f>
        <v>0</v>
      </c>
      <c r="C54" s="196"/>
      <c r="D54" s="197"/>
      <c r="E54" s="191" t="s">
        <v>53</v>
      </c>
    </row>
    <row r="55" customFormat="false" ht="14.25" hidden="false" customHeight="false" outlineLevel="0" collapsed="false">
      <c r="A55" s="195" t="n">
        <v>76</v>
      </c>
      <c r="B55" s="188" t="n">
        <f aca="false">IF(D55="x",0,IF(C55&lt;1,0,IF(C55&gt;1,1)))</f>
        <v>0</v>
      </c>
      <c r="C55" s="196"/>
      <c r="D55" s="197"/>
      <c r="E55" s="191" t="s">
        <v>53</v>
      </c>
    </row>
    <row r="56" customFormat="false" ht="14.25" hidden="false" customHeight="false" outlineLevel="0" collapsed="false">
      <c r="A56" s="192" t="n">
        <v>77</v>
      </c>
      <c r="B56" s="188" t="n">
        <f aca="false">IF(D56="x",0,IF(C56&lt;1,0,IF(C56&gt;1,1)))</f>
        <v>0</v>
      </c>
      <c r="C56" s="196"/>
      <c r="D56" s="197"/>
      <c r="E56" s="191" t="s">
        <v>53</v>
      </c>
    </row>
    <row r="57" customFormat="false" ht="14.25" hidden="false" customHeight="false" outlineLevel="0" collapsed="false">
      <c r="A57" s="195" t="n">
        <v>78</v>
      </c>
      <c r="B57" s="188" t="n">
        <f aca="false">IF(D57="x",0,IF(C57&lt;1,0,IF(C57&gt;1,1)))</f>
        <v>0</v>
      </c>
      <c r="C57" s="196"/>
      <c r="D57" s="197"/>
      <c r="E57" s="191" t="s">
        <v>53</v>
      </c>
    </row>
    <row r="58" customFormat="false" ht="14.25" hidden="false" customHeight="false" outlineLevel="0" collapsed="false">
      <c r="A58" s="192" t="n">
        <v>79</v>
      </c>
      <c r="B58" s="188" t="n">
        <f aca="false">IF(D58="x",0,IF(C58&lt;1,0,IF(C58&gt;1,1)))</f>
        <v>0</v>
      </c>
      <c r="C58" s="196"/>
      <c r="D58" s="197"/>
      <c r="E58" s="191" t="s">
        <v>53</v>
      </c>
    </row>
    <row r="59" customFormat="false" ht="14.25" hidden="false" customHeight="false" outlineLevel="0" collapsed="false">
      <c r="A59" s="195" t="n">
        <v>80</v>
      </c>
      <c r="B59" s="188" t="n">
        <f aca="false">IF(D59="x",0,IF(C59&lt;1,0,IF(C59&gt;1,1)))</f>
        <v>0</v>
      </c>
      <c r="C59" s="196"/>
      <c r="D59" s="197"/>
      <c r="E59" s="191" t="s">
        <v>53</v>
      </c>
    </row>
    <row r="60" customFormat="false" ht="14.25" hidden="false" customHeight="false" outlineLevel="0" collapsed="false">
      <c r="A60" s="192" t="n">
        <v>81</v>
      </c>
      <c r="B60" s="188" t="n">
        <f aca="false">IF(D60="x",0,IF(C60&lt;1,0,IF(C60&gt;1,1)))</f>
        <v>0</v>
      </c>
      <c r="C60" s="196"/>
      <c r="D60" s="197"/>
      <c r="E60" s="191" t="s">
        <v>53</v>
      </c>
    </row>
    <row r="61" customFormat="false" ht="14.25" hidden="false" customHeight="false" outlineLevel="0" collapsed="false">
      <c r="A61" s="195" t="n">
        <v>82</v>
      </c>
      <c r="B61" s="188" t="n">
        <f aca="false">IF(D61="x",0,IF(C61&lt;1,0,IF(C61&gt;1,1)))</f>
        <v>0</v>
      </c>
      <c r="C61" s="196"/>
      <c r="D61" s="197"/>
      <c r="E61" s="191" t="s">
        <v>53</v>
      </c>
    </row>
    <row r="62" customFormat="false" ht="14.25" hidden="false" customHeight="false" outlineLevel="0" collapsed="false">
      <c r="A62" s="192" t="n">
        <v>83</v>
      </c>
      <c r="B62" s="188" t="n">
        <f aca="false">IF(D62="x",0,IF(C62&lt;1,0,IF(C62&gt;1,1)))</f>
        <v>0</v>
      </c>
      <c r="C62" s="196"/>
      <c r="D62" s="197"/>
      <c r="E62" s="191" t="s">
        <v>53</v>
      </c>
    </row>
    <row r="63" customFormat="false" ht="14.25" hidden="false" customHeight="false" outlineLevel="0" collapsed="false">
      <c r="A63" s="195" t="n">
        <v>84</v>
      </c>
      <c r="B63" s="188" t="n">
        <f aca="false">IF(D63="x",0,IF(C63&lt;1,0,IF(C63&gt;1,1)))</f>
        <v>0</v>
      </c>
      <c r="C63" s="196"/>
      <c r="D63" s="197"/>
      <c r="E63" s="191" t="s">
        <v>53</v>
      </c>
    </row>
    <row r="64" customFormat="false" ht="14.25" hidden="false" customHeight="false" outlineLevel="0" collapsed="false">
      <c r="A64" s="192" t="n">
        <v>85</v>
      </c>
      <c r="B64" s="188" t="n">
        <f aca="false">IF(D64="x",0,IF(C64&lt;1,0,IF(C64&gt;1,1)))</f>
        <v>0</v>
      </c>
      <c r="C64" s="196"/>
      <c r="D64" s="197"/>
      <c r="E64" s="191" t="s">
        <v>53</v>
      </c>
    </row>
    <row r="65" customFormat="false" ht="14.25" hidden="false" customHeight="false" outlineLevel="0" collapsed="false">
      <c r="A65" s="195" t="n">
        <v>86</v>
      </c>
      <c r="B65" s="188" t="n">
        <f aca="false">IF(D65="x",0,IF(C65&lt;1,0,IF(C65&gt;1,1)))</f>
        <v>0</v>
      </c>
      <c r="C65" s="196"/>
      <c r="D65" s="197"/>
      <c r="E65" s="191" t="s">
        <v>53</v>
      </c>
    </row>
    <row r="66" customFormat="false" ht="14.25" hidden="false" customHeight="false" outlineLevel="0" collapsed="false">
      <c r="A66" s="192" t="n">
        <v>87</v>
      </c>
      <c r="B66" s="188" t="n">
        <f aca="false">IF(D66="x",0,IF(C66&lt;1,0,IF(C66&gt;1,1)))</f>
        <v>0</v>
      </c>
      <c r="C66" s="196"/>
      <c r="D66" s="197"/>
      <c r="E66" s="191" t="s">
        <v>53</v>
      </c>
    </row>
    <row r="67" customFormat="false" ht="14.25" hidden="false" customHeight="false" outlineLevel="0" collapsed="false">
      <c r="A67" s="195" t="n">
        <v>88</v>
      </c>
      <c r="B67" s="188" t="n">
        <f aca="false">IF(D67="x",0,IF(C67&lt;1,0,IF(C67&gt;1,1)))</f>
        <v>0</v>
      </c>
      <c r="C67" s="196"/>
      <c r="D67" s="197"/>
      <c r="E67" s="191" t="s">
        <v>53</v>
      </c>
    </row>
    <row r="68" customFormat="false" ht="14.25" hidden="false" customHeight="false" outlineLevel="0" collapsed="false">
      <c r="A68" s="192" t="n">
        <v>89</v>
      </c>
      <c r="B68" s="188" t="n">
        <f aca="false">IF(D68="x",0,IF(C68&lt;1,0,IF(C68&gt;1,1)))</f>
        <v>0</v>
      </c>
      <c r="C68" s="196"/>
      <c r="D68" s="197"/>
      <c r="E68" s="191" t="s">
        <v>53</v>
      </c>
    </row>
    <row r="69" customFormat="false" ht="14.25" hidden="false" customHeight="false" outlineLevel="0" collapsed="false">
      <c r="A69" s="195" t="n">
        <v>90</v>
      </c>
      <c r="B69" s="188" t="n">
        <f aca="false">IF(D69="x",0,IF(C69&lt;1,0,IF(C69&gt;1,1)))</f>
        <v>0</v>
      </c>
      <c r="C69" s="196"/>
      <c r="D69" s="197"/>
      <c r="E69" s="191" t="s">
        <v>53</v>
      </c>
    </row>
    <row r="70" customFormat="false" ht="14.25" hidden="false" customHeight="false" outlineLevel="0" collapsed="false">
      <c r="A70" s="192" t="n">
        <v>91</v>
      </c>
      <c r="B70" s="188" t="n">
        <f aca="false">IF(D70="x",0,IF(C70&lt;1,0,IF(C70&gt;1,1)))</f>
        <v>0</v>
      </c>
      <c r="C70" s="196"/>
      <c r="D70" s="197"/>
      <c r="E70" s="191" t="s">
        <v>53</v>
      </c>
    </row>
    <row r="71" customFormat="false" ht="14.25" hidden="false" customHeight="false" outlineLevel="0" collapsed="false">
      <c r="A71" s="195" t="n">
        <v>92</v>
      </c>
      <c r="B71" s="188" t="n">
        <f aca="false">IF(D71="x",0,IF(C71&lt;1,0,IF(C71&gt;1,1)))</f>
        <v>0</v>
      </c>
      <c r="C71" s="196"/>
      <c r="D71" s="197"/>
      <c r="E71" s="191" t="s">
        <v>53</v>
      </c>
    </row>
    <row r="72" customFormat="false" ht="14.25" hidden="false" customHeight="false" outlineLevel="0" collapsed="false">
      <c r="A72" s="192" t="n">
        <v>93</v>
      </c>
      <c r="B72" s="188" t="n">
        <f aca="false">IF(D72="x",0,IF(C72&lt;1,0,IF(C72&gt;1,1)))</f>
        <v>0</v>
      </c>
      <c r="C72" s="196"/>
      <c r="D72" s="197"/>
      <c r="E72" s="191" t="s">
        <v>53</v>
      </c>
    </row>
    <row r="73" customFormat="false" ht="14.25" hidden="false" customHeight="false" outlineLevel="0" collapsed="false">
      <c r="A73" s="195" t="n">
        <v>94</v>
      </c>
      <c r="B73" s="188" t="n">
        <f aca="false">IF(D73="x",0,IF(C73&lt;1,0,IF(C73&gt;1,1)))</f>
        <v>0</v>
      </c>
      <c r="C73" s="196"/>
      <c r="D73" s="197"/>
      <c r="E73" s="191" t="s">
        <v>53</v>
      </c>
    </row>
    <row r="74" customFormat="false" ht="14.25" hidden="false" customHeight="false" outlineLevel="0" collapsed="false">
      <c r="A74" s="192" t="n">
        <v>95</v>
      </c>
      <c r="B74" s="188" t="n">
        <f aca="false">IF(D74="x",0,IF(C74&lt;1,0,IF(C74&gt;1,1)))</f>
        <v>0</v>
      </c>
      <c r="C74" s="196"/>
      <c r="D74" s="197"/>
      <c r="E74" s="191" t="s">
        <v>53</v>
      </c>
    </row>
    <row r="75" customFormat="false" ht="14.25" hidden="false" customHeight="false" outlineLevel="0" collapsed="false">
      <c r="A75" s="195" t="n">
        <v>96</v>
      </c>
      <c r="B75" s="188" t="n">
        <f aca="false">IF(D75="x",0,IF(C75&lt;1,0,IF(C75&gt;1,1)))</f>
        <v>0</v>
      </c>
      <c r="C75" s="196"/>
      <c r="D75" s="197"/>
      <c r="E75" s="191" t="s">
        <v>53</v>
      </c>
    </row>
    <row r="76" customFormat="false" ht="14.25" hidden="false" customHeight="false" outlineLevel="0" collapsed="false">
      <c r="A76" s="192" t="n">
        <v>97</v>
      </c>
      <c r="B76" s="188" t="n">
        <f aca="false">IF(D76="x",0,IF(C76&lt;1,0,IF(C76&gt;1,1)))</f>
        <v>0</v>
      </c>
      <c r="C76" s="196"/>
      <c r="D76" s="197"/>
      <c r="E76" s="191" t="s">
        <v>53</v>
      </c>
    </row>
    <row r="77" customFormat="false" ht="14.25" hidden="false" customHeight="false" outlineLevel="0" collapsed="false">
      <c r="A77" s="195" t="n">
        <v>98</v>
      </c>
      <c r="B77" s="188" t="n">
        <f aca="false">IF(D77="x",0,IF(C77&lt;1,0,IF(C77&gt;1,1)))</f>
        <v>1</v>
      </c>
      <c r="C77" s="196" t="n">
        <v>126.984</v>
      </c>
      <c r="D77" s="197"/>
      <c r="E77" s="191" t="s">
        <v>53</v>
      </c>
    </row>
    <row r="78" customFormat="false" ht="14.25" hidden="false" customHeight="false" outlineLevel="0" collapsed="false">
      <c r="A78" s="192" t="n">
        <v>99</v>
      </c>
      <c r="B78" s="188" t="n">
        <f aca="false">IF(D78="x",0,IF(C78&lt;1,0,IF(C78&gt;1,1)))</f>
        <v>0</v>
      </c>
      <c r="C78" s="196"/>
      <c r="D78" s="197"/>
      <c r="E78" s="191" t="s">
        <v>53</v>
      </c>
    </row>
    <row r="79" customFormat="false" ht="14.25" hidden="false" customHeight="false" outlineLevel="0" collapsed="false">
      <c r="A79" s="195" t="n">
        <v>100</v>
      </c>
      <c r="B79" s="188" t="n">
        <f aca="false">IF(D79="x",0,IF(C79&lt;1,0,IF(C79&gt;1,1)))</f>
        <v>0</v>
      </c>
      <c r="C79" s="196"/>
      <c r="D79" s="197"/>
      <c r="E79" s="191" t="s">
        <v>53</v>
      </c>
    </row>
    <row r="80" customFormat="false" ht="14.25" hidden="false" customHeight="false" outlineLevel="0" collapsed="false">
      <c r="A80" s="192" t="n">
        <v>101</v>
      </c>
      <c r="B80" s="188" t="n">
        <f aca="false">IF(D80="x",0,IF(C80&lt;1,0,IF(C80&gt;1,1)))</f>
        <v>0</v>
      </c>
      <c r="C80" s="196"/>
      <c r="D80" s="197"/>
      <c r="E80" s="191" t="s">
        <v>53</v>
      </c>
    </row>
    <row r="81" customFormat="false" ht="14.25" hidden="false" customHeight="false" outlineLevel="0" collapsed="false">
      <c r="A81" s="195" t="n">
        <v>102</v>
      </c>
      <c r="B81" s="188" t="n">
        <f aca="false">IF(D81="x",0,IF(C81&lt;1,0,IF(C81&gt;1,1)))</f>
        <v>0</v>
      </c>
      <c r="C81" s="196"/>
      <c r="D81" s="197"/>
      <c r="E81" s="191" t="s">
        <v>53</v>
      </c>
    </row>
    <row r="82" customFormat="false" ht="14.25" hidden="false" customHeight="false" outlineLevel="0" collapsed="false">
      <c r="A82" s="192" t="n">
        <v>103</v>
      </c>
      <c r="B82" s="188" t="n">
        <f aca="false">IF(D82="x",0,IF(C82&lt;1,0,IF(C82&gt;1,1)))</f>
        <v>0</v>
      </c>
      <c r="C82" s="196"/>
      <c r="D82" s="197"/>
      <c r="E82" s="191" t="s">
        <v>53</v>
      </c>
    </row>
    <row r="83" customFormat="false" ht="14.25" hidden="false" customHeight="false" outlineLevel="0" collapsed="false">
      <c r="A83" s="195" t="n">
        <v>104</v>
      </c>
      <c r="B83" s="188" t="n">
        <f aca="false">IF(D83="x",0,IF(C83&lt;1,0,IF(C83&gt;1,1)))</f>
        <v>1</v>
      </c>
      <c r="C83" s="196" t="n">
        <v>127.334</v>
      </c>
      <c r="D83" s="197"/>
      <c r="E83" s="191" t="s">
        <v>53</v>
      </c>
    </row>
    <row r="84" customFormat="false" ht="14.25" hidden="false" customHeight="false" outlineLevel="0" collapsed="false">
      <c r="A84" s="192" t="n">
        <v>105</v>
      </c>
      <c r="B84" s="188" t="n">
        <f aca="false">IF(D84="x",0,IF(C84&lt;1,0,IF(C84&gt;1,1)))</f>
        <v>0</v>
      </c>
      <c r="C84" s="196"/>
      <c r="D84" s="197"/>
      <c r="E84" s="191" t="s">
        <v>53</v>
      </c>
    </row>
    <row r="85" customFormat="false" ht="14.25" hidden="false" customHeight="false" outlineLevel="0" collapsed="false">
      <c r="A85" s="195" t="n">
        <v>106</v>
      </c>
      <c r="B85" s="188" t="n">
        <f aca="false">IF(D85="x",0,IF(C85&lt;1,0,IF(C85&gt;1,1)))</f>
        <v>0</v>
      </c>
      <c r="C85" s="196"/>
      <c r="D85" s="197"/>
      <c r="E85" s="191" t="s">
        <v>53</v>
      </c>
    </row>
    <row r="86" customFormat="false" ht="14.25" hidden="false" customHeight="false" outlineLevel="0" collapsed="false">
      <c r="A86" s="192" t="n">
        <v>107</v>
      </c>
      <c r="B86" s="188" t="n">
        <f aca="false">IF(D86="x",0,IF(C86&lt;1,0,IF(C86&gt;1,1)))</f>
        <v>0</v>
      </c>
      <c r="C86" s="196"/>
      <c r="D86" s="197"/>
      <c r="E86" s="191" t="s">
        <v>53</v>
      </c>
    </row>
    <row r="87" customFormat="false" ht="14.25" hidden="false" customHeight="false" outlineLevel="0" collapsed="false">
      <c r="A87" s="195" t="n">
        <v>108</v>
      </c>
      <c r="B87" s="188" t="n">
        <f aca="false">IF(D87="x",0,IF(C87&lt;1,0,IF(C87&gt;1,1)))</f>
        <v>0</v>
      </c>
      <c r="C87" s="196"/>
      <c r="D87" s="197"/>
      <c r="E87" s="191" t="s">
        <v>53</v>
      </c>
    </row>
    <row r="88" customFormat="false" ht="14.25" hidden="false" customHeight="false" outlineLevel="0" collapsed="false">
      <c r="A88" s="192" t="n">
        <v>109</v>
      </c>
      <c r="B88" s="188" t="n">
        <f aca="false">IF(D88="x",0,IF(C88&lt;1,0,IF(C88&gt;1,1)))</f>
        <v>1</v>
      </c>
      <c r="C88" s="196" t="n">
        <v>125.559</v>
      </c>
      <c r="D88" s="197"/>
      <c r="E88" s="191" t="s">
        <v>53</v>
      </c>
    </row>
    <row r="89" customFormat="false" ht="14.25" hidden="false" customHeight="false" outlineLevel="0" collapsed="false">
      <c r="A89" s="195" t="n">
        <v>110</v>
      </c>
      <c r="B89" s="188" t="n">
        <f aca="false">IF(D89="x",0,IF(C89&lt;1,0,IF(C89&gt;1,1)))</f>
        <v>0</v>
      </c>
      <c r="C89" s="196"/>
      <c r="D89" s="197"/>
      <c r="E89" s="191" t="s">
        <v>53</v>
      </c>
    </row>
    <row r="90" customFormat="false" ht="14.25" hidden="false" customHeight="false" outlineLevel="0" collapsed="false">
      <c r="A90" s="192" t="n">
        <v>111</v>
      </c>
      <c r="B90" s="188" t="n">
        <f aca="false">IF(D90="x",0,IF(C90&lt;1,0,IF(C90&gt;1,1)))</f>
        <v>0</v>
      </c>
      <c r="C90" s="196"/>
      <c r="D90" s="197"/>
      <c r="E90" s="191" t="s">
        <v>53</v>
      </c>
    </row>
    <row r="91" customFormat="false" ht="14.25" hidden="false" customHeight="false" outlineLevel="0" collapsed="false">
      <c r="A91" s="195" t="n">
        <v>112</v>
      </c>
      <c r="B91" s="188" t="n">
        <f aca="false">IF(D91="x",0,IF(C91&lt;1,0,IF(C91&gt;1,1)))</f>
        <v>0</v>
      </c>
      <c r="C91" s="196"/>
      <c r="D91" s="197"/>
      <c r="E91" s="191" t="s">
        <v>53</v>
      </c>
    </row>
    <row r="92" customFormat="false" ht="14.25" hidden="false" customHeight="false" outlineLevel="0" collapsed="false">
      <c r="A92" s="192" t="n">
        <v>113</v>
      </c>
      <c r="B92" s="188" t="n">
        <f aca="false">IF(D92="x",0,IF(C92&lt;1,0,IF(C92&gt;1,1)))</f>
        <v>0</v>
      </c>
      <c r="C92" s="196"/>
      <c r="D92" s="197"/>
      <c r="E92" s="191" t="s">
        <v>53</v>
      </c>
    </row>
    <row r="93" customFormat="false" ht="14.25" hidden="false" customHeight="false" outlineLevel="0" collapsed="false">
      <c r="A93" s="195" t="n">
        <v>114</v>
      </c>
      <c r="B93" s="188" t="n">
        <f aca="false">IF(D93="x",0,IF(C93&lt;1,0,IF(C93&gt;1,1)))</f>
        <v>0</v>
      </c>
      <c r="C93" s="196"/>
      <c r="D93" s="197"/>
      <c r="E93" s="191" t="s">
        <v>53</v>
      </c>
    </row>
    <row r="94" customFormat="false" ht="14.25" hidden="false" customHeight="false" outlineLevel="0" collapsed="false">
      <c r="A94" s="192" t="n">
        <v>115</v>
      </c>
      <c r="B94" s="188" t="n">
        <f aca="false">IF(D94="x",0,IF(C94&lt;1,0,IF(C94&gt;1,1)))</f>
        <v>0</v>
      </c>
      <c r="C94" s="196"/>
      <c r="D94" s="197"/>
      <c r="E94" s="191" t="s">
        <v>53</v>
      </c>
    </row>
    <row r="95" customFormat="false" ht="14.25" hidden="false" customHeight="false" outlineLevel="0" collapsed="false">
      <c r="A95" s="195" t="n">
        <v>116</v>
      </c>
      <c r="B95" s="188" t="n">
        <f aca="false">IF(D95="x",0,IF(C95&lt;1,0,IF(C95&gt;1,1)))</f>
        <v>0</v>
      </c>
      <c r="C95" s="196"/>
      <c r="D95" s="197"/>
      <c r="E95" s="191" t="s">
        <v>53</v>
      </c>
    </row>
    <row r="96" customFormat="false" ht="14.25" hidden="false" customHeight="false" outlineLevel="0" collapsed="false">
      <c r="A96" s="192" t="n">
        <v>117</v>
      </c>
      <c r="B96" s="188" t="n">
        <f aca="false">IF(D96="x",0,IF(C96&lt;1,0,IF(C96&gt;1,1)))</f>
        <v>0</v>
      </c>
      <c r="C96" s="196"/>
      <c r="D96" s="197"/>
      <c r="E96" s="191" t="s">
        <v>53</v>
      </c>
    </row>
    <row r="97" customFormat="false" ht="14.25" hidden="false" customHeight="false" outlineLevel="0" collapsed="false">
      <c r="A97" s="195" t="n">
        <v>118</v>
      </c>
      <c r="B97" s="188" t="n">
        <f aca="false">IF(D97="x",0,IF(C97&lt;1,0,IF(C97&gt;1,1)))</f>
        <v>0</v>
      </c>
      <c r="C97" s="196"/>
      <c r="D97" s="197"/>
      <c r="E97" s="191" t="s">
        <v>53</v>
      </c>
    </row>
    <row r="98" customFormat="false" ht="14.25" hidden="false" customHeight="false" outlineLevel="0" collapsed="false">
      <c r="A98" s="192" t="n">
        <v>119</v>
      </c>
      <c r="B98" s="188" t="n">
        <f aca="false">IF(D98="x",0,IF(C98&lt;1,0,IF(C98&gt;1,1)))</f>
        <v>0</v>
      </c>
      <c r="C98" s="196"/>
      <c r="D98" s="197"/>
      <c r="E98" s="191" t="s">
        <v>53</v>
      </c>
    </row>
    <row r="99" customFormat="false" ht="14.25" hidden="false" customHeight="false" outlineLevel="0" collapsed="false">
      <c r="A99" s="195" t="n">
        <v>120</v>
      </c>
      <c r="B99" s="188" t="n">
        <f aca="false">IF(D99="x",0,IF(C99&lt;1,0,IF(C99&gt;1,1)))</f>
        <v>0</v>
      </c>
      <c r="C99" s="196"/>
      <c r="D99" s="197"/>
      <c r="E99" s="191" t="s">
        <v>53</v>
      </c>
    </row>
    <row r="100" customFormat="false" ht="14.25" hidden="false" customHeight="false" outlineLevel="0" collapsed="false">
      <c r="A100" s="192" t="n">
        <v>121</v>
      </c>
      <c r="B100" s="188" t="n">
        <f aca="false">IF(D100="x",0,IF(C100&lt;1,0,IF(C100&gt;1,1)))</f>
        <v>0</v>
      </c>
      <c r="C100" s="196"/>
      <c r="D100" s="197"/>
      <c r="E100" s="191" t="s">
        <v>53</v>
      </c>
    </row>
    <row r="101" customFormat="false" ht="14.25" hidden="false" customHeight="false" outlineLevel="0" collapsed="false">
      <c r="A101" s="195" t="n">
        <v>122</v>
      </c>
      <c r="B101" s="188" t="n">
        <f aca="false">IF(D101="x",0,IF(C101&lt;1,0,IF(C101&gt;1,1)))</f>
        <v>0</v>
      </c>
      <c r="C101" s="196"/>
      <c r="D101" s="197"/>
      <c r="E101" s="191" t="s">
        <v>53</v>
      </c>
    </row>
    <row r="102" customFormat="false" ht="14.25" hidden="false" customHeight="false" outlineLevel="0" collapsed="false">
      <c r="A102" s="192" t="n">
        <v>123</v>
      </c>
      <c r="B102" s="188" t="n">
        <f aca="false">IF(D102="x",0,IF(C102&lt;1,0,IF(C102&gt;1,1)))</f>
        <v>0</v>
      </c>
      <c r="C102" s="196"/>
      <c r="D102" s="197"/>
      <c r="E102" s="191" t="s">
        <v>53</v>
      </c>
    </row>
    <row r="103" customFormat="false" ht="14.25" hidden="false" customHeight="false" outlineLevel="0" collapsed="false">
      <c r="A103" s="195" t="n">
        <v>124</v>
      </c>
      <c r="B103" s="188" t="n">
        <f aca="false">IF(D103="x",0,IF(C103&lt;1,0,IF(C103&gt;1,1)))</f>
        <v>0</v>
      </c>
      <c r="C103" s="196"/>
      <c r="D103" s="197"/>
      <c r="E103" s="191" t="s">
        <v>53</v>
      </c>
    </row>
    <row r="104" customFormat="false" ht="14.25" hidden="false" customHeight="false" outlineLevel="0" collapsed="false">
      <c r="A104" s="192" t="n">
        <v>125</v>
      </c>
      <c r="B104" s="188" t="n">
        <f aca="false">IF(D104="x",0,IF(C104&lt;1,0,IF(C104&gt;1,1)))</f>
        <v>0</v>
      </c>
      <c r="C104" s="196"/>
      <c r="D104" s="197"/>
      <c r="E104" s="191" t="s">
        <v>53</v>
      </c>
    </row>
    <row r="105" customFormat="false" ht="14.25" hidden="false" customHeight="false" outlineLevel="0" collapsed="false">
      <c r="A105" s="195" t="n">
        <v>126</v>
      </c>
      <c r="B105" s="188" t="n">
        <f aca="false">IF(D105="x",0,IF(C105&lt;1,0,IF(C105&gt;1,1)))</f>
        <v>0</v>
      </c>
      <c r="C105" s="196"/>
      <c r="D105" s="197"/>
      <c r="E105" s="191" t="s">
        <v>53</v>
      </c>
    </row>
    <row r="106" customFormat="false" ht="14.25" hidden="false" customHeight="false" outlineLevel="0" collapsed="false">
      <c r="A106" s="192" t="n">
        <v>127</v>
      </c>
      <c r="B106" s="188" t="n">
        <f aca="false">IF(D106="x",0,IF(C106&lt;1,0,IF(C106&gt;1,1)))</f>
        <v>0</v>
      </c>
      <c r="C106" s="196"/>
      <c r="D106" s="197"/>
      <c r="E106" s="191" t="s">
        <v>53</v>
      </c>
    </row>
    <row r="107" customFormat="false" ht="14.25" hidden="false" customHeight="false" outlineLevel="0" collapsed="false">
      <c r="A107" s="195" t="n">
        <v>128</v>
      </c>
      <c r="B107" s="188" t="n">
        <f aca="false">IF(D107="x",0,IF(C107&lt;1,0,IF(C107&gt;1,1)))</f>
        <v>0</v>
      </c>
      <c r="C107" s="196"/>
      <c r="D107" s="197"/>
      <c r="E107" s="191" t="s">
        <v>53</v>
      </c>
    </row>
    <row r="108" customFormat="false" ht="14.25" hidden="false" customHeight="false" outlineLevel="0" collapsed="false">
      <c r="A108" s="192" t="n">
        <v>129</v>
      </c>
      <c r="B108" s="188" t="n">
        <f aca="false">IF(D108="x",0,IF(C108&lt;1,0,IF(C108&gt;1,1)))</f>
        <v>0</v>
      </c>
      <c r="C108" s="196"/>
      <c r="D108" s="197"/>
      <c r="E108" s="191" t="s">
        <v>53</v>
      </c>
    </row>
    <row r="109" customFormat="false" ht="14.25" hidden="false" customHeight="false" outlineLevel="0" collapsed="false">
      <c r="A109" s="195" t="n">
        <v>130</v>
      </c>
      <c r="B109" s="188" t="n">
        <f aca="false">IF(D109="x",0,IF(C109&lt;1,0,IF(C109&gt;1,1)))</f>
        <v>1</v>
      </c>
      <c r="C109" s="196" t="n">
        <v>122.454</v>
      </c>
      <c r="D109" s="197"/>
      <c r="E109" s="191" t="s">
        <v>53</v>
      </c>
    </row>
    <row r="110" customFormat="false" ht="14.25" hidden="false" customHeight="false" outlineLevel="0" collapsed="false">
      <c r="A110" s="192" t="n">
        <v>131</v>
      </c>
      <c r="B110" s="188" t="n">
        <f aca="false">IF(D110="x",0,IF(C110&lt;1,0,IF(C110&gt;1,1)))</f>
        <v>0</v>
      </c>
      <c r="C110" s="196"/>
      <c r="D110" s="197"/>
      <c r="E110" s="191" t="s">
        <v>53</v>
      </c>
    </row>
    <row r="111" customFormat="false" ht="14.25" hidden="false" customHeight="false" outlineLevel="0" collapsed="false">
      <c r="A111" s="195" t="n">
        <v>132</v>
      </c>
      <c r="B111" s="188" t="n">
        <f aca="false">IF(D111="x",0,IF(C111&lt;1,0,IF(C111&gt;1,1)))</f>
        <v>0</v>
      </c>
      <c r="C111" s="196"/>
      <c r="D111" s="197"/>
      <c r="E111" s="191" t="s">
        <v>53</v>
      </c>
    </row>
    <row r="112" customFormat="false" ht="14.25" hidden="false" customHeight="false" outlineLevel="0" collapsed="false">
      <c r="A112" s="192" t="n">
        <v>133</v>
      </c>
      <c r="B112" s="188" t="n">
        <f aca="false">IF(D112="x",0,IF(C112&lt;1,0,IF(C112&gt;1,1)))</f>
        <v>0</v>
      </c>
      <c r="C112" s="196"/>
      <c r="D112" s="197"/>
      <c r="E112" s="191" t="s">
        <v>53</v>
      </c>
    </row>
    <row r="113" customFormat="false" ht="14.25" hidden="false" customHeight="false" outlineLevel="0" collapsed="false">
      <c r="A113" s="195" t="n">
        <v>134</v>
      </c>
      <c r="B113" s="188" t="n">
        <f aca="false">IF(D113="x",0,IF(C113&lt;1,0,IF(C113&gt;1,1)))</f>
        <v>0</v>
      </c>
      <c r="C113" s="196"/>
      <c r="D113" s="197"/>
      <c r="E113" s="191" t="s">
        <v>53</v>
      </c>
    </row>
    <row r="114" customFormat="false" ht="14.25" hidden="false" customHeight="false" outlineLevel="0" collapsed="false">
      <c r="A114" s="192" t="n">
        <v>135</v>
      </c>
      <c r="B114" s="188" t="n">
        <f aca="false">IF(D114="x",0,IF(C114&lt;1,0,IF(C114&gt;1,1)))</f>
        <v>1</v>
      </c>
      <c r="C114" s="196" t="n">
        <v>121.113</v>
      </c>
      <c r="D114" s="197"/>
      <c r="E114" s="191" t="s">
        <v>53</v>
      </c>
    </row>
    <row r="115" customFormat="false" ht="14.25" hidden="false" customHeight="false" outlineLevel="0" collapsed="false">
      <c r="A115" s="195" t="n">
        <v>136</v>
      </c>
      <c r="B115" s="188" t="n">
        <f aca="false">IF(D115="x",0,IF(C115&lt;1,0,IF(C115&gt;1,1)))</f>
        <v>0</v>
      </c>
      <c r="C115" s="196"/>
      <c r="D115" s="197"/>
      <c r="E115" s="191" t="s">
        <v>53</v>
      </c>
    </row>
    <row r="116" customFormat="false" ht="14.25" hidden="false" customHeight="false" outlineLevel="0" collapsed="false">
      <c r="A116" s="192" t="n">
        <v>137</v>
      </c>
      <c r="B116" s="188" t="n">
        <f aca="false">IF(D116="x",0,IF(C116&lt;1,0,IF(C116&gt;1,1)))</f>
        <v>0</v>
      </c>
      <c r="C116" s="196"/>
      <c r="D116" s="197"/>
      <c r="E116" s="191" t="s">
        <v>53</v>
      </c>
    </row>
    <row r="117" customFormat="false" ht="14.25" hidden="false" customHeight="false" outlineLevel="0" collapsed="false">
      <c r="A117" s="195" t="n">
        <v>138</v>
      </c>
      <c r="B117" s="188" t="n">
        <f aca="false">IF(D117="x",0,IF(C117&lt;1,0,IF(C117&gt;1,1)))</f>
        <v>0</v>
      </c>
      <c r="C117" s="196"/>
      <c r="D117" s="197"/>
      <c r="E117" s="191" t="s">
        <v>53</v>
      </c>
    </row>
    <row r="118" customFormat="false" ht="14.25" hidden="false" customHeight="false" outlineLevel="0" collapsed="false">
      <c r="A118" s="192" t="n">
        <v>139</v>
      </c>
      <c r="B118" s="188" t="n">
        <f aca="false">IF(D118="x",0,IF(C118&lt;1,0,IF(C118&gt;1,1)))</f>
        <v>0</v>
      </c>
      <c r="C118" s="196"/>
      <c r="D118" s="197"/>
      <c r="E118" s="191" t="s">
        <v>53</v>
      </c>
    </row>
    <row r="119" customFormat="false" ht="14.25" hidden="false" customHeight="false" outlineLevel="0" collapsed="false">
      <c r="A119" s="195" t="n">
        <v>140</v>
      </c>
      <c r="B119" s="188" t="n">
        <f aca="false">IF(D119="x",0,IF(C119&lt;1,0,IF(C119&gt;1,1)))</f>
        <v>0</v>
      </c>
      <c r="C119" s="196"/>
      <c r="D119" s="197"/>
      <c r="E119" s="191" t="s">
        <v>53</v>
      </c>
    </row>
    <row r="120" customFormat="false" ht="14.25" hidden="false" customHeight="false" outlineLevel="0" collapsed="false">
      <c r="A120" s="192" t="n">
        <v>141</v>
      </c>
      <c r="B120" s="188" t="n">
        <f aca="false">IF(D120="x",0,IF(C120&lt;1,0,IF(C120&gt;1,1)))</f>
        <v>0</v>
      </c>
      <c r="C120" s="196"/>
      <c r="D120" s="197"/>
      <c r="E120" s="191" t="s">
        <v>53</v>
      </c>
    </row>
    <row r="121" customFormat="false" ht="14.25" hidden="false" customHeight="false" outlineLevel="0" collapsed="false">
      <c r="A121" s="195" t="n">
        <v>142</v>
      </c>
      <c r="B121" s="188" t="n">
        <f aca="false">IF(D121="x",0,IF(C121&lt;1,0,IF(C121&gt;1,1)))</f>
        <v>0</v>
      </c>
      <c r="C121" s="196"/>
      <c r="D121" s="197"/>
      <c r="E121" s="191" t="s">
        <v>53</v>
      </c>
    </row>
    <row r="122" customFormat="false" ht="14.25" hidden="false" customHeight="false" outlineLevel="0" collapsed="false">
      <c r="A122" s="192" t="n">
        <v>143</v>
      </c>
      <c r="B122" s="188" t="n">
        <f aca="false">IF(D122="x",0,IF(C122&lt;1,0,IF(C122&gt;1,1)))</f>
        <v>0</v>
      </c>
      <c r="C122" s="196"/>
      <c r="D122" s="197"/>
      <c r="E122" s="191" t="s">
        <v>53</v>
      </c>
    </row>
    <row r="123" customFormat="false" ht="14.25" hidden="false" customHeight="false" outlineLevel="0" collapsed="false">
      <c r="A123" s="195" t="n">
        <v>144</v>
      </c>
      <c r="B123" s="188" t="n">
        <f aca="false">IF(D123="x",0,IF(C123&lt;1,0,IF(C123&gt;1,1)))</f>
        <v>0</v>
      </c>
      <c r="C123" s="196"/>
      <c r="D123" s="197"/>
      <c r="E123" s="191" t="s">
        <v>53</v>
      </c>
    </row>
    <row r="124" customFormat="false" ht="14.25" hidden="false" customHeight="false" outlineLevel="0" collapsed="false">
      <c r="A124" s="192" t="n">
        <v>145</v>
      </c>
      <c r="B124" s="188" t="n">
        <f aca="false">IF(D124="x",0,IF(C124&lt;1,0,IF(C124&gt;1,1)))</f>
        <v>0</v>
      </c>
      <c r="C124" s="196"/>
      <c r="D124" s="197"/>
      <c r="E124" s="191" t="s">
        <v>53</v>
      </c>
    </row>
    <row r="125" customFormat="false" ht="14.25" hidden="false" customHeight="false" outlineLevel="0" collapsed="false">
      <c r="A125" s="195" t="n">
        <v>146</v>
      </c>
      <c r="B125" s="188" t="n">
        <f aca="false">IF(D125="x",0,IF(C125&lt;1,0,IF(C125&gt;1,1)))</f>
        <v>1</v>
      </c>
      <c r="C125" s="196" t="n">
        <v>126.446</v>
      </c>
      <c r="D125" s="197"/>
      <c r="E125" s="191" t="s">
        <v>53</v>
      </c>
    </row>
    <row r="126" customFormat="false" ht="14.25" hidden="false" customHeight="false" outlineLevel="0" collapsed="false">
      <c r="A126" s="192" t="n">
        <v>147</v>
      </c>
      <c r="B126" s="188" t="n">
        <f aca="false">IF(D126="x",0,IF(C126&lt;1,0,IF(C126&gt;1,1)))</f>
        <v>0</v>
      </c>
      <c r="C126" s="196"/>
      <c r="D126" s="197"/>
      <c r="E126" s="191" t="s">
        <v>53</v>
      </c>
    </row>
    <row r="127" customFormat="false" ht="14.25" hidden="false" customHeight="false" outlineLevel="0" collapsed="false">
      <c r="A127" s="195" t="n">
        <v>148</v>
      </c>
      <c r="B127" s="188" t="n">
        <f aca="false">IF(D127="x",0,IF(C127&lt;1,0,IF(C127&gt;1,1)))</f>
        <v>0</v>
      </c>
      <c r="C127" s="196"/>
      <c r="D127" s="197"/>
      <c r="E127" s="191" t="s">
        <v>53</v>
      </c>
    </row>
    <row r="128" customFormat="false" ht="14.25" hidden="false" customHeight="false" outlineLevel="0" collapsed="false">
      <c r="A128" s="192" t="n">
        <v>149</v>
      </c>
      <c r="B128" s="188" t="n">
        <f aca="false">IF(D128="x",0,IF(C128&lt;1,0,IF(C128&gt;1,1)))</f>
        <v>0</v>
      </c>
      <c r="C128" s="196"/>
      <c r="D128" s="197"/>
      <c r="E128" s="191" t="s">
        <v>53</v>
      </c>
    </row>
    <row r="129" customFormat="false" ht="14.25" hidden="false" customHeight="false" outlineLevel="0" collapsed="false">
      <c r="A129" s="195" t="n">
        <v>150</v>
      </c>
      <c r="B129" s="188" t="n">
        <f aca="false">IF(D129="x",0,IF(C129&lt;1,0,IF(C129&gt;1,1)))</f>
        <v>0</v>
      </c>
      <c r="C129" s="196"/>
      <c r="D129" s="197"/>
      <c r="E129" s="191" t="s">
        <v>53</v>
      </c>
    </row>
    <row r="130" customFormat="false" ht="14.25" hidden="false" customHeight="false" outlineLevel="0" collapsed="false">
      <c r="A130" s="192" t="n">
        <v>151</v>
      </c>
      <c r="B130" s="188" t="n">
        <f aca="false">IF(D130="x",0,IF(C130&lt;1,0,IF(C130&gt;1,1)))</f>
        <v>0</v>
      </c>
      <c r="C130" s="196"/>
      <c r="D130" s="197"/>
      <c r="E130" s="191" t="s">
        <v>53</v>
      </c>
    </row>
    <row r="131" customFormat="false" ht="14.25" hidden="false" customHeight="false" outlineLevel="0" collapsed="false">
      <c r="A131" s="195" t="n">
        <v>152</v>
      </c>
      <c r="B131" s="188" t="n">
        <f aca="false">IF(D131="x",0,IF(C131&lt;1,0,IF(C131&gt;1,1)))</f>
        <v>0</v>
      </c>
      <c r="C131" s="196"/>
      <c r="D131" s="197"/>
      <c r="E131" s="191" t="s">
        <v>53</v>
      </c>
    </row>
    <row r="132" customFormat="false" ht="14.25" hidden="false" customHeight="false" outlineLevel="0" collapsed="false">
      <c r="A132" s="192" t="n">
        <v>153</v>
      </c>
      <c r="B132" s="188" t="n">
        <f aca="false">IF(D132="x",0,IF(C132&lt;1,0,IF(C132&gt;1,1)))</f>
        <v>1</v>
      </c>
      <c r="C132" s="196" t="n">
        <v>117.524</v>
      </c>
      <c r="D132" s="197"/>
      <c r="E132" s="191" t="s">
        <v>53</v>
      </c>
    </row>
    <row r="133" customFormat="false" ht="14.25" hidden="false" customHeight="false" outlineLevel="0" collapsed="false">
      <c r="A133" s="195" t="n">
        <v>154</v>
      </c>
      <c r="B133" s="188" t="n">
        <f aca="false">IF(D133="x",0,IF(C133&lt;1,0,IF(C133&gt;1,1)))</f>
        <v>1</v>
      </c>
      <c r="C133" s="196" t="n">
        <v>124.41</v>
      </c>
      <c r="D133" s="197"/>
      <c r="E133" s="191" t="s">
        <v>53</v>
      </c>
    </row>
    <row r="134" customFormat="false" ht="14.25" hidden="false" customHeight="false" outlineLevel="0" collapsed="false">
      <c r="A134" s="192" t="n">
        <v>155</v>
      </c>
      <c r="B134" s="188" t="n">
        <f aca="false">IF(D134="x",0,IF(C134&lt;1,0,IF(C134&gt;1,1)))</f>
        <v>1</v>
      </c>
      <c r="C134" s="196" t="n">
        <v>120.745</v>
      </c>
      <c r="D134" s="197"/>
      <c r="E134" s="191" t="s">
        <v>53</v>
      </c>
    </row>
    <row r="135" customFormat="false" ht="14.25" hidden="false" customHeight="false" outlineLevel="0" collapsed="false">
      <c r="A135" s="195" t="n">
        <v>156</v>
      </c>
      <c r="B135" s="188" t="n">
        <f aca="false">IF(D135="x",0,IF(C135&lt;1,0,IF(C135&gt;1,1)))</f>
        <v>0</v>
      </c>
      <c r="C135" s="196"/>
      <c r="D135" s="197"/>
      <c r="E135" s="191" t="s">
        <v>53</v>
      </c>
    </row>
    <row r="136" customFormat="false" ht="14.25" hidden="false" customHeight="false" outlineLevel="0" collapsed="false">
      <c r="A136" s="192" t="n">
        <v>157</v>
      </c>
      <c r="B136" s="188" t="n">
        <f aca="false">IF(D136="x",0,IF(C136&lt;1,0,IF(C136&gt;1,1)))</f>
        <v>1</v>
      </c>
      <c r="C136" s="196" t="n">
        <v>129.58</v>
      </c>
      <c r="D136" s="197"/>
      <c r="E136" s="191" t="s">
        <v>53</v>
      </c>
    </row>
    <row r="137" customFormat="false" ht="14.25" hidden="false" customHeight="false" outlineLevel="0" collapsed="false">
      <c r="A137" s="195" t="n">
        <v>158</v>
      </c>
      <c r="B137" s="188" t="n">
        <f aca="false">IF(D137="x",0,IF(C137&lt;1,0,IF(C137&gt;1,1)))</f>
        <v>1</v>
      </c>
      <c r="C137" s="196" t="n">
        <v>130.29</v>
      </c>
      <c r="D137" s="197"/>
      <c r="E137" s="191" t="s">
        <v>53</v>
      </c>
    </row>
    <row r="138" customFormat="false" ht="14.25" hidden="false" customHeight="false" outlineLevel="0" collapsed="false">
      <c r="A138" s="192" t="n">
        <v>159</v>
      </c>
      <c r="B138" s="188" t="n">
        <f aca="false">IF(D138="x",0,IF(C138&lt;1,0,IF(C138&gt;1,1)))</f>
        <v>0</v>
      </c>
      <c r="C138" s="196"/>
      <c r="D138" s="197"/>
      <c r="E138" s="191" t="s">
        <v>53</v>
      </c>
    </row>
    <row r="139" customFormat="false" ht="14.25" hidden="false" customHeight="false" outlineLevel="0" collapsed="false">
      <c r="A139" s="195" t="n">
        <v>160</v>
      </c>
      <c r="B139" s="188" t="n">
        <f aca="false">IF(D139="x",0,IF(C139&lt;1,0,IF(C139&gt;1,1)))</f>
        <v>1</v>
      </c>
      <c r="C139" s="196" t="n">
        <v>130.08</v>
      </c>
      <c r="D139" s="197"/>
      <c r="E139" s="191" t="s">
        <v>53</v>
      </c>
    </row>
    <row r="140" customFormat="false" ht="14.25" hidden="false" customHeight="false" outlineLevel="0" collapsed="false">
      <c r="A140" s="192" t="n">
        <v>161</v>
      </c>
      <c r="B140" s="188" t="n">
        <f aca="false">IF(D140="x",0,IF(C140&lt;1,0,IF(C140&gt;1,1)))</f>
        <v>1</v>
      </c>
      <c r="C140" s="196" t="n">
        <v>128.25</v>
      </c>
      <c r="D140" s="197"/>
      <c r="E140" s="191" t="s">
        <v>53</v>
      </c>
    </row>
    <row r="141" customFormat="false" ht="14.25" hidden="false" customHeight="false" outlineLevel="0" collapsed="false">
      <c r="A141" s="195" t="n">
        <v>162</v>
      </c>
      <c r="B141" s="188" t="n">
        <f aca="false">IF(D141="x",0,IF(C141&lt;1,0,IF(C141&gt;1,1)))</f>
        <v>1</v>
      </c>
      <c r="C141" s="196" t="n">
        <v>112.92</v>
      </c>
      <c r="D141" s="197"/>
      <c r="E141" s="191" t="s">
        <v>53</v>
      </c>
    </row>
    <row r="142" customFormat="false" ht="14.25" hidden="false" customHeight="false" outlineLevel="0" collapsed="false">
      <c r="A142" s="192" t="n">
        <v>163</v>
      </c>
      <c r="B142" s="188" t="n">
        <f aca="false">IF(D142="x",0,IF(C142&lt;1,0,IF(C142&gt;1,1)))</f>
        <v>0</v>
      </c>
      <c r="C142" s="196"/>
      <c r="D142" s="197"/>
      <c r="E142" s="191" t="s">
        <v>53</v>
      </c>
    </row>
    <row r="143" customFormat="false" ht="14.25" hidden="false" customHeight="false" outlineLevel="0" collapsed="false">
      <c r="A143" s="195" t="n">
        <v>164</v>
      </c>
      <c r="B143" s="188" t="n">
        <f aca="false">IF(D143="x",0,IF(C143&lt;1,0,IF(C143&gt;1,1)))</f>
        <v>0</v>
      </c>
      <c r="C143" s="196"/>
      <c r="D143" s="197"/>
      <c r="E143" s="191" t="s">
        <v>53</v>
      </c>
    </row>
    <row r="144" customFormat="false" ht="14.25" hidden="false" customHeight="false" outlineLevel="0" collapsed="false">
      <c r="A144" s="192" t="n">
        <v>165</v>
      </c>
      <c r="B144" s="188" t="n">
        <f aca="false">IF(D144="x",0,IF(C144&lt;1,0,IF(C144&gt;1,1)))</f>
        <v>0</v>
      </c>
      <c r="C144" s="196"/>
      <c r="D144" s="197"/>
      <c r="E144" s="191" t="s">
        <v>53</v>
      </c>
    </row>
    <row r="145" customFormat="false" ht="14.25" hidden="false" customHeight="false" outlineLevel="0" collapsed="false">
      <c r="A145" s="195" t="n">
        <v>166</v>
      </c>
      <c r="B145" s="188" t="n">
        <f aca="false">IF(D145="x",0,IF(C145&lt;1,0,IF(C145&gt;1,1)))</f>
        <v>0</v>
      </c>
      <c r="C145" s="196"/>
      <c r="D145" s="197"/>
      <c r="E145" s="191" t="s">
        <v>53</v>
      </c>
    </row>
    <row r="146" customFormat="false" ht="14.25" hidden="false" customHeight="false" outlineLevel="0" collapsed="false">
      <c r="A146" s="192" t="n">
        <v>167</v>
      </c>
      <c r="B146" s="188" t="n">
        <f aca="false">IF(D146="x",0,IF(C146&lt;1,0,IF(C146&gt;1,1)))</f>
        <v>0</v>
      </c>
      <c r="C146" s="196"/>
      <c r="D146" s="197"/>
      <c r="E146" s="191" t="s">
        <v>53</v>
      </c>
    </row>
    <row r="147" customFormat="false" ht="14.25" hidden="false" customHeight="false" outlineLevel="0" collapsed="false">
      <c r="A147" s="195" t="n">
        <v>168</v>
      </c>
      <c r="B147" s="188" t="n">
        <f aca="false">IF(D147="x",0,IF(C147&lt;1,0,IF(C147&gt;1,1)))</f>
        <v>0</v>
      </c>
      <c r="C147" s="196"/>
      <c r="D147" s="197"/>
      <c r="E147" s="191" t="s">
        <v>53</v>
      </c>
    </row>
    <row r="148" customFormat="false" ht="14.25" hidden="false" customHeight="false" outlineLevel="0" collapsed="false">
      <c r="A148" s="192" t="n">
        <v>169</v>
      </c>
      <c r="B148" s="188" t="n">
        <f aca="false">IF(D148="x",0,IF(C148&lt;1,0,IF(C148&gt;1,1)))</f>
        <v>0</v>
      </c>
      <c r="C148" s="196"/>
      <c r="D148" s="197"/>
      <c r="E148" s="191" t="s">
        <v>53</v>
      </c>
    </row>
    <row r="149" customFormat="false" ht="14.25" hidden="false" customHeight="false" outlineLevel="0" collapsed="false">
      <c r="A149" s="195" t="n">
        <v>170</v>
      </c>
      <c r="B149" s="188" t="n">
        <f aca="false">IF(D149="x",0,IF(C149&lt;1,0,IF(C149&gt;1,1)))</f>
        <v>0</v>
      </c>
      <c r="C149" s="196"/>
      <c r="D149" s="197"/>
      <c r="E149" s="191" t="s">
        <v>53</v>
      </c>
    </row>
    <row r="150" customFormat="false" ht="14.25" hidden="false" customHeight="false" outlineLevel="0" collapsed="false">
      <c r="A150" s="192" t="n">
        <v>171</v>
      </c>
      <c r="B150" s="188" t="n">
        <f aca="false">IF(D150="x",0,IF(C150&lt;1,0,IF(C150&gt;1,1)))</f>
        <v>0</v>
      </c>
      <c r="C150" s="196"/>
      <c r="D150" s="197"/>
      <c r="E150" s="191" t="s">
        <v>53</v>
      </c>
    </row>
    <row r="151" customFormat="false" ht="14.25" hidden="false" customHeight="false" outlineLevel="0" collapsed="false">
      <c r="A151" s="195" t="n">
        <v>172</v>
      </c>
      <c r="B151" s="188" t="n">
        <f aca="false">IF(D151="x",0,IF(C151&lt;1,0,IF(C151&gt;1,1)))</f>
        <v>0</v>
      </c>
      <c r="C151" s="196"/>
      <c r="D151" s="197"/>
      <c r="E151" s="191" t="s">
        <v>53</v>
      </c>
    </row>
    <row r="152" customFormat="false" ht="14.25" hidden="false" customHeight="false" outlineLevel="0" collapsed="false">
      <c r="A152" s="192" t="n">
        <v>173</v>
      </c>
      <c r="B152" s="188" t="n">
        <f aca="false">IF(D152="x",0,IF(C152&lt;1,0,IF(C152&gt;1,1)))</f>
        <v>0</v>
      </c>
      <c r="C152" s="196"/>
      <c r="D152" s="197"/>
      <c r="E152" s="191" t="s">
        <v>53</v>
      </c>
    </row>
    <row r="153" customFormat="false" ht="14.25" hidden="false" customHeight="false" outlineLevel="0" collapsed="false">
      <c r="A153" s="195" t="n">
        <v>174</v>
      </c>
      <c r="B153" s="188" t="n">
        <f aca="false">IF(D153="x",0,IF(C153&lt;1,0,IF(C153&gt;1,1)))</f>
        <v>0</v>
      </c>
      <c r="C153" s="196"/>
      <c r="D153" s="197"/>
      <c r="E153" s="191" t="s">
        <v>53</v>
      </c>
    </row>
    <row r="154" customFormat="false" ht="14.25" hidden="false" customHeight="false" outlineLevel="0" collapsed="false">
      <c r="A154" s="192" t="n">
        <v>175</v>
      </c>
      <c r="B154" s="188" t="n">
        <f aca="false">IF(D154="x",0,IF(C154&lt;1,0,IF(C154&gt;1,1)))</f>
        <v>0</v>
      </c>
      <c r="C154" s="196"/>
      <c r="D154" s="197"/>
      <c r="E154" s="191" t="s">
        <v>53</v>
      </c>
    </row>
    <row r="155" customFormat="false" ht="14.25" hidden="false" customHeight="false" outlineLevel="0" collapsed="false">
      <c r="A155" s="195" t="n">
        <v>176</v>
      </c>
      <c r="B155" s="188" t="n">
        <f aca="false">IF(D155="x",0,IF(C155&lt;1,0,IF(C155&gt;1,1)))</f>
        <v>0</v>
      </c>
      <c r="C155" s="196"/>
      <c r="D155" s="197"/>
      <c r="E155" s="191" t="s">
        <v>53</v>
      </c>
    </row>
    <row r="156" customFormat="false" ht="14.25" hidden="false" customHeight="false" outlineLevel="0" collapsed="false">
      <c r="A156" s="192" t="n">
        <v>177</v>
      </c>
      <c r="B156" s="188" t="n">
        <f aca="false">IF(D156="x",0,IF(C156&lt;1,0,IF(C156&gt;1,1)))</f>
        <v>0</v>
      </c>
      <c r="C156" s="196"/>
      <c r="D156" s="197"/>
      <c r="E156" s="191" t="s">
        <v>53</v>
      </c>
    </row>
    <row r="157" customFormat="false" ht="14.25" hidden="false" customHeight="false" outlineLevel="0" collapsed="false">
      <c r="A157" s="195" t="n">
        <v>178</v>
      </c>
      <c r="B157" s="188" t="n">
        <f aca="false">IF(D157="x",0,IF(C157&lt;1,0,IF(C157&gt;1,1)))</f>
        <v>0</v>
      </c>
      <c r="C157" s="196"/>
      <c r="D157" s="197"/>
      <c r="E157" s="191" t="s">
        <v>53</v>
      </c>
    </row>
    <row r="158" customFormat="false" ht="14.25" hidden="false" customHeight="false" outlineLevel="0" collapsed="false">
      <c r="A158" s="192" t="n">
        <v>179</v>
      </c>
      <c r="B158" s="188" t="n">
        <f aca="false">IF(D158="x",0,IF(C158&lt;1,0,IF(C158&gt;1,1)))</f>
        <v>0</v>
      </c>
      <c r="C158" s="196"/>
      <c r="D158" s="197"/>
      <c r="E158" s="191" t="s">
        <v>53</v>
      </c>
    </row>
    <row r="159" customFormat="false" ht="14.25" hidden="false" customHeight="false" outlineLevel="0" collapsed="false">
      <c r="A159" s="195" t="n">
        <v>180</v>
      </c>
      <c r="B159" s="188" t="n">
        <f aca="false">IF(D159="x",0,IF(C159&lt;1,0,IF(C159&gt;1,1)))</f>
        <v>0</v>
      </c>
      <c r="C159" s="196"/>
      <c r="D159" s="197"/>
      <c r="E159" s="191" t="s">
        <v>53</v>
      </c>
    </row>
    <row r="160" customFormat="false" ht="14.25" hidden="false" customHeight="false" outlineLevel="0" collapsed="false">
      <c r="A160" s="192" t="n">
        <v>181</v>
      </c>
      <c r="B160" s="188" t="n">
        <f aca="false">IF(D160="x",0,IF(C160&lt;1,0,IF(C160&gt;1,1)))</f>
        <v>0</v>
      </c>
      <c r="C160" s="196"/>
      <c r="D160" s="197"/>
      <c r="E160" s="191" t="s">
        <v>53</v>
      </c>
    </row>
    <row r="161" customFormat="false" ht="14.25" hidden="false" customHeight="false" outlineLevel="0" collapsed="false">
      <c r="A161" s="195" t="n">
        <v>182</v>
      </c>
      <c r="B161" s="188" t="n">
        <f aca="false">IF(D161="x",0,IF(C161&lt;1,0,IF(C161&gt;1,1)))</f>
        <v>0</v>
      </c>
      <c r="C161" s="196"/>
      <c r="D161" s="197"/>
      <c r="E161" s="191" t="s">
        <v>53</v>
      </c>
    </row>
    <row r="162" customFormat="false" ht="14.25" hidden="false" customHeight="false" outlineLevel="0" collapsed="false">
      <c r="A162" s="192" t="n">
        <v>183</v>
      </c>
      <c r="B162" s="188" t="n">
        <f aca="false">IF(D162="x",0,IF(C162&lt;1,0,IF(C162&gt;1,1)))</f>
        <v>0</v>
      </c>
      <c r="C162" s="196"/>
      <c r="D162" s="197"/>
      <c r="E162" s="191" t="s">
        <v>53</v>
      </c>
    </row>
    <row r="163" customFormat="false" ht="14.25" hidden="false" customHeight="false" outlineLevel="0" collapsed="false">
      <c r="A163" s="195" t="n">
        <v>184</v>
      </c>
      <c r="B163" s="188" t="n">
        <f aca="false">IF(D163="x",0,IF(C163&lt;1,0,IF(C163&gt;1,1)))</f>
        <v>0</v>
      </c>
      <c r="C163" s="196"/>
      <c r="D163" s="197"/>
      <c r="E163" s="191" t="s">
        <v>53</v>
      </c>
    </row>
    <row r="164" customFormat="false" ht="14.25" hidden="false" customHeight="false" outlineLevel="0" collapsed="false">
      <c r="A164" s="192" t="n">
        <v>185</v>
      </c>
      <c r="B164" s="188" t="n">
        <f aca="false">IF(D164="x",0,IF(C164&lt;1,0,IF(C164&gt;1,1)))</f>
        <v>0</v>
      </c>
      <c r="C164" s="196"/>
      <c r="D164" s="197"/>
      <c r="E164" s="191" t="s">
        <v>53</v>
      </c>
    </row>
    <row r="165" customFormat="false" ht="14.25" hidden="false" customHeight="false" outlineLevel="0" collapsed="false">
      <c r="A165" s="195" t="n">
        <v>186</v>
      </c>
      <c r="B165" s="188" t="n">
        <f aca="false">IF(D165="x",0,IF(C165&lt;1,0,IF(C165&gt;1,1)))</f>
        <v>0</v>
      </c>
      <c r="C165" s="196"/>
      <c r="D165" s="197"/>
      <c r="E165" s="191" t="s">
        <v>53</v>
      </c>
    </row>
    <row r="166" customFormat="false" ht="14.25" hidden="false" customHeight="false" outlineLevel="0" collapsed="false">
      <c r="A166" s="192" t="n">
        <v>187</v>
      </c>
      <c r="B166" s="188" t="n">
        <f aca="false">IF(D166="x",0,IF(C166&lt;1,0,IF(C166&gt;1,1)))</f>
        <v>0</v>
      </c>
      <c r="C166" s="196"/>
      <c r="D166" s="197"/>
      <c r="E166" s="191" t="s">
        <v>53</v>
      </c>
    </row>
    <row r="167" customFormat="false" ht="14.25" hidden="false" customHeight="false" outlineLevel="0" collapsed="false">
      <c r="A167" s="195" t="n">
        <v>188</v>
      </c>
      <c r="B167" s="188" t="n">
        <f aca="false">IF(D167="x",0,IF(C167&lt;1,0,IF(C167&gt;1,1)))</f>
        <v>0</v>
      </c>
      <c r="C167" s="196"/>
      <c r="D167" s="197"/>
      <c r="E167" s="191" t="s">
        <v>53</v>
      </c>
    </row>
    <row r="168" customFormat="false" ht="14.25" hidden="false" customHeight="false" outlineLevel="0" collapsed="false">
      <c r="A168" s="192" t="n">
        <v>189</v>
      </c>
      <c r="B168" s="188" t="n">
        <f aca="false">IF(D168="x",0,IF(C168&lt;1,0,IF(C168&gt;1,1)))</f>
        <v>0</v>
      </c>
      <c r="C168" s="196"/>
      <c r="D168" s="197"/>
      <c r="E168" s="191" t="s">
        <v>53</v>
      </c>
    </row>
    <row r="169" customFormat="false" ht="14.25" hidden="false" customHeight="false" outlineLevel="0" collapsed="false">
      <c r="A169" s="195" t="n">
        <v>190</v>
      </c>
      <c r="B169" s="188" t="n">
        <f aca="false">IF(D169="x",0,IF(C169&lt;1,0,IF(C169&gt;1,1)))</f>
        <v>0</v>
      </c>
      <c r="C169" s="196"/>
      <c r="D169" s="197"/>
      <c r="E169" s="191" t="s">
        <v>53</v>
      </c>
    </row>
    <row r="170" customFormat="false" ht="14.25" hidden="false" customHeight="false" outlineLevel="0" collapsed="false">
      <c r="A170" s="192" t="n">
        <v>191</v>
      </c>
      <c r="B170" s="188" t="n">
        <f aca="false">IF(D170="x",0,IF(C170&lt;1,0,IF(C170&gt;1,1)))</f>
        <v>0</v>
      </c>
      <c r="C170" s="196"/>
      <c r="D170" s="197"/>
      <c r="E170" s="191" t="s">
        <v>53</v>
      </c>
    </row>
    <row r="171" customFormat="false" ht="14.25" hidden="false" customHeight="false" outlineLevel="0" collapsed="false">
      <c r="A171" s="195" t="n">
        <v>192</v>
      </c>
      <c r="B171" s="188" t="n">
        <f aca="false">IF(D171="x",0,IF(C171&lt;1,0,IF(C171&gt;1,1)))</f>
        <v>0</v>
      </c>
      <c r="C171" s="196"/>
      <c r="D171" s="197"/>
      <c r="E171" s="191" t="s">
        <v>53</v>
      </c>
    </row>
    <row r="172" customFormat="false" ht="14.25" hidden="false" customHeight="false" outlineLevel="0" collapsed="false">
      <c r="A172" s="192" t="n">
        <v>193</v>
      </c>
      <c r="B172" s="188" t="n">
        <f aca="false">IF(D172="x",0,IF(C172&lt;1,0,IF(C172&gt;1,1)))</f>
        <v>0</v>
      </c>
      <c r="C172" s="196"/>
      <c r="D172" s="197"/>
      <c r="E172" s="191" t="s">
        <v>53</v>
      </c>
    </row>
    <row r="173" customFormat="false" ht="14.25" hidden="false" customHeight="false" outlineLevel="0" collapsed="false">
      <c r="A173" s="195" t="n">
        <v>194</v>
      </c>
      <c r="B173" s="188" t="n">
        <f aca="false">IF(D173="x",0,IF(C173&lt;1,0,IF(C173&gt;1,1)))</f>
        <v>0</v>
      </c>
      <c r="C173" s="196"/>
      <c r="D173" s="197"/>
      <c r="E173" s="191" t="s">
        <v>53</v>
      </c>
    </row>
    <row r="174" customFormat="false" ht="14.25" hidden="false" customHeight="false" outlineLevel="0" collapsed="false">
      <c r="A174" s="192" t="n">
        <v>195</v>
      </c>
      <c r="B174" s="188" t="n">
        <f aca="false">IF(D174="x",0,IF(C174&lt;1,0,IF(C174&gt;1,1)))</f>
        <v>0</v>
      </c>
      <c r="C174" s="196"/>
      <c r="D174" s="197"/>
      <c r="E174" s="191" t="s">
        <v>53</v>
      </c>
    </row>
    <row r="175" customFormat="false" ht="14.25" hidden="false" customHeight="false" outlineLevel="0" collapsed="false">
      <c r="A175" s="195" t="n">
        <v>196</v>
      </c>
      <c r="B175" s="188" t="n">
        <f aca="false">IF(D175="x",0,IF(C175&lt;1,0,IF(C175&gt;1,1)))</f>
        <v>0</v>
      </c>
      <c r="C175" s="196"/>
      <c r="D175" s="197"/>
      <c r="E175" s="191" t="s">
        <v>53</v>
      </c>
    </row>
    <row r="176" customFormat="false" ht="14.25" hidden="false" customHeight="false" outlineLevel="0" collapsed="false">
      <c r="A176" s="192" t="n">
        <v>197</v>
      </c>
      <c r="B176" s="188" t="n">
        <f aca="false">IF(D176="x",0,IF(C176&lt;1,0,IF(C176&gt;1,1)))</f>
        <v>0</v>
      </c>
      <c r="C176" s="196"/>
      <c r="D176" s="197"/>
      <c r="E176" s="191" t="s">
        <v>53</v>
      </c>
    </row>
    <row r="177" customFormat="false" ht="14.25" hidden="false" customHeight="false" outlineLevel="0" collapsed="false">
      <c r="A177" s="195" t="n">
        <v>198</v>
      </c>
      <c r="B177" s="188" t="n">
        <f aca="false">IF(D177="x",0,IF(C177&lt;1,0,IF(C177&gt;1,1)))</f>
        <v>0</v>
      </c>
      <c r="C177" s="196"/>
      <c r="D177" s="197"/>
      <c r="E177" s="191" t="s">
        <v>53</v>
      </c>
    </row>
    <row r="178" customFormat="false" ht="14.25" hidden="false" customHeight="false" outlineLevel="0" collapsed="false">
      <c r="A178" s="192" t="n">
        <v>199</v>
      </c>
      <c r="B178" s="188" t="n">
        <f aca="false">IF(D178="x",0,IF(C178&lt;1,0,IF(C178&gt;1,1)))</f>
        <v>0</v>
      </c>
      <c r="C178" s="196"/>
      <c r="D178" s="197"/>
      <c r="E178" s="191" t="s">
        <v>53</v>
      </c>
    </row>
    <row r="179" customFormat="false" ht="14.25" hidden="false" customHeight="false" outlineLevel="0" collapsed="false">
      <c r="A179" s="195" t="n">
        <v>200</v>
      </c>
      <c r="B179" s="188" t="n">
        <f aca="false">IF(D179="x",0,IF(C179&lt;1,0,IF(C179&gt;1,1)))</f>
        <v>0</v>
      </c>
      <c r="C179" s="196"/>
      <c r="D179" s="197"/>
      <c r="E179" s="191" t="s">
        <v>53</v>
      </c>
    </row>
    <row r="180" customFormat="false" ht="14.25" hidden="false" customHeight="false" outlineLevel="0" collapsed="false">
      <c r="A180" s="192" t="n">
        <v>201</v>
      </c>
      <c r="B180" s="188" t="n">
        <f aca="false">IF(D180="x",0,IF(C180&lt;1,0,IF(C180&gt;1,1)))</f>
        <v>1</v>
      </c>
      <c r="C180" s="196" t="n">
        <v>129.01</v>
      </c>
      <c r="D180" s="197"/>
      <c r="E180" s="191" t="s">
        <v>53</v>
      </c>
    </row>
    <row r="181" customFormat="false" ht="14.25" hidden="false" customHeight="false" outlineLevel="0" collapsed="false">
      <c r="A181" s="195" t="n">
        <v>202</v>
      </c>
      <c r="B181" s="188" t="n">
        <f aca="false">IF(D181="x",0,IF(C181&lt;1,0,IF(C181&gt;1,1)))</f>
        <v>0</v>
      </c>
      <c r="C181" s="196"/>
      <c r="D181" s="197"/>
      <c r="E181" s="191" t="s">
        <v>53</v>
      </c>
    </row>
    <row r="182" customFormat="false" ht="14.25" hidden="false" customHeight="false" outlineLevel="0" collapsed="false">
      <c r="A182" s="192" t="n">
        <v>203</v>
      </c>
      <c r="B182" s="188" t="n">
        <f aca="false">IF(D182="x",0,IF(C182&lt;1,0,IF(C182&gt;1,1)))</f>
        <v>0</v>
      </c>
      <c r="C182" s="196"/>
      <c r="D182" s="197"/>
      <c r="E182" s="191" t="s">
        <v>53</v>
      </c>
    </row>
    <row r="183" customFormat="false" ht="14.25" hidden="false" customHeight="false" outlineLevel="0" collapsed="false">
      <c r="A183" s="195" t="n">
        <v>204</v>
      </c>
      <c r="B183" s="188" t="n">
        <f aca="false">IF(D183="x",0,IF(C183&lt;1,0,IF(C183&gt;1,1)))</f>
        <v>0</v>
      </c>
      <c r="C183" s="196"/>
      <c r="D183" s="197"/>
      <c r="E183" s="191" t="s">
        <v>53</v>
      </c>
    </row>
    <row r="184" customFormat="false" ht="14.25" hidden="false" customHeight="false" outlineLevel="0" collapsed="false">
      <c r="A184" s="192" t="n">
        <v>205</v>
      </c>
      <c r="B184" s="188" t="n">
        <f aca="false">IF(D184="x",0,IF(C184&lt;1,0,IF(C184&gt;1,1)))</f>
        <v>0</v>
      </c>
      <c r="C184" s="196"/>
      <c r="D184" s="197"/>
      <c r="E184" s="191" t="s">
        <v>53</v>
      </c>
    </row>
    <row r="185" customFormat="false" ht="14.25" hidden="false" customHeight="false" outlineLevel="0" collapsed="false">
      <c r="A185" s="195" t="n">
        <v>206</v>
      </c>
      <c r="B185" s="188" t="n">
        <f aca="false">IF(D185="x",0,IF(C185&lt;1,0,IF(C185&gt;1,1)))</f>
        <v>0</v>
      </c>
      <c r="C185" s="196"/>
      <c r="D185" s="197"/>
      <c r="E185" s="191" t="s">
        <v>53</v>
      </c>
    </row>
    <row r="186" customFormat="false" ht="14.25" hidden="false" customHeight="false" outlineLevel="0" collapsed="false">
      <c r="A186" s="192" t="n">
        <v>207</v>
      </c>
      <c r="B186" s="188" t="n">
        <f aca="false">IF(D186="x",0,IF(C186&lt;1,0,IF(C186&gt;1,1)))</f>
        <v>0</v>
      </c>
      <c r="C186" s="196"/>
      <c r="D186" s="197"/>
      <c r="E186" s="191" t="s">
        <v>53</v>
      </c>
    </row>
    <row r="187" customFormat="false" ht="14.25" hidden="false" customHeight="false" outlineLevel="0" collapsed="false">
      <c r="A187" s="195" t="n">
        <v>208</v>
      </c>
      <c r="B187" s="188" t="n">
        <f aca="false">IF(D187="x",0,IF(C187&lt;1,0,IF(C187&gt;1,1)))</f>
        <v>0</v>
      </c>
      <c r="C187" s="196"/>
      <c r="D187" s="197"/>
      <c r="E187" s="191" t="s">
        <v>53</v>
      </c>
    </row>
    <row r="188" customFormat="false" ht="14.25" hidden="false" customHeight="false" outlineLevel="0" collapsed="false">
      <c r="A188" s="192" t="n">
        <v>209</v>
      </c>
      <c r="B188" s="188" t="n">
        <f aca="false">IF(D188="x",0,IF(C188&lt;1,0,IF(C188&gt;1,1)))</f>
        <v>0</v>
      </c>
      <c r="C188" s="196"/>
      <c r="D188" s="197"/>
      <c r="E188" s="191" t="s">
        <v>53</v>
      </c>
    </row>
    <row r="189" customFormat="false" ht="14.25" hidden="false" customHeight="false" outlineLevel="0" collapsed="false">
      <c r="A189" s="195" t="n">
        <v>210</v>
      </c>
      <c r="B189" s="188" t="n">
        <f aca="false">IF(D189="x",0,IF(C189&lt;1,0,IF(C189&gt;1,1)))</f>
        <v>0</v>
      </c>
      <c r="C189" s="196"/>
      <c r="D189" s="197"/>
      <c r="E189" s="191" t="s">
        <v>53</v>
      </c>
    </row>
    <row r="190" customFormat="false" ht="14.25" hidden="false" customHeight="false" outlineLevel="0" collapsed="false">
      <c r="A190" s="192" t="n">
        <v>211</v>
      </c>
      <c r="B190" s="188" t="n">
        <f aca="false">IF(D190="x",0,IF(C190&lt;1,0,IF(C190&gt;1,1)))</f>
        <v>0</v>
      </c>
      <c r="C190" s="196"/>
      <c r="D190" s="197"/>
      <c r="E190" s="191" t="s">
        <v>53</v>
      </c>
    </row>
    <row r="191" customFormat="false" ht="14.25" hidden="false" customHeight="false" outlineLevel="0" collapsed="false">
      <c r="A191" s="195" t="n">
        <v>212</v>
      </c>
      <c r="B191" s="188" t="n">
        <f aca="false">IF(D191="x",0,IF(C191&lt;1,0,IF(C191&gt;1,1)))</f>
        <v>0</v>
      </c>
      <c r="C191" s="196"/>
      <c r="D191" s="197"/>
      <c r="E191" s="191" t="s">
        <v>53</v>
      </c>
    </row>
    <row r="192" customFormat="false" ht="14.25" hidden="false" customHeight="false" outlineLevel="0" collapsed="false">
      <c r="A192" s="192" t="n">
        <v>213</v>
      </c>
      <c r="B192" s="188" t="n">
        <f aca="false">IF(D192="x",0,IF(C192&lt;1,0,IF(C192&gt;1,1)))</f>
        <v>0</v>
      </c>
      <c r="C192" s="196"/>
      <c r="D192" s="197"/>
      <c r="E192" s="191" t="s">
        <v>53</v>
      </c>
    </row>
    <row r="193" customFormat="false" ht="14.25" hidden="false" customHeight="false" outlineLevel="0" collapsed="false">
      <c r="A193" s="195" t="n">
        <v>214</v>
      </c>
      <c r="B193" s="188" t="n">
        <f aca="false">IF(D193="x",0,IF(C193&lt;1,0,IF(C193&gt;1,1)))</f>
        <v>0</v>
      </c>
      <c r="C193" s="196"/>
      <c r="D193" s="197"/>
      <c r="E193" s="191" t="s">
        <v>53</v>
      </c>
    </row>
    <row r="194" customFormat="false" ht="14.25" hidden="false" customHeight="false" outlineLevel="0" collapsed="false">
      <c r="A194" s="192" t="n">
        <v>215</v>
      </c>
      <c r="B194" s="188" t="n">
        <f aca="false">IF(D194="x",0,IF(C194&lt;1,0,IF(C194&gt;1,1)))</f>
        <v>0</v>
      </c>
      <c r="C194" s="196"/>
      <c r="D194" s="197"/>
      <c r="E194" s="191" t="s">
        <v>53</v>
      </c>
    </row>
    <row r="195" customFormat="false" ht="14.25" hidden="false" customHeight="false" outlineLevel="0" collapsed="false">
      <c r="A195" s="195" t="n">
        <v>216</v>
      </c>
      <c r="B195" s="188" t="n">
        <f aca="false">IF(D195="x",0,IF(C195&lt;1,0,IF(C195&gt;1,1)))</f>
        <v>0</v>
      </c>
      <c r="C195" s="196"/>
      <c r="D195" s="197"/>
      <c r="E195" s="191" t="s">
        <v>53</v>
      </c>
    </row>
    <row r="196" customFormat="false" ht="14.25" hidden="false" customHeight="false" outlineLevel="0" collapsed="false">
      <c r="A196" s="192" t="n">
        <v>217</v>
      </c>
      <c r="B196" s="188" t="n">
        <f aca="false">IF(D196="x",0,IF(C196&lt;1,0,IF(C196&gt;1,1)))</f>
        <v>0</v>
      </c>
      <c r="C196" s="196"/>
      <c r="D196" s="197"/>
      <c r="E196" s="191" t="s">
        <v>53</v>
      </c>
    </row>
    <row r="197" customFormat="false" ht="14.25" hidden="false" customHeight="false" outlineLevel="0" collapsed="false">
      <c r="A197" s="195" t="n">
        <v>218</v>
      </c>
      <c r="B197" s="188" t="n">
        <f aca="false">IF(D197="x",0,IF(C197&lt;1,0,IF(C197&gt;1,1)))</f>
        <v>0</v>
      </c>
      <c r="C197" s="196"/>
      <c r="D197" s="197"/>
      <c r="E197" s="191" t="s">
        <v>53</v>
      </c>
    </row>
    <row r="198" customFormat="false" ht="14.25" hidden="false" customHeight="false" outlineLevel="0" collapsed="false">
      <c r="A198" s="192" t="n">
        <v>219</v>
      </c>
      <c r="B198" s="188" t="n">
        <f aca="false">IF(D198="x",0,IF(C198&lt;1,0,IF(C198&gt;1,1)))</f>
        <v>0</v>
      </c>
      <c r="C198" s="196"/>
      <c r="D198" s="197"/>
      <c r="E198" s="191" t="s">
        <v>53</v>
      </c>
    </row>
    <row r="199" customFormat="false" ht="14.25" hidden="false" customHeight="false" outlineLevel="0" collapsed="false">
      <c r="A199" s="195" t="n">
        <v>220</v>
      </c>
      <c r="B199" s="188" t="n">
        <f aca="false">IF(D199="x",0,IF(C199&lt;1,0,IF(C199&gt;1,1)))</f>
        <v>0</v>
      </c>
      <c r="C199" s="196"/>
      <c r="D199" s="197"/>
      <c r="E199" s="191" t="s">
        <v>53</v>
      </c>
    </row>
    <row r="200" customFormat="false" ht="14.25" hidden="false" customHeight="false" outlineLevel="0" collapsed="false">
      <c r="A200" s="192" t="n">
        <v>221</v>
      </c>
      <c r="B200" s="188" t="n">
        <f aca="false">IF(D200="x",0,IF(C200&lt;1,0,IF(C200&gt;1,1)))</f>
        <v>0</v>
      </c>
      <c r="C200" s="196"/>
      <c r="D200" s="197"/>
      <c r="E200" s="191" t="s">
        <v>53</v>
      </c>
    </row>
    <row r="201" customFormat="false" ht="14.25" hidden="false" customHeight="false" outlineLevel="0" collapsed="false">
      <c r="A201" s="195" t="n">
        <v>222</v>
      </c>
      <c r="B201" s="188" t="n">
        <f aca="false">IF(D201="x",0,IF(C201&lt;1,0,IF(C201&gt;1,1)))</f>
        <v>0</v>
      </c>
      <c r="C201" s="196"/>
      <c r="D201" s="197"/>
      <c r="E201" s="191" t="s">
        <v>53</v>
      </c>
    </row>
    <row r="202" customFormat="false" ht="14.25" hidden="false" customHeight="false" outlineLevel="0" collapsed="false">
      <c r="A202" s="192" t="n">
        <v>223</v>
      </c>
      <c r="B202" s="188" t="n">
        <f aca="false">IF(D202="x",0,IF(C202&lt;1,0,IF(C202&gt;1,1)))</f>
        <v>0</v>
      </c>
      <c r="C202" s="196"/>
      <c r="D202" s="197"/>
      <c r="E202" s="191" t="s">
        <v>53</v>
      </c>
    </row>
    <row r="203" customFormat="false" ht="14.25" hidden="false" customHeight="false" outlineLevel="0" collapsed="false">
      <c r="A203" s="195" t="n">
        <v>224</v>
      </c>
      <c r="B203" s="188" t="n">
        <f aca="false">IF(D203="x",0,IF(C203&lt;1,0,IF(C203&gt;1,1)))</f>
        <v>0</v>
      </c>
      <c r="C203" s="196"/>
      <c r="D203" s="197"/>
      <c r="E203" s="191" t="s">
        <v>53</v>
      </c>
    </row>
    <row r="204" customFormat="false" ht="14.25" hidden="false" customHeight="false" outlineLevel="0" collapsed="false">
      <c r="A204" s="192" t="n">
        <v>225</v>
      </c>
      <c r="B204" s="188" t="n">
        <f aca="false">IF(D204="x",0,IF(C204&lt;1,0,IF(C204&gt;1,1)))</f>
        <v>0</v>
      </c>
      <c r="C204" s="196"/>
      <c r="D204" s="197"/>
      <c r="E204" s="191" t="s">
        <v>53</v>
      </c>
    </row>
    <row r="205" customFormat="false" ht="14.25" hidden="false" customHeight="false" outlineLevel="0" collapsed="false">
      <c r="A205" s="195" t="n">
        <v>226</v>
      </c>
      <c r="B205" s="188" t="n">
        <f aca="false">IF(D205="x",0,IF(C205&lt;1,0,IF(C205&gt;1,1)))</f>
        <v>0</v>
      </c>
      <c r="C205" s="196"/>
      <c r="D205" s="197"/>
      <c r="E205" s="191" t="s">
        <v>53</v>
      </c>
    </row>
    <row r="206" customFormat="false" ht="14.25" hidden="false" customHeight="false" outlineLevel="0" collapsed="false">
      <c r="A206" s="192" t="n">
        <v>227</v>
      </c>
      <c r="B206" s="188" t="n">
        <f aca="false">IF(D206="x",0,IF(C206&lt;1,0,IF(C206&gt;1,1)))</f>
        <v>0</v>
      </c>
      <c r="C206" s="196"/>
      <c r="D206" s="197"/>
      <c r="E206" s="191" t="s">
        <v>53</v>
      </c>
    </row>
    <row r="207" customFormat="false" ht="14.25" hidden="false" customHeight="false" outlineLevel="0" collapsed="false">
      <c r="A207" s="195" t="n">
        <v>228</v>
      </c>
      <c r="B207" s="188" t="n">
        <f aca="false">IF(D207="x",0,IF(C207&lt;1,0,IF(C207&gt;1,1)))</f>
        <v>0</v>
      </c>
      <c r="C207" s="196"/>
      <c r="D207" s="197"/>
      <c r="E207" s="191" t="s">
        <v>53</v>
      </c>
    </row>
    <row r="208" customFormat="false" ht="14.25" hidden="false" customHeight="false" outlineLevel="0" collapsed="false">
      <c r="A208" s="192" t="n">
        <v>229</v>
      </c>
      <c r="B208" s="188" t="n">
        <f aca="false">IF(D208="x",0,IF(C208&lt;1,0,IF(C208&gt;1,1)))</f>
        <v>0</v>
      </c>
      <c r="C208" s="196"/>
      <c r="D208" s="197"/>
      <c r="E208" s="191" t="s">
        <v>53</v>
      </c>
    </row>
    <row r="209" customFormat="false" ht="14.25" hidden="false" customHeight="false" outlineLevel="0" collapsed="false">
      <c r="A209" s="195" t="n">
        <v>230</v>
      </c>
      <c r="B209" s="188" t="n">
        <f aca="false">IF(D209="x",0,IF(C209&lt;1,0,IF(C209&gt;1,1)))</f>
        <v>0</v>
      </c>
      <c r="C209" s="196"/>
      <c r="D209" s="197"/>
      <c r="E209" s="191" t="s">
        <v>53</v>
      </c>
    </row>
    <row r="210" customFormat="false" ht="14.25" hidden="false" customHeight="false" outlineLevel="0" collapsed="false">
      <c r="A210" s="192" t="n">
        <v>231</v>
      </c>
      <c r="B210" s="188" t="n">
        <f aca="false">IF(D210="x",0,IF(C210&lt;1,0,IF(C210&gt;1,1)))</f>
        <v>0</v>
      </c>
      <c r="C210" s="196"/>
      <c r="D210" s="197"/>
      <c r="E210" s="191" t="s">
        <v>53</v>
      </c>
    </row>
    <row r="211" customFormat="false" ht="14.25" hidden="false" customHeight="false" outlineLevel="0" collapsed="false">
      <c r="A211" s="195" t="n">
        <v>232</v>
      </c>
      <c r="B211" s="188" t="n">
        <f aca="false">IF(D211="x",0,IF(C211&lt;1,0,IF(C211&gt;1,1)))</f>
        <v>0</v>
      </c>
      <c r="C211" s="196"/>
      <c r="D211" s="197"/>
      <c r="E211" s="191" t="s">
        <v>53</v>
      </c>
    </row>
    <row r="212" customFormat="false" ht="14.25" hidden="false" customHeight="false" outlineLevel="0" collapsed="false">
      <c r="A212" s="192" t="n">
        <v>233</v>
      </c>
      <c r="B212" s="188" t="n">
        <f aca="false">IF(D212="x",0,IF(C212&lt;1,0,IF(C212&gt;1,1)))</f>
        <v>0</v>
      </c>
      <c r="C212" s="196"/>
      <c r="D212" s="197"/>
      <c r="E212" s="191" t="s">
        <v>53</v>
      </c>
    </row>
    <row r="213" customFormat="false" ht="14.25" hidden="false" customHeight="false" outlineLevel="0" collapsed="false">
      <c r="A213" s="195" t="n">
        <v>234</v>
      </c>
      <c r="B213" s="188" t="n">
        <f aca="false">IF(D213="x",0,IF(C213&lt;1,0,IF(C213&gt;1,1)))</f>
        <v>0</v>
      </c>
      <c r="C213" s="196"/>
      <c r="D213" s="197"/>
      <c r="E213" s="191" t="s">
        <v>53</v>
      </c>
    </row>
    <row r="214" customFormat="false" ht="14.25" hidden="false" customHeight="false" outlineLevel="0" collapsed="false">
      <c r="A214" s="192" t="n">
        <v>235</v>
      </c>
      <c r="B214" s="188" t="n">
        <f aca="false">IF(D214="x",0,IF(C214&lt;1,0,IF(C214&gt;1,1)))</f>
        <v>0</v>
      </c>
      <c r="C214" s="196"/>
      <c r="D214" s="197"/>
      <c r="E214" s="191" t="s">
        <v>53</v>
      </c>
    </row>
    <row r="215" customFormat="false" ht="14.25" hidden="false" customHeight="false" outlineLevel="0" collapsed="false">
      <c r="A215" s="195" t="n">
        <v>236</v>
      </c>
      <c r="B215" s="188" t="n">
        <f aca="false">IF(D215="x",0,IF(C215&lt;1,0,IF(C215&gt;1,1)))</f>
        <v>0</v>
      </c>
      <c r="C215" s="196"/>
      <c r="D215" s="197"/>
      <c r="E215" s="191" t="s">
        <v>53</v>
      </c>
    </row>
    <row r="216" customFormat="false" ht="14.25" hidden="false" customHeight="false" outlineLevel="0" collapsed="false">
      <c r="A216" s="192" t="n">
        <v>237</v>
      </c>
      <c r="B216" s="188" t="n">
        <f aca="false">IF(D216="x",0,IF(C216&lt;1,0,IF(C216&gt;1,1)))</f>
        <v>0</v>
      </c>
      <c r="C216" s="196"/>
      <c r="D216" s="197"/>
      <c r="E216" s="191" t="s">
        <v>53</v>
      </c>
    </row>
    <row r="217" customFormat="false" ht="14.25" hidden="false" customHeight="false" outlineLevel="0" collapsed="false">
      <c r="A217" s="195" t="n">
        <v>238</v>
      </c>
      <c r="B217" s="188" t="n">
        <f aca="false">IF(D217="x",0,IF(C217&lt;1,0,IF(C217&gt;1,1)))</f>
        <v>0</v>
      </c>
      <c r="C217" s="196"/>
      <c r="D217" s="197"/>
      <c r="E217" s="191" t="s">
        <v>53</v>
      </c>
    </row>
    <row r="218" customFormat="false" ht="14.25" hidden="false" customHeight="false" outlineLevel="0" collapsed="false">
      <c r="A218" s="192" t="n">
        <v>239</v>
      </c>
      <c r="B218" s="188" t="n">
        <f aca="false">IF(D218="x",0,IF(C218&lt;1,0,IF(C218&gt;1,1)))</f>
        <v>0</v>
      </c>
      <c r="C218" s="196"/>
      <c r="D218" s="197"/>
      <c r="E218" s="191" t="s">
        <v>53</v>
      </c>
    </row>
    <row r="219" customFormat="false" ht="14.25" hidden="false" customHeight="false" outlineLevel="0" collapsed="false">
      <c r="A219" s="195" t="n">
        <v>240</v>
      </c>
      <c r="B219" s="188" t="n">
        <f aca="false">IF(D219="x",0,IF(C219&lt;1,0,IF(C219&gt;1,1)))</f>
        <v>0</v>
      </c>
      <c r="C219" s="196"/>
      <c r="D219" s="197"/>
      <c r="E219" s="191" t="s">
        <v>53</v>
      </c>
    </row>
    <row r="220" customFormat="false" ht="14.25" hidden="false" customHeight="false" outlineLevel="0" collapsed="false">
      <c r="A220" s="192" t="n">
        <v>241</v>
      </c>
      <c r="B220" s="188" t="n">
        <f aca="false">IF(D220="x",0,IF(C220&lt;1,0,IF(C220&gt;1,1)))</f>
        <v>0</v>
      </c>
      <c r="C220" s="196"/>
      <c r="D220" s="197"/>
      <c r="E220" s="191" t="s">
        <v>53</v>
      </c>
    </row>
    <row r="221" customFormat="false" ht="14.25" hidden="false" customHeight="false" outlineLevel="0" collapsed="false">
      <c r="A221" s="195" t="n">
        <v>242</v>
      </c>
      <c r="B221" s="188" t="n">
        <f aca="false">IF(D221="x",0,IF(C221&lt;1,0,IF(C221&gt;1,1)))</f>
        <v>0</v>
      </c>
      <c r="C221" s="196"/>
      <c r="D221" s="197"/>
      <c r="E221" s="191" t="s">
        <v>53</v>
      </c>
    </row>
    <row r="222" customFormat="false" ht="14.25" hidden="false" customHeight="false" outlineLevel="0" collapsed="false">
      <c r="A222" s="192" t="n">
        <v>243</v>
      </c>
      <c r="B222" s="188" t="n">
        <f aca="false">IF(D222="x",0,IF(C222&lt;1,0,IF(C222&gt;1,1)))</f>
        <v>0</v>
      </c>
      <c r="C222" s="196"/>
      <c r="D222" s="197"/>
      <c r="E222" s="191" t="s">
        <v>53</v>
      </c>
    </row>
    <row r="223" customFormat="false" ht="14.25" hidden="false" customHeight="false" outlineLevel="0" collapsed="false">
      <c r="A223" s="195" t="n">
        <v>244</v>
      </c>
      <c r="B223" s="188" t="n">
        <f aca="false">IF(D223="x",0,IF(C223&lt;1,0,IF(C223&gt;1,1)))</f>
        <v>0</v>
      </c>
      <c r="C223" s="196"/>
      <c r="D223" s="197"/>
      <c r="E223" s="191" t="s">
        <v>53</v>
      </c>
    </row>
    <row r="224" customFormat="false" ht="14.25" hidden="false" customHeight="false" outlineLevel="0" collapsed="false">
      <c r="A224" s="192" t="n">
        <v>245</v>
      </c>
      <c r="B224" s="188" t="n">
        <f aca="false">IF(D224="x",0,IF(C224&lt;1,0,IF(C224&gt;1,1)))</f>
        <v>0</v>
      </c>
      <c r="C224" s="196"/>
      <c r="D224" s="197"/>
      <c r="E224" s="191" t="s">
        <v>53</v>
      </c>
    </row>
    <row r="225" customFormat="false" ht="14.25" hidden="false" customHeight="false" outlineLevel="0" collapsed="false">
      <c r="A225" s="195" t="n">
        <v>246</v>
      </c>
      <c r="B225" s="188" t="n">
        <f aca="false">IF(D225="x",0,IF(C225&lt;1,0,IF(C225&gt;1,1)))</f>
        <v>0</v>
      </c>
      <c r="C225" s="196"/>
      <c r="D225" s="197"/>
      <c r="E225" s="191" t="s">
        <v>53</v>
      </c>
    </row>
    <row r="226" customFormat="false" ht="14.25" hidden="false" customHeight="false" outlineLevel="0" collapsed="false">
      <c r="A226" s="192" t="n">
        <v>247</v>
      </c>
      <c r="B226" s="188" t="n">
        <f aca="false">IF(D226="x",0,IF(C226&lt;1,0,IF(C226&gt;1,1)))</f>
        <v>0</v>
      </c>
      <c r="C226" s="196"/>
      <c r="D226" s="197"/>
      <c r="E226" s="191" t="s">
        <v>53</v>
      </c>
    </row>
    <row r="227" customFormat="false" ht="14.25" hidden="false" customHeight="false" outlineLevel="0" collapsed="false">
      <c r="A227" s="195" t="n">
        <v>248</v>
      </c>
      <c r="B227" s="188" t="n">
        <f aca="false">IF(D227="x",0,IF(C227&lt;1,0,IF(C227&gt;1,1)))</f>
        <v>0</v>
      </c>
      <c r="C227" s="196"/>
      <c r="D227" s="197"/>
      <c r="E227" s="191" t="s">
        <v>53</v>
      </c>
    </row>
    <row r="228" customFormat="false" ht="14.25" hidden="false" customHeight="false" outlineLevel="0" collapsed="false">
      <c r="A228" s="192" t="n">
        <v>249</v>
      </c>
      <c r="B228" s="188" t="n">
        <f aca="false">IF(D228="x",0,IF(C228&lt;1,0,IF(C228&gt;1,1)))</f>
        <v>0</v>
      </c>
      <c r="C228" s="196"/>
      <c r="D228" s="197"/>
      <c r="E228" s="191" t="s">
        <v>53</v>
      </c>
    </row>
    <row r="229" customFormat="false" ht="14.25" hidden="false" customHeight="false" outlineLevel="0" collapsed="false">
      <c r="A229" s="195" t="n">
        <v>250</v>
      </c>
      <c r="B229" s="188" t="n">
        <f aca="false">IF(D229="x",0,IF(C229&lt;1,0,IF(C229&gt;1,1)))</f>
        <v>0</v>
      </c>
      <c r="C229" s="196"/>
      <c r="D229" s="197"/>
      <c r="E229" s="191" t="s">
        <v>53</v>
      </c>
    </row>
    <row r="230" customFormat="false" ht="14.25" hidden="false" customHeight="false" outlineLevel="0" collapsed="false">
      <c r="A230" s="192" t="n">
        <v>251</v>
      </c>
      <c r="B230" s="188" t="n">
        <f aca="false">IF(D230="x",0,IF(C230&lt;1,0,IF(C230&gt;1,1)))</f>
        <v>0</v>
      </c>
      <c r="C230" s="196"/>
      <c r="D230" s="197"/>
      <c r="E230" s="191" t="s">
        <v>53</v>
      </c>
    </row>
    <row r="231" customFormat="false" ht="14.25" hidden="false" customHeight="false" outlineLevel="0" collapsed="false">
      <c r="A231" s="195" t="n">
        <v>252</v>
      </c>
      <c r="B231" s="188" t="n">
        <f aca="false">IF(D231="x",0,IF(C231&lt;1,0,IF(C231&gt;1,1)))</f>
        <v>0</v>
      </c>
      <c r="C231" s="196"/>
      <c r="D231" s="197"/>
      <c r="E231" s="191" t="s">
        <v>53</v>
      </c>
    </row>
    <row r="232" customFormat="false" ht="14.25" hidden="false" customHeight="false" outlineLevel="0" collapsed="false">
      <c r="A232" s="192" t="n">
        <v>253</v>
      </c>
      <c r="B232" s="188" t="n">
        <f aca="false">IF(D232="x",0,IF(C232&lt;1,0,IF(C232&gt;1,1)))</f>
        <v>0</v>
      </c>
      <c r="C232" s="196"/>
      <c r="D232" s="197"/>
      <c r="E232" s="191" t="s">
        <v>53</v>
      </c>
    </row>
    <row r="233" customFormat="false" ht="14.25" hidden="false" customHeight="false" outlineLevel="0" collapsed="false">
      <c r="A233" s="195" t="n">
        <v>254</v>
      </c>
      <c r="B233" s="188" t="n">
        <f aca="false">IF(D233="x",0,IF(C233&lt;1,0,IF(C233&gt;1,1)))</f>
        <v>0</v>
      </c>
      <c r="C233" s="196"/>
      <c r="D233" s="197"/>
      <c r="E233" s="191" t="s">
        <v>53</v>
      </c>
    </row>
    <row r="234" customFormat="false" ht="14.25" hidden="false" customHeight="false" outlineLevel="0" collapsed="false">
      <c r="A234" s="192" t="n">
        <v>255</v>
      </c>
      <c r="B234" s="188" t="n">
        <f aca="false">IF(D234="x",0,IF(C234&lt;1,0,IF(C234&gt;1,1)))</f>
        <v>0</v>
      </c>
      <c r="C234" s="196"/>
      <c r="D234" s="197"/>
      <c r="E234" s="191" t="s">
        <v>53</v>
      </c>
    </row>
    <row r="235" customFormat="false" ht="14.25" hidden="false" customHeight="false" outlineLevel="0" collapsed="false">
      <c r="A235" s="195" t="n">
        <v>256</v>
      </c>
      <c r="B235" s="188" t="n">
        <f aca="false">IF(D235="x",0,IF(C235&lt;1,0,IF(C235&gt;1,1)))</f>
        <v>0</v>
      </c>
      <c r="C235" s="196"/>
      <c r="D235" s="197"/>
      <c r="E235" s="191" t="s">
        <v>53</v>
      </c>
    </row>
    <row r="236" customFormat="false" ht="14.25" hidden="false" customHeight="false" outlineLevel="0" collapsed="false">
      <c r="A236" s="192" t="n">
        <v>257</v>
      </c>
      <c r="B236" s="188" t="n">
        <f aca="false">IF(D236="x",0,IF(C236&lt;1,0,IF(C236&gt;1,1)))</f>
        <v>0</v>
      </c>
      <c r="C236" s="196"/>
      <c r="D236" s="197"/>
      <c r="E236" s="191" t="s">
        <v>53</v>
      </c>
    </row>
    <row r="237" customFormat="false" ht="14.25" hidden="false" customHeight="false" outlineLevel="0" collapsed="false">
      <c r="A237" s="195" t="n">
        <v>258</v>
      </c>
      <c r="B237" s="188" t="n">
        <f aca="false">IF(D237="x",0,IF(C237&lt;1,0,IF(C237&gt;1,1)))</f>
        <v>0</v>
      </c>
      <c r="C237" s="196"/>
      <c r="D237" s="197"/>
      <c r="E237" s="191" t="s">
        <v>53</v>
      </c>
    </row>
    <row r="238" customFormat="false" ht="14.25" hidden="false" customHeight="false" outlineLevel="0" collapsed="false">
      <c r="A238" s="192" t="n">
        <v>259</v>
      </c>
      <c r="B238" s="188" t="n">
        <f aca="false">IF(D238="x",0,IF(C238&lt;1,0,IF(C238&gt;1,1)))</f>
        <v>0</v>
      </c>
      <c r="C238" s="196"/>
      <c r="D238" s="197"/>
      <c r="E238" s="191" t="s">
        <v>53</v>
      </c>
    </row>
    <row r="239" customFormat="false" ht="14.25" hidden="false" customHeight="false" outlineLevel="0" collapsed="false">
      <c r="A239" s="195" t="n">
        <v>260</v>
      </c>
      <c r="B239" s="188" t="n">
        <f aca="false">IF(D239="x",0,IF(C239&lt;1,0,IF(C239&gt;1,1)))</f>
        <v>0</v>
      </c>
      <c r="C239" s="196"/>
      <c r="D239" s="197"/>
      <c r="E239" s="191" t="s">
        <v>53</v>
      </c>
    </row>
    <row r="240" customFormat="false" ht="14.25" hidden="false" customHeight="false" outlineLevel="0" collapsed="false">
      <c r="A240" s="192" t="n">
        <v>261</v>
      </c>
      <c r="B240" s="188" t="n">
        <f aca="false">IF(D240="x",0,IF(C240&lt;1,0,IF(C240&gt;1,1)))</f>
        <v>0</v>
      </c>
      <c r="C240" s="196"/>
      <c r="D240" s="197"/>
      <c r="E240" s="191" t="s">
        <v>53</v>
      </c>
    </row>
    <row r="241" customFormat="false" ht="14.25" hidden="false" customHeight="false" outlineLevel="0" collapsed="false">
      <c r="A241" s="195" t="n">
        <v>262</v>
      </c>
      <c r="B241" s="188" t="n">
        <f aca="false">IF(D241="x",0,IF(C241&lt;1,0,IF(C241&gt;1,1)))</f>
        <v>0</v>
      </c>
      <c r="C241" s="196"/>
      <c r="D241" s="197"/>
      <c r="E241" s="191" t="s">
        <v>53</v>
      </c>
    </row>
    <row r="242" customFormat="false" ht="14.25" hidden="false" customHeight="false" outlineLevel="0" collapsed="false">
      <c r="A242" s="192" t="n">
        <v>263</v>
      </c>
      <c r="B242" s="188" t="n">
        <f aca="false">IF(D242="x",0,IF(C242&lt;1,0,IF(C242&gt;1,1)))</f>
        <v>0</v>
      </c>
      <c r="C242" s="196"/>
      <c r="D242" s="197"/>
      <c r="E242" s="191" t="s">
        <v>53</v>
      </c>
    </row>
    <row r="243" customFormat="false" ht="14.25" hidden="false" customHeight="false" outlineLevel="0" collapsed="false">
      <c r="A243" s="195" t="n">
        <v>264</v>
      </c>
      <c r="B243" s="188" t="n">
        <f aca="false">IF(D243="x",0,IF(C243&lt;1,0,IF(C243&gt;1,1)))</f>
        <v>0</v>
      </c>
      <c r="C243" s="196"/>
      <c r="D243" s="197"/>
      <c r="E243" s="191" t="s">
        <v>53</v>
      </c>
    </row>
    <row r="244" customFormat="false" ht="14.25" hidden="false" customHeight="false" outlineLevel="0" collapsed="false">
      <c r="A244" s="195" t="n">
        <v>265</v>
      </c>
      <c r="B244" s="188" t="n">
        <f aca="false">IF(D244="x",0,IF(C244&lt;1,0,IF(C244&gt;1,1)))</f>
        <v>0</v>
      </c>
      <c r="C244" s="196"/>
      <c r="D244" s="197"/>
      <c r="E244" s="191" t="s">
        <v>53</v>
      </c>
    </row>
    <row r="245" customFormat="false" ht="14.25" hidden="false" customHeight="false" outlineLevel="0" collapsed="false">
      <c r="A245" s="192" t="n">
        <v>266</v>
      </c>
      <c r="B245" s="188" t="n">
        <f aca="false">IF(D245="x",0,IF(C245&lt;1,0,IF(C245&gt;1,1)))</f>
        <v>0</v>
      </c>
      <c r="C245" s="196"/>
      <c r="D245" s="197"/>
      <c r="E245" s="191" t="s">
        <v>53</v>
      </c>
    </row>
    <row r="246" customFormat="false" ht="14.25" hidden="false" customHeight="false" outlineLevel="0" collapsed="false">
      <c r="A246" s="195" t="n">
        <v>267</v>
      </c>
      <c r="B246" s="188" t="n">
        <f aca="false">IF(D246="x",0,IF(C246&lt;1,0,IF(C246&gt;1,1)))</f>
        <v>0</v>
      </c>
      <c r="C246" s="196"/>
      <c r="D246" s="197"/>
      <c r="E246" s="191" t="s">
        <v>53</v>
      </c>
    </row>
    <row r="247" customFormat="false" ht="14.25" hidden="false" customHeight="false" outlineLevel="0" collapsed="false">
      <c r="A247" s="195" t="n">
        <v>268</v>
      </c>
      <c r="B247" s="188" t="n">
        <f aca="false">IF(D247="x",0,IF(C247&lt;1,0,IF(C247&gt;1,1)))</f>
        <v>0</v>
      </c>
      <c r="C247" s="196"/>
      <c r="D247" s="197"/>
      <c r="E247" s="191" t="s">
        <v>53</v>
      </c>
    </row>
    <row r="248" customFormat="false" ht="14.25" hidden="false" customHeight="false" outlineLevel="0" collapsed="false">
      <c r="A248" s="192" t="n">
        <v>269</v>
      </c>
      <c r="B248" s="188" t="n">
        <f aca="false">IF(D248="x",0,IF(C248&lt;1,0,IF(C248&gt;1,1)))</f>
        <v>0</v>
      </c>
      <c r="C248" s="196"/>
      <c r="D248" s="197"/>
      <c r="E248" s="191" t="s">
        <v>53</v>
      </c>
    </row>
    <row r="249" customFormat="false" ht="14.25" hidden="false" customHeight="false" outlineLevel="0" collapsed="false">
      <c r="A249" s="195" t="n">
        <v>270</v>
      </c>
      <c r="B249" s="188" t="n">
        <f aca="false">IF(D249="x",0,IF(C249&lt;1,0,IF(C249&gt;1,1)))</f>
        <v>0</v>
      </c>
      <c r="C249" s="196"/>
      <c r="D249" s="197"/>
      <c r="E249" s="191" t="s">
        <v>53</v>
      </c>
    </row>
    <row r="250" customFormat="false" ht="14.25" hidden="false" customHeight="false" outlineLevel="0" collapsed="false">
      <c r="A250" s="195" t="n">
        <v>271</v>
      </c>
      <c r="B250" s="188" t="n">
        <f aca="false">IF(D250="x",0,IF(C250&lt;1,0,IF(C250&gt;1,1)))</f>
        <v>0</v>
      </c>
      <c r="C250" s="196"/>
      <c r="D250" s="197"/>
      <c r="E250" s="191" t="s">
        <v>53</v>
      </c>
    </row>
    <row r="251" customFormat="false" ht="14.25" hidden="false" customHeight="false" outlineLevel="0" collapsed="false">
      <c r="A251" s="192" t="n">
        <v>272</v>
      </c>
      <c r="B251" s="188" t="n">
        <f aca="false">IF(D251="x",0,IF(C251&lt;1,0,IF(C251&gt;1,1)))</f>
        <v>0</v>
      </c>
      <c r="C251" s="196"/>
      <c r="D251" s="197"/>
      <c r="E251" s="191" t="s">
        <v>53</v>
      </c>
    </row>
    <row r="252" customFormat="false" ht="14.25" hidden="false" customHeight="false" outlineLevel="0" collapsed="false">
      <c r="A252" s="195" t="n">
        <v>273</v>
      </c>
      <c r="B252" s="188" t="n">
        <f aca="false">IF(D252="x",0,IF(C252&lt;1,0,IF(C252&gt;1,1)))</f>
        <v>0</v>
      </c>
      <c r="C252" s="196"/>
      <c r="D252" s="197"/>
      <c r="E252" s="191" t="s">
        <v>53</v>
      </c>
    </row>
    <row r="253" customFormat="false" ht="14.25" hidden="false" customHeight="false" outlineLevel="0" collapsed="false">
      <c r="A253" s="195" t="n">
        <v>274</v>
      </c>
      <c r="B253" s="188" t="n">
        <f aca="false">IF(D253="x",0,IF(C253&lt;1,0,IF(C253&gt;1,1)))</f>
        <v>0</v>
      </c>
      <c r="C253" s="196"/>
      <c r="D253" s="197"/>
      <c r="E253" s="191" t="s">
        <v>53</v>
      </c>
    </row>
    <row r="254" customFormat="false" ht="14.25" hidden="false" customHeight="false" outlineLevel="0" collapsed="false">
      <c r="A254" s="192" t="n">
        <v>275</v>
      </c>
      <c r="B254" s="188" t="n">
        <f aca="false">IF(D254="x",0,IF(C254&lt;1,0,IF(C254&gt;1,1)))</f>
        <v>0</v>
      </c>
      <c r="C254" s="196"/>
      <c r="D254" s="197"/>
      <c r="E254" s="191" t="s">
        <v>53</v>
      </c>
    </row>
    <row r="255" customFormat="false" ht="14.25" hidden="false" customHeight="false" outlineLevel="0" collapsed="false">
      <c r="A255" s="195" t="n">
        <v>276</v>
      </c>
      <c r="B255" s="188" t="n">
        <f aca="false">IF(D255="x",0,IF(C255&lt;1,0,IF(C255&gt;1,1)))</f>
        <v>0</v>
      </c>
      <c r="C255" s="196"/>
      <c r="D255" s="197"/>
      <c r="E255" s="191" t="s">
        <v>53</v>
      </c>
    </row>
    <row r="256" customFormat="false" ht="14.25" hidden="false" customHeight="false" outlineLevel="0" collapsed="false">
      <c r="A256" s="195" t="n">
        <v>277</v>
      </c>
      <c r="B256" s="188" t="n">
        <f aca="false">IF(D256="x",0,IF(C256&lt;1,0,IF(C256&gt;1,1)))</f>
        <v>0</v>
      </c>
      <c r="C256" s="196"/>
      <c r="D256" s="197"/>
      <c r="E256" s="191" t="s">
        <v>53</v>
      </c>
    </row>
    <row r="257" customFormat="false" ht="14.25" hidden="false" customHeight="false" outlineLevel="0" collapsed="false">
      <c r="A257" s="192" t="n">
        <v>278</v>
      </c>
      <c r="B257" s="188" t="n">
        <f aca="false">IF(D257="x",0,IF(C257&lt;1,0,IF(C257&gt;1,1)))</f>
        <v>0</v>
      </c>
      <c r="C257" s="196"/>
      <c r="D257" s="197"/>
      <c r="E257" s="191" t="s">
        <v>53</v>
      </c>
    </row>
    <row r="258" customFormat="false" ht="14.25" hidden="false" customHeight="false" outlineLevel="0" collapsed="false">
      <c r="A258" s="195" t="n">
        <v>279</v>
      </c>
      <c r="B258" s="188" t="n">
        <f aca="false">IF(D258="x",0,IF(C258&lt;1,0,IF(C258&gt;1,1)))</f>
        <v>0</v>
      </c>
      <c r="C258" s="196"/>
      <c r="D258" s="197"/>
      <c r="E258" s="191" t="s">
        <v>53</v>
      </c>
    </row>
    <row r="259" customFormat="false" ht="14.25" hidden="false" customHeight="false" outlineLevel="0" collapsed="false">
      <c r="A259" s="195" t="n">
        <v>280</v>
      </c>
      <c r="B259" s="188" t="n">
        <f aca="false">IF(D259="x",0,IF(C259&lt;1,0,IF(C259&gt;1,1)))</f>
        <v>0</v>
      </c>
      <c r="C259" s="196"/>
      <c r="D259" s="197"/>
      <c r="E259" s="191" t="s">
        <v>53</v>
      </c>
    </row>
    <row r="260" customFormat="false" ht="14.25" hidden="false" customHeight="false" outlineLevel="0" collapsed="false">
      <c r="A260" s="192" t="n">
        <v>281</v>
      </c>
      <c r="B260" s="188" t="n">
        <f aca="false">IF(D260="x",0,IF(C260&lt;1,0,IF(C260&gt;1,1)))</f>
        <v>0</v>
      </c>
      <c r="C260" s="196"/>
      <c r="D260" s="197"/>
      <c r="E260" s="191" t="s">
        <v>53</v>
      </c>
    </row>
    <row r="261" customFormat="false" ht="14.25" hidden="false" customHeight="false" outlineLevel="0" collapsed="false">
      <c r="A261" s="195" t="n">
        <v>282</v>
      </c>
      <c r="B261" s="188" t="n">
        <f aca="false">IF(D261="x",0,IF(C261&lt;1,0,IF(C261&gt;1,1)))</f>
        <v>0</v>
      </c>
      <c r="C261" s="196"/>
      <c r="D261" s="197"/>
      <c r="E261" s="191" t="s">
        <v>53</v>
      </c>
    </row>
    <row r="262" customFormat="false" ht="14.25" hidden="false" customHeight="false" outlineLevel="0" collapsed="false">
      <c r="A262" s="195" t="n">
        <v>283</v>
      </c>
      <c r="B262" s="188" t="n">
        <f aca="false">IF(D262="x",0,IF(C262&lt;1,0,IF(C262&gt;1,1)))</f>
        <v>0</v>
      </c>
      <c r="C262" s="196"/>
      <c r="D262" s="197"/>
      <c r="E262" s="191" t="s">
        <v>53</v>
      </c>
    </row>
    <row r="263" customFormat="false" ht="14.25" hidden="false" customHeight="false" outlineLevel="0" collapsed="false">
      <c r="A263" s="192" t="n">
        <v>284</v>
      </c>
      <c r="B263" s="188" t="n">
        <f aca="false">IF(D263="x",0,IF(C263&lt;1,0,IF(C263&gt;1,1)))</f>
        <v>0</v>
      </c>
      <c r="C263" s="196"/>
      <c r="D263" s="197"/>
      <c r="E263" s="191" t="s">
        <v>53</v>
      </c>
    </row>
    <row r="264" customFormat="false" ht="14.25" hidden="false" customHeight="false" outlineLevel="0" collapsed="false">
      <c r="A264" s="195" t="n">
        <v>285</v>
      </c>
      <c r="B264" s="188" t="n">
        <f aca="false">IF(D264="x",0,IF(C264&lt;1,0,IF(C264&gt;1,1)))</f>
        <v>0</v>
      </c>
      <c r="C264" s="196"/>
      <c r="D264" s="197"/>
      <c r="E264" s="191" t="s">
        <v>53</v>
      </c>
    </row>
    <row r="265" customFormat="false" ht="14.25" hidden="false" customHeight="false" outlineLevel="0" collapsed="false">
      <c r="A265" s="195" t="n">
        <v>286</v>
      </c>
      <c r="B265" s="188" t="n">
        <f aca="false">IF(D265="x",0,IF(C265&lt;1,0,IF(C265&gt;1,1)))</f>
        <v>0</v>
      </c>
      <c r="C265" s="196"/>
      <c r="D265" s="197"/>
      <c r="E265" s="191" t="s">
        <v>53</v>
      </c>
    </row>
    <row r="266" customFormat="false" ht="14.25" hidden="false" customHeight="false" outlineLevel="0" collapsed="false">
      <c r="A266" s="192" t="n">
        <v>287</v>
      </c>
      <c r="B266" s="188" t="n">
        <f aca="false">IF(D266="x",0,IF(C266&lt;1,0,IF(C266&gt;1,1)))</f>
        <v>0</v>
      </c>
      <c r="C266" s="196"/>
      <c r="D266" s="197"/>
      <c r="E266" s="191" t="s">
        <v>53</v>
      </c>
    </row>
    <row r="267" customFormat="false" ht="14.25" hidden="false" customHeight="false" outlineLevel="0" collapsed="false">
      <c r="A267" s="195" t="n">
        <v>288</v>
      </c>
      <c r="B267" s="188" t="n">
        <f aca="false">IF(D267="x",0,IF(C267&lt;1,0,IF(C267&gt;1,1)))</f>
        <v>0</v>
      </c>
      <c r="C267" s="196"/>
      <c r="D267" s="197"/>
      <c r="E267" s="191" t="s">
        <v>53</v>
      </c>
    </row>
    <row r="268" customFormat="false" ht="14.25" hidden="false" customHeight="false" outlineLevel="0" collapsed="false">
      <c r="A268" s="195" t="n">
        <v>289</v>
      </c>
      <c r="B268" s="188" t="n">
        <f aca="false">IF(D268="x",0,IF(C268&lt;1,0,IF(C268&gt;1,1)))</f>
        <v>0</v>
      </c>
      <c r="C268" s="196"/>
      <c r="D268" s="197"/>
      <c r="E268" s="191" t="s">
        <v>53</v>
      </c>
    </row>
    <row r="269" customFormat="false" ht="14.25" hidden="false" customHeight="false" outlineLevel="0" collapsed="false">
      <c r="A269" s="192" t="n">
        <v>290</v>
      </c>
      <c r="B269" s="188" t="n">
        <f aca="false">IF(D269="x",0,IF(C269&lt;1,0,IF(C269&gt;1,1)))</f>
        <v>0</v>
      </c>
      <c r="C269" s="196"/>
      <c r="D269" s="197"/>
      <c r="E269" s="191" t="s">
        <v>53</v>
      </c>
    </row>
    <row r="270" customFormat="false" ht="14.25" hidden="false" customHeight="false" outlineLevel="0" collapsed="false">
      <c r="A270" s="195" t="n">
        <v>291</v>
      </c>
      <c r="B270" s="188" t="n">
        <f aca="false">IF(D270="x",0,IF(C270&lt;1,0,IF(C270&gt;1,1)))</f>
        <v>0</v>
      </c>
      <c r="C270" s="196"/>
      <c r="D270" s="197"/>
      <c r="E270" s="191" t="s">
        <v>53</v>
      </c>
    </row>
    <row r="271" customFormat="false" ht="14.25" hidden="false" customHeight="false" outlineLevel="0" collapsed="false">
      <c r="A271" s="195" t="n">
        <v>292</v>
      </c>
      <c r="B271" s="188" t="n">
        <f aca="false">IF(D271="x",0,IF(C271&lt;1,0,IF(C271&gt;1,1)))</f>
        <v>0</v>
      </c>
      <c r="C271" s="196"/>
      <c r="D271" s="197"/>
      <c r="E271" s="191" t="s">
        <v>53</v>
      </c>
    </row>
    <row r="272" customFormat="false" ht="14.25" hidden="false" customHeight="false" outlineLevel="0" collapsed="false">
      <c r="A272" s="192" t="n">
        <v>293</v>
      </c>
      <c r="B272" s="188" t="n">
        <f aca="false">IF(D272="x",0,IF(C272&lt;1,0,IF(C272&gt;1,1)))</f>
        <v>0</v>
      </c>
      <c r="C272" s="196"/>
      <c r="D272" s="197"/>
      <c r="E272" s="191" t="s">
        <v>53</v>
      </c>
    </row>
    <row r="273" customFormat="false" ht="14.25" hidden="false" customHeight="false" outlineLevel="0" collapsed="false">
      <c r="A273" s="195" t="n">
        <v>294</v>
      </c>
      <c r="B273" s="188" t="n">
        <f aca="false">IF(D273="x",0,IF(C273&lt;1,0,IF(C273&gt;1,1)))</f>
        <v>0</v>
      </c>
      <c r="C273" s="196"/>
      <c r="D273" s="197"/>
      <c r="E273" s="191" t="s">
        <v>53</v>
      </c>
    </row>
    <row r="274" customFormat="false" ht="14.25" hidden="false" customHeight="false" outlineLevel="0" collapsed="false">
      <c r="A274" s="195" t="n">
        <v>295</v>
      </c>
      <c r="B274" s="188" t="n">
        <f aca="false">IF(D274="x",0,IF(C274&lt;1,0,IF(C274&gt;1,1)))</f>
        <v>0</v>
      </c>
      <c r="C274" s="196"/>
      <c r="D274" s="197"/>
      <c r="E274" s="191" t="s">
        <v>53</v>
      </c>
    </row>
    <row r="275" customFormat="false" ht="14.25" hidden="false" customHeight="false" outlineLevel="0" collapsed="false">
      <c r="A275" s="192" t="n">
        <v>296</v>
      </c>
      <c r="B275" s="188" t="n">
        <f aca="false">IF(D275="x",0,IF(C275&lt;1,0,IF(C275&gt;1,1)))</f>
        <v>0</v>
      </c>
      <c r="C275" s="196"/>
      <c r="D275" s="197"/>
      <c r="E275" s="191" t="s">
        <v>53</v>
      </c>
    </row>
    <row r="276" customFormat="false" ht="14.25" hidden="false" customHeight="false" outlineLevel="0" collapsed="false">
      <c r="A276" s="195" t="n">
        <v>297</v>
      </c>
      <c r="B276" s="188" t="n">
        <f aca="false">IF(D276="x",0,IF(C276&lt;1,0,IF(C276&gt;1,1)))</f>
        <v>0</v>
      </c>
      <c r="C276" s="196"/>
      <c r="D276" s="197"/>
      <c r="E276" s="191" t="s">
        <v>53</v>
      </c>
    </row>
    <row r="277" customFormat="false" ht="14.25" hidden="false" customHeight="false" outlineLevel="0" collapsed="false">
      <c r="A277" s="195" t="n">
        <v>298</v>
      </c>
      <c r="B277" s="188" t="n">
        <f aca="false">IF(D277="x",0,IF(C277&lt;1,0,IF(C277&gt;1,1)))</f>
        <v>0</v>
      </c>
      <c r="C277" s="196"/>
      <c r="D277" s="197"/>
      <c r="E277" s="191" t="s">
        <v>53</v>
      </c>
    </row>
    <row r="278" customFormat="false" ht="14.25" hidden="false" customHeight="false" outlineLevel="0" collapsed="false">
      <c r="A278" s="192" t="n">
        <v>299</v>
      </c>
      <c r="B278" s="188" t="n">
        <f aca="false">IF(D278="x",0,IF(C278&lt;1,0,IF(C278&gt;1,1)))</f>
        <v>0</v>
      </c>
      <c r="C278" s="196"/>
      <c r="D278" s="197"/>
      <c r="E278" s="191" t="s">
        <v>53</v>
      </c>
    </row>
    <row r="279" customFormat="false" ht="14.25" hidden="false" customHeight="false" outlineLevel="0" collapsed="false">
      <c r="A279" s="195" t="n">
        <v>300</v>
      </c>
      <c r="B279" s="188" t="n">
        <f aca="false">IF(D279="x",0,IF(C279&lt;1,0,IF(C279&gt;1,1)))</f>
        <v>0</v>
      </c>
      <c r="C279" s="196"/>
      <c r="D279" s="197"/>
      <c r="E279" s="191" t="s">
        <v>53</v>
      </c>
    </row>
    <row r="280" customFormat="false" ht="14.25" hidden="false" customHeight="false" outlineLevel="0" collapsed="false">
      <c r="A280" s="195" t="n">
        <v>301</v>
      </c>
      <c r="B280" s="188" t="n">
        <f aca="false">IF(D280="x",0,IF(C280&lt;1,0,IF(C280&gt;1,1)))</f>
        <v>0</v>
      </c>
      <c r="C280" s="196"/>
      <c r="D280" s="197"/>
      <c r="E280" s="191" t="s">
        <v>53</v>
      </c>
    </row>
    <row r="281" customFormat="false" ht="14.25" hidden="false" customHeight="false" outlineLevel="0" collapsed="false">
      <c r="A281" s="192" t="n">
        <v>302</v>
      </c>
      <c r="B281" s="188" t="n">
        <f aca="false">IF(D281="x",0,IF(C281&lt;1,0,IF(C281&gt;1,1)))</f>
        <v>1</v>
      </c>
      <c r="C281" s="196" t="n">
        <v>119.379</v>
      </c>
      <c r="D281" s="197"/>
      <c r="E281" s="191" t="s">
        <v>53</v>
      </c>
    </row>
    <row r="282" customFormat="false" ht="14.25" hidden="false" customHeight="false" outlineLevel="0" collapsed="false">
      <c r="A282" s="195" t="n">
        <v>303</v>
      </c>
      <c r="B282" s="188" t="n">
        <f aca="false">IF(D282="x",0,IF(C282&lt;1,0,IF(C282&gt;1,1)))</f>
        <v>1</v>
      </c>
      <c r="C282" s="196" t="n">
        <v>120.374</v>
      </c>
      <c r="D282" s="197"/>
      <c r="E282" s="191" t="s">
        <v>53</v>
      </c>
    </row>
    <row r="283" customFormat="false" ht="14.25" hidden="false" customHeight="false" outlineLevel="0" collapsed="false">
      <c r="A283" s="195" t="n">
        <v>304</v>
      </c>
      <c r="B283" s="188" t="n">
        <f aca="false">IF(D283="x",0,IF(C283&lt;1,0,IF(C283&gt;1,1)))</f>
        <v>1</v>
      </c>
      <c r="C283" s="196" t="n">
        <v>116.626</v>
      </c>
      <c r="D283" s="197"/>
      <c r="E283" s="191" t="s">
        <v>53</v>
      </c>
    </row>
    <row r="284" customFormat="false" ht="14.25" hidden="false" customHeight="false" outlineLevel="0" collapsed="false">
      <c r="A284" s="192" t="n">
        <v>305</v>
      </c>
      <c r="B284" s="188" t="n">
        <f aca="false">IF(D284="x",0,IF(C284&lt;1,0,IF(C284&gt;1,1)))</f>
        <v>0</v>
      </c>
      <c r="C284" s="196"/>
      <c r="D284" s="197"/>
      <c r="E284" s="191" t="s">
        <v>53</v>
      </c>
    </row>
    <row r="285" customFormat="false" ht="14.25" hidden="false" customHeight="false" outlineLevel="0" collapsed="false">
      <c r="A285" s="195" t="n">
        <v>306</v>
      </c>
      <c r="B285" s="188" t="n">
        <f aca="false">IF(D285="x",0,IF(C285&lt;1,0,IF(C285&gt;1,1)))</f>
        <v>0</v>
      </c>
      <c r="C285" s="196"/>
      <c r="D285" s="197"/>
      <c r="E285" s="191" t="s">
        <v>53</v>
      </c>
    </row>
    <row r="286" customFormat="false" ht="14.25" hidden="false" customHeight="false" outlineLevel="0" collapsed="false">
      <c r="A286" s="195" t="n">
        <v>307</v>
      </c>
      <c r="B286" s="188" t="n">
        <f aca="false">IF(D286="x",0,IF(C286&lt;1,0,IF(C286&gt;1,1)))</f>
        <v>1</v>
      </c>
      <c r="C286" s="196" t="n">
        <v>117.524</v>
      </c>
      <c r="D286" s="197"/>
      <c r="E286" s="191" t="s">
        <v>53</v>
      </c>
    </row>
    <row r="287" customFormat="false" ht="14.25" hidden="false" customHeight="false" outlineLevel="0" collapsed="false">
      <c r="A287" s="192" t="n">
        <v>308</v>
      </c>
      <c r="B287" s="188" t="n">
        <f aca="false">IF(D287="x",0,IF(C287&lt;1,0,IF(C287&gt;1,1)))</f>
        <v>0</v>
      </c>
      <c r="C287" s="196"/>
      <c r="D287" s="197"/>
      <c r="E287" s="191" t="s">
        <v>53</v>
      </c>
    </row>
    <row r="288" customFormat="false" ht="14.25" hidden="false" customHeight="false" outlineLevel="0" collapsed="false">
      <c r="A288" s="195" t="n">
        <v>309</v>
      </c>
      <c r="B288" s="188" t="n">
        <f aca="false">IF(D288="x",0,IF(C288&lt;1,0,IF(C288&gt;1,1)))</f>
        <v>1</v>
      </c>
      <c r="C288" s="196" t="n">
        <v>118.773</v>
      </c>
      <c r="D288" s="197"/>
      <c r="E288" s="191" t="s">
        <v>53</v>
      </c>
    </row>
    <row r="289" customFormat="false" ht="14.25" hidden="false" customHeight="false" outlineLevel="0" collapsed="false">
      <c r="A289" s="195" t="n">
        <v>310</v>
      </c>
      <c r="B289" s="188" t="n">
        <f aca="false">IF(D289="x",0,IF(C289&lt;1,0,IF(C289&gt;1,1)))</f>
        <v>1</v>
      </c>
      <c r="C289" s="196" t="n">
        <v>119.442</v>
      </c>
      <c r="D289" s="197"/>
      <c r="E289" s="191" t="s">
        <v>53</v>
      </c>
    </row>
    <row r="290" customFormat="false" ht="14.25" hidden="false" customHeight="false" outlineLevel="0" collapsed="false">
      <c r="A290" s="192" t="n">
        <v>311</v>
      </c>
      <c r="B290" s="188" t="n">
        <f aca="false">IF(D290="x",0,IF(C290&lt;1,0,IF(C290&gt;1,1)))</f>
        <v>0</v>
      </c>
      <c r="C290" s="196"/>
      <c r="D290" s="197"/>
      <c r="E290" s="191" t="s">
        <v>53</v>
      </c>
    </row>
    <row r="291" customFormat="false" ht="14.25" hidden="false" customHeight="false" outlineLevel="0" collapsed="false">
      <c r="A291" s="195" t="n">
        <v>312</v>
      </c>
      <c r="B291" s="188" t="n">
        <f aca="false">IF(D291="x",0,IF(C291&lt;1,0,IF(C291&gt;1,1)))</f>
        <v>1</v>
      </c>
      <c r="C291" s="196" t="n">
        <v>117.214</v>
      </c>
      <c r="D291" s="197"/>
      <c r="E291" s="191" t="s">
        <v>53</v>
      </c>
    </row>
    <row r="292" customFormat="false" ht="14.25" hidden="false" customHeight="false" outlineLevel="0" collapsed="false">
      <c r="A292" s="195" t="n">
        <v>313</v>
      </c>
      <c r="B292" s="188" t="n">
        <f aca="false">IF(D292="x",0,IF(C292&lt;1,0,IF(C292&gt;1,1)))</f>
        <v>0</v>
      </c>
      <c r="C292" s="196"/>
      <c r="D292" s="197"/>
      <c r="E292" s="191" t="s">
        <v>53</v>
      </c>
    </row>
    <row r="293" customFormat="false" ht="14.25" hidden="false" customHeight="false" outlineLevel="0" collapsed="false">
      <c r="A293" s="192" t="n">
        <v>314</v>
      </c>
      <c r="B293" s="188" t="n">
        <f aca="false">IF(D293="x",0,IF(C293&lt;1,0,IF(C293&gt;1,1)))</f>
        <v>0</v>
      </c>
      <c r="C293" s="196"/>
      <c r="D293" s="197"/>
      <c r="E293" s="191" t="s">
        <v>53</v>
      </c>
    </row>
    <row r="294" customFormat="false" ht="14.25" hidden="false" customHeight="false" outlineLevel="0" collapsed="false">
      <c r="A294" s="195" t="n">
        <v>315</v>
      </c>
      <c r="B294" s="188" t="n">
        <f aca="false">IF(D294="x",0,IF(C294&lt;1,0,IF(C294&gt;1,1)))</f>
        <v>1</v>
      </c>
      <c r="C294" s="196" t="n">
        <v>117.943</v>
      </c>
      <c r="D294" s="197"/>
      <c r="E294" s="191" t="s">
        <v>53</v>
      </c>
    </row>
    <row r="295" customFormat="false" ht="14.25" hidden="false" customHeight="false" outlineLevel="0" collapsed="false">
      <c r="A295" s="195" t="n">
        <v>316</v>
      </c>
      <c r="B295" s="188" t="n">
        <f aca="false">IF(D295="x",0,IF(C295&lt;1,0,IF(C295&gt;1,1)))</f>
        <v>0</v>
      </c>
      <c r="C295" s="196"/>
      <c r="D295" s="197"/>
      <c r="E295" s="191" t="s">
        <v>53</v>
      </c>
    </row>
    <row r="296" customFormat="false" ht="14.25" hidden="false" customHeight="false" outlineLevel="0" collapsed="false">
      <c r="A296" s="192" t="n">
        <v>317</v>
      </c>
      <c r="B296" s="188" t="n">
        <f aca="false">IF(D296="x",0,IF(C296&lt;1,0,IF(C296&gt;1,1)))</f>
        <v>1</v>
      </c>
      <c r="C296" s="196" t="n">
        <v>119754</v>
      </c>
      <c r="D296" s="197"/>
      <c r="E296" s="191" t="s">
        <v>53</v>
      </c>
    </row>
    <row r="297" customFormat="false" ht="14.25" hidden="false" customHeight="false" outlineLevel="0" collapsed="false">
      <c r="A297" s="195" t="n">
        <v>318</v>
      </c>
      <c r="B297" s="188" t="n">
        <f aca="false">IF(D297="x",0,IF(C297&lt;1,0,IF(C297&gt;1,1)))</f>
        <v>1</v>
      </c>
      <c r="C297" s="196" t="n">
        <v>118.388</v>
      </c>
      <c r="D297" s="197"/>
      <c r="E297" s="191" t="s">
        <v>53</v>
      </c>
    </row>
    <row r="298" customFormat="false" ht="14.25" hidden="false" customHeight="false" outlineLevel="0" collapsed="false">
      <c r="A298" s="195" t="n">
        <v>319</v>
      </c>
      <c r="B298" s="188" t="n">
        <f aca="false">IF(D298="x",0,IF(C298&lt;1,0,IF(C298&gt;1,1)))</f>
        <v>0</v>
      </c>
      <c r="C298" s="196"/>
      <c r="D298" s="197"/>
      <c r="E298" s="191" t="s">
        <v>53</v>
      </c>
    </row>
    <row r="299" customFormat="false" ht="14.25" hidden="false" customHeight="false" outlineLevel="0" collapsed="false">
      <c r="A299" s="192" t="n">
        <v>320</v>
      </c>
      <c r="B299" s="188" t="n">
        <f aca="false">IF(D299="x",0,IF(C299&lt;1,0,IF(C299&gt;1,1)))</f>
        <v>0</v>
      </c>
      <c r="C299" s="196"/>
      <c r="D299" s="197"/>
      <c r="E299" s="191" t="s">
        <v>53</v>
      </c>
    </row>
    <row r="300" customFormat="false" ht="14.25" hidden="false" customHeight="false" outlineLevel="0" collapsed="false">
      <c r="A300" s="195" t="n">
        <v>321</v>
      </c>
      <c r="B300" s="188" t="n">
        <f aca="false">IF(D300="x",0,IF(C300&lt;1,0,IF(C300&gt;1,1)))</f>
        <v>1</v>
      </c>
      <c r="C300" s="196" t="n">
        <v>117.368</v>
      </c>
      <c r="D300" s="197"/>
      <c r="E300" s="191" t="s">
        <v>53</v>
      </c>
    </row>
    <row r="301" customFormat="false" ht="14.25" hidden="false" customHeight="false" outlineLevel="0" collapsed="false">
      <c r="A301" s="195" t="n">
        <v>322</v>
      </c>
      <c r="B301" s="188" t="n">
        <f aca="false">IF(D301="x",0,IF(C301&lt;1,0,IF(C301&gt;1,1)))</f>
        <v>0</v>
      </c>
      <c r="C301" s="196"/>
      <c r="D301" s="197"/>
      <c r="E301" s="191" t="s">
        <v>53</v>
      </c>
    </row>
    <row r="302" customFormat="false" ht="14.25" hidden="false" customHeight="false" outlineLevel="0" collapsed="false">
      <c r="A302" s="192" t="n">
        <v>323</v>
      </c>
      <c r="B302" s="188" t="n">
        <f aca="false">IF(D302="x",0,IF(C302&lt;1,0,IF(C302&gt;1,1)))</f>
        <v>0</v>
      </c>
      <c r="C302" s="196"/>
      <c r="D302" s="197"/>
      <c r="E302" s="191" t="s">
        <v>53</v>
      </c>
    </row>
    <row r="303" customFormat="false" ht="14.25" hidden="false" customHeight="false" outlineLevel="0" collapsed="false">
      <c r="A303" s="195" t="n">
        <v>324</v>
      </c>
      <c r="B303" s="188" t="n">
        <f aca="false">IF(D303="x",0,IF(C303&lt;1,0,IF(C303&gt;1,1)))</f>
        <v>1</v>
      </c>
      <c r="C303" s="196" t="n">
        <v>118.095</v>
      </c>
      <c r="D303" s="197"/>
      <c r="E303" s="191" t="s">
        <v>53</v>
      </c>
    </row>
    <row r="304" customFormat="false" ht="14.25" hidden="false" customHeight="false" outlineLevel="0" collapsed="false">
      <c r="A304" s="195" t="n">
        <v>325</v>
      </c>
      <c r="B304" s="188" t="n">
        <f aca="false">IF(D304="x",0,IF(C304&lt;1,0,IF(C304&gt;1,1)))</f>
        <v>1</v>
      </c>
      <c r="C304" s="196" t="n">
        <v>115.891</v>
      </c>
      <c r="D304" s="197"/>
      <c r="E304" s="191" t="s">
        <v>53</v>
      </c>
    </row>
    <row r="305" customFormat="false" ht="14.25" hidden="false" customHeight="false" outlineLevel="0" collapsed="false">
      <c r="A305" s="192" t="n">
        <v>326</v>
      </c>
      <c r="B305" s="188" t="n">
        <f aca="false">IF(D305="x",0,IF(C305&lt;1,0,IF(C305&gt;1,1)))</f>
        <v>1</v>
      </c>
      <c r="C305" s="196" t="n">
        <v>118.589</v>
      </c>
      <c r="D305" s="197"/>
      <c r="E305" s="191" t="s">
        <v>53</v>
      </c>
    </row>
    <row r="306" customFormat="false" ht="14.25" hidden="false" customHeight="false" outlineLevel="0" collapsed="false">
      <c r="A306" s="195" t="n">
        <v>327</v>
      </c>
      <c r="B306" s="188" t="n">
        <f aca="false">IF(D306="x",0,IF(C306&lt;1,0,IF(C306&gt;1,1)))</f>
        <v>0</v>
      </c>
      <c r="C306" s="196"/>
      <c r="D306" s="197"/>
      <c r="E306" s="191" t="s">
        <v>53</v>
      </c>
    </row>
    <row r="307" customFormat="false" ht="14.25" hidden="false" customHeight="false" outlineLevel="0" collapsed="false">
      <c r="A307" s="195" t="n">
        <v>328</v>
      </c>
      <c r="B307" s="188" t="n">
        <f aca="false">IF(D307="x",0,IF(C307&lt;1,0,IF(C307&gt;1,1)))</f>
        <v>0</v>
      </c>
      <c r="C307" s="196"/>
      <c r="D307" s="197"/>
      <c r="E307" s="191" t="s">
        <v>53</v>
      </c>
    </row>
    <row r="308" customFormat="false" ht="14.25" hidden="false" customHeight="false" outlineLevel="0" collapsed="false">
      <c r="A308" s="192" t="n">
        <v>329</v>
      </c>
      <c r="B308" s="188" t="n">
        <f aca="false">IF(D308="x",0,IF(C308&lt;1,0,IF(C308&gt;1,1)))</f>
        <v>0</v>
      </c>
      <c r="C308" s="196"/>
      <c r="D308" s="197"/>
      <c r="E308" s="191" t="s">
        <v>53</v>
      </c>
    </row>
    <row r="309" customFormat="false" ht="14.25" hidden="false" customHeight="false" outlineLevel="0" collapsed="false">
      <c r="A309" s="195" t="n">
        <v>330</v>
      </c>
      <c r="B309" s="188" t="n">
        <f aca="false">IF(D309="x",0,IF(C309&lt;1,0,IF(C309&gt;1,1)))</f>
        <v>0</v>
      </c>
      <c r="C309" s="196"/>
      <c r="D309" s="197"/>
      <c r="E309" s="191" t="s">
        <v>53</v>
      </c>
    </row>
    <row r="310" customFormat="false" ht="14.25" hidden="false" customHeight="false" outlineLevel="0" collapsed="false">
      <c r="A310" s="195" t="n">
        <v>331</v>
      </c>
      <c r="B310" s="188" t="n">
        <f aca="false">IF(D310="x",0,IF(C310&lt;1,0,IF(C310&gt;1,1)))</f>
        <v>0</v>
      </c>
      <c r="C310" s="196"/>
      <c r="D310" s="197"/>
      <c r="E310" s="191" t="s">
        <v>53</v>
      </c>
    </row>
    <row r="311" customFormat="false" ht="14.25" hidden="false" customHeight="false" outlineLevel="0" collapsed="false">
      <c r="A311" s="192" t="n">
        <v>332</v>
      </c>
      <c r="B311" s="188" t="n">
        <f aca="false">IF(D311="x",0,IF(C311&lt;1,0,IF(C311&gt;1,1)))</f>
        <v>0</v>
      </c>
      <c r="C311" s="196"/>
      <c r="D311" s="197"/>
      <c r="E311" s="191" t="s">
        <v>53</v>
      </c>
    </row>
    <row r="312" customFormat="false" ht="14.25" hidden="false" customHeight="false" outlineLevel="0" collapsed="false">
      <c r="A312" s="195" t="n">
        <v>333</v>
      </c>
      <c r="B312" s="188" t="n">
        <f aca="false">IF(D312="x",0,IF(C312&lt;1,0,IF(C312&gt;1,1)))</f>
        <v>1</v>
      </c>
      <c r="C312" s="196" t="n">
        <v>117.981</v>
      </c>
      <c r="D312" s="197"/>
      <c r="E312" s="191" t="s">
        <v>53</v>
      </c>
    </row>
    <row r="313" customFormat="false" ht="14.25" hidden="false" customHeight="false" outlineLevel="0" collapsed="false">
      <c r="A313" s="195" t="n">
        <v>334</v>
      </c>
      <c r="B313" s="188" t="n">
        <f aca="false">IF(D313="x",0,IF(C313&lt;1,0,IF(C313&gt;1,1)))</f>
        <v>1</v>
      </c>
      <c r="C313" s="196" t="n">
        <v>117.641</v>
      </c>
      <c r="D313" s="197"/>
      <c r="E313" s="191" t="s">
        <v>53</v>
      </c>
    </row>
    <row r="314" customFormat="false" ht="14.25" hidden="false" customHeight="false" outlineLevel="0" collapsed="false">
      <c r="A314" s="192" t="n">
        <v>335</v>
      </c>
      <c r="B314" s="188" t="n">
        <f aca="false">IF(D314="x",0,IF(C314&lt;1,0,IF(C314&gt;1,1)))</f>
        <v>0</v>
      </c>
      <c r="C314" s="196"/>
      <c r="D314" s="197"/>
      <c r="E314" s="191" t="s">
        <v>53</v>
      </c>
    </row>
    <row r="315" customFormat="false" ht="14.25" hidden="false" customHeight="false" outlineLevel="0" collapsed="false">
      <c r="A315" s="195" t="n">
        <v>336</v>
      </c>
      <c r="B315" s="188" t="n">
        <f aca="false">IF(D315="x",0,IF(C315&lt;1,0,IF(C315&gt;1,1)))</f>
        <v>1</v>
      </c>
      <c r="C315" s="196" t="n">
        <v>118.006</v>
      </c>
      <c r="D315" s="197"/>
      <c r="E315" s="191" t="s">
        <v>53</v>
      </c>
    </row>
    <row r="316" customFormat="false" ht="14.25" hidden="false" customHeight="false" outlineLevel="0" collapsed="false">
      <c r="A316" s="195" t="n">
        <v>337</v>
      </c>
      <c r="B316" s="188" t="n">
        <f aca="false">IF(D316="x",0,IF(C316&lt;1,0,IF(C316&gt;1,1)))</f>
        <v>1</v>
      </c>
      <c r="C316" s="196" t="n">
        <v>118.138</v>
      </c>
      <c r="D316" s="197"/>
      <c r="E316" s="191" t="s">
        <v>53</v>
      </c>
    </row>
    <row r="317" customFormat="false" ht="14.25" hidden="false" customHeight="false" outlineLevel="0" collapsed="false">
      <c r="A317" s="192" t="n">
        <v>338</v>
      </c>
      <c r="B317" s="188" t="n">
        <f aca="false">IF(D317="x",0,IF(C317&lt;1,0,IF(C317&gt;1,1)))</f>
        <v>0</v>
      </c>
      <c r="C317" s="196"/>
      <c r="D317" s="197"/>
      <c r="E317" s="191" t="s">
        <v>53</v>
      </c>
    </row>
    <row r="318" customFormat="false" ht="14.25" hidden="false" customHeight="false" outlineLevel="0" collapsed="false">
      <c r="A318" s="195" t="n">
        <v>339</v>
      </c>
      <c r="B318" s="188" t="n">
        <f aca="false">IF(D318="x",0,IF(C318&lt;1,0,IF(C318&gt;1,1)))</f>
        <v>1</v>
      </c>
      <c r="C318" s="196" t="n">
        <v>116.251</v>
      </c>
      <c r="D318" s="197"/>
      <c r="E318" s="191" t="s">
        <v>53</v>
      </c>
    </row>
    <row r="319" customFormat="false" ht="14.25" hidden="false" customHeight="false" outlineLevel="0" collapsed="false">
      <c r="A319" s="195" t="n">
        <v>340</v>
      </c>
      <c r="B319" s="188" t="n">
        <f aca="false">IF(D319="x",0,IF(C319&lt;1,0,IF(C319&gt;1,1)))</f>
        <v>1</v>
      </c>
      <c r="C319" s="196" t="n">
        <v>117.73</v>
      </c>
      <c r="D319" s="197"/>
      <c r="E319" s="191" t="s">
        <v>53</v>
      </c>
    </row>
    <row r="320" customFormat="false" ht="14.25" hidden="false" customHeight="false" outlineLevel="0" collapsed="false">
      <c r="A320" s="192" t="n">
        <v>341</v>
      </c>
      <c r="B320" s="188" t="n">
        <f aca="false">IF(D320="x",0,IF(C320&lt;1,0,IF(C320&gt;1,1)))</f>
        <v>0</v>
      </c>
      <c r="C320" s="196"/>
      <c r="D320" s="197"/>
      <c r="E320" s="191" t="s">
        <v>53</v>
      </c>
    </row>
    <row r="321" customFormat="false" ht="14.25" hidden="false" customHeight="false" outlineLevel="0" collapsed="false">
      <c r="A321" s="195" t="n">
        <v>342</v>
      </c>
      <c r="B321" s="188" t="n">
        <f aca="false">IF(D321="x",0,IF(C321&lt;1,0,IF(C321&gt;1,1)))</f>
        <v>0</v>
      </c>
      <c r="C321" s="196"/>
      <c r="D321" s="197"/>
      <c r="E321" s="191" t="s">
        <v>53</v>
      </c>
    </row>
    <row r="322" customFormat="false" ht="14.25" hidden="false" customHeight="false" outlineLevel="0" collapsed="false">
      <c r="A322" s="195" t="n">
        <v>343</v>
      </c>
      <c r="B322" s="188" t="n">
        <f aca="false">IF(D322="x",0,IF(C322&lt;1,0,IF(C322&gt;1,1)))</f>
        <v>0</v>
      </c>
      <c r="C322" s="196"/>
      <c r="D322" s="197"/>
      <c r="E322" s="191" t="s">
        <v>53</v>
      </c>
    </row>
    <row r="323" customFormat="false" ht="14.25" hidden="false" customHeight="false" outlineLevel="0" collapsed="false">
      <c r="A323" s="192" t="n">
        <v>344</v>
      </c>
      <c r="B323" s="188" t="n">
        <f aca="false">IF(D323="x",0,IF(C323&lt;1,0,IF(C323&gt;1,1)))</f>
        <v>0</v>
      </c>
      <c r="C323" s="196"/>
      <c r="D323" s="197"/>
      <c r="E323" s="191" t="s">
        <v>53</v>
      </c>
    </row>
    <row r="324" customFormat="false" ht="14.25" hidden="false" customHeight="false" outlineLevel="0" collapsed="false">
      <c r="A324" s="195" t="n">
        <v>345</v>
      </c>
      <c r="B324" s="188" t="n">
        <f aca="false">IF(D324="x",0,IF(C324&lt;1,0,IF(C324&gt;1,1)))</f>
        <v>0</v>
      </c>
      <c r="C324" s="196"/>
      <c r="D324" s="197"/>
      <c r="E324" s="191" t="s">
        <v>53</v>
      </c>
    </row>
    <row r="325" customFormat="false" ht="14.25" hidden="false" customHeight="false" outlineLevel="0" collapsed="false">
      <c r="A325" s="195" t="n">
        <v>346</v>
      </c>
      <c r="B325" s="188" t="n">
        <f aca="false">IF(D325="x",0,IF(C325&lt;1,0,IF(C325&gt;1,1)))</f>
        <v>1</v>
      </c>
      <c r="C325" s="196" t="n">
        <v>118.769</v>
      </c>
      <c r="D325" s="197"/>
      <c r="E325" s="191" t="s">
        <v>53</v>
      </c>
    </row>
    <row r="326" customFormat="false" ht="14.25" hidden="false" customHeight="false" outlineLevel="0" collapsed="false">
      <c r="A326" s="192" t="n">
        <v>347</v>
      </c>
      <c r="B326" s="188" t="n">
        <f aca="false">IF(D326="x",0,IF(C326&lt;1,0,IF(C326&gt;1,1)))</f>
        <v>0</v>
      </c>
      <c r="C326" s="196"/>
      <c r="D326" s="197"/>
      <c r="E326" s="191" t="s">
        <v>53</v>
      </c>
    </row>
    <row r="327" customFormat="false" ht="14.25" hidden="false" customHeight="false" outlineLevel="0" collapsed="false">
      <c r="A327" s="195" t="n">
        <v>348</v>
      </c>
      <c r="B327" s="188" t="n">
        <f aca="false">IF(D327="x",0,IF(C327&lt;1,0,IF(C327&gt;1,1)))</f>
        <v>0</v>
      </c>
      <c r="C327" s="196"/>
      <c r="D327" s="197"/>
      <c r="E327" s="191" t="s">
        <v>53</v>
      </c>
    </row>
    <row r="328" customFormat="false" ht="14.25" hidden="false" customHeight="false" outlineLevel="0" collapsed="false">
      <c r="A328" s="195" t="n">
        <v>349</v>
      </c>
      <c r="B328" s="188" t="n">
        <f aca="false">IF(D328="x",0,IF(C328&lt;1,0,IF(C328&gt;1,1)))</f>
        <v>1</v>
      </c>
      <c r="C328" s="196" t="n">
        <v>118.686</v>
      </c>
      <c r="D328" s="197"/>
      <c r="E328" s="191" t="s">
        <v>53</v>
      </c>
    </row>
    <row r="329" customFormat="false" ht="14.25" hidden="false" customHeight="false" outlineLevel="0" collapsed="false">
      <c r="A329" s="192" t="n">
        <v>350</v>
      </c>
      <c r="B329" s="188" t="n">
        <f aca="false">IF(D329="x",0,IF(C329&lt;1,0,IF(C329&gt;1,1)))</f>
        <v>0</v>
      </c>
      <c r="C329" s="196"/>
      <c r="D329" s="197"/>
      <c r="E329" s="191" t="s">
        <v>53</v>
      </c>
    </row>
    <row r="330" customFormat="false" ht="14.25" hidden="false" customHeight="false" outlineLevel="0" collapsed="false">
      <c r="A330" s="195" t="n">
        <v>351</v>
      </c>
      <c r="B330" s="188" t="n">
        <f aca="false">IF(D330="x",0,IF(C330&lt;1,0,IF(C330&gt;1,1)))</f>
        <v>0</v>
      </c>
      <c r="C330" s="196"/>
      <c r="D330" s="197"/>
      <c r="E330" s="191" t="s">
        <v>53</v>
      </c>
    </row>
    <row r="331" customFormat="false" ht="14.25" hidden="false" customHeight="false" outlineLevel="0" collapsed="false">
      <c r="A331" s="195" t="n">
        <v>352</v>
      </c>
      <c r="B331" s="188" t="n">
        <f aca="false">IF(D331="x",0,IF(C331&lt;1,0,IF(C331&gt;1,1)))</f>
        <v>0</v>
      </c>
      <c r="C331" s="196"/>
      <c r="D331" s="197"/>
      <c r="E331" s="191" t="s">
        <v>53</v>
      </c>
    </row>
    <row r="332" customFormat="false" ht="14.25" hidden="false" customHeight="false" outlineLevel="0" collapsed="false">
      <c r="A332" s="192" t="n">
        <v>353</v>
      </c>
      <c r="B332" s="188" t="n">
        <f aca="false">IF(D332="x",0,IF(C332&lt;1,0,IF(C332&gt;1,1)))</f>
        <v>1</v>
      </c>
      <c r="C332" s="196" t="n">
        <v>118.576</v>
      </c>
      <c r="D332" s="197"/>
      <c r="E332" s="191" t="s">
        <v>53</v>
      </c>
    </row>
    <row r="333" customFormat="false" ht="14.25" hidden="false" customHeight="false" outlineLevel="0" collapsed="false">
      <c r="A333" s="195" t="n">
        <v>354</v>
      </c>
      <c r="B333" s="188" t="n">
        <f aca="false">IF(D333="x",0,IF(C333&lt;1,0,IF(C333&gt;1,1)))</f>
        <v>0</v>
      </c>
      <c r="C333" s="196"/>
      <c r="D333" s="197"/>
      <c r="E333" s="191" t="s">
        <v>53</v>
      </c>
    </row>
    <row r="334" customFormat="false" ht="14.25" hidden="false" customHeight="false" outlineLevel="0" collapsed="false">
      <c r="A334" s="195" t="n">
        <v>355</v>
      </c>
      <c r="B334" s="188" t="n">
        <f aca="false">IF(D334="x",0,IF(C334&lt;1,0,IF(C334&gt;1,1)))</f>
        <v>1</v>
      </c>
      <c r="C334" s="196" t="n">
        <v>119.95</v>
      </c>
      <c r="D334" s="197"/>
      <c r="E334" s="191" t="s">
        <v>53</v>
      </c>
    </row>
    <row r="335" customFormat="false" ht="14.25" hidden="false" customHeight="false" outlineLevel="0" collapsed="false">
      <c r="A335" s="192" t="n">
        <v>356</v>
      </c>
      <c r="B335" s="188" t="n">
        <f aca="false">IF(D335="x",0,IF(C335&lt;1,0,IF(C335&gt;1,1)))</f>
        <v>1</v>
      </c>
      <c r="C335" s="196" t="n">
        <v>118.107</v>
      </c>
      <c r="D335" s="197"/>
      <c r="E335" s="191" t="s">
        <v>53</v>
      </c>
    </row>
    <row r="336" customFormat="false" ht="14.25" hidden="false" customHeight="false" outlineLevel="0" collapsed="false">
      <c r="A336" s="195" t="n">
        <v>357</v>
      </c>
      <c r="B336" s="188" t="n">
        <f aca="false">IF(D336="x",0,IF(C336&lt;1,0,IF(C336&gt;1,1)))</f>
        <v>1</v>
      </c>
      <c r="C336" s="196" t="n">
        <v>116.434</v>
      </c>
      <c r="D336" s="197"/>
      <c r="E336" s="191" t="s">
        <v>53</v>
      </c>
    </row>
    <row r="337" customFormat="false" ht="14.25" hidden="false" customHeight="false" outlineLevel="0" collapsed="false">
      <c r="A337" s="195" t="n">
        <v>358</v>
      </c>
      <c r="B337" s="188" t="n">
        <f aca="false">IF(D337="x",0,IF(C337&lt;1,0,IF(C337&gt;1,1)))</f>
        <v>1</v>
      </c>
      <c r="C337" s="196" t="n">
        <v>119.313</v>
      </c>
      <c r="D337" s="197"/>
      <c r="E337" s="191" t="s">
        <v>53</v>
      </c>
    </row>
    <row r="338" customFormat="false" ht="14.25" hidden="false" customHeight="false" outlineLevel="0" collapsed="false">
      <c r="A338" s="192" t="n">
        <v>359</v>
      </c>
      <c r="B338" s="188" t="n">
        <f aca="false">IF(D338="x",0,IF(C338&lt;1,0,IF(C338&gt;1,1)))</f>
        <v>1</v>
      </c>
      <c r="C338" s="196" t="n">
        <v>120.369</v>
      </c>
      <c r="D338" s="197"/>
      <c r="E338" s="191" t="s">
        <v>53</v>
      </c>
    </row>
    <row r="339" customFormat="false" ht="14.25" hidden="false" customHeight="false" outlineLevel="0" collapsed="false">
      <c r="A339" s="195" t="n">
        <v>360</v>
      </c>
      <c r="B339" s="188" t="n">
        <f aca="false">IF(D339="x",0,IF(C339&lt;1,0,IF(C339&gt;1,1)))</f>
        <v>0</v>
      </c>
      <c r="C339" s="196"/>
      <c r="D339" s="197"/>
      <c r="E339" s="191" t="s">
        <v>53</v>
      </c>
    </row>
    <row r="340" customFormat="false" ht="14.25" hidden="false" customHeight="false" outlineLevel="0" collapsed="false">
      <c r="A340" s="195" t="n">
        <v>361</v>
      </c>
      <c r="B340" s="188" t="n">
        <f aca="false">IF(D340="x",0,IF(C340&lt;1,0,IF(C340&gt;1,1)))</f>
        <v>1</v>
      </c>
      <c r="C340" s="196" t="n">
        <v>117.613</v>
      </c>
      <c r="D340" s="197"/>
      <c r="E340" s="191" t="s">
        <v>53</v>
      </c>
    </row>
    <row r="341" customFormat="false" ht="14.25" hidden="false" customHeight="false" outlineLevel="0" collapsed="false">
      <c r="A341" s="192" t="n">
        <v>362</v>
      </c>
      <c r="B341" s="188" t="n">
        <f aca="false">IF(D341="x",0,IF(C341&lt;1,0,IF(C341&gt;1,1)))</f>
        <v>0</v>
      </c>
      <c r="C341" s="196"/>
      <c r="D341" s="197"/>
      <c r="E341" s="191" t="s">
        <v>53</v>
      </c>
    </row>
    <row r="342" customFormat="false" ht="14.25" hidden="false" customHeight="false" outlineLevel="0" collapsed="false">
      <c r="A342" s="195" t="n">
        <v>363</v>
      </c>
      <c r="B342" s="188" t="n">
        <f aca="false">IF(D342="x",0,IF(C342&lt;1,0,IF(C342&gt;1,1)))</f>
        <v>0</v>
      </c>
      <c r="C342" s="196"/>
      <c r="D342" s="197"/>
      <c r="E342" s="191" t="s">
        <v>53</v>
      </c>
    </row>
    <row r="343" customFormat="false" ht="14.25" hidden="false" customHeight="false" outlineLevel="0" collapsed="false">
      <c r="A343" s="195" t="n">
        <v>364</v>
      </c>
      <c r="B343" s="188" t="n">
        <f aca="false">IF(D343="x",0,IF(C343&lt;1,0,IF(C343&gt;1,1)))</f>
        <v>1</v>
      </c>
      <c r="C343" s="196" t="n">
        <v>117.962</v>
      </c>
      <c r="D343" s="197"/>
      <c r="E343" s="191" t="s">
        <v>53</v>
      </c>
    </row>
    <row r="344" customFormat="false" ht="14.25" hidden="false" customHeight="false" outlineLevel="0" collapsed="false">
      <c r="A344" s="192" t="n">
        <v>365</v>
      </c>
      <c r="B344" s="188" t="n">
        <f aca="false">IF(D344="x",0,IF(C344&lt;1,0,IF(C344&gt;1,1)))</f>
        <v>1</v>
      </c>
      <c r="C344" s="196" t="n">
        <v>120.653</v>
      </c>
      <c r="D344" s="197"/>
      <c r="E344" s="191" t="s">
        <v>53</v>
      </c>
    </row>
    <row r="345" customFormat="false" ht="14.25" hidden="false" customHeight="false" outlineLevel="0" collapsed="false">
      <c r="A345" s="195" t="n">
        <v>366</v>
      </c>
      <c r="B345" s="188" t="n">
        <f aca="false">IF(D345="x",0,IF(C345&lt;1,0,IF(C345&gt;1,1)))</f>
        <v>1</v>
      </c>
      <c r="C345" s="196" t="n">
        <v>119.548</v>
      </c>
      <c r="D345" s="197"/>
      <c r="E345" s="191" t="s">
        <v>53</v>
      </c>
    </row>
    <row r="346" customFormat="false" ht="14.25" hidden="false" customHeight="false" outlineLevel="0" collapsed="false">
      <c r="A346" s="195" t="n">
        <v>367</v>
      </c>
      <c r="B346" s="188" t="n">
        <f aca="false">IF(D346="x",0,IF(C346&lt;1,0,IF(C346&gt;1,1)))</f>
        <v>1</v>
      </c>
      <c r="C346" s="196" t="n">
        <v>117.301</v>
      </c>
      <c r="D346" s="197"/>
      <c r="E346" s="191" t="s">
        <v>53</v>
      </c>
    </row>
    <row r="347" customFormat="false" ht="14.25" hidden="false" customHeight="false" outlineLevel="0" collapsed="false">
      <c r="A347" s="192" t="n">
        <v>368</v>
      </c>
      <c r="B347" s="188" t="n">
        <f aca="false">IF(D347="x",0,IF(C347&lt;1,0,IF(C347&gt;1,1)))</f>
        <v>0</v>
      </c>
      <c r="C347" s="196"/>
      <c r="D347" s="197"/>
      <c r="E347" s="191" t="s">
        <v>53</v>
      </c>
    </row>
    <row r="348" customFormat="false" ht="14.25" hidden="false" customHeight="false" outlineLevel="0" collapsed="false">
      <c r="A348" s="195" t="n">
        <v>369</v>
      </c>
      <c r="B348" s="188" t="n">
        <f aca="false">IF(D348="x",0,IF(C348&lt;1,0,IF(C348&gt;1,1)))</f>
        <v>0</v>
      </c>
      <c r="C348" s="196"/>
      <c r="D348" s="197"/>
      <c r="E348" s="191" t="s">
        <v>53</v>
      </c>
    </row>
    <row r="349" customFormat="false" ht="14.25" hidden="false" customHeight="false" outlineLevel="0" collapsed="false">
      <c r="A349" s="195" t="n">
        <v>370</v>
      </c>
      <c r="B349" s="188" t="n">
        <f aca="false">IF(D349="x",0,IF(C349&lt;1,0,IF(C349&gt;1,1)))</f>
        <v>1</v>
      </c>
      <c r="C349" s="196" t="n">
        <v>120.063</v>
      </c>
      <c r="D349" s="197"/>
      <c r="E349" s="191" t="s">
        <v>53</v>
      </c>
    </row>
    <row r="350" customFormat="false" ht="14.25" hidden="false" customHeight="false" outlineLevel="0" collapsed="false">
      <c r="A350" s="192" t="n">
        <v>371</v>
      </c>
      <c r="B350" s="188" t="n">
        <f aca="false">IF(D350="x",0,IF(C350&lt;1,0,IF(C350&gt;1,1)))</f>
        <v>1</v>
      </c>
      <c r="C350" s="196" t="n">
        <v>120.495</v>
      </c>
      <c r="D350" s="197"/>
      <c r="E350" s="191" t="s">
        <v>53</v>
      </c>
    </row>
    <row r="351" customFormat="false" ht="14.25" hidden="false" customHeight="false" outlineLevel="0" collapsed="false">
      <c r="A351" s="195" t="n">
        <v>372</v>
      </c>
      <c r="B351" s="188" t="n">
        <f aca="false">IF(D351="x",0,IF(C351&lt;1,0,IF(C351&gt;1,1)))</f>
        <v>0</v>
      </c>
      <c r="C351" s="196"/>
      <c r="D351" s="197"/>
      <c r="E351" s="191" t="s">
        <v>53</v>
      </c>
    </row>
    <row r="352" customFormat="false" ht="14.25" hidden="false" customHeight="false" outlineLevel="0" collapsed="false">
      <c r="A352" s="195" t="n">
        <v>373</v>
      </c>
      <c r="B352" s="188" t="n">
        <f aca="false">IF(D352="x",0,IF(C352&lt;1,0,IF(C352&gt;1,1)))</f>
        <v>0</v>
      </c>
      <c r="C352" s="196"/>
      <c r="D352" s="197"/>
      <c r="E352" s="191" t="s">
        <v>53</v>
      </c>
    </row>
    <row r="353" customFormat="false" ht="14.25" hidden="false" customHeight="false" outlineLevel="0" collapsed="false">
      <c r="A353" s="192" t="n">
        <v>374</v>
      </c>
      <c r="B353" s="188" t="n">
        <f aca="false">IF(D353="x",0,IF(C353&lt;1,0,IF(C353&gt;1,1)))</f>
        <v>1</v>
      </c>
      <c r="C353" s="196" t="n">
        <v>119.372</v>
      </c>
      <c r="D353" s="197"/>
      <c r="E353" s="191" t="s">
        <v>53</v>
      </c>
    </row>
    <row r="354" customFormat="false" ht="14.25" hidden="false" customHeight="false" outlineLevel="0" collapsed="false">
      <c r="A354" s="195" t="n">
        <v>375</v>
      </c>
      <c r="B354" s="188" t="n">
        <f aca="false">IF(D354="x",0,IF(C354&lt;1,0,IF(C354&gt;1,1)))</f>
        <v>1</v>
      </c>
      <c r="C354" s="196" t="n">
        <v>119.386</v>
      </c>
      <c r="D354" s="197"/>
      <c r="E354" s="191" t="s">
        <v>53</v>
      </c>
    </row>
    <row r="355" customFormat="false" ht="14.25" hidden="false" customHeight="false" outlineLevel="0" collapsed="false">
      <c r="A355" s="195" t="n">
        <v>376</v>
      </c>
      <c r="B355" s="188" t="n">
        <f aca="false">IF(D355="x",0,IF(C355&lt;1,0,IF(C355&gt;1,1)))</f>
        <v>1</v>
      </c>
      <c r="C355" s="196" t="n">
        <v>118.403</v>
      </c>
      <c r="D355" s="197"/>
      <c r="E355" s="191" t="s">
        <v>53</v>
      </c>
    </row>
    <row r="356" customFormat="false" ht="14.25" hidden="false" customHeight="false" outlineLevel="0" collapsed="false">
      <c r="A356" s="192" t="n">
        <v>377</v>
      </c>
      <c r="B356" s="188" t="n">
        <f aca="false">IF(D356="x",0,IF(C356&lt;1,0,IF(C356&gt;1,1)))</f>
        <v>1</v>
      </c>
      <c r="C356" s="196" t="n">
        <v>119.976</v>
      </c>
      <c r="D356" s="197"/>
      <c r="E356" s="191" t="s">
        <v>53</v>
      </c>
    </row>
    <row r="357" customFormat="false" ht="14.25" hidden="false" customHeight="false" outlineLevel="0" collapsed="false">
      <c r="A357" s="195" t="n">
        <v>378</v>
      </c>
      <c r="B357" s="188" t="n">
        <f aca="false">IF(D357="x",0,IF(C357&lt;1,0,IF(C357&gt;1,1)))</f>
        <v>1</v>
      </c>
      <c r="C357" s="196" t="n">
        <v>119.534</v>
      </c>
      <c r="D357" s="197"/>
      <c r="E357" s="191" t="s">
        <v>53</v>
      </c>
    </row>
    <row r="358" customFormat="false" ht="14.25" hidden="false" customHeight="false" outlineLevel="0" collapsed="false">
      <c r="A358" s="195" t="n">
        <v>379</v>
      </c>
      <c r="B358" s="188" t="n">
        <f aca="false">IF(D358="x",0,IF(C358&lt;1,0,IF(C358&gt;1,1)))</f>
        <v>0</v>
      </c>
      <c r="C358" s="196"/>
      <c r="D358" s="197"/>
      <c r="E358" s="191" t="s">
        <v>53</v>
      </c>
    </row>
    <row r="359" customFormat="false" ht="14.25" hidden="false" customHeight="false" outlineLevel="0" collapsed="false">
      <c r="A359" s="192" t="n">
        <v>380</v>
      </c>
      <c r="B359" s="188" t="n">
        <f aca="false">IF(D359="x",0,IF(C359&lt;1,0,IF(C359&gt;1,1)))</f>
        <v>1</v>
      </c>
      <c r="C359" s="196" t="n">
        <v>116.469</v>
      </c>
      <c r="D359" s="197"/>
      <c r="E359" s="191" t="s">
        <v>53</v>
      </c>
    </row>
    <row r="360" customFormat="false" ht="14.25" hidden="false" customHeight="false" outlineLevel="0" collapsed="false">
      <c r="A360" s="195" t="n">
        <v>381</v>
      </c>
      <c r="B360" s="188" t="n">
        <f aca="false">IF(D360="x",0,IF(C360&lt;1,0,IF(C360&gt;1,1)))</f>
        <v>1</v>
      </c>
      <c r="C360" s="196" t="n">
        <v>119.673</v>
      </c>
      <c r="D360" s="197"/>
      <c r="E360" s="191" t="s">
        <v>53</v>
      </c>
    </row>
    <row r="361" customFormat="false" ht="14.25" hidden="false" customHeight="false" outlineLevel="0" collapsed="false">
      <c r="A361" s="195" t="n">
        <v>382</v>
      </c>
      <c r="B361" s="188" t="n">
        <f aca="false">IF(D361="x",0,IF(C361&lt;1,0,IF(C361&gt;1,1)))</f>
        <v>1</v>
      </c>
      <c r="C361" s="196" t="n">
        <v>119.041</v>
      </c>
      <c r="D361" s="197"/>
      <c r="E361" s="191" t="s">
        <v>53</v>
      </c>
    </row>
    <row r="362" customFormat="false" ht="14.25" hidden="false" customHeight="false" outlineLevel="0" collapsed="false">
      <c r="A362" s="192" t="n">
        <v>383</v>
      </c>
      <c r="B362" s="188" t="n">
        <f aca="false">IF(D362="x",0,IF(C362&lt;1,0,IF(C362&gt;1,1)))</f>
        <v>0</v>
      </c>
      <c r="C362" s="196"/>
      <c r="D362" s="197"/>
      <c r="E362" s="191" t="s">
        <v>53</v>
      </c>
    </row>
    <row r="363" customFormat="false" ht="14.25" hidden="false" customHeight="false" outlineLevel="0" collapsed="false">
      <c r="A363" s="195" t="n">
        <v>384</v>
      </c>
      <c r="B363" s="188" t="n">
        <f aca="false">IF(D363="x",0,IF(C363&lt;1,0,IF(C363&gt;1,1)))</f>
        <v>1</v>
      </c>
      <c r="C363" s="196" t="n">
        <v>119.776</v>
      </c>
      <c r="D363" s="197"/>
      <c r="E363" s="191" t="s">
        <v>53</v>
      </c>
    </row>
    <row r="364" customFormat="false" ht="14.25" hidden="false" customHeight="false" outlineLevel="0" collapsed="false">
      <c r="A364" s="195" t="n">
        <v>385</v>
      </c>
      <c r="B364" s="188" t="n">
        <f aca="false">IF(D364="x",0,IF(C364&lt;1,0,IF(C364&gt;1,1)))</f>
        <v>0</v>
      </c>
      <c r="C364" s="196"/>
      <c r="D364" s="197"/>
      <c r="E364" s="191" t="s">
        <v>53</v>
      </c>
    </row>
    <row r="365" customFormat="false" ht="14.25" hidden="false" customHeight="false" outlineLevel="0" collapsed="false">
      <c r="A365" s="192" t="n">
        <v>386</v>
      </c>
      <c r="B365" s="188" t="n">
        <f aca="false">IF(D365="x",0,IF(C365&lt;1,0,IF(C365&gt;1,1)))</f>
        <v>1</v>
      </c>
      <c r="C365" s="196" t="n">
        <v>119.691</v>
      </c>
      <c r="D365" s="197"/>
      <c r="E365" s="191" t="s">
        <v>53</v>
      </c>
    </row>
    <row r="366" customFormat="false" ht="14.25" hidden="false" customHeight="false" outlineLevel="0" collapsed="false">
      <c r="A366" s="195" t="n">
        <v>387</v>
      </c>
      <c r="B366" s="188" t="n">
        <f aca="false">IF(D366="x",0,IF(C366&lt;1,0,IF(C366&gt;1,1)))</f>
        <v>0</v>
      </c>
      <c r="C366" s="196"/>
      <c r="D366" s="197"/>
      <c r="E366" s="191" t="s">
        <v>53</v>
      </c>
    </row>
    <row r="367" customFormat="false" ht="14.25" hidden="false" customHeight="false" outlineLevel="0" collapsed="false">
      <c r="A367" s="195" t="n">
        <v>388</v>
      </c>
      <c r="B367" s="188" t="n">
        <f aca="false">IF(D367="x",0,IF(C367&lt;1,0,IF(C367&gt;1,1)))</f>
        <v>0</v>
      </c>
      <c r="C367" s="196"/>
      <c r="D367" s="197"/>
      <c r="E367" s="191" t="s">
        <v>53</v>
      </c>
    </row>
    <row r="368" customFormat="false" ht="14.25" hidden="false" customHeight="false" outlineLevel="0" collapsed="false">
      <c r="A368" s="192" t="n">
        <v>389</v>
      </c>
      <c r="B368" s="188" t="n">
        <f aca="false">IF(D368="x",0,IF(C368&lt;1,0,IF(C368&gt;1,1)))</f>
        <v>1</v>
      </c>
      <c r="C368" s="196" t="n">
        <v>117.222</v>
      </c>
      <c r="D368" s="197"/>
      <c r="E368" s="191" t="s">
        <v>53</v>
      </c>
    </row>
    <row r="369" customFormat="false" ht="14.25" hidden="false" customHeight="false" outlineLevel="0" collapsed="false">
      <c r="A369" s="195" t="n">
        <v>390</v>
      </c>
      <c r="B369" s="188" t="n">
        <f aca="false">IF(D369="x",0,IF(C369&lt;1,0,IF(C369&gt;1,1)))</f>
        <v>0</v>
      </c>
      <c r="C369" s="196"/>
      <c r="D369" s="197"/>
      <c r="E369" s="191" t="s">
        <v>53</v>
      </c>
    </row>
    <row r="370" customFormat="false" ht="14.25" hidden="false" customHeight="false" outlineLevel="0" collapsed="false">
      <c r="A370" s="195" t="n">
        <v>391</v>
      </c>
      <c r="B370" s="188" t="n">
        <f aca="false">IF(D370="x",0,IF(C370&lt;1,0,IF(C370&gt;1,1)))</f>
        <v>1</v>
      </c>
      <c r="C370" s="196" t="n">
        <v>117.569</v>
      </c>
      <c r="D370" s="197"/>
      <c r="E370" s="191" t="s">
        <v>53</v>
      </c>
    </row>
    <row r="371" customFormat="false" ht="14.25" hidden="false" customHeight="false" outlineLevel="0" collapsed="false">
      <c r="A371" s="192" t="n">
        <v>392</v>
      </c>
      <c r="B371" s="188" t="n">
        <f aca="false">IF(D371="x",0,IF(C371&lt;1,0,IF(C371&gt;1,1)))</f>
        <v>1</v>
      </c>
      <c r="C371" s="196" t="n">
        <v>120.365</v>
      </c>
      <c r="D371" s="197"/>
      <c r="E371" s="191" t="s">
        <v>53</v>
      </c>
    </row>
    <row r="372" customFormat="false" ht="14.25" hidden="false" customHeight="false" outlineLevel="0" collapsed="false">
      <c r="A372" s="195" t="n">
        <v>393</v>
      </c>
      <c r="B372" s="188" t="n">
        <f aca="false">IF(D372="x",0,IF(C372&lt;1,0,IF(C372&gt;1,1)))</f>
        <v>0</v>
      </c>
      <c r="C372" s="196"/>
      <c r="D372" s="197"/>
      <c r="E372" s="191" t="s">
        <v>53</v>
      </c>
    </row>
    <row r="373" customFormat="false" ht="14.25" hidden="false" customHeight="false" outlineLevel="0" collapsed="false">
      <c r="A373" s="195" t="n">
        <v>394</v>
      </c>
      <c r="B373" s="188" t="n">
        <f aca="false">IF(D373="x",0,IF(C373&lt;1,0,IF(C373&gt;1,1)))</f>
        <v>0</v>
      </c>
      <c r="C373" s="196"/>
      <c r="D373" s="197"/>
      <c r="E373" s="191" t="s">
        <v>53</v>
      </c>
    </row>
    <row r="374" customFormat="false" ht="14.25" hidden="false" customHeight="false" outlineLevel="0" collapsed="false">
      <c r="A374" s="192" t="n">
        <v>395</v>
      </c>
      <c r="B374" s="188" t="n">
        <f aca="false">IF(D374="x",0,IF(C374&lt;1,0,IF(C374&gt;1,1)))</f>
        <v>0</v>
      </c>
      <c r="C374" s="196"/>
      <c r="D374" s="197"/>
      <c r="E374" s="191" t="s">
        <v>53</v>
      </c>
    </row>
    <row r="375" customFormat="false" ht="14.25" hidden="false" customHeight="false" outlineLevel="0" collapsed="false">
      <c r="A375" s="195" t="n">
        <v>396</v>
      </c>
      <c r="B375" s="188" t="n">
        <f aca="false">IF(D375="x",0,IF(C375&lt;1,0,IF(C375&gt;1,1)))</f>
        <v>0</v>
      </c>
      <c r="C375" s="196"/>
      <c r="D375" s="197"/>
      <c r="E375" s="191" t="s">
        <v>53</v>
      </c>
    </row>
    <row r="376" customFormat="false" ht="14.25" hidden="false" customHeight="false" outlineLevel="0" collapsed="false">
      <c r="A376" s="195" t="n">
        <v>397</v>
      </c>
      <c r="B376" s="188" t="n">
        <f aca="false">IF(D376="x",0,IF(C376&lt;1,0,IF(C376&gt;1,1)))</f>
        <v>1</v>
      </c>
      <c r="C376" s="196" t="n">
        <v>118.962</v>
      </c>
      <c r="D376" s="197"/>
      <c r="E376" s="191" t="s">
        <v>53</v>
      </c>
    </row>
    <row r="377" customFormat="false" ht="14.25" hidden="false" customHeight="false" outlineLevel="0" collapsed="false">
      <c r="A377" s="192" t="n">
        <v>398</v>
      </c>
      <c r="B377" s="188" t="n">
        <f aca="false">IF(D377="x",0,IF(C377&lt;1,0,IF(C377&gt;1,1)))</f>
        <v>1</v>
      </c>
      <c r="C377" s="196" t="n">
        <v>118.586</v>
      </c>
      <c r="D377" s="197"/>
      <c r="E377" s="191" t="s">
        <v>53</v>
      </c>
    </row>
    <row r="378" customFormat="false" ht="14.25" hidden="false" customHeight="false" outlineLevel="0" collapsed="false">
      <c r="A378" s="195" t="n">
        <v>399</v>
      </c>
      <c r="B378" s="188" t="n">
        <f aca="false">IF(D378="x",0,IF(C378&lt;1,0,IF(C378&gt;1,1)))</f>
        <v>1</v>
      </c>
      <c r="C378" s="196" t="n">
        <v>113.433</v>
      </c>
      <c r="D378" s="197"/>
      <c r="E378" s="191" t="s">
        <v>53</v>
      </c>
    </row>
    <row r="379" customFormat="false" ht="14.25" hidden="false" customHeight="false" outlineLevel="0" collapsed="false">
      <c r="A379" s="195" t="n">
        <v>400</v>
      </c>
      <c r="B379" s="188" t="n">
        <f aca="false">IF(D379="x",0,IF(C379&lt;1,0,IF(C379&gt;1,1)))</f>
        <v>0</v>
      </c>
      <c r="C379" s="196"/>
      <c r="D379" s="197"/>
      <c r="E379" s="191" t="s">
        <v>53</v>
      </c>
    </row>
    <row r="380" customFormat="false" ht="14.25" hidden="false" customHeight="false" outlineLevel="0" collapsed="false">
      <c r="A380" s="192" t="n">
        <v>401</v>
      </c>
      <c r="B380" s="188" t="n">
        <f aca="false">IF(D380="x",0,IF(C380&lt;1,0,IF(C380&gt;1,1)))</f>
        <v>1</v>
      </c>
      <c r="C380" s="196" t="n">
        <v>119.398</v>
      </c>
      <c r="D380" s="197"/>
      <c r="E380" s="191" t="s">
        <v>53</v>
      </c>
    </row>
    <row r="381" customFormat="false" ht="14.25" hidden="false" customHeight="false" outlineLevel="0" collapsed="false">
      <c r="A381" s="195" t="n">
        <v>402</v>
      </c>
      <c r="B381" s="188" t="n">
        <f aca="false">IF(D381="x",0,IF(C381&lt;1,0,IF(C381&gt;1,1)))</f>
        <v>1</v>
      </c>
      <c r="C381" s="196" t="n">
        <v>119.296</v>
      </c>
      <c r="D381" s="197"/>
      <c r="E381" s="191" t="s">
        <v>53</v>
      </c>
    </row>
    <row r="382" customFormat="false" ht="14.25" hidden="false" customHeight="false" outlineLevel="0" collapsed="false">
      <c r="A382" s="195" t="n">
        <v>403</v>
      </c>
      <c r="B382" s="188" t="n">
        <f aca="false">IF(D382="x",0,IF(C382&lt;1,0,IF(C382&gt;1,1)))</f>
        <v>1</v>
      </c>
      <c r="C382" s="196" t="n">
        <v>118.544</v>
      </c>
      <c r="D382" s="197"/>
      <c r="E382" s="191" t="s">
        <v>53</v>
      </c>
    </row>
    <row r="383" customFormat="false" ht="14.25" hidden="false" customHeight="false" outlineLevel="0" collapsed="false">
      <c r="A383" s="192" t="n">
        <v>404</v>
      </c>
      <c r="B383" s="188" t="n">
        <f aca="false">IF(D383="x",0,IF(C383&lt;1,0,IF(C383&gt;1,1)))</f>
        <v>1</v>
      </c>
      <c r="C383" s="196" t="n">
        <v>113.873</v>
      </c>
      <c r="D383" s="197"/>
      <c r="E383" s="191" t="s">
        <v>53</v>
      </c>
    </row>
    <row r="384" customFormat="false" ht="14.25" hidden="false" customHeight="false" outlineLevel="0" collapsed="false">
      <c r="A384" s="195" t="n">
        <v>405</v>
      </c>
      <c r="B384" s="188" t="n">
        <f aca="false">IF(D384="x",0,IF(C384&lt;1,0,IF(C384&gt;1,1)))</f>
        <v>0</v>
      </c>
      <c r="C384" s="196"/>
      <c r="D384" s="197"/>
      <c r="E384" s="191" t="s">
        <v>53</v>
      </c>
    </row>
    <row r="385" customFormat="false" ht="14.25" hidden="false" customHeight="false" outlineLevel="0" collapsed="false">
      <c r="A385" s="195" t="n">
        <v>406</v>
      </c>
      <c r="B385" s="188" t="n">
        <f aca="false">IF(D385="x",0,IF(C385&lt;1,0,IF(C385&gt;1,1)))</f>
        <v>0</v>
      </c>
      <c r="C385" s="196"/>
      <c r="D385" s="197"/>
      <c r="E385" s="191" t="s">
        <v>53</v>
      </c>
    </row>
    <row r="386" customFormat="false" ht="14.25" hidden="false" customHeight="false" outlineLevel="0" collapsed="false">
      <c r="A386" s="192" t="n">
        <v>407</v>
      </c>
      <c r="B386" s="188" t="n">
        <f aca="false">IF(D386="x",0,IF(C386&lt;1,0,IF(C386&gt;1,1)))</f>
        <v>1</v>
      </c>
      <c r="C386" s="196" t="n">
        <v>118.282</v>
      </c>
      <c r="D386" s="197"/>
      <c r="E386" s="191" t="s">
        <v>53</v>
      </c>
    </row>
    <row r="387" customFormat="false" ht="14.25" hidden="false" customHeight="false" outlineLevel="0" collapsed="false">
      <c r="A387" s="195" t="n">
        <v>408</v>
      </c>
      <c r="B387" s="188" t="n">
        <f aca="false">IF(D387="x",0,IF(C387&lt;1,0,IF(C387&gt;1,1)))</f>
        <v>0</v>
      </c>
      <c r="C387" s="196"/>
      <c r="D387" s="197"/>
      <c r="E387" s="191" t="s">
        <v>53</v>
      </c>
    </row>
    <row r="388" customFormat="false" ht="14.25" hidden="false" customHeight="false" outlineLevel="0" collapsed="false">
      <c r="A388" s="192" t="n">
        <v>409</v>
      </c>
      <c r="B388" s="188" t="n">
        <f aca="false">IF(D388="x",0,IF(C388&lt;1,0,IF(C388&gt;1,1)))</f>
        <v>0</v>
      </c>
      <c r="C388" s="196"/>
      <c r="D388" s="197"/>
      <c r="E388" s="191" t="s">
        <v>53</v>
      </c>
    </row>
    <row r="389" customFormat="false" ht="14.25" hidden="false" customHeight="false" outlineLevel="0" collapsed="false">
      <c r="A389" s="195" t="n">
        <v>410</v>
      </c>
      <c r="B389" s="188" t="n">
        <f aca="false">IF(D389="x",0,IF(C389&lt;1,0,IF(C389&gt;1,1)))</f>
        <v>1</v>
      </c>
      <c r="C389" s="196" t="n">
        <v>118.628</v>
      </c>
      <c r="D389" s="197"/>
      <c r="E389" s="191" t="s">
        <v>53</v>
      </c>
    </row>
    <row r="390" customFormat="false" ht="14.25" hidden="false" customHeight="false" outlineLevel="0" collapsed="false">
      <c r="A390" s="192" t="n">
        <v>411</v>
      </c>
      <c r="B390" s="188" t="n">
        <f aca="false">IF(D390="x",0,IF(C390&lt;1,0,IF(C390&gt;1,1)))</f>
        <v>1</v>
      </c>
      <c r="C390" s="196" t="n">
        <v>116.443</v>
      </c>
      <c r="D390" s="197"/>
      <c r="E390" s="191" t="s">
        <v>53</v>
      </c>
    </row>
    <row r="391" customFormat="false" ht="14.25" hidden="false" customHeight="false" outlineLevel="0" collapsed="false">
      <c r="A391" s="195" t="n">
        <v>412</v>
      </c>
      <c r="B391" s="188" t="n">
        <f aca="false">IF(D391="x",0,IF(C391&lt;1,0,IF(C391&gt;1,1)))</f>
        <v>0</v>
      </c>
      <c r="C391" s="196"/>
      <c r="D391" s="197"/>
      <c r="E391" s="191" t="s">
        <v>53</v>
      </c>
    </row>
    <row r="392" customFormat="false" ht="14.25" hidden="false" customHeight="false" outlineLevel="0" collapsed="false">
      <c r="A392" s="192" t="n">
        <v>413</v>
      </c>
      <c r="B392" s="188" t="n">
        <f aca="false">IF(D392="x",0,IF(C392&lt;1,0,IF(C392&gt;1,1)))</f>
        <v>1</v>
      </c>
      <c r="C392" s="196" t="n">
        <v>119.582</v>
      </c>
      <c r="D392" s="197"/>
      <c r="E392" s="191" t="s">
        <v>53</v>
      </c>
    </row>
    <row r="393" customFormat="false" ht="14.25" hidden="false" customHeight="false" outlineLevel="0" collapsed="false">
      <c r="A393" s="195" t="n">
        <v>414</v>
      </c>
      <c r="B393" s="188" t="n">
        <f aca="false">IF(D393="x",0,IF(C393&lt;1,0,IF(C393&gt;1,1)))</f>
        <v>1</v>
      </c>
      <c r="C393" s="196" t="n">
        <v>119.424</v>
      </c>
      <c r="D393" s="197"/>
      <c r="E393" s="191" t="s">
        <v>53</v>
      </c>
    </row>
    <row r="394" customFormat="false" ht="14.25" hidden="false" customHeight="false" outlineLevel="0" collapsed="false">
      <c r="A394" s="192" t="n">
        <v>415</v>
      </c>
      <c r="B394" s="188" t="n">
        <f aca="false">IF(D394="x",0,IF(C394&lt;1,0,IF(C394&gt;1,1)))</f>
        <v>0</v>
      </c>
      <c r="C394" s="196"/>
      <c r="D394" s="197"/>
      <c r="E394" s="191" t="s">
        <v>53</v>
      </c>
    </row>
    <row r="395" customFormat="false" ht="14.25" hidden="false" customHeight="false" outlineLevel="0" collapsed="false">
      <c r="A395" s="195" t="n">
        <v>416</v>
      </c>
      <c r="B395" s="188" t="n">
        <f aca="false">IF(D395="x",0,IF(C395&lt;1,0,IF(C395&gt;1,1)))</f>
        <v>1</v>
      </c>
      <c r="C395" s="196" t="n">
        <v>117.984</v>
      </c>
      <c r="D395" s="197"/>
      <c r="E395" s="191" t="s">
        <v>53</v>
      </c>
    </row>
    <row r="396" customFormat="false" ht="14.25" hidden="false" customHeight="false" outlineLevel="0" collapsed="false">
      <c r="A396" s="192" t="n">
        <v>417</v>
      </c>
      <c r="B396" s="188" t="n">
        <f aca="false">IF(D396="x",0,IF(C396&lt;1,0,IF(C396&gt;1,1)))</f>
        <v>1</v>
      </c>
      <c r="C396" s="196" t="n">
        <v>118.583</v>
      </c>
      <c r="D396" s="197"/>
      <c r="E396" s="191" t="s">
        <v>53</v>
      </c>
    </row>
    <row r="397" customFormat="false" ht="14.25" hidden="false" customHeight="false" outlineLevel="0" collapsed="false">
      <c r="A397" s="195" t="n">
        <v>418</v>
      </c>
      <c r="B397" s="188" t="n">
        <f aca="false">IF(D397="x",0,IF(C397&lt;1,0,IF(C397&gt;1,1)))</f>
        <v>1</v>
      </c>
      <c r="C397" s="196" t="n">
        <v>116.284</v>
      </c>
      <c r="D397" s="197"/>
      <c r="E397" s="191" t="s">
        <v>53</v>
      </c>
    </row>
    <row r="398" customFormat="false" ht="14.25" hidden="false" customHeight="false" outlineLevel="0" collapsed="false">
      <c r="A398" s="192" t="n">
        <v>419</v>
      </c>
      <c r="B398" s="188" t="n">
        <f aca="false">IF(D398="x",0,IF(C398&lt;1,0,IF(C398&gt;1,1)))</f>
        <v>1</v>
      </c>
      <c r="C398" s="196" t="n">
        <v>110.074</v>
      </c>
      <c r="D398" s="197"/>
      <c r="E398" s="191" t="s">
        <v>53</v>
      </c>
    </row>
    <row r="399" customFormat="false" ht="14.25" hidden="false" customHeight="false" outlineLevel="0" collapsed="false">
      <c r="A399" s="195" t="n">
        <v>420</v>
      </c>
      <c r="B399" s="188" t="n">
        <f aca="false">IF(D399="x",0,IF(C399&lt;1,0,IF(C399&gt;1,1)))</f>
        <v>0</v>
      </c>
      <c r="C399" s="196"/>
      <c r="D399" s="197"/>
      <c r="E399" s="191" t="s">
        <v>53</v>
      </c>
    </row>
    <row r="400" customFormat="false" ht="14.25" hidden="false" customHeight="false" outlineLevel="0" collapsed="false">
      <c r="A400" s="192" t="n">
        <v>421</v>
      </c>
      <c r="B400" s="188" t="n">
        <f aca="false">IF(D400="x",0,IF(C400&lt;1,0,IF(C400&gt;1,1)))</f>
        <v>0</v>
      </c>
      <c r="C400" s="196"/>
      <c r="D400" s="197"/>
      <c r="E400" s="191" t="s">
        <v>53</v>
      </c>
    </row>
    <row r="401" customFormat="false" ht="14.25" hidden="false" customHeight="false" outlineLevel="0" collapsed="false">
      <c r="A401" s="195" t="n">
        <v>422</v>
      </c>
      <c r="B401" s="188" t="n">
        <f aca="false">IF(D401="x",0,IF(C401&lt;1,0,IF(C401&gt;1,1)))</f>
        <v>1</v>
      </c>
      <c r="C401" s="196" t="n">
        <v>118.904</v>
      </c>
      <c r="D401" s="197"/>
      <c r="E401" s="191" t="s">
        <v>53</v>
      </c>
    </row>
    <row r="402" customFormat="false" ht="14.25" hidden="false" customHeight="false" outlineLevel="0" collapsed="false">
      <c r="A402" s="192" t="n">
        <v>423</v>
      </c>
      <c r="B402" s="188" t="n">
        <f aca="false">IF(D402="x",0,IF(C402&lt;1,0,IF(C402&gt;1,1)))</f>
        <v>0</v>
      </c>
      <c r="C402" s="196"/>
      <c r="D402" s="197"/>
      <c r="E402" s="191" t="s">
        <v>53</v>
      </c>
    </row>
    <row r="403" customFormat="false" ht="14.25" hidden="false" customHeight="false" outlineLevel="0" collapsed="false">
      <c r="A403" s="195" t="n">
        <v>424</v>
      </c>
      <c r="B403" s="188" t="n">
        <f aca="false">IF(D403="x",0,IF(C403&lt;1,0,IF(C403&gt;1,1)))</f>
        <v>1</v>
      </c>
      <c r="C403" s="196" t="n">
        <v>118.318</v>
      </c>
      <c r="D403" s="197"/>
      <c r="E403" s="191" t="s">
        <v>53</v>
      </c>
    </row>
    <row r="404" customFormat="false" ht="14.25" hidden="false" customHeight="false" outlineLevel="0" collapsed="false">
      <c r="A404" s="192" t="n">
        <v>425</v>
      </c>
      <c r="B404" s="188" t="n">
        <f aca="false">IF(D404="x",0,IF(C404&lt;1,0,IF(C404&gt;1,1)))</f>
        <v>1</v>
      </c>
      <c r="C404" s="196" t="n">
        <v>115.51</v>
      </c>
      <c r="D404" s="197"/>
      <c r="E404" s="191" t="s">
        <v>53</v>
      </c>
    </row>
    <row r="405" customFormat="false" ht="14.25" hidden="false" customHeight="false" outlineLevel="0" collapsed="false">
      <c r="A405" s="195" t="n">
        <v>426</v>
      </c>
      <c r="B405" s="188" t="n">
        <f aca="false">IF(D405="x",0,IF(C405&lt;1,0,IF(C405&gt;1,1)))</f>
        <v>1</v>
      </c>
      <c r="C405" s="196" t="n">
        <v>119.864</v>
      </c>
      <c r="D405" s="197"/>
      <c r="E405" s="191" t="s">
        <v>53</v>
      </c>
    </row>
    <row r="406" customFormat="false" ht="14.25" hidden="false" customHeight="false" outlineLevel="0" collapsed="false">
      <c r="A406" s="192" t="n">
        <v>427</v>
      </c>
      <c r="B406" s="188" t="n">
        <f aca="false">IF(D406="x",0,IF(C406&lt;1,0,IF(C406&gt;1,1)))</f>
        <v>0</v>
      </c>
      <c r="C406" s="196"/>
      <c r="D406" s="197"/>
      <c r="E406" s="191" t="s">
        <v>53</v>
      </c>
    </row>
    <row r="407" customFormat="false" ht="14.25" hidden="false" customHeight="false" outlineLevel="0" collapsed="false">
      <c r="A407" s="195" t="n">
        <v>428</v>
      </c>
      <c r="B407" s="188" t="n">
        <f aca="false">IF(D407="x",0,IF(C407&lt;1,0,IF(C407&gt;1,1)))</f>
        <v>0</v>
      </c>
      <c r="C407" s="196"/>
      <c r="D407" s="197"/>
      <c r="E407" s="191" t="s">
        <v>53</v>
      </c>
    </row>
    <row r="408" customFormat="false" ht="14.25" hidden="false" customHeight="false" outlineLevel="0" collapsed="false">
      <c r="A408" s="192" t="n">
        <v>429</v>
      </c>
      <c r="B408" s="188" t="n">
        <f aca="false">IF(D408="x",0,IF(C408&lt;1,0,IF(C408&gt;1,1)))</f>
        <v>1</v>
      </c>
      <c r="C408" s="196" t="n">
        <v>119.103</v>
      </c>
      <c r="D408" s="197"/>
      <c r="E408" s="191" t="s">
        <v>53</v>
      </c>
    </row>
    <row r="409" customFormat="false" ht="14.25" hidden="false" customHeight="false" outlineLevel="0" collapsed="false">
      <c r="A409" s="195" t="n">
        <v>430</v>
      </c>
      <c r="B409" s="188" t="n">
        <f aca="false">IF(D409="x",0,IF(C409&lt;1,0,IF(C409&gt;1,1)))</f>
        <v>0</v>
      </c>
      <c r="C409" s="196"/>
      <c r="D409" s="197"/>
      <c r="E409" s="191" t="s">
        <v>53</v>
      </c>
    </row>
    <row r="410" customFormat="false" ht="14.25" hidden="false" customHeight="false" outlineLevel="0" collapsed="false">
      <c r="A410" s="192" t="n">
        <v>431</v>
      </c>
      <c r="B410" s="188" t="n">
        <f aca="false">IF(D410="x",0,IF(C410&lt;1,0,IF(C410&gt;1,1)))</f>
        <v>1</v>
      </c>
      <c r="C410" s="196" t="n">
        <v>118.356</v>
      </c>
      <c r="D410" s="197"/>
      <c r="E410" s="191" t="s">
        <v>53</v>
      </c>
    </row>
    <row r="411" customFormat="false" ht="14.25" hidden="false" customHeight="false" outlineLevel="0" collapsed="false">
      <c r="A411" s="195" t="n">
        <v>432</v>
      </c>
      <c r="B411" s="188" t="n">
        <f aca="false">IF(D411="x",0,IF(C411&lt;1,0,IF(C411&gt;1,1)))</f>
        <v>1</v>
      </c>
      <c r="C411" s="196" t="n">
        <v>117.336</v>
      </c>
      <c r="D411" s="197"/>
      <c r="E411" s="191" t="s">
        <v>53</v>
      </c>
    </row>
    <row r="412" customFormat="false" ht="14.25" hidden="false" customHeight="false" outlineLevel="0" collapsed="false">
      <c r="A412" s="192" t="n">
        <v>433</v>
      </c>
      <c r="B412" s="188" t="n">
        <f aca="false">IF(D412="x",0,IF(C412&lt;1,0,IF(C412&gt;1,1)))</f>
        <v>0</v>
      </c>
      <c r="C412" s="196"/>
      <c r="D412" s="197"/>
      <c r="E412" s="191" t="s">
        <v>53</v>
      </c>
    </row>
    <row r="413" customFormat="false" ht="14.25" hidden="false" customHeight="false" outlineLevel="0" collapsed="false">
      <c r="A413" s="195" t="n">
        <v>434</v>
      </c>
      <c r="B413" s="188" t="n">
        <f aca="false">IF(D413="x",0,IF(C413&lt;1,0,IF(C413&gt;1,1)))</f>
        <v>0</v>
      </c>
      <c r="C413" s="196"/>
      <c r="D413" s="197"/>
      <c r="E413" s="191" t="s">
        <v>53</v>
      </c>
    </row>
    <row r="414" customFormat="false" ht="14.25" hidden="false" customHeight="false" outlineLevel="0" collapsed="false">
      <c r="A414" s="192" t="n">
        <v>435</v>
      </c>
      <c r="B414" s="188" t="n">
        <f aca="false">IF(D414="x",0,IF(C414&lt;1,0,IF(C414&gt;1,1)))</f>
        <v>1</v>
      </c>
      <c r="C414" s="196" t="n">
        <v>117.803</v>
      </c>
      <c r="D414" s="197"/>
      <c r="E414" s="191" t="s">
        <v>53</v>
      </c>
    </row>
    <row r="415" customFormat="false" ht="14.25" hidden="false" customHeight="false" outlineLevel="0" collapsed="false">
      <c r="A415" s="195" t="n">
        <v>436</v>
      </c>
      <c r="B415" s="188" t="n">
        <f aca="false">IF(D415="x",0,IF(C415&lt;1,0,IF(C415&gt;1,1)))</f>
        <v>1</v>
      </c>
      <c r="C415" s="196" t="n">
        <v>119.886</v>
      </c>
      <c r="D415" s="197"/>
      <c r="E415" s="191" t="s">
        <v>53</v>
      </c>
    </row>
    <row r="416" customFormat="false" ht="14.25" hidden="false" customHeight="false" outlineLevel="0" collapsed="false">
      <c r="A416" s="192" t="n">
        <v>437</v>
      </c>
      <c r="B416" s="188" t="n">
        <f aca="false">IF(D416="x",0,IF(C416&lt;1,0,IF(C416&gt;1,1)))</f>
        <v>0</v>
      </c>
      <c r="C416" s="196"/>
      <c r="D416" s="197"/>
      <c r="E416" s="191" t="s">
        <v>53</v>
      </c>
    </row>
    <row r="417" customFormat="false" ht="14.25" hidden="false" customHeight="false" outlineLevel="0" collapsed="false">
      <c r="A417" s="195" t="n">
        <v>438</v>
      </c>
      <c r="B417" s="188" t="n">
        <f aca="false">IF(D417="x",0,IF(C417&lt;1,0,IF(C417&gt;1,1)))</f>
        <v>1</v>
      </c>
      <c r="C417" s="196" t="n">
        <v>118.5</v>
      </c>
      <c r="D417" s="197"/>
      <c r="E417" s="191" t="s">
        <v>53</v>
      </c>
    </row>
    <row r="418" customFormat="false" ht="14.25" hidden="false" customHeight="false" outlineLevel="0" collapsed="false">
      <c r="A418" s="192" t="n">
        <v>439</v>
      </c>
      <c r="B418" s="188" t="n">
        <f aca="false">IF(D418="x",0,IF(C418&lt;1,0,IF(C418&gt;1,1)))</f>
        <v>0</v>
      </c>
      <c r="C418" s="196"/>
      <c r="D418" s="197"/>
      <c r="E418" s="191" t="s">
        <v>53</v>
      </c>
    </row>
    <row r="419" customFormat="false" ht="14.25" hidden="false" customHeight="false" outlineLevel="0" collapsed="false">
      <c r="A419" s="195" t="n">
        <v>440</v>
      </c>
      <c r="B419" s="188" t="n">
        <f aca="false">IF(D419="x",0,IF(C419&lt;1,0,IF(C419&gt;1,1)))</f>
        <v>1</v>
      </c>
      <c r="C419" s="196" t="n">
        <v>110.842</v>
      </c>
      <c r="D419" s="197"/>
      <c r="E419" s="191" t="s">
        <v>53</v>
      </c>
    </row>
    <row r="420" customFormat="false" ht="14.25" hidden="false" customHeight="false" outlineLevel="0" collapsed="false">
      <c r="A420" s="192" t="n">
        <v>441</v>
      </c>
      <c r="B420" s="188" t="n">
        <f aca="false">IF(D420="x",0,IF(C420&lt;1,0,IF(C420&gt;1,1)))</f>
        <v>0</v>
      </c>
      <c r="C420" s="196"/>
      <c r="D420" s="197"/>
      <c r="E420" s="191" t="s">
        <v>53</v>
      </c>
    </row>
    <row r="421" customFormat="false" ht="14.25" hidden="false" customHeight="false" outlineLevel="0" collapsed="false">
      <c r="A421" s="195" t="n">
        <v>442</v>
      </c>
      <c r="B421" s="188" t="n">
        <f aca="false">IF(D421="x",0,IF(C421&lt;1,0,IF(C421&gt;1,1)))</f>
        <v>0</v>
      </c>
      <c r="C421" s="196"/>
      <c r="D421" s="197"/>
      <c r="E421" s="191" t="s">
        <v>53</v>
      </c>
    </row>
    <row r="422" customFormat="false" ht="14.25" hidden="false" customHeight="false" outlineLevel="0" collapsed="false">
      <c r="A422" s="192" t="n">
        <v>443</v>
      </c>
      <c r="B422" s="188" t="n">
        <f aca="false">IF(D422="x",0,IF(C422&lt;1,0,IF(C422&gt;1,1)))</f>
        <v>0</v>
      </c>
      <c r="C422" s="196"/>
      <c r="D422" s="197"/>
      <c r="E422" s="191" t="s">
        <v>53</v>
      </c>
    </row>
    <row r="423" customFormat="false" ht="14.25" hidden="false" customHeight="false" outlineLevel="0" collapsed="false">
      <c r="A423" s="195" t="n">
        <v>444</v>
      </c>
      <c r="B423" s="188" t="n">
        <f aca="false">IF(D423="x",0,IF(C423&lt;1,0,IF(C423&gt;1,1)))</f>
        <v>0</v>
      </c>
      <c r="C423" s="196"/>
      <c r="D423" s="197"/>
      <c r="E423" s="191" t="s">
        <v>53</v>
      </c>
    </row>
    <row r="424" customFormat="false" ht="14.25" hidden="false" customHeight="false" outlineLevel="0" collapsed="false">
      <c r="A424" s="192" t="n">
        <v>445</v>
      </c>
      <c r="B424" s="188" t="n">
        <f aca="false">IF(D424="x",0,IF(C424&lt;1,0,IF(C424&gt;1,1)))</f>
        <v>1</v>
      </c>
      <c r="C424" s="196" t="n">
        <v>118.483</v>
      </c>
      <c r="D424" s="197"/>
      <c r="E424" s="191" t="s">
        <v>53</v>
      </c>
    </row>
    <row r="425" customFormat="false" ht="14.25" hidden="false" customHeight="false" outlineLevel="0" collapsed="false">
      <c r="A425" s="195" t="n">
        <v>446</v>
      </c>
      <c r="B425" s="188" t="n">
        <f aca="false">IF(D425="x",0,IF(C425&lt;1,0,IF(C425&gt;1,1)))</f>
        <v>1</v>
      </c>
      <c r="C425" s="196" t="n">
        <v>117.439</v>
      </c>
      <c r="D425" s="197"/>
      <c r="E425" s="191" t="s">
        <v>53</v>
      </c>
    </row>
    <row r="426" customFormat="false" ht="14.25" hidden="false" customHeight="false" outlineLevel="0" collapsed="false">
      <c r="A426" s="192" t="n">
        <v>447</v>
      </c>
      <c r="B426" s="188" t="n">
        <f aca="false">IF(D426="x",0,IF(C426&lt;1,0,IF(C426&gt;1,1)))</f>
        <v>1</v>
      </c>
      <c r="C426" s="196" t="n">
        <v>115.168</v>
      </c>
      <c r="D426" s="197"/>
      <c r="E426" s="191" t="s">
        <v>53</v>
      </c>
    </row>
    <row r="427" customFormat="false" ht="14.25" hidden="false" customHeight="false" outlineLevel="0" collapsed="false">
      <c r="A427" s="195" t="n">
        <v>448</v>
      </c>
      <c r="B427" s="188" t="n">
        <f aca="false">IF(D427="x",0,IF(C427&lt;1,0,IF(C427&gt;1,1)))</f>
        <v>1</v>
      </c>
      <c r="C427" s="196" t="n">
        <v>117.577</v>
      </c>
      <c r="D427" s="197"/>
      <c r="E427" s="191" t="s">
        <v>53</v>
      </c>
    </row>
    <row r="428" customFormat="false" ht="14.25" hidden="false" customHeight="false" outlineLevel="0" collapsed="false">
      <c r="A428" s="192" t="n">
        <v>449</v>
      </c>
      <c r="B428" s="188" t="n">
        <f aca="false">IF(D428="x",0,IF(C428&lt;1,0,IF(C428&gt;1,1)))</f>
        <v>1</v>
      </c>
      <c r="C428" s="196" t="n">
        <v>117.857</v>
      </c>
      <c r="D428" s="197"/>
      <c r="E428" s="191" t="s">
        <v>53</v>
      </c>
    </row>
    <row r="429" customFormat="false" ht="14.25" hidden="false" customHeight="false" outlineLevel="0" collapsed="false">
      <c r="A429" s="195" t="n">
        <v>450</v>
      </c>
      <c r="B429" s="188" t="n">
        <f aca="false">IF(D429="x",0,IF(C429&lt;1,0,IF(C429&gt;1,1)))</f>
        <v>0</v>
      </c>
      <c r="C429" s="196"/>
      <c r="D429" s="197"/>
      <c r="E429" s="191" t="s">
        <v>53</v>
      </c>
    </row>
    <row r="430" customFormat="false" ht="14.25" hidden="false" customHeight="false" outlineLevel="0" collapsed="false">
      <c r="A430" s="192" t="n">
        <v>451</v>
      </c>
      <c r="B430" s="188" t="n">
        <f aca="false">IF(D430="x",0,IF(C430&lt;1,0,IF(C430&gt;1,1)))</f>
        <v>1</v>
      </c>
      <c r="C430" s="196" t="n">
        <v>116.476</v>
      </c>
      <c r="D430" s="197"/>
      <c r="E430" s="191" t="s">
        <v>53</v>
      </c>
    </row>
    <row r="431" customFormat="false" ht="14.25" hidden="false" customHeight="false" outlineLevel="0" collapsed="false">
      <c r="A431" s="195" t="n">
        <v>452</v>
      </c>
      <c r="B431" s="188" t="n">
        <f aca="false">IF(D431="x",0,IF(C431&lt;1,0,IF(C431&gt;1,1)))</f>
        <v>1</v>
      </c>
      <c r="C431" s="196" t="n">
        <v>115.9</v>
      </c>
      <c r="D431" s="197"/>
      <c r="E431" s="191" t="s">
        <v>53</v>
      </c>
    </row>
    <row r="432" customFormat="false" ht="14.25" hidden="false" customHeight="false" outlineLevel="0" collapsed="false">
      <c r="A432" s="192" t="n">
        <v>453</v>
      </c>
      <c r="B432" s="188" t="n">
        <f aca="false">IF(D432="x",0,IF(C432&lt;1,0,IF(C432&gt;1,1)))</f>
        <v>1</v>
      </c>
      <c r="C432" s="196" t="n">
        <v>117.082</v>
      </c>
      <c r="D432" s="197"/>
      <c r="E432" s="191" t="s">
        <v>53</v>
      </c>
    </row>
    <row r="433" customFormat="false" ht="14.25" hidden="false" customHeight="false" outlineLevel="0" collapsed="false">
      <c r="A433" s="195" t="n">
        <v>454</v>
      </c>
      <c r="B433" s="188" t="n">
        <f aca="false">IF(D433="x",0,IF(C433&lt;1,0,IF(C433&gt;1,1)))</f>
        <v>1</v>
      </c>
      <c r="C433" s="196" t="n">
        <v>117.215</v>
      </c>
      <c r="D433" s="197"/>
      <c r="E433" s="191" t="s">
        <v>53</v>
      </c>
    </row>
    <row r="434" customFormat="false" ht="14.25" hidden="false" customHeight="false" outlineLevel="0" collapsed="false">
      <c r="A434" s="192" t="n">
        <v>455</v>
      </c>
      <c r="B434" s="188" t="n">
        <f aca="false">IF(D434="x",0,IF(C434&lt;1,0,IF(C434&gt;1,1)))</f>
        <v>1</v>
      </c>
      <c r="C434" s="196" t="n">
        <v>114.06</v>
      </c>
      <c r="D434" s="197"/>
      <c r="E434" s="191" t="s">
        <v>53</v>
      </c>
    </row>
    <row r="435" customFormat="false" ht="14.25" hidden="false" customHeight="false" outlineLevel="0" collapsed="false">
      <c r="A435" s="195" t="n">
        <v>456</v>
      </c>
      <c r="B435" s="188" t="n">
        <f aca="false">IF(D435="x",0,IF(C435&lt;1,0,IF(C435&gt;1,1)))</f>
        <v>0</v>
      </c>
      <c r="C435" s="196"/>
      <c r="D435" s="197"/>
      <c r="E435" s="191" t="s">
        <v>53</v>
      </c>
    </row>
    <row r="436" customFormat="false" ht="14.25" hidden="false" customHeight="false" outlineLevel="0" collapsed="false">
      <c r="A436" s="192" t="n">
        <v>457</v>
      </c>
      <c r="B436" s="188" t="n">
        <f aca="false">IF(D436="x",0,IF(C436&lt;1,0,IF(C436&gt;1,1)))</f>
        <v>1</v>
      </c>
      <c r="C436" s="196" t="n">
        <v>116.747</v>
      </c>
      <c r="D436" s="197"/>
      <c r="E436" s="191" t="s">
        <v>53</v>
      </c>
    </row>
    <row r="437" customFormat="false" ht="14.25" hidden="false" customHeight="false" outlineLevel="0" collapsed="false">
      <c r="A437" s="195" t="n">
        <v>458</v>
      </c>
      <c r="B437" s="188" t="n">
        <f aca="false">IF(D437="x",0,IF(C437&lt;1,0,IF(C437&gt;1,1)))</f>
        <v>1</v>
      </c>
      <c r="C437" s="196" t="n">
        <v>115.794</v>
      </c>
      <c r="D437" s="197"/>
      <c r="E437" s="191" t="s">
        <v>53</v>
      </c>
    </row>
    <row r="438" customFormat="false" ht="14.25" hidden="false" customHeight="false" outlineLevel="0" collapsed="false">
      <c r="A438" s="192" t="n">
        <v>459</v>
      </c>
      <c r="B438" s="188" t="n">
        <f aca="false">IF(D438="x",0,IF(C438&lt;1,0,IF(C438&gt;1,1)))</f>
        <v>1</v>
      </c>
      <c r="C438" s="196" t="n">
        <v>117.392</v>
      </c>
      <c r="D438" s="197"/>
      <c r="E438" s="191" t="s">
        <v>53</v>
      </c>
    </row>
    <row r="439" customFormat="false" ht="14.25" hidden="false" customHeight="false" outlineLevel="0" collapsed="false">
      <c r="A439" s="195" t="n">
        <v>460</v>
      </c>
      <c r="B439" s="188" t="n">
        <f aca="false">IF(D439="x",0,IF(C439&lt;1,0,IF(C439&gt;1,1)))</f>
        <v>1</v>
      </c>
      <c r="C439" s="196" t="n">
        <v>117.228</v>
      </c>
      <c r="D439" s="197"/>
      <c r="E439" s="191" t="s">
        <v>53</v>
      </c>
    </row>
    <row r="440" customFormat="false" ht="14.25" hidden="false" customHeight="false" outlineLevel="0" collapsed="false">
      <c r="A440" s="192" t="n">
        <v>461</v>
      </c>
      <c r="B440" s="188" t="n">
        <f aca="false">IF(D440="x",0,IF(C440&lt;1,0,IF(C440&gt;1,1)))</f>
        <v>0</v>
      </c>
      <c r="C440" s="196"/>
      <c r="D440" s="197"/>
      <c r="E440" s="191" t="s">
        <v>53</v>
      </c>
    </row>
    <row r="441" customFormat="false" ht="14.25" hidden="false" customHeight="false" outlineLevel="0" collapsed="false">
      <c r="A441" s="195" t="n">
        <v>462</v>
      </c>
      <c r="B441" s="188" t="n">
        <f aca="false">IF(D441="x",0,IF(C441&lt;1,0,IF(C441&gt;1,1)))</f>
        <v>1</v>
      </c>
      <c r="C441" s="196" t="n">
        <v>117.66</v>
      </c>
      <c r="D441" s="197"/>
      <c r="E441" s="191" t="s">
        <v>53</v>
      </c>
    </row>
    <row r="442" customFormat="false" ht="14.25" hidden="false" customHeight="false" outlineLevel="0" collapsed="false">
      <c r="A442" s="192" t="n">
        <v>463</v>
      </c>
      <c r="B442" s="188" t="n">
        <f aca="false">IF(D442="x",0,IF(C442&lt;1,0,IF(C442&gt;1,1)))</f>
        <v>1</v>
      </c>
      <c r="C442" s="196" t="n">
        <v>117.975</v>
      </c>
      <c r="D442" s="197"/>
      <c r="E442" s="191" t="s">
        <v>53</v>
      </c>
    </row>
    <row r="443" customFormat="false" ht="14.25" hidden="false" customHeight="false" outlineLevel="0" collapsed="false">
      <c r="A443" s="195" t="n">
        <v>464</v>
      </c>
      <c r="B443" s="188" t="n">
        <f aca="false">IF(D443="x",0,IF(C443&lt;1,0,IF(C443&gt;1,1)))</f>
        <v>0</v>
      </c>
      <c r="C443" s="196"/>
      <c r="D443" s="197"/>
      <c r="E443" s="191" t="s">
        <v>53</v>
      </c>
    </row>
    <row r="444" customFormat="false" ht="14.25" hidden="false" customHeight="false" outlineLevel="0" collapsed="false">
      <c r="A444" s="192" t="n">
        <v>465</v>
      </c>
      <c r="B444" s="188" t="n">
        <f aca="false">IF(D444="x",0,IF(C444&lt;1,0,IF(C444&gt;1,1)))</f>
        <v>1</v>
      </c>
      <c r="C444" s="196" t="n">
        <v>115.923</v>
      </c>
      <c r="D444" s="197"/>
      <c r="E444" s="191" t="s">
        <v>53</v>
      </c>
    </row>
    <row r="445" customFormat="false" ht="14.25" hidden="false" customHeight="false" outlineLevel="0" collapsed="false">
      <c r="A445" s="195" t="n">
        <v>466</v>
      </c>
      <c r="B445" s="188" t="n">
        <f aca="false">IF(D445="x",0,IF(C445&lt;1,0,IF(C445&gt;1,1)))</f>
        <v>0</v>
      </c>
      <c r="C445" s="196"/>
      <c r="D445" s="197"/>
      <c r="E445" s="191" t="s">
        <v>53</v>
      </c>
    </row>
    <row r="446" customFormat="false" ht="14.25" hidden="false" customHeight="false" outlineLevel="0" collapsed="false">
      <c r="A446" s="192" t="n">
        <v>467</v>
      </c>
      <c r="B446" s="188" t="n">
        <f aca="false">IF(D446="x",0,IF(C446&lt;1,0,IF(C446&gt;1,1)))</f>
        <v>1</v>
      </c>
      <c r="C446" s="196" t="n">
        <v>117.417</v>
      </c>
      <c r="D446" s="197"/>
      <c r="E446" s="191" t="s">
        <v>53</v>
      </c>
    </row>
    <row r="447" customFormat="false" ht="14.25" hidden="false" customHeight="false" outlineLevel="0" collapsed="false">
      <c r="A447" s="195" t="n">
        <v>468</v>
      </c>
      <c r="B447" s="188" t="n">
        <f aca="false">IF(D447="x",0,IF(C447&lt;1,0,IF(C447&gt;1,1)))</f>
        <v>0</v>
      </c>
      <c r="C447" s="196"/>
      <c r="D447" s="197"/>
      <c r="E447" s="191" t="s">
        <v>53</v>
      </c>
    </row>
    <row r="448" customFormat="false" ht="14.25" hidden="false" customHeight="false" outlineLevel="0" collapsed="false">
      <c r="A448" s="192" t="n">
        <v>469</v>
      </c>
      <c r="B448" s="188" t="n">
        <f aca="false">IF(D448="x",0,IF(C448&lt;1,0,IF(C448&gt;1,1)))</f>
        <v>1</v>
      </c>
      <c r="C448" s="196" t="n">
        <v>118.43</v>
      </c>
      <c r="D448" s="197"/>
      <c r="E448" s="191" t="s">
        <v>53</v>
      </c>
    </row>
    <row r="449" customFormat="false" ht="14.25" hidden="false" customHeight="false" outlineLevel="0" collapsed="false">
      <c r="A449" s="195" t="n">
        <v>470</v>
      </c>
      <c r="B449" s="188" t="n">
        <f aca="false">IF(D449="x",0,IF(C449&lt;1,0,IF(C449&gt;1,1)))</f>
        <v>1</v>
      </c>
      <c r="C449" s="196" t="n">
        <v>117.922</v>
      </c>
      <c r="D449" s="197"/>
      <c r="E449" s="191" t="s">
        <v>53</v>
      </c>
    </row>
    <row r="450" customFormat="false" ht="14.25" hidden="false" customHeight="false" outlineLevel="0" collapsed="false">
      <c r="A450" s="192" t="n">
        <v>471</v>
      </c>
      <c r="B450" s="188" t="n">
        <f aca="false">IF(D450="x",0,IF(C450&lt;1,0,IF(C450&gt;1,1)))</f>
        <v>0</v>
      </c>
      <c r="C450" s="196"/>
      <c r="D450" s="197"/>
      <c r="E450" s="191" t="s">
        <v>53</v>
      </c>
    </row>
    <row r="451" customFormat="false" ht="14.25" hidden="false" customHeight="false" outlineLevel="0" collapsed="false">
      <c r="A451" s="195" t="n">
        <v>472</v>
      </c>
      <c r="B451" s="188" t="n">
        <f aca="false">IF(D451="x",0,IF(C451&lt;1,0,IF(C451&gt;1,1)))</f>
        <v>0</v>
      </c>
      <c r="C451" s="196"/>
      <c r="D451" s="197"/>
      <c r="E451" s="191" t="s">
        <v>53</v>
      </c>
    </row>
    <row r="452" customFormat="false" ht="14.25" hidden="false" customHeight="false" outlineLevel="0" collapsed="false">
      <c r="A452" s="192" t="n">
        <v>473</v>
      </c>
      <c r="B452" s="188" t="n">
        <f aca="false">IF(D452="x",0,IF(C452&lt;1,0,IF(C452&gt;1,1)))</f>
        <v>1</v>
      </c>
      <c r="C452" s="196" t="n">
        <v>117.656</v>
      </c>
      <c r="D452" s="197"/>
      <c r="E452" s="191" t="s">
        <v>53</v>
      </c>
    </row>
    <row r="453" customFormat="false" ht="14.25" hidden="false" customHeight="false" outlineLevel="0" collapsed="false">
      <c r="A453" s="195" t="n">
        <v>474</v>
      </c>
      <c r="B453" s="188" t="n">
        <f aca="false">IF(D453="x",0,IF(C453&lt;1,0,IF(C453&gt;1,1)))</f>
        <v>1</v>
      </c>
      <c r="C453" s="196" t="n">
        <v>117.527</v>
      </c>
      <c r="D453" s="197"/>
      <c r="E453" s="191" t="s">
        <v>53</v>
      </c>
    </row>
    <row r="454" customFormat="false" ht="14.25" hidden="false" customHeight="false" outlineLevel="0" collapsed="false">
      <c r="A454" s="192" t="n">
        <v>475</v>
      </c>
      <c r="B454" s="188" t="n">
        <f aca="false">IF(D454="x",0,IF(C454&lt;1,0,IF(C454&gt;1,1)))</f>
        <v>0</v>
      </c>
      <c r="C454" s="196"/>
      <c r="D454" s="197"/>
      <c r="E454" s="191" t="s">
        <v>53</v>
      </c>
    </row>
    <row r="455" customFormat="false" ht="14.25" hidden="false" customHeight="false" outlineLevel="0" collapsed="false">
      <c r="A455" s="195" t="n">
        <v>476</v>
      </c>
      <c r="B455" s="188" t="n">
        <f aca="false">IF(D455="x",0,IF(C455&lt;1,0,IF(C455&gt;1,1)))</f>
        <v>0</v>
      </c>
      <c r="C455" s="196"/>
      <c r="D455" s="197"/>
      <c r="E455" s="191" t="s">
        <v>53</v>
      </c>
    </row>
    <row r="456" customFormat="false" ht="14.25" hidden="false" customHeight="false" outlineLevel="0" collapsed="false">
      <c r="A456" s="192" t="n">
        <v>477</v>
      </c>
      <c r="B456" s="188" t="n">
        <f aca="false">IF(D456="x",0,IF(C456&lt;1,0,IF(C456&gt;1,1)))</f>
        <v>0</v>
      </c>
      <c r="C456" s="196"/>
      <c r="D456" s="197"/>
      <c r="E456" s="191" t="s">
        <v>53</v>
      </c>
    </row>
    <row r="457" customFormat="false" ht="14.25" hidden="false" customHeight="false" outlineLevel="0" collapsed="false">
      <c r="A457" s="195" t="n">
        <v>478</v>
      </c>
      <c r="B457" s="188" t="n">
        <f aca="false">IF(D457="x",0,IF(C457&lt;1,0,IF(C457&gt;1,1)))</f>
        <v>1</v>
      </c>
      <c r="C457" s="196" t="n">
        <v>117.396</v>
      </c>
      <c r="D457" s="197"/>
      <c r="E457" s="191" t="s">
        <v>53</v>
      </c>
    </row>
    <row r="458" customFormat="false" ht="14.25" hidden="false" customHeight="false" outlineLevel="0" collapsed="false">
      <c r="A458" s="192" t="n">
        <v>479</v>
      </c>
      <c r="B458" s="188" t="n">
        <f aca="false">IF(D458="x",0,IF(C458&lt;1,0,IF(C458&gt;1,1)))</f>
        <v>0</v>
      </c>
      <c r="C458" s="196"/>
      <c r="D458" s="197"/>
      <c r="E458" s="191" t="s">
        <v>53</v>
      </c>
    </row>
    <row r="459" customFormat="false" ht="14.25" hidden="false" customHeight="false" outlineLevel="0" collapsed="false">
      <c r="A459" s="195" t="n">
        <v>480</v>
      </c>
      <c r="B459" s="188" t="n">
        <f aca="false">IF(D459="x",0,IF(C459&lt;1,0,IF(C459&gt;1,1)))</f>
        <v>1</v>
      </c>
      <c r="C459" s="196" t="n">
        <v>117.855</v>
      </c>
      <c r="D459" s="197"/>
      <c r="E459" s="191" t="s">
        <v>53</v>
      </c>
    </row>
    <row r="460" customFormat="false" ht="14.25" hidden="false" customHeight="false" outlineLevel="0" collapsed="false">
      <c r="A460" s="192" t="n">
        <v>481</v>
      </c>
      <c r="B460" s="188" t="n">
        <f aca="false">IF(D460="x",0,IF(C460&lt;1,0,IF(C460&gt;1,1)))</f>
        <v>0</v>
      </c>
      <c r="C460" s="196"/>
      <c r="D460" s="197"/>
      <c r="E460" s="191" t="s">
        <v>53</v>
      </c>
    </row>
    <row r="461" customFormat="false" ht="14.25" hidden="false" customHeight="false" outlineLevel="0" collapsed="false">
      <c r="A461" s="195" t="n">
        <v>482</v>
      </c>
      <c r="B461" s="188" t="n">
        <f aca="false">IF(D461="x",0,IF(C461&lt;1,0,IF(C461&gt;1,1)))</f>
        <v>1</v>
      </c>
      <c r="C461" s="196" t="n">
        <v>118.238</v>
      </c>
      <c r="D461" s="197"/>
      <c r="E461" s="191" t="s">
        <v>53</v>
      </c>
    </row>
    <row r="462" customFormat="false" ht="14.25" hidden="false" customHeight="false" outlineLevel="0" collapsed="false">
      <c r="A462" s="192" t="n">
        <v>483</v>
      </c>
      <c r="B462" s="188" t="n">
        <f aca="false">IF(D462="x",0,IF(C462&lt;1,0,IF(C462&gt;1,1)))</f>
        <v>1</v>
      </c>
      <c r="C462" s="196" t="n">
        <v>115.82</v>
      </c>
      <c r="D462" s="197"/>
      <c r="E462" s="191" t="s">
        <v>53</v>
      </c>
    </row>
    <row r="463" customFormat="false" ht="14.25" hidden="false" customHeight="false" outlineLevel="0" collapsed="false">
      <c r="A463" s="195" t="n">
        <v>484</v>
      </c>
      <c r="B463" s="188" t="n">
        <f aca="false">IF(D463="x",0,IF(C463&lt;1,0,IF(C463&gt;1,1)))</f>
        <v>1</v>
      </c>
      <c r="C463" s="196" t="n">
        <v>116.326</v>
      </c>
      <c r="D463" s="197"/>
      <c r="E463" s="191" t="s">
        <v>53</v>
      </c>
    </row>
    <row r="464" customFormat="false" ht="14.25" hidden="false" customHeight="false" outlineLevel="0" collapsed="false">
      <c r="A464" s="192" t="n">
        <v>485</v>
      </c>
      <c r="B464" s="188" t="n">
        <f aca="false">IF(D464="x",0,IF(C464&lt;1,0,IF(C464&gt;1,1)))</f>
        <v>1</v>
      </c>
      <c r="C464" s="196" t="n">
        <v>117.772</v>
      </c>
      <c r="D464" s="197"/>
      <c r="E464" s="191" t="s">
        <v>53</v>
      </c>
    </row>
    <row r="465" customFormat="false" ht="14.25" hidden="false" customHeight="false" outlineLevel="0" collapsed="false">
      <c r="A465" s="195" t="n">
        <v>486</v>
      </c>
      <c r="B465" s="188" t="n">
        <f aca="false">IF(D465="x",0,IF(C465&lt;1,0,IF(C465&gt;1,1)))</f>
        <v>0</v>
      </c>
      <c r="C465" s="196"/>
      <c r="D465" s="197"/>
      <c r="E465" s="191" t="s">
        <v>53</v>
      </c>
    </row>
    <row r="466" customFormat="false" ht="14.25" hidden="false" customHeight="false" outlineLevel="0" collapsed="false">
      <c r="A466" s="192" t="n">
        <v>487</v>
      </c>
      <c r="B466" s="188" t="n">
        <f aca="false">IF(D466="x",0,IF(C466&lt;1,0,IF(C466&gt;1,1)))</f>
        <v>0</v>
      </c>
      <c r="C466" s="196"/>
      <c r="D466" s="197"/>
      <c r="E466" s="191" t="s">
        <v>53</v>
      </c>
    </row>
    <row r="467" customFormat="false" ht="14.25" hidden="false" customHeight="false" outlineLevel="0" collapsed="false">
      <c r="A467" s="195" t="n">
        <v>488</v>
      </c>
      <c r="B467" s="188" t="n">
        <f aca="false">IF(D467="x",0,IF(C467&lt;1,0,IF(C467&gt;1,1)))</f>
        <v>0</v>
      </c>
      <c r="C467" s="196"/>
      <c r="D467" s="197"/>
      <c r="E467" s="191" t="s">
        <v>53</v>
      </c>
    </row>
    <row r="468" customFormat="false" ht="14.25" hidden="false" customHeight="false" outlineLevel="0" collapsed="false">
      <c r="A468" s="192" t="n">
        <v>489</v>
      </c>
      <c r="B468" s="188" t="n">
        <f aca="false">IF(D468="x",0,IF(C468&lt;1,0,IF(C468&gt;1,1)))</f>
        <v>0</v>
      </c>
      <c r="C468" s="196"/>
      <c r="D468" s="197"/>
      <c r="E468" s="191" t="s">
        <v>53</v>
      </c>
    </row>
    <row r="469" customFormat="false" ht="14.25" hidden="false" customHeight="false" outlineLevel="0" collapsed="false">
      <c r="A469" s="195" t="n">
        <v>490</v>
      </c>
      <c r="B469" s="188" t="n">
        <f aca="false">IF(D469="x",0,IF(C469&lt;1,0,IF(C469&gt;1,1)))</f>
        <v>0</v>
      </c>
      <c r="C469" s="196"/>
      <c r="D469" s="197"/>
      <c r="E469" s="191" t="s">
        <v>53</v>
      </c>
    </row>
    <row r="470" customFormat="false" ht="14.25" hidden="false" customHeight="false" outlineLevel="0" collapsed="false">
      <c r="A470" s="192" t="n">
        <v>491</v>
      </c>
      <c r="B470" s="188" t="n">
        <f aca="false">IF(D470="x",0,IF(C470&lt;1,0,IF(C470&gt;1,1)))</f>
        <v>0</v>
      </c>
      <c r="C470" s="196"/>
      <c r="D470" s="197"/>
      <c r="E470" s="191" t="s">
        <v>53</v>
      </c>
    </row>
    <row r="471" customFormat="false" ht="14.25" hidden="false" customHeight="false" outlineLevel="0" collapsed="false">
      <c r="A471" s="195" t="n">
        <v>492</v>
      </c>
      <c r="B471" s="188" t="n">
        <f aca="false">IF(D471="x",0,IF(C471&lt;1,0,IF(C471&gt;1,1)))</f>
        <v>1</v>
      </c>
      <c r="C471" s="196" t="n">
        <v>118.033</v>
      </c>
      <c r="D471" s="197"/>
      <c r="E471" s="191" t="s">
        <v>53</v>
      </c>
    </row>
    <row r="472" customFormat="false" ht="14.25" hidden="false" customHeight="false" outlineLevel="0" collapsed="false">
      <c r="A472" s="192" t="n">
        <v>493</v>
      </c>
      <c r="B472" s="188" t="n">
        <f aca="false">IF(D472="x",0,IF(C472&lt;1,0,IF(C472&gt;1,1)))</f>
        <v>0</v>
      </c>
      <c r="C472" s="196"/>
      <c r="D472" s="197"/>
      <c r="E472" s="191" t="s">
        <v>53</v>
      </c>
    </row>
    <row r="473" customFormat="false" ht="14.25" hidden="false" customHeight="false" outlineLevel="0" collapsed="false">
      <c r="A473" s="195" t="n">
        <v>494</v>
      </c>
      <c r="B473" s="188" t="n">
        <f aca="false">IF(D473="x",0,IF(C473&lt;1,0,IF(C473&gt;1,1)))</f>
        <v>1</v>
      </c>
      <c r="C473" s="196" t="n">
        <v>117.912</v>
      </c>
      <c r="D473" s="197"/>
      <c r="E473" s="191" t="s">
        <v>53</v>
      </c>
    </row>
    <row r="474" customFormat="false" ht="14.25" hidden="false" customHeight="false" outlineLevel="0" collapsed="false">
      <c r="A474" s="192" t="n">
        <v>495</v>
      </c>
      <c r="B474" s="188" t="n">
        <f aca="false">IF(D474="x",0,IF(C474&lt;1,0,IF(C474&gt;1,1)))</f>
        <v>0</v>
      </c>
      <c r="C474" s="196"/>
      <c r="D474" s="197"/>
      <c r="E474" s="191" t="s">
        <v>53</v>
      </c>
    </row>
    <row r="475" customFormat="false" ht="14.25" hidden="false" customHeight="false" outlineLevel="0" collapsed="false">
      <c r="A475" s="195" t="n">
        <v>496</v>
      </c>
      <c r="B475" s="188" t="n">
        <f aca="false">IF(D475="x",0,IF(C475&lt;1,0,IF(C475&gt;1,1)))</f>
        <v>1</v>
      </c>
      <c r="C475" s="196" t="n">
        <v>117.029</v>
      </c>
      <c r="D475" s="197"/>
      <c r="E475" s="191" t="s">
        <v>53</v>
      </c>
    </row>
    <row r="476" customFormat="false" ht="14.25" hidden="false" customHeight="false" outlineLevel="0" collapsed="false">
      <c r="A476" s="192" t="n">
        <v>497</v>
      </c>
      <c r="B476" s="188" t="n">
        <f aca="false">IF(D476="x",0,IF(C476&lt;1,0,IF(C476&gt;1,1)))</f>
        <v>1</v>
      </c>
      <c r="C476" s="196" t="n">
        <v>116.181</v>
      </c>
      <c r="D476" s="197"/>
      <c r="E476" s="191" t="s">
        <v>53</v>
      </c>
    </row>
    <row r="477" customFormat="false" ht="14.25" hidden="false" customHeight="false" outlineLevel="0" collapsed="false">
      <c r="A477" s="195" t="n">
        <v>498</v>
      </c>
      <c r="B477" s="188" t="n">
        <f aca="false">IF(D477="x",0,IF(C477&lt;1,0,IF(C477&gt;1,1)))</f>
        <v>0</v>
      </c>
      <c r="C477" s="196"/>
      <c r="D477" s="197"/>
      <c r="E477" s="191" t="s">
        <v>53</v>
      </c>
    </row>
    <row r="478" customFormat="false" ht="14.25" hidden="false" customHeight="false" outlineLevel="0" collapsed="false">
      <c r="A478" s="192" t="n">
        <v>499</v>
      </c>
      <c r="B478" s="188" t="n">
        <f aca="false">IF(D478="x",0,IF(C478&lt;1,0,IF(C478&gt;1,1)))</f>
        <v>1</v>
      </c>
      <c r="C478" s="196" t="n">
        <v>116.88</v>
      </c>
      <c r="D478" s="197"/>
      <c r="E478" s="191" t="s">
        <v>53</v>
      </c>
    </row>
    <row r="479" customFormat="false" ht="14.25" hidden="false" customHeight="false" outlineLevel="0" collapsed="false">
      <c r="A479" s="195" t="n">
        <v>1141</v>
      </c>
      <c r="B479" s="188" t="n">
        <f aca="false">IF(D479="x",0,IF(C479&lt;1,0,IF(C479&gt;1,1)))</f>
        <v>1</v>
      </c>
      <c r="C479" s="196" t="n">
        <v>113.12</v>
      </c>
      <c r="D479" s="197"/>
      <c r="E479" s="198" t="s">
        <v>159</v>
      </c>
    </row>
    <row r="480" customFormat="false" ht="14.25" hidden="false" customHeight="false" outlineLevel="0" collapsed="false">
      <c r="A480" s="195" t="n">
        <v>1142</v>
      </c>
      <c r="B480" s="188" t="n">
        <f aca="false">IF(D480="x",0,IF(C480&lt;1,0,IF(C480&gt;1,1)))</f>
        <v>1</v>
      </c>
      <c r="C480" s="196" t="n">
        <v>112.26</v>
      </c>
      <c r="D480" s="197"/>
      <c r="E480" s="198" t="s">
        <v>159</v>
      </c>
    </row>
    <row r="481" customFormat="false" ht="14.25" hidden="false" customHeight="false" outlineLevel="0" collapsed="false">
      <c r="A481" s="195" t="n">
        <v>1143</v>
      </c>
      <c r="B481" s="188" t="n">
        <f aca="false">IF(D481="x",0,IF(C481&lt;1,0,IF(C481&gt;1,1)))</f>
        <v>1</v>
      </c>
      <c r="C481" s="196" t="n">
        <v>112.44</v>
      </c>
      <c r="D481" s="197"/>
      <c r="E481" s="198" t="s">
        <v>159</v>
      </c>
    </row>
    <row r="482" customFormat="false" ht="14.25" hidden="false" customHeight="false" outlineLevel="0" collapsed="false">
      <c r="A482" s="195" t="n">
        <v>1144</v>
      </c>
      <c r="B482" s="188" t="n">
        <f aca="false">IF(D482="x",0,IF(C482&lt;1,0,IF(C482&gt;1,1)))</f>
        <v>1</v>
      </c>
      <c r="C482" s="196" t="n">
        <v>112.17</v>
      </c>
      <c r="D482" s="197"/>
      <c r="E482" s="198" t="s">
        <v>159</v>
      </c>
    </row>
    <row r="483" customFormat="false" ht="14.25" hidden="false" customHeight="false" outlineLevel="0" collapsed="false">
      <c r="A483" s="195" t="n">
        <v>1145</v>
      </c>
      <c r="B483" s="188" t="n">
        <f aca="false">IF(D483="x",0,IF(C483&lt;1,0,IF(C483&gt;1,1)))</f>
        <v>1</v>
      </c>
      <c r="C483" s="196" t="n">
        <v>113.39</v>
      </c>
      <c r="D483" s="197"/>
      <c r="E483" s="198" t="s">
        <v>159</v>
      </c>
    </row>
    <row r="484" customFormat="false" ht="14.25" hidden="false" customHeight="false" outlineLevel="0" collapsed="false">
      <c r="A484" s="195" t="n">
        <v>1146</v>
      </c>
      <c r="B484" s="188" t="n">
        <f aca="false">IF(D484="x",0,IF(C484&lt;1,0,IF(C484&gt;1,1)))</f>
        <v>0</v>
      </c>
      <c r="C484" s="196"/>
      <c r="D484" s="197"/>
      <c r="E484" s="198" t="s">
        <v>159</v>
      </c>
    </row>
    <row r="485" customFormat="false" ht="14.25" hidden="false" customHeight="false" outlineLevel="0" collapsed="false">
      <c r="A485" s="195" t="n">
        <v>1147</v>
      </c>
      <c r="B485" s="188" t="n">
        <f aca="false">IF(D485="x",0,IF(C485&lt;1,0,IF(C485&gt;1,1)))</f>
        <v>1</v>
      </c>
      <c r="C485" s="196" t="n">
        <v>112.9</v>
      </c>
      <c r="D485" s="197"/>
      <c r="E485" s="198" t="s">
        <v>159</v>
      </c>
    </row>
    <row r="486" customFormat="false" ht="14.25" hidden="false" customHeight="false" outlineLevel="0" collapsed="false">
      <c r="A486" s="195" t="n">
        <v>1148</v>
      </c>
      <c r="B486" s="188" t="n">
        <f aca="false">IF(D486="x",0,IF(C486&lt;1,0,IF(C486&gt;1,1)))</f>
        <v>1</v>
      </c>
      <c r="C486" s="196" t="n">
        <v>112.95</v>
      </c>
      <c r="D486" s="197"/>
      <c r="E486" s="198" t="s">
        <v>159</v>
      </c>
    </row>
    <row r="487" customFormat="false" ht="14.25" hidden="false" customHeight="false" outlineLevel="0" collapsed="false">
      <c r="A487" s="195" t="n">
        <v>1149</v>
      </c>
      <c r="B487" s="188" t="n">
        <f aca="false">IF(D487="x",0,IF(C487&lt;1,0,IF(C487&gt;1,1)))</f>
        <v>1</v>
      </c>
      <c r="C487" s="196" t="n">
        <v>112.57</v>
      </c>
      <c r="D487" s="197"/>
      <c r="E487" s="198" t="s">
        <v>159</v>
      </c>
    </row>
    <row r="488" customFormat="false" ht="14.25" hidden="false" customHeight="false" outlineLevel="0" collapsed="false">
      <c r="A488" s="195" t="n">
        <v>1150</v>
      </c>
      <c r="B488" s="188" t="n">
        <f aca="false">IF(D488="x",0,IF(C488&lt;1,0,IF(C488&gt;1,1)))</f>
        <v>1</v>
      </c>
      <c r="C488" s="196" t="n">
        <v>111.94</v>
      </c>
      <c r="D488" s="197"/>
      <c r="E488" s="198" t="s">
        <v>159</v>
      </c>
    </row>
    <row r="489" customFormat="false" ht="14.25" hidden="false" customHeight="false" outlineLevel="0" collapsed="false">
      <c r="A489" s="195" t="n">
        <v>1151</v>
      </c>
      <c r="B489" s="188" t="n">
        <f aca="false">IF(D489="x",0,IF(C489&lt;1,0,IF(C489&gt;1,1)))</f>
        <v>1</v>
      </c>
      <c r="C489" s="196" t="n">
        <v>112.9</v>
      </c>
      <c r="D489" s="197"/>
      <c r="E489" s="198" t="s">
        <v>159</v>
      </c>
    </row>
    <row r="490" customFormat="false" ht="14.25" hidden="false" customHeight="false" outlineLevel="0" collapsed="false">
      <c r="A490" s="195" t="n">
        <v>1152</v>
      </c>
      <c r="B490" s="188" t="n">
        <f aca="false">IF(D490="x",0,IF(C490&lt;1,0,IF(C490&gt;1,1)))</f>
        <v>1</v>
      </c>
      <c r="C490" s="196" t="n">
        <v>112.54</v>
      </c>
      <c r="D490" s="197"/>
      <c r="E490" s="198" t="s">
        <v>159</v>
      </c>
    </row>
    <row r="491" customFormat="false" ht="14.25" hidden="false" customHeight="false" outlineLevel="0" collapsed="false">
      <c r="A491" s="195" t="n">
        <v>1153</v>
      </c>
      <c r="B491" s="188" t="n">
        <f aca="false">IF(D491="x",0,IF(C491&lt;1,0,IF(C491&gt;1,1)))</f>
        <v>1</v>
      </c>
      <c r="C491" s="196" t="n">
        <v>114.01</v>
      </c>
      <c r="D491" s="197"/>
      <c r="E491" s="198" t="s">
        <v>159</v>
      </c>
    </row>
    <row r="492" customFormat="false" ht="14.25" hidden="false" customHeight="false" outlineLevel="0" collapsed="false">
      <c r="A492" s="195" t="n">
        <v>1154</v>
      </c>
      <c r="B492" s="188" t="n">
        <f aca="false">IF(D492="x",0,IF(C492&lt;1,0,IF(C492&gt;1,1)))</f>
        <v>1</v>
      </c>
      <c r="C492" s="196" t="n">
        <v>112.46</v>
      </c>
      <c r="D492" s="197"/>
      <c r="E492" s="198" t="s">
        <v>159</v>
      </c>
    </row>
    <row r="493" customFormat="false" ht="14.25" hidden="false" customHeight="false" outlineLevel="0" collapsed="false">
      <c r="A493" s="195" t="n">
        <v>1155</v>
      </c>
      <c r="B493" s="188" t="n">
        <f aca="false">IF(D493="x",0,IF(C493&lt;1,0,IF(C493&gt;1,1)))</f>
        <v>1</v>
      </c>
      <c r="C493" s="196" t="n">
        <v>113.72</v>
      </c>
      <c r="D493" s="197"/>
      <c r="E493" s="198" t="s">
        <v>159</v>
      </c>
    </row>
    <row r="494" customFormat="false" ht="14.25" hidden="false" customHeight="false" outlineLevel="0" collapsed="false">
      <c r="A494" s="195" t="n">
        <v>1156</v>
      </c>
      <c r="B494" s="188" t="n">
        <f aca="false">IF(D494="x",0,IF(C494&lt;1,0,IF(C494&gt;1,1)))</f>
        <v>0</v>
      </c>
      <c r="C494" s="196"/>
      <c r="D494" s="197"/>
      <c r="E494" s="198" t="s">
        <v>159</v>
      </c>
    </row>
    <row r="495" customFormat="false" ht="14.25" hidden="false" customHeight="false" outlineLevel="0" collapsed="false">
      <c r="A495" s="195" t="n">
        <v>1157</v>
      </c>
      <c r="B495" s="188" t="n">
        <f aca="false">IF(D495="x",0,IF(C495&lt;1,0,IF(C495&gt;1,1)))</f>
        <v>1</v>
      </c>
      <c r="C495" s="196" t="n">
        <v>112.78</v>
      </c>
      <c r="D495" s="197"/>
      <c r="E495" s="198" t="s">
        <v>159</v>
      </c>
    </row>
    <row r="496" customFormat="false" ht="14.25" hidden="false" customHeight="false" outlineLevel="0" collapsed="false">
      <c r="A496" s="195" t="n">
        <v>1158</v>
      </c>
      <c r="B496" s="188" t="n">
        <f aca="false">IF(D496="x",0,IF(C496&lt;1,0,IF(C496&gt;1,1)))</f>
        <v>1</v>
      </c>
      <c r="C496" s="196" t="n">
        <v>112.78</v>
      </c>
      <c r="D496" s="197"/>
      <c r="E496" s="198" t="s">
        <v>159</v>
      </c>
    </row>
    <row r="497" customFormat="false" ht="14.25" hidden="false" customHeight="false" outlineLevel="0" collapsed="false">
      <c r="A497" s="195" t="n">
        <v>1159</v>
      </c>
      <c r="B497" s="188" t="n">
        <f aca="false">IF(D497="x",0,IF(C497&lt;1,0,IF(C497&gt;1,1)))</f>
        <v>1</v>
      </c>
      <c r="C497" s="196" t="n">
        <v>113.96</v>
      </c>
      <c r="D497" s="197"/>
      <c r="E497" s="198" t="s">
        <v>159</v>
      </c>
    </row>
    <row r="498" customFormat="false" ht="14.25" hidden="false" customHeight="false" outlineLevel="0" collapsed="false">
      <c r="A498" s="195" t="n">
        <v>1160</v>
      </c>
      <c r="B498" s="188" t="n">
        <f aca="false">IF(D498="x",0,IF(C498&lt;1,0,IF(C498&gt;1,1)))</f>
        <v>1</v>
      </c>
      <c r="C498" s="196" t="n">
        <v>111.54</v>
      </c>
      <c r="D498" s="197"/>
      <c r="E498" s="198" t="s">
        <v>159</v>
      </c>
    </row>
    <row r="499" customFormat="false" ht="14.25" hidden="false" customHeight="false" outlineLevel="0" collapsed="false">
      <c r="A499" s="195" t="n">
        <v>1161</v>
      </c>
      <c r="B499" s="188" t="n">
        <f aca="false">IF(D499="x",0,IF(C499&lt;1,0,IF(C499&gt;1,1)))</f>
        <v>1</v>
      </c>
      <c r="C499" s="196" t="n">
        <v>112.15</v>
      </c>
      <c r="D499" s="197"/>
      <c r="E499" s="198" t="s">
        <v>159</v>
      </c>
    </row>
    <row r="500" customFormat="false" ht="14.25" hidden="false" customHeight="false" outlineLevel="0" collapsed="false">
      <c r="A500" s="195" t="n">
        <v>1162</v>
      </c>
      <c r="B500" s="188" t="n">
        <f aca="false">IF(D500="x",0,IF(C500&lt;1,0,IF(C500&gt;1,1)))</f>
        <v>1</v>
      </c>
      <c r="C500" s="196" t="n">
        <v>112.51</v>
      </c>
      <c r="D500" s="197"/>
      <c r="E500" s="198" t="s">
        <v>159</v>
      </c>
    </row>
    <row r="501" customFormat="false" ht="14.25" hidden="false" customHeight="false" outlineLevel="0" collapsed="false">
      <c r="A501" s="195" t="n">
        <v>1163</v>
      </c>
      <c r="B501" s="188" t="n">
        <f aca="false">IF(D501="x",0,IF(C501&lt;1,0,IF(C501&gt;1,1)))</f>
        <v>1</v>
      </c>
      <c r="C501" s="196" t="n">
        <v>112.25</v>
      </c>
      <c r="D501" s="197"/>
      <c r="E501" s="198" t="s">
        <v>159</v>
      </c>
    </row>
    <row r="502" customFormat="false" ht="14.25" hidden="false" customHeight="false" outlineLevel="0" collapsed="false">
      <c r="A502" s="195" t="n">
        <v>1164</v>
      </c>
      <c r="B502" s="188" t="n">
        <f aca="false">IF(D502="x",0,IF(C502&lt;1,0,IF(C502&gt;1,1)))</f>
        <v>1</v>
      </c>
      <c r="C502" s="196" t="n">
        <v>112.71</v>
      </c>
      <c r="D502" s="197"/>
      <c r="E502" s="198" t="s">
        <v>159</v>
      </c>
    </row>
    <row r="503" customFormat="false" ht="14.25" hidden="false" customHeight="false" outlineLevel="0" collapsed="false">
      <c r="A503" s="195" t="n">
        <v>1165</v>
      </c>
      <c r="B503" s="188" t="n">
        <f aca="false">IF(D503="x",0,IF(C503&lt;1,0,IF(C503&gt;1,1)))</f>
        <v>1</v>
      </c>
      <c r="C503" s="196" t="n">
        <v>113.54</v>
      </c>
      <c r="D503" s="197"/>
      <c r="E503" s="198" t="s">
        <v>159</v>
      </c>
    </row>
    <row r="504" customFormat="false" ht="14.25" hidden="false" customHeight="false" outlineLevel="0" collapsed="false">
      <c r="A504" s="195" t="n">
        <v>1166</v>
      </c>
      <c r="B504" s="188" t="n">
        <f aca="false">IF(D504="x",0,IF(C504&lt;1,0,IF(C504&gt;1,1)))</f>
        <v>1</v>
      </c>
      <c r="C504" s="196" t="n">
        <v>114.16</v>
      </c>
      <c r="D504" s="197"/>
      <c r="E504" s="198" t="s">
        <v>159</v>
      </c>
    </row>
    <row r="505" customFormat="false" ht="14.25" hidden="false" customHeight="false" outlineLevel="0" collapsed="false">
      <c r="A505" s="195" t="n">
        <v>1167</v>
      </c>
      <c r="B505" s="188" t="n">
        <f aca="false">IF(D505="x",0,IF(C505&lt;1,0,IF(C505&gt;1,1)))</f>
        <v>1</v>
      </c>
      <c r="C505" s="196" t="n">
        <v>111.84</v>
      </c>
      <c r="D505" s="197"/>
      <c r="E505" s="198" t="s">
        <v>159</v>
      </c>
    </row>
    <row r="506" customFormat="false" ht="14.25" hidden="false" customHeight="false" outlineLevel="0" collapsed="false">
      <c r="A506" s="195" t="n">
        <v>1168</v>
      </c>
      <c r="B506" s="188" t="n">
        <f aca="false">IF(D506="x",0,IF(C506&lt;1,0,IF(C506&gt;1,1)))</f>
        <v>1</v>
      </c>
      <c r="C506" s="196" t="n">
        <v>112.77</v>
      </c>
      <c r="D506" s="197"/>
      <c r="E506" s="198" t="s">
        <v>159</v>
      </c>
    </row>
    <row r="507" customFormat="false" ht="14.25" hidden="false" customHeight="false" outlineLevel="0" collapsed="false">
      <c r="A507" s="195" t="n">
        <v>1169</v>
      </c>
      <c r="B507" s="188" t="n">
        <f aca="false">IF(D507="x",0,IF(C507&lt;1,0,IF(C507&gt;1,1)))</f>
        <v>1</v>
      </c>
      <c r="C507" s="196" t="n">
        <v>112.4</v>
      </c>
      <c r="D507" s="197"/>
      <c r="E507" s="198" t="s">
        <v>159</v>
      </c>
    </row>
    <row r="508" customFormat="false" ht="14.25" hidden="false" customHeight="false" outlineLevel="0" collapsed="false">
      <c r="A508" s="195" t="n">
        <v>1170</v>
      </c>
      <c r="B508" s="188" t="n">
        <f aca="false">IF(D508="x",0,IF(C508&lt;1,0,IF(C508&gt;1,1)))</f>
        <v>1</v>
      </c>
      <c r="C508" s="196" t="n">
        <v>111.11</v>
      </c>
      <c r="D508" s="197"/>
      <c r="E508" s="198" t="s">
        <v>159</v>
      </c>
    </row>
    <row r="509" customFormat="false" ht="14.25" hidden="false" customHeight="false" outlineLevel="0" collapsed="false">
      <c r="A509" s="195" t="n">
        <v>1171</v>
      </c>
      <c r="B509" s="188" t="n">
        <f aca="false">IF(D509="x",0,IF(C509&lt;1,0,IF(C509&gt;1,1)))</f>
        <v>1</v>
      </c>
      <c r="C509" s="196" t="n">
        <v>112.42</v>
      </c>
      <c r="D509" s="197"/>
      <c r="E509" s="198" t="s">
        <v>159</v>
      </c>
    </row>
    <row r="510" customFormat="false" ht="14.25" hidden="false" customHeight="false" outlineLevel="0" collapsed="false">
      <c r="A510" s="195" t="n">
        <v>1172</v>
      </c>
      <c r="B510" s="188" t="n">
        <f aca="false">IF(D510="x",0,IF(C510&lt;1,0,IF(C510&gt;1,1)))</f>
        <v>1</v>
      </c>
      <c r="C510" s="196" t="n">
        <v>112.69</v>
      </c>
      <c r="D510" s="197"/>
      <c r="E510" s="198" t="s">
        <v>159</v>
      </c>
    </row>
    <row r="511" customFormat="false" ht="14.25" hidden="false" customHeight="false" outlineLevel="0" collapsed="false">
      <c r="A511" s="195" t="n">
        <v>1173</v>
      </c>
      <c r="B511" s="188" t="n">
        <f aca="false">IF(D511="x",0,IF(C511&lt;1,0,IF(C511&gt;1,1)))</f>
        <v>1</v>
      </c>
      <c r="C511" s="196" t="n">
        <v>111.62</v>
      </c>
      <c r="D511" s="197"/>
      <c r="E511" s="198" t="s">
        <v>159</v>
      </c>
    </row>
    <row r="512" customFormat="false" ht="14.25" hidden="false" customHeight="false" outlineLevel="0" collapsed="false">
      <c r="A512" s="195" t="n">
        <v>1174</v>
      </c>
      <c r="B512" s="188" t="n">
        <f aca="false">IF(D512="x",0,IF(C512&lt;1,0,IF(C512&gt;1,1)))</f>
        <v>1</v>
      </c>
      <c r="C512" s="196" t="n">
        <v>112.63</v>
      </c>
      <c r="D512" s="197"/>
      <c r="E512" s="198" t="s">
        <v>159</v>
      </c>
    </row>
    <row r="513" customFormat="false" ht="14.25" hidden="false" customHeight="false" outlineLevel="0" collapsed="false">
      <c r="A513" s="195" t="n">
        <v>1175</v>
      </c>
      <c r="B513" s="188" t="n">
        <f aca="false">IF(D513="x",0,IF(C513&lt;1,0,IF(C513&gt;1,1)))</f>
        <v>1</v>
      </c>
      <c r="C513" s="196" t="n">
        <v>112.68</v>
      </c>
      <c r="D513" s="197"/>
      <c r="E513" s="198" t="s">
        <v>159</v>
      </c>
    </row>
    <row r="514" customFormat="false" ht="14.25" hidden="false" customHeight="false" outlineLevel="0" collapsed="false">
      <c r="A514" s="195" t="n">
        <v>1176</v>
      </c>
      <c r="B514" s="188" t="n">
        <f aca="false">IF(D514="x",0,IF(C514&lt;1,0,IF(C514&gt;1,1)))</f>
        <v>1</v>
      </c>
      <c r="C514" s="196" t="n">
        <v>113.18</v>
      </c>
      <c r="D514" s="197"/>
      <c r="E514" s="198" t="s">
        <v>159</v>
      </c>
    </row>
    <row r="515" customFormat="false" ht="14.25" hidden="false" customHeight="false" outlineLevel="0" collapsed="false">
      <c r="A515" s="195" t="n">
        <v>1177</v>
      </c>
      <c r="B515" s="188" t="n">
        <f aca="false">IF(D515="x",0,IF(C515&lt;1,0,IF(C515&gt;1,1)))</f>
        <v>1</v>
      </c>
      <c r="C515" s="196" t="n">
        <v>113.37</v>
      </c>
      <c r="D515" s="197"/>
      <c r="E515" s="198" t="s">
        <v>159</v>
      </c>
    </row>
    <row r="516" customFormat="false" ht="14.25" hidden="false" customHeight="false" outlineLevel="0" collapsed="false">
      <c r="A516" s="195" t="n">
        <v>1178</v>
      </c>
      <c r="B516" s="188" t="n">
        <f aca="false">IF(D516="x",0,IF(C516&lt;1,0,IF(C516&gt;1,1)))</f>
        <v>0</v>
      </c>
      <c r="C516" s="196"/>
      <c r="D516" s="197"/>
      <c r="E516" s="198" t="s">
        <v>159</v>
      </c>
    </row>
    <row r="517" customFormat="false" ht="14.25" hidden="false" customHeight="false" outlineLevel="0" collapsed="false">
      <c r="A517" s="195" t="n">
        <v>1179</v>
      </c>
      <c r="B517" s="188" t="n">
        <f aca="false">IF(D517="x",0,IF(C517&lt;1,0,IF(C517&gt;1,1)))</f>
        <v>1</v>
      </c>
      <c r="C517" s="196" t="n">
        <v>112.72</v>
      </c>
      <c r="D517" s="197"/>
      <c r="E517" s="198" t="s">
        <v>159</v>
      </c>
    </row>
    <row r="518" customFormat="false" ht="14.25" hidden="false" customHeight="false" outlineLevel="0" collapsed="false">
      <c r="A518" s="195" t="n">
        <v>1180</v>
      </c>
      <c r="B518" s="188" t="n">
        <f aca="false">IF(D518="x",0,IF(C518&lt;1,0,IF(C518&gt;1,1)))</f>
        <v>1</v>
      </c>
      <c r="C518" s="196" t="n">
        <v>111.95</v>
      </c>
      <c r="D518" s="197"/>
      <c r="E518" s="198" t="s">
        <v>159</v>
      </c>
    </row>
    <row r="519" customFormat="false" ht="14.25" hidden="false" customHeight="false" outlineLevel="0" collapsed="false">
      <c r="A519" s="195" t="n">
        <v>1181</v>
      </c>
      <c r="B519" s="188" t="n">
        <f aca="false">IF(D519="x",0,IF(C519&lt;1,0,IF(C519&gt;1,1)))</f>
        <v>1</v>
      </c>
      <c r="C519" s="196" t="n">
        <v>111.96</v>
      </c>
      <c r="D519" s="197"/>
      <c r="E519" s="198" t="s">
        <v>159</v>
      </c>
    </row>
    <row r="520" customFormat="false" ht="14.25" hidden="false" customHeight="false" outlineLevel="0" collapsed="false">
      <c r="A520" s="195" t="n">
        <v>1182</v>
      </c>
      <c r="B520" s="188" t="n">
        <f aca="false">IF(D520="x",0,IF(C520&lt;1,0,IF(C520&gt;1,1)))</f>
        <v>1</v>
      </c>
      <c r="C520" s="196" t="n">
        <v>112.74</v>
      </c>
      <c r="D520" s="197"/>
      <c r="E520" s="198" t="s">
        <v>159</v>
      </c>
    </row>
    <row r="521" customFormat="false" ht="14.25" hidden="false" customHeight="false" outlineLevel="0" collapsed="false">
      <c r="A521" s="195" t="n">
        <v>1183</v>
      </c>
      <c r="B521" s="188" t="n">
        <f aca="false">IF(D521="x",0,IF(C521&lt;1,0,IF(C521&gt;1,1)))</f>
        <v>1</v>
      </c>
      <c r="C521" s="196" t="n">
        <v>112.1</v>
      </c>
      <c r="D521" s="197"/>
      <c r="E521" s="198" t="s">
        <v>159</v>
      </c>
    </row>
    <row r="522" customFormat="false" ht="14.25" hidden="false" customHeight="false" outlineLevel="0" collapsed="false">
      <c r="A522" s="195" t="n">
        <v>1184</v>
      </c>
      <c r="B522" s="188" t="n">
        <f aca="false">IF(D522="x",0,IF(C522&lt;1,0,IF(C522&gt;1,1)))</f>
        <v>1</v>
      </c>
      <c r="C522" s="196" t="n">
        <v>112.11</v>
      </c>
      <c r="D522" s="197"/>
      <c r="E522" s="198" t="s">
        <v>159</v>
      </c>
    </row>
    <row r="523" customFormat="false" ht="14.25" hidden="false" customHeight="false" outlineLevel="0" collapsed="false">
      <c r="A523" s="195" t="n">
        <v>1185</v>
      </c>
      <c r="B523" s="188" t="n">
        <f aca="false">IF(D523="x",0,IF(C523&lt;1,0,IF(C523&gt;1,1)))</f>
        <v>1</v>
      </c>
      <c r="C523" s="196" t="n">
        <v>113.04</v>
      </c>
      <c r="D523" s="197"/>
      <c r="E523" s="198" t="s">
        <v>159</v>
      </c>
    </row>
    <row r="524" customFormat="false" ht="14.25" hidden="false" customHeight="false" outlineLevel="0" collapsed="false">
      <c r="A524" s="195" t="n">
        <v>1186</v>
      </c>
      <c r="B524" s="188" t="n">
        <f aca="false">IF(D524="x",0,IF(C524&lt;1,0,IF(C524&gt;1,1)))</f>
        <v>1</v>
      </c>
      <c r="C524" s="196" t="n">
        <v>113.35</v>
      </c>
      <c r="D524" s="197"/>
      <c r="E524" s="198" t="s">
        <v>159</v>
      </c>
    </row>
    <row r="525" customFormat="false" ht="14.25" hidden="false" customHeight="false" outlineLevel="0" collapsed="false">
      <c r="A525" s="195" t="n">
        <v>1187</v>
      </c>
      <c r="B525" s="188" t="n">
        <f aca="false">IF(D525="x",0,IF(C525&lt;1,0,IF(C525&gt;1,1)))</f>
        <v>1</v>
      </c>
      <c r="C525" s="196" t="n">
        <v>112.36</v>
      </c>
      <c r="D525" s="197"/>
      <c r="E525" s="198" t="s">
        <v>159</v>
      </c>
    </row>
    <row r="526" customFormat="false" ht="14.25" hidden="false" customHeight="false" outlineLevel="0" collapsed="false">
      <c r="A526" s="195" t="n">
        <v>1188</v>
      </c>
      <c r="B526" s="188" t="n">
        <f aca="false">IF(D526="x",0,IF(C526&lt;1,0,IF(C526&gt;1,1)))</f>
        <v>1</v>
      </c>
      <c r="C526" s="196" t="n">
        <v>111.85</v>
      </c>
      <c r="D526" s="197"/>
      <c r="E526" s="198" t="s">
        <v>159</v>
      </c>
    </row>
    <row r="527" customFormat="false" ht="14.25" hidden="false" customHeight="false" outlineLevel="0" collapsed="false">
      <c r="A527" s="195" t="n">
        <v>1189</v>
      </c>
      <c r="B527" s="188" t="n">
        <f aca="false">IF(D527="x",0,IF(C527&lt;1,0,IF(C527&gt;1,1)))</f>
        <v>1</v>
      </c>
      <c r="C527" s="196" t="n">
        <v>112.39</v>
      </c>
      <c r="D527" s="197"/>
      <c r="E527" s="198" t="s">
        <v>159</v>
      </c>
    </row>
    <row r="528" customFormat="false" ht="14.25" hidden="false" customHeight="false" outlineLevel="0" collapsed="false">
      <c r="A528" s="195" t="n">
        <v>1190</v>
      </c>
      <c r="B528" s="188" t="n">
        <f aca="false">IF(D528="x",0,IF(C528&lt;1,0,IF(C528&gt;1,1)))</f>
        <v>1</v>
      </c>
      <c r="C528" s="196" t="n">
        <v>113.03</v>
      </c>
      <c r="D528" s="197"/>
      <c r="E528" s="198" t="s">
        <v>159</v>
      </c>
    </row>
    <row r="529" customFormat="false" ht="14.25" hidden="false" customHeight="false" outlineLevel="0" collapsed="false">
      <c r="A529" s="195" t="n">
        <v>1191</v>
      </c>
      <c r="B529" s="188" t="n">
        <f aca="false">IF(D529="x",0,IF(C529&lt;1,0,IF(C529&gt;1,1)))</f>
        <v>1</v>
      </c>
      <c r="C529" s="196" t="n">
        <v>114.05</v>
      </c>
      <c r="D529" s="197"/>
      <c r="E529" s="198" t="s">
        <v>159</v>
      </c>
    </row>
    <row r="530" customFormat="false" ht="14.25" hidden="false" customHeight="false" outlineLevel="0" collapsed="false">
      <c r="A530" s="195" t="n">
        <v>1192</v>
      </c>
      <c r="B530" s="188" t="n">
        <f aca="false">IF(D530="x",0,IF(C530&lt;1,0,IF(C530&gt;1,1)))</f>
        <v>1</v>
      </c>
      <c r="C530" s="196" t="n">
        <v>112.91</v>
      </c>
      <c r="D530" s="197"/>
      <c r="E530" s="198" t="s">
        <v>159</v>
      </c>
    </row>
    <row r="531" customFormat="false" ht="14.25" hidden="false" customHeight="false" outlineLevel="0" collapsed="false">
      <c r="A531" s="195" t="n">
        <v>1193</v>
      </c>
      <c r="B531" s="188" t="n">
        <f aca="false">IF(D531="x",0,IF(C531&lt;1,0,IF(C531&gt;1,1)))</f>
        <v>1</v>
      </c>
      <c r="C531" s="196" t="n">
        <v>113.04</v>
      </c>
      <c r="D531" s="197"/>
      <c r="E531" s="198" t="s">
        <v>159</v>
      </c>
    </row>
    <row r="532" customFormat="false" ht="14.25" hidden="false" customHeight="false" outlineLevel="0" collapsed="false">
      <c r="A532" s="195" t="n">
        <v>1194</v>
      </c>
      <c r="B532" s="188" t="n">
        <f aca="false">IF(D532="x",0,IF(C532&lt;1,0,IF(C532&gt;1,1)))</f>
        <v>1</v>
      </c>
      <c r="C532" s="196" t="n">
        <v>112.35</v>
      </c>
      <c r="D532" s="197"/>
      <c r="E532" s="198" t="s">
        <v>159</v>
      </c>
    </row>
    <row r="533" customFormat="false" ht="14.25" hidden="false" customHeight="false" outlineLevel="0" collapsed="false">
      <c r="A533" s="195" t="n">
        <v>1195</v>
      </c>
      <c r="B533" s="188" t="n">
        <f aca="false">IF(D533="x",0,IF(C533&lt;1,0,IF(C533&gt;1,1)))</f>
        <v>1</v>
      </c>
      <c r="C533" s="196" t="n">
        <v>113.34</v>
      </c>
      <c r="D533" s="197"/>
      <c r="E533" s="198" t="s">
        <v>159</v>
      </c>
    </row>
    <row r="534" customFormat="false" ht="14.25" hidden="false" customHeight="false" outlineLevel="0" collapsed="false">
      <c r="A534" s="195" t="n">
        <v>1196</v>
      </c>
      <c r="B534" s="188" t="n">
        <f aca="false">IF(D534="x",0,IF(C534&lt;1,0,IF(C534&gt;1,1)))</f>
        <v>1</v>
      </c>
      <c r="C534" s="196" t="n">
        <v>112.86</v>
      </c>
      <c r="D534" s="197"/>
      <c r="E534" s="198" t="s">
        <v>159</v>
      </c>
    </row>
    <row r="535" customFormat="false" ht="14.25" hidden="false" customHeight="false" outlineLevel="0" collapsed="false">
      <c r="A535" s="195" t="n">
        <v>1197</v>
      </c>
      <c r="B535" s="188" t="n">
        <f aca="false">IF(D535="x",0,IF(C535&lt;1,0,IF(C535&gt;1,1)))</f>
        <v>1</v>
      </c>
      <c r="C535" s="196" t="n">
        <v>112.95</v>
      </c>
      <c r="D535" s="197"/>
      <c r="E535" s="198" t="s">
        <v>159</v>
      </c>
    </row>
    <row r="536" customFormat="false" ht="14.25" hidden="false" customHeight="false" outlineLevel="0" collapsed="false">
      <c r="A536" s="195" t="n">
        <v>1198</v>
      </c>
      <c r="B536" s="188" t="n">
        <f aca="false">IF(D536="x",0,IF(C536&lt;1,0,IF(C536&gt;1,1)))</f>
        <v>1</v>
      </c>
      <c r="C536" s="196" t="n">
        <v>111.78</v>
      </c>
      <c r="D536" s="197"/>
      <c r="E536" s="198" t="s">
        <v>159</v>
      </c>
    </row>
    <row r="537" customFormat="false" ht="14.25" hidden="false" customHeight="false" outlineLevel="0" collapsed="false">
      <c r="A537" s="195" t="n">
        <v>1199</v>
      </c>
      <c r="B537" s="188" t="n">
        <f aca="false">IF(D537="x",0,IF(C537&lt;1,0,IF(C537&gt;1,1)))</f>
        <v>1</v>
      </c>
      <c r="C537" s="196" t="n">
        <v>112.79</v>
      </c>
      <c r="D537" s="197"/>
      <c r="E537" s="198" t="s">
        <v>159</v>
      </c>
    </row>
    <row r="538" customFormat="false" ht="14.25" hidden="false" customHeight="false" outlineLevel="0" collapsed="false">
      <c r="A538" s="195" t="n">
        <v>1200</v>
      </c>
      <c r="B538" s="188" t="n">
        <f aca="false">IF(D538="x",0,IF(C538&lt;1,0,IF(C538&gt;1,1)))</f>
        <v>1</v>
      </c>
      <c r="C538" s="196" t="n">
        <v>113.36</v>
      </c>
      <c r="D538" s="197"/>
      <c r="E538" s="198" t="s">
        <v>159</v>
      </c>
    </row>
    <row r="539" customFormat="false" ht="14.25" hidden="false" customHeight="false" outlineLevel="0" collapsed="false">
      <c r="A539" s="195" t="n">
        <v>1201</v>
      </c>
      <c r="B539" s="188" t="n">
        <f aca="false">IF(D539="x",0,IF(C539&lt;1,0,IF(C539&gt;1,1)))</f>
        <v>1</v>
      </c>
      <c r="C539" s="196" t="n">
        <v>112.35</v>
      </c>
      <c r="D539" s="197"/>
      <c r="E539" s="198" t="s">
        <v>159</v>
      </c>
    </row>
    <row r="540" customFormat="false" ht="14.25" hidden="false" customHeight="false" outlineLevel="0" collapsed="false">
      <c r="A540" s="195" t="n">
        <v>1202</v>
      </c>
      <c r="B540" s="188" t="n">
        <f aca="false">IF(D540="x",0,IF(C540&lt;1,0,IF(C540&gt;1,1)))</f>
        <v>1</v>
      </c>
      <c r="C540" s="196" t="n">
        <v>113.87</v>
      </c>
      <c r="D540" s="197"/>
      <c r="E540" s="198" t="s">
        <v>159</v>
      </c>
    </row>
    <row r="541" customFormat="false" ht="14.25" hidden="false" customHeight="false" outlineLevel="0" collapsed="false">
      <c r="A541" s="27" t="n">
        <v>2001</v>
      </c>
      <c r="B541" s="188" t="n">
        <f aca="false">IF(D541="x",0,IF(C541&lt;1,0,IF(C541&gt;1,1)))</f>
        <v>1</v>
      </c>
      <c r="C541" s="32" t="n">
        <v>110.84</v>
      </c>
      <c r="D541" s="199"/>
      <c r="E541" s="198" t="s">
        <v>159</v>
      </c>
    </row>
    <row r="542" customFormat="false" ht="14.25" hidden="false" customHeight="false" outlineLevel="0" collapsed="false">
      <c r="A542" s="27" t="n">
        <v>2002</v>
      </c>
      <c r="B542" s="188" t="n">
        <f aca="false">IF(D542="x",0,IF(C542&lt;1,0,IF(C542&gt;1,1)))</f>
        <v>1</v>
      </c>
      <c r="C542" s="32" t="n">
        <v>108.59</v>
      </c>
      <c r="D542" s="199"/>
      <c r="E542" s="198" t="s">
        <v>159</v>
      </c>
    </row>
    <row r="543" customFormat="false" ht="14.25" hidden="false" customHeight="false" outlineLevel="0" collapsed="false">
      <c r="A543" s="27" t="n">
        <v>2003</v>
      </c>
      <c r="B543" s="188" t="n">
        <f aca="false">IF(D543="x",0,IF(C543&lt;1,0,IF(C543&gt;1,1)))</f>
        <v>1</v>
      </c>
      <c r="C543" s="32" t="n">
        <v>111.4</v>
      </c>
      <c r="D543" s="199"/>
      <c r="E543" s="198" t="s">
        <v>159</v>
      </c>
    </row>
    <row r="544" customFormat="false" ht="14.25" hidden="false" customHeight="false" outlineLevel="0" collapsed="false">
      <c r="A544" s="27" t="n">
        <v>2004</v>
      </c>
      <c r="B544" s="188" t="n">
        <f aca="false">IF(D544="x",0,IF(C544&lt;1,0,IF(C544&gt;1,1)))</f>
        <v>1</v>
      </c>
      <c r="C544" s="32" t="n">
        <v>110.33</v>
      </c>
      <c r="D544" s="199"/>
      <c r="E544" s="198" t="s">
        <v>159</v>
      </c>
    </row>
    <row r="545" customFormat="false" ht="14.25" hidden="false" customHeight="false" outlineLevel="0" collapsed="false">
      <c r="A545" s="27" t="n">
        <v>2005</v>
      </c>
      <c r="B545" s="188" t="n">
        <f aca="false">IF(D545="x",0,IF(C545&lt;1,0,IF(C545&gt;1,1)))</f>
        <v>1</v>
      </c>
      <c r="C545" s="32" t="n">
        <v>110.8</v>
      </c>
      <c r="D545" s="199"/>
      <c r="E545" s="198" t="s">
        <v>159</v>
      </c>
    </row>
    <row r="546" customFormat="false" ht="14.25" hidden="false" customHeight="false" outlineLevel="0" collapsed="false">
      <c r="A546" s="27" t="n">
        <v>2006</v>
      </c>
      <c r="B546" s="188" t="n">
        <f aca="false">IF(D546="x",0,IF(C546&lt;1,0,IF(C546&gt;1,1)))</f>
        <v>1</v>
      </c>
      <c r="C546" s="32" t="n">
        <v>108.87</v>
      </c>
      <c r="D546" s="199"/>
      <c r="E546" s="198" t="s">
        <v>159</v>
      </c>
    </row>
    <row r="547" customFormat="false" ht="14.25" hidden="false" customHeight="false" outlineLevel="0" collapsed="false">
      <c r="A547" s="27" t="n">
        <v>2007</v>
      </c>
      <c r="B547" s="188" t="n">
        <f aca="false">IF(D547="x",0,IF(C547&lt;1,0,IF(C547&gt;1,1)))</f>
        <v>1</v>
      </c>
      <c r="C547" s="32" t="n">
        <v>109.77</v>
      </c>
      <c r="D547" s="199"/>
      <c r="E547" s="198" t="s">
        <v>159</v>
      </c>
    </row>
    <row r="548" customFormat="false" ht="14.25" hidden="false" customHeight="false" outlineLevel="0" collapsed="false">
      <c r="A548" s="27" t="n">
        <v>2008</v>
      </c>
      <c r="B548" s="188" t="n">
        <f aca="false">IF(D548="x",0,IF(C548&lt;1,0,IF(C548&gt;1,1)))</f>
        <v>1</v>
      </c>
      <c r="C548" s="32" t="n">
        <v>108.85</v>
      </c>
      <c r="D548" s="199"/>
      <c r="E548" s="198" t="s">
        <v>159</v>
      </c>
    </row>
    <row r="549" customFormat="false" ht="14.25" hidden="false" customHeight="false" outlineLevel="0" collapsed="false">
      <c r="A549" s="27" t="n">
        <v>2009</v>
      </c>
      <c r="B549" s="188" t="n">
        <f aca="false">IF(D549="x",0,IF(C549&lt;1,0,IF(C549&gt;1,1)))</f>
        <v>1</v>
      </c>
      <c r="C549" s="32" t="n">
        <v>109.15</v>
      </c>
      <c r="D549" s="199"/>
      <c r="E549" s="198" t="s">
        <v>159</v>
      </c>
    </row>
    <row r="550" customFormat="false" ht="14.25" hidden="false" customHeight="false" outlineLevel="0" collapsed="false">
      <c r="A550" s="27" t="n">
        <v>2010</v>
      </c>
      <c r="B550" s="188" t="n">
        <f aca="false">IF(D550="x",0,IF(C550&lt;1,0,IF(C550&gt;1,1)))</f>
        <v>1</v>
      </c>
      <c r="C550" s="32" t="n">
        <v>109.42</v>
      </c>
      <c r="D550" s="199"/>
      <c r="E550" s="198" t="s">
        <v>159</v>
      </c>
    </row>
    <row r="551" customFormat="false" ht="14.25" hidden="false" customHeight="false" outlineLevel="0" collapsed="false">
      <c r="A551" s="27" t="n">
        <v>2011</v>
      </c>
      <c r="B551" s="188" t="n">
        <f aca="false">IF(D551="x",0,IF(C551&lt;1,0,IF(C551&gt;1,1)))</f>
        <v>1</v>
      </c>
      <c r="C551" s="32" t="n">
        <v>110.81</v>
      </c>
      <c r="D551" s="199"/>
      <c r="E551" s="198" t="s">
        <v>159</v>
      </c>
    </row>
    <row r="552" customFormat="false" ht="14.25" hidden="false" customHeight="false" outlineLevel="0" collapsed="false">
      <c r="A552" s="27" t="n">
        <v>2012</v>
      </c>
      <c r="B552" s="188" t="n">
        <f aca="false">IF(D552="x",0,IF(C552&lt;1,0,IF(C552&gt;1,1)))</f>
        <v>1</v>
      </c>
      <c r="C552" s="32" t="n">
        <v>110.46</v>
      </c>
      <c r="D552" s="199"/>
      <c r="E552" s="198" t="s">
        <v>159</v>
      </c>
    </row>
    <row r="553" customFormat="false" ht="14.25" hidden="false" customHeight="false" outlineLevel="0" collapsed="false">
      <c r="A553" s="27" t="n">
        <v>2013</v>
      </c>
      <c r="B553" s="188" t="n">
        <f aca="false">IF(D553="x",0,IF(C553&lt;1,0,IF(C553&gt;1,1)))</f>
        <v>1</v>
      </c>
      <c r="C553" s="32" t="n">
        <v>109.83</v>
      </c>
      <c r="D553" s="199"/>
      <c r="E553" s="198" t="s">
        <v>159</v>
      </c>
    </row>
    <row r="554" customFormat="false" ht="14.25" hidden="false" customHeight="false" outlineLevel="0" collapsed="false">
      <c r="A554" s="27" t="n">
        <v>2014</v>
      </c>
      <c r="B554" s="188" t="n">
        <f aca="false">IF(D554="x",0,IF(C554&lt;1,0,IF(C554&gt;1,1)))</f>
        <v>1</v>
      </c>
      <c r="C554" s="32" t="n">
        <v>112.03</v>
      </c>
      <c r="D554" s="199"/>
      <c r="E554" s="198" t="s">
        <v>159</v>
      </c>
    </row>
    <row r="555" customFormat="false" ht="14.25" hidden="false" customHeight="false" outlineLevel="0" collapsed="false">
      <c r="A555" s="27" t="n">
        <v>2015</v>
      </c>
      <c r="B555" s="188" t="n">
        <f aca="false">IF(D555="x",0,IF(C555&lt;1,0,IF(C555&gt;1,1)))</f>
        <v>1</v>
      </c>
      <c r="C555" s="32" t="n">
        <v>110.12</v>
      </c>
      <c r="D555" s="199"/>
      <c r="E555" s="198" t="s">
        <v>159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customFormat="false" ht="14.25" hidden="false" customHeight="false" outlineLevel="0" collapsed="false">
      <c r="A556" s="27" t="n">
        <v>2016</v>
      </c>
      <c r="B556" s="188" t="n">
        <f aca="false">IF(D556="x",0,IF(C556&lt;1,0,IF(C556&gt;1,1)))</f>
        <v>1</v>
      </c>
      <c r="C556" s="32" t="n">
        <v>107.63</v>
      </c>
      <c r="D556" s="199"/>
      <c r="E556" s="198" t="s">
        <v>159</v>
      </c>
      <c r="L556" s="200"/>
      <c r="M556" s="200"/>
      <c r="N556" s="200"/>
      <c r="O556" s="200"/>
      <c r="P556" s="200"/>
      <c r="Q556" s="200"/>
      <c r="R556" s="200"/>
      <c r="S556" s="200"/>
      <c r="T556" s="5"/>
      <c r="U556" s="5"/>
      <c r="V556" s="5"/>
    </row>
    <row r="557" customFormat="false" ht="14.25" hidden="false" customHeight="false" outlineLevel="0" collapsed="false">
      <c r="A557" s="27" t="n">
        <v>2017</v>
      </c>
      <c r="B557" s="188" t="n">
        <f aca="false">IF(D557="x",0,IF(C557&lt;1,0,IF(C557&gt;1,1)))</f>
        <v>1</v>
      </c>
      <c r="C557" s="32" t="n">
        <v>109.96</v>
      </c>
      <c r="D557" s="199"/>
      <c r="E557" s="198" t="s">
        <v>159</v>
      </c>
    </row>
    <row r="558" customFormat="false" ht="14.25" hidden="false" customHeight="false" outlineLevel="0" collapsed="false">
      <c r="A558" s="27" t="n">
        <v>2018</v>
      </c>
      <c r="B558" s="188" t="n">
        <f aca="false">IF(D558="x",0,IF(C558&lt;1,0,IF(C558&gt;1,1)))</f>
        <v>1</v>
      </c>
      <c r="C558" s="32" t="n">
        <v>109.32</v>
      </c>
      <c r="D558" s="199"/>
      <c r="E558" s="198" t="s">
        <v>159</v>
      </c>
    </row>
    <row r="559" customFormat="false" ht="14.25" hidden="false" customHeight="false" outlineLevel="0" collapsed="false">
      <c r="A559" s="27" t="n">
        <v>2019</v>
      </c>
      <c r="B559" s="188" t="n">
        <f aca="false">IF(D559="x",0,IF(C559&lt;1,0,IF(C559&gt;1,1)))</f>
        <v>1</v>
      </c>
      <c r="C559" s="33" t="n">
        <v>108.2</v>
      </c>
      <c r="D559" s="199"/>
      <c r="E559" s="198" t="s">
        <v>159</v>
      </c>
    </row>
    <row r="560" customFormat="false" ht="14.25" hidden="false" customHeight="false" outlineLevel="0" collapsed="false">
      <c r="A560" s="27" t="n">
        <v>2020</v>
      </c>
      <c r="B560" s="188" t="n">
        <f aca="false">IF(D560="x",0,IF(C560&lt;1,0,IF(C560&gt;1,1)))</f>
        <v>1</v>
      </c>
      <c r="C560" s="33" t="n">
        <v>110.81</v>
      </c>
      <c r="D560" s="199"/>
      <c r="E560" s="198" t="s">
        <v>159</v>
      </c>
    </row>
    <row r="561" customFormat="false" ht="14.25" hidden="false" customHeight="false" outlineLevel="0" collapsed="false">
      <c r="A561" s="27" t="n">
        <v>2021</v>
      </c>
      <c r="B561" s="188" t="n">
        <f aca="false">IF(D561="x",0,IF(C561&lt;1,0,IF(C561&gt;1,1)))</f>
        <v>1</v>
      </c>
      <c r="C561" s="33" t="n">
        <v>110.95</v>
      </c>
      <c r="D561" s="199"/>
      <c r="E561" s="198" t="s">
        <v>159</v>
      </c>
    </row>
    <row r="562" customFormat="false" ht="14.25" hidden="false" customHeight="false" outlineLevel="0" collapsed="false">
      <c r="A562" s="27" t="n">
        <v>2022</v>
      </c>
      <c r="B562" s="188" t="n">
        <f aca="false">IF(D562="x",0,IF(C562&lt;1,0,IF(C562&gt;1,1)))</f>
        <v>1</v>
      </c>
      <c r="C562" s="33" t="n">
        <v>109.76</v>
      </c>
      <c r="D562" s="199"/>
      <c r="E562" s="198" t="s">
        <v>159</v>
      </c>
    </row>
    <row r="563" customFormat="false" ht="14.25" hidden="false" customHeight="false" outlineLevel="0" collapsed="false">
      <c r="A563" s="27" t="n">
        <v>2023</v>
      </c>
      <c r="B563" s="188" t="n">
        <f aca="false">IF(D563="x",0,IF(C563&lt;1,0,IF(C563&gt;1,1)))</f>
        <v>1</v>
      </c>
      <c r="C563" s="33" t="n">
        <v>109.63</v>
      </c>
      <c r="D563" s="199"/>
      <c r="E563" s="198" t="s">
        <v>159</v>
      </c>
    </row>
    <row r="564" customFormat="false" ht="14.25" hidden="false" customHeight="false" outlineLevel="0" collapsed="false">
      <c r="A564" s="27" t="n">
        <v>2024</v>
      </c>
      <c r="B564" s="188" t="n">
        <f aca="false">IF(D564="x",0,IF(C564&lt;1,0,IF(C564&gt;1,1)))</f>
        <v>1</v>
      </c>
      <c r="C564" s="32" t="n">
        <v>110.41</v>
      </c>
      <c r="D564" s="199"/>
      <c r="E564" s="198" t="s">
        <v>159</v>
      </c>
    </row>
    <row r="565" customFormat="false" ht="14.25" hidden="false" customHeight="false" outlineLevel="0" collapsed="false">
      <c r="A565" s="27" t="n">
        <v>2025</v>
      </c>
      <c r="B565" s="188" t="n">
        <f aca="false">IF(D565="x",0,IF(C565&lt;1,0,IF(C565&gt;1,1)))</f>
        <v>0</v>
      </c>
      <c r="C565" s="201"/>
      <c r="D565" s="199"/>
      <c r="E565" s="198" t="s">
        <v>159</v>
      </c>
    </row>
    <row r="566" customFormat="false" ht="14.25" hidden="false" customHeight="false" outlineLevel="0" collapsed="false">
      <c r="A566" s="27" t="n">
        <v>2026</v>
      </c>
      <c r="B566" s="188" t="n">
        <f aca="false">IF(D566="x",0,IF(C566&lt;1,0,IF(C566&gt;1,1)))</f>
        <v>1</v>
      </c>
      <c r="C566" s="33" t="n">
        <v>111.83</v>
      </c>
      <c r="D566" s="199"/>
      <c r="E566" s="198" t="s">
        <v>159</v>
      </c>
    </row>
    <row r="567" customFormat="false" ht="14.25" hidden="false" customHeight="false" outlineLevel="0" collapsed="false">
      <c r="A567" s="27" t="n">
        <v>2027</v>
      </c>
      <c r="B567" s="188" t="n">
        <f aca="false">IF(D567="x",0,IF(C567&lt;1,0,IF(C567&gt;1,1)))</f>
        <v>1</v>
      </c>
      <c r="C567" s="33" t="n">
        <v>110.13</v>
      </c>
      <c r="D567" s="199"/>
      <c r="E567" s="198" t="s">
        <v>159</v>
      </c>
    </row>
    <row r="568" customFormat="false" ht="14.25" hidden="false" customHeight="false" outlineLevel="0" collapsed="false">
      <c r="A568" s="27" t="n">
        <v>2028</v>
      </c>
      <c r="B568" s="188" t="n">
        <f aca="false">IF(D568="x",0,IF(C568&lt;1,0,IF(C568&gt;1,1)))</f>
        <v>1</v>
      </c>
      <c r="C568" s="33" t="n">
        <v>109.92</v>
      </c>
      <c r="D568" s="199"/>
      <c r="E568" s="198" t="s">
        <v>159</v>
      </c>
    </row>
    <row r="569" customFormat="false" ht="14.25" hidden="false" customHeight="false" outlineLevel="0" collapsed="false">
      <c r="A569" s="27" t="n">
        <v>2029</v>
      </c>
      <c r="B569" s="188" t="n">
        <f aca="false">IF(D569="x",0,IF(C569&lt;1,0,IF(C569&gt;1,1)))</f>
        <v>1</v>
      </c>
      <c r="C569" s="33" t="n">
        <v>108.87</v>
      </c>
      <c r="D569" s="199"/>
      <c r="E569" s="198" t="s">
        <v>159</v>
      </c>
    </row>
    <row r="570" customFormat="false" ht="14.25" hidden="false" customHeight="false" outlineLevel="0" collapsed="false">
      <c r="A570" s="27" t="n">
        <v>2030</v>
      </c>
      <c r="B570" s="188" t="n">
        <f aca="false">IF(D570="x",0,IF(C570&lt;1,0,IF(C570&gt;1,1)))</f>
        <v>1</v>
      </c>
      <c r="C570" s="33" t="n">
        <v>110.13</v>
      </c>
      <c r="D570" s="199"/>
      <c r="E570" s="198" t="s">
        <v>159</v>
      </c>
    </row>
    <row r="571" customFormat="false" ht="14.25" hidden="false" customHeight="false" outlineLevel="0" collapsed="false">
      <c r="A571" s="27" t="n">
        <v>2031</v>
      </c>
      <c r="B571" s="188" t="n">
        <f aca="false">IF(D571="x",0,IF(C571&lt;1,0,IF(C571&gt;1,1)))</f>
        <v>1</v>
      </c>
      <c r="C571" s="32" t="n">
        <v>107.83</v>
      </c>
      <c r="D571" s="199"/>
      <c r="E571" s="198" t="s">
        <v>159</v>
      </c>
    </row>
    <row r="572" customFormat="false" ht="14.25" hidden="false" customHeight="false" outlineLevel="0" collapsed="false">
      <c r="A572" s="27" t="n">
        <v>2032</v>
      </c>
      <c r="B572" s="188" t="n">
        <f aca="false">IF(D572="x",0,IF(C572&lt;1,0,IF(C572&gt;1,1)))</f>
        <v>1</v>
      </c>
      <c r="C572" s="33" t="n">
        <v>111.3</v>
      </c>
      <c r="D572" s="199"/>
      <c r="E572" s="198" t="s">
        <v>159</v>
      </c>
    </row>
    <row r="573" customFormat="false" ht="14.25" hidden="false" customHeight="false" outlineLevel="0" collapsed="false">
      <c r="A573" s="27" t="n">
        <v>2033</v>
      </c>
      <c r="B573" s="188" t="n">
        <f aca="false">IF(D573="x",0,IF(C573&lt;1,0,IF(C573&gt;1,1)))</f>
        <v>1</v>
      </c>
      <c r="C573" s="33" t="n">
        <v>110.79</v>
      </c>
      <c r="D573" s="199"/>
      <c r="E573" s="198" t="s">
        <v>159</v>
      </c>
    </row>
    <row r="574" customFormat="false" ht="14.25" hidden="false" customHeight="false" outlineLevel="0" collapsed="false">
      <c r="A574" s="27" t="n">
        <v>2034</v>
      </c>
      <c r="B574" s="188" t="n">
        <f aca="false">IF(D574="x",0,IF(C574&lt;1,0,IF(C574&gt;1,1)))</f>
        <v>1</v>
      </c>
      <c r="C574" s="33" t="n">
        <v>109.25</v>
      </c>
      <c r="D574" s="199"/>
      <c r="E574" s="198" t="s">
        <v>159</v>
      </c>
    </row>
    <row r="575" customFormat="false" ht="14.25" hidden="false" customHeight="false" outlineLevel="0" collapsed="false">
      <c r="A575" s="27" t="n">
        <v>2035</v>
      </c>
      <c r="B575" s="188" t="n">
        <f aca="false">IF(D575="x",0,IF(C575&lt;1,0,IF(C575&gt;1,1)))</f>
        <v>1</v>
      </c>
      <c r="C575" s="33" t="n">
        <v>110.1</v>
      </c>
      <c r="D575" s="199"/>
      <c r="E575" s="198" t="s">
        <v>159</v>
      </c>
    </row>
    <row r="576" customFormat="false" ht="14.25" hidden="false" customHeight="false" outlineLevel="0" collapsed="false">
      <c r="A576" s="27" t="n">
        <v>2036</v>
      </c>
      <c r="B576" s="188" t="n">
        <f aca="false">IF(D576="x",0,IF(C576&lt;1,0,IF(C576&gt;1,1)))</f>
        <v>1</v>
      </c>
      <c r="C576" s="32" t="n">
        <v>109.39</v>
      </c>
      <c r="D576" s="199"/>
      <c r="E576" s="198" t="s">
        <v>159</v>
      </c>
    </row>
    <row r="577" customFormat="false" ht="14.25" hidden="false" customHeight="false" outlineLevel="0" collapsed="false">
      <c r="A577" s="27" t="n">
        <v>2037</v>
      </c>
      <c r="B577" s="188" t="n">
        <f aca="false">IF(D577="x",0,IF(C577&lt;1,0,IF(C577&gt;1,1)))</f>
        <v>1</v>
      </c>
      <c r="C577" s="202" t="n">
        <v>110.47</v>
      </c>
      <c r="D577" s="199"/>
      <c r="E577" s="198" t="s">
        <v>159</v>
      </c>
    </row>
    <row r="578" customFormat="false" ht="14.25" hidden="false" customHeight="false" outlineLevel="0" collapsed="false">
      <c r="A578" s="27" t="n">
        <v>2038</v>
      </c>
      <c r="B578" s="188" t="n">
        <f aca="false">IF(D578="x",0,IF(C578&lt;1,0,IF(C578&gt;1,1)))</f>
        <v>1</v>
      </c>
      <c r="C578" s="32" t="n">
        <v>111.51</v>
      </c>
      <c r="D578" s="199"/>
      <c r="E578" s="198" t="s">
        <v>159</v>
      </c>
    </row>
    <row r="579" customFormat="false" ht="14.25" hidden="false" customHeight="false" outlineLevel="0" collapsed="false">
      <c r="A579" s="27" t="n">
        <v>2039</v>
      </c>
      <c r="B579" s="188" t="n">
        <f aca="false">IF(D579="x",0,IF(C579&lt;1,0,IF(C579&gt;1,1)))</f>
        <v>1</v>
      </c>
      <c r="C579" s="33" t="n">
        <v>111.47</v>
      </c>
      <c r="D579" s="199"/>
      <c r="E579" s="198" t="s">
        <v>159</v>
      </c>
    </row>
    <row r="580" customFormat="false" ht="14.25" hidden="false" customHeight="false" outlineLevel="0" collapsed="false">
      <c r="A580" s="27" t="n">
        <v>2040</v>
      </c>
      <c r="B580" s="188" t="n">
        <f aca="false">IF(D580="x",0,IF(C580&lt;1,0,IF(C580&gt;1,1)))</f>
        <v>1</v>
      </c>
      <c r="C580" s="32" t="n">
        <v>110.01</v>
      </c>
      <c r="D580" s="199"/>
      <c r="E580" s="198" t="s">
        <v>159</v>
      </c>
    </row>
    <row r="581" customFormat="false" ht="14.25" hidden="false" customHeight="false" outlineLevel="0" collapsed="false">
      <c r="A581" s="27" t="n">
        <v>2041</v>
      </c>
      <c r="B581" s="188" t="n">
        <f aca="false">IF(D581="x",0,IF(C581&lt;1,0,IF(C581&gt;1,1)))</f>
        <v>1</v>
      </c>
      <c r="C581" s="32" t="n">
        <v>111.07</v>
      </c>
      <c r="D581" s="199"/>
      <c r="E581" s="198" t="s">
        <v>159</v>
      </c>
    </row>
    <row r="582" customFormat="false" ht="14.25" hidden="false" customHeight="false" outlineLevel="0" collapsed="false">
      <c r="A582" s="27" t="n">
        <v>2042</v>
      </c>
      <c r="B582" s="188" t="n">
        <f aca="false">IF(D582="x",0,IF(C582&lt;1,0,IF(C582&gt;1,1)))</f>
        <v>1</v>
      </c>
      <c r="C582" s="33" t="n">
        <v>110.84</v>
      </c>
      <c r="D582" s="199"/>
      <c r="E582" s="198" t="s">
        <v>159</v>
      </c>
    </row>
    <row r="583" customFormat="false" ht="14.25" hidden="false" customHeight="false" outlineLevel="0" collapsed="false">
      <c r="A583" s="27" t="n">
        <v>2043</v>
      </c>
      <c r="B583" s="188" t="n">
        <f aca="false">IF(D583="x",0,IF(C583&lt;1,0,IF(C583&gt;1,1)))</f>
        <v>1</v>
      </c>
      <c r="C583" s="33" t="n">
        <v>109.68</v>
      </c>
      <c r="D583" s="199"/>
      <c r="E583" s="198" t="s">
        <v>159</v>
      </c>
    </row>
    <row r="584" customFormat="false" ht="14.25" hidden="false" customHeight="false" outlineLevel="0" collapsed="false">
      <c r="A584" s="27" t="n">
        <v>2044</v>
      </c>
      <c r="B584" s="188" t="n">
        <f aca="false">IF(D584="x",0,IF(C584&lt;1,0,IF(C584&gt;1,1)))</f>
        <v>1</v>
      </c>
      <c r="C584" s="33" t="n">
        <v>109.47</v>
      </c>
      <c r="D584" s="199"/>
      <c r="E584" s="198" t="s">
        <v>159</v>
      </c>
    </row>
    <row r="585" customFormat="false" ht="14.25" hidden="false" customHeight="false" outlineLevel="0" collapsed="false">
      <c r="A585" s="27" t="n">
        <v>2045</v>
      </c>
      <c r="B585" s="188" t="n">
        <f aca="false">IF(D585="x",0,IF(C585&lt;1,0,IF(C585&gt;1,1)))</f>
        <v>1</v>
      </c>
      <c r="C585" s="33" t="n">
        <v>110.08</v>
      </c>
      <c r="D585" s="199"/>
      <c r="E585" s="198" t="s">
        <v>159</v>
      </c>
    </row>
    <row r="586" customFormat="false" ht="14.25" hidden="false" customHeight="false" outlineLevel="0" collapsed="false">
      <c r="A586" s="27" t="n">
        <v>2046</v>
      </c>
      <c r="B586" s="188" t="n">
        <f aca="false">IF(D586="x",0,IF(C586&lt;1,0,IF(C586&gt;1,1)))</f>
        <v>1</v>
      </c>
      <c r="C586" s="33" t="n">
        <v>108.28</v>
      </c>
      <c r="D586" s="199"/>
      <c r="E586" s="198" t="s">
        <v>159</v>
      </c>
    </row>
    <row r="587" customFormat="false" ht="14.25" hidden="false" customHeight="false" outlineLevel="0" collapsed="false">
      <c r="A587" s="27" t="n">
        <v>2047</v>
      </c>
      <c r="B587" s="188" t="n">
        <f aca="false">IF(D587="x",0,IF(C587&lt;1,0,IF(C587&gt;1,1)))</f>
        <v>1</v>
      </c>
      <c r="C587" s="33" t="n">
        <v>107.76</v>
      </c>
      <c r="D587" s="199"/>
      <c r="E587" s="198" t="s">
        <v>159</v>
      </c>
    </row>
    <row r="588" customFormat="false" ht="14.25" hidden="false" customHeight="false" outlineLevel="0" collapsed="false">
      <c r="A588" s="27" t="n">
        <v>2048</v>
      </c>
      <c r="B588" s="188" t="n">
        <f aca="false">IF(D588="x",0,IF(C588&lt;1,0,IF(C588&gt;1,1)))</f>
        <v>1</v>
      </c>
      <c r="C588" s="33" t="n">
        <v>107.72</v>
      </c>
      <c r="D588" s="199"/>
      <c r="E588" s="198" t="s">
        <v>159</v>
      </c>
    </row>
    <row r="589" customFormat="false" ht="14.25" hidden="false" customHeight="false" outlineLevel="0" collapsed="false">
      <c r="A589" s="27" t="n">
        <v>2049</v>
      </c>
      <c r="B589" s="188" t="n">
        <f aca="false">IF(D589="x",0,IF(C589&lt;1,0,IF(C589&gt;1,1)))</f>
        <v>1</v>
      </c>
      <c r="C589" s="33" t="n">
        <v>106.87</v>
      </c>
      <c r="D589" s="199"/>
      <c r="E589" s="198" t="s">
        <v>159</v>
      </c>
    </row>
    <row r="590" customFormat="false" ht="14.25" hidden="false" customHeight="false" outlineLevel="0" collapsed="false">
      <c r="A590" s="27" t="n">
        <v>2050</v>
      </c>
      <c r="B590" s="188" t="n">
        <f aca="false">IF(D590="x",0,IF(C590&lt;1,0,IF(C590&gt;1,1)))</f>
        <v>1</v>
      </c>
      <c r="C590" s="32" t="n">
        <v>111.03</v>
      </c>
      <c r="D590" s="199"/>
      <c r="E590" s="198" t="s">
        <v>159</v>
      </c>
    </row>
    <row r="591" customFormat="false" ht="14.25" hidden="false" customHeight="false" outlineLevel="0" collapsed="false">
      <c r="A591" s="27" t="n">
        <v>2051</v>
      </c>
      <c r="B591" s="188" t="n">
        <f aca="false">IF(D591="x",0,IF(C591&lt;1,0,IF(C591&gt;1,1)))</f>
        <v>0</v>
      </c>
      <c r="C591" s="32"/>
      <c r="D591" s="199"/>
      <c r="E591" s="198" t="s">
        <v>159</v>
      </c>
    </row>
    <row r="592" customFormat="false" ht="14.25" hidden="false" customHeight="false" outlineLevel="0" collapsed="false">
      <c r="A592" s="27" t="n">
        <v>2052</v>
      </c>
      <c r="B592" s="188" t="n">
        <f aca="false">IF(D592="x",0,IF(C592&lt;1,0,IF(C592&gt;1,1)))</f>
        <v>1</v>
      </c>
      <c r="C592" s="32" t="n">
        <v>109.316251497736</v>
      </c>
      <c r="D592" s="199"/>
      <c r="E592" s="198" t="s">
        <v>159</v>
      </c>
    </row>
    <row r="593" customFormat="false" ht="14.25" hidden="false" customHeight="false" outlineLevel="0" collapsed="false">
      <c r="A593" s="27" t="n">
        <v>2053</v>
      </c>
      <c r="B593" s="188" t="n">
        <f aca="false">IF(D593="x",0,IF(C593&lt;1,0,IF(C593&gt;1,1)))</f>
        <v>1</v>
      </c>
      <c r="C593" s="32" t="n">
        <v>106.052415543021</v>
      </c>
      <c r="D593" s="199"/>
      <c r="E593" s="198" t="s">
        <v>159</v>
      </c>
    </row>
    <row r="594" customFormat="false" ht="14.25" hidden="false" customHeight="false" outlineLevel="0" collapsed="false">
      <c r="A594" s="27" t="n">
        <v>2054</v>
      </c>
      <c r="B594" s="188" t="n">
        <f aca="false">IF(D544="x",0,IF(C594&lt;1,0,IF(C594&gt;1,1)))</f>
        <v>1</v>
      </c>
      <c r="C594" s="32" t="n">
        <v>109.716699027718</v>
      </c>
      <c r="D594" s="199"/>
      <c r="E594" s="198" t="s">
        <v>159</v>
      </c>
    </row>
    <row r="595" customFormat="false" ht="14.25" hidden="false" customHeight="false" outlineLevel="0" collapsed="false">
      <c r="A595" s="27" t="n">
        <v>2055</v>
      </c>
      <c r="B595" s="188" t="n">
        <f aca="false">IF(D545="x",0,IF(C595&lt;1,0,IF(C595&gt;1,1)))</f>
        <v>1</v>
      </c>
      <c r="C595" s="32" t="n">
        <v>110.480182249513</v>
      </c>
      <c r="D595" s="199"/>
      <c r="E595" s="198" t="s">
        <v>159</v>
      </c>
    </row>
    <row r="596" customFormat="false" ht="14.25" hidden="false" customHeight="false" outlineLevel="0" collapsed="false">
      <c r="A596" s="27" t="n">
        <v>2056</v>
      </c>
      <c r="B596" s="188" t="n">
        <f aca="false">IF(D546="x",0,IF(C596&lt;1,0,IF(C596&gt;1,1)))</f>
        <v>1</v>
      </c>
      <c r="C596" s="32" t="n">
        <v>108.505833434135</v>
      </c>
      <c r="D596" s="199"/>
      <c r="E596" s="198" t="s">
        <v>159</v>
      </c>
    </row>
    <row r="597" customFormat="false" ht="14.25" hidden="false" customHeight="false" outlineLevel="0" collapsed="false">
      <c r="A597" s="27" t="n">
        <v>2057</v>
      </c>
      <c r="B597" s="188" t="n">
        <f aca="false">IF(D547="x",0,IF(C597&lt;1,0,IF(C597&gt;1,1)))</f>
        <v>1</v>
      </c>
      <c r="C597" s="32" t="n">
        <v>112.957050306569</v>
      </c>
      <c r="D597" s="199"/>
      <c r="E597" s="198" t="s">
        <v>159</v>
      </c>
    </row>
    <row r="598" customFormat="false" ht="14.25" hidden="false" customHeight="false" outlineLevel="0" collapsed="false">
      <c r="A598" s="27" t="n">
        <v>2058</v>
      </c>
      <c r="B598" s="188" t="n">
        <f aca="false">IF(D548="x",0,IF(C598&lt;1,0,IF(C598&gt;1,1)))</f>
        <v>1</v>
      </c>
      <c r="C598" s="32" t="n">
        <v>109.081290897723</v>
      </c>
      <c r="D598" s="199"/>
      <c r="E598" s="198" t="s">
        <v>159</v>
      </c>
    </row>
    <row r="599" customFormat="false" ht="14.25" hidden="false" customHeight="false" outlineLevel="0" collapsed="false">
      <c r="A599" s="27" t="n">
        <v>2059</v>
      </c>
      <c r="B599" s="188" t="n">
        <f aca="false">IF(D549="x",0,IF(C599&lt;1,0,IF(C599&gt;1,1)))</f>
        <v>1</v>
      </c>
      <c r="C599" s="32" t="n">
        <v>111.941931047971</v>
      </c>
      <c r="D599" s="199"/>
      <c r="E599" s="198" t="s">
        <v>159</v>
      </c>
    </row>
    <row r="600" customFormat="false" ht="14.25" hidden="false" customHeight="false" outlineLevel="0" collapsed="false">
      <c r="A600" s="27" t="n">
        <v>2060</v>
      </c>
      <c r="B600" s="188" t="n">
        <f aca="false">IF(D550="x",0,IF(C600&lt;1,0,IF(C600&gt;1,1)))</f>
        <v>1</v>
      </c>
      <c r="C600" s="32" t="n">
        <v>104.938550778518</v>
      </c>
      <c r="D600" s="199"/>
      <c r="E600" s="198" t="s">
        <v>159</v>
      </c>
    </row>
    <row r="601" customFormat="false" ht="14.25" hidden="false" customHeight="false" outlineLevel="0" collapsed="false">
      <c r="A601" s="27" t="n">
        <v>2061</v>
      </c>
      <c r="B601" s="188" t="n">
        <f aca="false">IF(D551="x",0,IF(C601&lt;1,0,IF(C601&gt;1,1)))</f>
        <v>1</v>
      </c>
      <c r="C601" s="32" t="n">
        <v>109.441483696144</v>
      </c>
      <c r="D601" s="199"/>
      <c r="E601" s="198" t="s">
        <v>159</v>
      </c>
    </row>
    <row r="602" customFormat="false" ht="14.25" hidden="false" customHeight="false" outlineLevel="0" collapsed="false">
      <c r="A602" s="27" t="n">
        <v>2062</v>
      </c>
      <c r="B602" s="188" t="n">
        <f aca="false">IF(D552="x",0,IF(C602&lt;1,0,IF(C602&gt;1,1)))</f>
        <v>0</v>
      </c>
      <c r="C602" s="32"/>
      <c r="D602" s="199"/>
      <c r="E602" s="198" t="s">
        <v>159</v>
      </c>
    </row>
    <row r="603" customFormat="false" ht="14.25" hidden="false" customHeight="false" outlineLevel="0" collapsed="false">
      <c r="A603" s="27" t="n">
        <v>2063</v>
      </c>
      <c r="B603" s="188" t="n">
        <f aca="false">IF(D553="x",0,IF(C603&lt;1,0,IF(C603&gt;1,1)))</f>
        <v>0</v>
      </c>
      <c r="C603" s="32"/>
      <c r="D603" s="199"/>
      <c r="E603" s="198" t="s">
        <v>159</v>
      </c>
    </row>
    <row r="604" customFormat="false" ht="14.25" hidden="false" customHeight="false" outlineLevel="0" collapsed="false">
      <c r="A604" s="27" t="n">
        <v>2064</v>
      </c>
      <c r="B604" s="188" t="n">
        <f aca="false">IF(D554="x",0,IF(C604&lt;1,0,IF(C604&gt;1,1)))</f>
        <v>0</v>
      </c>
      <c r="C604" s="32"/>
      <c r="D604" s="199"/>
      <c r="E604" s="198" t="s">
        <v>159</v>
      </c>
    </row>
    <row r="605" customFormat="false" ht="14.25" hidden="false" customHeight="false" outlineLevel="0" collapsed="false">
      <c r="A605" s="27" t="n">
        <v>2065</v>
      </c>
      <c r="B605" s="188" t="n">
        <f aca="false">IF(D555="x",0,IF(C605&lt;1,0,IF(C605&gt;1,1)))</f>
        <v>0</v>
      </c>
      <c r="C605" s="32"/>
      <c r="D605" s="199"/>
      <c r="E605" s="198" t="s">
        <v>159</v>
      </c>
    </row>
    <row r="606" customFormat="false" ht="14.25" hidden="false" customHeight="false" outlineLevel="0" collapsed="false">
      <c r="A606" s="27" t="n">
        <v>2066</v>
      </c>
      <c r="B606" s="188" t="n">
        <f aca="false">IF(D556="x",0,IF(C606&lt;1,0,IF(C606&gt;1,1)))</f>
        <v>0</v>
      </c>
      <c r="C606" s="32"/>
      <c r="D606" s="199"/>
      <c r="E606" s="198" t="s">
        <v>159</v>
      </c>
    </row>
    <row r="607" customFormat="false" ht="14.25" hidden="false" customHeight="false" outlineLevel="0" collapsed="false">
      <c r="A607" s="27" t="n">
        <v>2067</v>
      </c>
      <c r="B607" s="188" t="n">
        <f aca="false">IF(D557="x",0,IF(C607&lt;1,0,IF(C607&gt;1,1)))</f>
        <v>0</v>
      </c>
      <c r="C607" s="32"/>
      <c r="D607" s="199"/>
      <c r="E607" s="198" t="s">
        <v>159</v>
      </c>
    </row>
    <row r="608" customFormat="false" ht="14.25" hidden="false" customHeight="false" outlineLevel="0" collapsed="false">
      <c r="A608" s="27" t="n">
        <v>2068</v>
      </c>
      <c r="B608" s="188" t="n">
        <f aca="false">IF(D558="x",0,IF(C608&lt;1,0,IF(C608&gt;1,1)))</f>
        <v>0</v>
      </c>
      <c r="C608" s="32"/>
      <c r="D608" s="199"/>
      <c r="E608" s="198" t="s">
        <v>159</v>
      </c>
    </row>
    <row r="609" customFormat="false" ht="14.25" hidden="false" customHeight="false" outlineLevel="0" collapsed="false">
      <c r="A609" s="27" t="n">
        <v>2069</v>
      </c>
      <c r="B609" s="188" t="n">
        <f aca="false">IF(D559="x",0,IF(C609&lt;1,0,IF(C609&gt;1,1)))</f>
        <v>1</v>
      </c>
      <c r="C609" s="32" t="n">
        <v>112.672424512689</v>
      </c>
      <c r="D609" s="199"/>
      <c r="E609" s="198" t="s">
        <v>159</v>
      </c>
    </row>
    <row r="610" customFormat="false" ht="14.25" hidden="false" customHeight="false" outlineLevel="0" collapsed="false">
      <c r="A610" s="27" t="n">
        <v>2070</v>
      </c>
      <c r="B610" s="188" t="n">
        <f aca="false">IF(D560="x",0,IF(C610&lt;1,0,IF(C610&gt;1,1)))</f>
        <v>0</v>
      </c>
      <c r="C610" s="32"/>
      <c r="D610" s="199"/>
      <c r="E610" s="198" t="s">
        <v>159</v>
      </c>
    </row>
    <row r="611" customFormat="false" ht="14.25" hidden="false" customHeight="false" outlineLevel="0" collapsed="false">
      <c r="A611" s="27" t="n">
        <v>2071</v>
      </c>
      <c r="B611" s="188" t="n">
        <f aca="false">IF(D561="x",0,IF(C611&lt;1,0,IF(C611&gt;1,1)))</f>
        <v>1</v>
      </c>
      <c r="C611" s="32" t="n">
        <v>111.334254950901</v>
      </c>
      <c r="D611" s="199"/>
      <c r="E611" s="198" t="s">
        <v>159</v>
      </c>
    </row>
    <row r="612" customFormat="false" ht="14.25" hidden="false" customHeight="false" outlineLevel="0" collapsed="false">
      <c r="A612" s="27" t="n">
        <v>2072</v>
      </c>
      <c r="B612" s="188" t="n">
        <f aca="false">IF(D562="x",0,IF(C612&lt;1,0,IF(C612&gt;1,1)))</f>
        <v>1</v>
      </c>
      <c r="C612" s="32" t="n">
        <v>113.852746990063</v>
      </c>
      <c r="D612" s="199"/>
      <c r="E612" s="198" t="s">
        <v>159</v>
      </c>
    </row>
    <row r="613" customFormat="false" ht="14.25" hidden="false" customHeight="false" outlineLevel="0" collapsed="false">
      <c r="A613" s="27" t="n">
        <v>2073</v>
      </c>
      <c r="B613" s="188" t="n">
        <f aca="false">IF(D563="x",0,IF(C613&lt;1,0,IF(C613&gt;1,1)))</f>
        <v>1</v>
      </c>
      <c r="C613" s="32" t="n">
        <v>109.892254784735</v>
      </c>
      <c r="D613" s="199"/>
      <c r="E613" s="198" t="s">
        <v>159</v>
      </c>
    </row>
    <row r="614" customFormat="false" ht="14.25" hidden="false" customHeight="false" outlineLevel="0" collapsed="false">
      <c r="A614" s="27" t="n">
        <v>2074</v>
      </c>
      <c r="B614" s="188" t="n">
        <f aca="false">IF(D564="x",0,IF(C614&lt;1,0,IF(C614&gt;1,1)))</f>
        <v>1</v>
      </c>
      <c r="C614" s="32" t="n">
        <v>109.740911951096</v>
      </c>
      <c r="D614" s="199"/>
      <c r="E614" s="198" t="s">
        <v>159</v>
      </c>
    </row>
    <row r="615" customFormat="false" ht="14.25" hidden="false" customHeight="false" outlineLevel="0" collapsed="false">
      <c r="A615" s="27" t="n">
        <v>2075</v>
      </c>
      <c r="B615" s="188" t="n">
        <f aca="false">IF(D565="x",0,IF(C615&lt;1,0,IF(C615&gt;1,1)))</f>
        <v>1</v>
      </c>
      <c r="C615" s="32" t="n">
        <v>117.446818015643</v>
      </c>
      <c r="D615" s="199"/>
      <c r="E615" s="198" t="s">
        <v>159</v>
      </c>
    </row>
    <row r="616" customFormat="false" ht="14.25" hidden="false" customHeight="false" outlineLevel="0" collapsed="false">
      <c r="A616" s="27" t="n">
        <v>2076</v>
      </c>
      <c r="B616" s="188" t="n">
        <f aca="false">IF(D566="x",0,IF(C616&lt;1,0,IF(C616&gt;1,1)))</f>
        <v>0</v>
      </c>
      <c r="C616" s="33"/>
      <c r="D616" s="199"/>
      <c r="E616" s="198" t="s">
        <v>159</v>
      </c>
    </row>
    <row r="617" customFormat="false" ht="14.25" hidden="false" customHeight="false" outlineLevel="0" collapsed="false">
      <c r="A617" s="27" t="n">
        <v>2077</v>
      </c>
      <c r="B617" s="188" t="n">
        <f aca="false">IF(D567="x",0,IF(C617&lt;1,0,IF(C617&gt;1,1)))</f>
        <v>0</v>
      </c>
      <c r="C617" s="33"/>
      <c r="D617" s="199"/>
      <c r="E617" s="198" t="s">
        <v>159</v>
      </c>
    </row>
    <row r="618" customFormat="false" ht="14.25" hidden="false" customHeight="false" outlineLevel="0" collapsed="false">
      <c r="A618" s="27" t="n">
        <v>2078</v>
      </c>
      <c r="B618" s="188" t="n">
        <f aca="false">IF(D568="x",0,IF(C618&lt;1,0,IF(C618&gt;1,1)))</f>
        <v>0</v>
      </c>
      <c r="C618" s="33"/>
      <c r="D618" s="199"/>
      <c r="E618" s="198" t="s">
        <v>159</v>
      </c>
    </row>
    <row r="619" customFormat="false" ht="14.25" hidden="false" customHeight="false" outlineLevel="0" collapsed="false">
      <c r="A619" s="27" t="n">
        <v>2079</v>
      </c>
      <c r="B619" s="188" t="n">
        <f aca="false">IF(D569="x",0,IF(C619&lt;1,0,IF(C619&gt;1,1)))</f>
        <v>0</v>
      </c>
      <c r="C619" s="33"/>
      <c r="D619" s="199"/>
      <c r="E619" s="198" t="s">
        <v>159</v>
      </c>
    </row>
    <row r="620" customFormat="false" ht="14.25" hidden="false" customHeight="false" outlineLevel="0" collapsed="false">
      <c r="A620" s="27" t="n">
        <v>2080</v>
      </c>
      <c r="B620" s="188" t="n">
        <f aca="false">IF(D570="x",0,IF(C620&lt;1,0,IF(C620&gt;1,1)))</f>
        <v>0</v>
      </c>
      <c r="C620" s="33"/>
      <c r="D620" s="199"/>
      <c r="E620" s="198" t="s">
        <v>159</v>
      </c>
    </row>
    <row r="621" customFormat="false" ht="14.25" hidden="false" customHeight="false" outlineLevel="0" collapsed="false">
      <c r="A621" s="27" t="n">
        <v>2081</v>
      </c>
      <c r="B621" s="188" t="n">
        <f aca="false">IF(D571="x",0,IF(C621&lt;1,0,IF(C621&gt;1,1)))</f>
        <v>0</v>
      </c>
      <c r="C621" s="33"/>
      <c r="D621" s="199"/>
      <c r="E621" s="198" t="s">
        <v>159</v>
      </c>
    </row>
    <row r="622" customFormat="false" ht="14.25" hidden="false" customHeight="false" outlineLevel="0" collapsed="false">
      <c r="A622" s="27" t="n">
        <v>2082</v>
      </c>
      <c r="B622" s="188" t="n">
        <f aca="false">IF(D572="x",0,IF(C622&lt;1,0,IF(C622&gt;1,1)))</f>
        <v>0</v>
      </c>
      <c r="C622" s="33"/>
      <c r="D622" s="199"/>
      <c r="E622" s="198" t="s">
        <v>159</v>
      </c>
    </row>
    <row r="623" customFormat="false" ht="15" hidden="false" customHeight="false" outlineLevel="0" collapsed="false">
      <c r="A623" s="203" t="n">
        <v>2083</v>
      </c>
      <c r="B623" s="204" t="n">
        <f aca="false">IF(D573="x",0,IF(C623&lt;1,0,IF(C623&gt;1,1)))</f>
        <v>0</v>
      </c>
      <c r="C623" s="205"/>
      <c r="D623" s="206"/>
      <c r="E623" s="198" t="s">
        <v>159</v>
      </c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615CA16-CA19-4900-ADA6-1A21301A65EA}">
            <x14:iconSet iconSet="3TrafficLights1" custom="1" reverse="0" showValue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B5:B623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2" activeCellId="1" sqref="Q10:R10 E32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.44"/>
    <col collapsed="false" customWidth="true" hidden="false" outlineLevel="0" max="5" min="5" style="0" width="16.66"/>
    <col collapsed="false" customWidth="true" hidden="false" outlineLevel="0" max="6" min="6" style="0" width="16.44"/>
    <col collapsed="false" customWidth="true" hidden="false" outlineLevel="0" max="7" min="7" style="0" width="8.44"/>
  </cols>
  <sheetData>
    <row r="1" customFormat="false" ht="21" hidden="false" customHeight="false" outlineLevel="0" collapsed="false">
      <c r="A1" s="207"/>
      <c r="B1" s="208" t="s">
        <v>160</v>
      </c>
      <c r="C1" s="208"/>
      <c r="D1" s="208"/>
      <c r="E1" s="208"/>
      <c r="F1" s="208"/>
      <c r="G1" s="209"/>
    </row>
    <row r="2" customFormat="false" ht="16.5" hidden="false" customHeight="true" outlineLevel="0" collapsed="false">
      <c r="A2" s="210"/>
      <c r="B2" s="211"/>
      <c r="C2" s="211"/>
      <c r="D2" s="211"/>
      <c r="E2" s="211"/>
      <c r="F2" s="211"/>
      <c r="G2" s="211"/>
    </row>
    <row r="3" customFormat="false" ht="15" hidden="false" customHeight="true" outlineLevel="0" collapsed="false">
      <c r="A3" s="212" t="s">
        <v>19</v>
      </c>
      <c r="B3" s="213" t="s">
        <v>161</v>
      </c>
      <c r="C3" s="213" t="s">
        <v>162</v>
      </c>
      <c r="D3" s="213" t="s">
        <v>163</v>
      </c>
      <c r="E3" s="213" t="s">
        <v>164</v>
      </c>
      <c r="F3" s="214" t="s">
        <v>165</v>
      </c>
    </row>
    <row r="4" customFormat="false" ht="14.25" hidden="false" customHeight="false" outlineLevel="0" collapsed="false">
      <c r="A4" s="212"/>
      <c r="B4" s="213"/>
      <c r="C4" s="213"/>
      <c r="D4" s="213"/>
      <c r="E4" s="213"/>
      <c r="F4" s="214"/>
    </row>
    <row r="5" customFormat="false" ht="14.25" hidden="false" customHeight="false" outlineLevel="0" collapsed="false">
      <c r="A5" s="212"/>
      <c r="B5" s="213"/>
      <c r="C5" s="213"/>
      <c r="D5" s="213"/>
      <c r="E5" s="213"/>
      <c r="F5" s="214"/>
    </row>
    <row r="6" customFormat="false" ht="15" hidden="false" customHeight="false" outlineLevel="0" collapsed="false">
      <c r="A6" s="215"/>
      <c r="B6" s="216" t="s">
        <v>166</v>
      </c>
      <c r="C6" s="216" t="s">
        <v>25</v>
      </c>
      <c r="D6" s="216" t="s">
        <v>167</v>
      </c>
      <c r="E6" s="216" t="s">
        <v>13</v>
      </c>
      <c r="F6" s="217" t="s">
        <v>13</v>
      </c>
    </row>
    <row r="7" customFormat="false" ht="14.25" hidden="false" customHeight="false" outlineLevel="0" collapsed="false">
      <c r="A7" s="218" t="n">
        <v>40572</v>
      </c>
      <c r="B7" s="219" t="n">
        <v>3.56672</v>
      </c>
      <c r="C7" s="220" t="n">
        <v>18.1</v>
      </c>
      <c r="D7" s="221" t="n">
        <f aca="false">IF(ISBLANK(C7),"",$E$18*(1+$E$17*(C7-20)))</f>
        <v>4.999905</v>
      </c>
      <c r="E7" s="222" t="n">
        <f aca="false">IF(ISBLANK(B7),"",IF(ISBLANK(C7),"",(B7*$E$16*6)/(D7*$E$13)))</f>
        <v>0.0200037657107558</v>
      </c>
      <c r="F7" s="223" t="n">
        <f aca="false">IF(ISBLANK(B7),"",IF(ISBLANK(C7),"",E7*($E$19/(0.999842594+(0.00006793952*C7)-(0.00000909529*C7^2)+(0.0000001001685*C7^3)-(0.000000001120083*C7^4)+(0.000000000006536332*C7^5)))))</f>
        <v>0.0199962991701183</v>
      </c>
    </row>
    <row r="8" customFormat="false" ht="14.25" hidden="false" customHeight="false" outlineLevel="0" collapsed="false">
      <c r="A8" s="218"/>
      <c r="B8" s="219"/>
      <c r="C8" s="220"/>
      <c r="D8" s="221" t="str">
        <f aca="false">IF(ISBLANK(C8),"",$E$18*(1+$E$17*(C8-20)))</f>
        <v/>
      </c>
      <c r="E8" s="222" t="str">
        <f aca="false">IF(ISBLANK(B8),"",IF(ISBLANK(C8),"",(B8*$E$16*6)/(D8*$E$13)))</f>
        <v/>
      </c>
      <c r="F8" s="223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4.25" hidden="false" customHeight="false" outlineLevel="0" collapsed="false">
      <c r="A9" s="218"/>
      <c r="B9" s="219"/>
      <c r="C9" s="220"/>
      <c r="D9" s="221" t="str">
        <f aca="false">IF(ISBLANK(C9),"",$E$18*(1+$E$17*(C9-20)))</f>
        <v/>
      </c>
      <c r="E9" s="222" t="str">
        <f aca="false">IF(ISBLANK(B9),"",IF(ISBLANK(C9),"",(B9*$E$16*6)/(D9*$E$13)))</f>
        <v/>
      </c>
      <c r="F9" s="223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4.25" hidden="false" customHeight="false" outlineLevel="0" collapsed="false">
      <c r="A10" s="218"/>
      <c r="B10" s="219"/>
      <c r="C10" s="220"/>
      <c r="D10" s="221" t="str">
        <f aca="false">IF(ISBLANK(C10),"",$E$18*(1+$E$17*(C10-20)))</f>
        <v/>
      </c>
      <c r="E10" s="222" t="str">
        <f aca="false">IF(ISBLANK(B10),"",IF(ISBLANK(C10),"",(B10*$E$16*6)/(D10*$E$13)))</f>
        <v/>
      </c>
      <c r="F10" s="223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" hidden="false" customHeight="false" outlineLevel="0" collapsed="false">
      <c r="A11" s="224"/>
    </row>
    <row r="12" customFormat="false" ht="15" hidden="false" customHeight="false" outlineLevel="0" collapsed="false">
      <c r="A12" s="44" t="s">
        <v>22</v>
      </c>
    </row>
    <row r="13" customFormat="false" ht="14.25" hidden="false" customHeight="false" outlineLevel="0" collapsed="false">
      <c r="A13" s="225" t="s">
        <v>168</v>
      </c>
      <c r="B13" s="225"/>
      <c r="C13" s="225"/>
      <c r="D13" s="226" t="s">
        <v>169</v>
      </c>
      <c r="E13" s="227" t="n">
        <v>214.001</v>
      </c>
      <c r="F13" s="3" t="s">
        <v>166</v>
      </c>
      <c r="G13" s="5"/>
    </row>
    <row r="14" customFormat="false" ht="14.25" hidden="false" customHeight="false" outlineLevel="0" collapsed="false">
      <c r="A14" s="228" t="s">
        <v>170</v>
      </c>
      <c r="B14" s="228"/>
      <c r="C14" s="228"/>
      <c r="D14" s="229" t="s">
        <v>171</v>
      </c>
      <c r="E14" s="230" t="n">
        <v>1</v>
      </c>
      <c r="F14" s="6" t="s">
        <v>172</v>
      </c>
      <c r="G14" s="5"/>
    </row>
    <row r="15" customFormat="false" ht="14.25" hidden="false" customHeight="false" outlineLevel="0" collapsed="false">
      <c r="A15" s="4"/>
      <c r="B15" s="5"/>
      <c r="C15" s="5"/>
      <c r="D15" s="229"/>
      <c r="E15" s="229"/>
      <c r="F15" s="6"/>
      <c r="G15" s="5"/>
    </row>
    <row r="16" customFormat="false" ht="14.25" hidden="false" customHeight="false" outlineLevel="0" collapsed="false">
      <c r="A16" s="231" t="s">
        <v>173</v>
      </c>
      <c r="B16" s="5"/>
      <c r="C16" s="232"/>
      <c r="D16" s="233" t="s">
        <v>174</v>
      </c>
      <c r="E16" s="234" t="n">
        <v>1.000159</v>
      </c>
      <c r="F16" s="6"/>
      <c r="G16" s="5"/>
    </row>
    <row r="17" customFormat="false" ht="14.25" hidden="false" customHeight="false" outlineLevel="0" collapsed="false">
      <c r="A17" s="231" t="s">
        <v>175</v>
      </c>
      <c r="B17" s="5"/>
      <c r="C17" s="232"/>
      <c r="D17" s="234" t="s">
        <v>176</v>
      </c>
      <c r="E17" s="234" t="n">
        <v>1E-005</v>
      </c>
      <c r="F17" s="6"/>
      <c r="G17" s="5"/>
    </row>
    <row r="18" customFormat="false" ht="14.25" hidden="false" customHeight="false" outlineLevel="0" collapsed="false">
      <c r="A18" s="231" t="s">
        <v>177</v>
      </c>
      <c r="B18" s="5"/>
      <c r="C18" s="232"/>
      <c r="D18" s="234" t="s">
        <v>178</v>
      </c>
      <c r="E18" s="235" t="n">
        <f aca="false">('Correction de volume'!E6)/1000</f>
        <v>5</v>
      </c>
      <c r="F18" s="6" t="s">
        <v>167</v>
      </c>
      <c r="G18" s="5"/>
    </row>
    <row r="19" customFormat="false" ht="15" hidden="false" customHeight="false" outlineLevel="0" collapsed="false">
      <c r="A19" s="236" t="s">
        <v>179</v>
      </c>
      <c r="B19" s="237"/>
      <c r="C19" s="238"/>
      <c r="D19" s="239" t="s">
        <v>34</v>
      </c>
      <c r="E19" s="240" t="n">
        <v>0.9982063193824</v>
      </c>
      <c r="F19" s="78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1" sqref="Q10:R10 E25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26.89"/>
    <col collapsed="false" customWidth="true" hidden="false" outlineLevel="0" max="3" min="3" style="0" width="8.44"/>
    <col collapsed="false" customWidth="true" hidden="false" outlineLevel="0" max="5" min="4" style="0" width="9.33"/>
    <col collapsed="false" customWidth="true" hidden="false" outlineLevel="0" max="6" min="6" style="0" width="11"/>
    <col collapsed="false" customWidth="true" hidden="false" outlineLevel="0" max="7" min="7" style="0" width="10.87"/>
  </cols>
  <sheetData>
    <row r="1" customFormat="false" ht="21" hidden="false" customHeight="false" outlineLevel="0" collapsed="false">
      <c r="A1" s="207"/>
      <c r="B1" s="241" t="s">
        <v>180</v>
      </c>
      <c r="C1" s="241"/>
      <c r="D1" s="241"/>
      <c r="E1" s="241"/>
      <c r="F1" s="241"/>
      <c r="G1" s="241"/>
      <c r="H1" s="242"/>
    </row>
    <row r="2" customFormat="false" ht="21" hidden="false" customHeight="false" outlineLevel="0" collapsed="false">
      <c r="A2" s="243"/>
      <c r="B2" s="244"/>
      <c r="C2" s="244"/>
      <c r="D2" s="244"/>
      <c r="E2" s="244"/>
      <c r="F2" s="244"/>
      <c r="G2" s="244"/>
      <c r="H2" s="244"/>
    </row>
    <row r="3" customFormat="false" ht="25.5" hidden="false" customHeight="true" outlineLevel="0" collapsed="false">
      <c r="A3" s="245" t="s">
        <v>181</v>
      </c>
      <c r="B3" s="246" t="s">
        <v>182</v>
      </c>
      <c r="C3" s="246" t="s">
        <v>183</v>
      </c>
      <c r="D3" s="246" t="s">
        <v>184</v>
      </c>
      <c r="E3" s="246" t="s">
        <v>185</v>
      </c>
      <c r="F3" s="246" t="s">
        <v>186</v>
      </c>
      <c r="G3" s="247" t="s">
        <v>187</v>
      </c>
      <c r="H3" s="244"/>
    </row>
    <row r="4" customFormat="false" ht="14.25" hidden="false" customHeight="false" outlineLevel="0" collapsed="false">
      <c r="A4" s="245"/>
      <c r="B4" s="246"/>
      <c r="C4" s="246"/>
      <c r="D4" s="246"/>
      <c r="E4" s="246"/>
      <c r="F4" s="246"/>
      <c r="G4" s="247"/>
      <c r="H4" s="244"/>
    </row>
    <row r="5" customFormat="false" ht="15" hidden="false" customHeight="false" outlineLevel="0" collapsed="false">
      <c r="A5" s="248"/>
      <c r="B5" s="249"/>
      <c r="C5" s="249" t="s">
        <v>188</v>
      </c>
      <c r="D5" s="249" t="s">
        <v>189</v>
      </c>
      <c r="E5" s="249" t="s">
        <v>30</v>
      </c>
      <c r="F5" s="249" t="s">
        <v>30</v>
      </c>
      <c r="G5" s="250" t="s">
        <v>30</v>
      </c>
      <c r="H5" s="244"/>
    </row>
    <row r="6" customFormat="false" ht="14.25" hidden="false" customHeight="false" outlineLevel="0" collapsed="false">
      <c r="A6" s="251" t="n">
        <v>40878</v>
      </c>
      <c r="B6" s="252" t="s">
        <v>190</v>
      </c>
      <c r="C6" s="253" t="n">
        <v>20</v>
      </c>
      <c r="D6" s="253" t="n">
        <v>5000</v>
      </c>
      <c r="E6" s="254" t="n">
        <f aca="false">IF(ISBLANK(C6),"",IF(ISBLANK(D6),"",D6*(1+0.00001*(20-C6))))</f>
        <v>5000</v>
      </c>
      <c r="F6" s="254" t="n">
        <v>5000</v>
      </c>
      <c r="G6" s="255" t="n">
        <f aca="false">IF(ISBLANK(D6),"",IF(ISBLANK(C6),"",(E6-F6)))</f>
        <v>0</v>
      </c>
      <c r="H6" s="244"/>
    </row>
    <row r="7" customFormat="false" ht="14.25" hidden="false" customHeight="false" outlineLevel="0" collapsed="false">
      <c r="A7" s="218" t="n">
        <v>40878</v>
      </c>
      <c r="B7" s="256" t="s">
        <v>191</v>
      </c>
      <c r="C7" s="257" t="n">
        <v>23</v>
      </c>
      <c r="D7" s="257" t="n">
        <v>5</v>
      </c>
      <c r="E7" s="258" t="n">
        <f aca="false">IF(ISBLANK(C7),"",IF(ISBLANK(D7),"",D7*(1+0.00001*(20-C7))))</f>
        <v>4.99985</v>
      </c>
      <c r="F7" s="258" t="n">
        <v>5</v>
      </c>
      <c r="G7" s="259" t="n">
        <f aca="false">IF(ISBLANK(D7),"",IF(ISBLANK(C7),"",(E7-F7)))</f>
        <v>-0.00014999999999965</v>
      </c>
      <c r="H7" s="244"/>
    </row>
    <row r="8" customFormat="false" ht="14.25" hidden="false" customHeight="false" outlineLevel="0" collapsed="false">
      <c r="A8" s="218" t="n">
        <v>40878</v>
      </c>
      <c r="B8" s="256" t="s">
        <v>192</v>
      </c>
      <c r="C8" s="257" t="n">
        <v>20.4</v>
      </c>
      <c r="D8" s="257" t="n">
        <v>5.00311</v>
      </c>
      <c r="E8" s="258" t="n">
        <f aca="false">IF(ISBLANK(C8),"",IF(ISBLANK(D8),"",D8*(1+0.00001*(20-C8))))</f>
        <v>5.00308998756</v>
      </c>
      <c r="F8" s="258" t="n">
        <v>5</v>
      </c>
      <c r="G8" s="259" t="n">
        <f aca="false">IF(ISBLANK(D8),"",IF(ISBLANK(C8),"",(E8-F8)))</f>
        <v>0.00308998756000012</v>
      </c>
      <c r="H8" s="244"/>
    </row>
    <row r="9" customFormat="false" ht="14.25" hidden="false" customHeight="false" outlineLevel="0" collapsed="false">
      <c r="A9" s="218" t="n">
        <v>40878</v>
      </c>
      <c r="B9" s="256" t="s">
        <v>193</v>
      </c>
      <c r="C9" s="257" t="n">
        <v>20.3</v>
      </c>
      <c r="D9" s="257" t="n">
        <v>1.016</v>
      </c>
      <c r="E9" s="258" t="n">
        <f aca="false">IF(ISBLANK(C9),"",IF(ISBLANK(D9),"",D9*(1+0.00001*(20-C9))))</f>
        <v>1.015996952</v>
      </c>
      <c r="F9" s="258" t="n">
        <v>1</v>
      </c>
      <c r="G9" s="259" t="n">
        <f aca="false">IF(ISBLANK(D9),"",IF(ISBLANK(C9),"",(E9-F9)))</f>
        <v>0.0159969520000001</v>
      </c>
      <c r="H9" s="244"/>
    </row>
    <row r="10" customFormat="false" ht="15" hidden="false" customHeight="false" outlineLevel="0" collapsed="false">
      <c r="A10" s="260" t="n">
        <v>40878</v>
      </c>
      <c r="B10" s="261" t="s">
        <v>194</v>
      </c>
      <c r="C10" s="262" t="n">
        <v>20.3</v>
      </c>
      <c r="D10" s="262" t="n">
        <v>1.0004</v>
      </c>
      <c r="E10" s="263" t="n">
        <f aca="false">IF(ISBLANK(C10),"",IF(ISBLANK(D10),"",D10*(1+0.00001*(20-C10))))</f>
        <v>1.0003969988</v>
      </c>
      <c r="F10" s="263" t="n">
        <v>1</v>
      </c>
      <c r="G10" s="264" t="n">
        <f aca="false">IF(ISBLANK(D10),"",IF(ISBLANK(C10),"",(E10-F10)))</f>
        <v>0.000396998799999881</v>
      </c>
      <c r="H10" s="244"/>
    </row>
    <row r="11" customFormat="false" ht="14.25" hidden="false" customHeight="false" outlineLevel="0" collapsed="false">
      <c r="E11" s="265"/>
      <c r="F11" s="265"/>
      <c r="G11" s="266"/>
      <c r="H11" s="244"/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en-US</dc:language>
  <cp:lastModifiedBy/>
  <cp:lastPrinted>2015-02-05T12:58:17Z</cp:lastPrinted>
  <dcterms:modified xsi:type="dcterms:W3CDTF">2023-10-12T11:30:56Z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