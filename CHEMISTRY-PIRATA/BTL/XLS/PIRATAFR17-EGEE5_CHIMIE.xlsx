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_rels/externalLink2.xml.rels" ContentType="application/vnd.openxmlformats-package.relationships+xml"/>
  <Override PartName="/xl/externalLinks/externalLink2.xml" ContentType="application/vnd.openxmlformats-officedocument.spreadsheetml.externalLink+xml"/>
  <Override PartName="/xl/worksheets/sheet5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991" firstSheet="0" activeTab="12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  <sheet name="032_01" sheetId="32" state="visible" r:id="rId33"/>
    <sheet name="033_01" sheetId="33" state="visible" r:id="rId34"/>
    <sheet name="034_01" sheetId="34" state="visible" r:id="rId35"/>
    <sheet name="035_01" sheetId="35" state="visible" r:id="rId36"/>
    <sheet name="036_01" sheetId="36" state="visible" r:id="rId37"/>
    <sheet name="037_01" sheetId="37" state="visible" r:id="rId38"/>
    <sheet name="038_01" sheetId="38" state="visible" r:id="rId39"/>
    <sheet name="039_01" sheetId="39" state="visible" r:id="rId40"/>
    <sheet name="040_01" sheetId="40" state="visible" r:id="rId41"/>
    <sheet name="041_01" sheetId="41" state="visible" r:id="rId42"/>
    <sheet name="042_01" sheetId="42" state="visible" r:id="rId43"/>
    <sheet name="043_01" sheetId="43" state="visible" r:id="rId44"/>
    <sheet name="044_01" sheetId="44" state="visible" r:id="rId45"/>
    <sheet name="045_01" sheetId="45" state="visible" r:id="rId46"/>
    <sheet name="046_01" sheetId="46" state="visible" r:id="rId47"/>
    <sheet name="047_01" sheetId="47" state="visible" r:id="rId48"/>
    <sheet name="048_01" sheetId="48" state="visible" r:id="rId49"/>
    <sheet name="049_01" sheetId="49" state="visible" r:id="rId50"/>
    <sheet name="050_01" sheetId="50" state="visible" r:id="rId51"/>
  </sheets>
  <externalReferences>
    <externalReference r:id="rId52"/>
  </externalReferences>
  <definedNames>
    <definedName function="false" hidden="false" name="Correction_10ml" vbProcedure="false">[2]corrections_de_vol_!$G$9</definedName>
    <definedName function="false" hidden="false" localSheetId="17" name="Blanc___24" vbProcedure="false">018_01!$O$15</definedName>
    <definedName function="false" hidden="false" localSheetId="17" name="NORMALITE___24" vbProcedure="false">018_01!$O$11</definedName>
    <definedName function="false" hidden="false" localSheetId="17" name="vol_iodate_tc___24" vbProcedure="false">018_01!$O$13</definedName>
    <definedName function="false" hidden="false" localSheetId="17" name="Vol_reactif___24" vbProcedure="false">018_01!$N$20</definedName>
    <definedName function="false" hidden="false" localSheetId="17" name="Vol_thio_iodate___24" vbProcedure="false">018_01!$O$14</definedName>
    <definedName function="false" hidden="false" localSheetId="18" name="Blanc___24" vbProcedure="false">019_01!$O$15</definedName>
    <definedName function="false" hidden="false" localSheetId="18" name="NORMALITE___24" vbProcedure="false">019_01!$O$11</definedName>
    <definedName function="false" hidden="false" localSheetId="18" name="vol_iodate_tc___24" vbProcedure="false">019_01!$O$13</definedName>
    <definedName function="false" hidden="false" localSheetId="18" name="Vol_reactif___24" vbProcedure="false">019_01!$N$20</definedName>
    <definedName function="false" hidden="false" localSheetId="18" name="Vol_thio_iodate___24" vbProcedure="false">019_01!$O$14</definedName>
    <definedName function="false" hidden="false" localSheetId="19" name="Blanc___24" vbProcedure="false">020_01!$O$15</definedName>
    <definedName function="false" hidden="false" localSheetId="19" name="NORMALITE___24" vbProcedure="false">020_01!$O$11</definedName>
    <definedName function="false" hidden="false" localSheetId="19" name="vol_iodate_tc___24" vbProcedure="false">020_01!$O$13</definedName>
    <definedName function="false" hidden="false" localSheetId="19" name="Vol_reactif___24" vbProcedure="false">020_01!$N$20</definedName>
    <definedName function="false" hidden="false" localSheetId="19" name="Vol_thio_iodate___24" vbProcedure="false">020_01!$O$14</definedName>
    <definedName function="false" hidden="false" localSheetId="20" name="Blanc___24" vbProcedure="false">021_01!$O$15</definedName>
    <definedName function="false" hidden="false" localSheetId="20" name="NORMALITE___24" vbProcedure="false">021_01!$O$11</definedName>
    <definedName function="false" hidden="false" localSheetId="20" name="vol_iodate_tc___24" vbProcedure="false">021_01!$O$13</definedName>
    <definedName function="false" hidden="false" localSheetId="20" name="Vol_reactif___24" vbProcedure="false">021_01!$N$20</definedName>
    <definedName function="false" hidden="false" localSheetId="20" name="Vol_thio_iodate___24" vbProcedure="false">021_01!$O$14</definedName>
    <definedName function="false" hidden="false" localSheetId="21" name="Blanc___24" vbProcedure="false">022_01!$O$15</definedName>
    <definedName function="false" hidden="false" localSheetId="21" name="NORMALITE___24" vbProcedure="false">022_01!$O$11</definedName>
    <definedName function="false" hidden="false" localSheetId="21" name="vol_iodate_tc___24" vbProcedure="false">022_01!$O$13</definedName>
    <definedName function="false" hidden="false" localSheetId="21" name="Vol_reactif___24" vbProcedure="false">022_01!$N$20</definedName>
    <definedName function="false" hidden="false" localSheetId="21" name="Vol_thio_iodate___24" vbProcedure="false">022_01!$O$14</definedName>
    <definedName function="false" hidden="false" localSheetId="22" name="Blanc___24" vbProcedure="false">023_01!$O$15</definedName>
    <definedName function="false" hidden="false" localSheetId="22" name="NORMALITE___24" vbProcedure="false">023_01!$O$11</definedName>
    <definedName function="false" hidden="false" localSheetId="22" name="vol_iodate_tc___24" vbProcedure="false">023_01!$O$13</definedName>
    <definedName function="false" hidden="false" localSheetId="22" name="Vol_reactif___24" vbProcedure="false">023_01!$N$20</definedName>
    <definedName function="false" hidden="false" localSheetId="22" name="Vol_thio_iodate___24" vbProcedure="false">023_01!$O$14</definedName>
    <definedName function="false" hidden="false" localSheetId="23" name="Blanc___24" vbProcedure="false">024_01!$O$15</definedName>
    <definedName function="false" hidden="false" localSheetId="23" name="NORMALITE___24" vbProcedure="false">024_01!$O$11</definedName>
    <definedName function="false" hidden="false" localSheetId="23" name="vol_iodate_tc___24" vbProcedure="false">024_01!$O$13</definedName>
    <definedName function="false" hidden="false" localSheetId="23" name="Vol_reactif___24" vbProcedure="false">024_01!$N$20</definedName>
    <definedName function="false" hidden="false" localSheetId="23" name="Vol_thio_iodate___24" vbProcedure="false">024_01!$O$14</definedName>
    <definedName function="false" hidden="false" localSheetId="24" name="Blanc___24" vbProcedure="false">025_01!$O$15</definedName>
    <definedName function="false" hidden="false" localSheetId="24" name="NORMALITE___24" vbProcedure="false">025_01!$O$11</definedName>
    <definedName function="false" hidden="false" localSheetId="24" name="vol_iodate_tc___24" vbProcedure="false">025_01!$O$13</definedName>
    <definedName function="false" hidden="false" localSheetId="24" name="Vol_reactif___24" vbProcedure="false">025_01!$N$20</definedName>
    <definedName function="false" hidden="false" localSheetId="24" name="Vol_thio_iodate___24" vbProcedure="false">025_01!$O$14</definedName>
    <definedName function="false" hidden="false" localSheetId="25" name="Blanc___24" vbProcedure="false">026_01!$O$15</definedName>
    <definedName function="false" hidden="false" localSheetId="25" name="NORMALITE___24" vbProcedure="false">026_01!$O$11</definedName>
    <definedName function="false" hidden="false" localSheetId="25" name="vol_iodate_tc___24" vbProcedure="false">026_01!$O$13</definedName>
    <definedName function="false" hidden="false" localSheetId="25" name="Vol_reactif___24" vbProcedure="false">026_01!$N$20</definedName>
    <definedName function="false" hidden="false" localSheetId="25" name="Vol_thio_iodate___24" vbProcedure="false">026_01!$O$14</definedName>
    <definedName function="false" hidden="false" localSheetId="26" name="Blanc___24" vbProcedure="false">027_01!$O$15</definedName>
    <definedName function="false" hidden="false" localSheetId="26" name="NORMALITE___24" vbProcedure="false">027_01!$O$11</definedName>
    <definedName function="false" hidden="false" localSheetId="26" name="vol_iodate_tc___24" vbProcedure="false">027_01!$O$13</definedName>
    <definedName function="false" hidden="false" localSheetId="26" name="Vol_reactif___24" vbProcedure="false">027_01!$N$20</definedName>
    <definedName function="false" hidden="false" localSheetId="26" name="Vol_thio_iodate___24" vbProcedure="false">027_01!$O$14</definedName>
    <definedName function="false" hidden="false" localSheetId="27" name="Blanc___24" vbProcedure="false">028_01!$O$15</definedName>
    <definedName function="false" hidden="false" localSheetId="27" name="NORMALITE___24" vbProcedure="false">028_01!$O$11</definedName>
    <definedName function="false" hidden="false" localSheetId="27" name="vol_iodate_tc___24" vbProcedure="false">028_01!$O$13</definedName>
    <definedName function="false" hidden="false" localSheetId="27" name="Vol_reactif___24" vbProcedure="false">028_01!$N$20</definedName>
    <definedName function="false" hidden="false" localSheetId="27" name="Vol_thio_iodate___24" vbProcedure="false">028_01!$O$14</definedName>
    <definedName function="false" hidden="false" localSheetId="28" name="Blanc___24" vbProcedure="false">029_01!$O$15</definedName>
    <definedName function="false" hidden="false" localSheetId="28" name="NORMALITE___24" vbProcedure="false">029_01!$O$11</definedName>
    <definedName function="false" hidden="false" localSheetId="28" name="vol_iodate_tc___24" vbProcedure="false">029_01!$O$13</definedName>
    <definedName function="false" hidden="false" localSheetId="28" name="Vol_reactif___24" vbProcedure="false">029_01!$N$20</definedName>
    <definedName function="false" hidden="false" localSheetId="28" name="Vol_thio_iodate___24" vbProcedure="false">029_01!$O$14</definedName>
    <definedName function="false" hidden="false" localSheetId="29" name="Blanc___24" vbProcedure="false">030_01!$O$15</definedName>
    <definedName function="false" hidden="false" localSheetId="29" name="NORMALITE___24" vbProcedure="false">030_01!$O$11</definedName>
    <definedName function="false" hidden="false" localSheetId="29" name="vol_iodate_tc___24" vbProcedure="false">030_01!$O$13</definedName>
    <definedName function="false" hidden="false" localSheetId="29" name="Vol_reactif___24" vbProcedure="false">030_01!$N$20</definedName>
    <definedName function="false" hidden="false" localSheetId="29" name="Vol_thio_iodate___24" vbProcedure="false">030_01!$O$14</definedName>
    <definedName function="false" hidden="false" localSheetId="30" name="Blanc___24" vbProcedure="false">031_01!$O$15</definedName>
    <definedName function="false" hidden="false" localSheetId="30" name="NORMALITE___24" vbProcedure="false">031_01!$O$11</definedName>
    <definedName function="false" hidden="false" localSheetId="30" name="vol_iodate_tc___24" vbProcedure="false">031_01!$O$13</definedName>
    <definedName function="false" hidden="false" localSheetId="30" name="Vol_reactif___24" vbProcedure="false">031_01!$N$20</definedName>
    <definedName function="false" hidden="false" localSheetId="30" name="Vol_thio_iodate___24" vbProcedure="false">031_01!$O$14</definedName>
    <definedName function="false" hidden="false" localSheetId="31" name="Blanc___24" vbProcedure="false">032_01!$O$15</definedName>
    <definedName function="false" hidden="false" localSheetId="31" name="NORMALITE___24" vbProcedure="false">032_01!$O$11</definedName>
    <definedName function="false" hidden="false" localSheetId="31" name="vol_iodate_tc___24" vbProcedure="false">032_01!$O$13</definedName>
    <definedName function="false" hidden="false" localSheetId="31" name="Vol_reactif___24" vbProcedure="false">032_01!$N$20</definedName>
    <definedName function="false" hidden="false" localSheetId="31" name="Vol_thio_iodate___24" vbProcedure="false">032_01!$O$14</definedName>
    <definedName function="false" hidden="false" localSheetId="32" name="Blanc___24" vbProcedure="false">033_01!$O$15</definedName>
    <definedName function="false" hidden="false" localSheetId="32" name="NORMALITE___24" vbProcedure="false">033_01!$O$11</definedName>
    <definedName function="false" hidden="false" localSheetId="32" name="vol_iodate_tc___24" vbProcedure="false">033_01!$O$13</definedName>
    <definedName function="false" hidden="false" localSheetId="32" name="Vol_reactif___24" vbProcedure="false">033_01!$N$20</definedName>
    <definedName function="false" hidden="false" localSheetId="32" name="Vol_thio_iodate___24" vbProcedure="false">033_01!$O$14</definedName>
    <definedName function="false" hidden="false" localSheetId="33" name="Blanc___24" vbProcedure="false">034_01!$O$15</definedName>
    <definedName function="false" hidden="false" localSheetId="33" name="NORMALITE___24" vbProcedure="false">034_01!$O$11</definedName>
    <definedName function="false" hidden="false" localSheetId="33" name="vol_iodate_tc___24" vbProcedure="false">034_01!$O$13</definedName>
    <definedName function="false" hidden="false" localSheetId="33" name="Vol_reactif___24" vbProcedure="false">034_01!$N$20</definedName>
    <definedName function="false" hidden="false" localSheetId="33" name="Vol_thio_iodate___24" vbProcedure="false">034_01!$O$14</definedName>
    <definedName function="false" hidden="false" localSheetId="34" name="Blanc___24" vbProcedure="false">035_01!$O$15</definedName>
    <definedName function="false" hidden="false" localSheetId="34" name="NORMALITE___24" vbProcedure="false">035_01!$O$11</definedName>
    <definedName function="false" hidden="false" localSheetId="34" name="vol_iodate_tc___24" vbProcedure="false">035_01!$O$13</definedName>
    <definedName function="false" hidden="false" localSheetId="34" name="Vol_reactif___24" vbProcedure="false">035_01!$N$20</definedName>
    <definedName function="false" hidden="false" localSheetId="34" name="Vol_thio_iodate___24" vbProcedure="false">035_01!$O$14</definedName>
    <definedName function="false" hidden="false" localSheetId="35" name="Blanc___24" vbProcedure="false">036_01!$O$15</definedName>
    <definedName function="false" hidden="false" localSheetId="35" name="NORMALITE___24" vbProcedure="false">036_01!$O$11</definedName>
    <definedName function="false" hidden="false" localSheetId="35" name="vol_iodate_tc___24" vbProcedure="false">036_01!$O$13</definedName>
    <definedName function="false" hidden="false" localSheetId="35" name="Vol_reactif___24" vbProcedure="false">036_01!$N$20</definedName>
    <definedName function="false" hidden="false" localSheetId="35" name="Vol_thio_iodate___24" vbProcedure="false">036_01!$O$14</definedName>
    <definedName function="false" hidden="false" localSheetId="36" name="Blanc___24" vbProcedure="false">037_01!$O$15</definedName>
    <definedName function="false" hidden="false" localSheetId="36" name="NORMALITE___24" vbProcedure="false">037_01!$O$11</definedName>
    <definedName function="false" hidden="false" localSheetId="36" name="vol_iodate_tc___24" vbProcedure="false">037_01!$O$13</definedName>
    <definedName function="false" hidden="false" localSheetId="36" name="Vol_reactif___24" vbProcedure="false">037_01!$N$20</definedName>
    <definedName function="false" hidden="false" localSheetId="36" name="Vol_thio_iodate___24" vbProcedure="false">037_01!$O$14</definedName>
    <definedName function="false" hidden="false" localSheetId="37" name="Blanc___24" vbProcedure="false">038_01!$O$15</definedName>
    <definedName function="false" hidden="false" localSheetId="37" name="NORMALITE___24" vbProcedure="false">038_01!$O$11</definedName>
    <definedName function="false" hidden="false" localSheetId="37" name="vol_iodate_tc___24" vbProcedure="false">038_01!$O$13</definedName>
    <definedName function="false" hidden="false" localSheetId="37" name="Vol_reactif___24" vbProcedure="false">038_01!$N$20</definedName>
    <definedName function="false" hidden="false" localSheetId="37" name="Vol_thio_iodate___24" vbProcedure="false">038_01!$O$14</definedName>
    <definedName function="false" hidden="false" localSheetId="38" name="Blanc___24" vbProcedure="false">039_01!$O$15</definedName>
    <definedName function="false" hidden="false" localSheetId="38" name="NORMALITE___24" vbProcedure="false">039_01!$O$11</definedName>
    <definedName function="false" hidden="false" localSheetId="38" name="vol_iodate_tc___24" vbProcedure="false">039_01!$O$13</definedName>
    <definedName function="false" hidden="false" localSheetId="38" name="Vol_reactif___24" vbProcedure="false">039_01!$N$20</definedName>
    <definedName function="false" hidden="false" localSheetId="38" name="Vol_thio_iodate___24" vbProcedure="false">039_01!$O$14</definedName>
    <definedName function="false" hidden="false" localSheetId="39" name="Blanc___24" vbProcedure="false">040_01!$O$15</definedName>
    <definedName function="false" hidden="false" localSheetId="39" name="NORMALITE___24" vbProcedure="false">040_01!$O$11</definedName>
    <definedName function="false" hidden="false" localSheetId="39" name="vol_iodate_tc___24" vbProcedure="false">040_01!$O$13</definedName>
    <definedName function="false" hidden="false" localSheetId="39" name="Vol_reactif___24" vbProcedure="false">040_01!$N$20</definedName>
    <definedName function="false" hidden="false" localSheetId="39" name="Vol_thio_iodate___24" vbProcedure="false">040_01!$O$14</definedName>
    <definedName function="false" hidden="false" localSheetId="40" name="Blanc___24" vbProcedure="false">041_01!$O$15</definedName>
    <definedName function="false" hidden="false" localSheetId="40" name="NORMALITE___24" vbProcedure="false">041_01!$O$11</definedName>
    <definedName function="false" hidden="false" localSheetId="40" name="vol_iodate_tc___24" vbProcedure="false">041_01!$O$13</definedName>
    <definedName function="false" hidden="false" localSheetId="40" name="Vol_reactif___24" vbProcedure="false">041_01!$N$20</definedName>
    <definedName function="false" hidden="false" localSheetId="40" name="Vol_thio_iodate___24" vbProcedure="false">041_01!$O$14</definedName>
    <definedName function="false" hidden="false" localSheetId="41" name="Blanc___24" vbProcedure="false">042_01!$O$15</definedName>
    <definedName function="false" hidden="false" localSheetId="41" name="NORMALITE___24" vbProcedure="false">042_01!$O$11</definedName>
    <definedName function="false" hidden="false" localSheetId="41" name="vol_iodate_tc___24" vbProcedure="false">042_01!$O$13</definedName>
    <definedName function="false" hidden="false" localSheetId="41" name="Vol_reactif___24" vbProcedure="false">042_01!$N$20</definedName>
    <definedName function="false" hidden="false" localSheetId="41" name="Vol_thio_iodate___24" vbProcedure="false">042_01!$O$14</definedName>
    <definedName function="false" hidden="false" localSheetId="42" name="Blanc___24" vbProcedure="false">043_01!$O$15</definedName>
    <definedName function="false" hidden="false" localSheetId="42" name="NORMALITE___24" vbProcedure="false">043_01!$O$11</definedName>
    <definedName function="false" hidden="false" localSheetId="42" name="vol_iodate_tc___24" vbProcedure="false">043_01!$O$13</definedName>
    <definedName function="false" hidden="false" localSheetId="42" name="Vol_reactif___24" vbProcedure="false">043_01!$N$20</definedName>
    <definedName function="false" hidden="false" localSheetId="42" name="Vol_thio_iodate___24" vbProcedure="false">043_01!$O$14</definedName>
    <definedName function="false" hidden="false" localSheetId="43" name="Blanc___24" vbProcedure="false">044_01!$O$15</definedName>
    <definedName function="false" hidden="false" localSheetId="43" name="NORMALITE___24" vbProcedure="false">044_01!$O$11</definedName>
    <definedName function="false" hidden="false" localSheetId="43" name="vol_iodate_tc___24" vbProcedure="false">044_01!$O$13</definedName>
    <definedName function="false" hidden="false" localSheetId="43" name="Vol_reactif___24" vbProcedure="false">044_01!$N$20</definedName>
    <definedName function="false" hidden="false" localSheetId="43" name="Vol_thio_iodate___24" vbProcedure="false">044_01!$O$14</definedName>
    <definedName function="false" hidden="false" localSheetId="44" name="Blanc___24" vbProcedure="false">045_01!$O$15</definedName>
    <definedName function="false" hidden="false" localSheetId="44" name="NORMALITE___24" vbProcedure="false">045_01!$O$11</definedName>
    <definedName function="false" hidden="false" localSheetId="44" name="vol_iodate_tc___24" vbProcedure="false">045_01!$O$13</definedName>
    <definedName function="false" hidden="false" localSheetId="44" name="Vol_reactif___24" vbProcedure="false">045_01!$N$20</definedName>
    <definedName function="false" hidden="false" localSheetId="44" name="Vol_thio_iodate___24" vbProcedure="false">045_01!$O$14</definedName>
    <definedName function="false" hidden="false" localSheetId="45" name="Blanc___24" vbProcedure="false">046_01!$O$15</definedName>
    <definedName function="false" hidden="false" localSheetId="45" name="NORMALITE___24" vbProcedure="false">046_01!$O$11</definedName>
    <definedName function="false" hidden="false" localSheetId="45" name="vol_iodate_tc___24" vbProcedure="false">046_01!$O$13</definedName>
    <definedName function="false" hidden="false" localSheetId="45" name="Vol_reactif___24" vbProcedure="false">046_01!$N$20</definedName>
    <definedName function="false" hidden="false" localSheetId="45" name="Vol_thio_iodate___24" vbProcedure="false">046_01!$O$14</definedName>
    <definedName function="false" hidden="false" localSheetId="46" name="Blanc___24" vbProcedure="false">047_01!$O$15</definedName>
    <definedName function="false" hidden="false" localSheetId="46" name="NORMALITE___24" vbProcedure="false">047_01!$O$11</definedName>
    <definedName function="false" hidden="false" localSheetId="46" name="vol_iodate_tc___24" vbProcedure="false">047_01!$O$13</definedName>
    <definedName function="false" hidden="false" localSheetId="46" name="Vol_reactif___24" vbProcedure="false">047_01!$N$20</definedName>
    <definedName function="false" hidden="false" localSheetId="46" name="Vol_thio_iodate___24" vbProcedure="false">047_01!$O$14</definedName>
    <definedName function="false" hidden="false" localSheetId="47" name="Blanc___24" vbProcedure="false">048_01!$O$15</definedName>
    <definedName function="false" hidden="false" localSheetId="47" name="NORMALITE___24" vbProcedure="false">048_01!$O$11</definedName>
    <definedName function="false" hidden="false" localSheetId="47" name="vol_iodate_tc___24" vbProcedure="false">048_01!$O$13</definedName>
    <definedName function="false" hidden="false" localSheetId="47" name="Vol_reactif___24" vbProcedure="false">048_01!$N$20</definedName>
    <definedName function="false" hidden="false" localSheetId="47" name="Vol_thio_iodate___24" vbProcedure="false">048_01!$O$14</definedName>
    <definedName function="false" hidden="false" localSheetId="48" name="Blanc___24" vbProcedure="false">049_01!$O$15</definedName>
    <definedName function="false" hidden="false" localSheetId="48" name="NORMALITE___24" vbProcedure="false">049_01!$O$11</definedName>
    <definedName function="false" hidden="false" localSheetId="48" name="vol_iodate_tc___24" vbProcedure="false">049_01!$O$13</definedName>
    <definedName function="false" hidden="false" localSheetId="48" name="Vol_reactif___24" vbProcedure="false">049_01!$N$20</definedName>
    <definedName function="false" hidden="false" localSheetId="48" name="Vol_thio_iodate___24" vbProcedure="false">049_01!$O$14</definedName>
    <definedName function="false" hidden="false" localSheetId="49" name="Blanc___24" vbProcedure="false">050_01!$O$15</definedName>
    <definedName function="false" hidden="false" localSheetId="49" name="NORMALITE___24" vbProcedure="false">050_01!$O$11</definedName>
    <definedName function="false" hidden="false" localSheetId="49" name="vol_iodate_tc___24" vbProcedure="false">050_01!$O$13</definedName>
    <definedName function="false" hidden="false" localSheetId="49" name="Vol_reactif___24" vbProcedure="false">050_01!$N$20</definedName>
    <definedName function="false" hidden="false" localSheetId="49" name="Vol_thio_iodate___24" vbProcedure="false">050_01!$O$14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<sst xmlns="http://schemas.openxmlformats.org/spreadsheetml/2006/main" count="9980" uniqueCount="147">
  <si>
    <t xml:space="preserve">Campagne :</t>
  </si>
  <si>
    <t xml:space="preserve">PIRATA Fr17_EGEE 5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</si>
  <si>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</si>
  <si>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</si>
  <si>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</si>
  <si>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</si>
  <si>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</si>
  <si>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</si>
  <si>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</si>
  <si>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</si>
  <si>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</si>
  <si>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</si>
  <si>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</si>
  <si>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</si>
  <si>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</si>
  <si>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</si>
  <si>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</si>
  <si>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</si>
  <si>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</si>
  <si>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</si>
  <si>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</si>
  <si>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</si>
  <si>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</si>
  <si>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</si>
  <si>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</si>
  <si>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</si>
  <si>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</si>
  <si>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</si>
  <si>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</si>
  <si>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</si>
  <si>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</si>
  <si>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</si>
  <si>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</si>
  <si>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</si>
  <si>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</si>
  <si>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</si>
  <si>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</si>
  <si>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</si>
  <si>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</si>
  <si>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</si>
  <si>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</si>
  <si>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</si>
  <si>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</si>
  <si>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</si>
  <si>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</si>
  <si>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</si>
  <si>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</si>
  <si>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</si>
  <si>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</si>
  <si>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</si>
  <si>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</si>
  <si>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</si>
  <si>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</si>
  <si>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</si>
  <si>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</si>
  <si>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</si>
  <si>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</si>
  <si>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</si>
  <si>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</si>
  <si>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</si>
  <si>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</si>
  <si>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</si>
  <si>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</si>
  <si>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</si>
  <si>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</si>
  <si>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</si>
  <si>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</si>
  <si>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</si>
  <si>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</si>
  <si>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</si>
  <si>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</si>
  <si>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</si>
  <si>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</si>
  <si>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</si>
  <si>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</si>
  <si>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</si>
  <si>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</si>
  <si>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</si>
  <si>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</si>
  <si>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</si>
  <si>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</si>
  <si>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</si>
  <si>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</si>
  <si>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</si>
  <si>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</si>
  <si>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</si>
  <si>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</si>
  <si>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</si>
  <si>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</si>
  <si>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</si>
  <si>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</si>
  <si>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</si>
  <si>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</si>
  <si>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</si>
  <si>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</si>
  <si>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</si>
  <si>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</si>
  <si>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</si>
  <si>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</si>
  <si>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</si>
  <si>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</si>
  <si>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</si>
  <si>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</si>
  <si>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</si>
  <si>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</si>
  <si>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</si>
  <si>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</si>
  <si>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</si>
  <si>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</si>
  <si>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</si>
  <si>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</si>
  <si>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</si>
  <si>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</si>
  <si>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</si>
  <si>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</si>
  <si>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</si>
  <si>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</si>
  <si>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</si>
  <si>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</si>
  <si>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</si>
  <si>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</si>
  <si>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</si>
  <si>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</si>
  <si>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</si>
  <si>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</si>
  <si>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</si>
  <si>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</si>
  <si>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</si>
  <si>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</si>
  <si>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</si>
  <si>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</si>
  <si>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</si>
  <si>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</si>
  <si>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</si>
  <si>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</si>
  <si>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</si>
  <si>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</si>
  <si>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</si>
  <si>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</si>
  <si>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</si>
  <si>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</si>
  <si>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</si>
  <si>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</si>
  <si>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</si>
  <si>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</si>
  <si>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²</t>
  </si>
  <si>
    <t xml:space="preserve">*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</si>
</sst>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0.00"/>
    <numFmt numFmtId="171" formatCode="00.00&quot; ''&quot;"/>
    <numFmt numFmtId="172" formatCode="YYYY\-MM\-DD"/>
    <numFmt numFmtId="173" formatCode="HH:MM:SS"/>
    <numFmt numFmtId="174" formatCode="YYYY\-MM\-DD\THH:MM:SS\z"/>
    <numFmt numFmtId="175" formatCode="DDDD&quot;, &quot;MMMM\ DD&quot;, &quot;YYYY"/>
    <numFmt numFmtId="176" formatCode="0.000"/>
    <numFmt numFmtId="177" formatCode="0.0000"/>
    <numFmt numFmtId="178" formatCode="#,##0.000;[RED]&quot;Erreur !&quot;;[RED]&quot;Erreur !&quot;;[RED]General"/>
    <numFmt numFmtId="179" formatCode="0.00000000"/>
    <numFmt numFmtId="180" formatCode="#,##0.00;[RED]&quot;Erreur !&quot;;[RED]&quot;Erreur !&quot;;[RED]General"/>
    <numFmt numFmtId="181" formatCode="0.0"/>
    <numFmt numFmtId="182" formatCode="#,##0.000;[RED]#,##0.000"/>
    <numFmt numFmtId="183" formatCode="#,##0.0;[RED]#,##0.0"/>
    <numFmt numFmtId="184" formatCode="HH:MM"/>
  </numFmts>
  <fonts count="3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206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808000"/>
        <bgColor rgb="FF808080"/>
      </patternFill>
    </fill>
    <fill>
      <patternFill patternType="solid">
        <fgColor rgb="FFFF8080"/>
        <bgColor rgb="FFFF99CC"/>
      </patternFill>
    </fill>
    <fill>
      <patternFill patternType="solid">
        <fgColor rgb="FF00FFFF"/>
        <bgColor rgb="FF00FFFF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4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4" fillId="1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1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31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28" fillId="2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0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0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3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1" fontId="30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9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9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1" fontId="30" fillId="6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0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  <cellStyle name="Normal 3" xfId="21" builtinId="53" customBuiltin="true"/>
    <cellStyle name="Normal 4" xfId="22" builtinId="53" customBuiltin="true"/>
    <cellStyle name="Normal 5" xfId="23" builtinId="53" customBuiltin="true"/>
    <cellStyle name="Normal 6" xfId="24" builtinId="53" customBuiltin="true"/>
    <cellStyle name="Normal 7" xfId="25" builtinId="53" customBuiltin="true"/>
    <cellStyle name="Normal 8" xfId="26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externalLink" Target="externalLinks/externalLink2.xml"/><Relationship Id="rId53" Type="http://schemas.openxmlformats.org/officeDocument/2006/relationships/sharedStrings" Target="sharedStrings.xm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5" activeCellId="0" sqref="O1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6032388663968"/>
    <col collapsed="false" hidden="true" max="15" min="11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37778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30.13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2°30,13</v>
      </c>
      <c r="P9" s="31" t="s">
        <v>13</v>
      </c>
      <c r="Q9" s="35" t="n">
        <f aca="false">IF(ISBLANK(I9),"",IF(ISBLANK(J9),"",IF(J9&gt;60,"ERREUR !!",O11*(I9+(J9/60)))))</f>
        <v>2.50216666666667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0.49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6°0,49</v>
      </c>
      <c r="P10" s="31" t="s">
        <v>14</v>
      </c>
      <c r="Q10" s="35" t="n">
        <f aca="false">IF(ISBLANK(I10),"",IF(ISBLANK(J10),"",IF(J10&gt;60,"ERREUR !!",O12*(I10+(J10/60)))))</f>
        <v>6.00816666666667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37778</v>
      </c>
      <c r="K11" s="40"/>
      <c r="L11" s="40"/>
      <c r="M11" s="40"/>
      <c r="N11" s="41" t="str">
        <f aca="false">I9&amp;"°"&amp;J9</f>
        <v>2°30,13</v>
      </c>
      <c r="O11" s="42" t="n">
        <f aca="false">IF(P9=M10,-1,1)</f>
        <v>1</v>
      </c>
      <c r="P11" s="43" t="str">
        <f aca="false">TEXT(J11,"aaaa-mm-jj")&amp;"T"&amp;TEXT(J12,"hh:mm:ss")&amp;"z"</f>
        <v>2007-06-07T04:00:00z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0.166666666666667</v>
      </c>
      <c r="K12" s="48"/>
      <c r="L12" s="48"/>
      <c r="M12" s="48"/>
      <c r="N12" s="49" t="str">
        <f aca="false">I10&amp;"°"&amp;J10</f>
        <v>6°0,49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4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4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4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4.4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1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34.6807</v>
      </c>
      <c r="H35" s="123" t="n">
        <v>500</v>
      </c>
      <c r="I35" s="124" t="n">
        <v>504</v>
      </c>
      <c r="J35" s="125"/>
      <c r="K35" s="126"/>
      <c r="L35" s="126"/>
      <c r="M35" s="126"/>
      <c r="N35" s="127"/>
      <c r="O35" s="126"/>
      <c r="P35" s="125" t="n">
        <v>2.179</v>
      </c>
      <c r="Q35" s="125"/>
      <c r="R35" s="125"/>
      <c r="S35" s="128" t="n">
        <v>94.8</v>
      </c>
      <c r="T35" s="34" t="n">
        <v>0.004</v>
      </c>
      <c r="U35" s="34" t="n">
        <v>0.00390875763597791</v>
      </c>
      <c r="V35" s="34"/>
      <c r="W35" s="34"/>
      <c r="X35" s="34" t="n">
        <v>35.386</v>
      </c>
      <c r="Y35" s="34" t="n">
        <v>34.5788244266786</v>
      </c>
      <c r="Z35" s="34" t="n">
        <v>2.226</v>
      </c>
      <c r="AA35" s="34" t="n">
        <v>2.17522362442171</v>
      </c>
      <c r="AB35" s="34" t="n">
        <v>19.81</v>
      </c>
      <c r="AC35" s="34" t="n">
        <v>19.3581221921806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22" t="n">
        <v>34.6803</v>
      </c>
      <c r="H36" s="124" t="n">
        <v>500</v>
      </c>
      <c r="I36" s="124" t="n">
        <v>504</v>
      </c>
      <c r="J36" s="134"/>
      <c r="K36" s="135"/>
      <c r="L36" s="135"/>
      <c r="M36" s="135"/>
      <c r="N36" s="136"/>
      <c r="O36" s="135"/>
      <c r="P36" s="134" t="n">
        <v>2.194</v>
      </c>
      <c r="Q36" s="134"/>
      <c r="R36" s="134"/>
      <c r="S36" s="137" t="n">
        <v>95.5</v>
      </c>
      <c r="T36" s="34" t="n">
        <v>0.008</v>
      </c>
      <c r="U36" s="34" t="n">
        <v>0.00781751527195582</v>
      </c>
      <c r="V36" s="34"/>
      <c r="W36" s="34"/>
      <c r="X36" s="34" t="n">
        <v>35.382</v>
      </c>
      <c r="Y36" s="34" t="n">
        <v>34.5749156690426</v>
      </c>
      <c r="Z36" s="34" t="n">
        <v>2.213</v>
      </c>
      <c r="AA36" s="34" t="n">
        <v>2.16252016210478</v>
      </c>
      <c r="AB36" s="34" t="n">
        <v>19.92</v>
      </c>
      <c r="AC36" s="34" t="n">
        <v>19.46561302717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35.0293</v>
      </c>
      <c r="H37" s="124" t="n">
        <v>300</v>
      </c>
      <c r="I37" s="124" t="n">
        <v>296</v>
      </c>
      <c r="J37" s="134"/>
      <c r="K37" s="135"/>
      <c r="L37" s="135"/>
      <c r="M37" s="135"/>
      <c r="N37" s="136"/>
      <c r="O37" s="135"/>
      <c r="P37" s="134" t="n">
        <v>1.346</v>
      </c>
      <c r="Q37" s="134"/>
      <c r="R37" s="134"/>
      <c r="S37" s="137" t="n">
        <v>58.6</v>
      </c>
      <c r="T37" s="34" t="n">
        <v>0.01</v>
      </c>
      <c r="U37" s="34" t="n">
        <v>0.00977189408994478</v>
      </c>
      <c r="V37" s="34"/>
      <c r="W37" s="34"/>
      <c r="X37" s="34" t="n">
        <v>32.45</v>
      </c>
      <c r="Y37" s="34" t="n">
        <v>31.7097963218708</v>
      </c>
      <c r="Z37" s="34" t="n">
        <v>1.991</v>
      </c>
      <c r="AA37" s="34" t="n">
        <v>1.945584113308</v>
      </c>
      <c r="AB37" s="34" t="n">
        <v>14</v>
      </c>
      <c r="AC37" s="34" t="n">
        <v>13.6806517259227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36.1353</v>
      </c>
      <c r="H38" s="124" t="n">
        <v>100</v>
      </c>
      <c r="I38" s="124" t="n">
        <v>100</v>
      </c>
      <c r="J38" s="134"/>
      <c r="K38" s="135"/>
      <c r="L38" s="135"/>
      <c r="M38" s="135"/>
      <c r="N38" s="136"/>
      <c r="O38" s="135"/>
      <c r="P38" s="134" t="n">
        <v>3.489</v>
      </c>
      <c r="Q38" s="134"/>
      <c r="R38" s="134"/>
      <c r="S38" s="137" t="n">
        <v>151.9</v>
      </c>
      <c r="T38" s="34" t="n">
        <v>0.065</v>
      </c>
      <c r="U38" s="34" t="n">
        <v>0.063517311584641</v>
      </c>
      <c r="V38" s="34"/>
      <c r="W38" s="34"/>
      <c r="X38" s="34" t="n">
        <v>9.855</v>
      </c>
      <c r="Y38" s="34" t="n">
        <v>9.63020162564058</v>
      </c>
      <c r="Z38" s="34" t="n">
        <v>0.735</v>
      </c>
      <c r="AA38" s="34" t="n">
        <v>0.718234215610941</v>
      </c>
      <c r="AB38" s="34" t="n">
        <v>3.52</v>
      </c>
      <c r="AC38" s="34" t="n">
        <v>3.43970671966056</v>
      </c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9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36.1785</v>
      </c>
      <c r="H39" s="124" t="n">
        <v>75</v>
      </c>
      <c r="I39" s="124" t="n">
        <v>79</v>
      </c>
      <c r="J39" s="134"/>
      <c r="K39" s="135"/>
      <c r="L39" s="135"/>
      <c r="M39" s="135"/>
      <c r="N39" s="136"/>
      <c r="O39" s="135"/>
      <c r="P39" s="134" t="n">
        <v>3.518</v>
      </c>
      <c r="Q39" s="134"/>
      <c r="R39" s="134"/>
      <c r="S39" s="137" t="n">
        <v>153.2</v>
      </c>
      <c r="T39" s="34" t="n">
        <v>0.092</v>
      </c>
      <c r="U39" s="34" t="n">
        <v>0.0899014256274919</v>
      </c>
      <c r="V39" s="34"/>
      <c r="W39" s="34"/>
      <c r="X39" s="34" t="n">
        <v>8.538</v>
      </c>
      <c r="Y39" s="34" t="n">
        <v>8.34324317399485</v>
      </c>
      <c r="Z39" s="34" t="n">
        <v>0.667</v>
      </c>
      <c r="AA39" s="34" t="n">
        <v>0.651785335799316</v>
      </c>
      <c r="AB39" s="34" t="n">
        <v>3.13</v>
      </c>
      <c r="AC39" s="34" t="n">
        <v>3.05860285015271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36.2083</v>
      </c>
      <c r="H40" s="124" t="n">
        <v>60</v>
      </c>
      <c r="I40" s="124" t="n">
        <v>60</v>
      </c>
      <c r="J40" s="134"/>
      <c r="K40" s="135"/>
      <c r="L40" s="135"/>
      <c r="M40" s="135"/>
      <c r="N40" s="136"/>
      <c r="O40" s="135"/>
      <c r="P40" s="134" t="n">
        <v>3.515</v>
      </c>
      <c r="Q40" s="134"/>
      <c r="R40" s="134"/>
      <c r="S40" s="137" t="n">
        <v>153.1</v>
      </c>
      <c r="T40" s="34" t="n">
        <v>0.097</v>
      </c>
      <c r="U40" s="34" t="n">
        <v>0.0947873726724643</v>
      </c>
      <c r="V40" s="34"/>
      <c r="W40" s="34"/>
      <c r="X40" s="34" t="n">
        <v>7.593</v>
      </c>
      <c r="Y40" s="34" t="n">
        <v>7.41979918249507</v>
      </c>
      <c r="Z40" s="34" t="n">
        <v>0.617</v>
      </c>
      <c r="AA40" s="34" t="n">
        <v>0.602925865349593</v>
      </c>
      <c r="AB40" s="34" t="n">
        <v>2.8</v>
      </c>
      <c r="AC40" s="34" t="n">
        <v>2.73613034518454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35.2392</v>
      </c>
      <c r="H41" s="124" t="n">
        <v>40</v>
      </c>
      <c r="I41" s="124" t="n">
        <v>40</v>
      </c>
      <c r="J41" s="134"/>
      <c r="K41" s="135"/>
      <c r="L41" s="135"/>
      <c r="M41" s="135"/>
      <c r="N41" s="136"/>
      <c r="O41" s="135"/>
      <c r="P41" s="134" t="n">
        <v>4.357</v>
      </c>
      <c r="Q41" s="134"/>
      <c r="R41" s="134"/>
      <c r="S41" s="137" t="n">
        <v>190.2</v>
      </c>
      <c r="T41" s="34" t="n">
        <v>0.031</v>
      </c>
      <c r="U41" s="34" t="n">
        <v>0.0302928716788288</v>
      </c>
      <c r="V41" s="34"/>
      <c r="W41" s="34"/>
      <c r="X41" s="34" t="n">
        <v>0.189</v>
      </c>
      <c r="Y41" s="34" t="n">
        <v>0.184688798299956</v>
      </c>
      <c r="Z41" s="34" t="n">
        <v>0.097</v>
      </c>
      <c r="AA41" s="34" t="n">
        <v>0.0947873726724643</v>
      </c>
      <c r="AB41" s="34" t="n">
        <v>1.22</v>
      </c>
      <c r="AC41" s="34" t="n">
        <v>1.19217107897326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34.2428</v>
      </c>
      <c r="H42" s="124" t="n">
        <v>20</v>
      </c>
      <c r="I42" s="124" t="n">
        <v>20</v>
      </c>
      <c r="J42" s="134"/>
      <c r="K42" s="135"/>
      <c r="L42" s="135"/>
      <c r="M42" s="135"/>
      <c r="N42" s="136"/>
      <c r="O42" s="135"/>
      <c r="P42" s="134" t="n">
        <v>4.374</v>
      </c>
      <c r="Q42" s="134"/>
      <c r="R42" s="134"/>
      <c r="S42" s="137" t="n">
        <v>191.1</v>
      </c>
      <c r="T42" s="34" t="n">
        <v>0.01</v>
      </c>
      <c r="U42" s="34" t="n">
        <v>0.00977189408994478</v>
      </c>
      <c r="V42" s="34"/>
      <c r="W42" s="34"/>
      <c r="X42" s="34" t="n">
        <v>0.05</v>
      </c>
      <c r="Y42" s="34" t="n">
        <v>0.0488594704497239</v>
      </c>
      <c r="Z42" s="34" t="n">
        <v>0.025</v>
      </c>
      <c r="AA42" s="34" t="n">
        <v>0.0244297352248619</v>
      </c>
      <c r="AB42" s="34" t="n">
        <v>0.8</v>
      </c>
      <c r="AC42" s="34" t="n">
        <v>0.781751527195582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34.231</v>
      </c>
      <c r="H43" s="124" t="n">
        <v>10</v>
      </c>
      <c r="I43" s="124" t="n">
        <v>10</v>
      </c>
      <c r="J43" s="134"/>
      <c r="K43" s="135"/>
      <c r="L43" s="135"/>
      <c r="M43" s="135"/>
      <c r="N43" s="136"/>
      <c r="O43" s="135"/>
      <c r="P43" s="134" t="n">
        <v>4.37</v>
      </c>
      <c r="Q43" s="134"/>
      <c r="R43" s="134"/>
      <c r="S43" s="137" t="n">
        <v>191</v>
      </c>
      <c r="T43" s="34" t="n">
        <v>0.014</v>
      </c>
      <c r="U43" s="34" t="n">
        <v>0.0136806517259227</v>
      </c>
      <c r="V43" s="34"/>
      <c r="W43" s="34"/>
      <c r="X43" s="34" t="n">
        <v>0.056</v>
      </c>
      <c r="Y43" s="34" t="n">
        <v>0.0547226069036907</v>
      </c>
      <c r="Z43" s="34" t="n">
        <v>0.015</v>
      </c>
      <c r="AA43" s="34" t="n">
        <v>0.0146578411349172</v>
      </c>
      <c r="AB43" s="34" t="n">
        <v>0.81</v>
      </c>
      <c r="AC43" s="34" t="n">
        <v>0.791523421285527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34.2315</v>
      </c>
      <c r="H44" s="124" t="n">
        <v>0</v>
      </c>
      <c r="I44" s="124" t="n">
        <v>2</v>
      </c>
      <c r="J44" s="134"/>
      <c r="K44" s="135"/>
      <c r="L44" s="135"/>
      <c r="M44" s="135"/>
      <c r="N44" s="136"/>
      <c r="O44" s="135"/>
      <c r="P44" s="134" t="n">
        <v>4.412</v>
      </c>
      <c r="Q44" s="134"/>
      <c r="R44" s="134"/>
      <c r="S44" s="137" t="n">
        <v>192.8</v>
      </c>
      <c r="T44" s="34" t="n">
        <v>0.018</v>
      </c>
      <c r="U44" s="34" t="n">
        <v>0.0175894093619006</v>
      </c>
      <c r="V44" s="34"/>
      <c r="W44" s="34"/>
      <c r="X44" s="34" t="n">
        <v>0</v>
      </c>
      <c r="Y44" s="34" t="n">
        <v>0</v>
      </c>
      <c r="Z44" s="34" t="n">
        <v>0.01</v>
      </c>
      <c r="AA44" s="34" t="n">
        <v>0.00977189408994477</v>
      </c>
      <c r="AB44" s="34" t="n">
        <v>0.91</v>
      </c>
      <c r="AC44" s="34" t="n">
        <v>0.889242362184974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7" t="s">
        <v>99</v>
      </c>
      <c r="H45" s="124" t="s">
        <v>99</v>
      </c>
      <c r="I45" s="148" t="s">
        <v>99</v>
      </c>
      <c r="J45" s="134"/>
      <c r="K45" s="135"/>
      <c r="L45" s="135"/>
      <c r="M45" s="135"/>
      <c r="N45" s="136"/>
      <c r="O45" s="135"/>
      <c r="P45" s="149" t="s">
        <v>99</v>
      </c>
      <c r="Q45" s="134"/>
      <c r="R45" s="134"/>
      <c r="S45" s="134" t="s">
        <v>99</v>
      </c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</row>
    <row r="46" customFormat="false" ht="15.6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 t="str">
        <f aca="false">IF(ISBLANK(D46),"",IF(VLOOKUP(D46,#REF!,2)=0,"",IF(D46&gt;#REF!,"Mauvais numéro",IF(D46&lt;#REF!,"Mauvais numéro",(VLOOKUP(D46,#REF!,3))))))</f>
        <v/>
      </c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56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7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6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 t="str">
        <f aca="false">IF(ISBLANK(D47),"",IF(VLOOKUP(D47,#REF!,2)=0,"",IF(D47&gt;#REF!,"Mauvais numéro",IF(D47&lt;#REF!,"Mauvais numéro",(VLOOKUP(D47,#REF!,3))))))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62"/>
      <c r="Q47" s="157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2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6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 t="str">
        <f aca="false">IF(ISBLANK(D48),"",IF(VLOOKUP(D48,#REF!,2)=0,"",IF(D48&gt;#REF!,"Mauvais numéro",IF(D48&lt;#REF!,"Mauvais numéro",(VLOOKUP(D48,#REF!,3))))))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62"/>
      <c r="Q48" s="157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2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6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 t="str">
        <f aca="false">IF(ISBLANK(D49),"",IF(VLOOKUP(D49,#REF!,2)=0,"",IF(D49&gt;#REF!,"Mauvais numéro",IF(D49&lt;#REF!,"Mauvais numéro",(VLOOKUP(D49,#REF!,3))))))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6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7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6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 t="str">
        <f aca="false">IF(ISBLANK(D50),"",IF(VLOOKUP(D50,#REF!,2)=0,"",IF(D50&gt;#REF!,"Mauvais numéro",IF(D50&lt;#REF!,"Mauvais numéro",(VLOOKUP(D50,#REF!,3))))))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6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7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 t="str">
        <f aca="false">IF(ISBLANK(D51),"",IF(VLOOKUP(D51,#REF!,2)=0,"",IF(D51&gt;#REF!,"Mauvais numéro",IF(D51&lt;#REF!,"Mauvais numéro",(VLOOKUP(D51,#REF!,3))))))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6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7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 t="str">
        <f aca="false">IF(ISBLANK(D52),"",IF(VLOOKUP(D52,#REF!,2)=0,"",IF(D52&gt;#REF!,"Mauvais numéro",IF(D52&lt;#REF!,"Mauvais numéro",(VLOOKUP(D52,#REF!,3))))))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6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7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 t="str">
        <f aca="false">IF(ISBLANK(D53),"",IF(VLOOKUP(D53,#REF!,2)=0,"",IF(D53&gt;#REF!,"Mauvais numéro",IF(D53&lt;#REF!,"Mauvais numéro",(VLOOKUP(D53,#REF!,3))))))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6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7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 t="str">
        <f aca="false">IF(ISBLANK(D54),"",IF(VLOOKUP(D54,#REF!,2)=0,"",IF(D54&gt;#REF!,"Mauvais numéro",IF(D54&lt;#REF!,"Mauvais numéro",(VLOOKUP(D54,#REF!,3))))))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6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7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 t="str">
        <f aca="false">IF(ISBLANK(D55),"",IF(VLOOKUP(D55,#REF!,2)=0,"",IF(D55&gt;#REF!,"Mauvais numéro",IF(D55&lt;#REF!,"Mauvais numéro",(VLOOKUP(D55,#REF!,3))))))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6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7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 t="str">
        <f aca="false">IF(ISBLANK(D56),"",IF(VLOOKUP(D56,#REF!,2)=0,"",IF(D56&gt;#REF!,"Mauvais numéro",IF(D56&lt;#REF!,"Mauvais numéro",(VLOOKUP(D56,#REF!,3))))))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6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7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 t="str">
        <f aca="false">IF(ISBLANK(D57),"",IF(VLOOKUP(D57,#REF!,2)=0,"",IF(D57&gt;#REF!,"Mauvais numéro",IF(D57&lt;#REF!,"Mauvais numéro",(VLOOKUP(D57,#REF!,3))))))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6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7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IF(ISBLANK(D58),"",IF(VLOOKUP(D58,#REF!,2)=0,"",IF(D58&gt;#REF!,"Mauvais numéro",IF(D58&lt;#REF!,"Mauvais numéro",(VLOOKUP(D58,#REF!,3))))))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5" activeCellId="0" sqref="N1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false" max="11" min="11" style="0" width="2.25101214574899"/>
    <col collapsed="false" hidden="false" max="12" min="12" style="0" width="2.03643724696356"/>
    <col collapsed="false" hidden="false" max="13" min="13" style="0" width="22.0647773279352"/>
    <col collapsed="false" hidden="false" max="14" min="14" style="0" width="23.1376518218623"/>
    <col collapsed="false" hidden="false" max="15" min="15" style="0" width="19.7085020242915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37778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59.24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1°59,24</v>
      </c>
      <c r="P9" s="31" t="s">
        <v>13</v>
      </c>
      <c r="Q9" s="35" t="n">
        <f aca="false">IF(ISBLANK(I9),"",IF(ISBLANK(J9),"",IF(J9&gt;60,"ERREUR !!",O11*(I9+(J9/60)))))</f>
        <v>1.98733333333333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59.73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5°59,73</v>
      </c>
      <c r="P10" s="31" t="s">
        <v>14</v>
      </c>
      <c r="Q10" s="35" t="n">
        <f aca="false">IF(ISBLANK(I10),"",IF(ISBLANK(J10),"",IF(J10&gt;60,"ERREUR !!",O12*(I10+(J10/60)))))</f>
        <v>5.9955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37778</v>
      </c>
      <c r="K11" s="40"/>
      <c r="L11" s="40"/>
      <c r="M11" s="40"/>
      <c r="N11" s="41" t="str">
        <f aca="false">I9&amp;"°"&amp;J9</f>
        <v>1°59,24</v>
      </c>
      <c r="O11" s="42" t="n">
        <f aca="false">IF(P9=M10,-1,1)</f>
        <v>1</v>
      </c>
      <c r="P11" s="43" t="str">
        <f aca="false">TEXT(J11,"aaaa-mm-jj")&amp;"T"&amp;TEXT(J12,"hh:mm:ss")&amp;"z"</f>
        <v>2007-06-07T10:00:00z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0.416666666666667</v>
      </c>
      <c r="K12" s="48"/>
      <c r="L12" s="48"/>
      <c r="M12" s="48"/>
      <c r="N12" s="49" t="str">
        <f aca="false">I10&amp;"°"&amp;J10</f>
        <v>5°59,73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4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4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4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4.4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1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34.6362</v>
      </c>
      <c r="H35" s="123" t="n">
        <v>500</v>
      </c>
      <c r="I35" s="124" t="n">
        <v>506</v>
      </c>
      <c r="J35" s="125"/>
      <c r="K35" s="126"/>
      <c r="L35" s="126"/>
      <c r="M35" s="126"/>
      <c r="N35" s="127"/>
      <c r="O35" s="126"/>
      <c r="P35" s="178" t="n">
        <v>2.306</v>
      </c>
      <c r="Q35" s="125"/>
      <c r="R35" s="125"/>
      <c r="S35" s="179" t="n">
        <v>100.298991842491</v>
      </c>
      <c r="T35" s="34" t="n">
        <v>0.014</v>
      </c>
      <c r="U35" s="34" t="n">
        <v>0.0136806517259227</v>
      </c>
      <c r="V35" s="125"/>
      <c r="W35" s="125"/>
      <c r="X35" s="34" t="n">
        <v>35.986</v>
      </c>
      <c r="Y35" s="34" t="n">
        <v>35.1651380720753</v>
      </c>
      <c r="Z35" s="34" t="n">
        <v>2.266</v>
      </c>
      <c r="AA35" s="34" t="n">
        <v>2.21431120078149</v>
      </c>
      <c r="AB35" s="34" t="n">
        <v>16.08</v>
      </c>
      <c r="AC35" s="34" t="n">
        <v>15.7132056966312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22" t="n">
        <v>34.9461</v>
      </c>
      <c r="H36" s="124" t="n">
        <v>300</v>
      </c>
      <c r="I36" s="124" t="n">
        <v>300.5</v>
      </c>
      <c r="J36" s="134"/>
      <c r="K36" s="135"/>
      <c r="L36" s="135"/>
      <c r="M36" s="135"/>
      <c r="N36" s="136"/>
      <c r="O36" s="135"/>
      <c r="P36" s="180" t="n">
        <v>1.375</v>
      </c>
      <c r="Q36" s="134"/>
      <c r="R36" s="134"/>
      <c r="S36" s="181" t="n">
        <v>59.8247751039261</v>
      </c>
      <c r="T36" s="34" t="n">
        <v>0.001</v>
      </c>
      <c r="U36" s="34" t="n">
        <v>0.000977189408994478</v>
      </c>
      <c r="V36" s="134"/>
      <c r="W36" s="134"/>
      <c r="X36" s="34" t="n">
        <v>34.139</v>
      </c>
      <c r="Y36" s="34" t="n">
        <v>33.3602692336625</v>
      </c>
      <c r="Z36" s="34" t="n">
        <v>2.063</v>
      </c>
      <c r="AA36" s="34" t="n">
        <v>2.01594175075561</v>
      </c>
      <c r="AB36" s="34" t="n">
        <v>11.11</v>
      </c>
      <c r="AC36" s="34" t="n">
        <v>10.8565743339286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82" t="n">
        <v>34.9469</v>
      </c>
      <c r="H37" s="124" t="n">
        <v>300</v>
      </c>
      <c r="I37" s="124" t="n">
        <v>300.2</v>
      </c>
      <c r="J37" s="134"/>
      <c r="K37" s="135"/>
      <c r="L37" s="135"/>
      <c r="M37" s="135"/>
      <c r="N37" s="136"/>
      <c r="O37" s="135"/>
      <c r="P37" s="180" t="n">
        <v>1.396</v>
      </c>
      <c r="Q37" s="134"/>
      <c r="R37" s="134"/>
      <c r="S37" s="181" t="n">
        <v>60.7391233881278</v>
      </c>
      <c r="T37" s="34" t="n">
        <v>0.019</v>
      </c>
      <c r="U37" s="34" t="n">
        <v>0.0185665987708951</v>
      </c>
      <c r="V37" s="134"/>
      <c r="W37" s="134"/>
      <c r="X37" s="34" t="n">
        <v>33.551</v>
      </c>
      <c r="Y37" s="34" t="n">
        <v>32.7856818611737</v>
      </c>
      <c r="Z37" s="34" t="n">
        <v>2.035</v>
      </c>
      <c r="AA37" s="34" t="n">
        <v>1.98858044730376</v>
      </c>
      <c r="AB37" s="34" t="n">
        <v>11.23</v>
      </c>
      <c r="AC37" s="34" t="n">
        <v>10.973837063008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6.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35.487</v>
      </c>
      <c r="H38" s="124" t="n">
        <v>100</v>
      </c>
      <c r="I38" s="124" t="n">
        <v>199</v>
      </c>
      <c r="J38" s="134"/>
      <c r="K38" s="135"/>
      <c r="L38" s="135"/>
      <c r="M38" s="135"/>
      <c r="N38" s="136"/>
      <c r="O38" s="135"/>
      <c r="P38" s="178" t="n">
        <v>2.187</v>
      </c>
      <c r="Q38" s="134"/>
      <c r="R38" s="134"/>
      <c r="S38" s="179" t="n">
        <v>95.1869015467806</v>
      </c>
      <c r="T38" s="34" t="n">
        <v>0.013</v>
      </c>
      <c r="U38" s="34" t="n">
        <v>0.0127034623169282</v>
      </c>
      <c r="V38" s="134"/>
      <c r="W38" s="134"/>
      <c r="X38" s="34" t="n">
        <v>21.597</v>
      </c>
      <c r="Y38" s="34" t="n">
        <v>21.1043596660537</v>
      </c>
      <c r="Z38" s="34" t="n">
        <v>1.408</v>
      </c>
      <c r="AA38" s="34" t="n">
        <v>1.37588268786422</v>
      </c>
      <c r="AB38" s="34" t="n">
        <v>5.81</v>
      </c>
      <c r="AC38" s="34" t="n">
        <v>5.67747046625791</v>
      </c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9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36.0991</v>
      </c>
      <c r="H39" s="124" t="n">
        <v>75</v>
      </c>
      <c r="I39" s="124" t="n">
        <v>96</v>
      </c>
      <c r="J39" s="134"/>
      <c r="K39" s="135"/>
      <c r="L39" s="135"/>
      <c r="M39" s="135"/>
      <c r="N39" s="136"/>
      <c r="O39" s="135"/>
      <c r="P39" s="178" t="n">
        <v>3.535</v>
      </c>
      <c r="Q39" s="134"/>
      <c r="R39" s="134"/>
      <c r="S39" s="179" t="n">
        <v>153.924151225398</v>
      </c>
      <c r="T39" s="34" t="n">
        <v>0.038</v>
      </c>
      <c r="U39" s="34" t="n">
        <v>0.0371331975417901</v>
      </c>
      <c r="V39" s="134"/>
      <c r="W39" s="134"/>
      <c r="X39" s="34" t="n">
        <v>9.442</v>
      </c>
      <c r="Y39" s="34" t="n">
        <v>9.22662239972586</v>
      </c>
      <c r="Z39" s="34" t="n">
        <v>0.721</v>
      </c>
      <c r="AA39" s="34" t="n">
        <v>0.704553563885018</v>
      </c>
      <c r="AB39" s="34" t="n">
        <v>2.64</v>
      </c>
      <c r="AC39" s="34" t="n">
        <v>2.57978003974542</v>
      </c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30"/>
    </row>
    <row r="40" customFormat="false" ht="16.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36.1792</v>
      </c>
      <c r="H40" s="124" t="n">
        <v>60</v>
      </c>
      <c r="I40" s="124" t="n">
        <v>79</v>
      </c>
      <c r="J40" s="134"/>
      <c r="K40" s="135"/>
      <c r="L40" s="135"/>
      <c r="M40" s="135"/>
      <c r="N40" s="136"/>
      <c r="O40" s="135"/>
      <c r="P40" s="178" t="n">
        <v>3.632</v>
      </c>
      <c r="Q40" s="134"/>
      <c r="R40" s="134"/>
      <c r="S40" s="179" t="n">
        <v>158.175250858325</v>
      </c>
      <c r="T40" s="34" t="n">
        <v>0.093</v>
      </c>
      <c r="U40" s="34" t="n">
        <v>0.0908786150364864</v>
      </c>
      <c r="V40" s="134"/>
      <c r="W40" s="134"/>
      <c r="X40" s="34" t="n">
        <v>8.167</v>
      </c>
      <c r="Y40" s="34" t="n">
        <v>7.9807059032579</v>
      </c>
      <c r="Z40" s="34" t="n">
        <v>0.647</v>
      </c>
      <c r="AA40" s="34" t="n">
        <v>0.632241547619427</v>
      </c>
      <c r="AB40" s="34" t="n">
        <v>2.23</v>
      </c>
      <c r="AC40" s="34" t="n">
        <v>2.17913238205768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6.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36.2004</v>
      </c>
      <c r="H41" s="124" t="n">
        <v>40</v>
      </c>
      <c r="I41" s="124" t="n">
        <v>59</v>
      </c>
      <c r="J41" s="134"/>
      <c r="K41" s="135"/>
      <c r="L41" s="135"/>
      <c r="M41" s="135"/>
      <c r="N41" s="136"/>
      <c r="O41" s="135"/>
      <c r="P41" s="178" t="n">
        <v>3.643</v>
      </c>
      <c r="Q41" s="134"/>
      <c r="R41" s="134"/>
      <c r="S41" s="179" t="n">
        <v>158.658228452521</v>
      </c>
      <c r="T41" s="34" t="n">
        <v>0.08</v>
      </c>
      <c r="U41" s="34" t="n">
        <v>0.0781751527195582</v>
      </c>
      <c r="V41" s="134"/>
      <c r="W41" s="134"/>
      <c r="X41" s="34" t="n">
        <v>7.77</v>
      </c>
      <c r="Y41" s="34" t="n">
        <v>7.59276170788709</v>
      </c>
      <c r="Z41" s="34" t="n">
        <v>0.624</v>
      </c>
      <c r="AA41" s="34" t="n">
        <v>0.609766191212554</v>
      </c>
      <c r="AB41" s="34" t="n">
        <v>2.52</v>
      </c>
      <c r="AC41" s="34" t="n">
        <v>2.46251731066608</v>
      </c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30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33.661</v>
      </c>
      <c r="H42" s="124" t="n">
        <v>20</v>
      </c>
      <c r="I42" s="124" t="n">
        <v>19.6</v>
      </c>
      <c r="J42" s="134"/>
      <c r="K42" s="135"/>
      <c r="L42" s="135"/>
      <c r="M42" s="135"/>
      <c r="N42" s="136"/>
      <c r="O42" s="135"/>
      <c r="P42" s="178" t="n">
        <v>4.387</v>
      </c>
      <c r="Q42" s="134"/>
      <c r="R42" s="134"/>
      <c r="S42" s="179" t="n">
        <v>191.808632879777</v>
      </c>
      <c r="T42" s="34" t="n">
        <v>0</v>
      </c>
      <c r="U42" s="34" t="n">
        <v>0</v>
      </c>
      <c r="V42" s="134"/>
      <c r="W42" s="134"/>
      <c r="X42" s="34" t="n">
        <v>0.04</v>
      </c>
      <c r="Y42" s="34" t="n">
        <v>0.0390875763597791</v>
      </c>
      <c r="Z42" s="34" t="n">
        <v>0.003</v>
      </c>
      <c r="AA42" s="34" t="n">
        <v>0.00293156822698343</v>
      </c>
      <c r="AB42" s="34" t="n">
        <v>0.68</v>
      </c>
      <c r="AC42" s="34" t="n">
        <v>0.664488798116245</v>
      </c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30"/>
    </row>
    <row r="43" customFormat="false" ht="16.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33.6609</v>
      </c>
      <c r="H43" s="124" t="n">
        <v>10</v>
      </c>
      <c r="I43" s="124" t="n">
        <v>9</v>
      </c>
      <c r="J43" s="134"/>
      <c r="K43" s="135"/>
      <c r="L43" s="135"/>
      <c r="M43" s="135"/>
      <c r="N43" s="136"/>
      <c r="O43" s="135"/>
      <c r="P43" s="178" t="n">
        <v>4.388</v>
      </c>
      <c r="Q43" s="134"/>
      <c r="R43" s="134"/>
      <c r="S43" s="179" t="n">
        <v>191.8677707629</v>
      </c>
      <c r="T43" s="34" t="n">
        <v>0.012</v>
      </c>
      <c r="U43" s="34" t="n">
        <v>0.0117262729079337</v>
      </c>
      <c r="V43" s="134"/>
      <c r="W43" s="134"/>
      <c r="X43" s="34" t="n">
        <v>0.048</v>
      </c>
      <c r="Y43" s="34" t="n">
        <v>0.0469050916317349</v>
      </c>
      <c r="Z43" s="34" t="n">
        <v>0.00599999999999999</v>
      </c>
      <c r="AA43" s="34" t="n">
        <v>0.00586313645396686</v>
      </c>
      <c r="AB43" s="34" t="n">
        <v>0.55</v>
      </c>
      <c r="AC43" s="34" t="n">
        <v>0.537454174946963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6.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33.6621</v>
      </c>
      <c r="H44" s="124" t="n">
        <v>0</v>
      </c>
      <c r="I44" s="124" t="n">
        <v>0.8</v>
      </c>
      <c r="J44" s="134"/>
      <c r="K44" s="135"/>
      <c r="L44" s="135"/>
      <c r="M44" s="135"/>
      <c r="N44" s="136"/>
      <c r="O44" s="135"/>
      <c r="P44" s="178" t="n">
        <v>4.397</v>
      </c>
      <c r="Q44" s="134"/>
      <c r="R44" s="134"/>
      <c r="S44" s="179" t="n">
        <v>192.238480804077</v>
      </c>
      <c r="T44" s="34" t="n">
        <v>0.011</v>
      </c>
      <c r="U44" s="34" t="n">
        <v>0.0107490834989392</v>
      </c>
      <c r="V44" s="134"/>
      <c r="W44" s="134"/>
      <c r="X44" s="34" t="n">
        <v>0.039</v>
      </c>
      <c r="Y44" s="34" t="n">
        <v>0.0381103869507846</v>
      </c>
      <c r="Z44" s="34" t="n">
        <v>0</v>
      </c>
      <c r="AA44" s="34" t="n">
        <v>0</v>
      </c>
      <c r="AB44" s="34" t="n">
        <v>0.55</v>
      </c>
      <c r="AC44" s="34" t="n">
        <v>0.537454174946963</v>
      </c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30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7" t="s">
        <v>99</v>
      </c>
      <c r="H45" s="148" t="s">
        <v>99</v>
      </c>
      <c r="I45" s="148" t="s">
        <v>99</v>
      </c>
      <c r="J45" s="125"/>
      <c r="K45" s="135"/>
      <c r="L45" s="135"/>
      <c r="M45" s="135"/>
      <c r="N45" s="136"/>
      <c r="O45" s="135"/>
      <c r="P45" s="125"/>
      <c r="Q45" s="125"/>
      <c r="R45" s="125"/>
      <c r="S45" s="125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3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 t="str">
        <f aca="false">IF(ISBLANK(D55),"",IF(VLOOKUP(D55,#REF!,2)=0,"",IF(D55&gt;#REF!,"Mauvais numéro",IF(D55&lt;#REF!,"Mauvais numéro",(VLOOKUP(D55,#REF!,3))))))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6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7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 t="str">
        <f aca="false">IF(ISBLANK(D56),"",IF(VLOOKUP(D56,#REF!,2)=0,"",IF(D56&gt;#REF!,"Mauvais numéro",IF(D56&lt;#REF!,"Mauvais numéro",(VLOOKUP(D56,#REF!,3))))))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6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7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 t="str">
        <f aca="false">IF(ISBLANK(D57),"",IF(VLOOKUP(D57,#REF!,2)=0,"",IF(D57&gt;#REF!,"Mauvais numéro",IF(D57&lt;#REF!,"Mauvais numéro",(VLOOKUP(D57,#REF!,3))))))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6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7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IF(ISBLANK(D58),"",IF(VLOOKUP(D58,#REF!,2)=0,"",IF(D58&gt;#REF!,"Mauvais numéro",IF(D58&lt;#REF!,"Mauvais numéro",(VLOOKUP(D58,#REF!,3))))))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37778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n">
        <v>0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30.19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1°30,19</v>
      </c>
      <c r="P9" s="31" t="s">
        <v>13</v>
      </c>
      <c r="Q9" s="35" t="n">
        <f aca="false">IF(ISBLANK(I9),"",IF(ISBLANK(J9),"",IF(J9&gt;60,"ERREUR !!",O11*(I9+(J9/60)))))</f>
        <v>1.50316666666667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59.98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5°59,98</v>
      </c>
      <c r="P10" s="31" t="s">
        <v>14</v>
      </c>
      <c r="Q10" s="35" t="n">
        <f aca="false">IF(ISBLANK(I10),"",IF(ISBLANK(J10),"",IF(J10&gt;60,"ERREUR !!",O12*(I10+(J10/60)))))</f>
        <v>5.99966666666667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37778</v>
      </c>
      <c r="K11" s="40"/>
      <c r="L11" s="40"/>
      <c r="M11" s="40"/>
      <c r="N11" s="41" t="str">
        <f aca="false">I9&amp;"°"&amp;J9</f>
        <v>1°30,19</v>
      </c>
      <c r="O11" s="42" t="n">
        <f aca="false">IF(P9=M10,-1,1)</f>
        <v>1</v>
      </c>
      <c r="P11" s="43" t="str">
        <f aca="false">TEXT(J11,"aaaa-mm-jj")&amp;"T"&amp;TEXT(J12,"hh:mm:ss")&amp;"z"</f>
        <v>2007-06-07T14:00:00z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0.583333333333333</v>
      </c>
      <c r="K12" s="48"/>
      <c r="L12" s="48"/>
      <c r="M12" s="48"/>
      <c r="N12" s="49" t="str">
        <f aca="false">I10&amp;"°"&amp;J10</f>
        <v>5°59,98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4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4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4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4.4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1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34.6374</v>
      </c>
      <c r="H35" s="123" t="n">
        <v>500</v>
      </c>
      <c r="I35" s="124" t="n">
        <v>502</v>
      </c>
      <c r="J35" s="125"/>
      <c r="K35" s="126"/>
      <c r="L35" s="126"/>
      <c r="M35" s="126"/>
      <c r="N35" s="127"/>
      <c r="O35" s="126"/>
      <c r="P35" s="183" t="n">
        <v>2.348</v>
      </c>
      <c r="Q35" s="125"/>
      <c r="R35" s="125"/>
      <c r="S35" s="184" t="n">
        <v>102.1</v>
      </c>
      <c r="T35" s="34" t="n">
        <v>0.007</v>
      </c>
      <c r="U35" s="34" t="n">
        <v>0.00684032586296134</v>
      </c>
      <c r="V35" s="125"/>
      <c r="W35" s="125"/>
      <c r="X35" s="34" t="n">
        <v>35.843</v>
      </c>
      <c r="Y35" s="34" t="n">
        <v>35.0253999865891</v>
      </c>
      <c r="Z35" s="34" t="n">
        <v>2.247</v>
      </c>
      <c r="AA35" s="34" t="n">
        <v>2.19574460201059</v>
      </c>
      <c r="AB35" s="34" t="n">
        <v>13.17</v>
      </c>
      <c r="AC35" s="34" t="n">
        <v>12.8695845164573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34.9447</v>
      </c>
      <c r="H36" s="124" t="n">
        <v>300</v>
      </c>
      <c r="I36" s="124" t="n">
        <v>300</v>
      </c>
      <c r="J36" s="134"/>
      <c r="K36" s="135"/>
      <c r="L36" s="135"/>
      <c r="M36" s="135"/>
      <c r="N36" s="136"/>
      <c r="O36" s="135"/>
      <c r="P36" s="185" t="n">
        <v>1.342</v>
      </c>
      <c r="Q36" s="134"/>
      <c r="R36" s="134"/>
      <c r="S36" s="186" t="n">
        <v>58.4</v>
      </c>
      <c r="T36" s="34" t="n">
        <v>0.001</v>
      </c>
      <c r="U36" s="34" t="n">
        <v>0.000977189408994478</v>
      </c>
      <c r="V36" s="134"/>
      <c r="W36" s="134"/>
      <c r="X36" s="34" t="n">
        <v>34.059</v>
      </c>
      <c r="Y36" s="34" t="n">
        <v>33.2820940809429</v>
      </c>
      <c r="Z36" s="34" t="n">
        <v>2.061</v>
      </c>
      <c r="AA36" s="34" t="n">
        <v>2.01398737193762</v>
      </c>
      <c r="AB36" s="34" t="n">
        <v>9.44</v>
      </c>
      <c r="AC36" s="34" t="n">
        <v>9.22466802090787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36.0007</v>
      </c>
      <c r="H37" s="124" t="n">
        <v>100</v>
      </c>
      <c r="I37" s="124" t="n">
        <v>99</v>
      </c>
      <c r="J37" s="134"/>
      <c r="K37" s="135"/>
      <c r="L37" s="135"/>
      <c r="M37" s="135"/>
      <c r="N37" s="136"/>
      <c r="O37" s="135"/>
      <c r="P37" s="185" t="n">
        <v>3.501</v>
      </c>
      <c r="Q37" s="134"/>
      <c r="R37" s="134"/>
      <c r="S37" s="186" t="n">
        <v>152.4</v>
      </c>
      <c r="T37" s="34" t="n">
        <v>0.055</v>
      </c>
      <c r="U37" s="34" t="n">
        <v>0.0537454174946963</v>
      </c>
      <c r="V37" s="134"/>
      <c r="W37" s="134"/>
      <c r="X37" s="34" t="n">
        <v>10.475</v>
      </c>
      <c r="Y37" s="34" t="n">
        <v>10.2360590592172</v>
      </c>
      <c r="Z37" s="34" t="n">
        <v>0.781</v>
      </c>
      <c r="AA37" s="34" t="n">
        <v>0.763184928424687</v>
      </c>
      <c r="AB37" s="34" t="n">
        <v>2.25</v>
      </c>
      <c r="AC37" s="34" t="n">
        <v>2.19867617023757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6.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36.1064</v>
      </c>
      <c r="H38" s="124" t="n">
        <v>75</v>
      </c>
      <c r="I38" s="124" t="n">
        <v>79</v>
      </c>
      <c r="J38" s="134"/>
      <c r="K38" s="135"/>
      <c r="L38" s="135"/>
      <c r="M38" s="135"/>
      <c r="N38" s="136"/>
      <c r="O38" s="135"/>
      <c r="P38" s="185" t="n">
        <v>3.62</v>
      </c>
      <c r="Q38" s="134"/>
      <c r="R38" s="134"/>
      <c r="S38" s="186" t="n">
        <v>157.7</v>
      </c>
      <c r="T38" s="34" t="n">
        <v>0.245</v>
      </c>
      <c r="U38" s="34" t="n">
        <v>0.239411405203647</v>
      </c>
      <c r="V38" s="134"/>
      <c r="W38" s="134"/>
      <c r="X38" s="34" t="n">
        <v>8.905</v>
      </c>
      <c r="Y38" s="34" t="n">
        <v>8.70187168709582</v>
      </c>
      <c r="Z38" s="34" t="n">
        <v>0.693</v>
      </c>
      <c r="AA38" s="34" t="n">
        <v>0.677192260433173</v>
      </c>
      <c r="AB38" s="34" t="n">
        <v>1.97</v>
      </c>
      <c r="AC38" s="34" t="n">
        <v>1.92506313571912</v>
      </c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9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36.1892</v>
      </c>
      <c r="H39" s="124" t="n">
        <v>60</v>
      </c>
      <c r="I39" s="124" t="n">
        <v>60</v>
      </c>
      <c r="J39" s="134"/>
      <c r="K39" s="135"/>
      <c r="L39" s="135"/>
      <c r="M39" s="135"/>
      <c r="N39" s="136"/>
      <c r="O39" s="135"/>
      <c r="P39" s="185" t="n">
        <v>3.604</v>
      </c>
      <c r="Q39" s="134"/>
      <c r="R39" s="134"/>
      <c r="S39" s="186" t="n">
        <v>157</v>
      </c>
      <c r="T39" s="34" t="n">
        <v>0.18</v>
      </c>
      <c r="U39" s="34" t="n">
        <v>0.175894093619006</v>
      </c>
      <c r="V39" s="134"/>
      <c r="W39" s="134"/>
      <c r="X39" s="34" t="n">
        <v>7.81</v>
      </c>
      <c r="Y39" s="34" t="n">
        <v>7.63184928424687</v>
      </c>
      <c r="Z39" s="34" t="n">
        <v>0.642</v>
      </c>
      <c r="AA39" s="34" t="n">
        <v>0.627355600574454</v>
      </c>
      <c r="AB39" s="34" t="n">
        <v>1.88</v>
      </c>
      <c r="AC39" s="34" t="n">
        <v>1.83711608890962</v>
      </c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30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22" t="n">
        <v>36.268</v>
      </c>
      <c r="H40" s="124" t="n">
        <v>40</v>
      </c>
      <c r="I40" s="124" t="n">
        <v>40</v>
      </c>
      <c r="J40" s="134"/>
      <c r="K40" s="135"/>
      <c r="L40" s="135"/>
      <c r="M40" s="135"/>
      <c r="N40" s="136"/>
      <c r="O40" s="135"/>
      <c r="P40" s="185" t="n">
        <v>4.072</v>
      </c>
      <c r="Q40" s="134"/>
      <c r="R40" s="134"/>
      <c r="S40" s="186" t="n">
        <v>177.4</v>
      </c>
      <c r="T40" s="34" t="n">
        <v>0.037</v>
      </c>
      <c r="U40" s="34" t="n">
        <v>0.0361560081327957</v>
      </c>
      <c r="V40" s="134"/>
      <c r="W40" s="134"/>
      <c r="X40" s="34" t="n">
        <v>0.593</v>
      </c>
      <c r="Y40" s="34" t="n">
        <v>0.579473319533725</v>
      </c>
      <c r="Z40" s="34" t="n">
        <v>0.243</v>
      </c>
      <c r="AA40" s="34" t="n">
        <v>0.237457026385658</v>
      </c>
      <c r="AB40" s="34" t="n">
        <v>0.93</v>
      </c>
      <c r="AC40" s="34" t="n">
        <v>0.908786150364864</v>
      </c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9"/>
    </row>
    <row r="41" customFormat="false" ht="16.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36.248</v>
      </c>
      <c r="H41" s="124" t="n">
        <v>40</v>
      </c>
      <c r="I41" s="124" t="n">
        <v>40</v>
      </c>
      <c r="J41" s="134"/>
      <c r="K41" s="135"/>
      <c r="L41" s="135"/>
      <c r="M41" s="135"/>
      <c r="N41" s="136"/>
      <c r="O41" s="135"/>
      <c r="P41" s="185" t="n">
        <v>4.176</v>
      </c>
      <c r="Q41" s="134"/>
      <c r="R41" s="134"/>
      <c r="S41" s="186" t="n">
        <v>182</v>
      </c>
      <c r="T41" s="34" t="n">
        <v>0.078</v>
      </c>
      <c r="U41" s="34" t="n">
        <v>0.0762207739015692</v>
      </c>
      <c r="V41" s="134"/>
      <c r="W41" s="134"/>
      <c r="X41" s="34" t="n">
        <v>1.732</v>
      </c>
      <c r="Y41" s="34" t="n">
        <v>1.69249205637844</v>
      </c>
      <c r="Z41" s="34" t="n">
        <v>0.31</v>
      </c>
      <c r="AA41" s="34" t="n">
        <v>0.302928716788288</v>
      </c>
      <c r="AB41" s="34" t="n">
        <v>1.04</v>
      </c>
      <c r="AC41" s="34" t="n">
        <v>1.01627698535426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34.4308</v>
      </c>
      <c r="H42" s="124" t="n">
        <v>20</v>
      </c>
      <c r="I42" s="124" t="n">
        <v>20</v>
      </c>
      <c r="J42" s="134"/>
      <c r="K42" s="135"/>
      <c r="L42" s="135"/>
      <c r="M42" s="135"/>
      <c r="N42" s="136"/>
      <c r="O42" s="135"/>
      <c r="P42" s="185" t="n">
        <v>4.419</v>
      </c>
      <c r="Q42" s="134"/>
      <c r="R42" s="134"/>
      <c r="S42" s="186" t="n">
        <v>193.1</v>
      </c>
      <c r="T42" s="34" t="n">
        <v>0.005</v>
      </c>
      <c r="U42" s="34" t="n">
        <v>0.00488594704497238</v>
      </c>
      <c r="V42" s="134"/>
      <c r="W42" s="134"/>
      <c r="X42" s="34" t="n">
        <v>0.055</v>
      </c>
      <c r="Y42" s="34" t="n">
        <v>0.0537454174946963</v>
      </c>
      <c r="Z42" s="34" t="n">
        <v>0.019</v>
      </c>
      <c r="AA42" s="34" t="n">
        <v>0.0185665987708951</v>
      </c>
      <c r="AB42" s="34" t="n">
        <v>0.4</v>
      </c>
      <c r="AC42" s="34" t="n">
        <v>0.390875763597791</v>
      </c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30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33.3978</v>
      </c>
      <c r="H43" s="124" t="n">
        <v>10</v>
      </c>
      <c r="I43" s="124" t="n">
        <v>10</v>
      </c>
      <c r="J43" s="134"/>
      <c r="K43" s="135"/>
      <c r="L43" s="135"/>
      <c r="M43" s="135"/>
      <c r="N43" s="136"/>
      <c r="O43" s="135"/>
      <c r="P43" s="185" t="n">
        <v>4.408</v>
      </c>
      <c r="Q43" s="134"/>
      <c r="R43" s="134"/>
      <c r="S43" s="186" t="n">
        <v>192.8</v>
      </c>
      <c r="T43" s="34" t="n">
        <v>0.008</v>
      </c>
      <c r="U43" s="34" t="n">
        <v>0.00781751527195582</v>
      </c>
      <c r="V43" s="134"/>
      <c r="W43" s="134"/>
      <c r="X43" s="34" t="n">
        <v>0.062</v>
      </c>
      <c r="Y43" s="34" t="n">
        <v>0.0605857433576576</v>
      </c>
      <c r="Z43" s="34" t="n">
        <v>0.00599999999999999</v>
      </c>
      <c r="AA43" s="34" t="n">
        <v>0.00586313645396686</v>
      </c>
      <c r="AB43" s="34" t="n">
        <v>0.57</v>
      </c>
      <c r="AC43" s="34" t="n">
        <v>0.556997963126852</v>
      </c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9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33.3982</v>
      </c>
      <c r="H44" s="124" t="n">
        <v>0</v>
      </c>
      <c r="I44" s="124" t="n">
        <v>1</v>
      </c>
      <c r="J44" s="134"/>
      <c r="K44" s="135"/>
      <c r="L44" s="135"/>
      <c r="M44" s="135"/>
      <c r="N44" s="136"/>
      <c r="O44" s="135"/>
      <c r="P44" s="185" t="n">
        <v>4.415</v>
      </c>
      <c r="Q44" s="134"/>
      <c r="R44" s="134"/>
      <c r="S44" s="186" t="n">
        <v>193.1</v>
      </c>
      <c r="T44" s="34" t="n">
        <v>0.003</v>
      </c>
      <c r="U44" s="34" t="n">
        <v>0.00293156822698343</v>
      </c>
      <c r="V44" s="134"/>
      <c r="W44" s="134"/>
      <c r="X44" s="34" t="n">
        <v>0.047</v>
      </c>
      <c r="Y44" s="34" t="n">
        <v>0.0459279022227404</v>
      </c>
      <c r="Z44" s="34" t="n">
        <v>0.025</v>
      </c>
      <c r="AA44" s="34" t="n">
        <v>0.0244297352248619</v>
      </c>
      <c r="AB44" s="34" t="n">
        <v>0.55</v>
      </c>
      <c r="AC44" s="34" t="n">
        <v>0.537454174946963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7" t="s">
        <v>99</v>
      </c>
      <c r="H45" s="124" t="s">
        <v>99</v>
      </c>
      <c r="I45" s="148" t="s">
        <v>99</v>
      </c>
      <c r="J45" s="134"/>
      <c r="K45" s="135"/>
      <c r="L45" s="135"/>
      <c r="M45" s="135"/>
      <c r="N45" s="136"/>
      <c r="O45" s="135"/>
      <c r="P45" s="185" t="s">
        <v>99</v>
      </c>
      <c r="Q45" s="134"/>
      <c r="R45" s="134"/>
      <c r="S45" s="187" t="s">
        <v>99</v>
      </c>
      <c r="T45" s="134"/>
      <c r="U45" s="134"/>
      <c r="V45" s="34"/>
      <c r="W45" s="34"/>
      <c r="X45" s="134"/>
      <c r="Y45" s="134"/>
      <c r="Z45" s="134"/>
      <c r="AA45" s="134"/>
      <c r="AB45" s="134"/>
      <c r="AC45" s="134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6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 t="str">
        <f aca="false">IF(ISBLANK(D46),"",IF(VLOOKUP(D46,#REF!,2)=0,"",IF(D46&gt;#REF!,"Mauvais numéro",IF(D46&lt;#REF!,"Mauvais numéro",(VLOOKUP(D46,#REF!,3))))))</f>
        <v/>
      </c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56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7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3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6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 t="str">
        <f aca="false">IF(ISBLANK(D47),"",IF(VLOOKUP(D47,#REF!,2)=0,"",IF(D47&gt;#REF!,"Mauvais numéro",IF(D47&lt;#REF!,"Mauvais numéro",(VLOOKUP(D47,#REF!,3))))))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62"/>
      <c r="Q47" s="157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2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6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 t="str">
        <f aca="false">IF(ISBLANK(D48),"",IF(VLOOKUP(D48,#REF!,2)=0,"",IF(D48&gt;#REF!,"Mauvais numéro",IF(D48&lt;#REF!,"Mauvais numéro",(VLOOKUP(D48,#REF!,3))))))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62"/>
      <c r="Q48" s="157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2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6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 t="str">
        <f aca="false">IF(ISBLANK(D49),"",IF(VLOOKUP(D49,#REF!,2)=0,"",IF(D49&gt;#REF!,"Mauvais numéro",IF(D49&lt;#REF!,"Mauvais numéro",(VLOOKUP(D49,#REF!,3))))))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6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7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6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 t="str">
        <f aca="false">IF(ISBLANK(D50),"",IF(VLOOKUP(D50,#REF!,2)=0,"",IF(D50&gt;#REF!,"Mauvais numéro",IF(D50&lt;#REF!,"Mauvais numéro",(VLOOKUP(D50,#REF!,3))))))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6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7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 t="str">
        <f aca="false">IF(ISBLANK(D51),"",IF(VLOOKUP(D51,#REF!,2)=0,"",IF(D51&gt;#REF!,"Mauvais numéro",IF(D51&lt;#REF!,"Mauvais numéro",(VLOOKUP(D51,#REF!,3))))))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6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7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 t="str">
        <f aca="false">IF(ISBLANK(D52),"",IF(VLOOKUP(D52,#REF!,2)=0,"",IF(D52&gt;#REF!,"Mauvais numéro",IF(D52&lt;#REF!,"Mauvais numéro",(VLOOKUP(D52,#REF!,3))))))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6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7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 t="str">
        <f aca="false">IF(ISBLANK(D53),"",IF(VLOOKUP(D53,#REF!,2)=0,"",IF(D53&gt;#REF!,"Mauvais numéro",IF(D53&lt;#REF!,"Mauvais numéro",(VLOOKUP(D53,#REF!,3))))))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6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7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 t="str">
        <f aca="false">IF(ISBLANK(D54),"",IF(VLOOKUP(D54,#REF!,2)=0,"",IF(D54&gt;#REF!,"Mauvais numéro",IF(D54&lt;#REF!,"Mauvais numéro",(VLOOKUP(D54,#REF!,3))))))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6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7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 t="str">
        <f aca="false">IF(ISBLANK(D55),"",IF(VLOOKUP(D55,#REF!,2)=0,"",IF(D55&gt;#REF!,"Mauvais numéro",IF(D55&lt;#REF!,"Mauvais numéro",(VLOOKUP(D55,#REF!,3))))))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6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7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 t="str">
        <f aca="false">IF(ISBLANK(D56),"",IF(VLOOKUP(D56,#REF!,2)=0,"",IF(D56&gt;#REF!,"Mauvais numéro",IF(D56&lt;#REF!,"Mauvais numéro",(VLOOKUP(D56,#REF!,3))))))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6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7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 t="str">
        <f aca="false">IF(ISBLANK(D57),"",IF(VLOOKUP(D57,#REF!,2)=0,"",IF(D57&gt;#REF!,"Mauvais numéro",IF(D57&lt;#REF!,"Mauvais numéro",(VLOOKUP(D57,#REF!,3))))))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6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7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IF(ISBLANK(D58),"",IF(VLOOKUP(D58,#REF!,2)=0,"",IF(D58&gt;#REF!,"Mauvais numéro",IF(D58&lt;#REF!,"Mauvais numéro",(VLOOKUP(D58,#REF!,3))))))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59.96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0°59,96</v>
      </c>
      <c r="P9" s="31" t="s">
        <v>13</v>
      </c>
      <c r="Q9" s="35" t="n">
        <f aca="false">IF(ISBLANK(I9),"",IF(ISBLANK(J9),"",IF(J9&gt;60,"ERREUR !!",O11*(I9+(J9/60)))))</f>
        <v>0.999333333333333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0.16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6°0,16</v>
      </c>
      <c r="P10" s="31" t="s">
        <v>14</v>
      </c>
      <c r="Q10" s="35" t="n">
        <f aca="false">IF(ISBLANK(I10),"",IF(ISBLANK(J10),"",IF(J10&gt;60,"ERREUR !!",O12*(I10+(J10/60)))))</f>
        <v>6.00266666666667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37778</v>
      </c>
      <c r="K11" s="40"/>
      <c r="L11" s="40"/>
      <c r="M11" s="40"/>
      <c r="N11" s="41" t="str">
        <f aca="false">I9&amp;"°"&amp;J9</f>
        <v>0°59,96</v>
      </c>
      <c r="O11" s="42" t="n">
        <f aca="false">IF(P9=M10,-1,1)</f>
        <v>1</v>
      </c>
      <c r="P11" s="43" t="str">
        <f aca="false">TEXT(J11,"aaaa-mm-jj")&amp;"T"&amp;TEXT(J12,"hh:mm:ss")&amp;"z"</f>
        <v>2007-06-07T19:30:00z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0.8125</v>
      </c>
      <c r="K12" s="48"/>
      <c r="L12" s="48"/>
      <c r="M12" s="48"/>
      <c r="N12" s="49" t="str">
        <f aca="false">I10&amp;"°"&amp;J10</f>
        <v>6°0,16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4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4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4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4.4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1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34.6766</v>
      </c>
      <c r="H35" s="123" t="n">
        <v>500</v>
      </c>
      <c r="I35" s="124" t="n">
        <v>501</v>
      </c>
      <c r="J35" s="125"/>
      <c r="K35" s="126"/>
      <c r="L35" s="126"/>
      <c r="M35" s="126"/>
      <c r="N35" s="127"/>
      <c r="O35" s="126"/>
      <c r="P35" s="188" t="n">
        <v>2.06</v>
      </c>
      <c r="Q35" s="125"/>
      <c r="R35" s="125"/>
      <c r="S35" s="184" t="n">
        <v>89.6</v>
      </c>
      <c r="T35" s="34" t="n">
        <v>0</v>
      </c>
      <c r="U35" s="34" t="n">
        <v>0</v>
      </c>
      <c r="V35" s="125"/>
      <c r="W35" s="125"/>
      <c r="X35" s="34" t="n">
        <v>36.41</v>
      </c>
      <c r="Y35" s="34" t="n">
        <v>35.5794663814889</v>
      </c>
      <c r="Z35" s="34" t="n">
        <v>2.272</v>
      </c>
      <c r="AA35" s="34" t="n">
        <v>2.22017433723545</v>
      </c>
      <c r="AB35" s="34" t="n">
        <v>20.84</v>
      </c>
      <c r="AC35" s="34" t="n">
        <v>20.3646272834449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34.9404</v>
      </c>
      <c r="H36" s="124" t="n">
        <v>300</v>
      </c>
      <c r="I36" s="124" t="n">
        <v>302</v>
      </c>
      <c r="J36" s="134"/>
      <c r="K36" s="135"/>
      <c r="L36" s="135"/>
      <c r="M36" s="135"/>
      <c r="N36" s="136"/>
      <c r="O36" s="135"/>
      <c r="P36" s="188" t="n">
        <v>1.335</v>
      </c>
      <c r="Q36" s="134"/>
      <c r="R36" s="134"/>
      <c r="S36" s="186" t="n">
        <v>58.1</v>
      </c>
      <c r="T36" s="34" t="n">
        <v>0.001</v>
      </c>
      <c r="U36" s="34" t="n">
        <v>0.000977189408994478</v>
      </c>
      <c r="V36" s="134"/>
      <c r="W36" s="134"/>
      <c r="X36" s="34" t="n">
        <v>34.239</v>
      </c>
      <c r="Y36" s="34" t="n">
        <v>33.4579881745619</v>
      </c>
      <c r="Z36" s="34" t="n">
        <v>2.081</v>
      </c>
      <c r="AA36" s="34" t="n">
        <v>2.03353116011751</v>
      </c>
      <c r="AB36" s="34" t="n">
        <v>15.3</v>
      </c>
      <c r="AC36" s="34" t="n">
        <v>14.9509979576155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82" t="n">
        <v>35.9327</v>
      </c>
      <c r="H37" s="124" t="n">
        <v>100</v>
      </c>
      <c r="I37" s="124" t="n">
        <v>100</v>
      </c>
      <c r="J37" s="134"/>
      <c r="K37" s="135"/>
      <c r="L37" s="135"/>
      <c r="M37" s="135"/>
      <c r="N37" s="136"/>
      <c r="O37" s="135"/>
      <c r="P37" s="188" t="n">
        <v>3.478</v>
      </c>
      <c r="Q37" s="134"/>
      <c r="R37" s="134"/>
      <c r="S37" s="186" t="n">
        <v>151.4</v>
      </c>
      <c r="T37" s="34" t="n">
        <v>0.049</v>
      </c>
      <c r="U37" s="34" t="n">
        <v>0.0478822810407294</v>
      </c>
      <c r="V37" s="134"/>
      <c r="W37" s="134"/>
      <c r="X37" s="34" t="n">
        <v>11.311</v>
      </c>
      <c r="Y37" s="34" t="n">
        <v>11.0529894051365</v>
      </c>
      <c r="Z37" s="34" t="n">
        <v>0.837</v>
      </c>
      <c r="AA37" s="34" t="n">
        <v>0.817907535328378</v>
      </c>
      <c r="AB37" s="34" t="n">
        <v>4</v>
      </c>
      <c r="AC37" s="34" t="n">
        <v>3.90875763597791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6.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22" t="n">
        <v>35.9377</v>
      </c>
      <c r="H38" s="124" t="n">
        <v>100</v>
      </c>
      <c r="I38" s="124" t="n">
        <v>100</v>
      </c>
      <c r="J38" s="134"/>
      <c r="K38" s="135"/>
      <c r="L38" s="135"/>
      <c r="M38" s="135"/>
      <c r="N38" s="136"/>
      <c r="O38" s="135"/>
      <c r="P38" s="188" t="n">
        <v>3.484</v>
      </c>
      <c r="Q38" s="134"/>
      <c r="R38" s="134"/>
      <c r="S38" s="186" t="n">
        <v>151.7</v>
      </c>
      <c r="T38" s="34" t="n">
        <v>0.042</v>
      </c>
      <c r="U38" s="34" t="n">
        <v>0.0410419551777681</v>
      </c>
      <c r="V38" s="134"/>
      <c r="W38" s="134"/>
      <c r="X38" s="34" t="n">
        <v>11.328</v>
      </c>
      <c r="Y38" s="34" t="n">
        <v>11.0696016250894</v>
      </c>
      <c r="Z38" s="34" t="n">
        <v>0.836</v>
      </c>
      <c r="AA38" s="34" t="n">
        <v>0.816930345919383</v>
      </c>
      <c r="AB38" s="34" t="n">
        <v>4.03</v>
      </c>
      <c r="AC38" s="34" t="n">
        <v>3.93807331824774</v>
      </c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9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35.9938</v>
      </c>
      <c r="H39" s="124" t="n">
        <v>80</v>
      </c>
      <c r="I39" s="124" t="n">
        <v>80</v>
      </c>
      <c r="J39" s="134"/>
      <c r="K39" s="135"/>
      <c r="L39" s="135"/>
      <c r="M39" s="135"/>
      <c r="N39" s="136"/>
      <c r="O39" s="135"/>
      <c r="P39" s="188" t="n">
        <v>3.492</v>
      </c>
      <c r="Q39" s="134"/>
      <c r="R39" s="134"/>
      <c r="S39" s="186" t="n">
        <v>152.1</v>
      </c>
      <c r="T39" s="34" t="n">
        <v>0.117</v>
      </c>
      <c r="U39" s="34" t="n">
        <v>0.114331160852354</v>
      </c>
      <c r="V39" s="134"/>
      <c r="W39" s="134"/>
      <c r="X39" s="34" t="n">
        <v>10.523</v>
      </c>
      <c r="Y39" s="34" t="n">
        <v>10.2829641508489</v>
      </c>
      <c r="Z39" s="34" t="n">
        <v>0.811</v>
      </c>
      <c r="AA39" s="34" t="n">
        <v>0.792500610694521</v>
      </c>
      <c r="AB39" s="34" t="n">
        <v>3.72</v>
      </c>
      <c r="AC39" s="34" t="n">
        <v>3.63514460145946</v>
      </c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30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36.225</v>
      </c>
      <c r="H40" s="124" t="n">
        <v>60</v>
      </c>
      <c r="I40" s="124" t="n">
        <v>60</v>
      </c>
      <c r="J40" s="134"/>
      <c r="K40" s="135"/>
      <c r="L40" s="135"/>
      <c r="M40" s="135"/>
      <c r="N40" s="136"/>
      <c r="O40" s="135"/>
      <c r="P40" s="188" t="n">
        <v>3.869</v>
      </c>
      <c r="Q40" s="134"/>
      <c r="R40" s="134"/>
      <c r="S40" s="186" t="n">
        <v>168.5</v>
      </c>
      <c r="T40" s="34" t="n">
        <v>0.371</v>
      </c>
      <c r="U40" s="34" t="n">
        <v>0.362537270736951</v>
      </c>
      <c r="V40" s="134"/>
      <c r="W40" s="134"/>
      <c r="X40" s="34" t="n">
        <v>5.909</v>
      </c>
      <c r="Y40" s="34" t="n">
        <v>5.77421221774837</v>
      </c>
      <c r="Z40" s="34" t="n">
        <v>0.552</v>
      </c>
      <c r="AA40" s="34" t="n">
        <v>0.539408553764952</v>
      </c>
      <c r="AB40" s="34" t="n">
        <v>2.66</v>
      </c>
      <c r="AC40" s="34" t="n">
        <v>2.59932382792531</v>
      </c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9"/>
    </row>
    <row r="41" customFormat="false" ht="16.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36.273</v>
      </c>
      <c r="H41" s="124" t="n">
        <v>40</v>
      </c>
      <c r="I41" s="189" t="n">
        <v>40</v>
      </c>
      <c r="J41" s="134"/>
      <c r="K41" s="135"/>
      <c r="L41" s="135"/>
      <c r="M41" s="135"/>
      <c r="N41" s="136"/>
      <c r="O41" s="135"/>
      <c r="P41" s="188" t="n">
        <v>4.122</v>
      </c>
      <c r="Q41" s="134"/>
      <c r="R41" s="134"/>
      <c r="S41" s="186" t="n">
        <v>179.6</v>
      </c>
      <c r="T41" s="34" t="n">
        <v>0.126</v>
      </c>
      <c r="U41" s="34" t="n">
        <v>0.123125865533304</v>
      </c>
      <c r="V41" s="134"/>
      <c r="W41" s="134"/>
      <c r="X41" s="34" t="n">
        <v>1.504</v>
      </c>
      <c r="Y41" s="34" t="n">
        <v>1.46969287112769</v>
      </c>
      <c r="Z41" s="34" t="n">
        <v>0.299</v>
      </c>
      <c r="AA41" s="34" t="n">
        <v>0.292179633289349</v>
      </c>
      <c r="AB41" s="34" t="n">
        <v>1.85</v>
      </c>
      <c r="AC41" s="34" t="n">
        <v>1.80780040663978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33.5605</v>
      </c>
      <c r="H42" s="124" t="n">
        <v>20</v>
      </c>
      <c r="I42" s="124" t="n">
        <v>21</v>
      </c>
      <c r="J42" s="134"/>
      <c r="K42" s="135"/>
      <c r="L42" s="135"/>
      <c r="M42" s="135"/>
      <c r="N42" s="136"/>
      <c r="O42" s="135"/>
      <c r="P42" s="188" t="n">
        <v>4.47</v>
      </c>
      <c r="Q42" s="134"/>
      <c r="R42" s="134"/>
      <c r="S42" s="186" t="n">
        <v>195.4</v>
      </c>
      <c r="T42" s="34" t="n">
        <v>0.004</v>
      </c>
      <c r="U42" s="34" t="n">
        <v>0.00390875763597791</v>
      </c>
      <c r="V42" s="134"/>
      <c r="W42" s="134"/>
      <c r="X42" s="34" t="n">
        <v>0.016</v>
      </c>
      <c r="Y42" s="34" t="n">
        <v>0.0156350305439116</v>
      </c>
      <c r="Z42" s="34" t="n">
        <v>0.023</v>
      </c>
      <c r="AA42" s="34" t="n">
        <v>0.022475356406873</v>
      </c>
      <c r="AB42" s="34" t="n">
        <v>1.12</v>
      </c>
      <c r="AC42" s="34" t="n">
        <v>1.09445213807381</v>
      </c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30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33.5037</v>
      </c>
      <c r="H43" s="124" t="n">
        <v>10</v>
      </c>
      <c r="I43" s="124" t="n">
        <v>10</v>
      </c>
      <c r="J43" s="134"/>
      <c r="K43" s="135"/>
      <c r="L43" s="135"/>
      <c r="M43" s="135"/>
      <c r="N43" s="136"/>
      <c r="O43" s="135"/>
      <c r="P43" s="188" t="n">
        <v>4.481</v>
      </c>
      <c r="Q43" s="134"/>
      <c r="R43" s="134"/>
      <c r="S43" s="186" t="n">
        <v>195.9</v>
      </c>
      <c r="T43" s="34" t="n">
        <v>0</v>
      </c>
      <c r="U43" s="34" t="n">
        <v>0</v>
      </c>
      <c r="V43" s="134"/>
      <c r="W43" s="134"/>
      <c r="X43" s="34" t="n">
        <v>0.01</v>
      </c>
      <c r="Y43" s="34" t="n">
        <v>0.00977189408994477</v>
      </c>
      <c r="Z43" s="34" t="n">
        <v>0.019</v>
      </c>
      <c r="AA43" s="34" t="n">
        <v>0.0185665987708951</v>
      </c>
      <c r="AB43" s="34" t="n">
        <v>1.07</v>
      </c>
      <c r="AC43" s="34" t="n">
        <v>1.04559266762409</v>
      </c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9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7" t="s">
        <v>99</v>
      </c>
      <c r="H44" s="124" t="s">
        <v>99</v>
      </c>
      <c r="I44" s="148" t="s">
        <v>99</v>
      </c>
      <c r="J44" s="134"/>
      <c r="K44" s="135"/>
      <c r="L44" s="135"/>
      <c r="M44" s="135"/>
      <c r="N44" s="136"/>
      <c r="O44" s="135"/>
      <c r="P44" s="178" t="s">
        <v>99</v>
      </c>
      <c r="Q44" s="134"/>
      <c r="R44" s="134"/>
      <c r="S44" s="178" t="s">
        <v>99</v>
      </c>
      <c r="T44" s="134"/>
      <c r="U44" s="134"/>
      <c r="V44" s="34"/>
      <c r="W44" s="34"/>
      <c r="X44" s="134"/>
      <c r="Y44" s="134"/>
      <c r="Z44" s="134"/>
      <c r="AA44" s="134"/>
      <c r="AB44" s="134"/>
      <c r="AC44" s="134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7" t="s">
        <v>99</v>
      </c>
      <c r="H45" s="148" t="s">
        <v>99</v>
      </c>
      <c r="I45" s="148" t="s">
        <v>99</v>
      </c>
      <c r="J45" s="134"/>
      <c r="K45" s="135"/>
      <c r="L45" s="135"/>
      <c r="M45" s="135"/>
      <c r="N45" s="136"/>
      <c r="O45" s="135"/>
      <c r="P45" s="178" t="s">
        <v>99</v>
      </c>
      <c r="Q45" s="134"/>
      <c r="R45" s="134"/>
      <c r="S45" s="178" t="s">
        <v>99</v>
      </c>
      <c r="T45" s="134"/>
      <c r="U45" s="134"/>
      <c r="V45" s="34"/>
      <c r="W45" s="34"/>
      <c r="X45" s="134"/>
      <c r="Y45" s="134"/>
      <c r="Z45" s="134"/>
      <c r="AA45" s="134"/>
      <c r="AB45" s="134"/>
      <c r="AC45" s="134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6.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 t="str">
        <f aca="false">IF(ISBLANK(D46),"",IF(VLOOKUP(D46,#REF!,2)=0,"",IF(D46&gt;#REF!,"Mauvais numéro",IF(D46&lt;#REF!,"Mauvais numéro",(VLOOKUP(D46,#REF!,3))))))</f>
        <v/>
      </c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56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7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8"/>
      <c r="U46" s="138"/>
      <c r="V46" s="138"/>
      <c r="W46" s="138"/>
      <c r="X46" s="176"/>
      <c r="Y46" s="176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6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 t="str">
        <f aca="false">IF(ISBLANK(D47),"",IF(VLOOKUP(D47,#REF!,2)=0,"",IF(D47&gt;#REF!,"Mauvais numéro",IF(D47&lt;#REF!,"Mauvais numéro",(VLOOKUP(D47,#REF!,3))))))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62"/>
      <c r="Q47" s="157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2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6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 t="str">
        <f aca="false">IF(ISBLANK(D48),"",IF(VLOOKUP(D48,#REF!,2)=0,"",IF(D48&gt;#REF!,"Mauvais numéro",IF(D48&lt;#REF!,"Mauvais numéro",(VLOOKUP(D48,#REF!,3))))))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62"/>
      <c r="Q48" s="157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2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6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 t="str">
        <f aca="false">IF(ISBLANK(D49),"",IF(VLOOKUP(D49,#REF!,2)=0,"",IF(D49&gt;#REF!,"Mauvais numéro",IF(D49&lt;#REF!,"Mauvais numéro",(VLOOKUP(D49,#REF!,3))))))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6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7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6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 t="str">
        <f aca="false">IF(ISBLANK(D50),"",IF(VLOOKUP(D50,#REF!,2)=0,"",IF(D50&gt;#REF!,"Mauvais numéro",IF(D50&lt;#REF!,"Mauvais numéro",(VLOOKUP(D50,#REF!,3))))))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6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7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 t="str">
        <f aca="false">IF(ISBLANK(D51),"",IF(VLOOKUP(D51,#REF!,2)=0,"",IF(D51&gt;#REF!,"Mauvais numéro",IF(D51&lt;#REF!,"Mauvais numéro",(VLOOKUP(D51,#REF!,3))))))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6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7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 t="str">
        <f aca="false">IF(ISBLANK(D52),"",IF(VLOOKUP(D52,#REF!,2)=0,"",IF(D52&gt;#REF!,"Mauvais numéro",IF(D52&lt;#REF!,"Mauvais numéro",(VLOOKUP(D52,#REF!,3))))))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6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7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 t="str">
        <f aca="false">IF(ISBLANK(D53),"",IF(VLOOKUP(D53,#REF!,2)=0,"",IF(D53&gt;#REF!,"Mauvais numéro",IF(D53&lt;#REF!,"Mauvais numéro",(VLOOKUP(D53,#REF!,3))))))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6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7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 t="str">
        <f aca="false">IF(ISBLANK(D54),"",IF(VLOOKUP(D54,#REF!,2)=0,"",IF(D54&gt;#REF!,"Mauvais numéro",IF(D54&lt;#REF!,"Mauvais numéro",(VLOOKUP(D54,#REF!,3))))))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6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7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 t="str">
        <f aca="false">IF(ISBLANK(D55),"",IF(VLOOKUP(D55,#REF!,2)=0,"",IF(D55&gt;#REF!,"Mauvais numéro",IF(D55&lt;#REF!,"Mauvais numéro",(VLOOKUP(D55,#REF!,3))))))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6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7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 t="str">
        <f aca="false">IF(ISBLANK(D56),"",IF(VLOOKUP(D56,#REF!,2)=0,"",IF(D56&gt;#REF!,"Mauvais numéro",IF(D56&lt;#REF!,"Mauvais numéro",(VLOOKUP(D56,#REF!,3))))))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6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7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 t="str">
        <f aca="false">IF(ISBLANK(D57),"",IF(VLOOKUP(D57,#REF!,2)=0,"",IF(D57&gt;#REF!,"Mauvais numéro",IF(D57&lt;#REF!,"Mauvais numéro",(VLOOKUP(D57,#REF!,3))))))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6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7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IF(ISBLANK(D58),"",IF(VLOOKUP(D58,#REF!,2)=0,"",IF(D58&gt;#REF!,"Mauvais numéro",IF(D58&lt;#REF!,"Mauvais numéro",(VLOOKUP(D58,#REF!,3))))))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29.84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0°29,84</v>
      </c>
      <c r="P9" s="31" t="s">
        <v>13</v>
      </c>
      <c r="Q9" s="35" t="n">
        <f aca="false">IF(ISBLANK(I9),"",IF(ISBLANK(J9),"",IF(J9&gt;60,"ERREUR !!",O11*(I9+(J9/60)))))</f>
        <v>0.497333333333333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59.9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5°59,9</v>
      </c>
      <c r="P10" s="31" t="s">
        <v>14</v>
      </c>
      <c r="Q10" s="35" t="n">
        <f aca="false">IF(ISBLANK(I10),"",IF(ISBLANK(J10),"",IF(J10&gt;60,"ERREUR !!",O12*(I10+(J10/60)))))</f>
        <v>5.99833333333333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37779</v>
      </c>
      <c r="K11" s="40"/>
      <c r="L11" s="40"/>
      <c r="M11" s="40"/>
      <c r="N11" s="41" t="str">
        <f aca="false">I9&amp;"°"&amp;J9</f>
        <v>0°29,84</v>
      </c>
      <c r="O11" s="42" t="n">
        <f aca="false">IF(P9=M10,-1,1)</f>
        <v>1</v>
      </c>
      <c r="P11" s="43" t="str">
        <f aca="false">TEXT(J11,"aaaa-mm-jj")&amp;"T"&amp;TEXT(J12,"hh:mm:ss")&amp;"z"</f>
        <v>2007-06-08T00:45:00z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0.03125</v>
      </c>
      <c r="K12" s="48"/>
      <c r="L12" s="48"/>
      <c r="M12" s="48"/>
      <c r="N12" s="49" t="str">
        <f aca="false">I10&amp;"°"&amp;J10</f>
        <v>5°59,9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4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4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4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4.4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1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34.6515</v>
      </c>
      <c r="H35" s="123" t="n">
        <v>500</v>
      </c>
      <c r="I35" s="124" t="n">
        <v>502</v>
      </c>
      <c r="J35" s="125"/>
      <c r="K35" s="126"/>
      <c r="L35" s="126"/>
      <c r="M35" s="126"/>
      <c r="N35" s="127"/>
      <c r="O35" s="126"/>
      <c r="P35" s="178" t="n">
        <v>2.201</v>
      </c>
      <c r="Q35" s="125"/>
      <c r="R35" s="125"/>
      <c r="S35" s="184" t="n">
        <v>95.7</v>
      </c>
      <c r="T35" s="34" t="n">
        <v>0</v>
      </c>
      <c r="U35" s="34" t="n">
        <v>0</v>
      </c>
      <c r="V35" s="34" t="s">
        <v>99</v>
      </c>
      <c r="W35" s="34" t="s">
        <v>99</v>
      </c>
      <c r="X35" s="34" t="n">
        <v>36.07</v>
      </c>
      <c r="Y35" s="34" t="n">
        <v>35.2472219824308</v>
      </c>
      <c r="Z35" s="34" t="n">
        <v>2.277</v>
      </c>
      <c r="AA35" s="34" t="n">
        <v>2.22506028428042</v>
      </c>
      <c r="AB35" s="34" t="n">
        <v>21.38</v>
      </c>
      <c r="AC35" s="34" t="n">
        <v>20.8923095643019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34.9579</v>
      </c>
      <c r="H36" s="124" t="n">
        <v>300</v>
      </c>
      <c r="I36" s="124" t="n">
        <v>300</v>
      </c>
      <c r="J36" s="134"/>
      <c r="K36" s="135"/>
      <c r="L36" s="135"/>
      <c r="M36" s="135"/>
      <c r="N36" s="136"/>
      <c r="O36" s="135"/>
      <c r="P36" s="178" t="n">
        <v>1.321</v>
      </c>
      <c r="Q36" s="134"/>
      <c r="R36" s="134"/>
      <c r="S36" s="186" t="n">
        <v>57.5</v>
      </c>
      <c r="T36" s="34" t="n">
        <v>0.003</v>
      </c>
      <c r="U36" s="34" t="n">
        <v>0.00293156822698343</v>
      </c>
      <c r="V36" s="34" t="s">
        <v>99</v>
      </c>
      <c r="W36" s="34" t="s">
        <v>99</v>
      </c>
      <c r="X36" s="34" t="n">
        <v>34.127</v>
      </c>
      <c r="Y36" s="34" t="n">
        <v>33.3485429607545</v>
      </c>
      <c r="Z36" s="34" t="n">
        <v>2.045</v>
      </c>
      <c r="AA36" s="34" t="n">
        <v>1.99835234139371</v>
      </c>
      <c r="AB36" s="34" t="n">
        <v>14.73</v>
      </c>
      <c r="AC36" s="34" t="n">
        <v>14.3939999944887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35.928</v>
      </c>
      <c r="H37" s="124" t="n">
        <v>100</v>
      </c>
      <c r="I37" s="124" t="n">
        <v>100</v>
      </c>
      <c r="J37" s="134"/>
      <c r="K37" s="135"/>
      <c r="L37" s="135"/>
      <c r="M37" s="135"/>
      <c r="N37" s="136"/>
      <c r="O37" s="135"/>
      <c r="P37" s="178" t="n">
        <v>3.504</v>
      </c>
      <c r="Q37" s="134"/>
      <c r="R37" s="134"/>
      <c r="S37" s="186" t="n">
        <v>152.5</v>
      </c>
      <c r="T37" s="34" t="n">
        <v>0.108</v>
      </c>
      <c r="U37" s="34" t="n">
        <v>0.105536456171404</v>
      </c>
      <c r="V37" s="34" t="s">
        <v>99</v>
      </c>
      <c r="W37" s="34" t="s">
        <v>99</v>
      </c>
      <c r="X37" s="34" t="n">
        <v>11.212</v>
      </c>
      <c r="Y37" s="34" t="n">
        <v>10.9562476536461</v>
      </c>
      <c r="Z37" s="34" t="n">
        <v>0.832</v>
      </c>
      <c r="AA37" s="34" t="n">
        <v>0.813021588283405</v>
      </c>
      <c r="AB37" s="34" t="n">
        <v>4.2</v>
      </c>
      <c r="AC37" s="34" t="n">
        <v>4.10419551777681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6.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22" t="n">
        <v>35.9497</v>
      </c>
      <c r="H38" s="124" t="n">
        <v>80</v>
      </c>
      <c r="I38" s="124" t="n">
        <v>80</v>
      </c>
      <c r="J38" s="134"/>
      <c r="K38" s="135"/>
      <c r="L38" s="135"/>
      <c r="M38" s="135"/>
      <c r="N38" s="136"/>
      <c r="O38" s="135"/>
      <c r="P38" s="178" t="n">
        <v>3.442</v>
      </c>
      <c r="Q38" s="134"/>
      <c r="R38" s="134"/>
      <c r="S38" s="186" t="n">
        <v>149.9</v>
      </c>
      <c r="T38" s="34" t="n">
        <v>0.154</v>
      </c>
      <c r="U38" s="34" t="n">
        <v>0.15048716898515</v>
      </c>
      <c r="V38" s="34" t="s">
        <v>99</v>
      </c>
      <c r="W38" s="34" t="s">
        <v>99</v>
      </c>
      <c r="X38" s="34" t="n">
        <v>11.276</v>
      </c>
      <c r="Y38" s="34" t="n">
        <v>11.0187877758217</v>
      </c>
      <c r="Z38" s="34" t="n">
        <v>0.831</v>
      </c>
      <c r="AA38" s="34" t="n">
        <v>0.812044398874411</v>
      </c>
      <c r="AB38" s="34" t="n">
        <v>4.13</v>
      </c>
      <c r="AC38" s="34" t="n">
        <v>4.03579225914719</v>
      </c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9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22" t="n">
        <v>35.949</v>
      </c>
      <c r="H39" s="124" t="n">
        <v>80</v>
      </c>
      <c r="I39" s="124" t="n">
        <v>80</v>
      </c>
      <c r="J39" s="134"/>
      <c r="K39" s="135"/>
      <c r="L39" s="135"/>
      <c r="M39" s="135"/>
      <c r="N39" s="136"/>
      <c r="O39" s="135"/>
      <c r="P39" s="178" t="n">
        <v>3.476</v>
      </c>
      <c r="Q39" s="134"/>
      <c r="R39" s="134"/>
      <c r="S39" s="186" t="n">
        <v>151.3</v>
      </c>
      <c r="T39" s="34" t="n">
        <v>0.159</v>
      </c>
      <c r="U39" s="34" t="n">
        <v>0.155373116030122</v>
      </c>
      <c r="V39" s="34" t="s">
        <v>99</v>
      </c>
      <c r="W39" s="34" t="s">
        <v>99</v>
      </c>
      <c r="X39" s="34" t="n">
        <v>11.211</v>
      </c>
      <c r="Y39" s="34" t="n">
        <v>10.9552704642371</v>
      </c>
      <c r="Z39" s="34" t="n">
        <v>0.834</v>
      </c>
      <c r="AA39" s="34" t="n">
        <v>0.814975967101394</v>
      </c>
      <c r="AB39" s="34" t="n">
        <v>4.17</v>
      </c>
      <c r="AC39" s="34" t="n">
        <v>4.07487983550697</v>
      </c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30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36.13</v>
      </c>
      <c r="H40" s="124" t="n">
        <v>60</v>
      </c>
      <c r="I40" s="124" t="n">
        <v>59</v>
      </c>
      <c r="J40" s="134"/>
      <c r="K40" s="135"/>
      <c r="L40" s="135"/>
      <c r="M40" s="135"/>
      <c r="N40" s="136"/>
      <c r="O40" s="135"/>
      <c r="P40" s="178" t="n">
        <v>3.778</v>
      </c>
      <c r="Q40" s="134"/>
      <c r="R40" s="134"/>
      <c r="S40" s="186" t="n">
        <v>164.5</v>
      </c>
      <c r="T40" s="34" t="n">
        <v>0.317</v>
      </c>
      <c r="U40" s="34" t="n">
        <v>0.309769042651249</v>
      </c>
      <c r="V40" s="34" t="s">
        <v>99</v>
      </c>
      <c r="W40" s="34" t="s">
        <v>99</v>
      </c>
      <c r="X40" s="34" t="n">
        <v>7.263</v>
      </c>
      <c r="Y40" s="34" t="n">
        <v>7.09732667752689</v>
      </c>
      <c r="Z40" s="34" t="n">
        <v>0.617</v>
      </c>
      <c r="AA40" s="34" t="n">
        <v>0.602925865349593</v>
      </c>
      <c r="AB40" s="34" t="n">
        <v>3.13</v>
      </c>
      <c r="AC40" s="34" t="n">
        <v>3.05860285015271</v>
      </c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9"/>
    </row>
    <row r="41" customFormat="false" ht="16.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36.1533</v>
      </c>
      <c r="H41" s="124" t="n">
        <v>40</v>
      </c>
      <c r="I41" s="189" t="n">
        <v>39</v>
      </c>
      <c r="J41" s="134"/>
      <c r="K41" s="135"/>
      <c r="L41" s="135"/>
      <c r="M41" s="135"/>
      <c r="N41" s="136"/>
      <c r="O41" s="135"/>
      <c r="P41" s="178" t="n">
        <v>3.965</v>
      </c>
      <c r="Q41" s="134"/>
      <c r="R41" s="134"/>
      <c r="S41" s="186" t="n">
        <v>172.8</v>
      </c>
      <c r="T41" s="34" t="n">
        <v>0.168</v>
      </c>
      <c r="U41" s="34" t="n">
        <v>0.164167820711072</v>
      </c>
      <c r="V41" s="34" t="s">
        <v>99</v>
      </c>
      <c r="W41" s="34" t="s">
        <v>99</v>
      </c>
      <c r="X41" s="34" t="n">
        <v>2.952</v>
      </c>
      <c r="Y41" s="34" t="n">
        <v>2.8846631353517</v>
      </c>
      <c r="Z41" s="34" t="n">
        <v>0.377</v>
      </c>
      <c r="AA41" s="34" t="n">
        <v>0.368400407190918</v>
      </c>
      <c r="AB41" s="34" t="n">
        <v>2.2</v>
      </c>
      <c r="AC41" s="34" t="n">
        <v>2.14981669978785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35.357</v>
      </c>
      <c r="H42" s="124" t="n">
        <v>20</v>
      </c>
      <c r="I42" s="124" t="n">
        <v>20</v>
      </c>
      <c r="J42" s="134"/>
      <c r="K42" s="135"/>
      <c r="L42" s="135"/>
      <c r="M42" s="135"/>
      <c r="N42" s="136"/>
      <c r="O42" s="135"/>
      <c r="P42" s="178" t="n">
        <v>4.472</v>
      </c>
      <c r="Q42" s="134"/>
      <c r="R42" s="134"/>
      <c r="S42" s="186" t="n">
        <v>195.2</v>
      </c>
      <c r="T42" s="34" t="n">
        <v>0</v>
      </c>
      <c r="U42" s="34" t="n">
        <v>0</v>
      </c>
      <c r="V42" s="34" t="s">
        <v>99</v>
      </c>
      <c r="W42" s="34" t="s">
        <v>99</v>
      </c>
      <c r="X42" s="34" t="n">
        <v>0.1</v>
      </c>
      <c r="Y42" s="34" t="n">
        <v>0.0977189408994478</v>
      </c>
      <c r="Z42" s="34" t="n">
        <v>0.089</v>
      </c>
      <c r="AA42" s="34" t="n">
        <v>0.0869698574005085</v>
      </c>
      <c r="AB42" s="34" t="n">
        <v>1.43</v>
      </c>
      <c r="AC42" s="34" t="n">
        <v>1.3973808548621</v>
      </c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30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35.1402</v>
      </c>
      <c r="H43" s="124" t="n">
        <v>10</v>
      </c>
      <c r="I43" s="124" t="n">
        <v>9</v>
      </c>
      <c r="J43" s="134"/>
      <c r="K43" s="135"/>
      <c r="L43" s="135"/>
      <c r="M43" s="135"/>
      <c r="N43" s="136"/>
      <c r="O43" s="135"/>
      <c r="P43" s="178" t="n">
        <v>4.474</v>
      </c>
      <c r="Q43" s="134"/>
      <c r="R43" s="134"/>
      <c r="S43" s="186" t="n">
        <v>195.3</v>
      </c>
      <c r="T43" s="34" t="n">
        <v>0.014</v>
      </c>
      <c r="U43" s="34" t="n">
        <v>0.0136806517259227</v>
      </c>
      <c r="V43" s="34" t="s">
        <v>99</v>
      </c>
      <c r="W43" s="34" t="s">
        <v>99</v>
      </c>
      <c r="X43" s="34" t="n">
        <v>0.076</v>
      </c>
      <c r="Y43" s="34" t="n">
        <v>0.0742663950835803</v>
      </c>
      <c r="Z43" s="34" t="n">
        <v>0.077</v>
      </c>
      <c r="AA43" s="34" t="n">
        <v>0.0752435844925748</v>
      </c>
      <c r="AB43" s="34" t="n">
        <v>1.43</v>
      </c>
      <c r="AC43" s="34" t="n">
        <v>1.3973808548621</v>
      </c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9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35.032</v>
      </c>
      <c r="H44" s="124" t="n">
        <v>0</v>
      </c>
      <c r="I44" s="124" t="n">
        <v>2</v>
      </c>
      <c r="J44" s="134"/>
      <c r="K44" s="135"/>
      <c r="L44" s="135"/>
      <c r="M44" s="135"/>
      <c r="N44" s="136"/>
      <c r="O44" s="135"/>
      <c r="P44" s="178" t="s">
        <v>99</v>
      </c>
      <c r="Q44" s="134"/>
      <c r="R44" s="134"/>
      <c r="S44" s="190" t="s">
        <v>99</v>
      </c>
      <c r="T44" s="34" t="n">
        <v>0</v>
      </c>
      <c r="U44" s="34" t="n">
        <v>0</v>
      </c>
      <c r="V44" s="34" t="s">
        <v>99</v>
      </c>
      <c r="W44" s="34" t="s">
        <v>99</v>
      </c>
      <c r="X44" s="34" t="n">
        <v>0.08</v>
      </c>
      <c r="Y44" s="34" t="n">
        <v>0.0781751527195582</v>
      </c>
      <c r="Z44" s="34" t="n">
        <v>0.069</v>
      </c>
      <c r="AA44" s="34" t="n">
        <v>0.0674260692206189</v>
      </c>
      <c r="AB44" s="34" t="n">
        <v>1.3</v>
      </c>
      <c r="AC44" s="34" t="n">
        <v>1.27034623169282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7" t="s">
        <v>99</v>
      </c>
      <c r="H45" s="124" t="s">
        <v>99</v>
      </c>
      <c r="I45" s="148" t="s">
        <v>99</v>
      </c>
      <c r="J45" s="134"/>
      <c r="K45" s="135"/>
      <c r="L45" s="135"/>
      <c r="M45" s="135"/>
      <c r="N45" s="136"/>
      <c r="O45" s="135"/>
      <c r="P45" s="178" t="s">
        <v>99</v>
      </c>
      <c r="Q45" s="134"/>
      <c r="R45" s="134"/>
      <c r="S45" s="190" t="s">
        <v>99</v>
      </c>
      <c r="T45" s="134"/>
      <c r="U45" s="134"/>
      <c r="V45" s="34"/>
      <c r="W45" s="34"/>
      <c r="X45" s="134"/>
      <c r="Y45" s="134"/>
      <c r="Z45" s="134"/>
      <c r="AA45" s="134"/>
      <c r="AB45" s="134"/>
      <c r="AC45" s="134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6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 t="str">
        <f aca="false">IF(ISBLANK(D46),"",IF(VLOOKUP(D46,#REF!,2)=0,"",IF(D46&gt;#REF!,"Mauvais numéro",IF(D46&lt;#REF!,"Mauvais numéro",(VLOOKUP(D46,#REF!,3))))))</f>
        <v/>
      </c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56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7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6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 t="str">
        <f aca="false">IF(ISBLANK(D47),"",IF(VLOOKUP(D47,#REF!,2)=0,"",IF(D47&gt;#REF!,"Mauvais numéro",IF(D47&lt;#REF!,"Mauvais numéro",(VLOOKUP(D47,#REF!,3))))))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62"/>
      <c r="Q47" s="157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2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6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 t="str">
        <f aca="false">IF(ISBLANK(D48),"",IF(VLOOKUP(D48,#REF!,2)=0,"",IF(D48&gt;#REF!,"Mauvais numéro",IF(D48&lt;#REF!,"Mauvais numéro",(VLOOKUP(D48,#REF!,3))))))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62"/>
      <c r="Q48" s="157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2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6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 t="str">
        <f aca="false">IF(ISBLANK(D49),"",IF(VLOOKUP(D49,#REF!,2)=0,"",IF(D49&gt;#REF!,"Mauvais numéro",IF(D49&lt;#REF!,"Mauvais numéro",(VLOOKUP(D49,#REF!,3))))))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6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7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6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 t="str">
        <f aca="false">IF(ISBLANK(D50),"",IF(VLOOKUP(D50,#REF!,2)=0,"",IF(D50&gt;#REF!,"Mauvais numéro",IF(D50&lt;#REF!,"Mauvais numéro",(VLOOKUP(D50,#REF!,3))))))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6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7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 t="str">
        <f aca="false">IF(ISBLANK(D51),"",IF(VLOOKUP(D51,#REF!,2)=0,"",IF(D51&gt;#REF!,"Mauvais numéro",IF(D51&lt;#REF!,"Mauvais numéro",(VLOOKUP(D51,#REF!,3))))))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6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7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 t="str">
        <f aca="false">IF(ISBLANK(D52),"",IF(VLOOKUP(D52,#REF!,2)=0,"",IF(D52&gt;#REF!,"Mauvais numéro",IF(D52&lt;#REF!,"Mauvais numéro",(VLOOKUP(D52,#REF!,3))))))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6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7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 t="str">
        <f aca="false">IF(ISBLANK(D53),"",IF(VLOOKUP(D53,#REF!,2)=0,"",IF(D53&gt;#REF!,"Mauvais numéro",IF(D53&lt;#REF!,"Mauvais numéro",(VLOOKUP(D53,#REF!,3))))))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6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7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 t="str">
        <f aca="false">IF(ISBLANK(D54),"",IF(VLOOKUP(D54,#REF!,2)=0,"",IF(D54&gt;#REF!,"Mauvais numéro",IF(D54&lt;#REF!,"Mauvais numéro",(VLOOKUP(D54,#REF!,3))))))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6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7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 t="str">
        <f aca="false">IF(ISBLANK(D55),"",IF(VLOOKUP(D55,#REF!,2)=0,"",IF(D55&gt;#REF!,"Mauvais numéro",IF(D55&lt;#REF!,"Mauvais numéro",(VLOOKUP(D55,#REF!,3))))))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6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7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 t="str">
        <f aca="false">IF(ISBLANK(D56),"",IF(VLOOKUP(D56,#REF!,2)=0,"",IF(D56&gt;#REF!,"Mauvais numéro",IF(D56&lt;#REF!,"Mauvais numéro",(VLOOKUP(D56,#REF!,3))))))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6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7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 t="str">
        <f aca="false">IF(ISBLANK(D57),"",IF(VLOOKUP(D57,#REF!,2)=0,"",IF(D57&gt;#REF!,"Mauvais numéro",IF(D57&lt;#REF!,"Mauvais numéro",(VLOOKUP(D57,#REF!,3))))))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6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7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IF(ISBLANK(D58),"",IF(VLOOKUP(D58,#REF!,2)=0,"",IF(D58&gt;#REF!,"Mauvais numéro",IF(D58&lt;#REF!,"Mauvais numéro",(VLOOKUP(D58,#REF!,3))))))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5" min="11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0.32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-0°0,32</v>
      </c>
      <c r="P9" s="31" t="s">
        <v>16</v>
      </c>
      <c r="Q9" s="35" t="n">
        <f aca="false">IF(ISBLANK(I9),"",IF(ISBLANK(J9),"",IF(J9&gt;60,"ERREUR !!",O11*(I9+(J9/60)))))</f>
        <v>-0.00533333333333333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59.31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5°59,31</v>
      </c>
      <c r="P10" s="31" t="s">
        <v>14</v>
      </c>
      <c r="Q10" s="35" t="n">
        <f aca="false">IF(ISBLANK(I10),"",IF(ISBLANK(J10),"",IF(J10&gt;60,"ERREUR !!",O12*(I10+(J10/60)))))</f>
        <v>5.9885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37779</v>
      </c>
      <c r="K11" s="40"/>
      <c r="L11" s="40"/>
      <c r="M11" s="40"/>
      <c r="N11" s="41" t="str">
        <f aca="false">I9&amp;"°"&amp;J9</f>
        <v>0°0,32</v>
      </c>
      <c r="O11" s="42" t="n">
        <f aca="false">IF(P9=M10,-1,1)</f>
        <v>-1</v>
      </c>
      <c r="P11" s="43" t="str">
        <f aca="false">TEXT(J11,"aaaa-mm-jj")&amp;"T"&amp;TEXT(J12,"hh:mm:ss")&amp;"z"</f>
        <v>2007-06-08T05:30:00z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0.229166666666667</v>
      </c>
      <c r="K12" s="48"/>
      <c r="L12" s="48"/>
      <c r="M12" s="48"/>
      <c r="N12" s="49" t="str">
        <f aca="false">I10&amp;"°"&amp;J10</f>
        <v>5°59,31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4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4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4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4.4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1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34.646</v>
      </c>
      <c r="H35" s="123" t="n">
        <v>500</v>
      </c>
      <c r="I35" s="124" t="n">
        <v>513</v>
      </c>
      <c r="J35" s="125"/>
      <c r="K35" s="126"/>
      <c r="L35" s="126"/>
      <c r="M35" s="126"/>
      <c r="N35" s="127"/>
      <c r="O35" s="126"/>
      <c r="P35" s="178" t="n">
        <v>2.292</v>
      </c>
      <c r="Q35" s="125"/>
      <c r="R35" s="125"/>
      <c r="S35" s="184" t="n">
        <v>99.7</v>
      </c>
      <c r="T35" s="34" t="n">
        <v>0</v>
      </c>
      <c r="U35" s="34" t="n">
        <v>0</v>
      </c>
      <c r="V35" s="34" t="s">
        <v>99</v>
      </c>
      <c r="W35" s="34" t="s">
        <v>99</v>
      </c>
      <c r="X35" s="34" t="n">
        <v>35.61</v>
      </c>
      <c r="Y35" s="34" t="n">
        <v>34.7977148542933</v>
      </c>
      <c r="Z35" s="34" t="n">
        <v>2.255</v>
      </c>
      <c r="AA35" s="34" t="n">
        <v>2.20356211728255</v>
      </c>
      <c r="AB35" s="34" t="n">
        <v>21.05</v>
      </c>
      <c r="AC35" s="34" t="n">
        <v>20.5698370593337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34.8943</v>
      </c>
      <c r="H36" s="124" t="n">
        <v>300</v>
      </c>
      <c r="I36" s="124" t="n">
        <v>300</v>
      </c>
      <c r="J36" s="134"/>
      <c r="K36" s="135"/>
      <c r="L36" s="135"/>
      <c r="M36" s="135"/>
      <c r="N36" s="136"/>
      <c r="O36" s="135"/>
      <c r="P36" s="178" t="n">
        <v>1.38</v>
      </c>
      <c r="Q36" s="134"/>
      <c r="R36" s="134"/>
      <c r="S36" s="186" t="n">
        <v>60</v>
      </c>
      <c r="T36" s="34" t="n">
        <v>0</v>
      </c>
      <c r="U36" s="34" t="n">
        <v>0</v>
      </c>
      <c r="V36" s="34" t="s">
        <v>99</v>
      </c>
      <c r="W36" s="34" t="s">
        <v>99</v>
      </c>
      <c r="X36" s="34" t="n">
        <v>34.87</v>
      </c>
      <c r="Y36" s="34" t="n">
        <v>34.0745946916374</v>
      </c>
      <c r="Z36" s="34" t="n">
        <v>2.117</v>
      </c>
      <c r="AA36" s="34" t="n">
        <v>2.06870997884131</v>
      </c>
      <c r="AB36" s="34" t="n">
        <v>15.8</v>
      </c>
      <c r="AC36" s="34" t="n">
        <v>15.4395926621127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35.9336</v>
      </c>
      <c r="H37" s="124" t="n">
        <v>100</v>
      </c>
      <c r="I37" s="124" t="n">
        <v>102</v>
      </c>
      <c r="J37" s="134"/>
      <c r="K37" s="135"/>
      <c r="L37" s="135"/>
      <c r="M37" s="135"/>
      <c r="N37" s="136"/>
      <c r="O37" s="135"/>
      <c r="P37" s="178" t="n">
        <v>3.531</v>
      </c>
      <c r="Q37" s="134"/>
      <c r="R37" s="134"/>
      <c r="S37" s="186" t="n">
        <v>153.7</v>
      </c>
      <c r="T37" s="34" t="n">
        <v>0.138</v>
      </c>
      <c r="U37" s="34" t="n">
        <v>0.134852138441238</v>
      </c>
      <c r="V37" s="34" t="s">
        <v>99</v>
      </c>
      <c r="W37" s="34" t="s">
        <v>99</v>
      </c>
      <c r="X37" s="34" t="n">
        <v>10.912</v>
      </c>
      <c r="Y37" s="34" t="n">
        <v>10.6630908309477</v>
      </c>
      <c r="Z37" s="34" t="n">
        <v>0.816</v>
      </c>
      <c r="AA37" s="34" t="n">
        <v>0.797386557739494</v>
      </c>
      <c r="AB37" s="34" t="n">
        <v>4.14</v>
      </c>
      <c r="AC37" s="34" t="n">
        <v>4.04556415323714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36.0059</v>
      </c>
      <c r="H38" s="124" t="n">
        <v>80</v>
      </c>
      <c r="I38" s="124" t="n">
        <v>80</v>
      </c>
      <c r="J38" s="134"/>
      <c r="K38" s="135"/>
      <c r="L38" s="135"/>
      <c r="M38" s="135"/>
      <c r="N38" s="136"/>
      <c r="O38" s="135"/>
      <c r="P38" s="178" t="n">
        <v>3.594</v>
      </c>
      <c r="Q38" s="134"/>
      <c r="R38" s="134"/>
      <c r="S38" s="186" t="n">
        <v>156.4</v>
      </c>
      <c r="T38" s="34" t="n">
        <v>0.268</v>
      </c>
      <c r="U38" s="34" t="n">
        <v>0.26188676161052</v>
      </c>
      <c r="V38" s="34" t="s">
        <v>99</v>
      </c>
      <c r="W38" s="34" t="s">
        <v>99</v>
      </c>
      <c r="X38" s="34" t="n">
        <v>9.692</v>
      </c>
      <c r="Y38" s="34" t="n">
        <v>9.47091975197448</v>
      </c>
      <c r="Z38" s="34" t="n">
        <v>0.777</v>
      </c>
      <c r="AA38" s="34" t="n">
        <v>0.759276170788709</v>
      </c>
      <c r="AB38" s="34" t="n">
        <v>3.66</v>
      </c>
      <c r="AC38" s="34" t="n">
        <v>3.57651323691979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22" t="n">
        <v>36.0949</v>
      </c>
      <c r="H39" s="124" t="n">
        <v>60</v>
      </c>
      <c r="I39" s="124" t="n">
        <v>60</v>
      </c>
      <c r="J39" s="134"/>
      <c r="K39" s="135"/>
      <c r="L39" s="135"/>
      <c r="M39" s="135"/>
      <c r="N39" s="136"/>
      <c r="O39" s="135"/>
      <c r="P39" s="178" t="n">
        <v>3.818</v>
      </c>
      <c r="Q39" s="134"/>
      <c r="R39" s="134"/>
      <c r="S39" s="186" t="n">
        <v>166.3</v>
      </c>
      <c r="T39" s="134"/>
      <c r="U39" s="134"/>
      <c r="V39" s="34"/>
      <c r="W39" s="34"/>
      <c r="X39" s="134"/>
      <c r="Y39" s="134"/>
      <c r="Z39" s="134"/>
      <c r="AA39" s="134"/>
      <c r="AB39" s="134"/>
      <c r="AC39" s="134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22" t="n">
        <v>36.1027</v>
      </c>
      <c r="H40" s="124" t="n">
        <v>60</v>
      </c>
      <c r="I40" s="124" t="n">
        <v>60</v>
      </c>
      <c r="J40" s="134"/>
      <c r="K40" s="135"/>
      <c r="L40" s="135"/>
      <c r="M40" s="135"/>
      <c r="N40" s="136"/>
      <c r="O40" s="135"/>
      <c r="P40" s="178" t="n">
        <v>3.847</v>
      </c>
      <c r="Q40" s="134"/>
      <c r="R40" s="134"/>
      <c r="S40" s="186" t="n">
        <v>167.5</v>
      </c>
      <c r="T40" s="34" t="n">
        <v>0.338</v>
      </c>
      <c r="U40" s="34" t="n">
        <v>0.330290020240133</v>
      </c>
      <c r="V40" s="34" t="s">
        <v>99</v>
      </c>
      <c r="W40" s="34" t="s">
        <v>99</v>
      </c>
      <c r="X40" s="34" t="n">
        <v>7.512</v>
      </c>
      <c r="Y40" s="34" t="n">
        <v>7.34064684036651</v>
      </c>
      <c r="Z40" s="34" t="n">
        <v>0.652</v>
      </c>
      <c r="AA40" s="34" t="n">
        <v>0.637127494664399</v>
      </c>
      <c r="AB40" s="34" t="n">
        <v>3.18</v>
      </c>
      <c r="AC40" s="34" t="n">
        <v>3.10746232060244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36.1975</v>
      </c>
      <c r="H41" s="124" t="n">
        <v>40</v>
      </c>
      <c r="I41" s="124" t="n">
        <v>36</v>
      </c>
      <c r="J41" s="134"/>
      <c r="K41" s="135"/>
      <c r="L41" s="135"/>
      <c r="M41" s="135"/>
      <c r="N41" s="136"/>
      <c r="O41" s="135"/>
      <c r="P41" s="178" t="n">
        <v>4.288</v>
      </c>
      <c r="Q41" s="134"/>
      <c r="R41" s="134"/>
      <c r="S41" s="186" t="n">
        <v>186.8</v>
      </c>
      <c r="T41" s="34" t="n">
        <v>0.094</v>
      </c>
      <c r="U41" s="34" t="n">
        <v>0.0918558044454809</v>
      </c>
      <c r="V41" s="34" t="s">
        <v>99</v>
      </c>
      <c r="W41" s="34" t="s">
        <v>99</v>
      </c>
      <c r="X41" s="34" t="n">
        <v>2.406</v>
      </c>
      <c r="Y41" s="34" t="n">
        <v>2.35111771804071</v>
      </c>
      <c r="Z41" s="34" t="n">
        <v>0.343</v>
      </c>
      <c r="AA41" s="34" t="n">
        <v>0.335175967285106</v>
      </c>
      <c r="AB41" s="34" t="n">
        <v>2.03</v>
      </c>
      <c r="AC41" s="34" t="n">
        <v>1.98369450025879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35.7186</v>
      </c>
      <c r="H42" s="124" t="n">
        <v>20</v>
      </c>
      <c r="I42" s="124" t="n">
        <v>20</v>
      </c>
      <c r="J42" s="134"/>
      <c r="K42" s="135"/>
      <c r="L42" s="135"/>
      <c r="M42" s="135"/>
      <c r="N42" s="136"/>
      <c r="O42" s="135"/>
      <c r="P42" s="178" t="n">
        <v>4.394</v>
      </c>
      <c r="Q42" s="134"/>
      <c r="R42" s="134"/>
      <c r="S42" s="186" t="n">
        <v>191.6</v>
      </c>
      <c r="T42" s="34" t="n">
        <v>0.019</v>
      </c>
      <c r="U42" s="34" t="n">
        <v>0.0185665987708951</v>
      </c>
      <c r="V42" s="34" t="s">
        <v>99</v>
      </c>
      <c r="W42" s="34" t="s">
        <v>99</v>
      </c>
      <c r="X42" s="34" t="n">
        <v>0.601</v>
      </c>
      <c r="Y42" s="34" t="n">
        <v>0.587290834805681</v>
      </c>
      <c r="Z42" s="34" t="n">
        <v>0.252</v>
      </c>
      <c r="AA42" s="34" t="n">
        <v>0.246251731066608</v>
      </c>
      <c r="AB42" s="34" t="n">
        <v>1.75</v>
      </c>
      <c r="AC42" s="34" t="n">
        <v>1.71008146574034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35.2849</v>
      </c>
      <c r="H43" s="124" t="n">
        <v>10</v>
      </c>
      <c r="I43" s="124" t="n">
        <v>10</v>
      </c>
      <c r="J43" s="134"/>
      <c r="K43" s="135"/>
      <c r="L43" s="135"/>
      <c r="M43" s="135"/>
      <c r="N43" s="136"/>
      <c r="O43" s="135"/>
      <c r="P43" s="178" t="n">
        <v>4.422</v>
      </c>
      <c r="Q43" s="134"/>
      <c r="R43" s="134"/>
      <c r="S43" s="186" t="n">
        <v>193</v>
      </c>
      <c r="T43" s="34" t="n">
        <v>0.001</v>
      </c>
      <c r="U43" s="34" t="n">
        <v>0.000977189408994478</v>
      </c>
      <c r="V43" s="34" t="s">
        <v>99</v>
      </c>
      <c r="W43" s="34" t="s">
        <v>99</v>
      </c>
      <c r="X43" s="34" t="n">
        <v>0.069</v>
      </c>
      <c r="Y43" s="34" t="n">
        <v>0.067426069220619</v>
      </c>
      <c r="Z43" s="34" t="n">
        <v>0.115</v>
      </c>
      <c r="AA43" s="34" t="n">
        <v>0.112376782034365</v>
      </c>
      <c r="AB43" s="34" t="n">
        <v>1.56</v>
      </c>
      <c r="AC43" s="34" t="n">
        <v>1.52441547803138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34.7328</v>
      </c>
      <c r="H44" s="124" t="n">
        <v>0</v>
      </c>
      <c r="I44" s="124" t="n">
        <v>1.5</v>
      </c>
      <c r="J44" s="134"/>
      <c r="K44" s="135"/>
      <c r="L44" s="135"/>
      <c r="M44" s="135"/>
      <c r="N44" s="136"/>
      <c r="O44" s="135"/>
      <c r="P44" s="178" t="n">
        <v>4.447</v>
      </c>
      <c r="Q44" s="134"/>
      <c r="R44" s="134"/>
      <c r="S44" s="186" t="n">
        <v>194.2</v>
      </c>
      <c r="T44" s="34" t="n">
        <v>0</v>
      </c>
      <c r="U44" s="34" t="n">
        <v>0</v>
      </c>
      <c r="V44" s="34" t="s">
        <v>99</v>
      </c>
      <c r="W44" s="34" t="s">
        <v>99</v>
      </c>
      <c r="X44" s="34" t="n">
        <v>0.06</v>
      </c>
      <c r="Y44" s="34" t="n">
        <v>0.0586313645396686</v>
      </c>
      <c r="Z44" s="34" t="n">
        <v>0.074</v>
      </c>
      <c r="AA44" s="34" t="n">
        <v>0.0723120162655913</v>
      </c>
      <c r="AB44" s="34" t="n">
        <v>1.4</v>
      </c>
      <c r="AC44" s="34" t="n">
        <v>1.36806517259227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7" t="s">
        <v>99</v>
      </c>
      <c r="H45" s="124" t="s">
        <v>99</v>
      </c>
      <c r="I45" s="148" t="s">
        <v>99</v>
      </c>
      <c r="J45" s="134"/>
      <c r="K45" s="135"/>
      <c r="L45" s="135"/>
      <c r="M45" s="135"/>
      <c r="N45" s="136"/>
      <c r="O45" s="135"/>
      <c r="P45" s="178" t="s">
        <v>99</v>
      </c>
      <c r="Q45" s="134"/>
      <c r="R45" s="134"/>
      <c r="S45" s="190" t="s">
        <v>99</v>
      </c>
      <c r="T45" s="134"/>
      <c r="U45" s="134"/>
      <c r="V45" s="34"/>
      <c r="W45" s="34"/>
      <c r="X45" s="134"/>
      <c r="Y45" s="134"/>
      <c r="Z45" s="134"/>
      <c r="AA45" s="134"/>
      <c r="AB45" s="134"/>
      <c r="AC45" s="134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6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 t="str">
        <f aca="false">IF(ISBLANK(D46),"",IF(VLOOKUP(D46,#REF!,2)=0,"",IF(D46&gt;#REF!,"Mauvais numéro",IF(D46&lt;#REF!,"Mauvais numéro",(VLOOKUP(D46,#REF!,3))))))</f>
        <v/>
      </c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56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7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6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 t="str">
        <f aca="false">IF(ISBLANK(D47),"",IF(VLOOKUP(D47,#REF!,2)=0,"",IF(D47&gt;#REF!,"Mauvais numéro",IF(D47&lt;#REF!,"Mauvais numéro",(VLOOKUP(D47,#REF!,3))))))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62"/>
      <c r="Q47" s="157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2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6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 t="str">
        <f aca="false">IF(ISBLANK(D48),"",IF(VLOOKUP(D48,#REF!,2)=0,"",IF(D48&gt;#REF!,"Mauvais numéro",IF(D48&lt;#REF!,"Mauvais numéro",(VLOOKUP(D48,#REF!,3))))))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62"/>
      <c r="Q48" s="157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2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6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 t="str">
        <f aca="false">IF(ISBLANK(D49),"",IF(VLOOKUP(D49,#REF!,2)=0,"",IF(D49&gt;#REF!,"Mauvais numéro",IF(D49&lt;#REF!,"Mauvais numéro",(VLOOKUP(D49,#REF!,3))))))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6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7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6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 t="str">
        <f aca="false">IF(ISBLANK(D50),"",IF(VLOOKUP(D50,#REF!,2)=0,"",IF(D50&gt;#REF!,"Mauvais numéro",IF(D50&lt;#REF!,"Mauvais numéro",(VLOOKUP(D50,#REF!,3))))))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6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7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 t="str">
        <f aca="false">IF(ISBLANK(D51),"",IF(VLOOKUP(D51,#REF!,2)=0,"",IF(D51&gt;#REF!,"Mauvais numéro",IF(D51&lt;#REF!,"Mauvais numéro",(VLOOKUP(D51,#REF!,3))))))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6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7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 t="str">
        <f aca="false">IF(ISBLANK(D52),"",IF(VLOOKUP(D52,#REF!,2)=0,"",IF(D52&gt;#REF!,"Mauvais numéro",IF(D52&lt;#REF!,"Mauvais numéro",(VLOOKUP(D52,#REF!,3))))))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6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7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 t="str">
        <f aca="false">IF(ISBLANK(D53),"",IF(VLOOKUP(D53,#REF!,2)=0,"",IF(D53&gt;#REF!,"Mauvais numéro",IF(D53&lt;#REF!,"Mauvais numéro",(VLOOKUP(D53,#REF!,3))))))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6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7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 t="str">
        <f aca="false">IF(ISBLANK(D54),"",IF(VLOOKUP(D54,#REF!,2)=0,"",IF(D54&gt;#REF!,"Mauvais numéro",IF(D54&lt;#REF!,"Mauvais numéro",(VLOOKUP(D54,#REF!,3))))))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6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7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 t="str">
        <f aca="false">IF(ISBLANK(D55),"",IF(VLOOKUP(D55,#REF!,2)=0,"",IF(D55&gt;#REF!,"Mauvais numéro",IF(D55&lt;#REF!,"Mauvais numéro",(VLOOKUP(D55,#REF!,3))))))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6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7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 t="str">
        <f aca="false">IF(ISBLANK(D56),"",IF(VLOOKUP(D56,#REF!,2)=0,"",IF(D56&gt;#REF!,"Mauvais numéro",IF(D56&lt;#REF!,"Mauvais numéro",(VLOOKUP(D56,#REF!,3))))))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6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7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 t="str">
        <f aca="false">IF(ISBLANK(D57),"",IF(VLOOKUP(D57,#REF!,2)=0,"",IF(D57&gt;#REF!,"Mauvais numéro",IF(D57&lt;#REF!,"Mauvais numéro",(VLOOKUP(D57,#REF!,3))))))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6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7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IF(ISBLANK(D58),"",IF(VLOOKUP(D58,#REF!,2)=0,"",IF(D58&gt;#REF!,"Mauvais numéro",IF(D58&lt;#REF!,"Mauvais numéro",(VLOOKUP(D58,#REF!,3))))))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47" activeCellId="0" sqref="U47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29.92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-0°29,92</v>
      </c>
      <c r="P9" s="31" t="s">
        <v>16</v>
      </c>
      <c r="Q9" s="35" t="n">
        <f aca="false">IF(ISBLANK(I9),"",IF(ISBLANK(J9),"",IF(J9&gt;60,"ERREUR !!",O11*(I9+(J9/60)))))</f>
        <v>-0.498666666666667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59.91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5°59,91</v>
      </c>
      <c r="P10" s="31" t="s">
        <v>14</v>
      </c>
      <c r="Q10" s="35" t="n">
        <f aca="false">IF(ISBLANK(I10),"",IF(ISBLANK(J10),"",IF(J10&gt;60,"ERREUR !!",O12*(I10+(J10/60)))))</f>
        <v>5.9985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37779</v>
      </c>
      <c r="K11" s="40"/>
      <c r="L11" s="40"/>
      <c r="M11" s="40"/>
      <c r="N11" s="41" t="str">
        <f aca="false">I9&amp;"°"&amp;J9</f>
        <v>0°29,92</v>
      </c>
      <c r="O11" s="42" t="n">
        <f aca="false">IF(P9=M10,-1,1)</f>
        <v>-1</v>
      </c>
      <c r="P11" s="43" t="str">
        <f aca="false">TEXT(J11,"aaaa-mm-jj")&amp;"T"&amp;TEXT(J12,"hh:mm:ss")&amp;"z"</f>
        <v>2007-06-08T10:00:00z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0.416666666666667</v>
      </c>
      <c r="K12" s="48"/>
      <c r="L12" s="48"/>
      <c r="M12" s="48"/>
      <c r="N12" s="49" t="str">
        <f aca="false">I10&amp;"°"&amp;J10</f>
        <v>5°59,91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4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4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4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4.4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1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34.6913</v>
      </c>
      <c r="H35" s="123" t="n">
        <v>500</v>
      </c>
      <c r="I35" s="124" t="n">
        <v>502</v>
      </c>
      <c r="J35" s="125"/>
      <c r="K35" s="126"/>
      <c r="L35" s="126"/>
      <c r="M35" s="126"/>
      <c r="N35" s="127"/>
      <c r="O35" s="126"/>
      <c r="P35" s="125" t="n">
        <v>2.026</v>
      </c>
      <c r="Q35" s="125"/>
      <c r="R35" s="125"/>
      <c r="S35" s="184" t="n">
        <v>88.1</v>
      </c>
      <c r="T35" s="34" t="n">
        <v>0</v>
      </c>
      <c r="U35" s="34" t="n">
        <v>0</v>
      </c>
      <c r="V35" s="125"/>
      <c r="W35" s="125"/>
      <c r="X35" s="34" t="n">
        <v>35.87</v>
      </c>
      <c r="Y35" s="34" t="n">
        <v>35.0517841006319</v>
      </c>
      <c r="Z35" s="34" t="n">
        <v>2.203</v>
      </c>
      <c r="AA35" s="34" t="n">
        <v>2.15274826801483</v>
      </c>
      <c r="AB35" s="34" t="n">
        <v>19.52</v>
      </c>
      <c r="AC35" s="34" t="n">
        <v>19.0747372635722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34.9563</v>
      </c>
      <c r="H36" s="124" t="n">
        <v>300</v>
      </c>
      <c r="I36" s="124" t="n">
        <v>299.6</v>
      </c>
      <c r="J36" s="134"/>
      <c r="K36" s="135"/>
      <c r="L36" s="135"/>
      <c r="M36" s="135"/>
      <c r="N36" s="136"/>
      <c r="O36" s="135"/>
      <c r="P36" s="134" t="n">
        <v>1.35</v>
      </c>
      <c r="Q36" s="134"/>
      <c r="R36" s="134"/>
      <c r="S36" s="186" t="n">
        <v>58.7</v>
      </c>
      <c r="T36" s="34" t="n">
        <v>0</v>
      </c>
      <c r="U36" s="34" t="n">
        <v>0</v>
      </c>
      <c r="V36" s="134"/>
      <c r="W36" s="134"/>
      <c r="X36" s="34" t="n">
        <v>33.51</v>
      </c>
      <c r="Y36" s="34" t="n">
        <v>32.7456170954049</v>
      </c>
      <c r="Z36" s="34" t="n">
        <v>2.013</v>
      </c>
      <c r="AA36" s="34" t="n">
        <v>1.96708228030588</v>
      </c>
      <c r="AB36" s="34" t="n">
        <v>14.18</v>
      </c>
      <c r="AC36" s="34" t="n">
        <v>13.8565458195417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35.9358</v>
      </c>
      <c r="H37" s="124" t="n">
        <v>100</v>
      </c>
      <c r="I37" s="124" t="n">
        <v>99.2</v>
      </c>
      <c r="J37" s="134"/>
      <c r="K37" s="135"/>
      <c r="L37" s="135"/>
      <c r="M37" s="135"/>
      <c r="N37" s="136"/>
      <c r="O37" s="135"/>
      <c r="P37" s="134" t="n">
        <v>3.477</v>
      </c>
      <c r="Q37" s="134"/>
      <c r="R37" s="134"/>
      <c r="S37" s="186" t="n">
        <v>151.3</v>
      </c>
      <c r="T37" s="34" t="n">
        <v>0.1</v>
      </c>
      <c r="U37" s="34" t="n">
        <v>0.0977189408994477</v>
      </c>
      <c r="V37" s="134"/>
      <c r="W37" s="134"/>
      <c r="X37" s="34" t="n">
        <v>10.94</v>
      </c>
      <c r="Y37" s="34" t="n">
        <v>10.6904521343996</v>
      </c>
      <c r="Z37" s="34" t="n">
        <v>0.812</v>
      </c>
      <c r="AA37" s="34" t="n">
        <v>0.793477800103516</v>
      </c>
      <c r="AB37" s="34" t="n">
        <v>4.4</v>
      </c>
      <c r="AC37" s="34" t="n">
        <v>4.2996333995757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35.9384</v>
      </c>
      <c r="H38" s="124" t="n">
        <v>80</v>
      </c>
      <c r="I38" s="124" t="n">
        <v>79.6</v>
      </c>
      <c r="J38" s="134"/>
      <c r="K38" s="135"/>
      <c r="L38" s="135"/>
      <c r="M38" s="135"/>
      <c r="N38" s="136"/>
      <c r="O38" s="135"/>
      <c r="P38" s="134" t="n">
        <v>3.483</v>
      </c>
      <c r="Q38" s="134"/>
      <c r="R38" s="134"/>
      <c r="S38" s="186" t="n">
        <v>151.6</v>
      </c>
      <c r="T38" s="34" t="n">
        <v>0.107</v>
      </c>
      <c r="U38" s="34" t="n">
        <v>0.104559266762409</v>
      </c>
      <c r="V38" s="134"/>
      <c r="W38" s="134"/>
      <c r="X38" s="34" t="n">
        <v>10.833</v>
      </c>
      <c r="Y38" s="34" t="n">
        <v>10.5858928676372</v>
      </c>
      <c r="Z38" s="34" t="n">
        <v>0.804</v>
      </c>
      <c r="AA38" s="34" t="n">
        <v>0.78566028483156</v>
      </c>
      <c r="AB38" s="34" t="n">
        <v>3.87</v>
      </c>
      <c r="AC38" s="34" t="n">
        <v>3.78172301280863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30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35.9955</v>
      </c>
      <c r="H39" s="124" t="n">
        <v>60</v>
      </c>
      <c r="I39" s="124" t="n">
        <v>59.9</v>
      </c>
      <c r="J39" s="134"/>
      <c r="K39" s="135"/>
      <c r="L39" s="135"/>
      <c r="M39" s="135"/>
      <c r="N39" s="136"/>
      <c r="O39" s="135"/>
      <c r="P39" s="134" t="n">
        <v>3.489</v>
      </c>
      <c r="Q39" s="134"/>
      <c r="R39" s="134"/>
      <c r="S39" s="186" t="n">
        <v>151.9</v>
      </c>
      <c r="T39" s="34" t="n">
        <v>0.252</v>
      </c>
      <c r="U39" s="34" t="n">
        <v>0.246251731066608</v>
      </c>
      <c r="V39" s="134"/>
      <c r="W39" s="134"/>
      <c r="X39" s="34" t="n">
        <v>10.108</v>
      </c>
      <c r="Y39" s="34" t="n">
        <v>9.87743054611618</v>
      </c>
      <c r="Z39" s="34" t="n">
        <v>0.769</v>
      </c>
      <c r="AA39" s="34" t="n">
        <v>0.751458655516753</v>
      </c>
      <c r="AB39" s="34" t="n">
        <v>3.47</v>
      </c>
      <c r="AC39" s="34" t="n">
        <v>3.39084724921084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9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22" t="n">
        <v>36.2028</v>
      </c>
      <c r="H40" s="124" t="n">
        <v>40</v>
      </c>
      <c r="I40" s="124" t="n">
        <v>38.5</v>
      </c>
      <c r="J40" s="134"/>
      <c r="K40" s="135"/>
      <c r="L40" s="135"/>
      <c r="M40" s="135"/>
      <c r="N40" s="136"/>
      <c r="O40" s="135"/>
      <c r="P40" s="134" t="n">
        <v>4.312</v>
      </c>
      <c r="Q40" s="134"/>
      <c r="R40" s="134"/>
      <c r="S40" s="186" t="n">
        <v>187.9</v>
      </c>
      <c r="T40" s="34" t="n">
        <v>0.051</v>
      </c>
      <c r="U40" s="34" t="n">
        <v>0.0498366598587184</v>
      </c>
      <c r="V40" s="134"/>
      <c r="W40" s="134"/>
      <c r="X40" s="34" t="n">
        <v>1.099</v>
      </c>
      <c r="Y40" s="34" t="n">
        <v>1.07393116048493</v>
      </c>
      <c r="Z40" s="34" t="n">
        <v>0.275</v>
      </c>
      <c r="AA40" s="34" t="n">
        <v>0.268727087473481</v>
      </c>
      <c r="AB40" s="34" t="n">
        <v>2.04</v>
      </c>
      <c r="AC40" s="34" t="n">
        <v>1.99346639434873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30"/>
      <c r="AY40" s="138"/>
      <c r="AZ40" s="138"/>
      <c r="BA40" s="138"/>
      <c r="BB40" s="139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36.2071</v>
      </c>
      <c r="H41" s="124" t="n">
        <v>40</v>
      </c>
      <c r="I41" s="124" t="n">
        <v>38.5</v>
      </c>
      <c r="J41" s="134"/>
      <c r="K41" s="135"/>
      <c r="L41" s="135"/>
      <c r="M41" s="135"/>
      <c r="N41" s="136"/>
      <c r="O41" s="135"/>
      <c r="P41" s="134" t="n">
        <v>4.348</v>
      </c>
      <c r="Q41" s="134"/>
      <c r="R41" s="134"/>
      <c r="S41" s="186" t="n">
        <v>189.4</v>
      </c>
      <c r="T41" s="34" t="n">
        <v>0.063</v>
      </c>
      <c r="U41" s="34" t="n">
        <v>0.0615629327666521</v>
      </c>
      <c r="V41" s="134"/>
      <c r="W41" s="134"/>
      <c r="X41" s="34" t="n">
        <v>1.657</v>
      </c>
      <c r="Y41" s="34" t="n">
        <v>1.61920285070385</v>
      </c>
      <c r="Z41" s="34" t="n">
        <v>0.303</v>
      </c>
      <c r="AA41" s="34" t="n">
        <v>0.296088390925327</v>
      </c>
      <c r="AB41" s="34" t="n">
        <v>2.12</v>
      </c>
      <c r="AC41" s="34" t="n">
        <v>2.07164154706829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9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35.7495</v>
      </c>
      <c r="H42" s="124" t="n">
        <v>20</v>
      </c>
      <c r="I42" s="124" t="n">
        <v>19.2</v>
      </c>
      <c r="J42" s="134"/>
      <c r="K42" s="135"/>
      <c r="L42" s="135"/>
      <c r="M42" s="135"/>
      <c r="N42" s="136"/>
      <c r="O42" s="135"/>
      <c r="P42" s="134" t="n">
        <v>4.411</v>
      </c>
      <c r="Q42" s="134"/>
      <c r="R42" s="134"/>
      <c r="S42" s="186" t="n">
        <v>192.4</v>
      </c>
      <c r="T42" s="34" t="n">
        <v>0.000999999999999994</v>
      </c>
      <c r="U42" s="34" t="n">
        <v>0.000977189408994472</v>
      </c>
      <c r="V42" s="134"/>
      <c r="W42" s="134"/>
      <c r="X42" s="34" t="n">
        <v>0.099</v>
      </c>
      <c r="Y42" s="34" t="n">
        <v>0.0967417514904533</v>
      </c>
      <c r="Z42" s="34" t="n">
        <v>0.117</v>
      </c>
      <c r="AA42" s="34" t="n">
        <v>0.114331160852354</v>
      </c>
      <c r="AB42" s="34" t="n">
        <v>1.86</v>
      </c>
      <c r="AC42" s="34" t="n">
        <v>1.81757230072973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9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35.6705</v>
      </c>
      <c r="H43" s="124" t="n">
        <v>10</v>
      </c>
      <c r="I43" s="124" t="n">
        <v>9.6</v>
      </c>
      <c r="J43" s="134"/>
      <c r="K43" s="135"/>
      <c r="L43" s="135"/>
      <c r="M43" s="135"/>
      <c r="N43" s="136"/>
      <c r="O43" s="135"/>
      <c r="P43" s="134" t="n">
        <v>4.442</v>
      </c>
      <c r="Q43" s="134"/>
      <c r="R43" s="134"/>
      <c r="S43" s="186" t="n">
        <v>193.8</v>
      </c>
      <c r="T43" s="34" t="n">
        <v>0</v>
      </c>
      <c r="U43" s="34" t="n">
        <v>0</v>
      </c>
      <c r="V43" s="134"/>
      <c r="W43" s="134"/>
      <c r="X43" s="34" t="n">
        <v>0.09</v>
      </c>
      <c r="Y43" s="34" t="n">
        <v>0.087947046809503</v>
      </c>
      <c r="Z43" s="34" t="n">
        <v>0.107</v>
      </c>
      <c r="AA43" s="34" t="n">
        <v>0.104559266762409</v>
      </c>
      <c r="AB43" s="34" t="n">
        <v>1.88</v>
      </c>
      <c r="AC43" s="34" t="n">
        <v>1.83711608890962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30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35.6435</v>
      </c>
      <c r="H44" s="124" t="n">
        <v>0</v>
      </c>
      <c r="I44" s="124" t="n">
        <v>1.27</v>
      </c>
      <c r="J44" s="134"/>
      <c r="K44" s="135"/>
      <c r="L44" s="135"/>
      <c r="M44" s="135"/>
      <c r="N44" s="136"/>
      <c r="O44" s="135"/>
      <c r="P44" s="134" t="n">
        <v>4.507</v>
      </c>
      <c r="Q44" s="134"/>
      <c r="R44" s="134"/>
      <c r="S44" s="186" t="n">
        <v>196.7</v>
      </c>
      <c r="T44" s="34" t="n">
        <v>0.008</v>
      </c>
      <c r="U44" s="34" t="n">
        <v>0.00781751527195582</v>
      </c>
      <c r="V44" s="134"/>
      <c r="W44" s="134"/>
      <c r="X44" s="34" t="n">
        <v>0.092</v>
      </c>
      <c r="Y44" s="34" t="n">
        <v>0.0899014256274919</v>
      </c>
      <c r="Z44" s="34" t="n">
        <v>0.101</v>
      </c>
      <c r="AA44" s="34" t="n">
        <v>0.0986961303084422</v>
      </c>
      <c r="AB44" s="34" t="n">
        <v>1.91</v>
      </c>
      <c r="AC44" s="34" t="n">
        <v>1.86643177117945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9"/>
      <c r="AY44" s="138"/>
      <c r="AZ44" s="138"/>
      <c r="BA44" s="138"/>
      <c r="BB44" s="139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7" t="s">
        <v>99</v>
      </c>
      <c r="H45" s="124" t="s">
        <v>99</v>
      </c>
      <c r="I45" s="148" t="s">
        <v>99</v>
      </c>
      <c r="J45" s="134"/>
      <c r="K45" s="135"/>
      <c r="L45" s="135"/>
      <c r="M45" s="135"/>
      <c r="N45" s="136"/>
      <c r="O45" s="135"/>
      <c r="P45" s="185" t="s">
        <v>99</v>
      </c>
      <c r="Q45" s="134"/>
      <c r="R45" s="134"/>
      <c r="S45" s="186" t="s">
        <v>99</v>
      </c>
      <c r="T45" s="134"/>
      <c r="U45" s="134"/>
      <c r="V45" s="34"/>
      <c r="W45" s="34"/>
      <c r="X45" s="134"/>
      <c r="Y45" s="134"/>
      <c r="Z45" s="134"/>
      <c r="AA45" s="134"/>
      <c r="AB45" s="134"/>
      <c r="AC45" s="134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9"/>
      <c r="AY45" s="138"/>
      <c r="AZ45" s="138"/>
      <c r="BA45" s="138"/>
      <c r="BB45" s="139"/>
    </row>
    <row r="46" customFormat="false" ht="15.6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 t="str">
        <f aca="false">IF(ISBLANK(D46),"",IF(VLOOKUP(D46,#REF!,2)=0,"",IF(D46&gt;#REF!,"Mauvais numéro",IF(D46&lt;#REF!,"Mauvais numéro",(VLOOKUP(D46,#REF!,3))))))</f>
        <v/>
      </c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56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7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6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 t="str">
        <f aca="false">IF(ISBLANK(D47),"",IF(VLOOKUP(D47,#REF!,2)=0,"",IF(D47&gt;#REF!,"Mauvais numéro",IF(D47&lt;#REF!,"Mauvais numéro",(VLOOKUP(D47,#REF!,3))))))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62"/>
      <c r="Q47" s="157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2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6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 t="str">
        <f aca="false">IF(ISBLANK(D48),"",IF(VLOOKUP(D48,#REF!,2)=0,"",IF(D48&gt;#REF!,"Mauvais numéro",IF(D48&lt;#REF!,"Mauvais numéro",(VLOOKUP(D48,#REF!,3))))))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62"/>
      <c r="Q48" s="157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2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6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 t="str">
        <f aca="false">IF(ISBLANK(D49),"",IF(VLOOKUP(D49,#REF!,2)=0,"",IF(D49&gt;#REF!,"Mauvais numéro",IF(D49&lt;#REF!,"Mauvais numéro",(VLOOKUP(D49,#REF!,3))))))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6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7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6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 t="str">
        <f aca="false">IF(ISBLANK(D50),"",IF(VLOOKUP(D50,#REF!,2)=0,"",IF(D50&gt;#REF!,"Mauvais numéro",IF(D50&lt;#REF!,"Mauvais numéro",(VLOOKUP(D50,#REF!,3))))))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6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7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 t="str">
        <f aca="false">IF(ISBLANK(D51),"",IF(VLOOKUP(D51,#REF!,2)=0,"",IF(D51&gt;#REF!,"Mauvais numéro",IF(D51&lt;#REF!,"Mauvais numéro",(VLOOKUP(D51,#REF!,3))))))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6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7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 t="str">
        <f aca="false">IF(ISBLANK(D52),"",IF(VLOOKUP(D52,#REF!,2)=0,"",IF(D52&gt;#REF!,"Mauvais numéro",IF(D52&lt;#REF!,"Mauvais numéro",(VLOOKUP(D52,#REF!,3))))))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6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7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 t="str">
        <f aca="false">IF(ISBLANK(D53),"",IF(VLOOKUP(D53,#REF!,2)=0,"",IF(D53&gt;#REF!,"Mauvais numéro",IF(D53&lt;#REF!,"Mauvais numéro",(VLOOKUP(D53,#REF!,3))))))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6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7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 t="str">
        <f aca="false">IF(ISBLANK(D54),"",IF(VLOOKUP(D54,#REF!,2)=0,"",IF(D54&gt;#REF!,"Mauvais numéro",IF(D54&lt;#REF!,"Mauvais numéro",(VLOOKUP(D54,#REF!,3))))))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6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7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 t="str">
        <f aca="false">IF(ISBLANK(D55),"",IF(VLOOKUP(D55,#REF!,2)=0,"",IF(D55&gt;#REF!,"Mauvais numéro",IF(D55&lt;#REF!,"Mauvais numéro",(VLOOKUP(D55,#REF!,3))))))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6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7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 t="str">
        <f aca="false">IF(ISBLANK(D56),"",IF(VLOOKUP(D56,#REF!,2)=0,"",IF(D56&gt;#REF!,"Mauvais numéro",IF(D56&lt;#REF!,"Mauvais numéro",(VLOOKUP(D56,#REF!,3))))))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6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7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 t="str">
        <f aca="false">IF(ISBLANK(D57),"",IF(VLOOKUP(D57,#REF!,2)=0,"",IF(D57&gt;#REF!,"Mauvais numéro",IF(D57&lt;#REF!,"Mauvais numéro",(VLOOKUP(D57,#REF!,3))))))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6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7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IF(ISBLANK(D58),"",IF(VLOOKUP(D58,#REF!,2)=0,"",IF(D58&gt;#REF!,"Mauvais numéro",IF(D58&lt;#REF!,"Mauvais numéro",(VLOOKUP(D58,#REF!,3))))))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J45" activeCellId="0" sqref="J4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37779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59.79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-0°59,79</v>
      </c>
      <c r="P9" s="31" t="s">
        <v>16</v>
      </c>
      <c r="Q9" s="35" t="n">
        <f aca="false">IF(ISBLANK(I9),"",IF(ISBLANK(J9),"",IF(J9&gt;60,"ERREUR !!",O11*(I9+(J9/60)))))</f>
        <v>-0.9965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59.75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5°59,75</v>
      </c>
      <c r="P10" s="31" t="s">
        <v>14</v>
      </c>
      <c r="Q10" s="35" t="n">
        <f aca="false">IF(ISBLANK(I10),"",IF(ISBLANK(J10),"",IF(J10&gt;60,"ERREUR !!",O12*(I10+(J10/60)))))</f>
        <v>5.99583333333333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37779</v>
      </c>
      <c r="K11" s="40"/>
      <c r="L11" s="40"/>
      <c r="M11" s="40"/>
      <c r="N11" s="41" t="str">
        <f aca="false">I9&amp;"°"&amp;J9</f>
        <v>0°59,79</v>
      </c>
      <c r="O11" s="42" t="n">
        <f aca="false">IF(P9=M10,-1,1)</f>
        <v>-1</v>
      </c>
      <c r="P11" s="43" t="str">
        <f aca="false">TEXT(J11,"aaaa-mm-jj")&amp;"T"&amp;TEXT(J12,"hh:mm:ss")&amp;"z"</f>
        <v>2007-06-08T15:00:00z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0.625</v>
      </c>
      <c r="K12" s="48"/>
      <c r="L12" s="48"/>
      <c r="M12" s="48"/>
      <c r="N12" s="49" t="str">
        <f aca="false">I10&amp;"°"&amp;J10</f>
        <v>5°59,75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34.6309</v>
      </c>
      <c r="H35" s="123" t="n">
        <v>500</v>
      </c>
      <c r="I35" s="124" t="n">
        <v>500</v>
      </c>
      <c r="J35" s="125"/>
      <c r="K35" s="126"/>
      <c r="L35" s="126"/>
      <c r="M35" s="126"/>
      <c r="N35" s="127"/>
      <c r="O35" s="126"/>
      <c r="P35" s="125" t="n">
        <v>2.448</v>
      </c>
      <c r="Q35" s="125"/>
      <c r="R35" s="125"/>
      <c r="S35" s="184" t="n">
        <v>106.5</v>
      </c>
      <c r="T35" s="34" t="n">
        <v>0.017</v>
      </c>
      <c r="U35" s="34" t="n">
        <v>0.0166122199529061</v>
      </c>
      <c r="V35" s="125"/>
      <c r="W35" s="125"/>
      <c r="X35" s="34" t="n">
        <v>35.033</v>
      </c>
      <c r="Y35" s="34" t="n">
        <v>34.2338765653035</v>
      </c>
      <c r="Z35" s="34" t="n">
        <v>2.2</v>
      </c>
      <c r="AA35" s="34" t="n">
        <v>2.14981669978785</v>
      </c>
      <c r="AB35" s="34" t="n">
        <v>20.27</v>
      </c>
      <c r="AC35" s="34" t="n">
        <v>19.8076293203181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35.0244</v>
      </c>
      <c r="H36" s="124" t="n">
        <v>300</v>
      </c>
      <c r="I36" s="124" t="n">
        <v>294</v>
      </c>
      <c r="J36" s="134"/>
      <c r="K36" s="135"/>
      <c r="L36" s="135"/>
      <c r="M36" s="135"/>
      <c r="N36" s="136"/>
      <c r="O36" s="135"/>
      <c r="P36" s="134" t="n">
        <v>1.344</v>
      </c>
      <c r="Q36" s="134"/>
      <c r="R36" s="134"/>
      <c r="S36" s="186" t="n">
        <v>58.5</v>
      </c>
      <c r="T36" s="34" t="n">
        <v>0.031</v>
      </c>
      <c r="U36" s="34" t="n">
        <v>0.0302928716788288</v>
      </c>
      <c r="V36" s="134"/>
      <c r="W36" s="134"/>
      <c r="X36" s="34" t="n">
        <v>32.209</v>
      </c>
      <c r="Y36" s="34" t="n">
        <v>31.4742936743031</v>
      </c>
      <c r="Z36" s="34" t="n">
        <v>1.966</v>
      </c>
      <c r="AA36" s="34" t="n">
        <v>1.92115437808314</v>
      </c>
      <c r="AB36" s="34" t="n">
        <v>12.77</v>
      </c>
      <c r="AC36" s="34" t="n">
        <v>12.4787087528595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35.9288</v>
      </c>
      <c r="H37" s="124" t="n">
        <v>100</v>
      </c>
      <c r="I37" s="124" t="n">
        <v>99</v>
      </c>
      <c r="J37" s="134"/>
      <c r="K37" s="135"/>
      <c r="L37" s="135"/>
      <c r="M37" s="135"/>
      <c r="N37" s="136"/>
      <c r="O37" s="135"/>
      <c r="P37" s="134" t="n">
        <v>3.441</v>
      </c>
      <c r="Q37" s="134"/>
      <c r="R37" s="134"/>
      <c r="S37" s="186" t="n">
        <v>149.8</v>
      </c>
      <c r="T37" s="34" t="n">
        <v>0.074</v>
      </c>
      <c r="U37" s="34" t="n">
        <v>0.0723120162655913</v>
      </c>
      <c r="V37" s="134"/>
      <c r="W37" s="134"/>
      <c r="X37" s="34" t="n">
        <v>11.336</v>
      </c>
      <c r="Y37" s="34" t="n">
        <v>11.0774191403614</v>
      </c>
      <c r="Z37" s="34" t="n">
        <v>0.836</v>
      </c>
      <c r="AA37" s="34" t="n">
        <v>0.816930345919383</v>
      </c>
      <c r="AB37" s="34" t="n">
        <v>3.98</v>
      </c>
      <c r="AC37" s="34" t="n">
        <v>3.88921384779802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35.9601</v>
      </c>
      <c r="H38" s="124" t="n">
        <v>80</v>
      </c>
      <c r="I38" s="124" t="n">
        <v>80</v>
      </c>
      <c r="J38" s="134"/>
      <c r="K38" s="135"/>
      <c r="L38" s="135"/>
      <c r="M38" s="135"/>
      <c r="N38" s="136"/>
      <c r="O38" s="135"/>
      <c r="P38" s="134" t="n">
        <v>3.467</v>
      </c>
      <c r="Q38" s="134"/>
      <c r="R38" s="134"/>
      <c r="S38" s="186" t="n">
        <v>150.9</v>
      </c>
      <c r="T38" s="34" t="n">
        <v>0.101</v>
      </c>
      <c r="U38" s="34" t="n">
        <v>0.0986961303084422</v>
      </c>
      <c r="V38" s="134"/>
      <c r="W38" s="134"/>
      <c r="X38" s="34" t="n">
        <v>10.779</v>
      </c>
      <c r="Y38" s="34" t="n">
        <v>10.5331246395515</v>
      </c>
      <c r="Z38" s="34" t="n">
        <v>0.802</v>
      </c>
      <c r="AA38" s="34" t="n">
        <v>0.783705906013571</v>
      </c>
      <c r="AB38" s="34" t="n">
        <v>3.92</v>
      </c>
      <c r="AC38" s="34" t="n">
        <v>3.83058248325835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30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35.9951</v>
      </c>
      <c r="H39" s="124" t="n">
        <v>60</v>
      </c>
      <c r="I39" s="124" t="n">
        <v>59</v>
      </c>
      <c r="J39" s="134"/>
      <c r="K39" s="135"/>
      <c r="L39" s="135"/>
      <c r="M39" s="135"/>
      <c r="N39" s="136"/>
      <c r="O39" s="135"/>
      <c r="P39" s="134" t="n">
        <v>3.486</v>
      </c>
      <c r="Q39" s="134"/>
      <c r="R39" s="134"/>
      <c r="S39" s="186" t="n">
        <v>151.8</v>
      </c>
      <c r="T39" s="34" t="n">
        <v>0.166</v>
      </c>
      <c r="U39" s="34" t="n">
        <v>0.162213441893083</v>
      </c>
      <c r="V39" s="134"/>
      <c r="W39" s="134"/>
      <c r="X39" s="34" t="n">
        <v>10.344</v>
      </c>
      <c r="Y39" s="34" t="n">
        <v>10.1080472466389</v>
      </c>
      <c r="Z39" s="34" t="n">
        <v>0.78</v>
      </c>
      <c r="AA39" s="34" t="n">
        <v>0.762207739015692</v>
      </c>
      <c r="AB39" s="34" t="n">
        <v>3.74</v>
      </c>
      <c r="AC39" s="34" t="n">
        <v>3.65468838963935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9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36.2738</v>
      </c>
      <c r="H40" s="124" t="n">
        <v>40</v>
      </c>
      <c r="I40" s="124" t="n">
        <v>38</v>
      </c>
      <c r="J40" s="134"/>
      <c r="K40" s="135"/>
      <c r="L40" s="135"/>
      <c r="M40" s="135"/>
      <c r="N40" s="136"/>
      <c r="O40" s="135"/>
      <c r="P40" s="134" t="n">
        <v>3.926</v>
      </c>
      <c r="Q40" s="134"/>
      <c r="R40" s="134"/>
      <c r="S40" s="186" t="n">
        <v>171</v>
      </c>
      <c r="T40" s="34" t="n">
        <v>0.256</v>
      </c>
      <c r="U40" s="34" t="n">
        <v>0.250160488702586</v>
      </c>
      <c r="V40" s="134"/>
      <c r="W40" s="134"/>
      <c r="X40" s="34" t="n">
        <v>4.464</v>
      </c>
      <c r="Y40" s="34" t="n">
        <v>4.36217352175135</v>
      </c>
      <c r="Z40" s="34" t="n">
        <v>0.497</v>
      </c>
      <c r="AA40" s="34" t="n">
        <v>0.485663136270255</v>
      </c>
      <c r="AB40" s="34" t="n">
        <v>2.57</v>
      </c>
      <c r="AC40" s="34" t="n">
        <v>2.51137678111581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30"/>
      <c r="AY40" s="138"/>
      <c r="AZ40" s="138"/>
      <c r="BA40" s="138"/>
      <c r="BB40" s="139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35.868</v>
      </c>
      <c r="H41" s="124" t="n">
        <v>20</v>
      </c>
      <c r="I41" s="124" t="n">
        <v>20</v>
      </c>
      <c r="J41" s="134"/>
      <c r="K41" s="135"/>
      <c r="L41" s="135"/>
      <c r="M41" s="135"/>
      <c r="N41" s="136"/>
      <c r="O41" s="135"/>
      <c r="P41" s="134" t="n">
        <v>4.406</v>
      </c>
      <c r="Q41" s="134"/>
      <c r="R41" s="134"/>
      <c r="S41" s="186" t="n">
        <v>192.2</v>
      </c>
      <c r="T41" s="34" t="n">
        <v>0.031</v>
      </c>
      <c r="U41" s="34" t="n">
        <v>0.0302928716788288</v>
      </c>
      <c r="V41" s="134"/>
      <c r="W41" s="134"/>
      <c r="X41" s="34" t="n">
        <v>0.149</v>
      </c>
      <c r="Y41" s="34" t="n">
        <v>0.145601221940177</v>
      </c>
      <c r="Z41" s="34" t="n">
        <v>0.156</v>
      </c>
      <c r="AA41" s="34" t="n">
        <v>0.152441547803138</v>
      </c>
      <c r="AB41" s="34" t="n">
        <v>1.92</v>
      </c>
      <c r="AC41" s="34" t="n">
        <v>1.8762036652694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9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22" t="n">
        <v>35.7281</v>
      </c>
      <c r="H42" s="124" t="n">
        <v>10</v>
      </c>
      <c r="I42" s="124" t="n">
        <v>10</v>
      </c>
      <c r="J42" s="134"/>
      <c r="K42" s="135"/>
      <c r="L42" s="135"/>
      <c r="M42" s="135"/>
      <c r="N42" s="136"/>
      <c r="O42" s="135"/>
      <c r="P42" s="134" t="n">
        <v>4.485</v>
      </c>
      <c r="Q42" s="134"/>
      <c r="R42" s="134"/>
      <c r="S42" s="186" t="n">
        <v>195.7</v>
      </c>
      <c r="T42" s="34" t="n">
        <v>0.007</v>
      </c>
      <c r="U42" s="34" t="n">
        <v>0.00684032586296134</v>
      </c>
      <c r="V42" s="134"/>
      <c r="W42" s="134"/>
      <c r="X42" s="34" t="n">
        <v>0.033</v>
      </c>
      <c r="Y42" s="34" t="n">
        <v>0.0322472504968178</v>
      </c>
      <c r="Z42" s="34" t="n">
        <v>0.118</v>
      </c>
      <c r="AA42" s="34" t="n">
        <v>0.115308350261348</v>
      </c>
      <c r="AB42" s="34" t="n">
        <v>1.92</v>
      </c>
      <c r="AC42" s="34" t="n">
        <v>1.8762036652694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9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22" t="n">
        <v>35.7228</v>
      </c>
      <c r="H43" s="124" t="n">
        <v>10</v>
      </c>
      <c r="I43" s="124" t="n">
        <v>10</v>
      </c>
      <c r="J43" s="134"/>
      <c r="K43" s="135"/>
      <c r="L43" s="135"/>
      <c r="M43" s="135"/>
      <c r="N43" s="136"/>
      <c r="O43" s="135"/>
      <c r="P43" s="134" t="n">
        <v>4.49</v>
      </c>
      <c r="Q43" s="134"/>
      <c r="R43" s="134"/>
      <c r="S43" s="186" t="n">
        <v>195.9</v>
      </c>
      <c r="T43" s="34" t="n">
        <v>0.005</v>
      </c>
      <c r="U43" s="34" t="n">
        <v>0.00488594704497238</v>
      </c>
      <c r="V43" s="134"/>
      <c r="W43" s="134"/>
      <c r="X43" s="34" t="n">
        <v>0.035</v>
      </c>
      <c r="Y43" s="34" t="n">
        <v>0.0342016293148067</v>
      </c>
      <c r="Z43" s="34" t="n">
        <v>0.123</v>
      </c>
      <c r="AA43" s="34" t="n">
        <v>0.120194297306321</v>
      </c>
      <c r="AB43" s="34" t="n">
        <v>1.83</v>
      </c>
      <c r="AC43" s="34" t="n">
        <v>1.78825661845989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30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35.6858</v>
      </c>
      <c r="H44" s="124" t="n">
        <v>0</v>
      </c>
      <c r="I44" s="124" t="n">
        <v>1</v>
      </c>
      <c r="J44" s="134"/>
      <c r="K44" s="135"/>
      <c r="L44" s="135"/>
      <c r="M44" s="135"/>
      <c r="N44" s="136"/>
      <c r="O44" s="135"/>
      <c r="P44" s="134" t="n">
        <v>4.502</v>
      </c>
      <c r="Q44" s="134"/>
      <c r="R44" s="134"/>
      <c r="S44" s="186" t="n">
        <v>196.4</v>
      </c>
      <c r="T44" s="34" t="n">
        <v>0.005</v>
      </c>
      <c r="U44" s="34" t="n">
        <v>0.00488594704497238</v>
      </c>
      <c r="V44" s="134"/>
      <c r="W44" s="134"/>
      <c r="X44" s="34" t="n">
        <v>0.015</v>
      </c>
      <c r="Y44" s="34" t="n">
        <v>0.0146578411349172</v>
      </c>
      <c r="Z44" s="34" t="n">
        <v>0.11</v>
      </c>
      <c r="AA44" s="34" t="n">
        <v>0.107490834989393</v>
      </c>
      <c r="AB44" s="34" t="n">
        <v>1.72</v>
      </c>
      <c r="AC44" s="34" t="n">
        <v>1.6807657834705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9"/>
      <c r="AY44" s="138"/>
      <c r="AZ44" s="138"/>
      <c r="BA44" s="138"/>
      <c r="BB44" s="139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7" t="s">
        <v>99</v>
      </c>
      <c r="H45" s="124" t="s">
        <v>99</v>
      </c>
      <c r="I45" s="148" t="s">
        <v>99</v>
      </c>
      <c r="J45" s="134"/>
      <c r="K45" s="135"/>
      <c r="L45" s="135"/>
      <c r="M45" s="135"/>
      <c r="N45" s="136"/>
      <c r="O45" s="135"/>
      <c r="P45" s="185"/>
      <c r="Q45" s="134"/>
      <c r="R45" s="134"/>
      <c r="S45" s="186" t="s">
        <v>99</v>
      </c>
      <c r="T45" s="134"/>
      <c r="U45" s="134"/>
      <c r="V45" s="34"/>
      <c r="W45" s="34"/>
      <c r="X45" s="134"/>
      <c r="Y45" s="134"/>
      <c r="Z45" s="134"/>
      <c r="AA45" s="134"/>
      <c r="AB45" s="134"/>
      <c r="AC45" s="134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9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 t="str">
        <f aca="false">IF(ISBLANK(D46),"",IF(VLOOKUP(D46,#REF!,2)=0,"",IF(D46&gt;#REF!,"Mauvais numéro",IF(D46&lt;#REF!,"Mauvais numéro",(VLOOKUP(D46,#REF!,3))))))</f>
        <v/>
      </c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56"/>
      <c r="Q46" s="157"/>
      <c r="R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 t="str">
        <f aca="false">IF(ISBLANK(D47),"",IF(VLOOKUP(D47,#REF!,2)=0,"",IF(D47&gt;#REF!,"Mauvais numéro",IF(D47&lt;#REF!,"Mauvais numéro",(VLOOKUP(D47,#REF!,3))))))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62"/>
      <c r="Q47" s="157"/>
      <c r="R47" s="13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2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 t="str">
        <f aca="false">IF(ISBLANK(D48),"",IF(VLOOKUP(D48,#REF!,2)=0,"",IF(D48&gt;#REF!,"Mauvais numéro",IF(D48&lt;#REF!,"Mauvais numéro",(VLOOKUP(D48,#REF!,3))))))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62"/>
      <c r="Q48" s="157"/>
      <c r="R48" s="13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2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 t="str">
        <f aca="false">IF(ISBLANK(D49),"",IF(VLOOKUP(D49,#REF!,2)=0,"",IF(D49&gt;#REF!,"Mauvais numéro",IF(D49&lt;#REF!,"Mauvais numéro",(VLOOKUP(D49,#REF!,3))))))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64"/>
      <c r="Q49" s="157"/>
      <c r="R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 t="str">
        <f aca="false">IF(ISBLANK(D50),"",IF(VLOOKUP(D50,#REF!,2)=0,"",IF(D50&gt;#REF!,"Mauvais numéro",IF(D50&lt;#REF!,"Mauvais numéro",(VLOOKUP(D50,#REF!,3))))))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64"/>
      <c r="Q50" s="157"/>
      <c r="R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 t="str">
        <f aca="false">IF(ISBLANK(D51),"",IF(VLOOKUP(D51,#REF!,2)=0,"",IF(D51&gt;#REF!,"Mauvais numéro",IF(D51&lt;#REF!,"Mauvais numéro",(VLOOKUP(D51,#REF!,3))))))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6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7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 t="str">
        <f aca="false">IF(ISBLANK(D52),"",IF(VLOOKUP(D52,#REF!,2)=0,"",IF(D52&gt;#REF!,"Mauvais numéro",IF(D52&lt;#REF!,"Mauvais numéro",(VLOOKUP(D52,#REF!,3))))))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6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7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 t="str">
        <f aca="false">IF(ISBLANK(D53),"",IF(VLOOKUP(D53,#REF!,2)=0,"",IF(D53&gt;#REF!,"Mauvais numéro",IF(D53&lt;#REF!,"Mauvais numéro",(VLOOKUP(D53,#REF!,3))))))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6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7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 t="str">
        <f aca="false">IF(ISBLANK(D54),"",IF(VLOOKUP(D54,#REF!,2)=0,"",IF(D54&gt;#REF!,"Mauvais numéro",IF(D54&lt;#REF!,"Mauvais numéro",(VLOOKUP(D54,#REF!,3))))))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6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7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 t="str">
        <f aca="false">IF(ISBLANK(D55),"",IF(VLOOKUP(D55,#REF!,2)=0,"",IF(D55&gt;#REF!,"Mauvais numéro",IF(D55&lt;#REF!,"Mauvais numéro",(VLOOKUP(D55,#REF!,3))))))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6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7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 t="str">
        <f aca="false">IF(ISBLANK(D56),"",IF(VLOOKUP(D56,#REF!,2)=0,"",IF(D56&gt;#REF!,"Mauvais numéro",IF(D56&lt;#REF!,"Mauvais numéro",(VLOOKUP(D56,#REF!,3))))))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6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7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 t="str">
        <f aca="false">IF(ISBLANK(D57),"",IF(VLOOKUP(D57,#REF!,2)=0,"",IF(D57&gt;#REF!,"Mauvais numéro",IF(D57&lt;#REF!,"Mauvais numéro",(VLOOKUP(D57,#REF!,3))))))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6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7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IF(ISBLANK(D58),"",IF(VLOOKUP(D58,#REF!,2)=0,"",IF(D58&gt;#REF!,"Mauvais numéro",IF(D58&lt;#REF!,"Mauvais numéro",(VLOOKUP(D58,#REF!,3))))))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2" activeCellId="0" sqref="H42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59.25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-5°59,25</v>
      </c>
      <c r="P9" s="31" t="s">
        <v>16</v>
      </c>
      <c r="Q9" s="35" t="n">
        <f aca="false">IF(ISBLANK(I9),"",IF(ISBLANK(J9),"",IF(J9&gt;60,"ERREUR !!",O11*(I9+(J9/60)))))</f>
        <v>-5.9875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59.71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7°59,71</v>
      </c>
      <c r="P10" s="31" t="s">
        <v>14</v>
      </c>
      <c r="Q10" s="35" t="n">
        <f aca="false">IF(ISBLANK(I10),"",IF(ISBLANK(J10),"",IF(J10&gt;60,"ERREUR !!",O12*(I10+(J10/60)))))</f>
        <v>7.99516666666667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37781</v>
      </c>
      <c r="K11" s="40"/>
      <c r="L11" s="40"/>
      <c r="M11" s="40"/>
      <c r="N11" s="41" t="str">
        <f aca="false">I9&amp;"°"&amp;J9</f>
        <v>5°59,25</v>
      </c>
      <c r="O11" s="42" t="n">
        <f aca="false">IF(P9=M10,-1,1)</f>
        <v>-1</v>
      </c>
      <c r="P11" s="43" t="str">
        <f aca="false">TEXT(J11,"aaaa-mm-jj")&amp;"T"&amp;TEXT(J12,"hh:mm:ss")&amp;"z"</f>
        <v>2007-06-10T22:30:00z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0.9375</v>
      </c>
      <c r="K12" s="48"/>
      <c r="L12" s="48"/>
      <c r="M12" s="48"/>
      <c r="N12" s="49" t="str">
        <f aca="false">I10&amp;"°"&amp;J10</f>
        <v>7°59,71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34.6552</v>
      </c>
      <c r="H35" s="123" t="n">
        <v>500</v>
      </c>
      <c r="I35" s="124" t="n">
        <v>501</v>
      </c>
      <c r="J35" s="125"/>
      <c r="K35" s="126"/>
      <c r="L35" s="126"/>
      <c r="M35" s="126"/>
      <c r="N35" s="127"/>
      <c r="O35" s="126"/>
      <c r="P35" s="188" t="n">
        <v>1.238</v>
      </c>
      <c r="Q35" s="125"/>
      <c r="R35" s="125"/>
      <c r="S35" s="184" t="n">
        <v>53.8</v>
      </c>
      <c r="T35" s="34" t="n">
        <v>0.012</v>
      </c>
      <c r="U35" s="34" t="n">
        <v>0.0117262729079337</v>
      </c>
      <c r="V35" s="125"/>
      <c r="W35" s="125"/>
      <c r="X35" s="34" t="n">
        <v>40.378</v>
      </c>
      <c r="Y35" s="34" t="n">
        <v>39.456953956379</v>
      </c>
      <c r="Z35" s="34" t="n">
        <v>2.51</v>
      </c>
      <c r="AA35" s="34" t="n">
        <v>2.45274541657614</v>
      </c>
      <c r="AB35" s="34" t="n">
        <v>22.89</v>
      </c>
      <c r="AC35" s="34" t="n">
        <v>22.3678655718836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35.0218</v>
      </c>
      <c r="H36" s="124" t="n">
        <v>300</v>
      </c>
      <c r="I36" s="124" t="n">
        <v>300</v>
      </c>
      <c r="J36" s="134"/>
      <c r="K36" s="135"/>
      <c r="L36" s="135"/>
      <c r="M36" s="135"/>
      <c r="N36" s="136"/>
      <c r="O36" s="135"/>
      <c r="P36" s="188" t="n">
        <v>0.655</v>
      </c>
      <c r="Q36" s="134"/>
      <c r="R36" s="134"/>
      <c r="S36" s="186" t="n">
        <v>28.5</v>
      </c>
      <c r="T36" s="34" t="n">
        <v>0.011</v>
      </c>
      <c r="U36" s="34" t="n">
        <v>0.0107490834989392</v>
      </c>
      <c r="V36" s="134"/>
      <c r="W36" s="134"/>
      <c r="X36" s="34" t="n">
        <v>35.589</v>
      </c>
      <c r="Y36" s="34" t="n">
        <v>34.7771938767044</v>
      </c>
      <c r="Z36" s="34" t="n">
        <v>2.147</v>
      </c>
      <c r="AA36" s="34" t="n">
        <v>2.09802566111114</v>
      </c>
      <c r="AB36" s="34" t="n">
        <v>14.95</v>
      </c>
      <c r="AC36" s="34" t="n">
        <v>14.6089816644674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35.726</v>
      </c>
      <c r="H37" s="124" t="n">
        <v>100</v>
      </c>
      <c r="I37" s="124" t="n">
        <v>97</v>
      </c>
      <c r="J37" s="134"/>
      <c r="K37" s="135"/>
      <c r="L37" s="135"/>
      <c r="M37" s="135"/>
      <c r="N37" s="136"/>
      <c r="O37" s="135"/>
      <c r="P37" s="188" t="n">
        <v>2.058</v>
      </c>
      <c r="Q37" s="134"/>
      <c r="R37" s="134"/>
      <c r="S37" s="186" t="n">
        <v>89.6</v>
      </c>
      <c r="T37" s="34" t="n">
        <v>0.035</v>
      </c>
      <c r="U37" s="34" t="n">
        <v>0.0342016293148067</v>
      </c>
      <c r="V37" s="134"/>
      <c r="W37" s="134"/>
      <c r="X37" s="34" t="n">
        <v>19.355</v>
      </c>
      <c r="Y37" s="34" t="n">
        <v>18.9135010110881</v>
      </c>
      <c r="Z37" s="34" t="n">
        <v>1.284</v>
      </c>
      <c r="AA37" s="34" t="n">
        <v>1.25471120114891</v>
      </c>
      <c r="AB37" s="34" t="n">
        <v>6.19</v>
      </c>
      <c r="AC37" s="34" t="n">
        <v>6.04880244167582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35.7631</v>
      </c>
      <c r="H38" s="124" t="n">
        <v>80</v>
      </c>
      <c r="I38" s="124" t="n">
        <v>78.5</v>
      </c>
      <c r="J38" s="134"/>
      <c r="K38" s="135"/>
      <c r="L38" s="135"/>
      <c r="M38" s="135"/>
      <c r="N38" s="136"/>
      <c r="O38" s="135"/>
      <c r="P38" s="188" t="n">
        <v>2.259</v>
      </c>
      <c r="Q38" s="134"/>
      <c r="R38" s="134"/>
      <c r="S38" s="186" t="n">
        <v>98.4</v>
      </c>
      <c r="T38" s="34" t="n">
        <v>0.047</v>
      </c>
      <c r="U38" s="34" t="n">
        <v>0.0459279022227404</v>
      </c>
      <c r="V38" s="134"/>
      <c r="W38" s="134"/>
      <c r="X38" s="34" t="n">
        <v>17.473</v>
      </c>
      <c r="Y38" s="34" t="n">
        <v>17.0744305433605</v>
      </c>
      <c r="Z38" s="34" t="n">
        <v>1.186</v>
      </c>
      <c r="AA38" s="34" t="n">
        <v>1.15894663906745</v>
      </c>
      <c r="AB38" s="34" t="n">
        <v>4.92</v>
      </c>
      <c r="AC38" s="34" t="n">
        <v>4.80777189225283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35.9192</v>
      </c>
      <c r="H39" s="124" t="n">
        <v>60</v>
      </c>
      <c r="I39" s="124" t="n">
        <v>58.75</v>
      </c>
      <c r="J39" s="134"/>
      <c r="K39" s="135"/>
      <c r="L39" s="135"/>
      <c r="M39" s="135"/>
      <c r="N39" s="136"/>
      <c r="O39" s="135"/>
      <c r="P39" s="188" t="n">
        <v>2.691</v>
      </c>
      <c r="Q39" s="134"/>
      <c r="R39" s="134"/>
      <c r="S39" s="186" t="n">
        <v>117.2</v>
      </c>
      <c r="T39" s="34" t="n">
        <v>0.074</v>
      </c>
      <c r="U39" s="34" t="n">
        <v>0.0723120162655913</v>
      </c>
      <c r="V39" s="134"/>
      <c r="W39" s="134"/>
      <c r="X39" s="34" t="n">
        <v>13.496</v>
      </c>
      <c r="Y39" s="34" t="n">
        <v>13.1881482637895</v>
      </c>
      <c r="Z39" s="34" t="n">
        <v>0.981</v>
      </c>
      <c r="AA39" s="34" t="n">
        <v>0.958622810223582</v>
      </c>
      <c r="AB39" s="34" t="n">
        <v>4.11</v>
      </c>
      <c r="AC39" s="34" t="n">
        <v>4.0162484709673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36.0198</v>
      </c>
      <c r="H40" s="124" t="n">
        <v>40</v>
      </c>
      <c r="I40" s="124" t="n">
        <v>39.57</v>
      </c>
      <c r="J40" s="134"/>
      <c r="K40" s="135"/>
      <c r="L40" s="135"/>
      <c r="M40" s="135"/>
      <c r="N40" s="136"/>
      <c r="O40" s="135"/>
      <c r="P40" s="188" t="n">
        <v>3.252</v>
      </c>
      <c r="Q40" s="134"/>
      <c r="R40" s="134"/>
      <c r="S40" s="186" t="n">
        <v>141.6</v>
      </c>
      <c r="T40" s="34" t="n">
        <v>0.123</v>
      </c>
      <c r="U40" s="34" t="n">
        <v>0.120194297306321</v>
      </c>
      <c r="V40" s="134"/>
      <c r="W40" s="134"/>
      <c r="X40" s="34" t="n">
        <v>8.457</v>
      </c>
      <c r="Y40" s="34" t="n">
        <v>8.2640908318663</v>
      </c>
      <c r="Z40" s="34" t="n">
        <v>0.701</v>
      </c>
      <c r="AA40" s="34" t="n">
        <v>0.685009775705129</v>
      </c>
      <c r="AB40" s="34" t="n">
        <v>2.88</v>
      </c>
      <c r="AC40" s="34" t="n">
        <v>2.81430549790409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/>
      <c r="H41" s="124" t="n">
        <v>30</v>
      </c>
      <c r="I41" s="124" t="n">
        <v>29.2</v>
      </c>
      <c r="J41" s="134"/>
      <c r="K41" s="135"/>
      <c r="L41" s="135"/>
      <c r="M41" s="135"/>
      <c r="N41" s="136"/>
      <c r="O41" s="135"/>
      <c r="P41" s="188"/>
      <c r="Q41" s="134"/>
      <c r="R41" s="134"/>
      <c r="S41" s="134"/>
      <c r="T41" s="135"/>
      <c r="U41" s="135"/>
      <c r="V41" s="135"/>
      <c r="W41" s="136"/>
      <c r="X41" s="135"/>
      <c r="Y41" s="134"/>
      <c r="Z41" s="135"/>
      <c r="AA41" s="135"/>
      <c r="AB41" s="135"/>
      <c r="AC41" s="136"/>
      <c r="AD41" s="135"/>
      <c r="AE41" s="188"/>
      <c r="AF41" s="134"/>
      <c r="AG41" s="134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35.3865</v>
      </c>
      <c r="H42" s="124" t="n">
        <v>20</v>
      </c>
      <c r="I42" s="124" t="n">
        <v>18.2</v>
      </c>
      <c r="J42" s="134"/>
      <c r="K42" s="135"/>
      <c r="L42" s="135"/>
      <c r="M42" s="135"/>
      <c r="N42" s="136"/>
      <c r="O42" s="135"/>
      <c r="P42" s="188" t="n">
        <v>4.476</v>
      </c>
      <c r="Q42" s="134"/>
      <c r="R42" s="134"/>
      <c r="S42" s="186" t="n">
        <v>195.3</v>
      </c>
      <c r="T42" s="34" t="n">
        <v>0.015</v>
      </c>
      <c r="U42" s="34" t="n">
        <v>0.0146578411349172</v>
      </c>
      <c r="V42" s="134"/>
      <c r="W42" s="134"/>
      <c r="X42" s="34" t="n">
        <v>0.095</v>
      </c>
      <c r="Y42" s="34" t="n">
        <v>0.0928329938544754</v>
      </c>
      <c r="Z42" s="34" t="n">
        <v>0.129</v>
      </c>
      <c r="AA42" s="34" t="n">
        <v>0.126057433760288</v>
      </c>
      <c r="AB42" s="34" t="n">
        <v>1.97</v>
      </c>
      <c r="AC42" s="34" t="n">
        <v>1.92506313571912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34.3931</v>
      </c>
      <c r="H43" s="124" t="n">
        <v>10</v>
      </c>
      <c r="I43" s="124" t="n">
        <v>10.1</v>
      </c>
      <c r="J43" s="134"/>
      <c r="K43" s="135"/>
      <c r="L43" s="135"/>
      <c r="M43" s="135"/>
      <c r="N43" s="136"/>
      <c r="O43" s="135"/>
      <c r="P43" s="188" t="n">
        <v>4.546</v>
      </c>
      <c r="Q43" s="134"/>
      <c r="R43" s="134"/>
      <c r="S43" s="186" t="n">
        <v>198.5</v>
      </c>
      <c r="T43" s="34" t="n">
        <v>0.019</v>
      </c>
      <c r="U43" s="34" t="n">
        <v>0.0185665987708951</v>
      </c>
      <c r="V43" s="134"/>
      <c r="W43" s="134"/>
      <c r="X43" s="34" t="n">
        <v>0.091</v>
      </c>
      <c r="Y43" s="34" t="n">
        <v>0.0889242362184974</v>
      </c>
      <c r="Z43" s="34" t="n">
        <v>0.035</v>
      </c>
      <c r="AA43" s="34" t="n">
        <v>0.0342016293148067</v>
      </c>
      <c r="AB43" s="34" t="n">
        <v>1.95</v>
      </c>
      <c r="AC43" s="34" t="n">
        <v>1.90551934753923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33.9065</v>
      </c>
      <c r="H44" s="124" t="n">
        <v>0</v>
      </c>
      <c r="I44" s="124" t="n">
        <v>1.7</v>
      </c>
      <c r="J44" s="134"/>
      <c r="K44" s="135"/>
      <c r="L44" s="135"/>
      <c r="M44" s="135"/>
      <c r="N44" s="136"/>
      <c r="O44" s="135"/>
      <c r="P44" s="188" t="n">
        <v>4.555</v>
      </c>
      <c r="Q44" s="134"/>
      <c r="R44" s="134"/>
      <c r="S44" s="186" t="n">
        <v>199</v>
      </c>
      <c r="T44" s="34" t="n">
        <v>0.019</v>
      </c>
      <c r="U44" s="34" t="n">
        <v>0.0185665987708951</v>
      </c>
      <c r="V44" s="134"/>
      <c r="W44" s="134"/>
      <c r="X44" s="34" t="n">
        <v>0.061</v>
      </c>
      <c r="Y44" s="34" t="n">
        <v>0.0596085539486631</v>
      </c>
      <c r="Z44" s="34" t="n">
        <v>0.017</v>
      </c>
      <c r="AA44" s="34" t="n">
        <v>0.0166122199529061</v>
      </c>
      <c r="AB44" s="34" t="n">
        <v>1.99</v>
      </c>
      <c r="AC44" s="34" t="n">
        <v>1.94460692389901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33.9059</v>
      </c>
      <c r="H45" s="124" t="n">
        <v>0</v>
      </c>
      <c r="I45" s="124" t="n">
        <v>1.7</v>
      </c>
      <c r="J45" s="134"/>
      <c r="K45" s="135"/>
      <c r="L45" s="135"/>
      <c r="M45" s="135"/>
      <c r="N45" s="136"/>
      <c r="O45" s="135"/>
      <c r="P45" s="188" t="n">
        <v>4.549</v>
      </c>
      <c r="Q45" s="134"/>
      <c r="R45" s="134"/>
      <c r="S45" s="186" t="n">
        <v>198.7</v>
      </c>
      <c r="T45" s="34" t="n">
        <v>0.006</v>
      </c>
      <c r="U45" s="34" t="n">
        <v>0.00586313645396686</v>
      </c>
      <c r="V45" s="134"/>
      <c r="W45" s="134"/>
      <c r="X45" s="34" t="n">
        <v>0.044</v>
      </c>
      <c r="Y45" s="34" t="n">
        <v>0.042996333995757</v>
      </c>
      <c r="Z45" s="34" t="n">
        <v>0.042</v>
      </c>
      <c r="AA45" s="34" t="n">
        <v>0.0410419551777681</v>
      </c>
      <c r="AB45" s="34" t="n">
        <v>2.28</v>
      </c>
      <c r="AC45" s="34" t="n">
        <v>2.22799185250741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4"/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4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4"/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4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4"/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4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4"/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1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4"/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4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4"/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1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4"/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4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4"/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4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4"/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4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4"/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4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4"/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1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4"/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4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6"/>
      <c r="K58" s="176"/>
      <c r="L58" s="176"/>
      <c r="M58" s="176"/>
      <c r="N58" s="176"/>
      <c r="O58" s="176"/>
      <c r="P58" s="134"/>
      <c r="Q58" s="134"/>
      <c r="R58" s="134"/>
      <c r="S58" s="134"/>
      <c r="T58" s="134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R58" activeCellId="0" sqref="R58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59.95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-4°59,95</v>
      </c>
      <c r="P9" s="31" t="s">
        <v>16</v>
      </c>
      <c r="Q9" s="35" t="n">
        <f aca="false">IF(ISBLANK(I9),"",IF(ISBLANK(J9),"",IF(J9&gt;60,"ERREUR !!",O11*(I9+(J9/60)))))</f>
        <v>-4.99916666666667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19.64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2°19,64</v>
      </c>
      <c r="P10" s="31" t="s">
        <v>14</v>
      </c>
      <c r="Q10" s="35" t="n">
        <f aca="false">IF(ISBLANK(I10),"",IF(ISBLANK(J10),"",IF(J10&gt;60,"ERREUR !!",O12*(I10+(J10/60)))))</f>
        <v>2.32733333333333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37783</v>
      </c>
      <c r="K11" s="40"/>
      <c r="L11" s="40"/>
      <c r="M11" s="40"/>
      <c r="N11" s="41" t="str">
        <f aca="false">I9&amp;"°"&amp;J9</f>
        <v>4°59,95</v>
      </c>
      <c r="O11" s="42" t="n">
        <f aca="false">IF(P9=M10,-1,1)</f>
        <v>-1</v>
      </c>
      <c r="P11" s="43" t="str">
        <f aca="false">TEXT(J11,"aaaa-mm-jj")&amp;"T"&amp;TEXT(J12,"hh:mm:ss")&amp;"z"</f>
        <v>2007-06-12T07:30:00z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0.3125</v>
      </c>
      <c r="K12" s="48"/>
      <c r="L12" s="48"/>
      <c r="M12" s="48"/>
      <c r="N12" s="49" t="str">
        <f aca="false">I10&amp;"°"&amp;J10</f>
        <v>2°19,64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34.653</v>
      </c>
      <c r="H35" s="123" t="n">
        <v>500</v>
      </c>
      <c r="I35" s="124" t="n">
        <v>501</v>
      </c>
      <c r="J35" s="125"/>
      <c r="K35" s="126"/>
      <c r="L35" s="126"/>
      <c r="M35" s="126"/>
      <c r="N35" s="127"/>
      <c r="O35" s="126"/>
      <c r="P35" s="188" t="n">
        <v>1.529</v>
      </c>
      <c r="Q35" s="125"/>
      <c r="R35" s="125"/>
      <c r="S35" s="184" t="n">
        <v>66.5</v>
      </c>
      <c r="T35" s="34" t="n">
        <v>0.013</v>
      </c>
      <c r="U35" s="34" t="n">
        <v>0.0127034623169282</v>
      </c>
      <c r="V35" s="125"/>
      <c r="W35" s="125"/>
      <c r="X35" s="34" t="n">
        <v>39.047</v>
      </c>
      <c r="Y35" s="34" t="n">
        <v>38.1563148530074</v>
      </c>
      <c r="Z35" s="34" t="n">
        <v>2.387</v>
      </c>
      <c r="AA35" s="34" t="n">
        <v>2.33255111926982</v>
      </c>
      <c r="AB35" s="34" t="n">
        <v>20.73</v>
      </c>
      <c r="AC35" s="34" t="n">
        <v>20.2571364484555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22" t="n">
        <v>34.6524</v>
      </c>
      <c r="H36" s="123" t="n">
        <v>500</v>
      </c>
      <c r="I36" s="124" t="n">
        <v>501</v>
      </c>
      <c r="J36" s="134"/>
      <c r="K36" s="135"/>
      <c r="L36" s="135"/>
      <c r="M36" s="135"/>
      <c r="N36" s="136"/>
      <c r="O36" s="135"/>
      <c r="P36" s="188" t="n">
        <v>1.523</v>
      </c>
      <c r="Q36" s="134"/>
      <c r="R36" s="134"/>
      <c r="S36" s="186" t="n">
        <v>66.2</v>
      </c>
      <c r="T36" s="34" t="n">
        <v>0.004</v>
      </c>
      <c r="U36" s="34" t="n">
        <v>0.00390875763597791</v>
      </c>
      <c r="V36" s="134"/>
      <c r="W36" s="134"/>
      <c r="X36" s="34" t="n">
        <v>39.056</v>
      </c>
      <c r="Y36" s="34" t="n">
        <v>38.1651095576883</v>
      </c>
      <c r="Z36" s="34" t="n">
        <v>2.422</v>
      </c>
      <c r="AA36" s="34" t="n">
        <v>2.36675274858462</v>
      </c>
      <c r="AB36" s="34" t="n">
        <v>21.21</v>
      </c>
      <c r="AC36" s="34" t="n">
        <v>20.7261873647729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35.0666</v>
      </c>
      <c r="H37" s="124" t="n">
        <v>300</v>
      </c>
      <c r="I37" s="124" t="n">
        <v>292</v>
      </c>
      <c r="J37" s="134"/>
      <c r="K37" s="135"/>
      <c r="L37" s="135"/>
      <c r="M37" s="135"/>
      <c r="N37" s="136"/>
      <c r="O37" s="135"/>
      <c r="P37" s="188" t="n">
        <v>1.941</v>
      </c>
      <c r="Q37" s="134"/>
      <c r="R37" s="134"/>
      <c r="S37" s="186" t="n">
        <v>84.5</v>
      </c>
      <c r="T37" s="34" t="n">
        <v>0.015</v>
      </c>
      <c r="U37" s="34" t="n">
        <v>0.0146578411349172</v>
      </c>
      <c r="V37" s="134"/>
      <c r="W37" s="134"/>
      <c r="X37" s="34" t="n">
        <v>28.115</v>
      </c>
      <c r="Y37" s="34" t="n">
        <v>27.4736802338797</v>
      </c>
      <c r="Z37" s="34" t="n">
        <v>1.738</v>
      </c>
      <c r="AA37" s="34" t="n">
        <v>1.6983551928324</v>
      </c>
      <c r="AB37" s="34" t="n">
        <v>10.78</v>
      </c>
      <c r="AC37" s="34" t="n">
        <v>10.5341018289605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35.6061</v>
      </c>
      <c r="H38" s="124" t="n">
        <v>100</v>
      </c>
      <c r="I38" s="124" t="n">
        <v>101</v>
      </c>
      <c r="J38" s="134"/>
      <c r="K38" s="135"/>
      <c r="L38" s="135"/>
      <c r="M38" s="135"/>
      <c r="N38" s="136"/>
      <c r="O38" s="135"/>
      <c r="P38" s="188" t="n">
        <v>2.505</v>
      </c>
      <c r="Q38" s="134"/>
      <c r="R38" s="134"/>
      <c r="S38" s="186" t="n">
        <v>109</v>
      </c>
      <c r="T38" s="34" t="n">
        <v>0.039</v>
      </c>
      <c r="U38" s="34" t="n">
        <v>0.0381103869507846</v>
      </c>
      <c r="V38" s="134"/>
      <c r="W38" s="134"/>
      <c r="X38" s="34" t="n">
        <v>18.731</v>
      </c>
      <c r="Y38" s="34" t="n">
        <v>18.3037348198756</v>
      </c>
      <c r="Z38" s="34" t="n">
        <v>1.234</v>
      </c>
      <c r="AA38" s="34" t="n">
        <v>1.20585173069919</v>
      </c>
      <c r="AB38" s="34" t="n">
        <v>5.45</v>
      </c>
      <c r="AC38" s="34" t="n">
        <v>5.3256822790199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35.6226</v>
      </c>
      <c r="H39" s="124" t="n">
        <v>80</v>
      </c>
      <c r="I39" s="124" t="n">
        <v>80</v>
      </c>
      <c r="J39" s="134"/>
      <c r="K39" s="135"/>
      <c r="L39" s="135"/>
      <c r="M39" s="135"/>
      <c r="N39" s="136"/>
      <c r="O39" s="135"/>
      <c r="P39" s="188" t="n">
        <v>2.297</v>
      </c>
      <c r="Q39" s="134"/>
      <c r="R39" s="134"/>
      <c r="S39" s="186" t="n">
        <v>100</v>
      </c>
      <c r="T39" s="34" t="n">
        <v>0.062</v>
      </c>
      <c r="U39" s="34" t="n">
        <v>0.0605857433576576</v>
      </c>
      <c r="V39" s="134"/>
      <c r="W39" s="134"/>
      <c r="X39" s="34" t="n">
        <v>19.398</v>
      </c>
      <c r="Y39" s="34" t="n">
        <v>18.9555201556749</v>
      </c>
      <c r="Z39" s="34" t="n">
        <v>1.273</v>
      </c>
      <c r="AA39" s="34" t="n">
        <v>1.24396211764997</v>
      </c>
      <c r="AB39" s="34" t="n">
        <v>5.23</v>
      </c>
      <c r="AC39" s="34" t="n">
        <v>5.11070060904112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35.7383</v>
      </c>
      <c r="H40" s="124" t="n">
        <v>60</v>
      </c>
      <c r="I40" s="124" t="n">
        <v>60</v>
      </c>
      <c r="J40" s="134"/>
      <c r="K40" s="135"/>
      <c r="L40" s="135"/>
      <c r="M40" s="135"/>
      <c r="N40" s="136"/>
      <c r="O40" s="135"/>
      <c r="P40" s="188" t="n">
        <v>2.718</v>
      </c>
      <c r="Q40" s="134"/>
      <c r="R40" s="134"/>
      <c r="S40" s="186" t="n">
        <v>118.3</v>
      </c>
      <c r="T40" s="34" t="n">
        <v>0.123</v>
      </c>
      <c r="U40" s="34" t="n">
        <v>0.120194297306321</v>
      </c>
      <c r="V40" s="134"/>
      <c r="W40" s="134"/>
      <c r="X40" s="34" t="n">
        <v>15.677</v>
      </c>
      <c r="Y40" s="34" t="n">
        <v>15.3193983648064</v>
      </c>
      <c r="Z40" s="34" t="n">
        <v>1.085</v>
      </c>
      <c r="AA40" s="34" t="n">
        <v>1.06025050875901</v>
      </c>
      <c r="AB40" s="34" t="n">
        <v>4.4</v>
      </c>
      <c r="AC40" s="34" t="n">
        <v>4.2996333995757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35.9828</v>
      </c>
      <c r="H41" s="124" t="n">
        <v>40</v>
      </c>
      <c r="I41" s="124" t="n">
        <v>40</v>
      </c>
      <c r="J41" s="134"/>
      <c r="K41" s="135"/>
      <c r="L41" s="135"/>
      <c r="M41" s="135"/>
      <c r="N41" s="136"/>
      <c r="O41" s="135"/>
      <c r="P41" s="188" t="n">
        <v>3.679</v>
      </c>
      <c r="Q41" s="134"/>
      <c r="R41" s="134"/>
      <c r="S41" s="186" t="n">
        <v>160.2</v>
      </c>
      <c r="T41" s="34" t="n">
        <v>0.373</v>
      </c>
      <c r="U41" s="34" t="n">
        <v>0.36449164955494</v>
      </c>
      <c r="V41" s="134"/>
      <c r="W41" s="134"/>
      <c r="X41" s="34" t="n">
        <v>7.747</v>
      </c>
      <c r="Y41" s="34" t="n">
        <v>7.57028635148022</v>
      </c>
      <c r="Z41" s="34" t="n">
        <v>0.658</v>
      </c>
      <c r="AA41" s="34" t="n">
        <v>0.642990631118366</v>
      </c>
      <c r="AB41" s="34" t="n">
        <v>3.07</v>
      </c>
      <c r="AC41" s="34" t="n">
        <v>2.99997148561305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35.0988</v>
      </c>
      <c r="H42" s="124" t="n">
        <v>20</v>
      </c>
      <c r="I42" s="124" t="n">
        <v>20</v>
      </c>
      <c r="J42" s="134"/>
      <c r="K42" s="135"/>
      <c r="L42" s="135"/>
      <c r="M42" s="135"/>
      <c r="N42" s="136"/>
      <c r="O42" s="135"/>
      <c r="P42" s="188" t="n">
        <v>4.48</v>
      </c>
      <c r="Q42" s="134"/>
      <c r="R42" s="134"/>
      <c r="S42" s="186" t="n">
        <v>195.5</v>
      </c>
      <c r="T42" s="34" t="n">
        <v>0.006</v>
      </c>
      <c r="U42" s="34" t="n">
        <v>0.00586313645396686</v>
      </c>
      <c r="V42" s="134"/>
      <c r="W42" s="134"/>
      <c r="X42" s="34" t="n">
        <v>0.054</v>
      </c>
      <c r="Y42" s="34" t="n">
        <v>0.0527682280857018</v>
      </c>
      <c r="Z42" s="34" t="n">
        <v>0.029</v>
      </c>
      <c r="AA42" s="34" t="n">
        <v>0.0283384928608398</v>
      </c>
      <c r="AB42" s="34" t="n">
        <v>1.25</v>
      </c>
      <c r="AC42" s="34" t="n">
        <v>1.2214867612431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35.0748</v>
      </c>
      <c r="H43" s="124" t="n">
        <v>10</v>
      </c>
      <c r="I43" s="124" t="n">
        <v>10</v>
      </c>
      <c r="J43" s="134"/>
      <c r="K43" s="135"/>
      <c r="L43" s="135"/>
      <c r="M43" s="135"/>
      <c r="N43" s="136"/>
      <c r="O43" s="135"/>
      <c r="P43" s="188" t="n">
        <v>4.476</v>
      </c>
      <c r="Q43" s="134"/>
      <c r="R43" s="134"/>
      <c r="S43" s="186" t="n">
        <v>195.4</v>
      </c>
      <c r="T43" s="34" t="n">
        <v>0.007</v>
      </c>
      <c r="U43" s="34" t="n">
        <v>0.00684032586296134</v>
      </c>
      <c r="V43" s="134"/>
      <c r="W43" s="134"/>
      <c r="X43" s="34" t="n">
        <v>0.033</v>
      </c>
      <c r="Y43" s="34" t="n">
        <v>0.0322472504968178</v>
      </c>
      <c r="Z43" s="34" t="n">
        <v>0.031</v>
      </c>
      <c r="AA43" s="34" t="n">
        <v>0.0302928716788288</v>
      </c>
      <c r="AB43" s="34" t="n">
        <v>1.78</v>
      </c>
      <c r="AC43" s="34" t="n">
        <v>1.73939714801017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35.075</v>
      </c>
      <c r="H44" s="124" t="n">
        <v>0</v>
      </c>
      <c r="I44" s="124" t="n">
        <v>1.4</v>
      </c>
      <c r="J44" s="134"/>
      <c r="K44" s="135"/>
      <c r="L44" s="135"/>
      <c r="M44" s="135"/>
      <c r="N44" s="136"/>
      <c r="O44" s="135"/>
      <c r="P44" s="188" t="n">
        <v>4.487</v>
      </c>
      <c r="Q44" s="134"/>
      <c r="R44" s="134"/>
      <c r="S44" s="186" t="n">
        <v>195.9</v>
      </c>
      <c r="T44" s="34" t="n">
        <v>0.019</v>
      </c>
      <c r="U44" s="34" t="n">
        <v>0.0185665987708951</v>
      </c>
      <c r="V44" s="134"/>
      <c r="W44" s="134"/>
      <c r="X44" s="34" t="n">
        <v>0.041</v>
      </c>
      <c r="Y44" s="34" t="n">
        <v>0.0400647657687736</v>
      </c>
      <c r="Z44" s="34" t="n">
        <v>0.035</v>
      </c>
      <c r="AA44" s="34" t="n">
        <v>0.0342016293148067</v>
      </c>
      <c r="AB44" s="34" t="n">
        <v>1.18</v>
      </c>
      <c r="AC44" s="34" t="n">
        <v>1.15308350261348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35.0866</v>
      </c>
      <c r="H45" s="124" t="n">
        <v>0</v>
      </c>
      <c r="I45" s="124" t="n">
        <v>1.4</v>
      </c>
      <c r="J45" s="134"/>
      <c r="K45" s="135"/>
      <c r="L45" s="135"/>
      <c r="M45" s="135"/>
      <c r="N45" s="136"/>
      <c r="O45" s="135"/>
      <c r="P45" s="188" t="n">
        <v>4.493</v>
      </c>
      <c r="Q45" s="134"/>
      <c r="R45" s="134"/>
      <c r="S45" s="186" t="n">
        <v>196.1</v>
      </c>
      <c r="T45" s="34" t="n">
        <v>0.013</v>
      </c>
      <c r="U45" s="34" t="n">
        <v>0.0127034623169282</v>
      </c>
      <c r="V45" s="134"/>
      <c r="W45" s="134"/>
      <c r="X45" s="34" t="n">
        <v>0.047</v>
      </c>
      <c r="Y45" s="34" t="n">
        <v>0.0459279022227404</v>
      </c>
      <c r="Z45" s="34" t="n">
        <v>0.035</v>
      </c>
      <c r="AA45" s="34" t="n">
        <v>0.0342016293148067</v>
      </c>
      <c r="AB45" s="34" t="n">
        <v>1.33</v>
      </c>
      <c r="AC45" s="34" t="n">
        <v>1.29966191396266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25"/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25"/>
      <c r="Q46" s="125"/>
      <c r="R46" s="125"/>
      <c r="S46" s="125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6.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25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25"/>
      <c r="Q48" s="125"/>
      <c r="R48" s="125"/>
      <c r="S48" s="125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0" activeCellId="0" sqref="H40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0.7125506072875"/>
    <col collapsed="false" hidden="true" max="15" min="11" style="0" width="0"/>
    <col collapsed="false" hidden="false" max="16" min="16" style="0" width="10.7125506072875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30.29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-4°30,29</v>
      </c>
      <c r="P9" s="31" t="s">
        <v>16</v>
      </c>
      <c r="Q9" s="35" t="n">
        <f aca="false">IF(ISBLANK(I9),"",IF(ISBLANK(J9),"",IF(J9&gt;60,"ERREUR !!",O11*(I9+(J9/60)))))</f>
        <v>-4.50483333333333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19.92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2°19,92</v>
      </c>
      <c r="P10" s="31" t="s">
        <v>14</v>
      </c>
      <c r="Q10" s="35" t="n">
        <f aca="false">IF(ISBLANK(I10),"",IF(ISBLANK(J10),"",IF(J10&gt;60,"ERREUR !!",O12*(I10+(J10/60)))))</f>
        <v>2.332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37783</v>
      </c>
      <c r="K11" s="40"/>
      <c r="L11" s="40"/>
      <c r="M11" s="40"/>
      <c r="N11" s="41" t="str">
        <f aca="false">I9&amp;"°"&amp;J9</f>
        <v>4°30,29</v>
      </c>
      <c r="O11" s="42" t="n">
        <f aca="false">IF(P9=M10,-1,1)</f>
        <v>-1</v>
      </c>
      <c r="P11" s="43" t="str">
        <f aca="false">TEXT(J11,"aaaa-mm-jj")&amp;"T"&amp;TEXT(J12,"hh:mm:ss")&amp;"z"</f>
        <v>2007-06-12T12:00:00z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0.5</v>
      </c>
      <c r="K12" s="48"/>
      <c r="L12" s="48"/>
      <c r="M12" s="48"/>
      <c r="N12" s="49" t="str">
        <f aca="false">I10&amp;"°"&amp;J10</f>
        <v>2°19,92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34.6182</v>
      </c>
      <c r="H35" s="123" t="n">
        <v>1000</v>
      </c>
      <c r="I35" s="192" t="n">
        <v>1002</v>
      </c>
      <c r="J35" s="125"/>
      <c r="K35" s="126"/>
      <c r="L35" s="126"/>
      <c r="M35" s="126"/>
      <c r="N35" s="127"/>
      <c r="O35" s="126"/>
      <c r="P35" s="188" t="n">
        <v>3.456</v>
      </c>
      <c r="Q35" s="125"/>
      <c r="R35" s="125"/>
      <c r="S35" s="184" t="n">
        <v>150.2</v>
      </c>
      <c r="T35" s="34" t="n">
        <v>0.012</v>
      </c>
      <c r="U35" s="34" t="n">
        <v>0.0117262729079337</v>
      </c>
      <c r="V35" s="125"/>
      <c r="W35" s="125"/>
      <c r="X35" s="34" t="n">
        <v>33.598</v>
      </c>
      <c r="Y35" s="34" t="n">
        <v>32.8316097633965</v>
      </c>
      <c r="Z35" s="34" t="n">
        <v>2.225</v>
      </c>
      <c r="AA35" s="34" t="n">
        <v>2.17424643501271</v>
      </c>
      <c r="AB35" s="34" t="n">
        <v>31.69</v>
      </c>
      <c r="AC35" s="34" t="n">
        <v>30.967132371035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34.5695</v>
      </c>
      <c r="H36" s="123" t="n">
        <v>600</v>
      </c>
      <c r="I36" s="192" t="n">
        <v>600.7</v>
      </c>
      <c r="J36" s="134"/>
      <c r="K36" s="135"/>
      <c r="L36" s="135"/>
      <c r="M36" s="135"/>
      <c r="N36" s="136"/>
      <c r="O36" s="135"/>
      <c r="P36" s="188" t="n">
        <v>2.077</v>
      </c>
      <c r="Q36" s="134"/>
      <c r="R36" s="134"/>
      <c r="S36" s="186" t="n">
        <v>90.3</v>
      </c>
      <c r="T36" s="34" t="n">
        <v>0.006</v>
      </c>
      <c r="U36" s="34" t="n">
        <v>0.00586313645396686</v>
      </c>
      <c r="V36" s="134"/>
      <c r="W36" s="134"/>
      <c r="X36" s="34" t="n">
        <v>38.114</v>
      </c>
      <c r="Y36" s="34" t="n">
        <v>37.2445971344155</v>
      </c>
      <c r="Z36" s="34" t="n">
        <v>2.426</v>
      </c>
      <c r="AA36" s="34" t="n">
        <v>2.3706615062206</v>
      </c>
      <c r="AB36" s="34" t="n">
        <v>23.18</v>
      </c>
      <c r="AC36" s="34" t="n">
        <v>22.651250500492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35.1407</v>
      </c>
      <c r="H37" s="124" t="n">
        <v>300</v>
      </c>
      <c r="I37" s="192" t="n">
        <v>298.4</v>
      </c>
      <c r="J37" s="134"/>
      <c r="K37" s="135"/>
      <c r="L37" s="135"/>
      <c r="M37" s="135"/>
      <c r="N37" s="136"/>
      <c r="O37" s="135"/>
      <c r="P37" s="188" t="n">
        <v>1.237</v>
      </c>
      <c r="Q37" s="134"/>
      <c r="R37" s="134"/>
      <c r="S37" s="186" t="n">
        <v>53.8</v>
      </c>
      <c r="T37" s="34" t="n">
        <v>0.001</v>
      </c>
      <c r="U37" s="34" t="n">
        <v>0.000977189408994478</v>
      </c>
      <c r="V37" s="134"/>
      <c r="W37" s="134"/>
      <c r="X37" s="34" t="n">
        <v>30.569</v>
      </c>
      <c r="Y37" s="34" t="n">
        <v>29.8717030435522</v>
      </c>
      <c r="Z37" s="34" t="n">
        <v>1.873</v>
      </c>
      <c r="AA37" s="34" t="n">
        <v>1.83027576304666</v>
      </c>
      <c r="AB37" s="34" t="n">
        <v>11.4</v>
      </c>
      <c r="AC37" s="34" t="n">
        <v>11.139959262537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35.6837</v>
      </c>
      <c r="H38" s="124" t="n">
        <v>100</v>
      </c>
      <c r="I38" s="192" t="n">
        <v>100.2</v>
      </c>
      <c r="J38" s="134"/>
      <c r="K38" s="135"/>
      <c r="L38" s="135"/>
      <c r="M38" s="135"/>
      <c r="N38" s="136"/>
      <c r="O38" s="135"/>
      <c r="P38" s="188" t="n">
        <v>2.654</v>
      </c>
      <c r="Q38" s="134"/>
      <c r="R38" s="134"/>
      <c r="S38" s="186" t="n">
        <v>115.5</v>
      </c>
      <c r="T38" s="34" t="n">
        <v>0.057</v>
      </c>
      <c r="U38" s="34" t="n">
        <v>0.0556997963126852</v>
      </c>
      <c r="V38" s="134"/>
      <c r="W38" s="134"/>
      <c r="X38" s="34" t="n">
        <v>16.983</v>
      </c>
      <c r="Y38" s="34" t="n">
        <v>16.5956077329532</v>
      </c>
      <c r="Z38" s="34" t="n">
        <v>1.149</v>
      </c>
      <c r="AA38" s="34" t="n">
        <v>1.12279063093465</v>
      </c>
      <c r="AB38" s="34" t="n">
        <v>4.86</v>
      </c>
      <c r="AC38" s="34" t="n">
        <v>4.74914052771316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35.8097</v>
      </c>
      <c r="H39" s="124" t="n">
        <v>80</v>
      </c>
      <c r="I39" s="192" t="n">
        <v>73.1</v>
      </c>
      <c r="J39" s="134"/>
      <c r="K39" s="135"/>
      <c r="L39" s="135"/>
      <c r="M39" s="135"/>
      <c r="N39" s="136"/>
      <c r="O39" s="135"/>
      <c r="P39" s="188" t="n">
        <v>2.867</v>
      </c>
      <c r="Q39" s="134"/>
      <c r="R39" s="134"/>
      <c r="S39" s="186" t="n">
        <v>124.8</v>
      </c>
      <c r="T39" s="34" t="n">
        <v>0.095</v>
      </c>
      <c r="U39" s="34" t="n">
        <v>0.0928329938544754</v>
      </c>
      <c r="V39" s="134"/>
      <c r="W39" s="134"/>
      <c r="X39" s="34" t="n">
        <v>14.845</v>
      </c>
      <c r="Y39" s="34" t="n">
        <v>14.506376776523</v>
      </c>
      <c r="Z39" s="34" t="n">
        <v>1.032</v>
      </c>
      <c r="AA39" s="34" t="n">
        <v>1.0084594700823</v>
      </c>
      <c r="AB39" s="34" t="n">
        <v>4.26</v>
      </c>
      <c r="AC39" s="34" t="n">
        <v>4.16282688231647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35.8834</v>
      </c>
      <c r="H40" s="124" t="n">
        <v>60</v>
      </c>
      <c r="I40" s="192" t="n">
        <v>59</v>
      </c>
      <c r="J40" s="134"/>
      <c r="K40" s="135"/>
      <c r="L40" s="135"/>
      <c r="M40" s="135"/>
      <c r="N40" s="136"/>
      <c r="O40" s="135"/>
      <c r="P40" s="188" t="n">
        <v>2.971</v>
      </c>
      <c r="Q40" s="134"/>
      <c r="R40" s="134"/>
      <c r="S40" s="186" t="n">
        <v>129.3</v>
      </c>
      <c r="T40" s="34" t="n">
        <v>0.214</v>
      </c>
      <c r="U40" s="34" t="n">
        <v>0.209118533524818</v>
      </c>
      <c r="V40" s="134"/>
      <c r="W40" s="134"/>
      <c r="X40" s="34" t="n">
        <v>13.406</v>
      </c>
      <c r="Y40" s="34" t="n">
        <v>13.10020121698</v>
      </c>
      <c r="Z40" s="34" t="n">
        <v>0.95</v>
      </c>
      <c r="AA40" s="34" t="n">
        <v>0.928329938544754</v>
      </c>
      <c r="AB40" s="34" t="n">
        <v>3.97</v>
      </c>
      <c r="AC40" s="34" t="n">
        <v>3.87944195370807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36.0142</v>
      </c>
      <c r="H41" s="124" t="n">
        <v>40</v>
      </c>
      <c r="I41" s="192" t="n">
        <v>39.5</v>
      </c>
      <c r="J41" s="134"/>
      <c r="K41" s="135"/>
      <c r="L41" s="135"/>
      <c r="M41" s="135"/>
      <c r="N41" s="136"/>
      <c r="O41" s="135"/>
      <c r="P41" s="188" t="n">
        <v>3.686</v>
      </c>
      <c r="Q41" s="134"/>
      <c r="R41" s="134"/>
      <c r="S41" s="186" t="n">
        <v>160.5</v>
      </c>
      <c r="T41" s="34" t="n">
        <v>0.277</v>
      </c>
      <c r="U41" s="34" t="n">
        <v>0.27068146629147</v>
      </c>
      <c r="V41" s="134"/>
      <c r="W41" s="134"/>
      <c r="X41" s="34" t="n">
        <v>6.773</v>
      </c>
      <c r="Y41" s="34" t="n">
        <v>6.6185038671196</v>
      </c>
      <c r="Z41" s="34" t="n">
        <v>0.584</v>
      </c>
      <c r="AA41" s="34" t="n">
        <v>0.570678614852775</v>
      </c>
      <c r="AB41" s="34" t="n">
        <v>2.51</v>
      </c>
      <c r="AC41" s="34" t="n">
        <v>2.45274541657614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22" t="n">
        <v>36.035</v>
      </c>
      <c r="H42" s="124" t="n">
        <v>40</v>
      </c>
      <c r="I42" s="192" t="n">
        <v>39.6</v>
      </c>
      <c r="J42" s="134"/>
      <c r="K42" s="135"/>
      <c r="L42" s="135"/>
      <c r="M42" s="135"/>
      <c r="N42" s="136"/>
      <c r="O42" s="135"/>
      <c r="P42" s="188" t="n">
        <v>3.846</v>
      </c>
      <c r="Q42" s="134"/>
      <c r="R42" s="134"/>
      <c r="S42" s="186" t="n">
        <v>167.5</v>
      </c>
      <c r="T42" s="34" t="n">
        <v>0.4</v>
      </c>
      <c r="U42" s="34" t="n">
        <v>0.390875763597791</v>
      </c>
      <c r="V42" s="134"/>
      <c r="W42" s="134"/>
      <c r="X42" s="34" t="n">
        <v>7.92</v>
      </c>
      <c r="Y42" s="34" t="n">
        <v>7.73934011923626</v>
      </c>
      <c r="Z42" s="34" t="n">
        <v>0.664</v>
      </c>
      <c r="AA42" s="34" t="n">
        <v>0.648853767572333</v>
      </c>
      <c r="AB42" s="34" t="n">
        <v>2.66</v>
      </c>
      <c r="AC42" s="34" t="n">
        <v>2.59932382792531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35.0492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88" t="n">
        <v>4.496</v>
      </c>
      <c r="Q43" s="134"/>
      <c r="R43" s="134"/>
      <c r="S43" s="186" t="n">
        <v>196.3</v>
      </c>
      <c r="T43" s="34" t="n">
        <v>0.018</v>
      </c>
      <c r="U43" s="34" t="n">
        <v>0.0175894093619006</v>
      </c>
      <c r="V43" s="134"/>
      <c r="W43" s="134"/>
      <c r="X43" s="34" t="n">
        <v>0.282</v>
      </c>
      <c r="Y43" s="34" t="n">
        <v>0.275567413336443</v>
      </c>
      <c r="Z43" s="34" t="n">
        <v>0.075</v>
      </c>
      <c r="AA43" s="34" t="n">
        <v>0.0732892056745858</v>
      </c>
      <c r="AB43" s="34" t="n">
        <v>1.73</v>
      </c>
      <c r="AC43" s="34" t="n">
        <v>1.69053767756045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34.9182</v>
      </c>
      <c r="H44" s="124" t="n">
        <v>10</v>
      </c>
      <c r="I44" s="192" t="n">
        <v>9.9</v>
      </c>
      <c r="J44" s="134"/>
      <c r="K44" s="135"/>
      <c r="L44" s="135"/>
      <c r="M44" s="135"/>
      <c r="N44" s="136"/>
      <c r="O44" s="135"/>
      <c r="P44" s="188" t="n">
        <v>4.501</v>
      </c>
      <c r="Q44" s="134"/>
      <c r="R44" s="134"/>
      <c r="S44" s="186" t="n">
        <v>196.5</v>
      </c>
      <c r="T44" s="34" t="n">
        <v>0.005</v>
      </c>
      <c r="U44" s="34" t="n">
        <v>0.00488594704497238</v>
      </c>
      <c r="V44" s="134"/>
      <c r="W44" s="134"/>
      <c r="X44" s="34" t="n">
        <v>0.095</v>
      </c>
      <c r="Y44" s="34" t="n">
        <v>0.0928329938544754</v>
      </c>
      <c r="Z44" s="34" t="n">
        <v>0.043</v>
      </c>
      <c r="AA44" s="34" t="n">
        <v>0.0420191445867625</v>
      </c>
      <c r="AB44" s="34" t="n">
        <v>1.75</v>
      </c>
      <c r="AC44" s="34" t="n">
        <v>1.71008146574034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34.9127</v>
      </c>
      <c r="H45" s="124" t="n">
        <v>0</v>
      </c>
      <c r="I45" s="193" t="n">
        <v>1.1</v>
      </c>
      <c r="J45" s="134"/>
      <c r="K45" s="135"/>
      <c r="L45" s="135"/>
      <c r="M45" s="135"/>
      <c r="N45" s="136"/>
      <c r="O45" s="135"/>
      <c r="P45" s="188" t="n">
        <v>4.52</v>
      </c>
      <c r="Q45" s="134"/>
      <c r="R45" s="134"/>
      <c r="S45" s="186" t="n">
        <v>197.3</v>
      </c>
      <c r="T45" s="34" t="n">
        <v>0.002</v>
      </c>
      <c r="U45" s="34" t="n">
        <v>0.00195437881798896</v>
      </c>
      <c r="V45" s="134"/>
      <c r="W45" s="134"/>
      <c r="X45" s="34" t="n">
        <v>0.068</v>
      </c>
      <c r="Y45" s="34" t="n">
        <v>0.0664488798116245</v>
      </c>
      <c r="Z45" s="34" t="n">
        <v>0.04</v>
      </c>
      <c r="AA45" s="34" t="n">
        <v>0.0390875763597791</v>
      </c>
      <c r="AB45" s="34" t="n">
        <v>1.8</v>
      </c>
      <c r="AC45" s="34" t="n">
        <v>1.75894093619006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25"/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25"/>
      <c r="Q46" s="125"/>
      <c r="R46" s="125"/>
      <c r="S46" s="125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6.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25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25"/>
      <c r="Q48" s="125"/>
      <c r="R48" s="125"/>
      <c r="S48" s="125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0.14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-4°0,14</v>
      </c>
      <c r="P9" s="31" t="s">
        <v>16</v>
      </c>
      <c r="Q9" s="35" t="n">
        <f aca="false">IF(ISBLANK(I9),"",IF(ISBLANK(J9),"",IF(J9&gt;60,"ERREUR !!",O11*(I9+(J9/60)))))</f>
        <v>-4.00233333333333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19.82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2°19,82</v>
      </c>
      <c r="P10" s="31" t="s">
        <v>14</v>
      </c>
      <c r="Q10" s="35" t="n">
        <f aca="false">IF(ISBLANK(I10),"",IF(ISBLANK(J10),"",IF(J10&gt;60,"ERREUR !!",O12*(I10+(J10/60)))))</f>
        <v>2.33033333333333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37783</v>
      </c>
      <c r="K11" s="40"/>
      <c r="L11" s="40"/>
      <c r="M11" s="40"/>
      <c r="N11" s="41" t="str">
        <f aca="false">I9&amp;"°"&amp;J9</f>
        <v>4°0,14</v>
      </c>
      <c r="O11" s="42" t="n">
        <f aca="false">IF(P9=M10,-1,1)</f>
        <v>-1</v>
      </c>
      <c r="P11" s="43" t="str">
        <f aca="false">TEXT(J11,"aaaa-mm-jj")&amp;"T"&amp;TEXT(J12,"hh:mm:ss")&amp;"z"</f>
        <v>2007-06-12T17:00:00z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0.708333333333333</v>
      </c>
      <c r="K12" s="48"/>
      <c r="L12" s="48"/>
      <c r="M12" s="48"/>
      <c r="N12" s="49" t="str">
        <f aca="false">I10&amp;"°"&amp;J10</f>
        <v>2°19,82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34.6017</v>
      </c>
      <c r="H35" s="123" t="n">
        <v>1000</v>
      </c>
      <c r="I35" s="192" t="n">
        <v>1000</v>
      </c>
      <c r="J35" s="125"/>
      <c r="K35" s="126"/>
      <c r="L35" s="126"/>
      <c r="M35" s="126"/>
      <c r="N35" s="127"/>
      <c r="O35" s="126"/>
      <c r="P35" s="188" t="n">
        <v>3.41</v>
      </c>
      <c r="Q35" s="125"/>
      <c r="R35" s="125"/>
      <c r="S35" s="184" t="n">
        <v>148.2</v>
      </c>
      <c r="T35" s="34" t="n">
        <v>0.007</v>
      </c>
      <c r="U35" s="34" t="n">
        <v>0.00684032586296134</v>
      </c>
      <c r="V35" s="125"/>
      <c r="W35" s="125"/>
      <c r="X35" s="34" t="n">
        <v>33.893</v>
      </c>
      <c r="Y35" s="34" t="n">
        <v>33.1198806390498</v>
      </c>
      <c r="Z35" s="34" t="n">
        <v>2.276</v>
      </c>
      <c r="AA35" s="34" t="n">
        <v>2.22408309487143</v>
      </c>
      <c r="AB35" s="34" t="n">
        <v>32.89</v>
      </c>
      <c r="AC35" s="34" t="n">
        <v>32.1397596618284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22" t="n">
        <v>34.6015</v>
      </c>
      <c r="H36" s="123" t="n">
        <v>1000</v>
      </c>
      <c r="I36" s="192" t="n">
        <v>1000</v>
      </c>
      <c r="J36" s="134"/>
      <c r="K36" s="135"/>
      <c r="L36" s="135"/>
      <c r="M36" s="135"/>
      <c r="N36" s="136"/>
      <c r="O36" s="135"/>
      <c r="P36" s="188" t="n">
        <v>3.414</v>
      </c>
      <c r="Q36" s="134"/>
      <c r="R36" s="134"/>
      <c r="S36" s="186" t="n">
        <v>148.4</v>
      </c>
      <c r="T36" s="34" t="n">
        <v>0.035</v>
      </c>
      <c r="U36" s="34" t="n">
        <v>0.0342016293148067</v>
      </c>
      <c r="V36" s="134"/>
      <c r="W36" s="134"/>
      <c r="X36" s="34" t="n">
        <v>33.725</v>
      </c>
      <c r="Y36" s="34" t="n">
        <v>32.9557128183388</v>
      </c>
      <c r="Z36" s="34" t="n">
        <v>2.276</v>
      </c>
      <c r="AA36" s="34" t="n">
        <v>2.22408309487143</v>
      </c>
      <c r="AB36" s="34" t="n">
        <v>31.63</v>
      </c>
      <c r="AC36" s="34" t="n">
        <v>30.9085010064953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34.565</v>
      </c>
      <c r="H37" s="123" t="n">
        <v>600</v>
      </c>
      <c r="I37" s="192" t="n">
        <v>599</v>
      </c>
      <c r="J37" s="134"/>
      <c r="K37" s="135"/>
      <c r="L37" s="135"/>
      <c r="M37" s="135"/>
      <c r="N37" s="136"/>
      <c r="O37" s="135"/>
      <c r="P37" s="188" t="n">
        <v>2.215</v>
      </c>
      <c r="Q37" s="134"/>
      <c r="R37" s="134"/>
      <c r="S37" s="186" t="n">
        <v>96.3</v>
      </c>
      <c r="T37" s="34" t="n">
        <v>0.011</v>
      </c>
      <c r="U37" s="34" t="n">
        <v>0.0107490834989393</v>
      </c>
      <c r="V37" s="134"/>
      <c r="W37" s="134"/>
      <c r="X37" s="34" t="n">
        <v>37.989</v>
      </c>
      <c r="Y37" s="34" t="n">
        <v>37.1224484582912</v>
      </c>
      <c r="Z37" s="34" t="n">
        <v>2.447</v>
      </c>
      <c r="AA37" s="34" t="n">
        <v>2.39118248380949</v>
      </c>
      <c r="AB37" s="34" t="n">
        <v>24.12</v>
      </c>
      <c r="AC37" s="34" t="n">
        <v>23.5698085449468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35.051</v>
      </c>
      <c r="H38" s="124" t="n">
        <v>300</v>
      </c>
      <c r="I38" s="192" t="n">
        <v>300</v>
      </c>
      <c r="J38" s="134"/>
      <c r="K38" s="135"/>
      <c r="L38" s="135"/>
      <c r="M38" s="135"/>
      <c r="N38" s="136"/>
      <c r="O38" s="135"/>
      <c r="P38" s="188" t="n">
        <v>1.575</v>
      </c>
      <c r="Q38" s="134"/>
      <c r="R38" s="134"/>
      <c r="S38" s="186" t="n">
        <v>68.5</v>
      </c>
      <c r="T38" s="34" t="n">
        <v>0.01</v>
      </c>
      <c r="U38" s="34" t="n">
        <v>0.00977189408994478</v>
      </c>
      <c r="V38" s="134"/>
      <c r="W38" s="134"/>
      <c r="X38" s="34" t="n">
        <v>30.25</v>
      </c>
      <c r="Y38" s="34" t="n">
        <v>29.5599796220829</v>
      </c>
      <c r="Z38" s="34" t="n">
        <v>1.902</v>
      </c>
      <c r="AA38" s="34" t="n">
        <v>1.8586142559075</v>
      </c>
      <c r="AB38" s="34" t="n">
        <v>12.18</v>
      </c>
      <c r="AC38" s="34" t="n">
        <v>11.9021670015527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35.679</v>
      </c>
      <c r="H39" s="124" t="n">
        <v>100</v>
      </c>
      <c r="I39" s="192" t="n">
        <v>100</v>
      </c>
      <c r="J39" s="134"/>
      <c r="K39" s="135"/>
      <c r="L39" s="135"/>
      <c r="M39" s="135"/>
      <c r="N39" s="136"/>
      <c r="O39" s="135"/>
      <c r="P39" s="188" t="n">
        <v>2.817</v>
      </c>
      <c r="Q39" s="134"/>
      <c r="R39" s="134"/>
      <c r="S39" s="186" t="n">
        <v>122.6</v>
      </c>
      <c r="T39" s="34" t="n">
        <v>0.059</v>
      </c>
      <c r="U39" s="34" t="n">
        <v>0.0576541751306742</v>
      </c>
      <c r="V39" s="134"/>
      <c r="W39" s="134"/>
      <c r="X39" s="34" t="n">
        <v>16.561</v>
      </c>
      <c r="Y39" s="34" t="n">
        <v>16.1832338023575</v>
      </c>
      <c r="Z39" s="34" t="n">
        <v>1.158</v>
      </c>
      <c r="AA39" s="34" t="n">
        <v>1.1315853356156</v>
      </c>
      <c r="AB39" s="34" t="n">
        <v>5.4</v>
      </c>
      <c r="AC39" s="34" t="n">
        <v>5.27682280857018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35.8022</v>
      </c>
      <c r="H40" s="124" t="n">
        <v>80</v>
      </c>
      <c r="I40" s="192" t="n">
        <v>80</v>
      </c>
      <c r="J40" s="134"/>
      <c r="K40" s="135"/>
      <c r="L40" s="135"/>
      <c r="M40" s="135"/>
      <c r="N40" s="136"/>
      <c r="O40" s="135"/>
      <c r="P40" s="188" t="n">
        <v>2.868</v>
      </c>
      <c r="Q40" s="134"/>
      <c r="R40" s="134"/>
      <c r="S40" s="186" t="n">
        <v>124.9</v>
      </c>
      <c r="T40" s="34" t="n">
        <v>0.14</v>
      </c>
      <c r="U40" s="34" t="n">
        <v>0.136806517259227</v>
      </c>
      <c r="V40" s="134"/>
      <c r="W40" s="134"/>
      <c r="X40" s="34" t="n">
        <v>14.73</v>
      </c>
      <c r="Y40" s="34" t="n">
        <v>14.3939999944887</v>
      </c>
      <c r="Z40" s="34" t="n">
        <v>1.081</v>
      </c>
      <c r="AA40" s="34" t="n">
        <v>1.05634175112303</v>
      </c>
      <c r="AB40" s="34" t="n">
        <v>4.76</v>
      </c>
      <c r="AC40" s="34" t="n">
        <v>4.65142158681371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35.8711</v>
      </c>
      <c r="H41" s="124" t="n">
        <v>60</v>
      </c>
      <c r="I41" s="192" t="n">
        <v>59</v>
      </c>
      <c r="J41" s="134"/>
      <c r="K41" s="135"/>
      <c r="L41" s="135"/>
      <c r="M41" s="135"/>
      <c r="N41" s="136"/>
      <c r="O41" s="135"/>
      <c r="P41" s="188" t="n">
        <v>3.069</v>
      </c>
      <c r="Q41" s="134"/>
      <c r="R41" s="134"/>
      <c r="S41" s="186" t="n">
        <v>133.6</v>
      </c>
      <c r="T41" s="34" t="n">
        <v>0.386</v>
      </c>
      <c r="U41" s="34" t="n">
        <v>0.377195111871868</v>
      </c>
      <c r="V41" s="134"/>
      <c r="W41" s="134"/>
      <c r="X41" s="34" t="n">
        <v>12.764</v>
      </c>
      <c r="Y41" s="34" t="n">
        <v>12.4728456164055</v>
      </c>
      <c r="Z41" s="34" t="n">
        <v>0.959</v>
      </c>
      <c r="AA41" s="34" t="n">
        <v>0.937124643225704</v>
      </c>
      <c r="AB41" s="34" t="n">
        <v>4.09</v>
      </c>
      <c r="AC41" s="34" t="n">
        <v>3.99670468278741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36.0246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88" t="n">
        <v>3.978</v>
      </c>
      <c r="Q42" s="134"/>
      <c r="R42" s="134"/>
      <c r="S42" s="186" t="n">
        <v>173.2</v>
      </c>
      <c r="T42" s="34" t="n">
        <v>0.237</v>
      </c>
      <c r="U42" s="34" t="n">
        <v>0.231593889931691</v>
      </c>
      <c r="V42" s="134"/>
      <c r="W42" s="134"/>
      <c r="X42" s="34" t="n">
        <v>5.983</v>
      </c>
      <c r="Y42" s="34" t="n">
        <v>5.84652423401396</v>
      </c>
      <c r="Z42" s="34" t="n">
        <v>0.589</v>
      </c>
      <c r="AA42" s="34" t="n">
        <v>0.575564561897747</v>
      </c>
      <c r="AB42" s="34" t="n">
        <v>2.94</v>
      </c>
      <c r="AC42" s="34" t="n">
        <v>2.87293686244376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35.4212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88" t="n">
        <v>4.515</v>
      </c>
      <c r="Q43" s="134"/>
      <c r="R43" s="134"/>
      <c r="S43" s="186" t="n">
        <v>197</v>
      </c>
      <c r="T43" s="34" t="n">
        <v>0.009</v>
      </c>
      <c r="U43" s="34" t="n">
        <v>0.0087947046809503</v>
      </c>
      <c r="V43" s="134"/>
      <c r="W43" s="134"/>
      <c r="X43" s="34" t="n">
        <v>0.061</v>
      </c>
      <c r="Y43" s="34" t="n">
        <v>0.0596085539486631</v>
      </c>
      <c r="Z43" s="34" t="n">
        <v>0.136</v>
      </c>
      <c r="AA43" s="34" t="n">
        <v>0.132897759623249</v>
      </c>
      <c r="AB43" s="34" t="n">
        <v>1.85</v>
      </c>
      <c r="AC43" s="34" t="n">
        <v>1.80780040663978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35.317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88" t="n">
        <v>4.523</v>
      </c>
      <c r="Q44" s="134"/>
      <c r="R44" s="134"/>
      <c r="S44" s="186" t="n">
        <v>197.4</v>
      </c>
      <c r="T44" s="34" t="n">
        <v>0.001</v>
      </c>
      <c r="U44" s="34" t="n">
        <v>0.000977189408994478</v>
      </c>
      <c r="V44" s="134"/>
      <c r="W44" s="134"/>
      <c r="X44" s="34" t="n">
        <v>0.039</v>
      </c>
      <c r="Y44" s="34" t="n">
        <v>0.0381103869507846</v>
      </c>
      <c r="Z44" s="34" t="n">
        <v>0.108</v>
      </c>
      <c r="AA44" s="34" t="n">
        <v>0.105536456171404</v>
      </c>
      <c r="AB44" s="34" t="n">
        <v>2.14</v>
      </c>
      <c r="AC44" s="34" t="n">
        <v>2.09118533524818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35.2937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88" t="n">
        <v>4.524</v>
      </c>
      <c r="Q45" s="134"/>
      <c r="R45" s="134"/>
      <c r="S45" s="186" t="n">
        <v>197.4</v>
      </c>
      <c r="T45" s="34" t="n">
        <v>0.005</v>
      </c>
      <c r="U45" s="34" t="n">
        <v>0.00488594704497239</v>
      </c>
      <c r="V45" s="134"/>
      <c r="W45" s="134"/>
      <c r="X45" s="34" t="n">
        <v>0.035</v>
      </c>
      <c r="Y45" s="34" t="n">
        <v>0.0342016293148067</v>
      </c>
      <c r="Z45" s="34" t="n">
        <v>0.102</v>
      </c>
      <c r="AA45" s="34" t="n">
        <v>0.0996733197174367</v>
      </c>
      <c r="AB45" s="34" t="n">
        <v>2.08</v>
      </c>
      <c r="AC45" s="34" t="n">
        <v>2.03255397070851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497975708502"/>
    <col collapsed="false" hidden="true" max="15" min="11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1417004048583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30.07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-3°30,07</v>
      </c>
      <c r="P9" s="31" t="s">
        <v>16</v>
      </c>
      <c r="Q9" s="35" t="n">
        <f aca="false">IF(ISBLANK(I9),"",IF(ISBLANK(J9),"",IF(J9&gt;60,"ERREUR !!",O11*(I9+(J9/60)))))</f>
        <v>-3.50116666666667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19.43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2°19,43</v>
      </c>
      <c r="P10" s="31" t="s">
        <v>14</v>
      </c>
      <c r="Q10" s="35" t="n">
        <f aca="false">IF(ISBLANK(I10),"",IF(ISBLANK(J10),"",IF(J10&gt;60,"ERREUR !!",O12*(I10+(J10/60)))))</f>
        <v>2.32383333333333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37783</v>
      </c>
      <c r="K11" s="40"/>
      <c r="L11" s="40"/>
      <c r="M11" s="40"/>
      <c r="N11" s="41" t="str">
        <f aca="false">I9&amp;"°"&amp;J9</f>
        <v>3°30,07</v>
      </c>
      <c r="O11" s="42" t="n">
        <f aca="false">IF(P9=M10,-1,1)</f>
        <v>-1</v>
      </c>
      <c r="P11" s="43" t="str">
        <f aca="false">TEXT(J11,"aaaa-mm-jj")&amp;"T"&amp;TEXT(J12,"hh:mm:ss")&amp;"z"</f>
        <v>2007-06-12T21:30:00z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0.895833333333333</v>
      </c>
      <c r="K12" s="48"/>
      <c r="L12" s="48"/>
      <c r="M12" s="48"/>
      <c r="N12" s="49" t="str">
        <f aca="false">I10&amp;"°"&amp;J10</f>
        <v>2°19,43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34.6028</v>
      </c>
      <c r="H35" s="123" t="n">
        <v>1000</v>
      </c>
      <c r="I35" s="192" t="n">
        <v>1001</v>
      </c>
      <c r="J35" s="125"/>
      <c r="K35" s="126"/>
      <c r="L35" s="126"/>
      <c r="M35" s="126"/>
      <c r="N35" s="127"/>
      <c r="O35" s="126"/>
      <c r="P35" s="125" t="n">
        <v>3.516</v>
      </c>
      <c r="Q35" s="125"/>
      <c r="R35" s="125"/>
      <c r="S35" s="128" t="n">
        <v>152.9</v>
      </c>
      <c r="T35" s="34" t="n">
        <v>0.007</v>
      </c>
      <c r="U35" s="34" t="n">
        <v>0.00684032586296134</v>
      </c>
      <c r="V35" s="125"/>
      <c r="W35" s="125"/>
      <c r="X35" s="34" t="n">
        <v>33.933</v>
      </c>
      <c r="Y35" s="34" t="n">
        <v>33.1589682154096</v>
      </c>
      <c r="Z35" s="34" t="n">
        <v>2.309</v>
      </c>
      <c r="AA35" s="34" t="n">
        <v>2.25633034536825</v>
      </c>
      <c r="AB35" s="34" t="n">
        <v>33.24</v>
      </c>
      <c r="AC35" s="34" t="n">
        <v>32.4817759549764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22" t="n">
        <v>34.5458</v>
      </c>
      <c r="H36" s="123" t="n">
        <v>600</v>
      </c>
      <c r="I36" s="192" t="n">
        <v>598</v>
      </c>
      <c r="J36" s="134"/>
      <c r="K36" s="135"/>
      <c r="L36" s="135"/>
      <c r="M36" s="135"/>
      <c r="N36" s="136"/>
      <c r="O36" s="135"/>
      <c r="P36" s="134" t="n">
        <v>2.701</v>
      </c>
      <c r="Q36" s="134"/>
      <c r="R36" s="134"/>
      <c r="S36" s="137" t="n">
        <v>117.5</v>
      </c>
      <c r="T36" s="34" t="n">
        <v>0.01</v>
      </c>
      <c r="U36" s="34" t="n">
        <v>0.00977189408994478</v>
      </c>
      <c r="V36" s="134"/>
      <c r="W36" s="134"/>
      <c r="X36" s="34" t="n">
        <v>35.86</v>
      </c>
      <c r="Y36" s="34" t="n">
        <v>35.042012206542</v>
      </c>
      <c r="Z36" s="34" t="n">
        <v>2.328</v>
      </c>
      <c r="AA36" s="34" t="n">
        <v>2.27489694413914</v>
      </c>
      <c r="AB36" s="34" t="n">
        <v>24.12</v>
      </c>
      <c r="AC36" s="34" t="n">
        <v>23.5698085449468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82" t="n">
        <v>34.5475</v>
      </c>
      <c r="H37" s="123" t="n">
        <v>600</v>
      </c>
      <c r="I37" s="192" t="n">
        <v>599</v>
      </c>
      <c r="J37" s="134"/>
      <c r="K37" s="135"/>
      <c r="L37" s="135"/>
      <c r="M37" s="135"/>
      <c r="N37" s="136"/>
      <c r="O37" s="135"/>
      <c r="P37" s="134" t="n">
        <v>2.695</v>
      </c>
      <c r="Q37" s="134"/>
      <c r="R37" s="134"/>
      <c r="S37" s="137" t="n">
        <v>117.2</v>
      </c>
      <c r="T37" s="34" t="n">
        <v>0.007</v>
      </c>
      <c r="U37" s="34" t="n">
        <v>0.00684032586296134</v>
      </c>
      <c r="V37" s="134"/>
      <c r="W37" s="134"/>
      <c r="X37" s="34" t="n">
        <v>36.113</v>
      </c>
      <c r="Y37" s="34" t="n">
        <v>35.2892411270176</v>
      </c>
      <c r="Z37" s="34" t="n">
        <v>2.349</v>
      </c>
      <c r="AA37" s="34" t="n">
        <v>2.29541792172803</v>
      </c>
      <c r="AB37" s="34" t="n">
        <v>24.26</v>
      </c>
      <c r="AC37" s="34" t="n">
        <v>23.706615062206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35.0628</v>
      </c>
      <c r="H38" s="124" t="n">
        <v>300</v>
      </c>
      <c r="I38" s="192" t="n">
        <v>301</v>
      </c>
      <c r="J38" s="134"/>
      <c r="K38" s="135"/>
      <c r="L38" s="135"/>
      <c r="M38" s="135"/>
      <c r="N38" s="136"/>
      <c r="O38" s="135"/>
      <c r="P38" s="134" t="n">
        <v>1.152</v>
      </c>
      <c r="Q38" s="134"/>
      <c r="R38" s="134"/>
      <c r="S38" s="137" t="n">
        <v>50.1</v>
      </c>
      <c r="T38" s="34" t="n">
        <v>0.008</v>
      </c>
      <c r="U38" s="34" t="n">
        <v>0.00781751527195582</v>
      </c>
      <c r="V38" s="134"/>
      <c r="W38" s="134"/>
      <c r="X38" s="34" t="n">
        <v>32.542</v>
      </c>
      <c r="Y38" s="34" t="n">
        <v>31.7996977474983</v>
      </c>
      <c r="Z38" s="34" t="n">
        <v>2.032</v>
      </c>
      <c r="AA38" s="34" t="n">
        <v>1.98564887907678</v>
      </c>
      <c r="AB38" s="34" t="n">
        <v>13.25</v>
      </c>
      <c r="AC38" s="34" t="n">
        <v>12.9477596691768</v>
      </c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9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35.8885</v>
      </c>
      <c r="H39" s="124" t="n">
        <v>100</v>
      </c>
      <c r="I39" s="192" t="n">
        <v>99</v>
      </c>
      <c r="J39" s="134"/>
      <c r="K39" s="135"/>
      <c r="L39" s="135"/>
      <c r="M39" s="135"/>
      <c r="N39" s="136"/>
      <c r="O39" s="135"/>
      <c r="P39" s="134" t="n">
        <v>3.362</v>
      </c>
      <c r="Q39" s="134"/>
      <c r="R39" s="134"/>
      <c r="S39" s="137" t="n">
        <v>146.3</v>
      </c>
      <c r="T39" s="34" t="n">
        <v>0.064</v>
      </c>
      <c r="U39" s="34" t="n">
        <v>0.0625401221756466</v>
      </c>
      <c r="V39" s="134"/>
      <c r="W39" s="134"/>
      <c r="X39" s="34" t="n">
        <v>11.906</v>
      </c>
      <c r="Y39" s="34" t="n">
        <v>11.6344171034882</v>
      </c>
      <c r="Z39" s="34" t="n">
        <v>0.903</v>
      </c>
      <c r="AA39" s="34" t="n">
        <v>0.882402036322013</v>
      </c>
      <c r="AB39" s="34" t="n">
        <v>3.89</v>
      </c>
      <c r="AC39" s="34" t="n">
        <v>3.80126680098852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35.9411</v>
      </c>
      <c r="H40" s="124" t="n">
        <v>80</v>
      </c>
      <c r="I40" s="192" t="n">
        <v>78.5</v>
      </c>
      <c r="J40" s="134"/>
      <c r="K40" s="135"/>
      <c r="L40" s="135"/>
      <c r="M40" s="135"/>
      <c r="N40" s="136"/>
      <c r="O40" s="135"/>
      <c r="P40" s="134" t="n">
        <v>3.402</v>
      </c>
      <c r="Q40" s="134"/>
      <c r="R40" s="134"/>
      <c r="S40" s="137" t="n">
        <v>148.1</v>
      </c>
      <c r="T40" s="34" t="n">
        <v>0.096</v>
      </c>
      <c r="U40" s="34" t="n">
        <v>0.0938101832634698</v>
      </c>
      <c r="V40" s="134"/>
      <c r="W40" s="134"/>
      <c r="X40" s="34" t="n">
        <v>11.154</v>
      </c>
      <c r="Y40" s="34" t="n">
        <v>10.8995706679244</v>
      </c>
      <c r="Z40" s="34" t="n">
        <v>0.87</v>
      </c>
      <c r="AA40" s="34" t="n">
        <v>0.850154785825195</v>
      </c>
      <c r="AB40" s="34" t="n">
        <v>3.96</v>
      </c>
      <c r="AC40" s="34" t="n">
        <v>3.86967005961813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35.9915</v>
      </c>
      <c r="H41" s="124" t="n">
        <v>60</v>
      </c>
      <c r="I41" s="192" t="n">
        <v>59</v>
      </c>
      <c r="J41" s="134"/>
      <c r="K41" s="135"/>
      <c r="L41" s="135"/>
      <c r="M41" s="135"/>
      <c r="N41" s="136"/>
      <c r="O41" s="135"/>
      <c r="P41" s="134" t="n">
        <v>3.46</v>
      </c>
      <c r="Q41" s="134"/>
      <c r="R41" s="134"/>
      <c r="S41" s="137" t="n">
        <v>150.6</v>
      </c>
      <c r="T41" s="34" t="n">
        <v>0.171</v>
      </c>
      <c r="U41" s="34" t="n">
        <v>0.167099388938056</v>
      </c>
      <c r="V41" s="134"/>
      <c r="W41" s="134"/>
      <c r="X41" s="34" t="n">
        <v>10.469</v>
      </c>
      <c r="Y41" s="34" t="n">
        <v>10.2301959227632</v>
      </c>
      <c r="Z41" s="34" t="n">
        <v>0.822</v>
      </c>
      <c r="AA41" s="34" t="n">
        <v>0.803249694193461</v>
      </c>
      <c r="AB41" s="34" t="n">
        <v>3.58</v>
      </c>
      <c r="AC41" s="34" t="n">
        <v>3.49833808420023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1" t="n">
        <v>36.1408</v>
      </c>
      <c r="H42" s="124" t="n">
        <v>40</v>
      </c>
      <c r="I42" s="192" t="n">
        <v>33.5</v>
      </c>
      <c r="J42" s="134"/>
      <c r="K42" s="135"/>
      <c r="L42" s="135"/>
      <c r="M42" s="135"/>
      <c r="N42" s="136"/>
      <c r="O42" s="135"/>
      <c r="P42" s="134" t="n">
        <v>3.965</v>
      </c>
      <c r="Q42" s="134"/>
      <c r="R42" s="134"/>
      <c r="S42" s="137" t="n">
        <v>172.7</v>
      </c>
      <c r="T42" s="34" t="n">
        <v>0.079</v>
      </c>
      <c r="U42" s="34" t="n">
        <v>0.0771979633105637</v>
      </c>
      <c r="V42" s="134"/>
      <c r="W42" s="134"/>
      <c r="X42" s="34" t="n">
        <v>4.191</v>
      </c>
      <c r="Y42" s="34" t="n">
        <v>4.09540081309585</v>
      </c>
      <c r="Z42" s="34" t="n">
        <v>0.525</v>
      </c>
      <c r="AA42" s="34" t="n">
        <v>0.513024439722101</v>
      </c>
      <c r="AB42" s="34" t="n">
        <v>2.43</v>
      </c>
      <c r="AC42" s="34" t="n">
        <v>2.37457026385658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35.914</v>
      </c>
      <c r="H43" s="124" t="n">
        <v>20</v>
      </c>
      <c r="I43" s="192" t="n">
        <v>19.4</v>
      </c>
      <c r="J43" s="134"/>
      <c r="K43" s="135"/>
      <c r="L43" s="135"/>
      <c r="M43" s="135"/>
      <c r="N43" s="136"/>
      <c r="O43" s="135"/>
      <c r="P43" s="134" t="n">
        <v>4.303</v>
      </c>
      <c r="Q43" s="134"/>
      <c r="R43" s="134"/>
      <c r="S43" s="137" t="n">
        <v>187.6</v>
      </c>
      <c r="T43" s="34" t="n">
        <v>0.03</v>
      </c>
      <c r="U43" s="34" t="n">
        <v>0.0293156822698343</v>
      </c>
      <c r="V43" s="134"/>
      <c r="W43" s="134"/>
      <c r="X43" s="34" t="n">
        <v>0.83</v>
      </c>
      <c r="Y43" s="34" t="n">
        <v>0.811067209465416</v>
      </c>
      <c r="Z43" s="34" t="n">
        <v>0.002</v>
      </c>
      <c r="AA43" s="34" t="n">
        <v>0.00195437881798896</v>
      </c>
      <c r="AB43" s="34" t="n">
        <v>1.92</v>
      </c>
      <c r="AC43" s="34" t="n">
        <v>1.8762036652694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35.5695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4.492</v>
      </c>
      <c r="Q44" s="134"/>
      <c r="R44" s="134"/>
      <c r="S44" s="137" t="n">
        <v>196</v>
      </c>
      <c r="T44" s="34" t="n">
        <v>0.011</v>
      </c>
      <c r="U44" s="34" t="n">
        <v>0.0107490834989393</v>
      </c>
      <c r="V44" s="134"/>
      <c r="W44" s="134"/>
      <c r="X44" s="34" t="n">
        <v>0.039</v>
      </c>
      <c r="Y44" s="34" t="n">
        <v>0.0381103869507846</v>
      </c>
      <c r="Z44" s="34" t="n">
        <v>0.012</v>
      </c>
      <c r="AA44" s="34" t="n">
        <v>0.0117262729079337</v>
      </c>
      <c r="AB44" s="34" t="n">
        <v>1.55</v>
      </c>
      <c r="AC44" s="34" t="n">
        <v>1.51464358394144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35.5492</v>
      </c>
      <c r="H45" s="124" t="n">
        <v>0</v>
      </c>
      <c r="I45" s="193" t="n">
        <v>1.3</v>
      </c>
      <c r="J45" s="134"/>
      <c r="K45" s="135"/>
      <c r="L45" s="135"/>
      <c r="M45" s="135"/>
      <c r="N45" s="136"/>
      <c r="O45" s="135"/>
      <c r="P45" s="134" t="n">
        <v>4.502</v>
      </c>
      <c r="Q45" s="134"/>
      <c r="R45" s="134"/>
      <c r="S45" s="137" t="n">
        <v>196.4</v>
      </c>
      <c r="T45" s="34" t="n">
        <v>0.009</v>
      </c>
      <c r="U45" s="34" t="n">
        <v>0.0087947046809503</v>
      </c>
      <c r="V45" s="134"/>
      <c r="W45" s="134"/>
      <c r="X45" s="34" t="n">
        <v>0.041</v>
      </c>
      <c r="Y45" s="34" t="n">
        <v>0.0400647657687736</v>
      </c>
      <c r="Z45" s="34" t="n">
        <v>0.00600000000000001</v>
      </c>
      <c r="AA45" s="34" t="n">
        <v>0.00586313645396687</v>
      </c>
      <c r="AB45" s="34" t="n">
        <v>1.56</v>
      </c>
      <c r="AC45" s="34" t="n">
        <v>1.52441547803138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 t="str">
        <f aca="false">IF(ISBLANK(D46),"",IF(VLOOKUP(D46,#REF!,2)=0,"",IF(D46&gt;#REF!,"Mauvais numéro",IF(D46&lt;#REF!,"Mauvais numéro",(VLOOKUP(D46,#REF!,3))))))</f>
        <v/>
      </c>
      <c r="K46" s="154" t="str">
        <f aca="false">IF(ISBLANK(E46),"",(0.000824493-(0.0000040899*E46)+(0.000000076438*E46^2)-(0.00000000082467*E46^3)+(0.0000000000053875*E46^4)))</f>
        <v/>
      </c>
      <c r="L46" s="154" t="str">
        <f aca="false">IF(ISBLANK(E46),"",(-0.00000572466+(0.00000010227*E46)-(0.0000000016546*E46^2)))</f>
        <v/>
      </c>
      <c r="M46" s="154" t="str">
        <f aca="false">IF(ISBLANK(E46),"",IF(ISBLANK(G46),(O46+(K46*35)+(L46*35^1.5)+(0.00000048314*35^2)),(O46+(K46*G46)+(L46*G46^1.5)+(0.00000048314*G46^2))))</f>
        <v/>
      </c>
      <c r="N46" s="155" t="str">
        <f aca="false">IF(ISBLANK(D46),"",IF(ISBLANK(G46),J46*(1+0.00001*(35-20)),J46*(1+0.00001*(G46-20))))</f>
        <v/>
      </c>
      <c r="O46" s="154" t="str">
        <f aca="false">IF(ISBLANK(E46),"",(0.999842594+(0.00006793952*E46)-(0.00000909529*E46^2)+(0.0000001001685*E46^3)-(0.000000001120083*E46^4)+(0.000000000006536332*E46^5)))</f>
        <v/>
      </c>
      <c r="P46" s="156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7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8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 t="str">
        <f aca="false">IF(ISBLANK(D47),"",IF(VLOOKUP(D47,#REF!,2)=0,"",IF(D47&gt;#REF!,"Mauvais numéro",IF(D47&lt;#REF!,"Mauvais numéro",(VLOOKUP(D47,#REF!,3))))))</f>
        <v/>
      </c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62"/>
      <c r="Q47" s="157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3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62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 t="str">
        <f aca="false">IF(ISBLANK(D48),"",IF(VLOOKUP(D48,#REF!,2)=0,"",IF(D48&gt;#REF!,"Mauvais numéro",IF(D48&lt;#REF!,"Mauvais numéro",(VLOOKUP(D48,#REF!,3))))))</f>
        <v/>
      </c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62"/>
      <c r="Q48" s="157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3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2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 t="str">
        <f aca="false">IF(ISBLANK(D49),"",IF(VLOOKUP(D49,#REF!,2)=0,"",IF(D49&gt;#REF!,"Mauvais numéro",IF(D49&lt;#REF!,"Mauvais numéro",(VLOOKUP(D49,#REF!,3))))))</f>
        <v/>
      </c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64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7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3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 t="str">
        <f aca="false">IF(ISBLANK(D50),"",IF(VLOOKUP(D50,#REF!,2)=0,"",IF(D50&gt;#REF!,"Mauvais numéro",IF(D50&lt;#REF!,"Mauvais numéro",(VLOOKUP(D50,#REF!,3))))))</f>
        <v/>
      </c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64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7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3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 t="str">
        <f aca="false">IF(ISBLANK(D51),"",IF(VLOOKUP(D51,#REF!,2)=0,"",IF(D51&gt;#REF!,"Mauvais numéro",IF(D51&lt;#REF!,"Mauvais numéro",(VLOOKUP(D51,#REF!,3))))))</f>
        <v/>
      </c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64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7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3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 t="str">
        <f aca="false">IF(ISBLANK(D52),"",IF(VLOOKUP(D52,#REF!,2)=0,"",IF(D52&gt;#REF!,"Mauvais numéro",IF(D52&lt;#REF!,"Mauvais numéro",(VLOOKUP(D52,#REF!,3))))))</f>
        <v/>
      </c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64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7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3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 t="str">
        <f aca="false">IF(ISBLANK(D53),"",IF(VLOOKUP(D53,#REF!,2)=0,"",IF(D53&gt;#REF!,"Mauvais numéro",IF(D53&lt;#REF!,"Mauvais numéro",(VLOOKUP(D53,#REF!,3))))))</f>
        <v/>
      </c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64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7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3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 t="str">
        <f aca="false">IF(ISBLANK(D54),"",IF(VLOOKUP(D54,#REF!,2)=0,"",IF(D54&gt;#REF!,"Mauvais numéro",IF(D54&lt;#REF!,"Mauvais numéro",(VLOOKUP(D54,#REF!,3))))))</f>
        <v/>
      </c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64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7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3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 t="str">
        <f aca="false">IF(ISBLANK(D55),"",IF(VLOOKUP(D55,#REF!,2)=0,"",IF(D55&gt;#REF!,"Mauvais numéro",IF(D55&lt;#REF!,"Mauvais numéro",(VLOOKUP(D55,#REF!,3))))))</f>
        <v/>
      </c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64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7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3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 t="str">
        <f aca="false">IF(ISBLANK(D56),"",IF(VLOOKUP(D56,#REF!,2)=0,"",IF(D56&gt;#REF!,"Mauvais numéro",IF(D56&lt;#REF!,"Mauvais numéro",(VLOOKUP(D56,#REF!,3))))))</f>
        <v/>
      </c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64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7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3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 t="str">
        <f aca="false">IF(ISBLANK(D57),"",IF(VLOOKUP(D57,#REF!,2)=0,"",IF(D57&gt;#REF!,"Mauvais numéro",IF(D57&lt;#REF!,"Mauvais numéro",(VLOOKUP(D57,#REF!,3))))))</f>
        <v/>
      </c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64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7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3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70" t="str">
        <f aca="false">IF(ISBLANK(D58),"",IF(VLOOKUP(D58,#REF!,2)=0,"",IF(D58&gt;#REF!,"Mauvais numéro",IF(D58&lt;#REF!,"Mauvais numéro",(VLOOKUP(D58,#REF!,3))))))</f>
        <v/>
      </c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73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4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5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36" activeCellId="0" sqref="H36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0.22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-3°0,22</v>
      </c>
      <c r="P9" s="31" t="s">
        <v>16</v>
      </c>
      <c r="Q9" s="35" t="n">
        <f aca="false">IF(ISBLANK(I9),"",IF(ISBLANK(J9),"",IF(J9&gt;60,"ERREUR !!",O11*(I9+(J9/60)))))</f>
        <v>-3.00366666666667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19.62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2°19,62</v>
      </c>
      <c r="P10" s="31" t="s">
        <v>14</v>
      </c>
      <c r="Q10" s="35" t="n">
        <f aca="false">IF(ISBLANK(I10),"",IF(ISBLANK(J10),"",IF(J10&gt;60,"ERREUR !!",O12*(I10+(J10/60)))))</f>
        <v>2.327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37784</v>
      </c>
      <c r="K11" s="40"/>
      <c r="L11" s="40"/>
      <c r="M11" s="40"/>
      <c r="N11" s="41" t="str">
        <f aca="false">I9&amp;"°"&amp;J9</f>
        <v>3°0,22</v>
      </c>
      <c r="O11" s="42" t="n">
        <f aca="false">IF(P9=M10,-1,1)</f>
        <v>-1</v>
      </c>
      <c r="P11" s="43" t="str">
        <f aca="false">TEXT(J11,"aaaa-mm-jj")&amp;"T"&amp;TEXT(J12,"hh:mm:ss")&amp;"z"</f>
        <v>2007-06-13T02:00:00z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0.0833333333333333</v>
      </c>
      <c r="K12" s="48"/>
      <c r="L12" s="48"/>
      <c r="M12" s="48"/>
      <c r="N12" s="49" t="str">
        <f aca="false">I10&amp;"°"&amp;J10</f>
        <v>2°19,62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34.5989</v>
      </c>
      <c r="H35" s="123" t="n">
        <v>1000</v>
      </c>
      <c r="I35" s="192" t="n">
        <v>1000</v>
      </c>
      <c r="J35" s="125"/>
      <c r="K35" s="126"/>
      <c r="L35" s="126"/>
      <c r="M35" s="126"/>
      <c r="N35" s="127"/>
      <c r="O35" s="126"/>
      <c r="P35" s="125" t="n">
        <v>3.356</v>
      </c>
      <c r="Q35" s="125"/>
      <c r="R35" s="125"/>
      <c r="S35" s="184" t="n">
        <v>145.9</v>
      </c>
      <c r="T35" s="34" t="n">
        <v>0.006</v>
      </c>
      <c r="U35" s="34" t="n">
        <v>0.00586313645396686</v>
      </c>
      <c r="V35" s="125"/>
      <c r="W35" s="125"/>
      <c r="X35" s="34" t="n">
        <v>34.334</v>
      </c>
      <c r="Y35" s="34" t="n">
        <v>33.5508211684164</v>
      </c>
      <c r="Z35" s="34" t="n">
        <v>2.283</v>
      </c>
      <c r="AA35" s="34" t="n">
        <v>2.23092342073439</v>
      </c>
      <c r="AB35" s="34" t="n">
        <v>32.85</v>
      </c>
      <c r="AC35" s="34" t="n">
        <v>32.1006720854686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34.5317</v>
      </c>
      <c r="H36" s="192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2.701</v>
      </c>
      <c r="Q36" s="134"/>
      <c r="R36" s="134"/>
      <c r="S36" s="186" t="n">
        <v>117.5</v>
      </c>
      <c r="T36" s="34" t="n">
        <v>0.003</v>
      </c>
      <c r="U36" s="34" t="n">
        <v>0.00293156822698343</v>
      </c>
      <c r="V36" s="134"/>
      <c r="W36" s="134"/>
      <c r="X36" s="34" t="n">
        <v>36.357</v>
      </c>
      <c r="Y36" s="34" t="n">
        <v>35.5276753428122</v>
      </c>
      <c r="Z36" s="34" t="n">
        <v>2.341</v>
      </c>
      <c r="AA36" s="34" t="n">
        <v>2.28760040645607</v>
      </c>
      <c r="AB36" s="34" t="n">
        <v>25.29</v>
      </c>
      <c r="AC36" s="34" t="n">
        <v>24.7131201534703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82" t="n">
        <v>35.0104</v>
      </c>
      <c r="H37" s="124" t="n">
        <v>300</v>
      </c>
      <c r="I37" s="192" t="n">
        <v>301</v>
      </c>
      <c r="J37" s="134"/>
      <c r="K37" s="135"/>
      <c r="L37" s="135"/>
      <c r="M37" s="135"/>
      <c r="N37" s="136"/>
      <c r="O37" s="135"/>
      <c r="P37" s="134" t="n">
        <v>1.471</v>
      </c>
      <c r="Q37" s="134"/>
      <c r="R37" s="134"/>
      <c r="S37" s="186" t="n">
        <v>64</v>
      </c>
      <c r="T37" s="34" t="n">
        <v>0.007</v>
      </c>
      <c r="U37" s="34" t="n">
        <v>0.00684032586296134</v>
      </c>
      <c r="V37" s="134"/>
      <c r="W37" s="134"/>
      <c r="X37" s="34" t="n">
        <v>31.813</v>
      </c>
      <c r="Y37" s="34" t="n">
        <v>31.0873266683413</v>
      </c>
      <c r="Z37" s="34" t="n">
        <v>1.968</v>
      </c>
      <c r="AA37" s="34" t="n">
        <v>1.92310875690113</v>
      </c>
      <c r="AB37" s="34" t="n">
        <v>13.09</v>
      </c>
      <c r="AC37" s="34" t="n">
        <v>12.7914093637377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22" t="n">
        <v>35.0111</v>
      </c>
      <c r="H38" s="124" t="n">
        <v>300</v>
      </c>
      <c r="I38" s="192" t="n">
        <v>301</v>
      </c>
      <c r="J38" s="134"/>
      <c r="K38" s="135"/>
      <c r="L38" s="135"/>
      <c r="M38" s="135"/>
      <c r="N38" s="136"/>
      <c r="O38" s="135"/>
      <c r="P38" s="134" t="n">
        <v>1.466</v>
      </c>
      <c r="Q38" s="134"/>
      <c r="R38" s="134"/>
      <c r="S38" s="186" t="n">
        <v>63.8</v>
      </c>
      <c r="T38" s="34" t="n">
        <v>0.008</v>
      </c>
      <c r="U38" s="34" t="n">
        <v>0.00781751527195582</v>
      </c>
      <c r="V38" s="134"/>
      <c r="W38" s="134"/>
      <c r="X38" s="34" t="n">
        <v>31.752</v>
      </c>
      <c r="Y38" s="34" t="n">
        <v>31.0277181143926</v>
      </c>
      <c r="Z38" s="34" t="n">
        <v>1.949</v>
      </c>
      <c r="AA38" s="34" t="n">
        <v>1.90454215813024</v>
      </c>
      <c r="AB38" s="34" t="n">
        <v>13.09</v>
      </c>
      <c r="AC38" s="34" t="n">
        <v>12.7914093637377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35.8724</v>
      </c>
      <c r="H39" s="124" t="n">
        <v>100</v>
      </c>
      <c r="I39" s="192" t="n">
        <v>98</v>
      </c>
      <c r="J39" s="134"/>
      <c r="K39" s="135"/>
      <c r="L39" s="135"/>
      <c r="M39" s="135"/>
      <c r="N39" s="136"/>
      <c r="O39" s="135"/>
      <c r="P39" s="134" t="n">
        <v>3.161</v>
      </c>
      <c r="Q39" s="134"/>
      <c r="R39" s="134"/>
      <c r="S39" s="186" t="n">
        <v>137.6</v>
      </c>
      <c r="T39" s="34" t="n">
        <v>0.04</v>
      </c>
      <c r="U39" s="34" t="n">
        <v>0.0390875763597791</v>
      </c>
      <c r="V39" s="134"/>
      <c r="W39" s="134"/>
      <c r="X39" s="34" t="n">
        <v>12.91</v>
      </c>
      <c r="Y39" s="34" t="n">
        <v>12.6155152701187</v>
      </c>
      <c r="Z39" s="34" t="n">
        <v>0.943</v>
      </c>
      <c r="AA39" s="34" t="n">
        <v>0.921489612681792</v>
      </c>
      <c r="AB39" s="34" t="n">
        <v>4.08</v>
      </c>
      <c r="AC39" s="34" t="n">
        <v>3.98693278869747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35.8988</v>
      </c>
      <c r="H40" s="124" t="n">
        <v>80</v>
      </c>
      <c r="I40" s="192" t="n">
        <v>80</v>
      </c>
      <c r="J40" s="134"/>
      <c r="K40" s="135"/>
      <c r="L40" s="135"/>
      <c r="M40" s="135"/>
      <c r="N40" s="136"/>
      <c r="O40" s="135"/>
      <c r="P40" s="134" t="n">
        <v>3.096</v>
      </c>
      <c r="Q40" s="134"/>
      <c r="R40" s="134"/>
      <c r="S40" s="186" t="n">
        <v>134.8</v>
      </c>
      <c r="T40" s="34" t="n">
        <v>0.054</v>
      </c>
      <c r="U40" s="34" t="n">
        <v>0.0527682280857018</v>
      </c>
      <c r="V40" s="134"/>
      <c r="W40" s="134"/>
      <c r="X40" s="34" t="n">
        <v>13.086</v>
      </c>
      <c r="Y40" s="34" t="n">
        <v>12.7875006061017</v>
      </c>
      <c r="Z40" s="34" t="n">
        <v>0.959</v>
      </c>
      <c r="AA40" s="34" t="n">
        <v>0.937124643225704</v>
      </c>
      <c r="AB40" s="34" t="n">
        <v>3.93</v>
      </c>
      <c r="AC40" s="34" t="n">
        <v>3.8403543773483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35.9887</v>
      </c>
      <c r="H41" s="124" t="n">
        <v>60</v>
      </c>
      <c r="I41" s="192" t="n">
        <v>60</v>
      </c>
      <c r="J41" s="134"/>
      <c r="K41" s="135"/>
      <c r="L41" s="135"/>
      <c r="M41" s="135"/>
      <c r="N41" s="136"/>
      <c r="O41" s="135"/>
      <c r="P41" s="134" t="n">
        <v>3.314</v>
      </c>
      <c r="Q41" s="134"/>
      <c r="R41" s="134"/>
      <c r="S41" s="186" t="n">
        <v>144.3</v>
      </c>
      <c r="T41" s="34" t="n">
        <v>0.119</v>
      </c>
      <c r="U41" s="34" t="n">
        <v>0.116285539670343</v>
      </c>
      <c r="V41" s="134"/>
      <c r="W41" s="134"/>
      <c r="X41" s="34" t="n">
        <v>10.971</v>
      </c>
      <c r="Y41" s="34" t="n">
        <v>10.7207450060784</v>
      </c>
      <c r="Z41" s="34" t="n">
        <v>0.829</v>
      </c>
      <c r="AA41" s="34" t="n">
        <v>0.810090020056422</v>
      </c>
      <c r="AB41" s="34" t="n">
        <v>3.34</v>
      </c>
      <c r="AC41" s="34" t="n">
        <v>3.26381262604155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36.0804</v>
      </c>
      <c r="H42" s="124" t="n">
        <v>40</v>
      </c>
      <c r="I42" s="192" t="n">
        <v>40</v>
      </c>
      <c r="J42" s="134"/>
      <c r="K42" s="135"/>
      <c r="L42" s="135"/>
      <c r="M42" s="135"/>
      <c r="N42" s="136"/>
      <c r="O42" s="135"/>
      <c r="P42" s="134" t="n">
        <v>3.559</v>
      </c>
      <c r="Q42" s="134"/>
      <c r="R42" s="134"/>
      <c r="S42" s="186" t="n">
        <v>154.9</v>
      </c>
      <c r="T42" s="34" t="n">
        <v>0.175</v>
      </c>
      <c r="U42" s="34" t="n">
        <v>0.171008146574034</v>
      </c>
      <c r="V42" s="134"/>
      <c r="W42" s="134"/>
      <c r="X42" s="34" t="n">
        <v>8.925</v>
      </c>
      <c r="Y42" s="34" t="n">
        <v>8.72141547527571</v>
      </c>
      <c r="Z42" s="34" t="n">
        <v>0.721</v>
      </c>
      <c r="AA42" s="34" t="n">
        <v>0.704553563885018</v>
      </c>
      <c r="AB42" s="34" t="n">
        <v>2.97</v>
      </c>
      <c r="AC42" s="34" t="n">
        <v>2.9022525447136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36.0162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34" t="n">
        <v>4.022</v>
      </c>
      <c r="Q43" s="134"/>
      <c r="R43" s="134"/>
      <c r="S43" s="186" t="n">
        <v>175.2</v>
      </c>
      <c r="T43" s="34" t="n">
        <v>0.083</v>
      </c>
      <c r="U43" s="34" t="n">
        <v>0.0811067209465416</v>
      </c>
      <c r="V43" s="134"/>
      <c r="W43" s="134"/>
      <c r="X43" s="34" t="n">
        <v>1.777</v>
      </c>
      <c r="Y43" s="34" t="n">
        <v>1.73646557978319</v>
      </c>
      <c r="Z43" s="34" t="n">
        <v>0.407</v>
      </c>
      <c r="AA43" s="34" t="n">
        <v>0.397716089460752</v>
      </c>
      <c r="AB43" s="34" t="n">
        <v>2.02</v>
      </c>
      <c r="AC43" s="34" t="n">
        <v>1.97392260616884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35.6265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4.455</v>
      </c>
      <c r="Q44" s="134"/>
      <c r="R44" s="134"/>
      <c r="S44" s="186" t="n">
        <v>194.3</v>
      </c>
      <c r="T44" s="34" t="n">
        <v>0.004</v>
      </c>
      <c r="U44" s="34" t="n">
        <v>0.00390875763597791</v>
      </c>
      <c r="V44" s="134"/>
      <c r="W44" s="134"/>
      <c r="X44" s="34" t="n">
        <v>0.106</v>
      </c>
      <c r="Y44" s="34" t="n">
        <v>0.103582077353415</v>
      </c>
      <c r="Z44" s="34" t="n">
        <v>0.168</v>
      </c>
      <c r="AA44" s="34" t="n">
        <v>0.164167820711072</v>
      </c>
      <c r="AB44" s="34" t="n">
        <v>1.45</v>
      </c>
      <c r="AC44" s="34" t="n">
        <v>1.41692464304199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35.5771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4.487</v>
      </c>
      <c r="Q45" s="134"/>
      <c r="R45" s="134"/>
      <c r="S45" s="186" t="n">
        <v>195.7</v>
      </c>
      <c r="T45" s="34" t="n">
        <v>0.009</v>
      </c>
      <c r="U45" s="34" t="n">
        <v>0.0087947046809503</v>
      </c>
      <c r="V45" s="134"/>
      <c r="W45" s="134"/>
      <c r="X45" s="34" t="n">
        <v>0.031</v>
      </c>
      <c r="Y45" s="34" t="n">
        <v>0.0302928716788288</v>
      </c>
      <c r="Z45" s="34" t="n">
        <v>0.151</v>
      </c>
      <c r="AA45" s="34" t="n">
        <v>0.147555600758166</v>
      </c>
      <c r="AB45" s="34" t="n">
        <v>1.42</v>
      </c>
      <c r="AC45" s="34" t="n">
        <v>1.38760896077216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38" activeCellId="0" sqref="H38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30.12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-2°30,12</v>
      </c>
      <c r="P9" s="31" t="s">
        <v>16</v>
      </c>
      <c r="Q9" s="35" t="n">
        <f aca="false">IF(ISBLANK(I9),"",IF(ISBLANK(J9),"",IF(J9&gt;60,"ERREUR !!",O11*(I9+(J9/60)))))</f>
        <v>-2.502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19.86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2°19,86</v>
      </c>
      <c r="P10" s="31" t="s">
        <v>14</v>
      </c>
      <c r="Q10" s="35" t="n">
        <f aca="false">IF(ISBLANK(I10),"",IF(ISBLANK(J10),"",IF(J10&gt;60,"ERREUR !!",O12*(I10+(J10/60)))))</f>
        <v>2.331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37784</v>
      </c>
      <c r="K11" s="40"/>
      <c r="L11" s="40"/>
      <c r="M11" s="40"/>
      <c r="N11" s="41" t="str">
        <f aca="false">I9&amp;"°"&amp;J9</f>
        <v>2°30,12</v>
      </c>
      <c r="O11" s="42" t="n">
        <f aca="false">IF(P9=M10,-1,1)</f>
        <v>-1</v>
      </c>
      <c r="P11" s="43" t="str">
        <f aca="false">TEXT(J11,"aaaa-mm-jj")&amp;"T"&amp;TEXT(J12,"hh:mm:ss")&amp;"z"</f>
        <v>2007-06-13T07:00:00z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0.291666666666667</v>
      </c>
      <c r="K12" s="48"/>
      <c r="L12" s="48"/>
      <c r="M12" s="48"/>
      <c r="N12" s="49" t="str">
        <f aca="false">I10&amp;"°"&amp;J10</f>
        <v>2°19,86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34.6327</v>
      </c>
      <c r="H35" s="123" t="n">
        <v>1000</v>
      </c>
      <c r="I35" s="192" t="n">
        <v>1003</v>
      </c>
      <c r="J35" s="125"/>
      <c r="K35" s="126"/>
      <c r="L35" s="126"/>
      <c r="M35" s="126"/>
      <c r="N35" s="127"/>
      <c r="O35" s="126"/>
      <c r="P35" s="125" t="n">
        <v>3.452</v>
      </c>
      <c r="Q35" s="125"/>
      <c r="R35" s="125"/>
      <c r="S35" s="184" t="n">
        <v>150.1</v>
      </c>
      <c r="T35" s="34" t="n">
        <v>0</v>
      </c>
      <c r="U35" s="34" t="n">
        <v>0</v>
      </c>
      <c r="V35" s="125"/>
      <c r="W35" s="125"/>
      <c r="X35" s="34" t="n">
        <v>32.99</v>
      </c>
      <c r="Y35" s="34" t="n">
        <v>32.2374786027278</v>
      </c>
      <c r="Z35" s="34" t="n">
        <v>2.194</v>
      </c>
      <c r="AA35" s="34" t="n">
        <v>2.14395356333388</v>
      </c>
      <c r="AB35" s="34" t="n">
        <v>31.43</v>
      </c>
      <c r="AC35" s="34" t="n">
        <v>30.7130631246964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34.5327</v>
      </c>
      <c r="H36" s="123" t="n">
        <v>600</v>
      </c>
      <c r="I36" s="192" t="n">
        <v>599</v>
      </c>
      <c r="J36" s="134"/>
      <c r="K36" s="135"/>
      <c r="L36" s="135"/>
      <c r="M36" s="135"/>
      <c r="N36" s="136"/>
      <c r="O36" s="135"/>
      <c r="P36" s="134" t="n">
        <v>2.686</v>
      </c>
      <c r="Q36" s="134"/>
      <c r="R36" s="134"/>
      <c r="S36" s="186" t="n">
        <v>116.8</v>
      </c>
      <c r="T36" s="34" t="n">
        <v>0.002</v>
      </c>
      <c r="U36" s="34" t="n">
        <v>0.00195437881798896</v>
      </c>
      <c r="V36" s="134"/>
      <c r="W36" s="134"/>
      <c r="X36" s="34" t="n">
        <v>35.698</v>
      </c>
      <c r="Y36" s="34" t="n">
        <v>34.8837075222848</v>
      </c>
      <c r="Z36" s="34" t="n">
        <v>2.324</v>
      </c>
      <c r="AA36" s="34" t="n">
        <v>2.27098818650317</v>
      </c>
      <c r="AB36" s="34" t="n">
        <v>24.87</v>
      </c>
      <c r="AC36" s="34" t="n">
        <v>24.3027006016927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34.9868</v>
      </c>
      <c r="H37" s="124" t="n">
        <v>300</v>
      </c>
      <c r="I37" s="192" t="n">
        <v>301</v>
      </c>
      <c r="J37" s="134"/>
      <c r="K37" s="135"/>
      <c r="L37" s="135"/>
      <c r="M37" s="135"/>
      <c r="N37" s="136"/>
      <c r="O37" s="135"/>
      <c r="P37" s="134" t="n">
        <v>1.716</v>
      </c>
      <c r="Q37" s="134"/>
      <c r="R37" s="134"/>
      <c r="S37" s="186" t="n">
        <v>74.6</v>
      </c>
      <c r="T37" s="34" t="n">
        <v>0.002</v>
      </c>
      <c r="U37" s="34" t="n">
        <v>0.00195437881798896</v>
      </c>
      <c r="V37" s="134"/>
      <c r="W37" s="134"/>
      <c r="X37" s="34" t="n">
        <v>30.098</v>
      </c>
      <c r="Y37" s="34" t="n">
        <v>29.4114468319158</v>
      </c>
      <c r="Z37" s="34" t="n">
        <v>1.857</v>
      </c>
      <c r="AA37" s="34" t="n">
        <v>1.81464073250274</v>
      </c>
      <c r="AB37" s="34" t="n">
        <v>11.61</v>
      </c>
      <c r="AC37" s="34" t="n">
        <v>11.3451690384259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22" t="n">
        <v>35.7867</v>
      </c>
      <c r="H38" s="124" t="n">
        <v>100</v>
      </c>
      <c r="I38" s="192" t="n">
        <v>98</v>
      </c>
      <c r="J38" s="134"/>
      <c r="K38" s="135"/>
      <c r="L38" s="135"/>
      <c r="M38" s="135"/>
      <c r="N38" s="136"/>
      <c r="O38" s="135"/>
      <c r="P38" s="134" t="n">
        <v>2.936</v>
      </c>
      <c r="Q38" s="134"/>
      <c r="R38" s="134"/>
      <c r="S38" s="186" t="n">
        <v>127.8</v>
      </c>
      <c r="T38" s="34" t="n">
        <v>0.044</v>
      </c>
      <c r="U38" s="34" t="n">
        <v>0.042996333995757</v>
      </c>
      <c r="V38" s="134"/>
      <c r="W38" s="134"/>
      <c r="X38" s="34" t="n">
        <v>14.586</v>
      </c>
      <c r="Y38" s="34" t="n">
        <v>14.2532847195934</v>
      </c>
      <c r="Z38" s="34" t="n">
        <v>1.025</v>
      </c>
      <c r="AA38" s="34" t="n">
        <v>1.00161914421934</v>
      </c>
      <c r="AB38" s="34" t="n">
        <v>4.48</v>
      </c>
      <c r="AC38" s="34" t="n">
        <v>4.37780855229526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22" t="n">
        <v>35.788</v>
      </c>
      <c r="H39" s="124" t="n">
        <v>100</v>
      </c>
      <c r="I39" s="192" t="n">
        <v>98</v>
      </c>
      <c r="J39" s="134"/>
      <c r="K39" s="135"/>
      <c r="L39" s="135"/>
      <c r="M39" s="135"/>
      <c r="N39" s="136"/>
      <c r="O39" s="135"/>
      <c r="P39" s="134" t="n">
        <v>2.914</v>
      </c>
      <c r="Q39" s="134"/>
      <c r="R39" s="134"/>
      <c r="S39" s="186" t="n">
        <v>126.8</v>
      </c>
      <c r="T39" s="34" t="n">
        <v>0.02</v>
      </c>
      <c r="U39" s="34" t="n">
        <v>0.0195437881798896</v>
      </c>
      <c r="V39" s="134"/>
      <c r="W39" s="134"/>
      <c r="X39" s="34" t="n">
        <v>14.66</v>
      </c>
      <c r="Y39" s="34" t="n">
        <v>14.325596735859</v>
      </c>
      <c r="Z39" s="34" t="n">
        <v>1.025</v>
      </c>
      <c r="AA39" s="34" t="n">
        <v>1.00161914421934</v>
      </c>
      <c r="AB39" s="34" t="n">
        <v>4.43</v>
      </c>
      <c r="AC39" s="34" t="n">
        <v>4.32894908184553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35.8744</v>
      </c>
      <c r="H40" s="124" t="n">
        <v>80</v>
      </c>
      <c r="I40" s="192" t="n">
        <v>79</v>
      </c>
      <c r="J40" s="134"/>
      <c r="K40" s="135"/>
      <c r="L40" s="135"/>
      <c r="M40" s="135"/>
      <c r="N40" s="136"/>
      <c r="O40" s="135"/>
      <c r="P40" s="134" t="n">
        <v>3.312</v>
      </c>
      <c r="Q40" s="134"/>
      <c r="R40" s="134"/>
      <c r="S40" s="186" t="n">
        <v>144.2</v>
      </c>
      <c r="T40" s="34" t="n">
        <v>0.044</v>
      </c>
      <c r="U40" s="34" t="n">
        <v>0.042996333995757</v>
      </c>
      <c r="V40" s="134"/>
      <c r="W40" s="134"/>
      <c r="X40" s="34" t="n">
        <v>12.116</v>
      </c>
      <c r="Y40" s="34" t="n">
        <v>11.8396268793771</v>
      </c>
      <c r="Z40" s="34" t="n">
        <v>0.874</v>
      </c>
      <c r="AA40" s="34" t="n">
        <v>0.854063543461173</v>
      </c>
      <c r="AB40" s="34" t="n">
        <v>3.5</v>
      </c>
      <c r="AC40" s="34" t="n">
        <v>3.42016293148067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35.9375</v>
      </c>
      <c r="H41" s="124" t="n">
        <v>60</v>
      </c>
      <c r="I41" s="192" t="n">
        <v>61</v>
      </c>
      <c r="J41" s="134"/>
      <c r="K41" s="135"/>
      <c r="L41" s="135"/>
      <c r="M41" s="135"/>
      <c r="N41" s="136"/>
      <c r="O41" s="135"/>
      <c r="P41" s="134" t="n">
        <v>3.242</v>
      </c>
      <c r="Q41" s="134"/>
      <c r="R41" s="134"/>
      <c r="S41" s="186" t="n">
        <v>141.1</v>
      </c>
      <c r="T41" s="34" t="n">
        <v>0.112</v>
      </c>
      <c r="U41" s="34" t="n">
        <v>0.109445213807381</v>
      </c>
      <c r="V41" s="134"/>
      <c r="W41" s="134"/>
      <c r="X41" s="34" t="n">
        <v>11.808</v>
      </c>
      <c r="Y41" s="34" t="n">
        <v>11.5386525414068</v>
      </c>
      <c r="Z41" s="34" t="n">
        <v>0.869</v>
      </c>
      <c r="AA41" s="34" t="n">
        <v>0.849177596416201</v>
      </c>
      <c r="AB41" s="34" t="n">
        <v>3.54</v>
      </c>
      <c r="AC41" s="34" t="n">
        <v>3.45925050784045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35.9892</v>
      </c>
      <c r="H42" s="124" t="n">
        <v>40</v>
      </c>
      <c r="I42" s="192" t="n">
        <v>40</v>
      </c>
      <c r="J42" s="134"/>
      <c r="K42" s="135"/>
      <c r="L42" s="135"/>
      <c r="M42" s="135"/>
      <c r="N42" s="136"/>
      <c r="O42" s="135"/>
      <c r="P42" s="134" t="n">
        <v>3.449</v>
      </c>
      <c r="Q42" s="134"/>
      <c r="R42" s="134"/>
      <c r="S42" s="186" t="n">
        <v>150.2</v>
      </c>
      <c r="T42" s="34" t="n">
        <v>0.241</v>
      </c>
      <c r="U42" s="34" t="n">
        <v>0.235502647567669</v>
      </c>
      <c r="V42" s="134"/>
      <c r="W42" s="134"/>
      <c r="X42" s="34" t="n">
        <v>8.729</v>
      </c>
      <c r="Y42" s="34" t="n">
        <v>8.52988635111279</v>
      </c>
      <c r="Z42" s="34" t="n">
        <v>0.729</v>
      </c>
      <c r="AA42" s="34" t="n">
        <v>0.712371079156974</v>
      </c>
      <c r="AB42" s="34" t="n">
        <v>2.9</v>
      </c>
      <c r="AC42" s="34" t="n">
        <v>2.83384928608398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35.8569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34" t="n">
        <v>4.171</v>
      </c>
      <c r="Q43" s="134"/>
      <c r="R43" s="134"/>
      <c r="S43" s="186" t="n">
        <v>181.8</v>
      </c>
      <c r="T43" s="34" t="n">
        <v>0.062</v>
      </c>
      <c r="U43" s="34" t="n">
        <v>0.0605857433576576</v>
      </c>
      <c r="V43" s="134"/>
      <c r="W43" s="134"/>
      <c r="X43" s="34" t="n">
        <v>1.558</v>
      </c>
      <c r="Y43" s="34" t="n">
        <v>1.5224610992134</v>
      </c>
      <c r="Z43" s="34" t="n">
        <v>0.287</v>
      </c>
      <c r="AA43" s="34" t="n">
        <v>0.280453360381415</v>
      </c>
      <c r="AB43" s="34" t="n">
        <v>1.7</v>
      </c>
      <c r="AC43" s="34" t="n">
        <v>1.66122199529061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35.7826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4.462</v>
      </c>
      <c r="Q44" s="134"/>
      <c r="R44" s="134"/>
      <c r="S44" s="186" t="n">
        <v>194.6</v>
      </c>
      <c r="T44" s="34" t="n">
        <v>0.004</v>
      </c>
      <c r="U44" s="34" t="n">
        <v>0.00390875763597791</v>
      </c>
      <c r="V44" s="134"/>
      <c r="W44" s="134"/>
      <c r="X44" s="34" t="n">
        <v>0.046</v>
      </c>
      <c r="Y44" s="34" t="n">
        <v>0.044950712813746</v>
      </c>
      <c r="Z44" s="34" t="n">
        <v>0.125</v>
      </c>
      <c r="AA44" s="34" t="n">
        <v>0.12214867612431</v>
      </c>
      <c r="AB44" s="34" t="n">
        <v>1.2</v>
      </c>
      <c r="AC44" s="34" t="n">
        <v>1.17262729079337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35.7792</v>
      </c>
      <c r="H45" s="124" t="n">
        <v>0</v>
      </c>
      <c r="I45" s="193" t="n">
        <v>1.5</v>
      </c>
      <c r="J45" s="134"/>
      <c r="K45" s="135"/>
      <c r="L45" s="135"/>
      <c r="M45" s="135"/>
      <c r="N45" s="136"/>
      <c r="O45" s="135"/>
      <c r="P45" s="134" t="n">
        <v>4.455</v>
      </c>
      <c r="Q45" s="134"/>
      <c r="R45" s="134"/>
      <c r="S45" s="186" t="n">
        <v>194.3</v>
      </c>
      <c r="T45" s="34" t="n">
        <v>0</v>
      </c>
      <c r="U45" s="34" t="n">
        <v>0</v>
      </c>
      <c r="V45" s="134"/>
      <c r="W45" s="134"/>
      <c r="X45" s="34" t="n">
        <v>0.03</v>
      </c>
      <c r="Y45" s="34" t="n">
        <v>0.0293156822698343</v>
      </c>
      <c r="Z45" s="34" t="n">
        <v>0.122</v>
      </c>
      <c r="AA45" s="34" t="n">
        <v>0.119217107897326</v>
      </c>
      <c r="AB45" s="34" t="n">
        <v>1.21</v>
      </c>
      <c r="AC45" s="34" t="n">
        <v>1.18239918488332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40" activeCellId="0" sqref="H40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0.06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-2°0,06</v>
      </c>
      <c r="P9" s="31" t="s">
        <v>16</v>
      </c>
      <c r="Q9" s="35" t="n">
        <f aca="false">IF(ISBLANK(I9),"",IF(ISBLANK(J9),"",IF(J9&gt;60,"ERREUR !!",O11*(I9+(J9/60)))))</f>
        <v>-2.001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19.86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2°19,86</v>
      </c>
      <c r="P10" s="31" t="s">
        <v>14</v>
      </c>
      <c r="Q10" s="35" t="n">
        <f aca="false">IF(ISBLANK(I10),"",IF(ISBLANK(J10),"",IF(J10&gt;60,"ERREUR !!",O12*(I10+(J10/60)))))</f>
        <v>2.331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37784</v>
      </c>
      <c r="K11" s="40"/>
      <c r="L11" s="40"/>
      <c r="M11" s="40"/>
      <c r="N11" s="41" t="str">
        <f aca="false">I9&amp;"°"&amp;J9</f>
        <v>2°0,06</v>
      </c>
      <c r="O11" s="42" t="n">
        <f aca="false">IF(P9=M10,-1,1)</f>
        <v>-1</v>
      </c>
      <c r="P11" s="43" t="str">
        <f aca="false">TEXT(J11,"aaaa-mm-jj")&amp;"T"&amp;TEXT(J12,"hh:mm:ss")&amp;"z"</f>
        <v>2007-06-13T12:00:00z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0.5</v>
      </c>
      <c r="K12" s="48"/>
      <c r="L12" s="48"/>
      <c r="M12" s="48"/>
      <c r="N12" s="49" t="str">
        <f aca="false">I10&amp;"°"&amp;J10</f>
        <v>2°19,86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34.6265</v>
      </c>
      <c r="H35" s="123" t="n">
        <v>1000</v>
      </c>
      <c r="I35" s="192" t="n">
        <v>1003</v>
      </c>
      <c r="J35" s="125"/>
      <c r="K35" s="126"/>
      <c r="L35" s="126"/>
      <c r="M35" s="126"/>
      <c r="N35" s="127"/>
      <c r="O35" s="126"/>
      <c r="P35" s="125" t="n">
        <v>3.426</v>
      </c>
      <c r="Q35" s="125"/>
      <c r="R35" s="125"/>
      <c r="S35" s="184" t="n">
        <v>149</v>
      </c>
      <c r="T35" s="34" t="n">
        <v>0.008</v>
      </c>
      <c r="U35" s="34" t="n">
        <v>0.00781751527195582</v>
      </c>
      <c r="V35" s="125"/>
      <c r="W35" s="125"/>
      <c r="X35" s="34" t="n">
        <v>33.242</v>
      </c>
      <c r="Y35" s="34" t="n">
        <v>32.4837303337944</v>
      </c>
      <c r="Z35" s="34" t="n">
        <v>2.201</v>
      </c>
      <c r="AA35" s="34" t="n">
        <v>2.15079388919684</v>
      </c>
      <c r="AB35" s="34" t="n">
        <v>31.23</v>
      </c>
      <c r="AC35" s="34" t="n">
        <v>30.5176252428975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34.5631</v>
      </c>
      <c r="H36" s="123" t="n">
        <v>600</v>
      </c>
      <c r="I36" s="192" t="n">
        <v>600.8</v>
      </c>
      <c r="J36" s="134"/>
      <c r="K36" s="135"/>
      <c r="L36" s="135"/>
      <c r="M36" s="135"/>
      <c r="N36" s="136"/>
      <c r="O36" s="135"/>
      <c r="P36" s="134" t="n">
        <v>2.497</v>
      </c>
      <c r="Q36" s="134"/>
      <c r="R36" s="134"/>
      <c r="S36" s="186" t="n">
        <v>108.6</v>
      </c>
      <c r="T36" s="34" t="n">
        <v>0.006</v>
      </c>
      <c r="U36" s="34" t="n">
        <v>0.00586313645396686</v>
      </c>
      <c r="V36" s="134"/>
      <c r="W36" s="134"/>
      <c r="X36" s="34" t="n">
        <v>36.064</v>
      </c>
      <c r="Y36" s="34" t="n">
        <v>35.2413588459768</v>
      </c>
      <c r="Z36" s="34" t="n">
        <v>2.314</v>
      </c>
      <c r="AA36" s="34" t="n">
        <v>2.26121629241322</v>
      </c>
      <c r="AB36" s="34" t="n">
        <v>23.03</v>
      </c>
      <c r="AC36" s="34" t="n">
        <v>22.5046720891428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34.9608</v>
      </c>
      <c r="H37" s="124" t="n">
        <v>300</v>
      </c>
      <c r="I37" s="192" t="n">
        <v>299</v>
      </c>
      <c r="J37" s="134"/>
      <c r="K37" s="135"/>
      <c r="L37" s="135"/>
      <c r="M37" s="135"/>
      <c r="N37" s="136"/>
      <c r="O37" s="135"/>
      <c r="P37" s="134" t="n">
        <v>1.43</v>
      </c>
      <c r="Q37" s="134"/>
      <c r="R37" s="134"/>
      <c r="S37" s="186" t="n">
        <v>62.2</v>
      </c>
      <c r="T37" s="34" t="n">
        <v>0.006</v>
      </c>
      <c r="U37" s="34" t="n">
        <v>0.00586313645396686</v>
      </c>
      <c r="V37" s="134"/>
      <c r="W37" s="134"/>
      <c r="X37" s="34" t="n">
        <v>32.604</v>
      </c>
      <c r="Y37" s="34" t="n">
        <v>31.8602834908559</v>
      </c>
      <c r="Z37" s="34" t="n">
        <v>1.928</v>
      </c>
      <c r="AA37" s="34" t="n">
        <v>1.88402118054135</v>
      </c>
      <c r="AB37" s="34" t="n">
        <v>12.73</v>
      </c>
      <c r="AC37" s="34" t="n">
        <v>12.4396211764997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35.6684</v>
      </c>
      <c r="H38" s="124" t="n">
        <v>100</v>
      </c>
      <c r="I38" s="192" t="n">
        <v>100.9</v>
      </c>
      <c r="J38" s="134"/>
      <c r="K38" s="135"/>
      <c r="L38" s="135"/>
      <c r="M38" s="135"/>
      <c r="N38" s="136"/>
      <c r="O38" s="135"/>
      <c r="P38" s="134" t="n">
        <v>2.963</v>
      </c>
      <c r="Q38" s="134"/>
      <c r="R38" s="134"/>
      <c r="S38" s="186" t="n">
        <v>129</v>
      </c>
      <c r="T38" s="34" t="n">
        <v>0.034</v>
      </c>
      <c r="U38" s="34" t="n">
        <v>0.0332244399058122</v>
      </c>
      <c r="V38" s="134"/>
      <c r="W38" s="134"/>
      <c r="X38" s="34" t="n">
        <v>15.876</v>
      </c>
      <c r="Y38" s="34" t="n">
        <v>15.5138590571963</v>
      </c>
      <c r="Z38" s="34" t="n">
        <v>1.081</v>
      </c>
      <c r="AA38" s="34" t="n">
        <v>1.05634175112303</v>
      </c>
      <c r="AB38" s="34" t="n">
        <v>4.75</v>
      </c>
      <c r="AC38" s="34" t="n">
        <v>4.64164969272377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35.7894</v>
      </c>
      <c r="H39" s="124" t="n">
        <v>80</v>
      </c>
      <c r="I39" s="192" t="n">
        <v>79.6</v>
      </c>
      <c r="J39" s="134"/>
      <c r="K39" s="135"/>
      <c r="L39" s="135"/>
      <c r="M39" s="135"/>
      <c r="N39" s="136"/>
      <c r="O39" s="135"/>
      <c r="P39" s="134" t="n">
        <v>3.295</v>
      </c>
      <c r="Q39" s="134"/>
      <c r="R39" s="134"/>
      <c r="S39" s="186" t="n">
        <v>143.4</v>
      </c>
      <c r="T39" s="34" t="n">
        <v>0.069</v>
      </c>
      <c r="U39" s="34" t="n">
        <v>0.067426069220619</v>
      </c>
      <c r="V39" s="134"/>
      <c r="W39" s="134"/>
      <c r="X39" s="34" t="n">
        <v>12.671</v>
      </c>
      <c r="Y39" s="34" t="n">
        <v>12.381967001369</v>
      </c>
      <c r="Z39" s="34" t="n">
        <v>0.902</v>
      </c>
      <c r="AA39" s="34" t="n">
        <v>0.881424846913019</v>
      </c>
      <c r="AB39" s="34" t="n">
        <v>3.79</v>
      </c>
      <c r="AC39" s="34" t="n">
        <v>3.70354786008907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35.8843</v>
      </c>
      <c r="H40" s="124" t="n">
        <v>60</v>
      </c>
      <c r="I40" s="192" t="n">
        <v>59.3</v>
      </c>
      <c r="J40" s="134"/>
      <c r="K40" s="135"/>
      <c r="L40" s="135"/>
      <c r="M40" s="135"/>
      <c r="N40" s="136"/>
      <c r="O40" s="135"/>
      <c r="P40" s="134" t="n">
        <v>3.322</v>
      </c>
      <c r="Q40" s="134"/>
      <c r="R40" s="134"/>
      <c r="S40" s="186" t="n">
        <v>144.6</v>
      </c>
      <c r="T40" s="34" t="n">
        <v>0.123</v>
      </c>
      <c r="U40" s="34" t="n">
        <v>0.120194297306321</v>
      </c>
      <c r="V40" s="134"/>
      <c r="W40" s="134"/>
      <c r="X40" s="34" t="n">
        <v>11.947</v>
      </c>
      <c r="Y40" s="34" t="n">
        <v>11.674481869257</v>
      </c>
      <c r="Z40" s="34" t="n">
        <v>0.876</v>
      </c>
      <c r="AA40" s="34" t="n">
        <v>0.856017922279162</v>
      </c>
      <c r="AB40" s="34" t="n">
        <v>3.57</v>
      </c>
      <c r="AC40" s="34" t="n">
        <v>3.48856619011028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35.9008</v>
      </c>
      <c r="H41" s="124" t="n">
        <v>40</v>
      </c>
      <c r="I41" s="192" t="n">
        <v>39</v>
      </c>
      <c r="J41" s="134"/>
      <c r="K41" s="135"/>
      <c r="L41" s="135"/>
      <c r="M41" s="135"/>
      <c r="N41" s="136"/>
      <c r="O41" s="135"/>
      <c r="P41" s="134" t="n">
        <v>3.798</v>
      </c>
      <c r="Q41" s="134"/>
      <c r="R41" s="134"/>
      <c r="S41" s="186" t="n">
        <v>165.5</v>
      </c>
      <c r="T41" s="34" t="n">
        <v>0.132</v>
      </c>
      <c r="U41" s="34" t="n">
        <v>0.128989001987271</v>
      </c>
      <c r="V41" s="134"/>
      <c r="W41" s="134"/>
      <c r="X41" s="34" t="n">
        <v>5.048</v>
      </c>
      <c r="Y41" s="34" t="n">
        <v>4.93285213660412</v>
      </c>
      <c r="Z41" s="34" t="n">
        <v>0.518</v>
      </c>
      <c r="AA41" s="34" t="n">
        <v>0.506184113859139</v>
      </c>
      <c r="AB41" s="34" t="n">
        <v>2.28</v>
      </c>
      <c r="AC41" s="34" t="n">
        <v>2.22799185250741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22" t="n">
        <v>35.8768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34" t="n">
        <v>3.899</v>
      </c>
      <c r="Q42" s="134"/>
      <c r="R42" s="134"/>
      <c r="S42" s="186" t="n">
        <v>169.9</v>
      </c>
      <c r="T42" s="34" t="n">
        <v>0.115</v>
      </c>
      <c r="U42" s="34" t="n">
        <v>0.112376782034365</v>
      </c>
      <c r="V42" s="134"/>
      <c r="W42" s="134"/>
      <c r="X42" s="34" t="n">
        <v>4.785</v>
      </c>
      <c r="Y42" s="34" t="n">
        <v>4.67585132203857</v>
      </c>
      <c r="Z42" s="34" t="n">
        <v>0.491</v>
      </c>
      <c r="AA42" s="34" t="n">
        <v>0.479799999816288</v>
      </c>
      <c r="AB42" s="34" t="n">
        <v>2.19</v>
      </c>
      <c r="AC42" s="34" t="n">
        <v>2.14004480569791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35.808</v>
      </c>
      <c r="H43" s="124" t="n">
        <v>20</v>
      </c>
      <c r="I43" s="192" t="n">
        <v>19.7</v>
      </c>
      <c r="J43" s="134"/>
      <c r="K43" s="135"/>
      <c r="L43" s="135"/>
      <c r="M43" s="135"/>
      <c r="N43" s="136"/>
      <c r="O43" s="135"/>
      <c r="P43" s="134" t="n">
        <v>4.481</v>
      </c>
      <c r="Q43" s="134"/>
      <c r="R43" s="134"/>
      <c r="S43" s="186" t="n">
        <v>195.4</v>
      </c>
      <c r="T43" s="34" t="n">
        <v>0.024</v>
      </c>
      <c r="U43" s="34" t="n">
        <v>0.0234525458158675</v>
      </c>
      <c r="V43" s="134"/>
      <c r="W43" s="134"/>
      <c r="X43" s="34" t="n">
        <v>0.606</v>
      </c>
      <c r="Y43" s="34" t="n">
        <v>0.592176781850653</v>
      </c>
      <c r="Z43" s="34" t="n">
        <v>0.165</v>
      </c>
      <c r="AA43" s="34" t="n">
        <v>0.161236252484089</v>
      </c>
      <c r="AB43" s="34" t="n">
        <v>1.11</v>
      </c>
      <c r="AC43" s="34" t="n">
        <v>1.08468024398387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35.8033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4.437</v>
      </c>
      <c r="Q44" s="134"/>
      <c r="R44" s="134"/>
      <c r="S44" s="186" t="n">
        <v>193.5</v>
      </c>
      <c r="T44" s="34" t="n">
        <v>0.01</v>
      </c>
      <c r="U44" s="34" t="n">
        <v>0.00977189408994478</v>
      </c>
      <c r="V44" s="134"/>
      <c r="W44" s="134"/>
      <c r="X44" s="34" t="n">
        <v>0.09</v>
      </c>
      <c r="Y44" s="34" t="n">
        <v>0.087947046809503</v>
      </c>
      <c r="Z44" s="34" t="n">
        <v>0.126</v>
      </c>
      <c r="AA44" s="34" t="n">
        <v>0.123125865533304</v>
      </c>
      <c r="AB44" s="34" t="n">
        <v>1.11</v>
      </c>
      <c r="AC44" s="34" t="n">
        <v>1.08468024398387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35.805</v>
      </c>
      <c r="H45" s="124" t="n">
        <v>0</v>
      </c>
      <c r="I45" s="193" t="n">
        <v>1.35</v>
      </c>
      <c r="J45" s="134"/>
      <c r="K45" s="135"/>
      <c r="L45" s="135"/>
      <c r="M45" s="135"/>
      <c r="N45" s="136"/>
      <c r="O45" s="135"/>
      <c r="P45" s="134" t="n">
        <v>4.577</v>
      </c>
      <c r="Q45" s="134"/>
      <c r="R45" s="134"/>
      <c r="S45" s="186" t="n">
        <v>199.6</v>
      </c>
      <c r="T45" s="34" t="n">
        <v>0.017</v>
      </c>
      <c r="U45" s="34" t="n">
        <v>0.0166122199529061</v>
      </c>
      <c r="V45" s="134"/>
      <c r="W45" s="134"/>
      <c r="X45" s="34" t="n">
        <v>0.093</v>
      </c>
      <c r="Y45" s="34" t="n">
        <v>0.0908786150364864</v>
      </c>
      <c r="Z45" s="34" t="n">
        <v>0.129</v>
      </c>
      <c r="AA45" s="34" t="n">
        <v>0.126057433760288</v>
      </c>
      <c r="AB45" s="34" t="n">
        <v>1</v>
      </c>
      <c r="AC45" s="34" t="n">
        <v>0.977189408994477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48" activeCellId="0" sqref="T48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30.44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-1°30,44</v>
      </c>
      <c r="P9" s="31" t="s">
        <v>16</v>
      </c>
      <c r="Q9" s="35" t="n">
        <f aca="false">IF(ISBLANK(I9),"",IF(ISBLANK(J9),"",IF(J9&gt;60,"ERREUR !!",O11*(I9+(J9/60)))))</f>
        <v>-1.50733333333333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19.79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2°19,79</v>
      </c>
      <c r="P10" s="31" t="s">
        <v>14</v>
      </c>
      <c r="Q10" s="35" t="n">
        <f aca="false">IF(ISBLANK(I10),"",IF(ISBLANK(J10),"",IF(J10&gt;60,"ERREUR !!",O12*(I10+(J10/60)))))</f>
        <v>2.32983333333333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37784</v>
      </c>
      <c r="K11" s="40"/>
      <c r="L11" s="40"/>
      <c r="M11" s="40"/>
      <c r="N11" s="41" t="str">
        <f aca="false">I9&amp;"°"&amp;J9</f>
        <v>1°30,44</v>
      </c>
      <c r="O11" s="42" t="n">
        <f aca="false">IF(P9=M10,-1,1)</f>
        <v>-1</v>
      </c>
      <c r="P11" s="43" t="str">
        <f aca="false">TEXT(J11,"aaaa-mm-jj")&amp;"T"&amp;TEXT(J12,"hh:mm:ss")&amp;"z"</f>
        <v>2007-06-13T17:00:00z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0.708333333333333</v>
      </c>
      <c r="K12" s="48"/>
      <c r="L12" s="48"/>
      <c r="M12" s="48"/>
      <c r="N12" s="49" t="str">
        <f aca="false">I10&amp;"°"&amp;J10</f>
        <v>2°19,79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34.635</v>
      </c>
      <c r="H35" s="123" t="n">
        <v>1000</v>
      </c>
      <c r="I35" s="192" t="n">
        <v>1001</v>
      </c>
      <c r="J35" s="125"/>
      <c r="K35" s="126"/>
      <c r="L35" s="126"/>
      <c r="M35" s="126"/>
      <c r="N35" s="127"/>
      <c r="O35" s="126"/>
      <c r="P35" s="125" t="n">
        <v>3.443</v>
      </c>
      <c r="Q35" s="125"/>
      <c r="R35" s="125"/>
      <c r="S35" s="184" t="n">
        <v>149.7</v>
      </c>
      <c r="T35" s="34" t="n">
        <v>0.011</v>
      </c>
      <c r="U35" s="34" t="n">
        <v>0.0107490834989393</v>
      </c>
      <c r="V35" s="125"/>
      <c r="W35" s="125"/>
      <c r="X35" s="34" t="n">
        <v>32.839</v>
      </c>
      <c r="Y35" s="34" t="n">
        <v>32.0899230019696</v>
      </c>
      <c r="Z35" s="34" t="n">
        <v>2.19</v>
      </c>
      <c r="AA35" s="34" t="n">
        <v>2.14004480569791</v>
      </c>
      <c r="AB35" s="34" t="n">
        <v>31.09</v>
      </c>
      <c r="AC35" s="34" t="n">
        <v>30.3808187256383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34.5678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2.546</v>
      </c>
      <c r="Q36" s="134"/>
      <c r="R36" s="134"/>
      <c r="S36" s="186" t="n">
        <v>110.7</v>
      </c>
      <c r="T36" s="34" t="n">
        <v>0.012</v>
      </c>
      <c r="U36" s="34" t="n">
        <v>0.0117262729079337</v>
      </c>
      <c r="V36" s="134"/>
      <c r="W36" s="134"/>
      <c r="X36" s="34" t="n">
        <v>35.608</v>
      </c>
      <c r="Y36" s="34" t="n">
        <v>34.7957604754753</v>
      </c>
      <c r="Z36" s="34" t="n">
        <v>2.287</v>
      </c>
      <c r="AA36" s="34" t="n">
        <v>2.23483217837037</v>
      </c>
      <c r="AB36" s="34" t="n">
        <v>23.09</v>
      </c>
      <c r="AC36" s="34" t="n">
        <v>22.5633034536825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34.9471</v>
      </c>
      <c r="H37" s="124" t="n">
        <v>300</v>
      </c>
      <c r="I37" s="192" t="n">
        <v>298</v>
      </c>
      <c r="J37" s="134"/>
      <c r="K37" s="135"/>
      <c r="L37" s="135"/>
      <c r="M37" s="135"/>
      <c r="N37" s="136"/>
      <c r="O37" s="135"/>
      <c r="P37" s="134" t="n">
        <v>1.569</v>
      </c>
      <c r="Q37" s="134"/>
      <c r="R37" s="134"/>
      <c r="S37" s="186" t="n">
        <v>68.2</v>
      </c>
      <c r="T37" s="34" t="n">
        <v>0.015</v>
      </c>
      <c r="U37" s="34" t="n">
        <v>0.0146578411349172</v>
      </c>
      <c r="V37" s="134"/>
      <c r="W37" s="134"/>
      <c r="X37" s="34" t="n">
        <v>31.955</v>
      </c>
      <c r="Y37" s="34" t="n">
        <v>31.2260875644185</v>
      </c>
      <c r="Z37" s="34" t="n">
        <v>1.951</v>
      </c>
      <c r="AA37" s="34" t="n">
        <v>1.90649653694823</v>
      </c>
      <c r="AB37" s="34" t="n">
        <v>13.35</v>
      </c>
      <c r="AC37" s="34" t="n">
        <v>13.0454786100763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35.6883</v>
      </c>
      <c r="H38" s="124" t="n">
        <v>100</v>
      </c>
      <c r="I38" s="192" t="n">
        <v>93</v>
      </c>
      <c r="J38" s="134"/>
      <c r="K38" s="135"/>
      <c r="L38" s="135"/>
      <c r="M38" s="135"/>
      <c r="N38" s="136"/>
      <c r="O38" s="135"/>
      <c r="P38" s="134" t="n">
        <v>3.344</v>
      </c>
      <c r="Q38" s="134"/>
      <c r="R38" s="134"/>
      <c r="S38" s="186" t="n">
        <v>145.5</v>
      </c>
      <c r="T38" s="34" t="n">
        <v>0.111</v>
      </c>
      <c r="U38" s="34" t="n">
        <v>0.108468024398387</v>
      </c>
      <c r="V38" s="134"/>
      <c r="W38" s="134"/>
      <c r="X38" s="34" t="n">
        <v>13.709</v>
      </c>
      <c r="Y38" s="34" t="n">
        <v>13.3962896079053</v>
      </c>
      <c r="Z38" s="34" t="n">
        <v>0.935</v>
      </c>
      <c r="AA38" s="34" t="n">
        <v>0.913672097409837</v>
      </c>
      <c r="AB38" s="34" t="n">
        <v>4.37</v>
      </c>
      <c r="AC38" s="34" t="n">
        <v>4.27031771730587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22" t="n">
        <v>35.7307</v>
      </c>
      <c r="H39" s="124" t="n">
        <v>80</v>
      </c>
      <c r="I39" s="192" t="n">
        <v>81</v>
      </c>
      <c r="J39" s="134"/>
      <c r="K39" s="135"/>
      <c r="L39" s="135"/>
      <c r="M39" s="135"/>
      <c r="N39" s="136"/>
      <c r="O39" s="135"/>
      <c r="P39" s="134" t="n">
        <v>3.362</v>
      </c>
      <c r="Q39" s="134"/>
      <c r="R39" s="134"/>
      <c r="S39" s="186" t="n">
        <v>146.3</v>
      </c>
      <c r="T39" s="34" t="n">
        <v>0.224</v>
      </c>
      <c r="U39" s="34" t="n">
        <v>0.218890427614763</v>
      </c>
      <c r="V39" s="134"/>
      <c r="W39" s="134"/>
      <c r="X39" s="34" t="n">
        <v>13.066</v>
      </c>
      <c r="Y39" s="34" t="n">
        <v>12.7679568179218</v>
      </c>
      <c r="Z39" s="34" t="n">
        <v>0.946</v>
      </c>
      <c r="AA39" s="34" t="n">
        <v>0.924421180908776</v>
      </c>
      <c r="AB39" s="34" t="n">
        <v>4.19</v>
      </c>
      <c r="AC39" s="34" t="n">
        <v>4.09442362368686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22" t="n">
        <v>35.7304</v>
      </c>
      <c r="H40" s="124" t="n">
        <v>80</v>
      </c>
      <c r="I40" s="192" t="n">
        <v>81</v>
      </c>
      <c r="J40" s="134"/>
      <c r="K40" s="135"/>
      <c r="L40" s="135"/>
      <c r="M40" s="135"/>
      <c r="N40" s="136"/>
      <c r="O40" s="135"/>
      <c r="P40" s="134" t="n">
        <v>3.367</v>
      </c>
      <c r="Q40" s="134"/>
      <c r="R40" s="134"/>
      <c r="S40" s="186" t="n">
        <v>146.5</v>
      </c>
      <c r="T40" s="34" t="n">
        <v>0.218</v>
      </c>
      <c r="U40" s="34" t="n">
        <v>0.213027291160796</v>
      </c>
      <c r="V40" s="134"/>
      <c r="W40" s="134"/>
      <c r="X40" s="34" t="n">
        <v>13.042</v>
      </c>
      <c r="Y40" s="34" t="n">
        <v>12.744504272106</v>
      </c>
      <c r="Z40" s="34" t="n">
        <v>0.935</v>
      </c>
      <c r="AA40" s="34" t="n">
        <v>0.913672097409837</v>
      </c>
      <c r="AB40" s="34" t="n">
        <v>4.15</v>
      </c>
      <c r="AC40" s="34" t="n">
        <v>4.05533604732708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35.7475</v>
      </c>
      <c r="H41" s="124" t="n">
        <v>60</v>
      </c>
      <c r="I41" s="192" t="n">
        <v>60</v>
      </c>
      <c r="J41" s="134"/>
      <c r="K41" s="135"/>
      <c r="L41" s="135"/>
      <c r="M41" s="135"/>
      <c r="N41" s="136"/>
      <c r="O41" s="135"/>
      <c r="P41" s="134" t="n">
        <v>3.33</v>
      </c>
      <c r="Q41" s="134"/>
      <c r="R41" s="134"/>
      <c r="S41" s="186" t="n">
        <v>144.9</v>
      </c>
      <c r="T41" s="34" t="n">
        <v>0.23</v>
      </c>
      <c r="U41" s="34" t="n">
        <v>0.22475356406873</v>
      </c>
      <c r="V41" s="134"/>
      <c r="W41" s="134"/>
      <c r="X41" s="34" t="n">
        <v>12.98</v>
      </c>
      <c r="Y41" s="34" t="n">
        <v>12.6839185287483</v>
      </c>
      <c r="Z41" s="34" t="n">
        <v>0.93</v>
      </c>
      <c r="AA41" s="34" t="n">
        <v>0.908786150364864</v>
      </c>
      <c r="AB41" s="34" t="n">
        <v>4.06</v>
      </c>
      <c r="AC41" s="34" t="n">
        <v>3.96738900051758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35.8791</v>
      </c>
      <c r="H42" s="124" t="n">
        <v>40</v>
      </c>
      <c r="I42" s="192" t="n">
        <v>40</v>
      </c>
      <c r="J42" s="134"/>
      <c r="K42" s="135"/>
      <c r="L42" s="135"/>
      <c r="M42" s="135"/>
      <c r="N42" s="136"/>
      <c r="O42" s="135"/>
      <c r="P42" s="134" t="n">
        <v>3.439</v>
      </c>
      <c r="Q42" s="134"/>
      <c r="R42" s="134"/>
      <c r="S42" s="186" t="n">
        <v>149.8</v>
      </c>
      <c r="T42" s="34" t="n">
        <v>0.208</v>
      </c>
      <c r="U42" s="34" t="n">
        <v>0.203255397070851</v>
      </c>
      <c r="V42" s="134"/>
      <c r="W42" s="134"/>
      <c r="X42" s="34" t="n">
        <v>9.512</v>
      </c>
      <c r="Y42" s="34" t="n">
        <v>9.29502565835547</v>
      </c>
      <c r="Z42" s="34" t="n">
        <v>0.761</v>
      </c>
      <c r="AA42" s="34" t="n">
        <v>0.743641140244797</v>
      </c>
      <c r="AB42" s="34" t="n">
        <v>2.79</v>
      </c>
      <c r="AC42" s="34" t="n">
        <v>2.72635845109459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35.8195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34" t="n">
        <v>4.567</v>
      </c>
      <c r="Q43" s="134"/>
      <c r="R43" s="134"/>
      <c r="S43" s="186" t="n">
        <v>199.2</v>
      </c>
      <c r="T43" s="34" t="n">
        <v>0.02</v>
      </c>
      <c r="U43" s="34" t="n">
        <v>0.0195437881798896</v>
      </c>
      <c r="V43" s="134"/>
      <c r="W43" s="134"/>
      <c r="X43" s="34" t="n">
        <v>0.27</v>
      </c>
      <c r="Y43" s="34" t="n">
        <v>0.263841140428509</v>
      </c>
      <c r="Z43" s="34" t="n">
        <v>0.142</v>
      </c>
      <c r="AA43" s="34" t="n">
        <v>0.138760896077216</v>
      </c>
      <c r="AB43" s="34" t="n">
        <v>1.03</v>
      </c>
      <c r="AC43" s="34" t="n">
        <v>1.00650509126431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35.8293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4.58</v>
      </c>
      <c r="Q44" s="134"/>
      <c r="R44" s="134"/>
      <c r="S44" s="186" t="n">
        <v>199.8</v>
      </c>
      <c r="T44" s="34" t="n">
        <v>0.011</v>
      </c>
      <c r="U44" s="34" t="n">
        <v>0.0107490834989393</v>
      </c>
      <c r="V44" s="134"/>
      <c r="W44" s="134"/>
      <c r="X44" s="34" t="n">
        <v>0.029</v>
      </c>
      <c r="Y44" s="34" t="n">
        <v>0.0283384928608398</v>
      </c>
      <c r="Z44" s="34" t="n">
        <v>0.124</v>
      </c>
      <c r="AA44" s="34" t="n">
        <v>0.121171486715315</v>
      </c>
      <c r="AB44" s="34" t="n">
        <v>0.95</v>
      </c>
      <c r="AC44" s="34" t="n">
        <v>0.928329938544754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35.8374</v>
      </c>
      <c r="H45" s="124" t="n">
        <v>0</v>
      </c>
      <c r="I45" s="193" t="n">
        <v>1.7</v>
      </c>
      <c r="J45" s="134"/>
      <c r="K45" s="135"/>
      <c r="L45" s="135"/>
      <c r="M45" s="135"/>
      <c r="N45" s="136"/>
      <c r="O45" s="135"/>
      <c r="P45" s="134" t="n">
        <v>4.576</v>
      </c>
      <c r="Q45" s="134"/>
      <c r="R45" s="134"/>
      <c r="S45" s="186" t="n">
        <v>199.6</v>
      </c>
      <c r="T45" s="34" t="n">
        <v>0.009</v>
      </c>
      <c r="U45" s="34" t="n">
        <v>0.0087947046809503</v>
      </c>
      <c r="V45" s="134"/>
      <c r="W45" s="134"/>
      <c r="X45" s="34" t="n">
        <v>0.021</v>
      </c>
      <c r="Y45" s="34" t="n">
        <v>0.020520977588884</v>
      </c>
      <c r="Z45" s="34" t="n">
        <v>0.12</v>
      </c>
      <c r="AA45" s="34" t="n">
        <v>0.117262729079337</v>
      </c>
      <c r="AB45" s="34" t="n">
        <v>0.81</v>
      </c>
      <c r="AC45" s="34" t="n">
        <v>0.791523421285527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V49" activeCellId="0" sqref="V49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59.85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-0°59,85</v>
      </c>
      <c r="P9" s="31" t="s">
        <v>16</v>
      </c>
      <c r="Q9" s="35" t="n">
        <f aca="false">IF(ISBLANK(I9),"",IF(ISBLANK(J9),"",IF(J9&gt;60,"ERREUR !!",O11*(I9+(J9/60)))))</f>
        <v>-0.9975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20.06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2°20,06</v>
      </c>
      <c r="P10" s="31" t="s">
        <v>14</v>
      </c>
      <c r="Q10" s="35" t="n">
        <f aca="false">IF(ISBLANK(I10),"",IF(ISBLANK(J10),"",IF(J10&gt;60,"ERREUR !!",O12*(I10+(J10/60)))))</f>
        <v>2.33433333333333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37784</v>
      </c>
      <c r="K11" s="40"/>
      <c r="L11" s="40"/>
      <c r="M11" s="40"/>
      <c r="N11" s="41" t="str">
        <f aca="false">I9&amp;"°"&amp;J9</f>
        <v>0°59,85</v>
      </c>
      <c r="O11" s="42" t="n">
        <f aca="false">IF(P9=M10,-1,1)</f>
        <v>-1</v>
      </c>
      <c r="P11" s="43" t="str">
        <f aca="false">TEXT(J11,"aaaa-mm-jj")&amp;"T"&amp;TEXT(J12,"hh:mm:ss")&amp;"z"</f>
        <v>2007-06-13T21:30:00z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0.895833333333333</v>
      </c>
      <c r="K12" s="48"/>
      <c r="L12" s="48"/>
      <c r="M12" s="48"/>
      <c r="N12" s="49" t="str">
        <f aca="false">I10&amp;"°"&amp;J10</f>
        <v>2°20,06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34.6379</v>
      </c>
      <c r="H35" s="123" t="n">
        <v>1000</v>
      </c>
      <c r="I35" s="192" t="n">
        <v>1004</v>
      </c>
      <c r="J35" s="125"/>
      <c r="K35" s="126"/>
      <c r="L35" s="126"/>
      <c r="M35" s="126"/>
      <c r="N35" s="127"/>
      <c r="O35" s="126"/>
      <c r="P35" s="178" t="n">
        <v>3.4590920525196</v>
      </c>
      <c r="Q35" s="125"/>
      <c r="R35" s="125"/>
      <c r="S35" s="194" t="n">
        <v>150.375286914375</v>
      </c>
      <c r="T35" s="34" t="n">
        <v>0.014</v>
      </c>
      <c r="U35" s="34" t="n">
        <v>0.0136806517259227</v>
      </c>
      <c r="V35" s="125"/>
      <c r="W35" s="125"/>
      <c r="X35" s="34" t="n">
        <v>33.286</v>
      </c>
      <c r="Y35" s="34" t="n">
        <v>32.5267266677902</v>
      </c>
      <c r="Z35" s="34" t="n">
        <v>2.211</v>
      </c>
      <c r="AA35" s="34" t="n">
        <v>2.16056578328679</v>
      </c>
      <c r="AB35" s="34" t="n">
        <v>30.51</v>
      </c>
      <c r="AC35" s="34" t="n">
        <v>29.8140488684215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34.5619</v>
      </c>
      <c r="H36" s="123" t="n">
        <v>600</v>
      </c>
      <c r="I36" s="192" t="n">
        <v>599</v>
      </c>
      <c r="J36" s="134"/>
      <c r="K36" s="135"/>
      <c r="L36" s="135"/>
      <c r="M36" s="135"/>
      <c r="N36" s="136"/>
      <c r="O36" s="135"/>
      <c r="P36" s="180" t="n">
        <v>2.72674386740461</v>
      </c>
      <c r="Q36" s="134"/>
      <c r="R36" s="134"/>
      <c r="S36" s="195" t="n">
        <v>118.57282007329</v>
      </c>
      <c r="T36" s="34" t="n">
        <v>0.011</v>
      </c>
      <c r="U36" s="34" t="n">
        <v>0.0107490834989393</v>
      </c>
      <c r="V36" s="134"/>
      <c r="W36" s="134"/>
      <c r="X36" s="34" t="n">
        <v>35.149</v>
      </c>
      <c r="Y36" s="34" t="n">
        <v>34.3472305367469</v>
      </c>
      <c r="Z36" s="34" t="n">
        <v>2.268</v>
      </c>
      <c r="AA36" s="34" t="n">
        <v>2.21626557959947</v>
      </c>
      <c r="AB36" s="34" t="n">
        <v>22.71</v>
      </c>
      <c r="AC36" s="34" t="n">
        <v>22.1919714782646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34.9493</v>
      </c>
      <c r="H37" s="124" t="n">
        <v>300</v>
      </c>
      <c r="I37" s="192" t="n">
        <v>298</v>
      </c>
      <c r="J37" s="134"/>
      <c r="K37" s="135"/>
      <c r="L37" s="135"/>
      <c r="M37" s="135"/>
      <c r="N37" s="136"/>
      <c r="O37" s="135"/>
      <c r="P37" s="180" t="n">
        <v>1.60165778126105</v>
      </c>
      <c r="Q37" s="134"/>
      <c r="R37" s="134"/>
      <c r="S37" s="195" t="n">
        <v>69.6698451824382</v>
      </c>
      <c r="T37" s="34" t="n">
        <v>0.001</v>
      </c>
      <c r="U37" s="34" t="n">
        <v>0.000977189408994478</v>
      </c>
      <c r="V37" s="134"/>
      <c r="W37" s="134"/>
      <c r="X37" s="34" t="n">
        <v>31.989</v>
      </c>
      <c r="Y37" s="34" t="n">
        <v>31.2593120043243</v>
      </c>
      <c r="Z37" s="34" t="n">
        <v>1.98</v>
      </c>
      <c r="AA37" s="34" t="n">
        <v>1.93483502980907</v>
      </c>
      <c r="AB37" s="34" t="n">
        <v>13.57</v>
      </c>
      <c r="AC37" s="34" t="n">
        <v>13.2604602800551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35.7221</v>
      </c>
      <c r="H38" s="124" t="n">
        <v>100</v>
      </c>
      <c r="I38" s="192" t="n">
        <v>97.4</v>
      </c>
      <c r="J38" s="134"/>
      <c r="K38" s="135"/>
      <c r="L38" s="135"/>
      <c r="M38" s="135"/>
      <c r="N38" s="136"/>
      <c r="O38" s="135"/>
      <c r="P38" s="178" t="n">
        <v>3.33204456941475</v>
      </c>
      <c r="Q38" s="134"/>
      <c r="R38" s="134"/>
      <c r="S38" s="194" t="n">
        <v>145.0115448183</v>
      </c>
      <c r="T38" s="196" t="n">
        <v>0.044</v>
      </c>
      <c r="U38" s="196" t="n">
        <v>0.042996333995757</v>
      </c>
      <c r="V38" s="134"/>
      <c r="W38" s="134"/>
      <c r="X38" s="196" t="n">
        <v>13.616</v>
      </c>
      <c r="Y38" s="196" t="n">
        <v>13.3054109928688</v>
      </c>
      <c r="Z38" s="196" t="n">
        <v>0.977</v>
      </c>
      <c r="AA38" s="196" t="n">
        <v>0.954714052587605</v>
      </c>
      <c r="AB38" s="196" t="n">
        <v>5.02</v>
      </c>
      <c r="AC38" s="196" t="n">
        <v>4.90549083315228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35.737</v>
      </c>
      <c r="H39" s="124" t="n">
        <v>80</v>
      </c>
      <c r="I39" s="192" t="n">
        <v>77.2</v>
      </c>
      <c r="J39" s="134"/>
      <c r="K39" s="135"/>
      <c r="L39" s="135"/>
      <c r="M39" s="135"/>
      <c r="N39" s="136"/>
      <c r="O39" s="135"/>
      <c r="P39" s="178" t="n">
        <v>3.31648009628043</v>
      </c>
      <c r="Q39" s="134"/>
      <c r="R39" s="134"/>
      <c r="S39" s="194" t="n">
        <v>144.33918601373</v>
      </c>
      <c r="T39" s="34" t="n">
        <v>0.036</v>
      </c>
      <c r="U39" s="34" t="n">
        <v>0.0351788187238012</v>
      </c>
      <c r="V39" s="134"/>
      <c r="W39" s="134"/>
      <c r="X39" s="34" t="n">
        <v>13.684</v>
      </c>
      <c r="Y39" s="34" t="n">
        <v>13.3718598726804</v>
      </c>
      <c r="Z39" s="34" t="n">
        <v>0.985</v>
      </c>
      <c r="AA39" s="34" t="n">
        <v>0.96253156785956</v>
      </c>
      <c r="AB39" s="34" t="n">
        <v>4.99</v>
      </c>
      <c r="AC39" s="34" t="n">
        <v>4.87617515088244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22" t="n">
        <v>35.7391</v>
      </c>
      <c r="H40" s="124" t="n">
        <v>60</v>
      </c>
      <c r="I40" s="192" t="n">
        <v>58</v>
      </c>
      <c r="J40" s="134"/>
      <c r="K40" s="135"/>
      <c r="L40" s="135"/>
      <c r="M40" s="135"/>
      <c r="N40" s="136"/>
      <c r="O40" s="135"/>
      <c r="P40" s="178" t="n">
        <v>3.30200158341856</v>
      </c>
      <c r="Q40" s="134"/>
      <c r="R40" s="134"/>
      <c r="S40" s="194" t="n">
        <v>143.71547312105</v>
      </c>
      <c r="T40" s="34" t="n">
        <v>0.041</v>
      </c>
      <c r="U40" s="34" t="n">
        <v>0.0400647657687736</v>
      </c>
      <c r="V40" s="134"/>
      <c r="W40" s="134"/>
      <c r="X40" s="34" t="n">
        <v>13.499</v>
      </c>
      <c r="Y40" s="34" t="n">
        <v>13.1910798320164</v>
      </c>
      <c r="Z40" s="34" t="n">
        <v>0.971</v>
      </c>
      <c r="AA40" s="34" t="n">
        <v>0.948850916133637</v>
      </c>
      <c r="AB40" s="34" t="n">
        <v>4.89</v>
      </c>
      <c r="AC40" s="34" t="n">
        <v>4.77845620998299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35.8177</v>
      </c>
      <c r="H41" s="124" t="n">
        <v>60</v>
      </c>
      <c r="I41" s="192" t="n">
        <v>57.4</v>
      </c>
      <c r="J41" s="134"/>
      <c r="K41" s="135"/>
      <c r="L41" s="135"/>
      <c r="M41" s="135"/>
      <c r="N41" s="136"/>
      <c r="O41" s="135"/>
      <c r="P41" s="178" t="n">
        <v>3.35709900917983</v>
      </c>
      <c r="Q41" s="134"/>
      <c r="R41" s="134"/>
      <c r="S41" s="194" t="n">
        <v>146.108320653996</v>
      </c>
      <c r="T41" s="34" t="n">
        <v>0.048</v>
      </c>
      <c r="U41" s="34" t="n">
        <v>0.0469050916317349</v>
      </c>
      <c r="V41" s="134"/>
      <c r="W41" s="134"/>
      <c r="X41" s="34" t="n">
        <v>13.602</v>
      </c>
      <c r="Y41" s="34" t="n">
        <v>13.2917303411429</v>
      </c>
      <c r="Z41" s="34" t="n">
        <v>0.962</v>
      </c>
      <c r="AA41" s="34" t="n">
        <v>0.940056211452687</v>
      </c>
      <c r="AB41" s="34" t="n">
        <v>4.85</v>
      </c>
      <c r="AC41" s="34" t="n">
        <v>4.73936863362322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35.8396</v>
      </c>
      <c r="H42" s="124" t="n">
        <v>40</v>
      </c>
      <c r="I42" s="192" t="n">
        <v>38.7</v>
      </c>
      <c r="J42" s="134"/>
      <c r="K42" s="135"/>
      <c r="L42" s="135"/>
      <c r="M42" s="135"/>
      <c r="N42" s="136"/>
      <c r="O42" s="135"/>
      <c r="P42" s="178" t="n">
        <v>3.29529232846051</v>
      </c>
      <c r="Q42" s="134"/>
      <c r="R42" s="134"/>
      <c r="S42" s="194" t="n">
        <v>143.436283363375</v>
      </c>
      <c r="T42" s="34" t="n">
        <v>0.166</v>
      </c>
      <c r="U42" s="34" t="n">
        <v>0.162213441893083</v>
      </c>
      <c r="V42" s="134"/>
      <c r="W42" s="134"/>
      <c r="X42" s="34" t="n">
        <v>12.944</v>
      </c>
      <c r="Y42" s="34" t="n">
        <v>12.6487397100245</v>
      </c>
      <c r="Z42" s="34" t="n">
        <v>0.931</v>
      </c>
      <c r="AA42" s="34" t="n">
        <v>0.909763339773858</v>
      </c>
      <c r="AB42" s="34" t="n">
        <v>4.66</v>
      </c>
      <c r="AC42" s="34" t="n">
        <v>4.55370264591426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35.8458</v>
      </c>
      <c r="H43" s="124" t="n">
        <v>20</v>
      </c>
      <c r="I43" s="192" t="n">
        <v>20.6</v>
      </c>
      <c r="J43" s="134"/>
      <c r="K43" s="135"/>
      <c r="L43" s="135"/>
      <c r="M43" s="135"/>
      <c r="N43" s="136"/>
      <c r="O43" s="135"/>
      <c r="P43" s="178" t="n">
        <v>4.46126386198108</v>
      </c>
      <c r="Q43" s="134"/>
      <c r="R43" s="134"/>
      <c r="S43" s="194" t="n">
        <v>194.527807979925</v>
      </c>
      <c r="T43" s="34" t="n">
        <v>0.057</v>
      </c>
      <c r="U43" s="34" t="n">
        <v>0.0556997963126852</v>
      </c>
      <c r="V43" s="134"/>
      <c r="W43" s="134"/>
      <c r="X43" s="34" t="n">
        <v>0.953</v>
      </c>
      <c r="Y43" s="34" t="n">
        <v>0.931261506771737</v>
      </c>
      <c r="Z43" s="34" t="n">
        <v>0.187</v>
      </c>
      <c r="AA43" s="34" t="n">
        <v>0.182734419481967</v>
      </c>
      <c r="AB43" s="34" t="n">
        <v>1.68</v>
      </c>
      <c r="AC43" s="34" t="n">
        <v>1.64167820711072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35.863</v>
      </c>
      <c r="H44" s="124" t="n">
        <v>10</v>
      </c>
      <c r="I44" s="192" t="n">
        <v>10.3</v>
      </c>
      <c r="J44" s="134"/>
      <c r="K44" s="135"/>
      <c r="L44" s="135"/>
      <c r="M44" s="135"/>
      <c r="N44" s="136"/>
      <c r="O44" s="135"/>
      <c r="P44" s="178" t="n">
        <v>4.55482533417644</v>
      </c>
      <c r="Q44" s="134"/>
      <c r="R44" s="134"/>
      <c r="S44" s="194" t="n">
        <v>198.645851195764</v>
      </c>
      <c r="T44" s="34" t="n">
        <v>0.02</v>
      </c>
      <c r="U44" s="34" t="n">
        <v>0.0195437881798896</v>
      </c>
      <c r="V44" s="134"/>
      <c r="W44" s="134"/>
      <c r="X44" s="34" t="n">
        <v>0.22</v>
      </c>
      <c r="Y44" s="34" t="n">
        <v>0.214981669978785</v>
      </c>
      <c r="Z44" s="34" t="n">
        <v>0.125</v>
      </c>
      <c r="AA44" s="34" t="n">
        <v>0.12214867612431</v>
      </c>
      <c r="AB44" s="34" t="n">
        <v>1.42</v>
      </c>
      <c r="AC44" s="34" t="n">
        <v>1.38760896077216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35.7043</v>
      </c>
      <c r="H45" s="124" t="n">
        <v>0</v>
      </c>
      <c r="I45" s="193" t="n">
        <v>2.06</v>
      </c>
      <c r="J45" s="134"/>
      <c r="K45" s="135"/>
      <c r="L45" s="135"/>
      <c r="M45" s="135"/>
      <c r="N45" s="136"/>
      <c r="O45" s="135"/>
      <c r="P45" s="178" t="n">
        <v>4.55895189503769</v>
      </c>
      <c r="Q45" s="134"/>
      <c r="R45" s="134"/>
      <c r="S45" s="194" t="n">
        <v>198.855037266707</v>
      </c>
      <c r="T45" s="34" t="n">
        <v>0.013</v>
      </c>
      <c r="U45" s="34" t="n">
        <v>0.0127034623169282</v>
      </c>
      <c r="V45" s="134"/>
      <c r="W45" s="134"/>
      <c r="X45" s="34" t="n">
        <v>0.067</v>
      </c>
      <c r="Y45" s="34" t="n">
        <v>0.06547169040263</v>
      </c>
      <c r="Z45" s="34" t="n">
        <v>0.108</v>
      </c>
      <c r="AA45" s="34" t="n">
        <v>0.105536456171404</v>
      </c>
      <c r="AB45" s="34" t="n">
        <v>1.41</v>
      </c>
      <c r="AC45" s="34" t="n">
        <v>1.37783706668221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30.12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-0°30,12</v>
      </c>
      <c r="P9" s="31" t="s">
        <v>16</v>
      </c>
      <c r="Q9" s="35" t="n">
        <f aca="false">IF(ISBLANK(I9),"",IF(ISBLANK(J9),"",IF(J9&gt;60,"ERREUR !!",O11*(I9+(J9/60)))))</f>
        <v>-0.502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19.72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2°19,72</v>
      </c>
      <c r="P10" s="31" t="s">
        <v>14</v>
      </c>
      <c r="Q10" s="35" t="n">
        <f aca="false">IF(ISBLANK(I10),"",IF(ISBLANK(J10),"",IF(J10&gt;60,"ERREUR !!",O12*(I10+(J10/60)))))</f>
        <v>2.32866666666667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37785</v>
      </c>
      <c r="K11" s="40"/>
      <c r="L11" s="40"/>
      <c r="M11" s="40"/>
      <c r="N11" s="41" t="str">
        <f aca="false">I9&amp;"°"&amp;J9</f>
        <v>0°30,12</v>
      </c>
      <c r="O11" s="42" t="n">
        <f aca="false">IF(P9=M10,-1,1)</f>
        <v>-1</v>
      </c>
      <c r="P11" s="43" t="str">
        <f aca="false">TEXT(J11,"aaaa-mm-jj")&amp;"T"&amp;TEXT(J12,"hh:mm:ss")&amp;"z"</f>
        <v>2007-06-14T01:00:00z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0.0416666666666667</v>
      </c>
      <c r="K12" s="48"/>
      <c r="L12" s="48"/>
      <c r="M12" s="48"/>
      <c r="N12" s="49" t="str">
        <f aca="false">I10&amp;"°"&amp;J10</f>
        <v>2°19,72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34.6364</v>
      </c>
      <c r="H35" s="123" t="n">
        <v>1000</v>
      </c>
      <c r="I35" s="192" t="n">
        <v>1002</v>
      </c>
      <c r="J35" s="125"/>
      <c r="K35" s="126"/>
      <c r="L35" s="126"/>
      <c r="M35" s="126"/>
      <c r="N35" s="127"/>
      <c r="O35" s="126"/>
      <c r="P35" s="178" t="n">
        <v>3.433</v>
      </c>
      <c r="Q35" s="125"/>
      <c r="R35" s="125"/>
      <c r="S35" s="184" t="n">
        <v>149.2</v>
      </c>
      <c r="T35" s="34" t="n">
        <v>0.012</v>
      </c>
      <c r="U35" s="34" t="n">
        <v>0.0117262729079337</v>
      </c>
      <c r="V35" s="125"/>
      <c r="W35" s="125"/>
      <c r="X35" s="34" t="n">
        <v>33.468</v>
      </c>
      <c r="Y35" s="34" t="n">
        <v>32.7045751402272</v>
      </c>
      <c r="Z35" s="34" t="n">
        <v>2.223</v>
      </c>
      <c r="AA35" s="34" t="n">
        <v>2.17229205619472</v>
      </c>
      <c r="AB35" s="34" t="n">
        <v>31.18</v>
      </c>
      <c r="AC35" s="34" t="n">
        <v>30.4687657724478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34.5709</v>
      </c>
      <c r="H36" s="123" t="n">
        <v>600</v>
      </c>
      <c r="I36" s="192" t="n">
        <v>599</v>
      </c>
      <c r="J36" s="134"/>
      <c r="K36" s="135"/>
      <c r="L36" s="135"/>
      <c r="M36" s="135"/>
      <c r="N36" s="136"/>
      <c r="O36" s="135"/>
      <c r="P36" s="180" t="n">
        <v>2.826</v>
      </c>
      <c r="Q36" s="134"/>
      <c r="R36" s="134"/>
      <c r="S36" s="186" t="n">
        <v>122.9</v>
      </c>
      <c r="T36" s="34" t="n">
        <v>0.018</v>
      </c>
      <c r="U36" s="34" t="n">
        <v>0.0175894093619006</v>
      </c>
      <c r="V36" s="134"/>
      <c r="W36" s="134"/>
      <c r="X36" s="34" t="n">
        <v>34.902</v>
      </c>
      <c r="Y36" s="34" t="n">
        <v>34.1058647527253</v>
      </c>
      <c r="Z36" s="34" t="n">
        <v>2.213</v>
      </c>
      <c r="AA36" s="34" t="n">
        <v>2.16252016210478</v>
      </c>
      <c r="AB36" s="34" t="n">
        <v>22.87</v>
      </c>
      <c r="AC36" s="34" t="n">
        <v>22.3483217837037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34.9466</v>
      </c>
      <c r="H37" s="124" t="n">
        <v>300</v>
      </c>
      <c r="I37" s="192" t="n">
        <v>298</v>
      </c>
      <c r="J37" s="134"/>
      <c r="K37" s="135"/>
      <c r="L37" s="135"/>
      <c r="M37" s="135"/>
      <c r="N37" s="136"/>
      <c r="O37" s="135"/>
      <c r="P37" s="180" t="n">
        <v>1.5</v>
      </c>
      <c r="Q37" s="134"/>
      <c r="R37" s="134"/>
      <c r="S37" s="186" t="n">
        <v>65.3</v>
      </c>
      <c r="T37" s="34" t="n">
        <v>0.014</v>
      </c>
      <c r="U37" s="34" t="n">
        <v>0.0136806517259227</v>
      </c>
      <c r="V37" s="134"/>
      <c r="W37" s="134"/>
      <c r="X37" s="34" t="n">
        <v>32.996</v>
      </c>
      <c r="Y37" s="34" t="n">
        <v>32.2433417391818</v>
      </c>
      <c r="Z37" s="34" t="n">
        <v>2.008</v>
      </c>
      <c r="AA37" s="34" t="n">
        <v>1.96219633326091</v>
      </c>
      <c r="AB37" s="34" t="n">
        <v>13.94</v>
      </c>
      <c r="AC37" s="34" t="n">
        <v>13.622020361383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35.7476</v>
      </c>
      <c r="H38" s="124" t="n">
        <v>100</v>
      </c>
      <c r="I38" s="192" t="n">
        <v>99</v>
      </c>
      <c r="J38" s="134"/>
      <c r="K38" s="135"/>
      <c r="L38" s="135"/>
      <c r="M38" s="135"/>
      <c r="N38" s="136"/>
      <c r="O38" s="135"/>
      <c r="P38" s="178" t="n">
        <v>3.346</v>
      </c>
      <c r="Q38" s="134"/>
      <c r="R38" s="134"/>
      <c r="S38" s="186" t="n">
        <v>145.6</v>
      </c>
      <c r="T38" s="34" t="n">
        <v>0.043</v>
      </c>
      <c r="U38" s="34" t="n">
        <v>0.0420191445867625</v>
      </c>
      <c r="V38" s="134"/>
      <c r="W38" s="134"/>
      <c r="X38" s="34" t="n">
        <v>13.637</v>
      </c>
      <c r="Y38" s="34" t="n">
        <v>13.3259319704577</v>
      </c>
      <c r="Z38" s="34" t="n">
        <v>0.959</v>
      </c>
      <c r="AA38" s="34" t="n">
        <v>0.937124643225704</v>
      </c>
      <c r="AB38" s="34" t="n">
        <v>4.72</v>
      </c>
      <c r="AC38" s="34" t="n">
        <v>4.61233401045393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35.76</v>
      </c>
      <c r="H39" s="124" t="n">
        <v>80</v>
      </c>
      <c r="I39" s="192" t="n">
        <v>80</v>
      </c>
      <c r="J39" s="134"/>
      <c r="K39" s="135"/>
      <c r="L39" s="135"/>
      <c r="M39" s="135"/>
      <c r="N39" s="136"/>
      <c r="O39" s="135"/>
      <c r="P39" s="178" t="n">
        <v>3.393</v>
      </c>
      <c r="Q39" s="134"/>
      <c r="R39" s="134"/>
      <c r="S39" s="186" t="n">
        <v>147.7</v>
      </c>
      <c r="T39" s="34" t="n">
        <v>0.062</v>
      </c>
      <c r="U39" s="34" t="n">
        <v>0.0605857433576576</v>
      </c>
      <c r="V39" s="134"/>
      <c r="W39" s="134"/>
      <c r="X39" s="34" t="n">
        <v>13.348</v>
      </c>
      <c r="Y39" s="34" t="n">
        <v>13.0435242312583</v>
      </c>
      <c r="Z39" s="34" t="n">
        <v>0.94</v>
      </c>
      <c r="AA39" s="34" t="n">
        <v>0.918558044454809</v>
      </c>
      <c r="AB39" s="34" t="n">
        <v>4.68</v>
      </c>
      <c r="AC39" s="34" t="n">
        <v>4.57324643409415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35.7915</v>
      </c>
      <c r="H40" s="124" t="n">
        <v>60</v>
      </c>
      <c r="I40" s="192" t="n">
        <v>60</v>
      </c>
      <c r="J40" s="134"/>
      <c r="K40" s="135"/>
      <c r="L40" s="135"/>
      <c r="M40" s="135"/>
      <c r="N40" s="136"/>
      <c r="O40" s="135"/>
      <c r="P40" s="178" t="n">
        <v>3.422</v>
      </c>
      <c r="Q40" s="134"/>
      <c r="R40" s="134"/>
      <c r="S40" s="186" t="n">
        <v>148.9</v>
      </c>
      <c r="T40" s="34" t="n">
        <v>0.082</v>
      </c>
      <c r="U40" s="34" t="n">
        <v>0.0801295315375472</v>
      </c>
      <c r="V40" s="134"/>
      <c r="W40" s="134"/>
      <c r="X40" s="34" t="n">
        <v>12.788</v>
      </c>
      <c r="Y40" s="34" t="n">
        <v>12.4962981622214</v>
      </c>
      <c r="Z40" s="34" t="n">
        <v>0.91</v>
      </c>
      <c r="AA40" s="34" t="n">
        <v>0.889242362184974</v>
      </c>
      <c r="AB40" s="34" t="n">
        <v>4.46</v>
      </c>
      <c r="AC40" s="34" t="n">
        <v>4.35826476411537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35.954</v>
      </c>
      <c r="H41" s="124" t="n">
        <v>60</v>
      </c>
      <c r="I41" s="192" t="n">
        <v>40</v>
      </c>
      <c r="J41" s="134"/>
      <c r="K41" s="135"/>
      <c r="L41" s="135"/>
      <c r="M41" s="135"/>
      <c r="N41" s="136"/>
      <c r="O41" s="135"/>
      <c r="P41" s="178" t="n">
        <v>3.508</v>
      </c>
      <c r="Q41" s="134"/>
      <c r="R41" s="134"/>
      <c r="S41" s="186" t="n">
        <v>152.7</v>
      </c>
      <c r="T41" s="34" t="n">
        <v>0.338</v>
      </c>
      <c r="U41" s="34" t="n">
        <v>0.330290020240133</v>
      </c>
      <c r="V41" s="134"/>
      <c r="W41" s="134"/>
      <c r="X41" s="34" t="n">
        <v>10.492</v>
      </c>
      <c r="Y41" s="34" t="n">
        <v>10.2526712791701</v>
      </c>
      <c r="Z41" s="34" t="n">
        <v>0.79</v>
      </c>
      <c r="AA41" s="34" t="n">
        <v>0.771979633105637</v>
      </c>
      <c r="AB41" s="34" t="n">
        <v>3.63</v>
      </c>
      <c r="AC41" s="34" t="n">
        <v>3.54719755464995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22" t="n">
        <v>35.8673</v>
      </c>
      <c r="H42" s="124" t="n">
        <v>20</v>
      </c>
      <c r="I42" s="192" t="n">
        <v>20</v>
      </c>
      <c r="J42" s="134"/>
      <c r="K42" s="135"/>
      <c r="L42" s="135"/>
      <c r="M42" s="135"/>
      <c r="N42" s="136"/>
      <c r="O42" s="135"/>
      <c r="P42" s="178" t="n">
        <v>4.526</v>
      </c>
      <c r="Q42" s="134"/>
      <c r="R42" s="134"/>
      <c r="S42" s="186" t="n">
        <v>197.4</v>
      </c>
      <c r="T42" s="34" t="n">
        <v>0.017</v>
      </c>
      <c r="U42" s="34" t="n">
        <v>0.0166122199529061</v>
      </c>
      <c r="V42" s="134"/>
      <c r="W42" s="134"/>
      <c r="X42" s="34" t="n">
        <v>0.343</v>
      </c>
      <c r="Y42" s="34" t="n">
        <v>0.335175967285106</v>
      </c>
      <c r="Z42" s="34" t="n">
        <v>0.102</v>
      </c>
      <c r="AA42" s="34" t="n">
        <v>0.0996733197174367</v>
      </c>
      <c r="AB42" s="34" t="n">
        <v>1.11</v>
      </c>
      <c r="AC42" s="34" t="n">
        <v>1.08468024398387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22" t="n">
        <v>35.8662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78" t="n">
        <v>4.527</v>
      </c>
      <c r="Q43" s="134"/>
      <c r="R43" s="134"/>
      <c r="S43" s="186" t="n">
        <v>197.4</v>
      </c>
      <c r="T43" s="34" t="n">
        <v>0.02</v>
      </c>
      <c r="U43" s="34" t="n">
        <v>0.0195437881798896</v>
      </c>
      <c r="V43" s="134"/>
      <c r="W43" s="134"/>
      <c r="X43" s="34" t="n">
        <v>0.34</v>
      </c>
      <c r="Y43" s="34" t="n">
        <v>0.332244399058122</v>
      </c>
      <c r="Z43" s="34" t="n">
        <v>0.105</v>
      </c>
      <c r="AA43" s="34" t="n">
        <v>0.10260488794442</v>
      </c>
      <c r="AB43" s="34" t="n">
        <v>1.23</v>
      </c>
      <c r="AC43" s="34" t="n">
        <v>1.20194297306321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35.8251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78" t="n">
        <v>4.532</v>
      </c>
      <c r="Q44" s="134"/>
      <c r="R44" s="134"/>
      <c r="S44" s="186" t="n">
        <v>197.6</v>
      </c>
      <c r="T44" s="34" t="n">
        <v>0.014</v>
      </c>
      <c r="U44" s="34" t="n">
        <v>0.0136806517259227</v>
      </c>
      <c r="V44" s="134"/>
      <c r="W44" s="134"/>
      <c r="X44" s="34" t="n">
        <v>0.256</v>
      </c>
      <c r="Y44" s="34" t="n">
        <v>0.250160488702586</v>
      </c>
      <c r="Z44" s="34" t="n">
        <v>0.092</v>
      </c>
      <c r="AA44" s="34" t="n">
        <v>0.0899014256274919</v>
      </c>
      <c r="AB44" s="34" t="n">
        <v>1.17</v>
      </c>
      <c r="AC44" s="34" t="n">
        <v>1.14331160852354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35.8214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78" t="n">
        <v>4.538</v>
      </c>
      <c r="Q45" s="134"/>
      <c r="R45" s="134"/>
      <c r="S45" s="186" t="n">
        <v>197.9</v>
      </c>
      <c r="T45" s="34" t="n">
        <v>0.015</v>
      </c>
      <c r="U45" s="34" t="n">
        <v>0.0146578411349172</v>
      </c>
      <c r="V45" s="134"/>
      <c r="W45" s="134"/>
      <c r="X45" s="34" t="n">
        <v>0.035</v>
      </c>
      <c r="Y45" s="34" t="n">
        <v>0.0342016293148067</v>
      </c>
      <c r="Z45" s="34" t="n">
        <v>0.099</v>
      </c>
      <c r="AA45" s="34" t="n">
        <v>0.0967417514904533</v>
      </c>
      <c r="AB45" s="34" t="n">
        <v>1.08</v>
      </c>
      <c r="AC45" s="34" t="n">
        <v>1.05536456171404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0.16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0°0,16</v>
      </c>
      <c r="P9" s="31" t="s">
        <v>13</v>
      </c>
      <c r="Q9" s="35" t="n">
        <f aca="false">IF(ISBLANK(I9),"",IF(ISBLANK(J9),"",IF(J9&gt;60,"ERREUR !!",O11*(I9+(J9/60)))))</f>
        <v>0.00266666666666667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19.85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2°19,85</v>
      </c>
      <c r="P10" s="31" t="s">
        <v>14</v>
      </c>
      <c r="Q10" s="35" t="n">
        <f aca="false">IF(ISBLANK(I10),"",IF(ISBLANK(J10),"",IF(J10&gt;60,"ERREUR !!",O12*(I10+(J10/60)))))</f>
        <v>2.33083333333333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37785</v>
      </c>
      <c r="K11" s="40"/>
      <c r="L11" s="40"/>
      <c r="M11" s="40"/>
      <c r="N11" s="41" t="str">
        <f aca="false">I9&amp;"°"&amp;J9</f>
        <v>0°0,16</v>
      </c>
      <c r="O11" s="42" t="n">
        <f aca="false">IF(P9=M10,-1,1)</f>
        <v>1</v>
      </c>
      <c r="P11" s="43" t="str">
        <f aca="false">TEXT(J11,"aaaa-mm-jj")&amp;"T"&amp;TEXT(J12,"hh:mm:ss")&amp;"z"</f>
        <v>2007-06-14T07:00:00z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0.291666666666667</v>
      </c>
      <c r="K12" s="48"/>
      <c r="L12" s="48"/>
      <c r="M12" s="48"/>
      <c r="N12" s="49" t="str">
        <f aca="false">I10&amp;"°"&amp;J10</f>
        <v>2°19,85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34.6109</v>
      </c>
      <c r="H35" s="123" t="n">
        <v>1000</v>
      </c>
      <c r="I35" s="192" t="n">
        <v>1003</v>
      </c>
      <c r="J35" s="125"/>
      <c r="K35" s="126"/>
      <c r="L35" s="126"/>
      <c r="M35" s="126"/>
      <c r="N35" s="127"/>
      <c r="O35" s="126"/>
      <c r="P35" s="125" t="n">
        <v>3.415</v>
      </c>
      <c r="Q35" s="125"/>
      <c r="R35" s="125"/>
      <c r="S35" s="184" t="n">
        <v>148.4</v>
      </c>
      <c r="T35" s="34" t="n">
        <v>0.007</v>
      </c>
      <c r="U35" s="34" t="n">
        <v>0.00684032586296134</v>
      </c>
      <c r="V35" s="125"/>
      <c r="W35" s="125"/>
      <c r="X35" s="34" t="n">
        <v>33.893</v>
      </c>
      <c r="Y35" s="34" t="n">
        <v>33.1198806390498</v>
      </c>
      <c r="Z35" s="34" t="n">
        <v>2.265</v>
      </c>
      <c r="AA35" s="34" t="n">
        <v>2.21333401137249</v>
      </c>
      <c r="AB35" s="34" t="n">
        <v>31.86</v>
      </c>
      <c r="AC35" s="34" t="n">
        <v>31.1332545705641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34.5629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2.86</v>
      </c>
      <c r="Q36" s="134"/>
      <c r="R36" s="134"/>
      <c r="S36" s="186" t="n">
        <v>124.3</v>
      </c>
      <c r="T36" s="34" t="n">
        <v>0.007</v>
      </c>
      <c r="U36" s="34" t="n">
        <v>0.00684032586296134</v>
      </c>
      <c r="V36" s="134"/>
      <c r="W36" s="134"/>
      <c r="X36" s="34" t="n">
        <v>35.133</v>
      </c>
      <c r="Y36" s="34" t="n">
        <v>34.331595506203</v>
      </c>
      <c r="Z36" s="34" t="n">
        <v>2.25</v>
      </c>
      <c r="AA36" s="34" t="n">
        <v>2.19867617023757</v>
      </c>
      <c r="AB36" s="34" t="n">
        <v>23.25</v>
      </c>
      <c r="AC36" s="34" t="n">
        <v>22.7196537591216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34.9256</v>
      </c>
      <c r="H37" s="124" t="n">
        <v>300</v>
      </c>
      <c r="I37" s="192" t="n">
        <v>299</v>
      </c>
      <c r="J37" s="134"/>
      <c r="K37" s="135"/>
      <c r="L37" s="135"/>
      <c r="M37" s="135"/>
      <c r="N37" s="136"/>
      <c r="O37" s="135"/>
      <c r="P37" s="134" t="n">
        <v>1.59</v>
      </c>
      <c r="Q37" s="134"/>
      <c r="R37" s="134"/>
      <c r="S37" s="186" t="n">
        <v>69.1</v>
      </c>
      <c r="T37" s="34" t="n">
        <v>0.009</v>
      </c>
      <c r="U37" s="34" t="n">
        <v>0.0087947046809503</v>
      </c>
      <c r="V37" s="134"/>
      <c r="W37" s="134"/>
      <c r="X37" s="34" t="n">
        <v>33.181</v>
      </c>
      <c r="Y37" s="34" t="n">
        <v>32.4241217798458</v>
      </c>
      <c r="Z37" s="34" t="n">
        <v>2.011</v>
      </c>
      <c r="AA37" s="34" t="n">
        <v>1.96512790148789</v>
      </c>
      <c r="AB37" s="34" t="n">
        <v>14.34</v>
      </c>
      <c r="AC37" s="34" t="n">
        <v>14.0128961249808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35.7501</v>
      </c>
      <c r="H38" s="124" t="n">
        <v>100</v>
      </c>
      <c r="I38" s="192" t="n">
        <v>99</v>
      </c>
      <c r="J38" s="134"/>
      <c r="K38" s="135"/>
      <c r="L38" s="135"/>
      <c r="M38" s="135"/>
      <c r="N38" s="136"/>
      <c r="O38" s="135"/>
      <c r="P38" s="134" t="n">
        <v>3.307</v>
      </c>
      <c r="Q38" s="134"/>
      <c r="R38" s="134"/>
      <c r="S38" s="186" t="n">
        <v>143.9</v>
      </c>
      <c r="T38" s="34" t="n">
        <v>0.04</v>
      </c>
      <c r="U38" s="34" t="n">
        <v>0.0390875763597791</v>
      </c>
      <c r="V38" s="134"/>
      <c r="W38" s="134"/>
      <c r="X38" s="34" t="n">
        <v>13.69</v>
      </c>
      <c r="Y38" s="34" t="n">
        <v>13.3777230091344</v>
      </c>
      <c r="Z38" s="34" t="n">
        <v>0.973</v>
      </c>
      <c r="AA38" s="34" t="n">
        <v>0.950805294951626</v>
      </c>
      <c r="AB38" s="34" t="n">
        <v>4.64</v>
      </c>
      <c r="AC38" s="34" t="n">
        <v>4.53415885773438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35.7863</v>
      </c>
      <c r="H39" s="124" t="n">
        <v>80</v>
      </c>
      <c r="I39" s="192" t="n">
        <v>80</v>
      </c>
      <c r="J39" s="134"/>
      <c r="K39" s="135"/>
      <c r="L39" s="135"/>
      <c r="M39" s="135"/>
      <c r="N39" s="136"/>
      <c r="O39" s="135"/>
      <c r="P39" s="134" t="n">
        <v>3.38</v>
      </c>
      <c r="Q39" s="134"/>
      <c r="R39" s="134"/>
      <c r="S39" s="186" t="n">
        <v>147.1</v>
      </c>
      <c r="T39" s="34" t="n">
        <v>0.131</v>
      </c>
      <c r="U39" s="34" t="n">
        <v>0.128011812578277</v>
      </c>
      <c r="V39" s="134"/>
      <c r="W39" s="134"/>
      <c r="X39" s="34" t="n">
        <v>12.969</v>
      </c>
      <c r="Y39" s="34" t="n">
        <v>12.6731694452494</v>
      </c>
      <c r="Z39" s="34" t="n">
        <v>0.927</v>
      </c>
      <c r="AA39" s="34" t="n">
        <v>0.90585458213788</v>
      </c>
      <c r="AB39" s="34" t="n">
        <v>4.47</v>
      </c>
      <c r="AC39" s="34" t="n">
        <v>4.36803665820531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35.8592</v>
      </c>
      <c r="H40" s="124" t="n">
        <v>60</v>
      </c>
      <c r="I40" s="192" t="n">
        <v>60</v>
      </c>
      <c r="J40" s="134"/>
      <c r="K40" s="135"/>
      <c r="L40" s="135"/>
      <c r="M40" s="135"/>
      <c r="N40" s="136"/>
      <c r="O40" s="135"/>
      <c r="P40" s="134" t="n">
        <v>3.584</v>
      </c>
      <c r="Q40" s="134"/>
      <c r="R40" s="134"/>
      <c r="S40" s="186" t="n">
        <v>156</v>
      </c>
      <c r="T40" s="34" t="n">
        <v>0.255</v>
      </c>
      <c r="U40" s="34" t="n">
        <v>0.249183299293592</v>
      </c>
      <c r="V40" s="134"/>
      <c r="W40" s="134"/>
      <c r="X40" s="34" t="n">
        <v>11.295</v>
      </c>
      <c r="Y40" s="34" t="n">
        <v>11.0373543745926</v>
      </c>
      <c r="Z40" s="34" t="n">
        <v>0.83</v>
      </c>
      <c r="AA40" s="34" t="n">
        <v>0.811067209465416</v>
      </c>
      <c r="AB40" s="34" t="n">
        <v>3.81</v>
      </c>
      <c r="AC40" s="34" t="n">
        <v>3.72309164826896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36.0135</v>
      </c>
      <c r="H41" s="124" t="n">
        <v>60</v>
      </c>
      <c r="I41" s="192" t="n">
        <v>40</v>
      </c>
      <c r="J41" s="134"/>
      <c r="K41" s="135"/>
      <c r="L41" s="135"/>
      <c r="M41" s="135"/>
      <c r="N41" s="136"/>
      <c r="O41" s="135"/>
      <c r="P41" s="134" t="n">
        <v>3.82</v>
      </c>
      <c r="Q41" s="134"/>
      <c r="R41" s="134"/>
      <c r="S41" s="186" t="n">
        <v>166.3</v>
      </c>
      <c r="T41" s="34" t="n">
        <v>0.327</v>
      </c>
      <c r="U41" s="34" t="n">
        <v>0.319540936741194</v>
      </c>
      <c r="V41" s="134"/>
      <c r="W41" s="134"/>
      <c r="X41" s="34" t="n">
        <v>7.943</v>
      </c>
      <c r="Y41" s="34" t="n">
        <v>7.76181547564313</v>
      </c>
      <c r="Z41" s="34" t="n">
        <v>0.652</v>
      </c>
      <c r="AA41" s="34" t="n">
        <v>0.637127494664399</v>
      </c>
      <c r="AB41" s="34" t="n">
        <v>2.89</v>
      </c>
      <c r="AC41" s="34" t="n">
        <v>2.82407739199404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35.7823</v>
      </c>
      <c r="H42" s="124" t="n">
        <v>20</v>
      </c>
      <c r="I42" s="192" t="n">
        <v>20</v>
      </c>
      <c r="J42" s="134"/>
      <c r="K42" s="135"/>
      <c r="L42" s="135"/>
      <c r="M42" s="135"/>
      <c r="N42" s="136"/>
      <c r="O42" s="135"/>
      <c r="P42" s="134" t="n">
        <v>4.509</v>
      </c>
      <c r="Q42" s="134"/>
      <c r="R42" s="134"/>
      <c r="S42" s="186" t="n">
        <v>196.6</v>
      </c>
      <c r="T42" s="34" t="n">
        <v>0.015</v>
      </c>
      <c r="U42" s="34" t="n">
        <v>0.0146578411349172</v>
      </c>
      <c r="V42" s="134"/>
      <c r="W42" s="134"/>
      <c r="X42" s="34" t="n">
        <v>0.395</v>
      </c>
      <c r="Y42" s="34" t="n">
        <v>0.385989816552819</v>
      </c>
      <c r="Z42" s="34" t="n">
        <v>0.11</v>
      </c>
      <c r="AA42" s="34" t="n">
        <v>0.107490834989393</v>
      </c>
      <c r="AB42" s="34" t="n">
        <v>1.17</v>
      </c>
      <c r="AC42" s="34" t="n">
        <v>1.14331160852354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22" t="n">
        <v>35.1138</v>
      </c>
      <c r="H43" s="124" t="n">
        <v>10</v>
      </c>
      <c r="I43" s="192" t="n">
        <v>9</v>
      </c>
      <c r="J43" s="134"/>
      <c r="K43" s="135"/>
      <c r="L43" s="135"/>
      <c r="M43" s="135"/>
      <c r="N43" s="136"/>
      <c r="O43" s="135"/>
      <c r="P43" s="134" t="n">
        <v>4.482</v>
      </c>
      <c r="Q43" s="134"/>
      <c r="R43" s="134"/>
      <c r="S43" s="186" t="n">
        <v>195.6</v>
      </c>
      <c r="T43" s="34" t="n">
        <v>0.004</v>
      </c>
      <c r="U43" s="34" t="n">
        <v>0.00390875763597791</v>
      </c>
      <c r="V43" s="134"/>
      <c r="W43" s="134"/>
      <c r="X43" s="34" t="n">
        <v>0.016</v>
      </c>
      <c r="Y43" s="34" t="n">
        <v>0.0156350305439116</v>
      </c>
      <c r="Z43" s="34" t="n">
        <v>0.029</v>
      </c>
      <c r="AA43" s="34" t="n">
        <v>0.0283384928608398</v>
      </c>
      <c r="AB43" s="34" t="n">
        <v>0.94</v>
      </c>
      <c r="AC43" s="34" t="n">
        <v>0.918558044454809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22" t="n">
        <v>35.0935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4.521</v>
      </c>
      <c r="Q44" s="134"/>
      <c r="R44" s="134"/>
      <c r="S44" s="186" t="n">
        <v>197.3</v>
      </c>
      <c r="T44" s="34" t="n">
        <v>0.002</v>
      </c>
      <c r="U44" s="34" t="n">
        <v>0.00195437881798896</v>
      </c>
      <c r="V44" s="134"/>
      <c r="W44" s="134"/>
      <c r="X44" s="34" t="n">
        <v>0.028</v>
      </c>
      <c r="Y44" s="34" t="n">
        <v>0.0273613034518454</v>
      </c>
      <c r="Z44" s="34" t="n">
        <v>0.03</v>
      </c>
      <c r="AA44" s="34" t="n">
        <v>0.0293156822698343</v>
      </c>
      <c r="AB44" s="34" t="n">
        <v>0.96</v>
      </c>
      <c r="AC44" s="34" t="n">
        <v>0.938101832634698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35.0552</v>
      </c>
      <c r="H45" s="124" t="n">
        <v>0</v>
      </c>
      <c r="I45" s="193" t="n">
        <v>1.5</v>
      </c>
      <c r="J45" s="134"/>
      <c r="K45" s="135"/>
      <c r="L45" s="135"/>
      <c r="M45" s="135"/>
      <c r="N45" s="136"/>
      <c r="O45" s="135"/>
      <c r="P45" s="134" t="n">
        <v>4.49</v>
      </c>
      <c r="Q45" s="134"/>
      <c r="R45" s="134"/>
      <c r="S45" s="186" t="n">
        <v>195.9</v>
      </c>
      <c r="T45" s="34" t="n">
        <v>0.002</v>
      </c>
      <c r="U45" s="34" t="n">
        <v>0.00195437881798896</v>
      </c>
      <c r="V45" s="134"/>
      <c r="W45" s="134"/>
      <c r="X45" s="34" t="n">
        <v>0.058</v>
      </c>
      <c r="Y45" s="34" t="n">
        <v>0.0566769857216797</v>
      </c>
      <c r="Z45" s="34" t="n">
        <v>0.03</v>
      </c>
      <c r="AA45" s="34" t="n">
        <v>0.0293156822698343</v>
      </c>
      <c r="AB45" s="34" t="n">
        <v>0.87</v>
      </c>
      <c r="AC45" s="34" t="n">
        <v>0.850154785825195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35" activeCellId="0" sqref="P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31.66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0°31,66</v>
      </c>
      <c r="P9" s="31" t="s">
        <v>13</v>
      </c>
      <c r="Q9" s="35" t="n">
        <f aca="false">IF(ISBLANK(I9),"",IF(ISBLANK(J9),"",IF(J9&gt;60,"ERREUR !!",O11*(I9+(J9/60)))))</f>
        <v>0.527666666666667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20.21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2°20,21</v>
      </c>
      <c r="P10" s="31" t="s">
        <v>14</v>
      </c>
      <c r="Q10" s="35" t="n">
        <f aca="false">IF(ISBLANK(I10),"",IF(ISBLANK(J10),"",IF(J10&gt;60,"ERREUR !!",O12*(I10+(J10/60)))))</f>
        <v>2.33683333333333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37785</v>
      </c>
      <c r="K11" s="40"/>
      <c r="L11" s="40"/>
      <c r="M11" s="40"/>
      <c r="N11" s="41" t="str">
        <f aca="false">I9&amp;"°"&amp;J9</f>
        <v>0°31,66</v>
      </c>
      <c r="O11" s="42" t="n">
        <f aca="false">IF(P9=M10,-1,1)</f>
        <v>1</v>
      </c>
      <c r="P11" s="43" t="str">
        <f aca="false">TEXT(J11,"aaaa-mm-jj")&amp;"T"&amp;TEXT(J12,"hh:mm:ss")&amp;"z"</f>
        <v>2007-06-14T11:30:00z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0.479166666666667</v>
      </c>
      <c r="K12" s="48"/>
      <c r="L12" s="48"/>
      <c r="M12" s="48"/>
      <c r="N12" s="49" t="str">
        <f aca="false">I10&amp;"°"&amp;J10</f>
        <v>2°20,21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34.614</v>
      </c>
      <c r="H35" s="123" t="n">
        <v>1000</v>
      </c>
      <c r="I35" s="192" t="n">
        <v>1004</v>
      </c>
      <c r="J35" s="125"/>
      <c r="K35" s="126"/>
      <c r="L35" s="126"/>
      <c r="M35" s="126"/>
      <c r="N35" s="127"/>
      <c r="O35" s="126"/>
      <c r="P35" s="125" t="n">
        <v>3.433</v>
      </c>
      <c r="Q35" s="125"/>
      <c r="R35" s="125"/>
      <c r="S35" s="184" t="n">
        <v>149.3</v>
      </c>
      <c r="T35" s="34" t="n">
        <v>0.004</v>
      </c>
      <c r="U35" s="34" t="n">
        <v>0.00390875763597791</v>
      </c>
      <c r="V35" s="125"/>
      <c r="W35" s="125"/>
      <c r="X35" s="34" t="n">
        <v>33.546</v>
      </c>
      <c r="Y35" s="34" t="n">
        <v>32.7807959141287</v>
      </c>
      <c r="Z35" s="34" t="n">
        <v>2.247</v>
      </c>
      <c r="AA35" s="34" t="n">
        <v>2.19574460201059</v>
      </c>
      <c r="AB35" s="34" t="n">
        <v>31.75</v>
      </c>
      <c r="AC35" s="34" t="n">
        <v>31.0257637355747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34.5845</v>
      </c>
      <c r="H36" s="123" t="n">
        <v>600</v>
      </c>
      <c r="I36" s="192" t="n">
        <v>599</v>
      </c>
      <c r="J36" s="134"/>
      <c r="K36" s="135"/>
      <c r="L36" s="135"/>
      <c r="M36" s="135"/>
      <c r="N36" s="136"/>
      <c r="O36" s="135"/>
      <c r="P36" s="134" t="n">
        <v>2.773</v>
      </c>
      <c r="Q36" s="134"/>
      <c r="R36" s="134"/>
      <c r="S36" s="186" t="n">
        <v>120.6</v>
      </c>
      <c r="T36" s="34" t="n">
        <v>0.005</v>
      </c>
      <c r="U36" s="34" t="n">
        <v>0.00488594704497239</v>
      </c>
      <c r="V36" s="134"/>
      <c r="W36" s="134"/>
      <c r="X36" s="34" t="n">
        <v>34.465</v>
      </c>
      <c r="Y36" s="34" t="n">
        <v>33.6788329809947</v>
      </c>
      <c r="Z36" s="34" t="n">
        <v>2.208</v>
      </c>
      <c r="AA36" s="34" t="n">
        <v>2.15763421505981</v>
      </c>
      <c r="AB36" s="34" t="n">
        <v>22.03</v>
      </c>
      <c r="AC36" s="34" t="n">
        <v>21.5274826801483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34.9278</v>
      </c>
      <c r="H37" s="124" t="n">
        <v>300</v>
      </c>
      <c r="I37" s="192" t="n">
        <v>298.8</v>
      </c>
      <c r="J37" s="134"/>
      <c r="K37" s="135"/>
      <c r="L37" s="135"/>
      <c r="M37" s="135"/>
      <c r="N37" s="136"/>
      <c r="O37" s="135"/>
      <c r="P37" s="134" t="n">
        <v>1.539</v>
      </c>
      <c r="Q37" s="134"/>
      <c r="R37" s="134"/>
      <c r="S37" s="186" t="n">
        <v>66.9</v>
      </c>
      <c r="T37" s="34" t="n">
        <v>0.006</v>
      </c>
      <c r="U37" s="34" t="n">
        <v>0.00586313645396686</v>
      </c>
      <c r="V37" s="134"/>
      <c r="W37" s="134"/>
      <c r="X37" s="34" t="n">
        <v>33.134</v>
      </c>
      <c r="Y37" s="34" t="n">
        <v>32.378193877623</v>
      </c>
      <c r="Z37" s="34" t="n">
        <v>2.034</v>
      </c>
      <c r="AA37" s="34" t="n">
        <v>1.98760325789477</v>
      </c>
      <c r="AB37" s="34" t="n">
        <v>14.58</v>
      </c>
      <c r="AC37" s="34" t="n">
        <v>14.2474215831395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35.7323</v>
      </c>
      <c r="H38" s="124" t="n">
        <v>100</v>
      </c>
      <c r="I38" s="192" t="n">
        <v>99</v>
      </c>
      <c r="J38" s="134"/>
      <c r="K38" s="135"/>
      <c r="L38" s="135"/>
      <c r="M38" s="135"/>
      <c r="N38" s="136"/>
      <c r="O38" s="135"/>
      <c r="P38" s="134" t="n">
        <v>3.328</v>
      </c>
      <c r="Q38" s="134"/>
      <c r="R38" s="134"/>
      <c r="S38" s="186" t="n">
        <v>144.8</v>
      </c>
      <c r="T38" s="34" t="n">
        <v>0.05</v>
      </c>
      <c r="U38" s="34" t="n">
        <v>0.0488594704497239</v>
      </c>
      <c r="V38" s="134"/>
      <c r="W38" s="134"/>
      <c r="X38" s="34" t="n">
        <v>13.66</v>
      </c>
      <c r="Y38" s="34" t="n">
        <v>13.3484073268646</v>
      </c>
      <c r="Z38" s="34" t="n">
        <v>0.976</v>
      </c>
      <c r="AA38" s="34" t="n">
        <v>0.95373686317861</v>
      </c>
      <c r="AB38" s="34" t="n">
        <v>5.05</v>
      </c>
      <c r="AC38" s="34" t="n">
        <v>4.93480651542211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35.755</v>
      </c>
      <c r="H39" s="124" t="n">
        <v>80</v>
      </c>
      <c r="I39" s="192" t="n">
        <v>79</v>
      </c>
      <c r="J39" s="134"/>
      <c r="K39" s="135"/>
      <c r="L39" s="135"/>
      <c r="M39" s="135"/>
      <c r="N39" s="136"/>
      <c r="O39" s="135"/>
      <c r="P39" s="134" t="n">
        <v>3.32</v>
      </c>
      <c r="Q39" s="134"/>
      <c r="R39" s="134"/>
      <c r="S39" s="186" t="n">
        <v>144.5</v>
      </c>
      <c r="T39" s="34" t="n">
        <v>0.072</v>
      </c>
      <c r="U39" s="34" t="n">
        <v>0.0703576374476024</v>
      </c>
      <c r="V39" s="134"/>
      <c r="W39" s="134"/>
      <c r="X39" s="34" t="n">
        <v>13.608</v>
      </c>
      <c r="Y39" s="34" t="n">
        <v>13.2975934775968</v>
      </c>
      <c r="Z39" s="34" t="n">
        <v>0.977</v>
      </c>
      <c r="AA39" s="34" t="n">
        <v>0.954714052587605</v>
      </c>
      <c r="AB39" s="34" t="n">
        <v>4.91</v>
      </c>
      <c r="AC39" s="34" t="n">
        <v>4.79799999816288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35.828</v>
      </c>
      <c r="H40" s="124" t="n">
        <v>60</v>
      </c>
      <c r="I40" s="192" t="n">
        <v>59</v>
      </c>
      <c r="J40" s="134"/>
      <c r="K40" s="135"/>
      <c r="L40" s="135"/>
      <c r="M40" s="135"/>
      <c r="N40" s="136"/>
      <c r="O40" s="135"/>
      <c r="P40" s="134" t="n">
        <v>3.224</v>
      </c>
      <c r="Q40" s="134"/>
      <c r="R40" s="134"/>
      <c r="S40" s="186" t="n">
        <v>140.3</v>
      </c>
      <c r="T40" s="34" t="n">
        <v>0.133</v>
      </c>
      <c r="U40" s="34" t="n">
        <v>0.129966191396265</v>
      </c>
      <c r="V40" s="134"/>
      <c r="W40" s="134"/>
      <c r="X40" s="34" t="n">
        <v>13.317</v>
      </c>
      <c r="Y40" s="34" t="n">
        <v>13.0132313595795</v>
      </c>
      <c r="Z40" s="34" t="n">
        <v>0.936</v>
      </c>
      <c r="AA40" s="34" t="n">
        <v>0.914649286818831</v>
      </c>
      <c r="AB40" s="34" t="n">
        <v>4.63</v>
      </c>
      <c r="AC40" s="34" t="n">
        <v>4.52438696364443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35.9073</v>
      </c>
      <c r="H41" s="124" t="n">
        <v>40</v>
      </c>
      <c r="I41" s="192" t="n">
        <v>35.5</v>
      </c>
      <c r="J41" s="134"/>
      <c r="K41" s="135"/>
      <c r="L41" s="135"/>
      <c r="M41" s="135"/>
      <c r="N41" s="136"/>
      <c r="O41" s="135"/>
      <c r="P41" s="134" t="n">
        <v>3.488</v>
      </c>
      <c r="Q41" s="134"/>
      <c r="R41" s="134"/>
      <c r="S41" s="186" t="n">
        <v>151.9</v>
      </c>
      <c r="T41" s="34" t="n">
        <v>0.222</v>
      </c>
      <c r="U41" s="34" t="n">
        <v>0.216936048796774</v>
      </c>
      <c r="V41" s="134"/>
      <c r="W41" s="134"/>
      <c r="X41" s="34" t="n">
        <v>8.208</v>
      </c>
      <c r="Y41" s="34" t="n">
        <v>8.02077066902667</v>
      </c>
      <c r="Z41" s="34" t="n">
        <v>0.657</v>
      </c>
      <c r="AA41" s="34" t="n">
        <v>0.642013441709372</v>
      </c>
      <c r="AB41" s="34" t="n">
        <v>3.27</v>
      </c>
      <c r="AC41" s="34" t="n">
        <v>3.19540936741194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22" t="n">
        <v>35.9066</v>
      </c>
      <c r="H42" s="124" t="n">
        <v>40</v>
      </c>
      <c r="I42" s="192" t="n">
        <v>35.5</v>
      </c>
      <c r="J42" s="134"/>
      <c r="K42" s="135"/>
      <c r="L42" s="135"/>
      <c r="M42" s="135"/>
      <c r="N42" s="136"/>
      <c r="O42" s="135"/>
      <c r="P42" s="134" t="n">
        <v>4.484</v>
      </c>
      <c r="Q42" s="134"/>
      <c r="R42" s="134"/>
      <c r="S42" s="186" t="n">
        <v>195.3</v>
      </c>
      <c r="T42" s="34" t="n">
        <v>0.22</v>
      </c>
      <c r="U42" s="34" t="n">
        <v>0.214981669978785</v>
      </c>
      <c r="V42" s="134"/>
      <c r="W42" s="134"/>
      <c r="X42" s="34" t="n">
        <v>7.9</v>
      </c>
      <c r="Y42" s="34" t="n">
        <v>7.71979633105637</v>
      </c>
      <c r="Z42" s="34" t="n">
        <v>0.639</v>
      </c>
      <c r="AA42" s="34" t="n">
        <v>0.624424032347471</v>
      </c>
      <c r="AB42" s="34" t="n">
        <v>3.08</v>
      </c>
      <c r="AC42" s="34" t="n">
        <v>3.00974337970299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34.8175</v>
      </c>
      <c r="H43" s="124" t="n">
        <v>20</v>
      </c>
      <c r="I43" s="192" t="n">
        <v>16.3</v>
      </c>
      <c r="J43" s="134"/>
      <c r="K43" s="135"/>
      <c r="L43" s="135"/>
      <c r="M43" s="135"/>
      <c r="N43" s="136"/>
      <c r="O43" s="135"/>
      <c r="P43" s="134" t="n">
        <v>4.486</v>
      </c>
      <c r="Q43" s="134"/>
      <c r="R43" s="134"/>
      <c r="S43" s="186" t="n">
        <v>195.8</v>
      </c>
      <c r="T43" s="34" t="n">
        <v>0.006</v>
      </c>
      <c r="U43" s="34" t="n">
        <v>0.00586313645396686</v>
      </c>
      <c r="V43" s="134"/>
      <c r="W43" s="134"/>
      <c r="X43" s="34" t="n">
        <v>0.084</v>
      </c>
      <c r="Y43" s="34" t="n">
        <v>0.0820839103555361</v>
      </c>
      <c r="Z43" s="34" t="n">
        <v>0.029</v>
      </c>
      <c r="AA43" s="34" t="n">
        <v>0.0283384928608398</v>
      </c>
      <c r="AB43" s="34" t="n">
        <v>1.04</v>
      </c>
      <c r="AC43" s="34" t="n">
        <v>1.01627698535426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34.6923</v>
      </c>
      <c r="H44" s="124" t="n">
        <v>10</v>
      </c>
      <c r="I44" s="192" t="n">
        <v>9.94</v>
      </c>
      <c r="J44" s="134"/>
      <c r="K44" s="135"/>
      <c r="L44" s="135"/>
      <c r="M44" s="135"/>
      <c r="N44" s="136"/>
      <c r="O44" s="135"/>
      <c r="P44" s="134" t="n">
        <v>4.495</v>
      </c>
      <c r="Q44" s="134"/>
      <c r="R44" s="134"/>
      <c r="S44" s="186" t="n">
        <v>196.2</v>
      </c>
      <c r="T44" s="34" t="n">
        <v>0.003</v>
      </c>
      <c r="U44" s="34" t="n">
        <v>0.00293156822698343</v>
      </c>
      <c r="V44" s="134"/>
      <c r="W44" s="134"/>
      <c r="X44" s="34" t="n">
        <v>0.047</v>
      </c>
      <c r="Y44" s="34" t="n">
        <v>0.0459279022227404</v>
      </c>
      <c r="Z44" s="34" t="n">
        <v>0.021</v>
      </c>
      <c r="AA44" s="34" t="n">
        <v>0.020520977588884</v>
      </c>
      <c r="AB44" s="34" t="n">
        <v>0.95</v>
      </c>
      <c r="AC44" s="34" t="n">
        <v>0.928329938544754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34.6838</v>
      </c>
      <c r="H45" s="124" t="n">
        <v>0</v>
      </c>
      <c r="I45" s="193" t="n">
        <v>1.1</v>
      </c>
      <c r="J45" s="134"/>
      <c r="K45" s="135"/>
      <c r="L45" s="135"/>
      <c r="M45" s="135"/>
      <c r="N45" s="136"/>
      <c r="O45" s="135"/>
      <c r="P45" s="134" t="n">
        <v>4.482</v>
      </c>
      <c r="Q45" s="134"/>
      <c r="R45" s="134"/>
      <c r="S45" s="186" t="n">
        <v>195.7</v>
      </c>
      <c r="T45" s="34" t="n">
        <v>0</v>
      </c>
      <c r="U45" s="34" t="n">
        <v>0</v>
      </c>
      <c r="V45" s="134"/>
      <c r="W45" s="134"/>
      <c r="X45" s="34" t="n">
        <v>0.06</v>
      </c>
      <c r="Y45" s="34" t="n">
        <v>0.0586313645396686</v>
      </c>
      <c r="Z45" s="34" t="n">
        <v>0.026</v>
      </c>
      <c r="AA45" s="34" t="n">
        <v>0.0254069246338564</v>
      </c>
      <c r="AB45" s="34" t="n">
        <v>0.93</v>
      </c>
      <c r="AC45" s="34" t="n">
        <v>0.908786150364864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35" activeCellId="0" sqref="P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59.87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0°59,87</v>
      </c>
      <c r="P9" s="31" t="s">
        <v>13</v>
      </c>
      <c r="Q9" s="35" t="n">
        <f aca="false">IF(ISBLANK(I9),"",IF(ISBLANK(J9),"",IF(J9&gt;60,"ERREUR !!",O11*(I9+(J9/60)))))</f>
        <v>0.997833333333333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20.05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2°20,05</v>
      </c>
      <c r="P10" s="31" t="s">
        <v>14</v>
      </c>
      <c r="Q10" s="35" t="n">
        <f aca="false">IF(ISBLANK(I10),"",IF(ISBLANK(J10),"",IF(J10&gt;60,"ERREUR !!",O12*(I10+(J10/60)))))</f>
        <v>2.33416666666667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37785</v>
      </c>
      <c r="K11" s="40"/>
      <c r="L11" s="40"/>
      <c r="M11" s="40"/>
      <c r="N11" s="41" t="str">
        <f aca="false">I9&amp;"°"&amp;J9</f>
        <v>0°59,87</v>
      </c>
      <c r="O11" s="42" t="n">
        <f aca="false">IF(P9=M10,-1,1)</f>
        <v>1</v>
      </c>
      <c r="P11" s="43" t="str">
        <f aca="false">TEXT(J11,"aaaa-mm-jj")&amp;"T"&amp;TEXT(J12,"hh:mm:ss")&amp;"z"</f>
        <v>2007-06-14T15:30:00z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0.645833333333333</v>
      </c>
      <c r="K12" s="48"/>
      <c r="L12" s="48"/>
      <c r="M12" s="48"/>
      <c r="N12" s="49" t="str">
        <f aca="false">I10&amp;"°"&amp;J10</f>
        <v>2°20,05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34.6215</v>
      </c>
      <c r="H35" s="123" t="n">
        <v>1000</v>
      </c>
      <c r="I35" s="192" t="n">
        <v>1000</v>
      </c>
      <c r="J35" s="125"/>
      <c r="K35" s="126"/>
      <c r="L35" s="126"/>
      <c r="M35" s="126"/>
      <c r="N35" s="127"/>
      <c r="O35" s="126"/>
      <c r="P35" s="125" t="n">
        <v>3.44107837655323</v>
      </c>
      <c r="Q35" s="125"/>
      <c r="R35" s="125"/>
      <c r="S35" s="184" t="n">
        <v>149.6</v>
      </c>
      <c r="T35" s="34" t="n">
        <v>0.012</v>
      </c>
      <c r="U35" s="34" t="n">
        <v>0.0117262729079337</v>
      </c>
      <c r="V35" s="125"/>
      <c r="W35" s="125"/>
      <c r="X35" s="34" t="n">
        <v>33.588</v>
      </c>
      <c r="Y35" s="34" t="n">
        <v>32.8218378693065</v>
      </c>
      <c r="Z35" s="34" t="n">
        <v>2.236</v>
      </c>
      <c r="AA35" s="34" t="n">
        <v>2.18499551851165</v>
      </c>
      <c r="AB35" s="34" t="n">
        <v>31.55</v>
      </c>
      <c r="AC35" s="34" t="n">
        <v>30.8303258537758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34.59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2.75625727270745</v>
      </c>
      <c r="Q36" s="134"/>
      <c r="R36" s="134"/>
      <c r="S36" s="186" t="n">
        <v>119.8</v>
      </c>
      <c r="T36" s="34" t="n">
        <v>0.008</v>
      </c>
      <c r="U36" s="34" t="n">
        <v>0.00781751527195582</v>
      </c>
      <c r="V36" s="134"/>
      <c r="W36" s="134"/>
      <c r="X36" s="34" t="n">
        <v>33.992</v>
      </c>
      <c r="Y36" s="34" t="n">
        <v>33.2166223905403</v>
      </c>
      <c r="Z36" s="34" t="n">
        <v>2.212</v>
      </c>
      <c r="AA36" s="34" t="n">
        <v>2.16154297269578</v>
      </c>
      <c r="AB36" s="34" t="n">
        <v>22.32</v>
      </c>
      <c r="AC36" s="34" t="n">
        <v>21.8108676087567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34.9076</v>
      </c>
      <c r="H37" s="124" t="n">
        <v>300</v>
      </c>
      <c r="I37" s="192" t="n">
        <v>298</v>
      </c>
      <c r="J37" s="134"/>
      <c r="K37" s="135"/>
      <c r="L37" s="135"/>
      <c r="M37" s="135"/>
      <c r="N37" s="136"/>
      <c r="O37" s="135"/>
      <c r="P37" s="134" t="n">
        <v>2.11028381717229</v>
      </c>
      <c r="Q37" s="134"/>
      <c r="R37" s="134"/>
      <c r="S37" s="186" t="n">
        <v>91.8</v>
      </c>
      <c r="T37" s="34" t="n">
        <v>0.014</v>
      </c>
      <c r="U37" s="34" t="n">
        <v>0.0136806517259227</v>
      </c>
      <c r="V37" s="134"/>
      <c r="W37" s="134"/>
      <c r="X37" s="34" t="n">
        <v>30.656</v>
      </c>
      <c r="Y37" s="34" t="n">
        <v>29.9567185221347</v>
      </c>
      <c r="Z37" s="34" t="n">
        <v>1.909</v>
      </c>
      <c r="AA37" s="34" t="n">
        <v>1.86545458177046</v>
      </c>
      <c r="AB37" s="34" t="n">
        <v>14.39</v>
      </c>
      <c r="AC37" s="34" t="n">
        <v>14.0617555954305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35.7047</v>
      </c>
      <c r="H38" s="124" t="n">
        <v>100</v>
      </c>
      <c r="I38" s="192" t="n">
        <v>98</v>
      </c>
      <c r="J38" s="134"/>
      <c r="K38" s="135"/>
      <c r="L38" s="135"/>
      <c r="M38" s="135"/>
      <c r="N38" s="136"/>
      <c r="O38" s="135"/>
      <c r="P38" s="134" t="n">
        <v>3.07271433065224</v>
      </c>
      <c r="Q38" s="134"/>
      <c r="R38" s="134"/>
      <c r="S38" s="186" t="n">
        <v>133.7</v>
      </c>
      <c r="T38" s="34" t="n">
        <v>0.022</v>
      </c>
      <c r="U38" s="34" t="n">
        <v>0.0214981669978785</v>
      </c>
      <c r="V38" s="134"/>
      <c r="W38" s="134"/>
      <c r="X38" s="34" t="n">
        <v>15.168</v>
      </c>
      <c r="Y38" s="34" t="n">
        <v>14.8220089556282</v>
      </c>
      <c r="Z38" s="34" t="n">
        <v>1.053</v>
      </c>
      <c r="AA38" s="34" t="n">
        <v>1.02898044767118</v>
      </c>
      <c r="AB38" s="34" t="n">
        <v>5.21</v>
      </c>
      <c r="AC38" s="34" t="n">
        <v>5.09115682086123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35.7458</v>
      </c>
      <c r="H39" s="124" t="n">
        <v>80</v>
      </c>
      <c r="I39" s="192" t="n">
        <v>79</v>
      </c>
      <c r="J39" s="134"/>
      <c r="K39" s="135"/>
      <c r="L39" s="135"/>
      <c r="M39" s="135"/>
      <c r="N39" s="136"/>
      <c r="O39" s="135"/>
      <c r="P39" s="134" t="n">
        <v>2.70858536057418</v>
      </c>
      <c r="Q39" s="134"/>
      <c r="R39" s="134"/>
      <c r="S39" s="186" t="n">
        <v>117.9</v>
      </c>
      <c r="T39" s="34" t="n">
        <v>0.026</v>
      </c>
      <c r="U39" s="34" t="n">
        <v>0.0254069246338564</v>
      </c>
      <c r="V39" s="134"/>
      <c r="W39" s="134"/>
      <c r="X39" s="34" t="n">
        <v>16.574</v>
      </c>
      <c r="Y39" s="34" t="n">
        <v>16.1959372646745</v>
      </c>
      <c r="Z39" s="34" t="n">
        <v>1.107</v>
      </c>
      <c r="AA39" s="34" t="n">
        <v>1.08174867575689</v>
      </c>
      <c r="AB39" s="34" t="n">
        <v>5.1</v>
      </c>
      <c r="AC39" s="34" t="n">
        <v>4.98366598587183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35.9246</v>
      </c>
      <c r="H40" s="124" t="n">
        <v>60</v>
      </c>
      <c r="I40" s="192" t="n">
        <v>59</v>
      </c>
      <c r="J40" s="134"/>
      <c r="K40" s="135"/>
      <c r="L40" s="135"/>
      <c r="M40" s="135"/>
      <c r="N40" s="136"/>
      <c r="O40" s="135"/>
      <c r="P40" s="134" t="n">
        <v>3.29700714346346</v>
      </c>
      <c r="Q40" s="134"/>
      <c r="R40" s="134"/>
      <c r="S40" s="186" t="n">
        <v>143.5</v>
      </c>
      <c r="T40" s="34" t="n">
        <v>0.076</v>
      </c>
      <c r="U40" s="34" t="n">
        <v>0.0742663950835803</v>
      </c>
      <c r="V40" s="134"/>
      <c r="W40" s="134"/>
      <c r="X40" s="34" t="n">
        <v>12.004</v>
      </c>
      <c r="Y40" s="34" t="n">
        <v>11.7301816655697</v>
      </c>
      <c r="Z40" s="34" t="n">
        <v>0.855</v>
      </c>
      <c r="AA40" s="34" t="n">
        <v>0.835496944690278</v>
      </c>
      <c r="AB40" s="34" t="n">
        <v>3.95</v>
      </c>
      <c r="AC40" s="34" t="n">
        <v>3.85989816552819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36.03</v>
      </c>
      <c r="H41" s="124" t="n">
        <v>40</v>
      </c>
      <c r="I41" s="192" t="n">
        <v>40</v>
      </c>
      <c r="J41" s="134"/>
      <c r="K41" s="135"/>
      <c r="L41" s="135"/>
      <c r="M41" s="135"/>
      <c r="N41" s="136"/>
      <c r="O41" s="135"/>
      <c r="P41" s="134" t="n">
        <v>3.97272497224322</v>
      </c>
      <c r="Q41" s="134"/>
      <c r="R41" s="134"/>
      <c r="S41" s="186" t="n">
        <v>173.1</v>
      </c>
      <c r="T41" s="34" t="n">
        <v>0.113</v>
      </c>
      <c r="U41" s="34" t="n">
        <v>0.110422403216376</v>
      </c>
      <c r="V41" s="134"/>
      <c r="W41" s="134"/>
      <c r="X41" s="34" t="n">
        <v>3.817</v>
      </c>
      <c r="Y41" s="34" t="n">
        <v>3.72993197413192</v>
      </c>
      <c r="Z41" s="34" t="n">
        <v>0.377</v>
      </c>
      <c r="AA41" s="34" t="n">
        <v>0.368400407190918</v>
      </c>
      <c r="AB41" s="34" t="n">
        <v>2.13</v>
      </c>
      <c r="AC41" s="34" t="n">
        <v>2.08141344115824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34.5416</v>
      </c>
      <c r="H42" s="124" t="n">
        <v>20</v>
      </c>
      <c r="I42" s="192" t="n">
        <v>21</v>
      </c>
      <c r="J42" s="134"/>
      <c r="K42" s="135"/>
      <c r="L42" s="135"/>
      <c r="M42" s="135"/>
      <c r="N42" s="136"/>
      <c r="O42" s="135"/>
      <c r="P42" s="134" t="n">
        <v>4.5173788749972</v>
      </c>
      <c r="Q42" s="134"/>
      <c r="R42" s="134"/>
      <c r="S42" s="186" t="n">
        <v>197.3</v>
      </c>
      <c r="T42" s="34" t="n">
        <v>0.011</v>
      </c>
      <c r="U42" s="34" t="n">
        <v>0.0107490834989393</v>
      </c>
      <c r="V42" s="134"/>
      <c r="W42" s="134"/>
      <c r="X42" s="34" t="n">
        <v>0.089</v>
      </c>
      <c r="Y42" s="34" t="n">
        <v>0.0869698574005085</v>
      </c>
      <c r="Z42" s="34" t="n">
        <v>0</v>
      </c>
      <c r="AA42" s="34" t="n">
        <v>0</v>
      </c>
      <c r="AB42" s="34" t="n">
        <v>0.74</v>
      </c>
      <c r="AC42" s="34" t="n">
        <v>0.723120162655913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34.4961</v>
      </c>
      <c r="H43" s="124" t="n">
        <v>10</v>
      </c>
      <c r="I43" s="192" t="n">
        <v>10</v>
      </c>
      <c r="J43" s="134"/>
      <c r="K43" s="135"/>
      <c r="L43" s="135"/>
      <c r="M43" s="135"/>
      <c r="N43" s="136"/>
      <c r="O43" s="135"/>
      <c r="P43" s="134" t="n">
        <v>4.51033453605108</v>
      </c>
      <c r="Q43" s="134"/>
      <c r="R43" s="134"/>
      <c r="S43" s="186" t="n">
        <v>197</v>
      </c>
      <c r="T43" s="34" t="n">
        <v>0.009</v>
      </c>
      <c r="U43" s="34" t="n">
        <v>0.0087947046809503</v>
      </c>
      <c r="V43" s="134"/>
      <c r="W43" s="134"/>
      <c r="X43" s="34" t="n">
        <v>0.021</v>
      </c>
      <c r="Y43" s="34" t="n">
        <v>0.020520977588884</v>
      </c>
      <c r="Z43" s="34" t="n">
        <v>0.004</v>
      </c>
      <c r="AA43" s="34" t="n">
        <v>0.00390875763597791</v>
      </c>
      <c r="AB43" s="34" t="n">
        <v>0.86</v>
      </c>
      <c r="AC43" s="34" t="n">
        <v>0.840382891735251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22" t="n">
        <v>34.4959</v>
      </c>
      <c r="H44" s="124" t="n">
        <v>0</v>
      </c>
      <c r="I44" s="192" t="n">
        <v>1</v>
      </c>
      <c r="J44" s="134"/>
      <c r="K44" s="135"/>
      <c r="L44" s="135"/>
      <c r="M44" s="135"/>
      <c r="N44" s="136"/>
      <c r="O44" s="135"/>
      <c r="P44" s="134" t="n">
        <v>4.47796586659917</v>
      </c>
      <c r="Q44" s="134"/>
      <c r="R44" s="134"/>
      <c r="S44" s="186" t="n">
        <v>195.6</v>
      </c>
      <c r="T44" s="34" t="n">
        <v>0.01</v>
      </c>
      <c r="U44" s="34" t="n">
        <v>0.00977189408994478</v>
      </c>
      <c r="V44" s="134"/>
      <c r="W44" s="134"/>
      <c r="X44" s="34" t="n">
        <v>0.1</v>
      </c>
      <c r="Y44" s="34" t="n">
        <v>0.0977189408994478</v>
      </c>
      <c r="Z44" s="34" t="n">
        <v>0.014</v>
      </c>
      <c r="AA44" s="34" t="n">
        <v>0.0136806517259227</v>
      </c>
      <c r="AB44" s="34" t="n">
        <v>0.76</v>
      </c>
      <c r="AC44" s="34" t="n">
        <v>0.742663950835803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22" t="n">
        <v>34.4966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4.47506947646528</v>
      </c>
      <c r="Q45" s="134"/>
      <c r="R45" s="134"/>
      <c r="S45" s="186" t="n">
        <v>195.5</v>
      </c>
      <c r="T45" s="34" t="n">
        <v>0.007</v>
      </c>
      <c r="U45" s="34" t="n">
        <v>0.00684032586296134</v>
      </c>
      <c r="V45" s="134"/>
      <c r="W45" s="134"/>
      <c r="X45" s="34" t="n">
        <v>0.093</v>
      </c>
      <c r="Y45" s="34" t="n">
        <v>0.0908786150364864</v>
      </c>
      <c r="Z45" s="34" t="n">
        <v>0.00800000000000001</v>
      </c>
      <c r="AA45" s="34" t="n">
        <v>0.00781751527195583</v>
      </c>
      <c r="AB45" s="34" t="n">
        <v>0.71</v>
      </c>
      <c r="AC45" s="34" t="n">
        <v>0.693804480386079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30.18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1°30,18</v>
      </c>
      <c r="P9" s="31" t="s">
        <v>13</v>
      </c>
      <c r="Q9" s="35" t="n">
        <f aca="false">IF(ISBLANK(I9),"",IF(ISBLANK(J9),"",IF(J9&gt;60,"ERREUR !!",O11*(I9+(J9/60)))))</f>
        <v>1.503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20.09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2°20,09</v>
      </c>
      <c r="P10" s="31" t="s">
        <v>14</v>
      </c>
      <c r="Q10" s="35" t="n">
        <f aca="false">IF(ISBLANK(I10),"",IF(ISBLANK(J10),"",IF(J10&gt;60,"ERREUR !!",O12*(I10+(J10/60)))))</f>
        <v>2.33483333333333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37785</v>
      </c>
      <c r="K11" s="40"/>
      <c r="L11" s="40"/>
      <c r="M11" s="40"/>
      <c r="N11" s="41" t="str">
        <f aca="false">I9&amp;"°"&amp;J9</f>
        <v>1°30,18</v>
      </c>
      <c r="O11" s="42" t="n">
        <f aca="false">IF(P9=M10,-1,1)</f>
        <v>1</v>
      </c>
      <c r="P11" s="43" t="str">
        <f aca="false">TEXT(J11,"aaaa-mm-jj")&amp;"T"&amp;TEXT(J12,"hh:mm:ss")&amp;"z"</f>
        <v>2007-06-14T20:00:00z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0.833333333333333</v>
      </c>
      <c r="K12" s="48"/>
      <c r="L12" s="48"/>
      <c r="M12" s="48"/>
      <c r="N12" s="49" t="str">
        <f aca="false">I10&amp;"°"&amp;J10</f>
        <v>2°20,09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34.6362</v>
      </c>
      <c r="H35" s="123" t="n">
        <v>1000</v>
      </c>
      <c r="I35" s="192" t="n">
        <v>1000</v>
      </c>
      <c r="J35" s="125"/>
      <c r="K35" s="126"/>
      <c r="L35" s="126"/>
      <c r="M35" s="126"/>
      <c r="N35" s="127"/>
      <c r="O35" s="126"/>
      <c r="P35" s="125" t="n">
        <v>3.468</v>
      </c>
      <c r="Q35" s="125"/>
      <c r="R35" s="125"/>
      <c r="S35" s="184" t="n">
        <v>150.8</v>
      </c>
      <c r="T35" s="34" t="n">
        <v>0.007</v>
      </c>
      <c r="U35" s="34" t="n">
        <v>0.00684032586296134</v>
      </c>
      <c r="V35" s="125"/>
      <c r="W35" s="125"/>
      <c r="X35" s="34" t="n">
        <v>33.163</v>
      </c>
      <c r="Y35" s="34" t="n">
        <v>32.4065323704839</v>
      </c>
      <c r="Z35" s="34" t="n">
        <v>2.183</v>
      </c>
      <c r="AA35" s="34" t="n">
        <v>2.13320447983494</v>
      </c>
      <c r="AB35" s="34" t="n">
        <v>30.64</v>
      </c>
      <c r="AC35" s="34" t="n">
        <v>29.9410834915908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22" t="n">
        <v>34.6366</v>
      </c>
      <c r="H36" s="123" t="n">
        <v>1000</v>
      </c>
      <c r="I36" s="192" t="n">
        <v>1000</v>
      </c>
      <c r="J36" s="134"/>
      <c r="K36" s="135"/>
      <c r="L36" s="135"/>
      <c r="M36" s="135"/>
      <c r="N36" s="136"/>
      <c r="O36" s="135"/>
      <c r="P36" s="134" t="n">
        <v>3.475</v>
      </c>
      <c r="Q36" s="134"/>
      <c r="R36" s="134"/>
      <c r="S36" s="186" t="n">
        <v>151.1</v>
      </c>
      <c r="T36" s="34" t="n">
        <v>0.013</v>
      </c>
      <c r="U36" s="34" t="n">
        <v>0.0127034623169282</v>
      </c>
      <c r="V36" s="134"/>
      <c r="W36" s="134"/>
      <c r="X36" s="34" t="n">
        <v>33.447</v>
      </c>
      <c r="Y36" s="34" t="n">
        <v>32.6840541626383</v>
      </c>
      <c r="Z36" s="34" t="n">
        <v>2.193</v>
      </c>
      <c r="AA36" s="34" t="n">
        <v>2.14297637392489</v>
      </c>
      <c r="AB36" s="34" t="n">
        <v>31.08</v>
      </c>
      <c r="AC36" s="34" t="n">
        <v>30.3710468315484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34.5975</v>
      </c>
      <c r="H37" s="123" t="n">
        <v>600</v>
      </c>
      <c r="I37" s="192" t="n">
        <v>600</v>
      </c>
      <c r="J37" s="134"/>
      <c r="K37" s="135"/>
      <c r="L37" s="135"/>
      <c r="M37" s="135"/>
      <c r="N37" s="136"/>
      <c r="O37" s="135"/>
      <c r="P37" s="134" t="n">
        <v>2.568</v>
      </c>
      <c r="Q37" s="134"/>
      <c r="R37" s="134"/>
      <c r="S37" s="186" t="n">
        <v>111.7</v>
      </c>
      <c r="T37" s="34" t="n">
        <v>0.004</v>
      </c>
      <c r="U37" s="34" t="n">
        <v>0.00390875763597791</v>
      </c>
      <c r="V37" s="134"/>
      <c r="W37" s="134"/>
      <c r="X37" s="34" t="n">
        <v>35.826</v>
      </c>
      <c r="Y37" s="34" t="n">
        <v>35.0087877666361</v>
      </c>
      <c r="Z37" s="34" t="n">
        <v>2.268</v>
      </c>
      <c r="AA37" s="34" t="n">
        <v>2.21626557959947</v>
      </c>
      <c r="AB37" s="34" t="n">
        <v>22.21</v>
      </c>
      <c r="AC37" s="34" t="n">
        <v>21.7033767737673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34.9377</v>
      </c>
      <c r="H38" s="124" t="n">
        <v>300</v>
      </c>
      <c r="I38" s="192" t="n">
        <v>299</v>
      </c>
      <c r="J38" s="134"/>
      <c r="K38" s="135"/>
      <c r="L38" s="135"/>
      <c r="M38" s="135"/>
      <c r="N38" s="136"/>
      <c r="O38" s="135"/>
      <c r="P38" s="134" t="n">
        <v>2.056</v>
      </c>
      <c r="Q38" s="134"/>
      <c r="R38" s="134"/>
      <c r="S38" s="186" t="n">
        <v>89.4</v>
      </c>
      <c r="T38" s="34" t="n">
        <v>0.009</v>
      </c>
      <c r="U38" s="34" t="n">
        <v>0.0087947046809503</v>
      </c>
      <c r="V38" s="134"/>
      <c r="W38" s="134"/>
      <c r="X38" s="34" t="n">
        <v>30.101</v>
      </c>
      <c r="Y38" s="34" t="n">
        <v>29.4143784001428</v>
      </c>
      <c r="Z38" s="34" t="n">
        <v>1.846</v>
      </c>
      <c r="AA38" s="34" t="n">
        <v>1.80389164900381</v>
      </c>
      <c r="AB38" s="34" t="n">
        <v>12.51</v>
      </c>
      <c r="AC38" s="34" t="n">
        <v>12.2246395065209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35.8061</v>
      </c>
      <c r="H39" s="124" t="n">
        <v>100</v>
      </c>
      <c r="I39" s="192" t="n">
        <v>100</v>
      </c>
      <c r="J39" s="134"/>
      <c r="K39" s="135"/>
      <c r="L39" s="135"/>
      <c r="M39" s="135"/>
      <c r="N39" s="136"/>
      <c r="O39" s="135"/>
      <c r="P39" s="134" t="n">
        <v>3.168</v>
      </c>
      <c r="Q39" s="134"/>
      <c r="R39" s="134"/>
      <c r="S39" s="186" t="n">
        <v>137.8</v>
      </c>
      <c r="T39" s="34" t="n">
        <v>0.034</v>
      </c>
      <c r="U39" s="34" t="n">
        <v>0.0332244399058122</v>
      </c>
      <c r="V39" s="134"/>
      <c r="W39" s="134"/>
      <c r="X39" s="34" t="n">
        <v>13.716</v>
      </c>
      <c r="Y39" s="34" t="n">
        <v>13.4031299337683</v>
      </c>
      <c r="Z39" s="34" t="n">
        <v>0.956</v>
      </c>
      <c r="AA39" s="34" t="n">
        <v>0.93419307499872</v>
      </c>
      <c r="AB39" s="34" t="n">
        <v>4.21</v>
      </c>
      <c r="AC39" s="34" t="n">
        <v>4.11396741186675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35.8695</v>
      </c>
      <c r="H40" s="124" t="n">
        <v>80</v>
      </c>
      <c r="I40" s="192" t="n">
        <v>80</v>
      </c>
      <c r="J40" s="134"/>
      <c r="K40" s="135"/>
      <c r="L40" s="135"/>
      <c r="M40" s="135"/>
      <c r="N40" s="136"/>
      <c r="O40" s="135"/>
      <c r="P40" s="134" t="n">
        <v>3.176</v>
      </c>
      <c r="Q40" s="134"/>
      <c r="R40" s="134"/>
      <c r="S40" s="186" t="n">
        <v>138.2</v>
      </c>
      <c r="T40" s="34" t="n">
        <v>0.106</v>
      </c>
      <c r="U40" s="34" t="n">
        <v>0.103582077353415</v>
      </c>
      <c r="V40" s="134"/>
      <c r="W40" s="134"/>
      <c r="X40" s="34" t="n">
        <v>12.784</v>
      </c>
      <c r="Y40" s="34" t="n">
        <v>12.4923894045854</v>
      </c>
      <c r="Z40" s="34" t="n">
        <v>0.927</v>
      </c>
      <c r="AA40" s="34" t="n">
        <v>0.90585458213788</v>
      </c>
      <c r="AB40" s="34" t="n">
        <v>4.08</v>
      </c>
      <c r="AC40" s="34" t="n">
        <v>3.98693278869747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35.9573</v>
      </c>
      <c r="H41" s="124" t="n">
        <v>60</v>
      </c>
      <c r="I41" s="192" t="n">
        <v>59</v>
      </c>
      <c r="J41" s="134"/>
      <c r="K41" s="135"/>
      <c r="L41" s="135"/>
      <c r="M41" s="135"/>
      <c r="N41" s="136"/>
      <c r="O41" s="135"/>
      <c r="P41" s="134" t="n">
        <v>3.349</v>
      </c>
      <c r="Q41" s="134"/>
      <c r="R41" s="134"/>
      <c r="S41" s="186" t="n">
        <v>145.8</v>
      </c>
      <c r="T41" s="34" t="n">
        <v>0.268</v>
      </c>
      <c r="U41" s="34" t="n">
        <v>0.26188676161052</v>
      </c>
      <c r="V41" s="134"/>
      <c r="W41" s="134"/>
      <c r="X41" s="34" t="n">
        <v>10.762</v>
      </c>
      <c r="Y41" s="34" t="n">
        <v>10.5165124195986</v>
      </c>
      <c r="Z41" s="34" t="n">
        <v>0.802</v>
      </c>
      <c r="AA41" s="34" t="n">
        <v>0.783705906013571</v>
      </c>
      <c r="AB41" s="34" t="n">
        <v>3.19</v>
      </c>
      <c r="AC41" s="34" t="n">
        <v>3.11723421469238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35.3834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34" t="n">
        <v>4.472</v>
      </c>
      <c r="Q42" s="134"/>
      <c r="R42" s="134"/>
      <c r="S42" s="186" t="n">
        <v>195.1</v>
      </c>
      <c r="T42" s="34" t="n">
        <v>0.009</v>
      </c>
      <c r="U42" s="34" t="n">
        <v>0.0087947046809503</v>
      </c>
      <c r="V42" s="134"/>
      <c r="W42" s="134"/>
      <c r="X42" s="34" t="n">
        <v>0.101</v>
      </c>
      <c r="Y42" s="34" t="n">
        <v>0.0986961303084422</v>
      </c>
      <c r="Z42" s="34" t="n">
        <v>0.08</v>
      </c>
      <c r="AA42" s="34" t="n">
        <v>0.0781751527195582</v>
      </c>
      <c r="AB42" s="34" t="n">
        <v>0.73</v>
      </c>
      <c r="AC42" s="34" t="n">
        <v>0.713348268565969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34.4239</v>
      </c>
      <c r="H43" s="124" t="n">
        <v>20</v>
      </c>
      <c r="I43" s="192" t="n">
        <v>21</v>
      </c>
      <c r="J43" s="134"/>
      <c r="K43" s="135"/>
      <c r="L43" s="135"/>
      <c r="M43" s="135"/>
      <c r="N43" s="136"/>
      <c r="O43" s="135"/>
      <c r="P43" s="134" t="n">
        <v>4.329</v>
      </c>
      <c r="Q43" s="134"/>
      <c r="R43" s="134"/>
      <c r="S43" s="186" t="n">
        <v>189.1</v>
      </c>
      <c r="T43" s="34" t="n">
        <v>0.004</v>
      </c>
      <c r="U43" s="34" t="n">
        <v>0.00390875763597791</v>
      </c>
      <c r="V43" s="134"/>
      <c r="W43" s="134"/>
      <c r="X43" s="34" t="n">
        <v>0.066</v>
      </c>
      <c r="Y43" s="34" t="n">
        <v>0.0644945009936355</v>
      </c>
      <c r="Z43" s="34" t="n">
        <v>0.00600000000000001</v>
      </c>
      <c r="AA43" s="34" t="n">
        <v>0.00586313645396687</v>
      </c>
      <c r="AB43" s="34" t="n">
        <v>0.52</v>
      </c>
      <c r="AC43" s="34" t="n">
        <v>0.508138492677128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34.4132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4.474</v>
      </c>
      <c r="Q44" s="134"/>
      <c r="R44" s="134"/>
      <c r="S44" s="186" t="n">
        <v>195.4</v>
      </c>
      <c r="T44" s="34" t="n">
        <v>0.008</v>
      </c>
      <c r="U44" s="34" t="n">
        <v>0.00781751527195582</v>
      </c>
      <c r="V44" s="134"/>
      <c r="W44" s="134"/>
      <c r="X44" s="34" t="n">
        <v>0</v>
      </c>
      <c r="Y44" s="34" t="n">
        <v>0</v>
      </c>
      <c r="Z44" s="34" t="n">
        <v>0</v>
      </c>
      <c r="AA44" s="34" t="n">
        <v>0</v>
      </c>
      <c r="AB44" s="34" t="n">
        <v>0.58</v>
      </c>
      <c r="AC44" s="34" t="n">
        <v>0.566769857216797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34.4122</v>
      </c>
      <c r="H45" s="124" t="n">
        <v>0</v>
      </c>
      <c r="I45" s="193" t="n">
        <v>1.5</v>
      </c>
      <c r="J45" s="134"/>
      <c r="K45" s="135"/>
      <c r="L45" s="135"/>
      <c r="M45" s="135"/>
      <c r="N45" s="136"/>
      <c r="O45" s="135"/>
      <c r="P45" s="134" t="n">
        <v>4.413</v>
      </c>
      <c r="Q45" s="134"/>
      <c r="R45" s="134"/>
      <c r="S45" s="186" t="n">
        <v>192.7</v>
      </c>
      <c r="T45" s="34" t="n">
        <v>0</v>
      </c>
      <c r="U45" s="34" t="n">
        <v>0</v>
      </c>
      <c r="V45" s="134"/>
      <c r="W45" s="134"/>
      <c r="X45" s="34" t="n">
        <v>0</v>
      </c>
      <c r="Y45" s="34" t="n">
        <v>0</v>
      </c>
      <c r="Z45" s="34" t="n">
        <v>0</v>
      </c>
      <c r="AA45" s="34" t="n">
        <v>0</v>
      </c>
      <c r="AB45" s="34" t="n">
        <v>0.7</v>
      </c>
      <c r="AC45" s="34" t="n">
        <v>0.684032586296134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0.24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2°0,24</v>
      </c>
      <c r="P9" s="31" t="s">
        <v>13</v>
      </c>
      <c r="Q9" s="35" t="n">
        <f aca="false">IF(ISBLANK(I9),"",IF(ISBLANK(J9),"",IF(J9&gt;60,"ERREUR !!",O11*(I9+(J9/60)))))</f>
        <v>2.004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20.12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2°20,12</v>
      </c>
      <c r="P10" s="31" t="s">
        <v>14</v>
      </c>
      <c r="Q10" s="35" t="n">
        <f aca="false">IF(ISBLANK(I10),"",IF(ISBLANK(J10),"",IF(J10&gt;60,"ERREUR !!",O12*(I10+(J10/60)))))</f>
        <v>2.33533333333333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37786</v>
      </c>
      <c r="K11" s="40"/>
      <c r="L11" s="40"/>
      <c r="M11" s="40"/>
      <c r="N11" s="41" t="str">
        <f aca="false">I9&amp;"°"&amp;J9</f>
        <v>2°0,24</v>
      </c>
      <c r="O11" s="42" t="n">
        <f aca="false">IF(P9=M10,-1,1)</f>
        <v>1</v>
      </c>
      <c r="P11" s="43" t="str">
        <f aca="false">TEXT(J11,"aaaa-mm-jj")&amp;"T"&amp;TEXT(J12,"hh:mm:ss")&amp;"z"</f>
        <v>2007-06-15T01:00:00z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0.0416666666666667</v>
      </c>
      <c r="K12" s="48"/>
      <c r="L12" s="48"/>
      <c r="M12" s="48"/>
      <c r="N12" s="49" t="str">
        <f aca="false">I10&amp;"°"&amp;J10</f>
        <v>2°20,12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34.6502</v>
      </c>
      <c r="H35" s="123" t="n">
        <v>1000</v>
      </c>
      <c r="I35" s="192" t="n">
        <v>1002</v>
      </c>
      <c r="J35" s="125"/>
      <c r="K35" s="126"/>
      <c r="L35" s="126"/>
      <c r="M35" s="126"/>
      <c r="N35" s="127"/>
      <c r="O35" s="126"/>
      <c r="P35" s="125" t="n">
        <v>3.483</v>
      </c>
      <c r="Q35" s="125"/>
      <c r="R35" s="125"/>
      <c r="S35" s="184" t="n">
        <v>151.4</v>
      </c>
      <c r="T35" s="34" t="n">
        <v>0.011</v>
      </c>
      <c r="U35" s="34" t="n">
        <v>0.0107490834989393</v>
      </c>
      <c r="V35" s="125"/>
      <c r="W35" s="125"/>
      <c r="X35" s="34" t="n">
        <v>33.299</v>
      </c>
      <c r="Y35" s="34" t="n">
        <v>32.5394301301071</v>
      </c>
      <c r="Z35" s="34" t="n">
        <v>2.191</v>
      </c>
      <c r="AA35" s="34" t="n">
        <v>2.1410219951069</v>
      </c>
      <c r="AB35" s="34" t="n">
        <v>31.28</v>
      </c>
      <c r="AC35" s="34" t="n">
        <v>30.5664847133473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22" t="n">
        <v>34.596</v>
      </c>
      <c r="H36" s="123" t="n">
        <v>600</v>
      </c>
      <c r="I36" s="192" t="n">
        <v>598</v>
      </c>
      <c r="J36" s="134"/>
      <c r="K36" s="135"/>
      <c r="L36" s="135"/>
      <c r="M36" s="135"/>
      <c r="N36" s="136"/>
      <c r="O36" s="135"/>
      <c r="P36" s="134" t="n">
        <v>2.476</v>
      </c>
      <c r="Q36" s="134"/>
      <c r="R36" s="134"/>
      <c r="S36" s="186" t="n">
        <v>107.7</v>
      </c>
      <c r="T36" s="34" t="n">
        <v>0.015</v>
      </c>
      <c r="U36" s="34" t="n">
        <v>0.0146578411349172</v>
      </c>
      <c r="V36" s="134"/>
      <c r="W36" s="134"/>
      <c r="X36" s="34" t="n">
        <v>36.375</v>
      </c>
      <c r="Y36" s="34" t="n">
        <v>35.5452647521741</v>
      </c>
      <c r="Z36" s="34" t="n">
        <v>2.297</v>
      </c>
      <c r="AA36" s="34" t="n">
        <v>2.24460407246031</v>
      </c>
      <c r="AB36" s="34" t="n">
        <v>23.8</v>
      </c>
      <c r="AC36" s="34" t="n">
        <v>23.2571079340686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82" t="n">
        <v>34.5973</v>
      </c>
      <c r="H37" s="123" t="n">
        <v>600</v>
      </c>
      <c r="I37" s="192" t="n">
        <v>599</v>
      </c>
      <c r="J37" s="134"/>
      <c r="K37" s="135"/>
      <c r="L37" s="135"/>
      <c r="M37" s="135"/>
      <c r="N37" s="136"/>
      <c r="O37" s="135"/>
      <c r="P37" s="134" t="n">
        <v>2.463</v>
      </c>
      <c r="Q37" s="134"/>
      <c r="R37" s="134"/>
      <c r="S37" s="186" t="n">
        <v>107.1</v>
      </c>
      <c r="T37" s="34" t="n">
        <v>0.012</v>
      </c>
      <c r="U37" s="34" t="n">
        <v>0.0117262729079337</v>
      </c>
      <c r="V37" s="134"/>
      <c r="W37" s="134"/>
      <c r="X37" s="34" t="n">
        <v>36.248</v>
      </c>
      <c r="Y37" s="34" t="n">
        <v>35.4211616972318</v>
      </c>
      <c r="Z37" s="34" t="n">
        <v>2.299</v>
      </c>
      <c r="AA37" s="34" t="n">
        <v>2.2465584512783</v>
      </c>
      <c r="AB37" s="34" t="n">
        <v>23.31</v>
      </c>
      <c r="AC37" s="34" t="n">
        <v>22.7782851236613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34.9336</v>
      </c>
      <c r="H38" s="124" t="n">
        <v>300</v>
      </c>
      <c r="I38" s="192" t="n">
        <v>301</v>
      </c>
      <c r="J38" s="134"/>
      <c r="K38" s="135"/>
      <c r="L38" s="135"/>
      <c r="M38" s="135"/>
      <c r="N38" s="136"/>
      <c r="O38" s="135"/>
      <c r="P38" s="134" t="n">
        <v>2.084</v>
      </c>
      <c r="Q38" s="134"/>
      <c r="R38" s="134"/>
      <c r="S38" s="186" t="n">
        <v>90.6</v>
      </c>
      <c r="T38" s="34" t="n">
        <v>0.009</v>
      </c>
      <c r="U38" s="34" t="n">
        <v>0.0087947046809503</v>
      </c>
      <c r="V38" s="134"/>
      <c r="W38" s="134"/>
      <c r="X38" s="34" t="n">
        <v>30.521</v>
      </c>
      <c r="Y38" s="34" t="n">
        <v>29.8247979519204</v>
      </c>
      <c r="Z38" s="34" t="n">
        <v>1.791</v>
      </c>
      <c r="AA38" s="34" t="n">
        <v>1.75014623150911</v>
      </c>
      <c r="AB38" s="34" t="n">
        <v>12.62</v>
      </c>
      <c r="AC38" s="34" t="n">
        <v>12.3321303415103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35.8284</v>
      </c>
      <c r="H39" s="124" t="n">
        <v>100</v>
      </c>
      <c r="I39" s="192" t="n">
        <v>100</v>
      </c>
      <c r="J39" s="134"/>
      <c r="K39" s="135"/>
      <c r="L39" s="135"/>
      <c r="M39" s="135"/>
      <c r="N39" s="136"/>
      <c r="O39" s="135"/>
      <c r="P39" s="134" t="n">
        <v>3.276</v>
      </c>
      <c r="Q39" s="134"/>
      <c r="R39" s="134"/>
      <c r="S39" s="186" t="n">
        <v>142.6</v>
      </c>
      <c r="T39" s="34" t="n">
        <v>0.059</v>
      </c>
      <c r="U39" s="34" t="n">
        <v>0.0576541751306742</v>
      </c>
      <c r="V39" s="134"/>
      <c r="W39" s="134"/>
      <c r="X39" s="34" t="n">
        <v>12.981</v>
      </c>
      <c r="Y39" s="34" t="n">
        <v>12.6848957181573</v>
      </c>
      <c r="Z39" s="34" t="n">
        <v>0.927</v>
      </c>
      <c r="AA39" s="34" t="n">
        <v>0.90585458213788</v>
      </c>
      <c r="AB39" s="34" t="n">
        <v>4.02</v>
      </c>
      <c r="AC39" s="34" t="n">
        <v>3.9283014241578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35.9446</v>
      </c>
      <c r="H40" s="124" t="n">
        <v>80</v>
      </c>
      <c r="I40" s="192" t="n">
        <v>77</v>
      </c>
      <c r="J40" s="134"/>
      <c r="K40" s="135"/>
      <c r="L40" s="135"/>
      <c r="M40" s="135"/>
      <c r="N40" s="136"/>
      <c r="O40" s="135"/>
      <c r="P40" s="134" t="n">
        <v>3.353</v>
      </c>
      <c r="Q40" s="134"/>
      <c r="R40" s="134"/>
      <c r="S40" s="186" t="n">
        <v>145.9</v>
      </c>
      <c r="T40" s="34" t="n">
        <v>0.118</v>
      </c>
      <c r="U40" s="34" t="n">
        <v>0.115308350261348</v>
      </c>
      <c r="V40" s="134"/>
      <c r="W40" s="134"/>
      <c r="X40" s="34" t="n">
        <v>11.542</v>
      </c>
      <c r="Y40" s="34" t="n">
        <v>11.2787201586143</v>
      </c>
      <c r="Z40" s="34" t="n">
        <v>0.84</v>
      </c>
      <c r="AA40" s="34" t="n">
        <v>0.820839103555361</v>
      </c>
      <c r="AB40" s="34" t="n">
        <v>3.26</v>
      </c>
      <c r="AC40" s="34" t="n">
        <v>3.185637473322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36.0622</v>
      </c>
      <c r="H41" s="124" t="n">
        <v>60</v>
      </c>
      <c r="I41" s="192" t="n">
        <v>58</v>
      </c>
      <c r="J41" s="134"/>
      <c r="K41" s="135"/>
      <c r="L41" s="135"/>
      <c r="M41" s="135"/>
      <c r="N41" s="136"/>
      <c r="O41" s="135"/>
      <c r="P41" s="134" t="n">
        <v>3.394</v>
      </c>
      <c r="Q41" s="134"/>
      <c r="R41" s="134"/>
      <c r="S41" s="186" t="n">
        <v>147.8</v>
      </c>
      <c r="T41" s="34" t="n">
        <v>0.244</v>
      </c>
      <c r="U41" s="34" t="n">
        <v>0.238434215794652</v>
      </c>
      <c r="V41" s="134"/>
      <c r="W41" s="134"/>
      <c r="X41" s="34" t="n">
        <v>9.186</v>
      </c>
      <c r="Y41" s="34" t="n">
        <v>8.97646191102327</v>
      </c>
      <c r="Z41" s="34" t="n">
        <v>0.695</v>
      </c>
      <c r="AA41" s="34" t="n">
        <v>0.679146639251162</v>
      </c>
      <c r="AB41" s="34" t="n">
        <v>2.68</v>
      </c>
      <c r="AC41" s="34" t="n">
        <v>2.6188676161052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35.9737</v>
      </c>
      <c r="H42" s="124" t="n">
        <v>40</v>
      </c>
      <c r="I42" s="192" t="n">
        <v>41</v>
      </c>
      <c r="J42" s="134"/>
      <c r="K42" s="135"/>
      <c r="L42" s="135"/>
      <c r="M42" s="135"/>
      <c r="N42" s="136"/>
      <c r="O42" s="135"/>
      <c r="P42" s="134" t="n">
        <v>4.407</v>
      </c>
      <c r="Q42" s="134"/>
      <c r="R42" s="134"/>
      <c r="S42" s="186" t="n">
        <v>192.1</v>
      </c>
      <c r="T42" s="34" t="n">
        <v>0.014</v>
      </c>
      <c r="U42" s="34" t="n">
        <v>0.0136806517259227</v>
      </c>
      <c r="V42" s="134"/>
      <c r="W42" s="134"/>
      <c r="X42" s="34" t="n">
        <v>0.236</v>
      </c>
      <c r="Y42" s="34" t="n">
        <v>0.230616700522697</v>
      </c>
      <c r="Z42" s="34" t="n">
        <v>0.126</v>
      </c>
      <c r="AA42" s="34" t="n">
        <v>0.123125865533304</v>
      </c>
      <c r="AB42" s="34" t="n">
        <v>0.67</v>
      </c>
      <c r="AC42" s="34" t="n">
        <v>0.6547169040263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34.841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34" t="n">
        <v>4.401</v>
      </c>
      <c r="Q43" s="134"/>
      <c r="R43" s="134"/>
      <c r="S43" s="186" t="n">
        <v>192.2</v>
      </c>
      <c r="T43" s="34" t="n">
        <v>0.009</v>
      </c>
      <c r="U43" s="34" t="n">
        <v>0.0087947046809503</v>
      </c>
      <c r="V43" s="134"/>
      <c r="W43" s="134"/>
      <c r="X43" s="34" t="n">
        <v>0.091</v>
      </c>
      <c r="Y43" s="34" t="n">
        <v>0.0889242362184974</v>
      </c>
      <c r="Z43" s="34" t="n">
        <v>0</v>
      </c>
      <c r="AA43" s="34" t="n">
        <v>0</v>
      </c>
      <c r="AB43" s="34" t="n">
        <v>0.2</v>
      </c>
      <c r="AC43" s="34" t="n">
        <v>0.195437881798895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34.812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4.395</v>
      </c>
      <c r="Q44" s="134"/>
      <c r="R44" s="134"/>
      <c r="S44" s="186" t="n">
        <v>192</v>
      </c>
      <c r="T44" s="34" t="n">
        <v>0.012</v>
      </c>
      <c r="U44" s="34" t="n">
        <v>0.0117262729079337</v>
      </c>
      <c r="V44" s="134"/>
      <c r="W44" s="134"/>
      <c r="X44" s="34" t="n">
        <v>0.118</v>
      </c>
      <c r="Y44" s="34" t="n">
        <v>0.115308350261348</v>
      </c>
      <c r="Z44" s="34" t="n">
        <v>0</v>
      </c>
      <c r="AA44" s="34" t="n">
        <v>0</v>
      </c>
      <c r="AB44" s="34" t="n">
        <v>0.19</v>
      </c>
      <c r="AC44" s="34" t="n">
        <v>0.185665987708951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34.8121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4.394</v>
      </c>
      <c r="Q45" s="134"/>
      <c r="R45" s="134"/>
      <c r="S45" s="186" t="n">
        <v>191.9</v>
      </c>
      <c r="T45" s="34" t="n">
        <v>0.018</v>
      </c>
      <c r="U45" s="34" t="n">
        <v>0.0175894093619006</v>
      </c>
      <c r="V45" s="134"/>
      <c r="W45" s="134"/>
      <c r="X45" s="34" t="n">
        <v>0.112</v>
      </c>
      <c r="Y45" s="34" t="n">
        <v>0.109445213807381</v>
      </c>
      <c r="Z45" s="34" t="n">
        <v>0</v>
      </c>
      <c r="AA45" s="34" t="n">
        <v>0</v>
      </c>
      <c r="AB45" s="34" t="n">
        <v>0.3</v>
      </c>
      <c r="AC45" s="34" t="n">
        <v>0.293156822698343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45" activeCellId="0" sqref="W4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30.24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2°30,24</v>
      </c>
      <c r="P9" s="31" t="s">
        <v>13</v>
      </c>
      <c r="Q9" s="35" t="n">
        <f aca="false">IF(ISBLANK(I9),"",IF(ISBLANK(J9),"",IF(J9&gt;60,"ERREUR !!",O11*(I9+(J9/60)))))</f>
        <v>2.504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20.25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2°20,25</v>
      </c>
      <c r="P10" s="31" t="s">
        <v>14</v>
      </c>
      <c r="Q10" s="35" t="n">
        <f aca="false">IF(ISBLANK(I10),"",IF(ISBLANK(J10),"",IF(J10&gt;60,"ERREUR !!",O12*(I10+(J10/60)))))</f>
        <v>2.3375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37786</v>
      </c>
      <c r="K11" s="40"/>
      <c r="L11" s="40"/>
      <c r="M11" s="40"/>
      <c r="N11" s="41" t="str">
        <f aca="false">I9&amp;"°"&amp;J9</f>
        <v>2°30,24</v>
      </c>
      <c r="O11" s="42" t="n">
        <f aca="false">IF(P9=M10,-1,1)</f>
        <v>1</v>
      </c>
      <c r="P11" s="43" t="str">
        <f aca="false">TEXT(J11,"aaaa-mm-jj")&amp;"T"&amp;TEXT(J12,"hh:mm:ss")&amp;"z"</f>
        <v>2007-06-15T05:00:00z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0.208333333333333</v>
      </c>
      <c r="K12" s="48"/>
      <c r="L12" s="48"/>
      <c r="M12" s="48"/>
      <c r="N12" s="49" t="str">
        <f aca="false">I10&amp;"°"&amp;J10</f>
        <v>2°20,25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34.6431</v>
      </c>
      <c r="H35" s="123" t="n">
        <v>1000</v>
      </c>
      <c r="I35" s="192" t="n">
        <v>1001</v>
      </c>
      <c r="J35" s="125"/>
      <c r="K35" s="126"/>
      <c r="L35" s="126"/>
      <c r="M35" s="126"/>
      <c r="N35" s="127"/>
      <c r="O35" s="126"/>
      <c r="P35" s="125" t="n">
        <v>3.35</v>
      </c>
      <c r="Q35" s="125"/>
      <c r="R35" s="125"/>
      <c r="S35" s="184" t="n">
        <v>145.6</v>
      </c>
      <c r="T35" s="34" t="n">
        <v>0.002</v>
      </c>
      <c r="U35" s="34" t="n">
        <v>0.00195437881798896</v>
      </c>
      <c r="V35" s="125"/>
      <c r="W35" s="125"/>
      <c r="X35" s="34" t="n">
        <v>33.808</v>
      </c>
      <c r="Y35" s="34" t="n">
        <v>33.0368195392853</v>
      </c>
      <c r="Z35" s="34" t="n">
        <v>2.188</v>
      </c>
      <c r="AA35" s="34" t="n">
        <v>2.13809042687992</v>
      </c>
      <c r="AB35" s="34" t="n">
        <v>30.9</v>
      </c>
      <c r="AC35" s="34" t="n">
        <v>30.1951527379294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34.5723</v>
      </c>
      <c r="H36" s="123" t="n">
        <v>600</v>
      </c>
      <c r="I36" s="192" t="n">
        <v>602</v>
      </c>
      <c r="J36" s="134"/>
      <c r="K36" s="135"/>
      <c r="L36" s="135"/>
      <c r="M36" s="135"/>
      <c r="N36" s="136"/>
      <c r="O36" s="135"/>
      <c r="P36" s="134" t="n">
        <v>2.574</v>
      </c>
      <c r="Q36" s="134"/>
      <c r="R36" s="134"/>
      <c r="S36" s="186" t="n">
        <v>111.9</v>
      </c>
      <c r="T36" s="34" t="n">
        <v>0.007</v>
      </c>
      <c r="U36" s="34" t="n">
        <v>0.00684032586296134</v>
      </c>
      <c r="V36" s="134"/>
      <c r="W36" s="134"/>
      <c r="X36" s="34" t="n">
        <v>36.543</v>
      </c>
      <c r="Y36" s="34" t="n">
        <v>35.7094325728852</v>
      </c>
      <c r="Z36" s="34" t="n">
        <v>2.305</v>
      </c>
      <c r="AA36" s="34" t="n">
        <v>2.25242158773227</v>
      </c>
      <c r="AB36" s="34" t="n">
        <v>24.57</v>
      </c>
      <c r="AC36" s="34" t="n">
        <v>24.0095437789943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82" t="n">
        <v>34.9684</v>
      </c>
      <c r="H37" s="124" t="n">
        <v>300</v>
      </c>
      <c r="I37" s="192" t="n">
        <v>298</v>
      </c>
      <c r="J37" s="134"/>
      <c r="K37" s="135"/>
      <c r="L37" s="135"/>
      <c r="M37" s="135"/>
      <c r="N37" s="136"/>
      <c r="O37" s="135"/>
      <c r="P37" s="134" t="n">
        <v>1.848</v>
      </c>
      <c r="Q37" s="134"/>
      <c r="R37" s="134"/>
      <c r="S37" s="186" t="n">
        <v>80.4</v>
      </c>
      <c r="T37" s="34" t="n">
        <v>0.005</v>
      </c>
      <c r="U37" s="34" t="n">
        <v>0.00488594704497239</v>
      </c>
      <c r="V37" s="134"/>
      <c r="W37" s="134"/>
      <c r="X37" s="34" t="n">
        <v>30.985</v>
      </c>
      <c r="Y37" s="34" t="n">
        <v>30.2782138376939</v>
      </c>
      <c r="Z37" s="34" t="n">
        <v>1.905</v>
      </c>
      <c r="AA37" s="34" t="n">
        <v>1.86154582413448</v>
      </c>
      <c r="AB37" s="34" t="n">
        <v>13.44</v>
      </c>
      <c r="AC37" s="34" t="n">
        <v>13.1334256568858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22" t="n">
        <v>34.9685</v>
      </c>
      <c r="H38" s="124" t="n">
        <v>300</v>
      </c>
      <c r="I38" s="192" t="n">
        <v>298</v>
      </c>
      <c r="J38" s="134"/>
      <c r="K38" s="135"/>
      <c r="L38" s="135"/>
      <c r="M38" s="135"/>
      <c r="N38" s="136"/>
      <c r="O38" s="135"/>
      <c r="P38" s="134" t="n">
        <v>1.83</v>
      </c>
      <c r="Q38" s="134"/>
      <c r="R38" s="134"/>
      <c r="S38" s="186" t="n">
        <v>79.6</v>
      </c>
      <c r="T38" s="34" t="n">
        <v>0.006</v>
      </c>
      <c r="U38" s="34" t="n">
        <v>0.00586313645396686</v>
      </c>
      <c r="V38" s="134"/>
      <c r="W38" s="134"/>
      <c r="X38" s="34" t="n">
        <v>30.944</v>
      </c>
      <c r="Y38" s="34" t="n">
        <v>30.2381490719251</v>
      </c>
      <c r="Z38" s="34" t="n">
        <v>1.868</v>
      </c>
      <c r="AA38" s="34" t="n">
        <v>1.82538981600168</v>
      </c>
      <c r="AB38" s="34" t="n">
        <v>12.15</v>
      </c>
      <c r="AC38" s="34" t="n">
        <v>11.8728513192829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35.886</v>
      </c>
      <c r="H39" s="124" t="n">
        <v>100</v>
      </c>
      <c r="I39" s="192" t="n">
        <v>98</v>
      </c>
      <c r="J39" s="134"/>
      <c r="K39" s="135"/>
      <c r="L39" s="135"/>
      <c r="M39" s="135"/>
      <c r="N39" s="136"/>
      <c r="O39" s="135"/>
      <c r="P39" s="134" t="n">
        <v>3.256</v>
      </c>
      <c r="Q39" s="134"/>
      <c r="R39" s="134"/>
      <c r="S39" s="186" t="n">
        <v>141.7</v>
      </c>
      <c r="T39" s="34" t="n">
        <v>0.018</v>
      </c>
      <c r="U39" s="34" t="n">
        <v>0.0175894093619006</v>
      </c>
      <c r="V39" s="134"/>
      <c r="W39" s="134"/>
      <c r="X39" s="34" t="n">
        <v>12.572</v>
      </c>
      <c r="Y39" s="34" t="n">
        <v>12.2852252498786</v>
      </c>
      <c r="Z39" s="34" t="n">
        <v>0.878</v>
      </c>
      <c r="AA39" s="34" t="n">
        <v>0.857972301097151</v>
      </c>
      <c r="AB39" s="34" t="n">
        <v>3.84</v>
      </c>
      <c r="AC39" s="34" t="n">
        <v>3.75240733053879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36.0329</v>
      </c>
      <c r="H40" s="124" t="n">
        <v>80</v>
      </c>
      <c r="I40" s="192" t="n">
        <v>80</v>
      </c>
      <c r="J40" s="134"/>
      <c r="K40" s="135"/>
      <c r="L40" s="135"/>
      <c r="M40" s="135"/>
      <c r="N40" s="136"/>
      <c r="O40" s="135"/>
      <c r="P40" s="134" t="n">
        <v>3.362</v>
      </c>
      <c r="Q40" s="134"/>
      <c r="R40" s="134"/>
      <c r="S40" s="186" t="n">
        <v>146.4</v>
      </c>
      <c r="T40" s="34" t="n">
        <v>0.048</v>
      </c>
      <c r="U40" s="34" t="n">
        <v>0.0469050916317349</v>
      </c>
      <c r="V40" s="134"/>
      <c r="W40" s="134"/>
      <c r="X40" s="34" t="n">
        <v>10.682</v>
      </c>
      <c r="Y40" s="34" t="n">
        <v>10.438337266879</v>
      </c>
      <c r="Z40" s="34" t="n">
        <v>0.779</v>
      </c>
      <c r="AA40" s="34" t="n">
        <v>0.761230549606698</v>
      </c>
      <c r="AB40" s="34" t="n">
        <v>3.13</v>
      </c>
      <c r="AC40" s="34" t="n">
        <v>3.05860285015271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36.295</v>
      </c>
      <c r="H41" s="124" t="n">
        <v>60</v>
      </c>
      <c r="I41" s="192" t="n">
        <v>60</v>
      </c>
      <c r="J41" s="134"/>
      <c r="K41" s="135"/>
      <c r="L41" s="135"/>
      <c r="M41" s="135"/>
      <c r="N41" s="136"/>
      <c r="O41" s="135"/>
      <c r="P41" s="134" t="n">
        <v>3.973</v>
      </c>
      <c r="Q41" s="134"/>
      <c r="R41" s="134"/>
      <c r="S41" s="186" t="n">
        <v>173</v>
      </c>
      <c r="T41" s="34" t="n">
        <v>0.187</v>
      </c>
      <c r="U41" s="34" t="n">
        <v>0.182734419481967</v>
      </c>
      <c r="V41" s="134"/>
      <c r="W41" s="134"/>
      <c r="X41" s="34" t="n">
        <v>3.173</v>
      </c>
      <c r="Y41" s="34" t="n">
        <v>3.10062199473948</v>
      </c>
      <c r="Z41" s="34" t="n">
        <v>0.383</v>
      </c>
      <c r="AA41" s="34" t="n">
        <v>0.374263543644885</v>
      </c>
      <c r="AB41" s="34" t="n">
        <v>1.54</v>
      </c>
      <c r="AC41" s="34" t="n">
        <v>1.5048716898515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36.0558</v>
      </c>
      <c r="H42" s="124" t="n">
        <v>40</v>
      </c>
      <c r="I42" s="192" t="n">
        <v>40</v>
      </c>
      <c r="J42" s="134"/>
      <c r="K42" s="135"/>
      <c r="L42" s="135"/>
      <c r="M42" s="135"/>
      <c r="N42" s="136"/>
      <c r="O42" s="135"/>
      <c r="P42" s="134" t="n">
        <v>4.426</v>
      </c>
      <c r="Q42" s="134"/>
      <c r="R42" s="134"/>
      <c r="S42" s="186" t="n">
        <v>193</v>
      </c>
      <c r="T42" s="34" t="n">
        <v>0</v>
      </c>
      <c r="U42" s="34" t="n">
        <v>0</v>
      </c>
      <c r="V42" s="134"/>
      <c r="W42" s="134"/>
      <c r="X42" s="34" t="n">
        <v>0.02</v>
      </c>
      <c r="Y42" s="34" t="n">
        <v>0.0195437881798895</v>
      </c>
      <c r="Z42" s="34" t="n">
        <v>0.098</v>
      </c>
      <c r="AA42" s="34" t="n">
        <v>0.0957645620814588</v>
      </c>
      <c r="AB42" s="34" t="n">
        <v>0.54</v>
      </c>
      <c r="AC42" s="34" t="n">
        <v>0.527682280857018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34.7405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34" t="n">
        <v>4.393</v>
      </c>
      <c r="Q43" s="134"/>
      <c r="R43" s="134"/>
      <c r="S43" s="186" t="n">
        <v>191.9</v>
      </c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34.7383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4.384</v>
      </c>
      <c r="Q44" s="134"/>
      <c r="R44" s="134"/>
      <c r="S44" s="186" t="n">
        <v>191.5</v>
      </c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34.7386</v>
      </c>
      <c r="H45" s="124" t="n">
        <v>0</v>
      </c>
      <c r="I45" s="193" t="n">
        <v>1.4</v>
      </c>
      <c r="J45" s="134"/>
      <c r="K45" s="135"/>
      <c r="L45" s="135"/>
      <c r="M45" s="135"/>
      <c r="N45" s="136"/>
      <c r="O45" s="135"/>
      <c r="P45" s="134" t="n">
        <v>4.398</v>
      </c>
      <c r="Q45" s="134"/>
      <c r="R45" s="134"/>
      <c r="S45" s="186" t="n">
        <v>192.1</v>
      </c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7" activeCellId="0" sqref="S47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0.17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3°0,17</v>
      </c>
      <c r="P9" s="31" t="s">
        <v>13</v>
      </c>
      <c r="Q9" s="35" t="n">
        <f aca="false">IF(ISBLANK(I9),"",IF(ISBLANK(J9),"",IF(J9&gt;60,"ERREUR !!",O11*(I9+(J9/60)))))</f>
        <v>3.00283333333333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20.03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2°20,03</v>
      </c>
      <c r="P10" s="31" t="s">
        <v>14</v>
      </c>
      <c r="Q10" s="35" t="n">
        <f aca="false">IF(ISBLANK(I10),"",IF(ISBLANK(J10),"",IF(J10&gt;60,"ERREUR !!",O12*(I10+(J10/60)))))</f>
        <v>2.33383333333333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37786</v>
      </c>
      <c r="K11" s="40"/>
      <c r="L11" s="40"/>
      <c r="M11" s="40"/>
      <c r="N11" s="41" t="str">
        <f aca="false">I9&amp;"°"&amp;J9</f>
        <v>3°0,17</v>
      </c>
      <c r="O11" s="42" t="n">
        <f aca="false">IF(P9=M10,-1,1)</f>
        <v>1</v>
      </c>
      <c r="P11" s="43" t="str">
        <f aca="false">TEXT(J11,"aaaa-mm-jj")&amp;"T"&amp;TEXT(J12,"hh:mm:ss")&amp;"z"</f>
        <v>2007-06-15T09:00:00z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0.375</v>
      </c>
      <c r="K12" s="48"/>
      <c r="L12" s="48"/>
      <c r="M12" s="48"/>
      <c r="N12" s="49" t="str">
        <f aca="false">I10&amp;"°"&amp;J10</f>
        <v>2°20,03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34.6238</v>
      </c>
      <c r="H35" s="123" t="n">
        <v>1000</v>
      </c>
      <c r="I35" s="192" t="n">
        <v>1001</v>
      </c>
      <c r="J35" s="125"/>
      <c r="K35" s="126"/>
      <c r="L35" s="126"/>
      <c r="M35" s="126"/>
      <c r="N35" s="127"/>
      <c r="O35" s="126"/>
      <c r="P35" s="125" t="n">
        <v>3.258</v>
      </c>
      <c r="Q35" s="125"/>
      <c r="R35" s="125"/>
      <c r="S35" s="184" t="n">
        <v>141.6</v>
      </c>
      <c r="T35" s="34" t="n">
        <v>0</v>
      </c>
      <c r="U35" s="34" t="n">
        <v>0</v>
      </c>
      <c r="V35" s="125"/>
      <c r="W35" s="125"/>
      <c r="X35" s="34" t="n">
        <v>33.99</v>
      </c>
      <c r="Y35" s="34" t="n">
        <v>33.2146680117223</v>
      </c>
      <c r="Z35" s="34" t="n">
        <v>2.264</v>
      </c>
      <c r="AA35" s="34" t="n">
        <v>2.2123568219635</v>
      </c>
      <c r="AB35" s="34" t="n">
        <v>30.61</v>
      </c>
      <c r="AC35" s="34" t="n">
        <v>29.911767809321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34.5676</v>
      </c>
      <c r="H36" s="123" t="n">
        <v>600</v>
      </c>
      <c r="I36" s="192" t="n">
        <v>598</v>
      </c>
      <c r="J36" s="134"/>
      <c r="K36" s="135"/>
      <c r="L36" s="135"/>
      <c r="M36" s="135"/>
      <c r="N36" s="136"/>
      <c r="O36" s="135"/>
      <c r="P36" s="134" t="n">
        <v>2.665</v>
      </c>
      <c r="Q36" s="134"/>
      <c r="R36" s="134"/>
      <c r="S36" s="186" t="n">
        <v>115.9</v>
      </c>
      <c r="T36" s="34" t="n">
        <v>0.002</v>
      </c>
      <c r="U36" s="34" t="n">
        <v>0.00195437881798896</v>
      </c>
      <c r="V36" s="134"/>
      <c r="W36" s="134"/>
      <c r="X36" s="34" t="n">
        <v>35.788</v>
      </c>
      <c r="Y36" s="34" t="n">
        <v>34.9716545690944</v>
      </c>
      <c r="Z36" s="34" t="n">
        <v>2.329</v>
      </c>
      <c r="AA36" s="34" t="n">
        <v>2.27587413354814</v>
      </c>
      <c r="AB36" s="34" t="n">
        <v>23.77</v>
      </c>
      <c r="AC36" s="34" t="n">
        <v>23.2277922517987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34.9726</v>
      </c>
      <c r="H37" s="124" t="n">
        <v>300</v>
      </c>
      <c r="I37" s="192" t="n">
        <v>298.5</v>
      </c>
      <c r="J37" s="134"/>
      <c r="K37" s="135"/>
      <c r="L37" s="135"/>
      <c r="M37" s="135"/>
      <c r="N37" s="136"/>
      <c r="O37" s="135"/>
      <c r="P37" s="134" t="n">
        <v>1.44</v>
      </c>
      <c r="Q37" s="134"/>
      <c r="R37" s="134"/>
      <c r="S37" s="186" t="n">
        <v>62.6</v>
      </c>
      <c r="T37" s="34" t="n">
        <v>0.002</v>
      </c>
      <c r="U37" s="34" t="n">
        <v>0.00195437881798896</v>
      </c>
      <c r="V37" s="134"/>
      <c r="W37" s="134"/>
      <c r="X37" s="34" t="n">
        <v>32.788</v>
      </c>
      <c r="Y37" s="34" t="n">
        <v>32.0400863421109</v>
      </c>
      <c r="Z37" s="34" t="n">
        <v>1.997</v>
      </c>
      <c r="AA37" s="34" t="n">
        <v>1.95144724976197</v>
      </c>
      <c r="AB37" s="34" t="n">
        <v>12.99</v>
      </c>
      <c r="AC37" s="34" t="n">
        <v>12.6936904228383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22" t="n">
        <v>35.9406</v>
      </c>
      <c r="H38" s="124" t="n">
        <v>100</v>
      </c>
      <c r="I38" s="192" t="n">
        <v>99</v>
      </c>
      <c r="J38" s="134"/>
      <c r="K38" s="135"/>
      <c r="L38" s="135"/>
      <c r="M38" s="135"/>
      <c r="N38" s="136"/>
      <c r="O38" s="135"/>
      <c r="P38" s="134" t="n">
        <v>3.294</v>
      </c>
      <c r="Q38" s="134"/>
      <c r="R38" s="134"/>
      <c r="S38" s="186" t="n">
        <v>143.4</v>
      </c>
      <c r="T38" s="34" t="n">
        <v>0.025</v>
      </c>
      <c r="U38" s="34" t="n">
        <v>0.0244297352248619</v>
      </c>
      <c r="V38" s="134"/>
      <c r="W38" s="134"/>
      <c r="X38" s="34" t="n">
        <v>11.705</v>
      </c>
      <c r="Y38" s="34" t="n">
        <v>11.4380020322804</v>
      </c>
      <c r="Z38" s="34" t="n">
        <v>0.86</v>
      </c>
      <c r="AA38" s="34" t="n">
        <v>0.840382891735251</v>
      </c>
      <c r="AB38" s="34" t="n">
        <v>3.15</v>
      </c>
      <c r="AC38" s="34" t="n">
        <v>3.0781466383326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22" t="n">
        <v>35.9416</v>
      </c>
      <c r="H39" s="124" t="n">
        <v>100</v>
      </c>
      <c r="I39" s="192" t="n">
        <v>99</v>
      </c>
      <c r="J39" s="134"/>
      <c r="K39" s="135"/>
      <c r="L39" s="135"/>
      <c r="M39" s="135"/>
      <c r="N39" s="136"/>
      <c r="O39" s="135"/>
      <c r="P39" s="134" t="n">
        <v>3.288</v>
      </c>
      <c r="Q39" s="134"/>
      <c r="R39" s="134"/>
      <c r="S39" s="186" t="n">
        <v>143.1</v>
      </c>
      <c r="T39" s="34" t="n">
        <v>0.03</v>
      </c>
      <c r="U39" s="34" t="n">
        <v>0.0293156822698343</v>
      </c>
      <c r="V39" s="134"/>
      <c r="W39" s="134"/>
      <c r="X39" s="34" t="n">
        <v>11.93</v>
      </c>
      <c r="Y39" s="34" t="n">
        <v>11.6578696493041</v>
      </c>
      <c r="Z39" s="34" t="n">
        <v>0.864</v>
      </c>
      <c r="AA39" s="34" t="n">
        <v>0.844291649371229</v>
      </c>
      <c r="AB39" s="34" t="n">
        <v>3.15</v>
      </c>
      <c r="AC39" s="34" t="n">
        <v>3.0781466383326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36.0328</v>
      </c>
      <c r="H40" s="124" t="n">
        <v>80</v>
      </c>
      <c r="I40" s="192" t="n">
        <v>79</v>
      </c>
      <c r="J40" s="134"/>
      <c r="K40" s="135"/>
      <c r="L40" s="135"/>
      <c r="M40" s="135"/>
      <c r="N40" s="136"/>
      <c r="O40" s="135"/>
      <c r="P40" s="134" t="n">
        <v>3.241</v>
      </c>
      <c r="Q40" s="134"/>
      <c r="R40" s="134"/>
      <c r="S40" s="186" t="n">
        <v>141.1</v>
      </c>
      <c r="T40" s="34" t="n">
        <v>0.061</v>
      </c>
      <c r="U40" s="34" t="n">
        <v>0.0596085539486631</v>
      </c>
      <c r="V40" s="134"/>
      <c r="W40" s="134"/>
      <c r="X40" s="34" t="n">
        <v>10.889</v>
      </c>
      <c r="Y40" s="34" t="n">
        <v>10.6406154745409</v>
      </c>
      <c r="Z40" s="34" t="n">
        <v>0.797</v>
      </c>
      <c r="AA40" s="34" t="n">
        <v>0.778819958968599</v>
      </c>
      <c r="AB40" s="34" t="n">
        <v>2.83</v>
      </c>
      <c r="AC40" s="34" t="n">
        <v>2.76544602745437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36.1948</v>
      </c>
      <c r="H41" s="124" t="n">
        <v>60</v>
      </c>
      <c r="I41" s="192" t="n">
        <v>59</v>
      </c>
      <c r="J41" s="134"/>
      <c r="K41" s="135"/>
      <c r="L41" s="135"/>
      <c r="M41" s="135"/>
      <c r="N41" s="136"/>
      <c r="O41" s="135"/>
      <c r="P41" s="134" t="n">
        <v>3.554</v>
      </c>
      <c r="Q41" s="134"/>
      <c r="R41" s="134"/>
      <c r="S41" s="186" t="n">
        <v>154.8</v>
      </c>
      <c r="T41" s="34" t="n">
        <v>0.21</v>
      </c>
      <c r="U41" s="34" t="n">
        <v>0.20520977588884</v>
      </c>
      <c r="V41" s="134"/>
      <c r="W41" s="134"/>
      <c r="X41" s="34" t="n">
        <v>6.87</v>
      </c>
      <c r="Y41" s="34" t="n">
        <v>6.71329123979206</v>
      </c>
      <c r="Z41" s="34" t="n">
        <v>0.579</v>
      </c>
      <c r="AA41" s="34" t="n">
        <v>0.565792667807803</v>
      </c>
      <c r="AB41" s="34" t="n">
        <v>1.72</v>
      </c>
      <c r="AC41" s="34" t="n">
        <v>1.6807657834705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35.1935</v>
      </c>
      <c r="H42" s="124" t="n">
        <v>40</v>
      </c>
      <c r="I42" s="192" t="n">
        <v>38.8</v>
      </c>
      <c r="J42" s="134"/>
      <c r="K42" s="135"/>
      <c r="L42" s="135"/>
      <c r="M42" s="135"/>
      <c r="N42" s="136"/>
      <c r="O42" s="135"/>
      <c r="P42" s="134" t="n">
        <v>4.387</v>
      </c>
      <c r="Q42" s="134"/>
      <c r="R42" s="134"/>
      <c r="S42" s="186" t="n">
        <v>191.5</v>
      </c>
      <c r="T42" s="34" t="n">
        <v>0.018</v>
      </c>
      <c r="U42" s="34" t="n">
        <v>0.0175894093619006</v>
      </c>
      <c r="V42" s="134"/>
      <c r="W42" s="134"/>
      <c r="X42" s="34" t="n">
        <v>0.302</v>
      </c>
      <c r="Y42" s="34" t="n">
        <v>0.295111201516332</v>
      </c>
      <c r="Z42" s="34" t="n">
        <v>0.041</v>
      </c>
      <c r="AA42" s="34" t="n">
        <v>0.0400647657687736</v>
      </c>
      <c r="AB42" s="34" t="n">
        <v>0.28</v>
      </c>
      <c r="AC42" s="34" t="n">
        <v>0.273613034518454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34.7386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4.371</v>
      </c>
      <c r="Q43" s="134"/>
      <c r="R43" s="134"/>
      <c r="S43" s="186" t="n">
        <v>190.9</v>
      </c>
      <c r="T43" s="34" t="n">
        <v>0.006</v>
      </c>
      <c r="U43" s="34" t="n">
        <v>0.00586313645396686</v>
      </c>
      <c r="V43" s="134"/>
      <c r="W43" s="134"/>
      <c r="X43" s="34" t="n">
        <v>0.194</v>
      </c>
      <c r="Y43" s="34" t="n">
        <v>0.189574745344929</v>
      </c>
      <c r="Z43" s="34" t="n">
        <v>0</v>
      </c>
      <c r="AA43" s="34" t="n">
        <v>0</v>
      </c>
      <c r="AB43" s="34" t="n">
        <v>0.26</v>
      </c>
      <c r="AC43" s="34" t="n">
        <v>0.254069246338564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34.7383</v>
      </c>
      <c r="H44" s="124" t="n">
        <v>10</v>
      </c>
      <c r="I44" s="192" t="n">
        <v>10.6</v>
      </c>
      <c r="J44" s="134"/>
      <c r="K44" s="135"/>
      <c r="L44" s="135"/>
      <c r="M44" s="135"/>
      <c r="N44" s="136"/>
      <c r="O44" s="135"/>
      <c r="P44" s="134" t="n">
        <v>4.368</v>
      </c>
      <c r="Q44" s="134"/>
      <c r="R44" s="134"/>
      <c r="S44" s="186" t="n">
        <v>190.8</v>
      </c>
      <c r="T44" s="34" t="n">
        <v>0.003</v>
      </c>
      <c r="U44" s="34" t="n">
        <v>0.00293156822698343</v>
      </c>
      <c r="V44" s="134"/>
      <c r="W44" s="134"/>
      <c r="X44" s="34" t="n">
        <v>0.127</v>
      </c>
      <c r="Y44" s="34" t="n">
        <v>0.124103054942299</v>
      </c>
      <c r="Z44" s="34" t="n">
        <v>0</v>
      </c>
      <c r="AA44" s="34" t="n">
        <v>0</v>
      </c>
      <c r="AB44" s="34" t="n">
        <v>0.23</v>
      </c>
      <c r="AC44" s="34" t="n">
        <v>0.22475356406873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34.7383</v>
      </c>
      <c r="H45" s="124" t="n">
        <v>0</v>
      </c>
      <c r="I45" s="193" t="n">
        <v>1.7</v>
      </c>
      <c r="J45" s="134"/>
      <c r="K45" s="135"/>
      <c r="L45" s="135"/>
      <c r="M45" s="135"/>
      <c r="N45" s="136"/>
      <c r="O45" s="135"/>
      <c r="P45" s="134" t="n">
        <v>4.371</v>
      </c>
      <c r="Q45" s="134"/>
      <c r="R45" s="134"/>
      <c r="S45" s="186" t="n">
        <v>190.9</v>
      </c>
      <c r="T45" s="34" t="n">
        <v>0.001</v>
      </c>
      <c r="U45" s="34" t="n">
        <v>0.000977189408994478</v>
      </c>
      <c r="V45" s="134"/>
      <c r="W45" s="134"/>
      <c r="X45" s="34" t="n">
        <v>0.109</v>
      </c>
      <c r="Y45" s="34" t="n">
        <v>0.106513645580398</v>
      </c>
      <c r="Z45" s="34" t="n">
        <v>0.005</v>
      </c>
      <c r="AA45" s="34" t="n">
        <v>0.00488594704497239</v>
      </c>
      <c r="AB45" s="34" t="n">
        <v>0.22</v>
      </c>
      <c r="AC45" s="34" t="n">
        <v>0.214981669978785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31.05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3°31,05</v>
      </c>
      <c r="P9" s="31" t="s">
        <v>13</v>
      </c>
      <c r="Q9" s="35" t="n">
        <f aca="false">IF(ISBLANK(I9),"",IF(ISBLANK(J9),"",IF(J9&gt;60,"ERREUR !!",O11*(I9+(J9/60)))))</f>
        <v>3.5175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20.02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2°20,02</v>
      </c>
      <c r="P10" s="31" t="s">
        <v>14</v>
      </c>
      <c r="Q10" s="35" t="n">
        <f aca="false">IF(ISBLANK(I10),"",IF(ISBLANK(J10),"",IF(J10&gt;60,"ERREUR !!",O12*(I10+(J10/60)))))</f>
        <v>2.33366666666667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37786</v>
      </c>
      <c r="K11" s="40"/>
      <c r="L11" s="40"/>
      <c r="M11" s="40"/>
      <c r="N11" s="41" t="str">
        <f aca="false">I9&amp;"°"&amp;J9</f>
        <v>3°31,05</v>
      </c>
      <c r="O11" s="42" t="n">
        <f aca="false">IF(P9=M10,-1,1)</f>
        <v>1</v>
      </c>
      <c r="P11" s="43" t="str">
        <f aca="false">TEXT(J11,"aaaa-mm-jj")&amp;"T"&amp;TEXT(J12,"hh:mm:ss")&amp;"z"</f>
        <v>2007-06-15T13:00:00z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0.541666666666667</v>
      </c>
      <c r="K12" s="48"/>
      <c r="L12" s="48"/>
      <c r="M12" s="48"/>
      <c r="N12" s="49" t="str">
        <f aca="false">I10&amp;"°"&amp;J10</f>
        <v>2°20,02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146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34.629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3.264</v>
      </c>
      <c r="Q35" s="125"/>
      <c r="R35" s="125"/>
      <c r="S35" s="184" t="n">
        <v>141.9</v>
      </c>
      <c r="T35" s="34" t="n">
        <v>0.001</v>
      </c>
      <c r="U35" s="34" t="n">
        <v>0.000977189408994478</v>
      </c>
      <c r="V35" s="125"/>
      <c r="W35" s="125"/>
      <c r="X35" s="34" t="n">
        <v>33.909</v>
      </c>
      <c r="Y35" s="34" t="n">
        <v>33.1355156695937</v>
      </c>
      <c r="Z35" s="34" t="n">
        <v>2.257</v>
      </c>
      <c r="AA35" s="34" t="n">
        <v>2.20551649610054</v>
      </c>
      <c r="AB35" s="34" t="n">
        <v>30.75</v>
      </c>
      <c r="AC35" s="34" t="n">
        <v>30.0485743265802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34.5829</v>
      </c>
      <c r="H36" s="123" t="n">
        <v>600</v>
      </c>
      <c r="I36" s="124" t="n">
        <v>598</v>
      </c>
      <c r="J36" s="134"/>
      <c r="K36" s="135"/>
      <c r="L36" s="135"/>
      <c r="M36" s="135"/>
      <c r="N36" s="136"/>
      <c r="O36" s="135"/>
      <c r="P36" s="134" t="n">
        <v>2.39</v>
      </c>
      <c r="Q36" s="134"/>
      <c r="R36" s="134"/>
      <c r="S36" s="186" t="n">
        <v>103.9</v>
      </c>
      <c r="T36" s="34" t="n">
        <v>0</v>
      </c>
      <c r="U36" s="34" t="n">
        <v>0</v>
      </c>
      <c r="V36" s="134"/>
      <c r="W36" s="134"/>
      <c r="X36" s="34" t="n">
        <v>36.95</v>
      </c>
      <c r="Y36" s="34" t="n">
        <v>36.1071486623459</v>
      </c>
      <c r="Z36" s="34" t="n">
        <v>2.359</v>
      </c>
      <c r="AA36" s="34" t="n">
        <v>2.30518981581797</v>
      </c>
      <c r="AB36" s="34" t="n">
        <v>24.37</v>
      </c>
      <c r="AC36" s="34" t="n">
        <v>23.8141058971954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34.9929</v>
      </c>
      <c r="H37" s="124" t="n">
        <v>300</v>
      </c>
      <c r="I37" s="124" t="n">
        <v>297</v>
      </c>
      <c r="J37" s="134"/>
      <c r="K37" s="135"/>
      <c r="L37" s="135"/>
      <c r="M37" s="135"/>
      <c r="N37" s="136"/>
      <c r="O37" s="135"/>
      <c r="P37" s="134" t="n">
        <v>1.211</v>
      </c>
      <c r="Q37" s="134"/>
      <c r="R37" s="134"/>
      <c r="S37" s="186" t="n">
        <v>52.7</v>
      </c>
      <c r="T37" s="34" t="n">
        <v>0.002</v>
      </c>
      <c r="U37" s="34" t="n">
        <v>0.00195437881798896</v>
      </c>
      <c r="V37" s="134"/>
      <c r="W37" s="134"/>
      <c r="X37" s="34" t="n">
        <v>33.498</v>
      </c>
      <c r="Y37" s="34" t="n">
        <v>32.733890822497</v>
      </c>
      <c r="Z37" s="34" t="n">
        <v>2.054</v>
      </c>
      <c r="AA37" s="34" t="n">
        <v>2.00714704607466</v>
      </c>
      <c r="AB37" s="34" t="n">
        <v>13.81</v>
      </c>
      <c r="AC37" s="34" t="n">
        <v>13.4949857382137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35.894</v>
      </c>
      <c r="H38" s="124" t="n">
        <v>100</v>
      </c>
      <c r="I38" s="124" t="n">
        <v>97</v>
      </c>
      <c r="J38" s="134"/>
      <c r="K38" s="135"/>
      <c r="L38" s="135"/>
      <c r="M38" s="135"/>
      <c r="N38" s="136"/>
      <c r="O38" s="135"/>
      <c r="P38" s="134" t="n">
        <v>2.895</v>
      </c>
      <c r="Q38" s="134"/>
      <c r="R38" s="134"/>
      <c r="S38" s="186" t="n">
        <v>126</v>
      </c>
      <c r="T38" s="34" t="n">
        <v>0.022</v>
      </c>
      <c r="U38" s="34" t="n">
        <v>0.0214981669978785</v>
      </c>
      <c r="V38" s="134"/>
      <c r="W38" s="134"/>
      <c r="X38" s="34" t="n">
        <v>13.598</v>
      </c>
      <c r="Y38" s="34" t="n">
        <v>13.2878215835069</v>
      </c>
      <c r="Z38" s="34" t="n">
        <v>0.945</v>
      </c>
      <c r="AA38" s="34" t="n">
        <v>0.923443991499781</v>
      </c>
      <c r="AB38" s="34" t="n">
        <v>3.69</v>
      </c>
      <c r="AC38" s="34" t="n">
        <v>3.60582891918962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35.9158</v>
      </c>
      <c r="H39" s="124" t="n">
        <v>80</v>
      </c>
      <c r="I39" s="124" t="n">
        <v>80</v>
      </c>
      <c r="J39" s="134"/>
      <c r="K39" s="135"/>
      <c r="L39" s="135"/>
      <c r="M39" s="135"/>
      <c r="N39" s="136"/>
      <c r="O39" s="135"/>
      <c r="P39" s="134" t="n">
        <v>2.995</v>
      </c>
      <c r="Q39" s="134"/>
      <c r="R39" s="134"/>
      <c r="S39" s="186" t="n">
        <v>130.4</v>
      </c>
      <c r="T39" s="34" t="n">
        <v>0.025</v>
      </c>
      <c r="U39" s="34" t="n">
        <v>0.0244297352248619</v>
      </c>
      <c r="V39" s="134"/>
      <c r="W39" s="134"/>
      <c r="X39" s="34" t="n">
        <v>12.755</v>
      </c>
      <c r="Y39" s="34" t="n">
        <v>12.4640509117246</v>
      </c>
      <c r="Z39" s="34" t="n">
        <v>0.901</v>
      </c>
      <c r="AA39" s="34" t="n">
        <v>0.880447657504024</v>
      </c>
      <c r="AB39" s="34" t="n">
        <v>3.06</v>
      </c>
      <c r="AC39" s="34" t="n">
        <v>2.9901995915231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35.9154</v>
      </c>
      <c r="H40" s="124" t="n">
        <v>60</v>
      </c>
      <c r="I40" s="124" t="n">
        <v>60</v>
      </c>
      <c r="J40" s="134"/>
      <c r="K40" s="135"/>
      <c r="L40" s="135"/>
      <c r="M40" s="135"/>
      <c r="N40" s="136"/>
      <c r="O40" s="135"/>
      <c r="P40" s="134" t="n">
        <v>3.094</v>
      </c>
      <c r="Q40" s="134"/>
      <c r="R40" s="134"/>
      <c r="S40" s="186" t="n">
        <v>134.8</v>
      </c>
      <c r="T40" s="34" t="n">
        <v>0.068</v>
      </c>
      <c r="U40" s="34" t="n">
        <v>0.0664488798116245</v>
      </c>
      <c r="V40" s="134"/>
      <c r="W40" s="134"/>
      <c r="X40" s="34" t="n">
        <v>9.762</v>
      </c>
      <c r="Y40" s="34" t="n">
        <v>9.53932301060409</v>
      </c>
      <c r="Z40" s="34" t="n">
        <v>0.748</v>
      </c>
      <c r="AA40" s="34" t="n">
        <v>0.730937677927869</v>
      </c>
      <c r="AB40" s="34" t="n">
        <v>2.23</v>
      </c>
      <c r="AC40" s="34" t="n">
        <v>2.17913238205768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35.8633</v>
      </c>
      <c r="H41" s="124" t="n">
        <v>40</v>
      </c>
      <c r="I41" s="124" t="n">
        <v>39</v>
      </c>
      <c r="J41" s="134"/>
      <c r="K41" s="135"/>
      <c r="L41" s="135"/>
      <c r="M41" s="135"/>
      <c r="N41" s="136"/>
      <c r="O41" s="135"/>
      <c r="P41" s="134" t="n">
        <v>4.34</v>
      </c>
      <c r="Q41" s="134"/>
      <c r="R41" s="134"/>
      <c r="S41" s="186" t="n">
        <v>189.2</v>
      </c>
      <c r="T41" s="34" t="n">
        <v>0.009</v>
      </c>
      <c r="U41" s="34" t="n">
        <v>0.0087947046809503</v>
      </c>
      <c r="V41" s="134"/>
      <c r="W41" s="134"/>
      <c r="X41" s="34" t="n">
        <v>0.571</v>
      </c>
      <c r="Y41" s="34" t="n">
        <v>0.557975152535847</v>
      </c>
      <c r="Z41" s="34" t="n">
        <v>0.124</v>
      </c>
      <c r="AA41" s="34" t="n">
        <v>0.121171486715315</v>
      </c>
      <c r="AB41" s="34" t="n">
        <v>0.58</v>
      </c>
      <c r="AC41" s="34" t="n">
        <v>0.566769857216797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22" t="n">
        <v>35.8317</v>
      </c>
      <c r="H42" s="124" t="n">
        <v>40</v>
      </c>
      <c r="I42" s="124" t="n">
        <v>39</v>
      </c>
      <c r="J42" s="134"/>
      <c r="K42" s="135"/>
      <c r="L42" s="135"/>
      <c r="M42" s="135"/>
      <c r="N42" s="136"/>
      <c r="O42" s="135"/>
      <c r="P42" s="134" t="n">
        <v>4.512</v>
      </c>
      <c r="Q42" s="134"/>
      <c r="R42" s="134"/>
      <c r="S42" s="186" t="n">
        <v>196.8</v>
      </c>
      <c r="T42" s="34" t="n">
        <v>0.003</v>
      </c>
      <c r="U42" s="34" t="n">
        <v>0.00293156822698343</v>
      </c>
      <c r="V42" s="134"/>
      <c r="W42" s="134"/>
      <c r="X42" s="34" t="n">
        <v>0.107</v>
      </c>
      <c r="Y42" s="34" t="n">
        <v>0.104559266762409</v>
      </c>
      <c r="Z42" s="34" t="n">
        <v>0.06</v>
      </c>
      <c r="AA42" s="34" t="n">
        <v>0.0586313645396687</v>
      </c>
      <c r="AB42" s="34" t="n">
        <v>0.5</v>
      </c>
      <c r="AC42" s="34" t="n">
        <v>0.488594704497239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34.6293</v>
      </c>
      <c r="H43" s="124" t="n">
        <v>20</v>
      </c>
      <c r="I43" s="124" t="n">
        <v>20</v>
      </c>
      <c r="J43" s="134"/>
      <c r="K43" s="135"/>
      <c r="L43" s="135"/>
      <c r="M43" s="135"/>
      <c r="N43" s="136"/>
      <c r="O43" s="135"/>
      <c r="P43" s="134" t="n">
        <v>4.387</v>
      </c>
      <c r="Q43" s="134"/>
      <c r="R43" s="134"/>
      <c r="S43" s="186" t="n">
        <v>191.7</v>
      </c>
      <c r="T43" s="34" t="n">
        <v>0.004</v>
      </c>
      <c r="U43" s="34" t="n">
        <v>0.00390875763597791</v>
      </c>
      <c r="V43" s="134"/>
      <c r="W43" s="134"/>
      <c r="X43" s="34" t="n">
        <v>0.066</v>
      </c>
      <c r="Y43" s="34" t="n">
        <v>0.0644945009936355</v>
      </c>
      <c r="Z43" s="34" t="n">
        <v>0.003</v>
      </c>
      <c r="AA43" s="34" t="n">
        <v>0.00293156822698343</v>
      </c>
      <c r="AB43" s="34" t="n">
        <v>0.04</v>
      </c>
      <c r="AC43" s="34" t="n">
        <v>0.0390875763597791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34.629</v>
      </c>
      <c r="H44" s="124" t="n">
        <v>10</v>
      </c>
      <c r="I44" s="124" t="n">
        <v>10</v>
      </c>
      <c r="J44" s="134"/>
      <c r="K44" s="135"/>
      <c r="L44" s="135"/>
      <c r="M44" s="135"/>
      <c r="N44" s="136"/>
      <c r="O44" s="135"/>
      <c r="P44" s="134" t="n">
        <v>4.388</v>
      </c>
      <c r="Q44" s="134"/>
      <c r="R44" s="134"/>
      <c r="S44" s="186" t="n">
        <v>191.7</v>
      </c>
      <c r="T44" s="34" t="n">
        <v>0.003</v>
      </c>
      <c r="U44" s="34" t="n">
        <v>0.00293156822698343</v>
      </c>
      <c r="V44" s="134"/>
      <c r="W44" s="134"/>
      <c r="X44" s="34" t="n">
        <v>0.037</v>
      </c>
      <c r="Y44" s="34" t="n">
        <v>0.0361560081327957</v>
      </c>
      <c r="Z44" s="34" t="n">
        <v>0</v>
      </c>
      <c r="AA44" s="34" t="n">
        <v>0</v>
      </c>
      <c r="AB44" s="34" t="n">
        <v>0.11</v>
      </c>
      <c r="AC44" s="34" t="n">
        <v>0.107490834989393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34.629</v>
      </c>
      <c r="H45" s="124" t="n">
        <v>0</v>
      </c>
      <c r="I45" s="124" t="n">
        <v>1</v>
      </c>
      <c r="J45" s="134"/>
      <c r="K45" s="135"/>
      <c r="L45" s="135"/>
      <c r="M45" s="135"/>
      <c r="N45" s="136"/>
      <c r="O45" s="135"/>
      <c r="P45" s="134" t="n">
        <v>4.392</v>
      </c>
      <c r="Q45" s="134"/>
      <c r="R45" s="134"/>
      <c r="S45" s="186" t="n">
        <v>191.9</v>
      </c>
      <c r="T45" s="34" t="n">
        <v>0</v>
      </c>
      <c r="U45" s="34" t="n">
        <v>0</v>
      </c>
      <c r="V45" s="134"/>
      <c r="W45" s="134"/>
      <c r="X45" s="34" t="n">
        <v>0.04</v>
      </c>
      <c r="Y45" s="34" t="n">
        <v>0.0390875763597791</v>
      </c>
      <c r="Z45" s="34" t="n">
        <v>0.011</v>
      </c>
      <c r="AA45" s="34" t="n">
        <v>0.0107490834989392</v>
      </c>
      <c r="AB45" s="34" t="n">
        <v>0.11</v>
      </c>
      <c r="AC45" s="34" t="n">
        <v>0.107490834989393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0.06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4°0,06</v>
      </c>
      <c r="P9" s="31" t="s">
        <v>13</v>
      </c>
      <c r="Q9" s="35" t="n">
        <f aca="false">IF(ISBLANK(I9),"",IF(ISBLANK(J9),"",IF(J9&gt;60,"ERREUR !!",O11*(I9+(J9/60)))))</f>
        <v>4.001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20.3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2°20,3</v>
      </c>
      <c r="P10" s="31" t="s">
        <v>14</v>
      </c>
      <c r="Q10" s="35" t="n">
        <f aca="false">IF(ISBLANK(I10),"",IF(ISBLANK(J10),"",IF(J10&gt;60,"ERREUR !!",O12*(I10+(J10/60)))))</f>
        <v>2.33833333333333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37786</v>
      </c>
      <c r="K11" s="40"/>
      <c r="L11" s="40"/>
      <c r="M11" s="40"/>
      <c r="N11" s="41" t="str">
        <f aca="false">I9&amp;"°"&amp;J9</f>
        <v>4°0,06</v>
      </c>
      <c r="O11" s="42" t="n">
        <f aca="false">IF(P9=M10,-1,1)</f>
        <v>1</v>
      </c>
      <c r="P11" s="43" t="str">
        <f aca="false">TEXT(J11,"aaaa-mm-jj")&amp;"T"&amp;TEXT(J12,"hh:mm:ss")&amp;"z"</f>
        <v>2007-06-15T17:00:00z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0.708333333333333</v>
      </c>
      <c r="K12" s="48"/>
      <c r="L12" s="48"/>
      <c r="M12" s="48"/>
      <c r="N12" s="49" t="str">
        <f aca="false">I10&amp;"°"&amp;J10</f>
        <v>2°20,3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146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34.6301</v>
      </c>
      <c r="H35" s="123" t="n">
        <v>1000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3.269</v>
      </c>
      <c r="Q35" s="125"/>
      <c r="R35" s="125"/>
      <c r="S35" s="184" t="n">
        <v>142.1</v>
      </c>
      <c r="T35" s="34" t="n">
        <v>0</v>
      </c>
      <c r="U35" s="34" t="n">
        <v>0</v>
      </c>
      <c r="V35" s="125"/>
      <c r="W35" s="125"/>
      <c r="X35" s="34" t="n">
        <v>34.18</v>
      </c>
      <c r="Y35" s="34" t="n">
        <v>33.4003339994312</v>
      </c>
      <c r="Z35" s="34" t="n">
        <v>2.261</v>
      </c>
      <c r="AA35" s="34" t="n">
        <v>2.20942525373651</v>
      </c>
      <c r="AB35" s="34" t="n">
        <v>31.42</v>
      </c>
      <c r="AC35" s="34" t="n">
        <v>30.7032912306065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34.58</v>
      </c>
      <c r="H36" s="123" t="n">
        <v>600</v>
      </c>
      <c r="I36" s="124" t="n">
        <v>601</v>
      </c>
      <c r="J36" s="134"/>
      <c r="K36" s="135"/>
      <c r="L36" s="135"/>
      <c r="M36" s="135"/>
      <c r="N36" s="136"/>
      <c r="O36" s="135"/>
      <c r="P36" s="134" t="n">
        <v>2.391</v>
      </c>
      <c r="Q36" s="134"/>
      <c r="R36" s="134"/>
      <c r="S36" s="186" t="n">
        <v>104</v>
      </c>
      <c r="T36" s="34" t="n">
        <v>0</v>
      </c>
      <c r="U36" s="34" t="n">
        <v>0</v>
      </c>
      <c r="V36" s="134"/>
      <c r="W36" s="134"/>
      <c r="X36" s="34" t="n">
        <v>37.22</v>
      </c>
      <c r="Y36" s="34" t="n">
        <v>36.3709898027744</v>
      </c>
      <c r="Z36" s="34" t="n">
        <v>2.388</v>
      </c>
      <c r="AA36" s="34" t="n">
        <v>2.33352830867881</v>
      </c>
      <c r="AB36" s="34" t="n">
        <v>25.59</v>
      </c>
      <c r="AC36" s="34" t="n">
        <v>25.0062769761687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35.0345</v>
      </c>
      <c r="H37" s="124" t="n">
        <v>300</v>
      </c>
      <c r="I37" s="124" t="n">
        <v>298</v>
      </c>
      <c r="J37" s="134"/>
      <c r="K37" s="135"/>
      <c r="L37" s="135"/>
      <c r="M37" s="135"/>
      <c r="N37" s="136"/>
      <c r="O37" s="135"/>
      <c r="P37" s="134" t="n">
        <v>1.24</v>
      </c>
      <c r="Q37" s="134"/>
      <c r="R37" s="134"/>
      <c r="S37" s="186" t="n">
        <v>53.9</v>
      </c>
      <c r="T37" s="34" t="n">
        <v>0</v>
      </c>
      <c r="U37" s="34" t="n">
        <v>0</v>
      </c>
      <c r="V37" s="134"/>
      <c r="W37" s="134"/>
      <c r="X37" s="34" t="n">
        <v>32.52</v>
      </c>
      <c r="Y37" s="34" t="n">
        <v>31.7781995805004</v>
      </c>
      <c r="Z37" s="34" t="n">
        <v>2.004</v>
      </c>
      <c r="AA37" s="34" t="n">
        <v>1.95828757562493</v>
      </c>
      <c r="AB37" s="34" t="n">
        <v>13.92</v>
      </c>
      <c r="AC37" s="34" t="n">
        <v>13.6024765732031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35.957</v>
      </c>
      <c r="H38" s="124" t="n">
        <v>100</v>
      </c>
      <c r="I38" s="124" t="n">
        <v>100</v>
      </c>
      <c r="J38" s="134"/>
      <c r="K38" s="135"/>
      <c r="L38" s="135"/>
      <c r="M38" s="135"/>
      <c r="N38" s="136"/>
      <c r="O38" s="135"/>
      <c r="P38" s="134" t="n">
        <v>3.309</v>
      </c>
      <c r="Q38" s="134"/>
      <c r="R38" s="134"/>
      <c r="S38" s="186" t="n">
        <v>144</v>
      </c>
      <c r="T38" s="34" t="n">
        <v>0.022</v>
      </c>
      <c r="U38" s="34" t="n">
        <v>0.0214981669978785</v>
      </c>
      <c r="V38" s="134"/>
      <c r="W38" s="134"/>
      <c r="X38" s="34" t="n">
        <v>11.5285018330021</v>
      </c>
      <c r="Y38" s="34" t="n">
        <v>11.2655298927831</v>
      </c>
      <c r="Z38" s="34" t="n">
        <v>0.839</v>
      </c>
      <c r="AA38" s="34" t="n">
        <v>0.819861914146367</v>
      </c>
      <c r="AB38" s="34" t="n">
        <v>4.19</v>
      </c>
      <c r="AC38" s="34" t="n">
        <v>4.09442362368686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22" t="n">
        <v>36.074</v>
      </c>
      <c r="H39" s="124" t="n">
        <v>80</v>
      </c>
      <c r="I39" s="124" t="n">
        <v>79</v>
      </c>
      <c r="J39" s="134"/>
      <c r="K39" s="135"/>
      <c r="L39" s="135"/>
      <c r="M39" s="135"/>
      <c r="N39" s="136"/>
      <c r="O39" s="135"/>
      <c r="P39" s="134" t="n">
        <v>3.365</v>
      </c>
      <c r="Q39" s="134"/>
      <c r="R39" s="134"/>
      <c r="S39" s="186" t="n">
        <v>146.5</v>
      </c>
      <c r="T39" s="34" t="n">
        <v>0.034</v>
      </c>
      <c r="U39" s="34" t="n">
        <v>0.0332244399058122</v>
      </c>
      <c r="V39" s="134"/>
      <c r="W39" s="134"/>
      <c r="X39" s="34" t="n">
        <v>9.92677556009419</v>
      </c>
      <c r="Y39" s="34" t="n">
        <v>9.70033994278926</v>
      </c>
      <c r="Z39" s="34" t="n">
        <v>0.741</v>
      </c>
      <c r="AA39" s="34" t="n">
        <v>0.724097352064908</v>
      </c>
      <c r="AB39" s="34" t="n">
        <v>3.61</v>
      </c>
      <c r="AC39" s="34" t="n">
        <v>3.52765376647006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22" t="n">
        <v>36.0745</v>
      </c>
      <c r="H40" s="124" t="n">
        <v>80</v>
      </c>
      <c r="I40" s="124" t="n">
        <v>79</v>
      </c>
      <c r="J40" s="134"/>
      <c r="K40" s="135"/>
      <c r="L40" s="135"/>
      <c r="M40" s="135"/>
      <c r="N40" s="136"/>
      <c r="O40" s="135"/>
      <c r="P40" s="134" t="n">
        <v>3.36</v>
      </c>
      <c r="Q40" s="134"/>
      <c r="R40" s="134"/>
      <c r="S40" s="186" t="n">
        <v>146.3</v>
      </c>
      <c r="T40" s="34" t="n">
        <v>0.028</v>
      </c>
      <c r="U40" s="34" t="n">
        <v>0.0273613034518454</v>
      </c>
      <c r="V40" s="134"/>
      <c r="W40" s="134"/>
      <c r="X40" s="34" t="n">
        <v>9.78263869654815</v>
      </c>
      <c r="Y40" s="34" t="n">
        <v>9.5594909262864</v>
      </c>
      <c r="Z40" s="34" t="n">
        <v>0.743</v>
      </c>
      <c r="AA40" s="34" t="n">
        <v>0.726051730882897</v>
      </c>
      <c r="AB40" s="34" t="n">
        <v>3.52</v>
      </c>
      <c r="AC40" s="34" t="n">
        <v>3.43970671966056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36.0668</v>
      </c>
      <c r="H41" s="124" t="n">
        <v>60</v>
      </c>
      <c r="I41" s="124" t="n">
        <v>58</v>
      </c>
      <c r="J41" s="134"/>
      <c r="K41" s="135"/>
      <c r="L41" s="135"/>
      <c r="M41" s="135"/>
      <c r="N41" s="136"/>
      <c r="O41" s="135"/>
      <c r="P41" s="134" t="n">
        <v>3.284</v>
      </c>
      <c r="Q41" s="134"/>
      <c r="R41" s="134"/>
      <c r="S41" s="186" t="n">
        <v>143</v>
      </c>
      <c r="T41" s="34" t="n">
        <v>0.094</v>
      </c>
      <c r="U41" s="34" t="n">
        <v>0.0918558044454809</v>
      </c>
      <c r="V41" s="134"/>
      <c r="W41" s="134"/>
      <c r="X41" s="34" t="n">
        <v>8.52814419555452</v>
      </c>
      <c r="Y41" s="34" t="n">
        <v>8.3336121862736</v>
      </c>
      <c r="Z41" s="34" t="n">
        <v>0.677</v>
      </c>
      <c r="AA41" s="34" t="n">
        <v>0.661557229889261</v>
      </c>
      <c r="AB41" s="34" t="n">
        <v>3.3</v>
      </c>
      <c r="AC41" s="34" t="n">
        <v>3.22472504968178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35.853</v>
      </c>
      <c r="H42" s="124" t="n">
        <v>40</v>
      </c>
      <c r="I42" s="124" t="n">
        <v>40</v>
      </c>
      <c r="J42" s="134"/>
      <c r="K42" s="135"/>
      <c r="L42" s="135"/>
      <c r="M42" s="135"/>
      <c r="N42" s="136"/>
      <c r="O42" s="135"/>
      <c r="P42" s="134" t="n">
        <v>4.396</v>
      </c>
      <c r="Q42" s="134"/>
      <c r="R42" s="134"/>
      <c r="S42" s="186" t="n">
        <v>191.6</v>
      </c>
      <c r="T42" s="34" t="n">
        <v>0.011</v>
      </c>
      <c r="U42" s="34" t="n">
        <v>0.0107490834989392</v>
      </c>
      <c r="V42" s="134"/>
      <c r="W42" s="134"/>
      <c r="X42" s="34" t="n">
        <v>0.649250916501061</v>
      </c>
      <c r="Y42" s="34" t="n">
        <v>0.634441119384794</v>
      </c>
      <c r="Z42" s="34" t="n">
        <v>0.129</v>
      </c>
      <c r="AA42" s="34" t="n">
        <v>0.126057433760288</v>
      </c>
      <c r="AB42" s="34" t="n">
        <v>1.44</v>
      </c>
      <c r="AC42" s="34" t="n">
        <v>1.40715274895205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34.6129</v>
      </c>
      <c r="H43" s="124" t="n">
        <v>20</v>
      </c>
      <c r="I43" s="124" t="n">
        <v>20</v>
      </c>
      <c r="J43" s="134"/>
      <c r="K43" s="135"/>
      <c r="L43" s="135"/>
      <c r="M43" s="135"/>
      <c r="N43" s="136"/>
      <c r="O43" s="135"/>
      <c r="P43" s="134" t="n">
        <v>4.455</v>
      </c>
      <c r="Q43" s="134"/>
      <c r="R43" s="134"/>
      <c r="S43" s="186" t="n">
        <v>194.6</v>
      </c>
      <c r="T43" s="34" t="n">
        <v>0</v>
      </c>
      <c r="U43" s="34" t="n">
        <v>0</v>
      </c>
      <c r="V43" s="134"/>
      <c r="W43" s="134"/>
      <c r="X43" s="34" t="n">
        <v>0.07</v>
      </c>
      <c r="Y43" s="34" t="n">
        <v>0.0684032586296134</v>
      </c>
      <c r="Z43" s="34" t="n">
        <v>0</v>
      </c>
      <c r="AA43" s="34" t="n">
        <v>0</v>
      </c>
      <c r="AB43" s="34" t="n">
        <v>0.58</v>
      </c>
      <c r="AC43" s="34" t="n">
        <v>0.566769857216797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34.5462</v>
      </c>
      <c r="H44" s="124" t="n">
        <v>10</v>
      </c>
      <c r="I44" s="124" t="n">
        <v>10</v>
      </c>
      <c r="J44" s="134"/>
      <c r="K44" s="135"/>
      <c r="L44" s="135"/>
      <c r="M44" s="135"/>
      <c r="N44" s="136"/>
      <c r="O44" s="135"/>
      <c r="P44" s="134" t="n">
        <v>4.437</v>
      </c>
      <c r="Q44" s="134"/>
      <c r="R44" s="134"/>
      <c r="S44" s="186" t="n">
        <v>193.8</v>
      </c>
      <c r="T44" s="34" t="n">
        <v>0</v>
      </c>
      <c r="U44" s="34" t="n">
        <v>0</v>
      </c>
      <c r="V44" s="134"/>
      <c r="W44" s="134"/>
      <c r="X44" s="34" t="n">
        <v>0.08</v>
      </c>
      <c r="Y44" s="34" t="n">
        <v>0.0781751527195582</v>
      </c>
      <c r="Z44" s="34" t="n">
        <v>0</v>
      </c>
      <c r="AA44" s="34" t="n">
        <v>0</v>
      </c>
      <c r="AB44" s="34" t="n">
        <v>0.54</v>
      </c>
      <c r="AC44" s="34" t="n">
        <v>0.527682280857018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34.5445</v>
      </c>
      <c r="H45" s="124" t="n">
        <v>0</v>
      </c>
      <c r="I45" s="124" t="n">
        <v>1.5</v>
      </c>
      <c r="J45" s="134"/>
      <c r="K45" s="135"/>
      <c r="L45" s="135"/>
      <c r="M45" s="135"/>
      <c r="N45" s="136"/>
      <c r="O45" s="135"/>
      <c r="P45" s="134" t="n">
        <v>4.44</v>
      </c>
      <c r="Q45" s="134"/>
      <c r="R45" s="134"/>
      <c r="S45" s="186" t="n">
        <v>194</v>
      </c>
      <c r="T45" s="34" t="n">
        <v>0</v>
      </c>
      <c r="U45" s="34" t="n">
        <v>0</v>
      </c>
      <c r="V45" s="134"/>
      <c r="W45" s="134"/>
      <c r="X45" s="34" t="n">
        <v>0.08</v>
      </c>
      <c r="Y45" s="34" t="n">
        <v>0.0781751527195582</v>
      </c>
      <c r="Z45" s="34" t="n">
        <v>0.00700000000000001</v>
      </c>
      <c r="AA45" s="34" t="n">
        <v>0.00684032586296135</v>
      </c>
      <c r="AB45" s="34" t="n">
        <v>0.66</v>
      </c>
      <c r="AC45" s="34" t="n">
        <v>0.644945009936355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30.53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4°30,53</v>
      </c>
      <c r="P9" s="31" t="s">
        <v>13</v>
      </c>
      <c r="Q9" s="35" t="n">
        <f aca="false">IF(ISBLANK(I9),"",IF(ISBLANK(J9),"",IF(J9&gt;60,"ERREUR !!",O11*(I9+(J9/60)))))</f>
        <v>4.50883333333333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20.03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2°20,03</v>
      </c>
      <c r="P10" s="31" t="s">
        <v>14</v>
      </c>
      <c r="Q10" s="35" t="n">
        <f aca="false">IF(ISBLANK(I10),"",IF(ISBLANK(J10),"",IF(J10&gt;60,"ERREUR !!",O12*(I10+(J10/60)))))</f>
        <v>2.33383333333333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37786</v>
      </c>
      <c r="K11" s="40"/>
      <c r="L11" s="40"/>
      <c r="M11" s="40"/>
      <c r="N11" s="41" t="str">
        <f aca="false">I9&amp;"°"&amp;J9</f>
        <v>4°30,53</v>
      </c>
      <c r="O11" s="42" t="n">
        <f aca="false">IF(P9=M10,-1,1)</f>
        <v>1</v>
      </c>
      <c r="P11" s="43" t="str">
        <f aca="false">TEXT(J11,"aaaa-mm-jj")&amp;"T"&amp;TEXT(J12,"hh:mm:ss")&amp;"z"</f>
        <v>2007-06-15T21:00:00z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0.875</v>
      </c>
      <c r="K12" s="48"/>
      <c r="L12" s="48"/>
      <c r="M12" s="48"/>
      <c r="N12" s="49" t="str">
        <f aca="false">I10&amp;"°"&amp;J10</f>
        <v>2°20,03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146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34.6331</v>
      </c>
      <c r="H35" s="123" t="n">
        <v>1000</v>
      </c>
      <c r="I35" s="192" t="n">
        <v>1003</v>
      </c>
      <c r="J35" s="125"/>
      <c r="K35" s="126"/>
      <c r="L35" s="126"/>
      <c r="M35" s="126"/>
      <c r="N35" s="127"/>
      <c r="O35" s="126"/>
      <c r="P35" s="125" t="n">
        <v>3.283</v>
      </c>
      <c r="Q35" s="125"/>
      <c r="R35" s="125"/>
      <c r="S35" s="184" t="n">
        <v>142.7</v>
      </c>
      <c r="T35" s="34" t="n">
        <v>0</v>
      </c>
      <c r="U35" s="34" t="n">
        <v>0</v>
      </c>
      <c r="V35" s="125"/>
      <c r="W35" s="125"/>
      <c r="X35" s="34" t="n">
        <v>34.32</v>
      </c>
      <c r="Y35" s="34" t="n">
        <v>33.5371405166905</v>
      </c>
      <c r="Z35" s="34" t="n">
        <v>2.261</v>
      </c>
      <c r="AA35" s="34" t="n">
        <v>2.20942525373651</v>
      </c>
      <c r="AB35" s="34" t="n">
        <v>31.7</v>
      </c>
      <c r="AC35" s="34" t="n">
        <v>30.9769042651249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34.612</v>
      </c>
      <c r="H36" s="123" t="n">
        <v>600</v>
      </c>
      <c r="I36" s="192" t="n">
        <v>585</v>
      </c>
      <c r="J36" s="134"/>
      <c r="K36" s="135"/>
      <c r="L36" s="135"/>
      <c r="M36" s="135"/>
      <c r="N36" s="136"/>
      <c r="O36" s="135"/>
      <c r="P36" s="134" t="n">
        <v>2.182</v>
      </c>
      <c r="Q36" s="134"/>
      <c r="R36" s="134"/>
      <c r="S36" s="186" t="n">
        <v>94.9</v>
      </c>
      <c r="T36" s="34" t="n">
        <v>0</v>
      </c>
      <c r="U36" s="34" t="n">
        <v>0</v>
      </c>
      <c r="V36" s="134"/>
      <c r="W36" s="134"/>
      <c r="X36" s="34" t="n">
        <v>37.53</v>
      </c>
      <c r="Y36" s="34" t="n">
        <v>36.6739185195627</v>
      </c>
      <c r="Z36" s="34" t="n">
        <v>2.387</v>
      </c>
      <c r="AA36" s="34" t="n">
        <v>2.33255111926982</v>
      </c>
      <c r="AB36" s="34" t="n">
        <v>24.51</v>
      </c>
      <c r="AC36" s="34" t="n">
        <v>23.9509124144546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35.0031</v>
      </c>
      <c r="H37" s="124" t="n">
        <v>300</v>
      </c>
      <c r="I37" s="192" t="n">
        <v>299.5</v>
      </c>
      <c r="J37" s="134"/>
      <c r="K37" s="135"/>
      <c r="L37" s="135"/>
      <c r="M37" s="135"/>
      <c r="N37" s="136"/>
      <c r="O37" s="135"/>
      <c r="P37" s="134" t="n">
        <v>1.272</v>
      </c>
      <c r="Q37" s="134"/>
      <c r="R37" s="134"/>
      <c r="S37" s="186" t="n">
        <v>55.3</v>
      </c>
      <c r="T37" s="34" t="n">
        <v>0.001</v>
      </c>
      <c r="U37" s="34" t="n">
        <v>0.000977189408994478</v>
      </c>
      <c r="V37" s="134"/>
      <c r="W37" s="134"/>
      <c r="X37" s="34" t="n">
        <v>33.129022810591</v>
      </c>
      <c r="Y37" s="34" t="n">
        <v>32.373330220846</v>
      </c>
      <c r="Z37" s="34" t="n">
        <v>2.013</v>
      </c>
      <c r="AA37" s="34" t="n">
        <v>1.96708228030588</v>
      </c>
      <c r="AB37" s="34" t="n">
        <v>14.31</v>
      </c>
      <c r="AC37" s="34" t="n">
        <v>13.983580442711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35.7652</v>
      </c>
      <c r="H38" s="124" t="n">
        <v>100</v>
      </c>
      <c r="I38" s="192" t="n">
        <v>95.3</v>
      </c>
      <c r="J38" s="134"/>
      <c r="K38" s="135"/>
      <c r="L38" s="135"/>
      <c r="M38" s="135"/>
      <c r="N38" s="136"/>
      <c r="O38" s="135"/>
      <c r="P38" s="134" t="n">
        <v>2.372</v>
      </c>
      <c r="Q38" s="134"/>
      <c r="R38" s="134"/>
      <c r="S38" s="186" t="n">
        <v>103.3</v>
      </c>
      <c r="T38" s="34" t="n">
        <v>0.015</v>
      </c>
      <c r="U38" s="34" t="n">
        <v>0.0146578411349172</v>
      </c>
      <c r="V38" s="134"/>
      <c r="W38" s="134"/>
      <c r="X38" s="34" t="n">
        <v>17.7153421588651</v>
      </c>
      <c r="Y38" s="34" t="n">
        <v>17.3112447343563</v>
      </c>
      <c r="Z38" s="34" t="n">
        <v>1.181</v>
      </c>
      <c r="AA38" s="34" t="n">
        <v>1.15406069202248</v>
      </c>
      <c r="AB38" s="34" t="n">
        <v>5.87</v>
      </c>
      <c r="AC38" s="34" t="n">
        <v>5.73610183079758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35.7962</v>
      </c>
      <c r="H39" s="124" t="n">
        <v>80</v>
      </c>
      <c r="I39" s="192" t="n">
        <v>79.4</v>
      </c>
      <c r="J39" s="134"/>
      <c r="K39" s="135"/>
      <c r="L39" s="135"/>
      <c r="M39" s="135"/>
      <c r="N39" s="136"/>
      <c r="O39" s="135"/>
      <c r="P39" s="134" t="n">
        <v>2.407</v>
      </c>
      <c r="Q39" s="134"/>
      <c r="R39" s="134"/>
      <c r="S39" s="186" t="n">
        <v>104.8</v>
      </c>
      <c r="T39" s="34" t="n">
        <v>0.03</v>
      </c>
      <c r="U39" s="34" t="n">
        <v>0.0293156822698343</v>
      </c>
      <c r="V39" s="134"/>
      <c r="W39" s="134"/>
      <c r="X39" s="34" t="n">
        <v>17.1006843177302</v>
      </c>
      <c r="Y39" s="34" t="n">
        <v>16.7106076018439</v>
      </c>
      <c r="Z39" s="34" t="n">
        <v>1.141</v>
      </c>
      <c r="AA39" s="34" t="n">
        <v>1.1149731156627</v>
      </c>
      <c r="AB39" s="34" t="n">
        <v>5.55</v>
      </c>
      <c r="AC39" s="34" t="n">
        <v>5.42340121991935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22" t="n">
        <v>35.8473</v>
      </c>
      <c r="H40" s="124" t="n">
        <v>60</v>
      </c>
      <c r="I40" s="192" t="n">
        <v>57.8</v>
      </c>
      <c r="J40" s="134"/>
      <c r="K40" s="135"/>
      <c r="L40" s="135"/>
      <c r="M40" s="135"/>
      <c r="N40" s="136"/>
      <c r="O40" s="135"/>
      <c r="P40" s="134" t="n">
        <v>2.815</v>
      </c>
      <c r="Q40" s="134"/>
      <c r="R40" s="134"/>
      <c r="S40" s="186" t="n">
        <v>122.6</v>
      </c>
      <c r="T40" s="34" t="n">
        <v>0.211</v>
      </c>
      <c r="U40" s="34" t="n">
        <v>0.206186965297835</v>
      </c>
      <c r="V40" s="134"/>
      <c r="W40" s="134"/>
      <c r="X40" s="34" t="n">
        <v>9.42381303470217</v>
      </c>
      <c r="Y40" s="34" t="n">
        <v>9.20885028985506</v>
      </c>
      <c r="Z40" s="34" t="n">
        <v>0.791</v>
      </c>
      <c r="AA40" s="34" t="n">
        <v>0.772956822514632</v>
      </c>
      <c r="AB40" s="34" t="n">
        <v>3.27</v>
      </c>
      <c r="AC40" s="34" t="n">
        <v>3.19540936741194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35.849</v>
      </c>
      <c r="H41" s="124" t="n">
        <v>60</v>
      </c>
      <c r="I41" s="192" t="n">
        <v>57.7</v>
      </c>
      <c r="J41" s="134"/>
      <c r="K41" s="135"/>
      <c r="L41" s="135"/>
      <c r="M41" s="135"/>
      <c r="N41" s="136"/>
      <c r="O41" s="135"/>
      <c r="P41" s="134" t="n">
        <v>2.862</v>
      </c>
      <c r="Q41" s="134"/>
      <c r="R41" s="134"/>
      <c r="S41" s="186" t="n">
        <v>124.7</v>
      </c>
      <c r="T41" s="34" t="n">
        <v>0.233</v>
      </c>
      <c r="U41" s="34" t="n">
        <v>0.227685132295713</v>
      </c>
      <c r="V41" s="134"/>
      <c r="W41" s="134"/>
      <c r="X41" s="34" t="n">
        <v>8.44231486770429</v>
      </c>
      <c r="Y41" s="34" t="n">
        <v>8.24974067611724</v>
      </c>
      <c r="Z41" s="34" t="n">
        <v>0.75</v>
      </c>
      <c r="AA41" s="34" t="n">
        <v>0.732892056745858</v>
      </c>
      <c r="AB41" s="34" t="n">
        <v>3.16</v>
      </c>
      <c r="AC41" s="34" t="n">
        <v>3.08791853242255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35.6176</v>
      </c>
      <c r="H42" s="124" t="n">
        <v>40</v>
      </c>
      <c r="I42" s="192" t="n">
        <v>39.2</v>
      </c>
      <c r="J42" s="134"/>
      <c r="K42" s="135"/>
      <c r="L42" s="135"/>
      <c r="M42" s="135"/>
      <c r="N42" s="136"/>
      <c r="O42" s="135"/>
      <c r="P42" s="134" t="n">
        <v>4.46</v>
      </c>
      <c r="Q42" s="134"/>
      <c r="R42" s="134"/>
      <c r="S42" s="186" t="n">
        <v>194.6</v>
      </c>
      <c r="T42" s="34" t="n">
        <v>0.001</v>
      </c>
      <c r="U42" s="34" t="n">
        <v>0.000977189408994478</v>
      </c>
      <c r="V42" s="134"/>
      <c r="W42" s="134"/>
      <c r="X42" s="34" t="n">
        <v>0.119022810591006</v>
      </c>
      <c r="Y42" s="34" t="n">
        <v>0.116307829938286</v>
      </c>
      <c r="Z42" s="34" t="n">
        <v>0.107</v>
      </c>
      <c r="AA42" s="34" t="n">
        <v>0.104559266762409</v>
      </c>
      <c r="AB42" s="34" t="n">
        <v>1</v>
      </c>
      <c r="AC42" s="34" t="n">
        <v>0.977189408994477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34.64</v>
      </c>
      <c r="H43" s="124" t="n">
        <v>20</v>
      </c>
      <c r="I43" s="192" t="n">
        <v>18.8</v>
      </c>
      <c r="J43" s="134"/>
      <c r="K43" s="135"/>
      <c r="L43" s="135"/>
      <c r="M43" s="135"/>
      <c r="N43" s="136"/>
      <c r="O43" s="135"/>
      <c r="P43" s="134" t="n">
        <v>4.438</v>
      </c>
      <c r="Q43" s="134"/>
      <c r="R43" s="134"/>
      <c r="S43" s="186" t="n">
        <v>193.8</v>
      </c>
      <c r="T43" s="34" t="n">
        <v>0</v>
      </c>
      <c r="U43" s="34" t="n">
        <v>0</v>
      </c>
      <c r="V43" s="134"/>
      <c r="W43" s="134"/>
      <c r="X43" s="34" t="n">
        <v>0.09</v>
      </c>
      <c r="Y43" s="34" t="n">
        <v>0.087947046809503</v>
      </c>
      <c r="Z43" s="34" t="n">
        <v>0.016</v>
      </c>
      <c r="AA43" s="34" t="n">
        <v>0.0156350305439116</v>
      </c>
      <c r="AB43" s="34" t="n">
        <v>0.57</v>
      </c>
      <c r="AC43" s="34" t="n">
        <v>0.556997963126852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34.6041</v>
      </c>
      <c r="H44" s="124" t="n">
        <v>10</v>
      </c>
      <c r="I44" s="192" t="n">
        <v>9.1</v>
      </c>
      <c r="J44" s="134"/>
      <c r="K44" s="135"/>
      <c r="L44" s="135"/>
      <c r="M44" s="135"/>
      <c r="N44" s="136"/>
      <c r="O44" s="135"/>
      <c r="P44" s="134" t="n">
        <v>4.455</v>
      </c>
      <c r="Q44" s="134"/>
      <c r="R44" s="134"/>
      <c r="S44" s="186" t="n">
        <v>194.6</v>
      </c>
      <c r="T44" s="34" t="n">
        <v>0</v>
      </c>
      <c r="U44" s="34" t="n">
        <v>0</v>
      </c>
      <c r="V44" s="134"/>
      <c r="W44" s="134"/>
      <c r="X44" s="34" t="n">
        <v>0.1</v>
      </c>
      <c r="Y44" s="34" t="n">
        <v>0.0977189408994478</v>
      </c>
      <c r="Z44" s="34" t="n">
        <v>0.027</v>
      </c>
      <c r="AA44" s="34" t="n">
        <v>0.0263841140428509</v>
      </c>
      <c r="AB44" s="34" t="n">
        <v>0.48</v>
      </c>
      <c r="AC44" s="34" t="n">
        <v>0.469050916317349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34.6022</v>
      </c>
      <c r="H45" s="124" t="n">
        <v>0</v>
      </c>
      <c r="I45" s="193" t="n">
        <v>1.3</v>
      </c>
      <c r="J45" s="134"/>
      <c r="K45" s="135"/>
      <c r="L45" s="135"/>
      <c r="M45" s="135"/>
      <c r="N45" s="136"/>
      <c r="O45" s="135"/>
      <c r="P45" s="134" t="n">
        <v>4.462</v>
      </c>
      <c r="Q45" s="134"/>
      <c r="R45" s="134"/>
      <c r="S45" s="186" t="n">
        <v>194.9</v>
      </c>
      <c r="T45" s="34" t="n">
        <v>0</v>
      </c>
      <c r="U45" s="34" t="n">
        <v>0</v>
      </c>
      <c r="V45" s="134"/>
      <c r="W45" s="134"/>
      <c r="X45" s="34" t="n">
        <v>0.07</v>
      </c>
      <c r="Y45" s="34" t="n">
        <v>0.0684032586296134</v>
      </c>
      <c r="Z45" s="34" t="n">
        <v>0.022</v>
      </c>
      <c r="AA45" s="34" t="n">
        <v>0.0214981669978785</v>
      </c>
      <c r="AB45" s="34" t="n">
        <v>0.48</v>
      </c>
      <c r="AC45" s="34" t="n">
        <v>0.469050916317349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0.25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5°0,25</v>
      </c>
      <c r="P9" s="31" t="s">
        <v>13</v>
      </c>
      <c r="Q9" s="35" t="n">
        <f aca="false">IF(ISBLANK(I9),"",IF(ISBLANK(J9),"",IF(J9&gt;60,"ERREUR !!",O11*(I9+(J9/60)))))</f>
        <v>5.00416666666667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20.15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2°20,15</v>
      </c>
      <c r="P10" s="31" t="s">
        <v>14</v>
      </c>
      <c r="Q10" s="35" t="n">
        <f aca="false">IF(ISBLANK(I10),"",IF(ISBLANK(J10),"",IF(J10&gt;60,"ERREUR !!",O12*(I10+(J10/60)))))</f>
        <v>2.33583333333333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37787</v>
      </c>
      <c r="K11" s="40"/>
      <c r="L11" s="40"/>
      <c r="M11" s="40"/>
      <c r="N11" s="41" t="str">
        <f aca="false">I9&amp;"°"&amp;J9</f>
        <v>5°0,25</v>
      </c>
      <c r="O11" s="42" t="n">
        <f aca="false">IF(P9=M10,-1,1)</f>
        <v>1</v>
      </c>
      <c r="P11" s="43" t="str">
        <f aca="false">TEXT(J11,"aaaa-mm-jj")&amp;"T"&amp;TEXT(J12,"hh:mm:ss")&amp;"z"</f>
        <v>2007-06-16T00:30:00z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0.0208333333333333</v>
      </c>
      <c r="K12" s="48"/>
      <c r="L12" s="48"/>
      <c r="M12" s="48"/>
      <c r="N12" s="49" t="str">
        <f aca="false">I10&amp;"°"&amp;J10</f>
        <v>2°20,15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34.636</v>
      </c>
      <c r="H35" s="123" t="n">
        <v>1000</v>
      </c>
      <c r="I35" s="192" t="n">
        <v>1003</v>
      </c>
      <c r="J35" s="125"/>
      <c r="K35" s="126"/>
      <c r="L35" s="126"/>
      <c r="M35" s="126"/>
      <c r="N35" s="127"/>
      <c r="O35" s="126"/>
      <c r="P35" s="125" t="n">
        <v>3.286</v>
      </c>
      <c r="Q35" s="125"/>
      <c r="R35" s="125"/>
      <c r="S35" s="184" t="n">
        <v>142.8</v>
      </c>
      <c r="T35" s="34" t="n">
        <v>0</v>
      </c>
      <c r="U35" s="34" t="n">
        <v>0</v>
      </c>
      <c r="V35" s="125"/>
      <c r="W35" s="125"/>
      <c r="X35" s="34" t="n">
        <v>34.04</v>
      </c>
      <c r="Y35" s="34" t="n">
        <v>33.263527482172</v>
      </c>
      <c r="Z35" s="34" t="n">
        <v>2.246</v>
      </c>
      <c r="AA35" s="34" t="n">
        <v>2.1947674126016</v>
      </c>
      <c r="AB35" s="34" t="n">
        <v>31.35</v>
      </c>
      <c r="AC35" s="34" t="n">
        <v>30.6348879719769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34.6118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2.226</v>
      </c>
      <c r="Q36" s="134"/>
      <c r="R36" s="134"/>
      <c r="S36" s="186" t="n">
        <v>96.8</v>
      </c>
      <c r="T36" s="34" t="n">
        <v>0</v>
      </c>
      <c r="U36" s="34" t="n">
        <v>0</v>
      </c>
      <c r="V36" s="134"/>
      <c r="W36" s="134"/>
      <c r="X36" s="34" t="n">
        <v>37</v>
      </c>
      <c r="Y36" s="34" t="n">
        <v>36.1560081327957</v>
      </c>
      <c r="Z36" s="34" t="n">
        <v>2.336</v>
      </c>
      <c r="AA36" s="34" t="n">
        <v>2.2827144594111</v>
      </c>
      <c r="AB36" s="34" t="n">
        <v>24.57</v>
      </c>
      <c r="AC36" s="34" t="n">
        <v>24.0095437789943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35.063</v>
      </c>
      <c r="H37" s="124" t="n">
        <v>300</v>
      </c>
      <c r="I37" s="192" t="n">
        <v>300</v>
      </c>
      <c r="J37" s="134"/>
      <c r="K37" s="135"/>
      <c r="L37" s="135"/>
      <c r="M37" s="135"/>
      <c r="N37" s="136"/>
      <c r="O37" s="135"/>
      <c r="P37" s="134" t="n">
        <v>1.178</v>
      </c>
      <c r="Q37" s="134"/>
      <c r="R37" s="134"/>
      <c r="S37" s="186" t="n">
        <v>51.2</v>
      </c>
      <c r="T37" s="34" t="n">
        <v>0.001</v>
      </c>
      <c r="U37" s="34" t="n">
        <v>0.000977189408994478</v>
      </c>
      <c r="V37" s="134"/>
      <c r="W37" s="134"/>
      <c r="X37" s="34" t="n">
        <v>32.679022810591</v>
      </c>
      <c r="Y37" s="34" t="n">
        <v>31.9335949867985</v>
      </c>
      <c r="Z37" s="34" t="n">
        <v>1.976</v>
      </c>
      <c r="AA37" s="34" t="n">
        <v>1.93092627217309</v>
      </c>
      <c r="AB37" s="34" t="n">
        <v>14.02</v>
      </c>
      <c r="AC37" s="34" t="n">
        <v>13.7001955141026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35.7334</v>
      </c>
      <c r="H38" s="124" t="n">
        <v>100</v>
      </c>
      <c r="I38" s="192" t="n">
        <v>99</v>
      </c>
      <c r="J38" s="134"/>
      <c r="K38" s="135"/>
      <c r="L38" s="135"/>
      <c r="M38" s="135"/>
      <c r="N38" s="136"/>
      <c r="O38" s="135"/>
      <c r="P38" s="134" t="n">
        <v>2.257</v>
      </c>
      <c r="Q38" s="134"/>
      <c r="R38" s="134"/>
      <c r="S38" s="186" t="n">
        <v>98.2</v>
      </c>
      <c r="T38" s="34" t="n">
        <v>0.015</v>
      </c>
      <c r="U38" s="34" t="n">
        <v>0.0146578411349172</v>
      </c>
      <c r="V38" s="134"/>
      <c r="W38" s="134"/>
      <c r="X38" s="34" t="n">
        <v>18.5653421588651</v>
      </c>
      <c r="Y38" s="34" t="n">
        <v>18.1418557320016</v>
      </c>
      <c r="Z38" s="34" t="n">
        <v>1.219</v>
      </c>
      <c r="AA38" s="34" t="n">
        <v>1.19119388956427</v>
      </c>
      <c r="AB38" s="34" t="n">
        <v>5.89</v>
      </c>
      <c r="AC38" s="34" t="n">
        <v>5.75564561897747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35.8258</v>
      </c>
      <c r="H39" s="124" t="n">
        <v>80</v>
      </c>
      <c r="I39" s="192" t="n">
        <v>79</v>
      </c>
      <c r="J39" s="134"/>
      <c r="K39" s="135"/>
      <c r="L39" s="135"/>
      <c r="M39" s="135"/>
      <c r="N39" s="136"/>
      <c r="O39" s="135"/>
      <c r="P39" s="134" t="n">
        <v>2.557</v>
      </c>
      <c r="Q39" s="134"/>
      <c r="R39" s="134"/>
      <c r="S39" s="186" t="n">
        <v>111.3</v>
      </c>
      <c r="T39" s="34" t="n">
        <v>0.032</v>
      </c>
      <c r="U39" s="34" t="n">
        <v>0.0312700610878233</v>
      </c>
      <c r="V39" s="134"/>
      <c r="W39" s="134"/>
      <c r="X39" s="34" t="n">
        <v>15.8487299389122</v>
      </c>
      <c r="Y39" s="34" t="n">
        <v>15.4872110423187</v>
      </c>
      <c r="Z39" s="34" t="n">
        <v>1.068</v>
      </c>
      <c r="AA39" s="34" t="n">
        <v>1.0436382888061</v>
      </c>
      <c r="AB39" s="34" t="n">
        <v>5.02</v>
      </c>
      <c r="AC39" s="34" t="n">
        <v>4.90549083315228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35.8564</v>
      </c>
      <c r="H40" s="124" t="n">
        <v>60</v>
      </c>
      <c r="I40" s="192" t="n">
        <v>60</v>
      </c>
      <c r="J40" s="134"/>
      <c r="K40" s="135"/>
      <c r="L40" s="135"/>
      <c r="M40" s="135"/>
      <c r="N40" s="136"/>
      <c r="O40" s="135"/>
      <c r="P40" s="134" t="n">
        <v>2.654</v>
      </c>
      <c r="Q40" s="134"/>
      <c r="R40" s="134"/>
      <c r="S40" s="186" t="n">
        <v>115.6</v>
      </c>
      <c r="T40" s="34" t="n">
        <v>0.11</v>
      </c>
      <c r="U40" s="34" t="n">
        <v>0.107490834989393</v>
      </c>
      <c r="V40" s="134"/>
      <c r="W40" s="134"/>
      <c r="X40" s="34" t="n">
        <v>12.5625091650106</v>
      </c>
      <c r="Y40" s="34" t="n">
        <v>12.2759509064444</v>
      </c>
      <c r="Z40" s="34" t="n">
        <v>0.896</v>
      </c>
      <c r="AA40" s="34" t="n">
        <v>0.875561710459052</v>
      </c>
      <c r="AB40" s="34" t="n">
        <v>3.77</v>
      </c>
      <c r="AC40" s="34" t="n">
        <v>3.68400407190918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34.704</v>
      </c>
      <c r="H41" s="124" t="n">
        <v>40</v>
      </c>
      <c r="I41" s="192" t="n">
        <v>39</v>
      </c>
      <c r="J41" s="134"/>
      <c r="K41" s="135"/>
      <c r="L41" s="135"/>
      <c r="M41" s="135"/>
      <c r="N41" s="136"/>
      <c r="O41" s="135"/>
      <c r="P41" s="134" t="n">
        <v>4.362</v>
      </c>
      <c r="Q41" s="134"/>
      <c r="R41" s="134"/>
      <c r="S41" s="186" t="n">
        <v>190.3</v>
      </c>
      <c r="T41" s="34" t="n">
        <v>0.012</v>
      </c>
      <c r="U41" s="34" t="n">
        <v>0.0117262729079337</v>
      </c>
      <c r="V41" s="134"/>
      <c r="W41" s="134"/>
      <c r="X41" s="34" t="n">
        <v>0.118273727092066</v>
      </c>
      <c r="Y41" s="34" t="n">
        <v>0.11557583347667</v>
      </c>
      <c r="Z41" s="34" t="n">
        <v>0.127</v>
      </c>
      <c r="AA41" s="34" t="n">
        <v>0.124103054942299</v>
      </c>
      <c r="AB41" s="34" t="n">
        <v>0.89</v>
      </c>
      <c r="AC41" s="34" t="n">
        <v>0.869698574005085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35.698</v>
      </c>
      <c r="H42" s="124" t="n">
        <v>20</v>
      </c>
      <c r="I42" s="192" t="n">
        <v>19</v>
      </c>
      <c r="J42" s="134"/>
      <c r="K42" s="135"/>
      <c r="L42" s="135"/>
      <c r="M42" s="135"/>
      <c r="N42" s="136"/>
      <c r="O42" s="135"/>
      <c r="P42" s="134" t="n">
        <v>4.494</v>
      </c>
      <c r="Q42" s="134"/>
      <c r="R42" s="134"/>
      <c r="S42" s="186" t="n">
        <v>196.1</v>
      </c>
      <c r="T42" s="34" t="n">
        <v>0</v>
      </c>
      <c r="U42" s="34" t="n">
        <v>0</v>
      </c>
      <c r="V42" s="134"/>
      <c r="W42" s="134"/>
      <c r="X42" s="34" t="n">
        <v>0.03</v>
      </c>
      <c r="Y42" s="34" t="n">
        <v>0.0293156822698343</v>
      </c>
      <c r="Z42" s="34" t="n">
        <v>0.013</v>
      </c>
      <c r="AA42" s="34" t="n">
        <v>0.0127034623169282</v>
      </c>
      <c r="AB42" s="34" t="n">
        <v>0.54</v>
      </c>
      <c r="AC42" s="34" t="n">
        <v>0.527682280857018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22" t="n">
        <v>34.7062</v>
      </c>
      <c r="H43" s="124" t="n">
        <v>10</v>
      </c>
      <c r="I43" s="192" t="n">
        <v>10</v>
      </c>
      <c r="J43" s="134"/>
      <c r="K43" s="135"/>
      <c r="L43" s="135"/>
      <c r="M43" s="135"/>
      <c r="N43" s="136"/>
      <c r="O43" s="135"/>
      <c r="P43" s="134" t="n">
        <v>4.497</v>
      </c>
      <c r="Q43" s="134"/>
      <c r="R43" s="134"/>
      <c r="S43" s="186" t="n">
        <v>196.4</v>
      </c>
      <c r="T43" s="34" t="n">
        <v>0.003</v>
      </c>
      <c r="U43" s="34" t="n">
        <v>0.00293156822698343</v>
      </c>
      <c r="V43" s="134"/>
      <c r="W43" s="134"/>
      <c r="X43" s="34" t="n">
        <v>0.0370684317730166</v>
      </c>
      <c r="Y43" s="34" t="n">
        <v>0.0362228789366262</v>
      </c>
      <c r="Z43" s="34" t="n">
        <v>0.015</v>
      </c>
      <c r="AA43" s="34" t="n">
        <v>0.0146578411349172</v>
      </c>
      <c r="AB43" s="34" t="n">
        <v>0.54</v>
      </c>
      <c r="AC43" s="34" t="n">
        <v>0.527682280857018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22" t="n">
        <v>34.7036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4.498</v>
      </c>
      <c r="Q44" s="134"/>
      <c r="R44" s="134"/>
      <c r="S44" s="186" t="n">
        <v>196.5</v>
      </c>
      <c r="T44" s="34" t="n">
        <v>0</v>
      </c>
      <c r="U44" s="34" t="n">
        <v>0</v>
      </c>
      <c r="V44" s="134"/>
      <c r="W44" s="134"/>
      <c r="X44" s="34" t="n">
        <v>0.03</v>
      </c>
      <c r="Y44" s="34" t="n">
        <v>0.0293156822698343</v>
      </c>
      <c r="Z44" s="34" t="n">
        <v>0.022</v>
      </c>
      <c r="AA44" s="34" t="n">
        <v>0.0214981669978785</v>
      </c>
      <c r="AB44" s="34" t="n">
        <v>0.55</v>
      </c>
      <c r="AC44" s="34" t="n">
        <v>0.537454174946963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34.7032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4.497</v>
      </c>
      <c r="Q45" s="134"/>
      <c r="R45" s="134"/>
      <c r="S45" s="186" t="n">
        <v>196.4</v>
      </c>
      <c r="T45" s="34" t="n">
        <v>0</v>
      </c>
      <c r="U45" s="34" t="n">
        <v>0</v>
      </c>
      <c r="V45" s="134"/>
      <c r="W45" s="134"/>
      <c r="X45" s="34" t="n">
        <v>0.05</v>
      </c>
      <c r="Y45" s="34" t="n">
        <v>0.0488594704497239</v>
      </c>
      <c r="Z45" s="34" t="n">
        <v>0.014</v>
      </c>
      <c r="AA45" s="34" t="n">
        <v>0.0136806517259227</v>
      </c>
      <c r="AB45" s="34" t="n">
        <v>0.58</v>
      </c>
      <c r="AC45" s="34" t="n">
        <v>0.566769857216797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30.04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5°30,04</v>
      </c>
      <c r="P9" s="31" t="s">
        <v>13</v>
      </c>
      <c r="Q9" s="35" t="n">
        <f aca="false">IF(ISBLANK(I9),"",IF(ISBLANK(J9),"",IF(J9&gt;60,"ERREUR !!",O11*(I9+(J9/60)))))</f>
        <v>5.50066666666667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19.76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2°19,76</v>
      </c>
      <c r="P10" s="31" t="s">
        <v>14</v>
      </c>
      <c r="Q10" s="35" t="n">
        <f aca="false">IF(ISBLANK(I10),"",IF(ISBLANK(J10),"",IF(J10&gt;60,"ERREUR !!",O12*(I10+(J10/60)))))</f>
        <v>2.32933333333333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37787</v>
      </c>
      <c r="K11" s="40"/>
      <c r="L11" s="40"/>
      <c r="M11" s="40"/>
      <c r="N11" s="41" t="str">
        <f aca="false">I9&amp;"°"&amp;J9</f>
        <v>5°30,04</v>
      </c>
      <c r="O11" s="42" t="n">
        <f aca="false">IF(P9=M10,-1,1)</f>
        <v>1</v>
      </c>
      <c r="P11" s="43" t="str">
        <f aca="false">TEXT(J11,"aaaa-mm-jj")&amp;"T"&amp;TEXT(J12,"hh:mm:ss")&amp;"z"</f>
        <v>2007-06-16T04:30:00z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0.1875</v>
      </c>
      <c r="K12" s="48"/>
      <c r="L12" s="48"/>
      <c r="M12" s="48"/>
      <c r="N12" s="49" t="str">
        <f aca="false">I10&amp;"°"&amp;J10</f>
        <v>2°19,76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34.6441</v>
      </c>
      <c r="H35" s="123" t="n">
        <v>1000</v>
      </c>
      <c r="I35" s="192" t="n">
        <v>1002</v>
      </c>
      <c r="J35" s="125"/>
      <c r="K35" s="126"/>
      <c r="L35" s="126"/>
      <c r="M35" s="126"/>
      <c r="N35" s="127"/>
      <c r="O35" s="126"/>
      <c r="P35" s="125" t="n">
        <v>3.313</v>
      </c>
      <c r="Q35" s="125"/>
      <c r="R35" s="125"/>
      <c r="S35" s="184" t="n">
        <v>144</v>
      </c>
      <c r="T35" s="34" t="n">
        <v>0.003</v>
      </c>
      <c r="U35" s="34" t="n">
        <v>0.00293156822698343</v>
      </c>
      <c r="V35" s="125"/>
      <c r="W35" s="125"/>
      <c r="X35" s="34" t="n">
        <v>33.387</v>
      </c>
      <c r="Y35" s="34" t="n">
        <v>32.6254227980986</v>
      </c>
      <c r="Z35" s="34" t="n">
        <v>2.208</v>
      </c>
      <c r="AA35" s="34" t="n">
        <v>2.15763421505981</v>
      </c>
      <c r="AB35" s="34" t="n">
        <v>30.26</v>
      </c>
      <c r="AC35" s="34" t="n">
        <v>29.5697515161729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34.6127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2.236</v>
      </c>
      <c r="Q36" s="134"/>
      <c r="R36" s="134"/>
      <c r="S36" s="186" t="n">
        <v>97.2</v>
      </c>
      <c r="T36" s="34" t="n">
        <v>0</v>
      </c>
      <c r="U36" s="34" t="n">
        <v>0</v>
      </c>
      <c r="V36" s="134"/>
      <c r="W36" s="134"/>
      <c r="X36" s="34" t="n">
        <v>36.91</v>
      </c>
      <c r="Y36" s="34" t="n">
        <v>36.0680610859862</v>
      </c>
      <c r="Z36" s="34" t="n">
        <v>2.355</v>
      </c>
      <c r="AA36" s="34" t="n">
        <v>2.30128105818199</v>
      </c>
      <c r="AB36" s="34" t="n">
        <v>23.75</v>
      </c>
      <c r="AC36" s="34" t="n">
        <v>23.2082484636188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35.0384</v>
      </c>
      <c r="H37" s="124" t="n">
        <v>300</v>
      </c>
      <c r="I37" s="192" t="n">
        <v>301</v>
      </c>
      <c r="J37" s="134"/>
      <c r="K37" s="135"/>
      <c r="L37" s="135"/>
      <c r="M37" s="135"/>
      <c r="N37" s="136"/>
      <c r="O37" s="135"/>
      <c r="P37" s="134" t="n">
        <v>1.242</v>
      </c>
      <c r="Q37" s="134"/>
      <c r="R37" s="134"/>
      <c r="S37" s="186" t="n">
        <v>54</v>
      </c>
      <c r="T37" s="34" t="n">
        <v>0.006</v>
      </c>
      <c r="U37" s="34" t="n">
        <v>0.00586313645396686</v>
      </c>
      <c r="V37" s="134"/>
      <c r="W37" s="134"/>
      <c r="X37" s="34" t="n">
        <v>32.804</v>
      </c>
      <c r="Y37" s="34" t="n">
        <v>32.0557213726548</v>
      </c>
      <c r="Z37" s="34" t="n">
        <v>1.992</v>
      </c>
      <c r="AA37" s="34" t="n">
        <v>1.946561302717</v>
      </c>
      <c r="AB37" s="34" t="n">
        <v>13.46</v>
      </c>
      <c r="AC37" s="34" t="n">
        <v>13.1529694450657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35.7529</v>
      </c>
      <c r="H38" s="124" t="n">
        <v>100</v>
      </c>
      <c r="I38" s="192" t="n">
        <v>99</v>
      </c>
      <c r="J38" s="134"/>
      <c r="K38" s="135"/>
      <c r="L38" s="135"/>
      <c r="M38" s="135"/>
      <c r="N38" s="136"/>
      <c r="O38" s="135"/>
      <c r="P38" s="134" t="n">
        <v>2.302</v>
      </c>
      <c r="Q38" s="134"/>
      <c r="R38" s="134"/>
      <c r="S38" s="186" t="n">
        <v>100.2</v>
      </c>
      <c r="T38" s="34" t="n">
        <v>0.023</v>
      </c>
      <c r="U38" s="34" t="n">
        <v>0.022475356406873</v>
      </c>
      <c r="V38" s="134"/>
      <c r="W38" s="134"/>
      <c r="X38" s="34" t="n">
        <v>18.087</v>
      </c>
      <c r="Y38" s="34" t="n">
        <v>17.6744248404831</v>
      </c>
      <c r="Z38" s="34" t="n">
        <v>1.202</v>
      </c>
      <c r="AA38" s="34" t="n">
        <v>1.17458166961136</v>
      </c>
      <c r="AB38" s="34" t="n">
        <v>5.67</v>
      </c>
      <c r="AC38" s="34" t="n">
        <v>5.54066394899869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35.8584</v>
      </c>
      <c r="H39" s="124" t="n">
        <v>80</v>
      </c>
      <c r="I39" s="192" t="n">
        <v>77</v>
      </c>
      <c r="J39" s="134"/>
      <c r="K39" s="135"/>
      <c r="L39" s="135"/>
      <c r="M39" s="135"/>
      <c r="N39" s="136"/>
      <c r="O39" s="135"/>
      <c r="P39" s="134" t="n">
        <v>2.595</v>
      </c>
      <c r="Q39" s="134"/>
      <c r="R39" s="134"/>
      <c r="S39" s="186" t="n">
        <v>113</v>
      </c>
      <c r="T39" s="34" t="n">
        <v>0.049</v>
      </c>
      <c r="U39" s="34" t="n">
        <v>0.0478822810407294</v>
      </c>
      <c r="V39" s="134"/>
      <c r="W39" s="134"/>
      <c r="X39" s="34" t="n">
        <v>15.041</v>
      </c>
      <c r="Y39" s="34" t="n">
        <v>14.6979059006859</v>
      </c>
      <c r="Z39" s="34" t="n">
        <v>1.011</v>
      </c>
      <c r="AA39" s="34" t="n">
        <v>0.987938492493417</v>
      </c>
      <c r="AB39" s="34" t="n">
        <v>4.32</v>
      </c>
      <c r="AC39" s="34" t="n">
        <v>4.22145824685614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35.8537</v>
      </c>
      <c r="H40" s="124" t="n">
        <v>60</v>
      </c>
      <c r="I40" s="192" t="n">
        <v>59</v>
      </c>
      <c r="J40" s="134"/>
      <c r="K40" s="135"/>
      <c r="L40" s="135"/>
      <c r="M40" s="135"/>
      <c r="N40" s="136"/>
      <c r="O40" s="135"/>
      <c r="P40" s="134" t="n">
        <v>2.856</v>
      </c>
      <c r="Q40" s="134"/>
      <c r="R40" s="134"/>
      <c r="S40" s="186" t="n">
        <v>124.4</v>
      </c>
      <c r="T40" s="34" t="n">
        <v>0.435</v>
      </c>
      <c r="U40" s="34" t="n">
        <v>0.425077392912598</v>
      </c>
      <c r="V40" s="134"/>
      <c r="W40" s="134"/>
      <c r="X40" s="34" t="n">
        <v>8.875</v>
      </c>
      <c r="Y40" s="34" t="n">
        <v>8.67255600482599</v>
      </c>
      <c r="Z40" s="34" t="n">
        <v>0.755</v>
      </c>
      <c r="AA40" s="34" t="n">
        <v>0.73777800379083</v>
      </c>
      <c r="AB40" s="34" t="n">
        <v>2.92</v>
      </c>
      <c r="AC40" s="34" t="n">
        <v>2.85339307426387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35.7307</v>
      </c>
      <c r="H41" s="124" t="n">
        <v>40</v>
      </c>
      <c r="I41" s="192" t="n">
        <v>37</v>
      </c>
      <c r="J41" s="134"/>
      <c r="K41" s="135"/>
      <c r="L41" s="135"/>
      <c r="M41" s="135"/>
      <c r="N41" s="136"/>
      <c r="O41" s="135"/>
      <c r="P41" s="134" t="n">
        <v>4.501</v>
      </c>
      <c r="Q41" s="134"/>
      <c r="R41" s="134"/>
      <c r="S41" s="186" t="n">
        <v>196.3</v>
      </c>
      <c r="T41" s="34" t="n">
        <v>0.006</v>
      </c>
      <c r="U41" s="34" t="n">
        <v>0.00586313645396686</v>
      </c>
      <c r="V41" s="134"/>
      <c r="W41" s="134"/>
      <c r="X41" s="34" t="n">
        <v>0.044</v>
      </c>
      <c r="Y41" s="34" t="n">
        <v>0.042996333995757</v>
      </c>
      <c r="Z41" s="34" t="n">
        <v>0.092</v>
      </c>
      <c r="AA41" s="34" t="n">
        <v>0.0899014256274919</v>
      </c>
      <c r="AB41" s="34" t="n">
        <v>0.97</v>
      </c>
      <c r="AC41" s="34" t="n">
        <v>0.947873726724643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34.3993</v>
      </c>
      <c r="H42" s="124" t="n">
        <v>20</v>
      </c>
      <c r="I42" s="192" t="n">
        <v>17</v>
      </c>
      <c r="J42" s="134"/>
      <c r="K42" s="135"/>
      <c r="L42" s="135"/>
      <c r="M42" s="135"/>
      <c r="N42" s="136"/>
      <c r="O42" s="135"/>
      <c r="P42" s="134" t="n">
        <v>4.42</v>
      </c>
      <c r="Q42" s="134"/>
      <c r="R42" s="134"/>
      <c r="S42" s="186" t="n">
        <v>193</v>
      </c>
      <c r="T42" s="34" t="n">
        <v>0.007</v>
      </c>
      <c r="U42" s="34" t="n">
        <v>0.00684032586296134</v>
      </c>
      <c r="V42" s="134"/>
      <c r="W42" s="134"/>
      <c r="X42" s="34" t="n">
        <v>0.053</v>
      </c>
      <c r="Y42" s="34" t="n">
        <v>0.0517910386767073</v>
      </c>
      <c r="Z42" s="34" t="n">
        <v>0</v>
      </c>
      <c r="AA42" s="34" t="n">
        <v>0</v>
      </c>
      <c r="AB42" s="34" t="n">
        <v>0.97</v>
      </c>
      <c r="AC42" s="34" t="n">
        <v>0.947873726724643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34.3855</v>
      </c>
      <c r="H43" s="124" t="n">
        <v>10</v>
      </c>
      <c r="I43" s="192" t="n">
        <v>9</v>
      </c>
      <c r="J43" s="134"/>
      <c r="K43" s="135"/>
      <c r="L43" s="135"/>
      <c r="M43" s="135"/>
      <c r="N43" s="136"/>
      <c r="O43" s="135"/>
      <c r="P43" s="134" t="n">
        <v>4.403</v>
      </c>
      <c r="Q43" s="134"/>
      <c r="R43" s="134"/>
      <c r="S43" s="186" t="n">
        <v>192.4</v>
      </c>
      <c r="T43" s="34" t="n">
        <v>0.009</v>
      </c>
      <c r="U43" s="34" t="n">
        <v>0.0087947046809503</v>
      </c>
      <c r="V43" s="134"/>
      <c r="W43" s="134"/>
      <c r="X43" s="34" t="n">
        <v>0.041</v>
      </c>
      <c r="Y43" s="34" t="n">
        <v>0.0400647657687736</v>
      </c>
      <c r="Z43" s="34" t="n">
        <v>0</v>
      </c>
      <c r="AA43" s="34" t="n">
        <v>0</v>
      </c>
      <c r="AB43" s="34" t="n">
        <v>1</v>
      </c>
      <c r="AC43" s="34" t="n">
        <v>0.977189408994477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22" t="n">
        <v>34.3847</v>
      </c>
      <c r="H44" s="124" t="n">
        <v>0</v>
      </c>
      <c r="I44" s="192" t="n">
        <v>1</v>
      </c>
      <c r="J44" s="134"/>
      <c r="K44" s="135"/>
      <c r="L44" s="135"/>
      <c r="M44" s="135"/>
      <c r="N44" s="136"/>
      <c r="O44" s="135"/>
      <c r="P44" s="134" t="n">
        <v>4.408</v>
      </c>
      <c r="Q44" s="134"/>
      <c r="R44" s="134"/>
      <c r="S44" s="186" t="n">
        <v>192.6</v>
      </c>
      <c r="T44" s="34" t="n">
        <v>0.007</v>
      </c>
      <c r="U44" s="34" t="n">
        <v>0.00684032586296134</v>
      </c>
      <c r="V44" s="134"/>
      <c r="W44" s="134"/>
      <c r="X44" s="34" t="n">
        <v>0.043</v>
      </c>
      <c r="Y44" s="34" t="n">
        <v>0.0420191445867625</v>
      </c>
      <c r="Z44" s="34" t="n">
        <v>0</v>
      </c>
      <c r="AA44" s="34" t="n">
        <v>0</v>
      </c>
      <c r="AB44" s="34" t="n">
        <v>1.04</v>
      </c>
      <c r="AC44" s="34" t="n">
        <v>1.01627698535426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22" t="n">
        <v>34.385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4.408</v>
      </c>
      <c r="Q45" s="134"/>
      <c r="R45" s="134"/>
      <c r="S45" s="186" t="n">
        <v>192.6</v>
      </c>
      <c r="T45" s="34" t="n">
        <v>0.006</v>
      </c>
      <c r="U45" s="34" t="n">
        <v>0.00586313645396686</v>
      </c>
      <c r="V45" s="134"/>
      <c r="W45" s="134"/>
      <c r="X45" s="34" t="n">
        <v>0.034</v>
      </c>
      <c r="Y45" s="34" t="n">
        <v>0.0332244399058122</v>
      </c>
      <c r="Z45" s="34" t="n">
        <v>0</v>
      </c>
      <c r="AA45" s="34" t="n">
        <v>0</v>
      </c>
      <c r="AB45" s="34" t="n">
        <v>1.07</v>
      </c>
      <c r="AC45" s="34" t="n">
        <v>1.04559266762409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40" activeCellId="0" sqref="H40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37794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0.68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-0°0,68</v>
      </c>
      <c r="P9" s="31" t="s">
        <v>16</v>
      </c>
      <c r="Q9" s="35" t="n">
        <f aca="false">IF(ISBLANK(I9),"",IF(ISBLANK(J9),"",IF(J9&gt;60,"ERREUR !!",O11*(I9+(J9/60)))))</f>
        <v>-0.0113333333333333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0.43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-0°0,43</v>
      </c>
      <c r="P10" s="31" t="s">
        <v>17</v>
      </c>
      <c r="Q10" s="35" t="n">
        <f aca="false">IF(ISBLANK(I10),"",IF(ISBLANK(J10),"",IF(J10&gt;60,"ERREUR !!",O12*(I10+(J10/60)))))</f>
        <v>-0.00716666666666667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37794</v>
      </c>
      <c r="K11" s="40"/>
      <c r="L11" s="40"/>
      <c r="M11" s="40"/>
      <c r="N11" s="41" t="str">
        <f aca="false">I9&amp;"°"&amp;J9</f>
        <v>0°0,68</v>
      </c>
      <c r="O11" s="42" t="n">
        <f aca="false">IF(P9=M10,-1,1)</f>
        <v>-1</v>
      </c>
      <c r="P11" s="43" t="str">
        <f aca="false">TEXT(J11,"aaaa-mm-jj")&amp;"T"&amp;TEXT(J12,"hh:mm:ss")&amp;"z"</f>
        <v>2007-06-23T00:30:00z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0.0208333333333333</v>
      </c>
      <c r="K12" s="48"/>
      <c r="L12" s="48"/>
      <c r="M12" s="48"/>
      <c r="N12" s="49" t="str">
        <f aca="false">I10&amp;"°"&amp;J10</f>
        <v>0°0,43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34.9645</v>
      </c>
      <c r="H35" s="123" t="n">
        <v>2000</v>
      </c>
      <c r="I35" s="192" t="n">
        <v>2004</v>
      </c>
      <c r="J35" s="125"/>
      <c r="K35" s="126"/>
      <c r="L35" s="126"/>
      <c r="M35" s="126"/>
      <c r="N35" s="127"/>
      <c r="O35" s="126"/>
      <c r="P35" s="125" t="n">
        <v>5.479</v>
      </c>
      <c r="Q35" s="125"/>
      <c r="R35" s="125"/>
      <c r="S35" s="184" t="n">
        <v>238.1</v>
      </c>
      <c r="T35" s="34" t="n">
        <v>0.016</v>
      </c>
      <c r="U35" s="34" t="n">
        <v>0.0156350305439116</v>
      </c>
      <c r="V35" s="125"/>
      <c r="W35" s="125"/>
      <c r="X35" s="34" t="n">
        <v>20.624</v>
      </c>
      <c r="Y35" s="34" t="n">
        <v>20.1535543711021</v>
      </c>
      <c r="Z35" s="34" t="n">
        <v>1.357</v>
      </c>
      <c r="AA35" s="34" t="n">
        <v>1.32604602800551</v>
      </c>
      <c r="AB35" s="34" t="n">
        <v>21.76</v>
      </c>
      <c r="AC35" s="34" t="n">
        <v>21.2636415397198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34.9452</v>
      </c>
      <c r="H36" s="123" t="n">
        <v>1500</v>
      </c>
      <c r="I36" s="192" t="n">
        <v>1499</v>
      </c>
      <c r="J36" s="134"/>
      <c r="K36" s="135"/>
      <c r="L36" s="135"/>
      <c r="M36" s="135"/>
      <c r="N36" s="136"/>
      <c r="O36" s="135"/>
      <c r="P36" s="134" t="n">
        <v>4.908</v>
      </c>
      <c r="Q36" s="134"/>
      <c r="R36" s="134"/>
      <c r="S36" s="186" t="n">
        <v>213.3</v>
      </c>
      <c r="T36" s="34" t="n">
        <v>0.022</v>
      </c>
      <c r="U36" s="34" t="n">
        <v>0.0214981669978785</v>
      </c>
      <c r="V36" s="134"/>
      <c r="W36" s="134"/>
      <c r="X36" s="34" t="n">
        <v>23.228</v>
      </c>
      <c r="Y36" s="34" t="n">
        <v>22.6981555921237</v>
      </c>
      <c r="Z36" s="34" t="n">
        <v>1.514</v>
      </c>
      <c r="AA36" s="34" t="n">
        <v>1.47946476521764</v>
      </c>
      <c r="AB36" s="34" t="n">
        <v>20.03</v>
      </c>
      <c r="AC36" s="34" t="n">
        <v>19.5731038621594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34.629</v>
      </c>
      <c r="H37" s="192" t="n">
        <v>1000</v>
      </c>
      <c r="I37" s="192" t="n">
        <v>1000</v>
      </c>
      <c r="J37" s="134"/>
      <c r="K37" s="135"/>
      <c r="L37" s="135"/>
      <c r="M37" s="135"/>
      <c r="N37" s="136"/>
      <c r="O37" s="135"/>
      <c r="P37" s="134" t="n">
        <v>3.489</v>
      </c>
      <c r="Q37" s="134"/>
      <c r="R37" s="134"/>
      <c r="S37" s="186" t="n">
        <v>151.7</v>
      </c>
      <c r="T37" s="34" t="n">
        <v>0.015</v>
      </c>
      <c r="U37" s="34" t="n">
        <v>0.0146578411349172</v>
      </c>
      <c r="V37" s="134"/>
      <c r="W37" s="134"/>
      <c r="X37" s="34" t="n">
        <v>33.325</v>
      </c>
      <c r="Y37" s="34" t="n">
        <v>32.564837054741</v>
      </c>
      <c r="Z37" s="34" t="n">
        <v>2.2</v>
      </c>
      <c r="AA37" s="34" t="n">
        <v>2.14981669978785</v>
      </c>
      <c r="AB37" s="34" t="n">
        <v>31.02</v>
      </c>
      <c r="AC37" s="34" t="n">
        <v>30.3124154670087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34.651</v>
      </c>
      <c r="H38" s="124" t="n">
        <v>500</v>
      </c>
      <c r="I38" s="192" t="n">
        <v>499</v>
      </c>
      <c r="J38" s="134"/>
      <c r="K38" s="135"/>
      <c r="L38" s="135"/>
      <c r="M38" s="135"/>
      <c r="N38" s="136"/>
      <c r="O38" s="135"/>
      <c r="P38" s="134" t="n">
        <v>2.592</v>
      </c>
      <c r="Q38" s="134"/>
      <c r="R38" s="134"/>
      <c r="S38" s="186" t="n">
        <v>112.7</v>
      </c>
      <c r="T38" s="34" t="n">
        <v>0.015</v>
      </c>
      <c r="U38" s="34" t="n">
        <v>0.0146578411349172</v>
      </c>
      <c r="V38" s="134"/>
      <c r="W38" s="134"/>
      <c r="X38" s="34" t="n">
        <v>33.665</v>
      </c>
      <c r="Y38" s="34" t="n">
        <v>32.8970814537991</v>
      </c>
      <c r="Z38" s="34" t="n">
        <v>2.08</v>
      </c>
      <c r="AA38" s="34" t="n">
        <v>2.03255397070851</v>
      </c>
      <c r="AB38" s="34" t="n">
        <v>18.53</v>
      </c>
      <c r="AC38" s="34" t="n">
        <v>18.1073197486677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35.6914</v>
      </c>
      <c r="H39" s="124" t="n">
        <v>100</v>
      </c>
      <c r="I39" s="192" t="n">
        <v>100</v>
      </c>
      <c r="J39" s="134"/>
      <c r="K39" s="135"/>
      <c r="L39" s="135"/>
      <c r="M39" s="135"/>
      <c r="N39" s="136"/>
      <c r="O39" s="135"/>
      <c r="P39" s="134" t="n">
        <v>3.4</v>
      </c>
      <c r="Q39" s="134"/>
      <c r="R39" s="134"/>
      <c r="S39" s="186" t="n">
        <v>148</v>
      </c>
      <c r="T39" s="34" t="n">
        <v>0.057</v>
      </c>
      <c r="U39" s="34" t="n">
        <v>0.0556997963126852</v>
      </c>
      <c r="V39" s="134"/>
      <c r="W39" s="134"/>
      <c r="X39" s="34" t="n">
        <v>13.763</v>
      </c>
      <c r="Y39" s="34" t="n">
        <v>13.449057835991</v>
      </c>
      <c r="Z39" s="34" t="n">
        <v>0.97</v>
      </c>
      <c r="AA39" s="34" t="n">
        <v>0.947873726724643</v>
      </c>
      <c r="AB39" s="34" t="n">
        <v>4.99</v>
      </c>
      <c r="AC39" s="34" t="n">
        <v>4.87617515088244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35.7756</v>
      </c>
      <c r="H40" s="124" t="n">
        <v>80</v>
      </c>
      <c r="I40" s="192" t="n">
        <v>76</v>
      </c>
      <c r="J40" s="134"/>
      <c r="K40" s="135"/>
      <c r="L40" s="135"/>
      <c r="M40" s="135"/>
      <c r="N40" s="136"/>
      <c r="O40" s="135"/>
      <c r="P40" s="134" t="n">
        <v>3.627</v>
      </c>
      <c r="Q40" s="134"/>
      <c r="R40" s="134"/>
      <c r="S40" s="186" t="n">
        <v>157.9</v>
      </c>
      <c r="T40" s="34" t="n">
        <v>0.121</v>
      </c>
      <c r="U40" s="34" t="n">
        <v>0.118239918488332</v>
      </c>
      <c r="V40" s="134"/>
      <c r="W40" s="134"/>
      <c r="X40" s="34" t="n">
        <v>11.889</v>
      </c>
      <c r="Y40" s="34" t="n">
        <v>11.6178048835353</v>
      </c>
      <c r="Z40" s="34" t="n">
        <v>0.864</v>
      </c>
      <c r="AA40" s="34" t="n">
        <v>0.844291649371229</v>
      </c>
      <c r="AB40" s="34" t="n">
        <v>4.51</v>
      </c>
      <c r="AC40" s="34" t="n">
        <v>4.40712423456509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35.8678</v>
      </c>
      <c r="H41" s="124" t="n">
        <v>60</v>
      </c>
      <c r="I41" s="192" t="n">
        <v>60</v>
      </c>
      <c r="J41" s="134"/>
      <c r="K41" s="135"/>
      <c r="L41" s="135"/>
      <c r="M41" s="135"/>
      <c r="N41" s="136"/>
      <c r="O41" s="135"/>
      <c r="P41" s="134" t="n">
        <v>3.709</v>
      </c>
      <c r="Q41" s="134"/>
      <c r="R41" s="134"/>
      <c r="S41" s="186" t="n">
        <v>161.4</v>
      </c>
      <c r="T41" s="34" t="n">
        <v>0.158</v>
      </c>
      <c r="U41" s="34" t="n">
        <v>0.154395926621127</v>
      </c>
      <c r="V41" s="134"/>
      <c r="W41" s="134"/>
      <c r="X41" s="34" t="n">
        <v>10.612</v>
      </c>
      <c r="Y41" s="34" t="n">
        <v>10.3699340082494</v>
      </c>
      <c r="Z41" s="34" t="n">
        <v>0.797</v>
      </c>
      <c r="AA41" s="34" t="n">
        <v>0.778819958968599</v>
      </c>
      <c r="AB41" s="34" t="n">
        <v>4.17</v>
      </c>
      <c r="AC41" s="34" t="n">
        <v>4.07487983550697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35.9024</v>
      </c>
      <c r="H42" s="124" t="n">
        <v>40</v>
      </c>
      <c r="I42" s="192" t="n">
        <v>35</v>
      </c>
      <c r="J42" s="134"/>
      <c r="K42" s="135"/>
      <c r="L42" s="135"/>
      <c r="M42" s="135"/>
      <c r="N42" s="136"/>
      <c r="O42" s="135"/>
      <c r="P42" s="134" t="n">
        <v>4.113</v>
      </c>
      <c r="Q42" s="134"/>
      <c r="R42" s="134"/>
      <c r="S42" s="186" t="n">
        <v>179.1</v>
      </c>
      <c r="T42" s="34" t="n">
        <v>0.22</v>
      </c>
      <c r="U42" s="34" t="n">
        <v>0.214981669978785</v>
      </c>
      <c r="V42" s="134"/>
      <c r="W42" s="134"/>
      <c r="X42" s="34" t="n">
        <v>6.2</v>
      </c>
      <c r="Y42" s="34" t="n">
        <v>6.05857433576576</v>
      </c>
      <c r="Z42" s="34" t="n">
        <v>0.551</v>
      </c>
      <c r="AA42" s="34" t="n">
        <v>0.538431364355957</v>
      </c>
      <c r="AB42" s="34" t="n">
        <v>2.2</v>
      </c>
      <c r="AC42" s="34" t="n">
        <v>2.14981669978785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34.8736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4.49</v>
      </c>
      <c r="Q43" s="134"/>
      <c r="R43" s="134"/>
      <c r="S43" s="186" t="n">
        <v>196</v>
      </c>
      <c r="T43" s="34" t="n">
        <v>0.037</v>
      </c>
      <c r="U43" s="34" t="n">
        <v>0.0361560081327957</v>
      </c>
      <c r="V43" s="134"/>
      <c r="W43" s="134"/>
      <c r="X43" s="34" t="n">
        <v>0.473</v>
      </c>
      <c r="Y43" s="34" t="n">
        <v>0.462210590454388</v>
      </c>
      <c r="Z43" s="34" t="n">
        <v>0.072</v>
      </c>
      <c r="AA43" s="34" t="n">
        <v>0.0703576374476024</v>
      </c>
      <c r="AB43" s="34" t="n">
        <v>0.97</v>
      </c>
      <c r="AC43" s="34" t="n">
        <v>0.947873726724643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34.4087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4.52</v>
      </c>
      <c r="Q44" s="134"/>
      <c r="R44" s="134"/>
      <c r="S44" s="186" t="n">
        <v>197.5</v>
      </c>
      <c r="T44" s="34" t="n">
        <v>0.02</v>
      </c>
      <c r="U44" s="34" t="n">
        <v>0.0195437881798896</v>
      </c>
      <c r="V44" s="134"/>
      <c r="W44" s="134"/>
      <c r="X44" s="34" t="n">
        <v>0.07</v>
      </c>
      <c r="Y44" s="34" t="n">
        <v>0.0684032586296134</v>
      </c>
      <c r="Z44" s="34" t="n">
        <v>0.00600000000000001</v>
      </c>
      <c r="AA44" s="34" t="n">
        <v>0.00586313645396687</v>
      </c>
      <c r="AB44" s="34" t="n">
        <v>0.75</v>
      </c>
      <c r="AC44" s="34" t="n">
        <v>0.732892056745858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34.3816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4.531</v>
      </c>
      <c r="Q45" s="134"/>
      <c r="R45" s="134"/>
      <c r="S45" s="186" t="n">
        <v>197.9</v>
      </c>
      <c r="T45" s="34" t="n">
        <v>0.021</v>
      </c>
      <c r="U45" s="34" t="n">
        <v>0.020520977588884</v>
      </c>
      <c r="V45" s="134"/>
      <c r="W45" s="134"/>
      <c r="X45" s="34" t="n">
        <v>0.059</v>
      </c>
      <c r="Y45" s="34" t="n">
        <v>0.0576541751306742</v>
      </c>
      <c r="Z45" s="34" t="n">
        <v>0.005</v>
      </c>
      <c r="AA45" s="34" t="n">
        <v>0.00488594704497239</v>
      </c>
      <c r="AB45" s="34" t="n">
        <v>0.76</v>
      </c>
      <c r="AC45" s="34" t="n">
        <v>0.742663950835803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40" activeCellId="0" sqref="H40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37798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53.9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-9°53,9</v>
      </c>
      <c r="P9" s="31" t="s">
        <v>16</v>
      </c>
      <c r="Q9" s="35" t="n">
        <f aca="false">IF(ISBLANK(I9),"",IF(ISBLANK(J9),"",IF(J9&gt;60,"ERREUR !!",O11*(I9+(J9/60)))))</f>
        <v>-9.89833333333333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59.75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-9°59,75</v>
      </c>
      <c r="P10" s="31" t="s">
        <v>17</v>
      </c>
      <c r="Q10" s="35" t="n">
        <f aca="false">IF(ISBLANK(I10),"",IF(ISBLANK(J10),"",IF(J10&gt;60,"ERREUR !!",O12*(I10+(J10/60)))))</f>
        <v>-9.99583333333333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37798</v>
      </c>
      <c r="K11" s="40"/>
      <c r="L11" s="40"/>
      <c r="M11" s="40"/>
      <c r="N11" s="41" t="str">
        <f aca="false">I9&amp;"°"&amp;J9</f>
        <v>9°53,9</v>
      </c>
      <c r="O11" s="42" t="n">
        <f aca="false">IF(P9=M10,-1,1)</f>
        <v>-1</v>
      </c>
      <c r="P11" s="43" t="str">
        <f aca="false">TEXT(J11,"aaaa-mm-jj")&amp;"T"&amp;TEXT(J12,"hh:mm:ss")&amp;"z"</f>
        <v>2007-06-27T01:30:00z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0.0625</v>
      </c>
      <c r="K12" s="48"/>
      <c r="L12" s="48"/>
      <c r="M12" s="48"/>
      <c r="N12" s="49" t="str">
        <f aca="false">I10&amp;"°"&amp;J10</f>
        <v>9°59,75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34.9391</v>
      </c>
      <c r="H35" s="123" t="n">
        <v>2000</v>
      </c>
      <c r="I35" s="192" t="n">
        <v>2000</v>
      </c>
      <c r="J35" s="125"/>
      <c r="K35" s="126"/>
      <c r="L35" s="126"/>
      <c r="M35" s="126"/>
      <c r="N35" s="127"/>
      <c r="O35" s="126"/>
      <c r="P35" s="125" t="n">
        <v>5.29</v>
      </c>
      <c r="Q35" s="125"/>
      <c r="R35" s="125"/>
      <c r="S35" s="184" t="n">
        <v>229.9</v>
      </c>
      <c r="T35" s="34" t="n">
        <v>0.004</v>
      </c>
      <c r="U35" s="34" t="n">
        <v>0.00390875763597791</v>
      </c>
      <c r="V35" s="125"/>
      <c r="W35" s="125"/>
      <c r="X35" s="34" t="n">
        <v>22.066</v>
      </c>
      <c r="Y35" s="34" t="n">
        <v>21.5626614988721</v>
      </c>
      <c r="Z35" s="34" t="n">
        <v>1.465</v>
      </c>
      <c r="AA35" s="34" t="n">
        <v>1.43158248417691</v>
      </c>
      <c r="AB35" s="34" t="n">
        <v>27.42</v>
      </c>
      <c r="AC35" s="34" t="n">
        <v>26.7945335946286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34.8893</v>
      </c>
      <c r="H36" s="123" t="n">
        <v>1500</v>
      </c>
      <c r="I36" s="192" t="n">
        <v>1498</v>
      </c>
      <c r="J36" s="134"/>
      <c r="K36" s="135"/>
      <c r="L36" s="135"/>
      <c r="M36" s="135"/>
      <c r="N36" s="136"/>
      <c r="O36" s="135"/>
      <c r="P36" s="134" t="n">
        <v>4.75</v>
      </c>
      <c r="Q36" s="134"/>
      <c r="R36" s="134"/>
      <c r="S36" s="186" t="n">
        <v>206.4</v>
      </c>
      <c r="T36" s="34" t="n">
        <v>0.008</v>
      </c>
      <c r="U36" s="34" t="n">
        <v>0.00781751527195582</v>
      </c>
      <c r="V36" s="134"/>
      <c r="W36" s="134"/>
      <c r="X36" s="34" t="n">
        <v>24.952</v>
      </c>
      <c r="Y36" s="34" t="n">
        <v>24.3828301332302</v>
      </c>
      <c r="Z36" s="34" t="n">
        <v>1.635</v>
      </c>
      <c r="AA36" s="34" t="n">
        <v>1.59770468370597</v>
      </c>
      <c r="AB36" s="34" t="n">
        <v>24.4</v>
      </c>
      <c r="AC36" s="34" t="n">
        <v>23.8434215794652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34.5864</v>
      </c>
      <c r="H37" s="192" t="n">
        <v>1000</v>
      </c>
      <c r="I37" s="192" t="n">
        <v>1000</v>
      </c>
      <c r="J37" s="134"/>
      <c r="K37" s="135"/>
      <c r="L37" s="135"/>
      <c r="M37" s="135"/>
      <c r="N37" s="136"/>
      <c r="O37" s="135"/>
      <c r="P37" s="134" t="n">
        <v>3.568</v>
      </c>
      <c r="Q37" s="134"/>
      <c r="R37" s="134"/>
      <c r="S37" s="186" t="n">
        <v>155.1</v>
      </c>
      <c r="T37" s="34" t="n">
        <v>0.006</v>
      </c>
      <c r="U37" s="34" t="n">
        <v>0.00586313645396686</v>
      </c>
      <c r="V37" s="134"/>
      <c r="W37" s="134"/>
      <c r="X37" s="34" t="n">
        <v>33.674</v>
      </c>
      <c r="Y37" s="34" t="n">
        <v>32.90587615848</v>
      </c>
      <c r="Z37" s="34" t="n">
        <v>2.221</v>
      </c>
      <c r="AA37" s="34" t="n">
        <v>2.17033767737673</v>
      </c>
      <c r="AB37" s="34" t="n">
        <v>34.26</v>
      </c>
      <c r="AC37" s="34" t="n">
        <v>33.4785091521508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34.6845</v>
      </c>
      <c r="H38" s="124" t="n">
        <v>500</v>
      </c>
      <c r="I38" s="192" t="n">
        <v>499.5</v>
      </c>
      <c r="J38" s="134"/>
      <c r="K38" s="135"/>
      <c r="L38" s="135"/>
      <c r="M38" s="135"/>
      <c r="N38" s="136"/>
      <c r="O38" s="135"/>
      <c r="P38" s="134" t="n">
        <v>1.699</v>
      </c>
      <c r="Q38" s="134"/>
      <c r="R38" s="134"/>
      <c r="S38" s="186" t="n">
        <v>73.9</v>
      </c>
      <c r="T38" s="34" t="n">
        <v>0.009</v>
      </c>
      <c r="U38" s="34" t="n">
        <v>0.00879470468095029</v>
      </c>
      <c r="V38" s="134"/>
      <c r="W38" s="134"/>
      <c r="X38" s="34" t="n">
        <v>37.461</v>
      </c>
      <c r="Y38" s="34" t="n">
        <v>36.6064924503421</v>
      </c>
      <c r="Z38" s="34" t="n">
        <v>2.29</v>
      </c>
      <c r="AA38" s="34" t="n">
        <v>2.23776374659735</v>
      </c>
      <c r="AB38" s="34" t="n">
        <v>19.23</v>
      </c>
      <c r="AC38" s="34" t="n">
        <v>18.7913523349638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/>
      <c r="H39" s="124" t="n">
        <v>100</v>
      </c>
      <c r="I39" s="192" t="n">
        <v>99</v>
      </c>
      <c r="J39" s="134"/>
      <c r="K39" s="135"/>
      <c r="L39" s="135"/>
      <c r="M39" s="135"/>
      <c r="N39" s="136"/>
      <c r="O39" s="135"/>
      <c r="P39" s="134"/>
      <c r="Q39" s="134"/>
      <c r="R39" s="134"/>
      <c r="S39" s="186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36.6759</v>
      </c>
      <c r="H40" s="124" t="n">
        <v>80</v>
      </c>
      <c r="I40" s="192" t="n">
        <v>78</v>
      </c>
      <c r="J40" s="134"/>
      <c r="K40" s="135"/>
      <c r="L40" s="135"/>
      <c r="M40" s="135"/>
      <c r="N40" s="136"/>
      <c r="O40" s="135"/>
      <c r="P40" s="134" t="n">
        <v>4.627</v>
      </c>
      <c r="Q40" s="134"/>
      <c r="R40" s="134"/>
      <c r="S40" s="186" t="n">
        <v>201.7</v>
      </c>
      <c r="T40" s="34" t="n">
        <v>0.007</v>
      </c>
      <c r="U40" s="34" t="n">
        <v>0.00684032586296134</v>
      </c>
      <c r="V40" s="134"/>
      <c r="W40" s="134"/>
      <c r="X40" s="34" t="n">
        <v>0.043</v>
      </c>
      <c r="Y40" s="34" t="n">
        <v>0.0420191445867625</v>
      </c>
      <c r="Z40" s="34" t="n">
        <v>0.143</v>
      </c>
      <c r="AA40" s="34" t="n">
        <v>0.13973808548621</v>
      </c>
      <c r="AB40" s="34" t="n">
        <v>0.91</v>
      </c>
      <c r="AC40" s="34" t="n">
        <v>0.889242362184974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36.6197</v>
      </c>
      <c r="H41" s="124" t="n">
        <v>60</v>
      </c>
      <c r="I41" s="192" t="n">
        <v>60</v>
      </c>
      <c r="J41" s="134"/>
      <c r="K41" s="135"/>
      <c r="L41" s="135"/>
      <c r="M41" s="135"/>
      <c r="N41" s="136"/>
      <c r="O41" s="135"/>
      <c r="P41" s="134" t="n">
        <v>4.576</v>
      </c>
      <c r="Q41" s="134"/>
      <c r="R41" s="134"/>
      <c r="S41" s="186" t="n">
        <v>199.5</v>
      </c>
      <c r="T41" s="34" t="n">
        <v>0.013</v>
      </c>
      <c r="U41" s="34" t="n">
        <v>0.0127034623169282</v>
      </c>
      <c r="V41" s="134"/>
      <c r="W41" s="134"/>
      <c r="X41" s="34" t="n">
        <v>0.057</v>
      </c>
      <c r="Y41" s="34" t="n">
        <v>0.0556997963126852</v>
      </c>
      <c r="Z41" s="34" t="n">
        <v>0.103</v>
      </c>
      <c r="AA41" s="34" t="n">
        <v>0.100650509126431</v>
      </c>
      <c r="AB41" s="34" t="n">
        <v>0.85</v>
      </c>
      <c r="AC41" s="34" t="n">
        <v>0.830610997645306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36.6058</v>
      </c>
      <c r="H42" s="124" t="n">
        <v>40</v>
      </c>
      <c r="I42" s="192" t="n">
        <v>40</v>
      </c>
      <c r="J42" s="134"/>
      <c r="K42" s="135"/>
      <c r="L42" s="135"/>
      <c r="M42" s="135"/>
      <c r="N42" s="136"/>
      <c r="O42" s="135"/>
      <c r="P42" s="134" t="n">
        <v>4.579</v>
      </c>
      <c r="Q42" s="134"/>
      <c r="R42" s="134"/>
      <c r="S42" s="186" t="n">
        <v>199.6</v>
      </c>
      <c r="T42" s="34" t="n">
        <v>0.002</v>
      </c>
      <c r="U42" s="34" t="n">
        <v>0.00195437881798895</v>
      </c>
      <c r="V42" s="134"/>
      <c r="W42" s="134"/>
      <c r="X42" s="34" t="n">
        <v>0.058</v>
      </c>
      <c r="Y42" s="34" t="n">
        <v>0.0566769857216797</v>
      </c>
      <c r="Z42" s="34" t="n">
        <v>0.1</v>
      </c>
      <c r="AA42" s="34" t="n">
        <v>0.0977189408994478</v>
      </c>
      <c r="AB42" s="34" t="n">
        <v>0.89</v>
      </c>
      <c r="AC42" s="34" t="n">
        <v>0.869698574005085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36.6055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4.567</v>
      </c>
      <c r="Q43" s="134"/>
      <c r="R43" s="134"/>
      <c r="S43" s="186" t="n">
        <v>199.1</v>
      </c>
      <c r="T43" s="34" t="n">
        <v>0.002</v>
      </c>
      <c r="U43" s="34" t="n">
        <v>0.00195437881798895</v>
      </c>
      <c r="V43" s="134"/>
      <c r="W43" s="134"/>
      <c r="X43" s="34" t="n">
        <v>0.088</v>
      </c>
      <c r="Y43" s="34" t="n">
        <v>0.085992667991514</v>
      </c>
      <c r="Z43" s="34" t="n">
        <v>0.104</v>
      </c>
      <c r="AA43" s="34" t="n">
        <v>0.101627698535426</v>
      </c>
      <c r="AB43" s="34" t="n">
        <v>0.92</v>
      </c>
      <c r="AC43" s="34" t="n">
        <v>0.899014256274919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36.6079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4.566</v>
      </c>
      <c r="Q44" s="134"/>
      <c r="R44" s="134"/>
      <c r="S44" s="186" t="n">
        <v>199.1</v>
      </c>
      <c r="T44" s="34" t="n">
        <v>0.002</v>
      </c>
      <c r="U44" s="34" t="n">
        <v>0.00195437881798895</v>
      </c>
      <c r="V44" s="134"/>
      <c r="W44" s="134"/>
      <c r="X44" s="34" t="n">
        <v>0.058</v>
      </c>
      <c r="Y44" s="34" t="n">
        <v>0.0566769857216797</v>
      </c>
      <c r="Z44" s="34" t="n">
        <v>0.107</v>
      </c>
      <c r="AA44" s="34" t="n">
        <v>0.104559266762409</v>
      </c>
      <c r="AB44" s="34" t="n">
        <v>0.95</v>
      </c>
      <c r="AC44" s="34" t="n">
        <v>0.928329938544754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36.55</v>
      </c>
      <c r="H45" s="124" t="n">
        <v>0</v>
      </c>
      <c r="I45" s="193" t="n">
        <v>1.4</v>
      </c>
      <c r="J45" s="134"/>
      <c r="K45" s="135"/>
      <c r="L45" s="135"/>
      <c r="M45" s="135"/>
      <c r="N45" s="136"/>
      <c r="O45" s="135"/>
      <c r="P45" s="134" t="n">
        <v>4.579</v>
      </c>
      <c r="Q45" s="134"/>
      <c r="R45" s="134"/>
      <c r="S45" s="186" t="n">
        <v>199.6</v>
      </c>
      <c r="T45" s="34" t="n">
        <v>0.01</v>
      </c>
      <c r="U45" s="34" t="n">
        <v>0.00977189408994477</v>
      </c>
      <c r="V45" s="134"/>
      <c r="W45" s="134"/>
      <c r="X45" s="34" t="n">
        <v>0.06</v>
      </c>
      <c r="Y45" s="34" t="n">
        <v>0.0586313645396687</v>
      </c>
      <c r="Z45" s="34" t="n">
        <v>0.101</v>
      </c>
      <c r="AA45" s="34" t="n">
        <v>0.0986961303084422</v>
      </c>
      <c r="AB45" s="34" t="n">
        <v>1.12</v>
      </c>
      <c r="AC45" s="34" t="n">
        <v>1.09445213807381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41" activeCellId="0" sqref="H41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37798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8</v>
      </c>
      <c r="J9" s="31" t="n">
        <v>59.79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-8°59,79</v>
      </c>
      <c r="P9" s="31" t="s">
        <v>16</v>
      </c>
      <c r="Q9" s="35" t="n">
        <f aca="false">IF(ISBLANK(I9),"",IF(ISBLANK(J9),"",IF(J9&gt;60,"ERREUR !!",O11*(I9+(J9/60)))))</f>
        <v>-8.9965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58.62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-9°58,62</v>
      </c>
      <c r="P10" s="31" t="s">
        <v>17</v>
      </c>
      <c r="Q10" s="35" t="n">
        <f aca="false">IF(ISBLANK(I10),"",IF(ISBLANK(J10),"",IF(J10&gt;60,"ERREUR !!",O12*(I10+(J10/60)))))</f>
        <v>-9.977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37798</v>
      </c>
      <c r="K11" s="40"/>
      <c r="L11" s="40"/>
      <c r="M11" s="40"/>
      <c r="N11" s="41" t="str">
        <f aca="false">I9&amp;"°"&amp;J9</f>
        <v>8°59,79</v>
      </c>
      <c r="O11" s="42" t="n">
        <f aca="false">IF(P9=M10,-1,1)</f>
        <v>-1</v>
      </c>
      <c r="P11" s="43" t="str">
        <f aca="false">TEXT(J11,"aaaa-mm-jj")&amp;"T"&amp;TEXT(J12,"hh:mm:ss")&amp;"z"</f>
        <v>2007-06-27T08:45:00z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0.364583333333333</v>
      </c>
      <c r="K12" s="48"/>
      <c r="L12" s="48"/>
      <c r="M12" s="48"/>
      <c r="N12" s="49" t="str">
        <f aca="false">I10&amp;"°"&amp;J10</f>
        <v>9°58,62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34.5966</v>
      </c>
      <c r="H35" s="123" t="n">
        <v>1000</v>
      </c>
      <c r="I35" s="192" t="n">
        <v>1002</v>
      </c>
      <c r="J35" s="125"/>
      <c r="K35" s="126"/>
      <c r="L35" s="126"/>
      <c r="M35" s="126"/>
      <c r="N35" s="127"/>
      <c r="O35" s="126"/>
      <c r="P35" s="125" t="n">
        <v>3.538</v>
      </c>
      <c r="Q35" s="125"/>
      <c r="R35" s="125"/>
      <c r="S35" s="184" t="n">
        <v>153.8</v>
      </c>
      <c r="T35" s="34" t="n">
        <v>0</v>
      </c>
      <c r="U35" s="34" t="n">
        <v>0</v>
      </c>
      <c r="V35" s="125"/>
      <c r="W35" s="125"/>
      <c r="X35" s="34" t="n">
        <v>34.19</v>
      </c>
      <c r="Y35" s="34" t="n">
        <v>33.4101058935212</v>
      </c>
      <c r="Z35" s="34" t="n">
        <v>2.264</v>
      </c>
      <c r="AA35" s="34" t="n">
        <v>2.2123568219635</v>
      </c>
      <c r="AB35" s="34" t="n">
        <v>34.14</v>
      </c>
      <c r="AC35" s="34" t="n">
        <v>33.3612464230715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34.5539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2.236</v>
      </c>
      <c r="Q36" s="134"/>
      <c r="R36" s="134"/>
      <c r="S36" s="186" t="n">
        <v>97.2</v>
      </c>
      <c r="T36" s="34" t="n">
        <v>0</v>
      </c>
      <c r="U36" s="34" t="n">
        <v>0</v>
      </c>
      <c r="V36" s="134"/>
      <c r="W36" s="134"/>
      <c r="X36" s="34" t="n">
        <v>38.14</v>
      </c>
      <c r="Y36" s="34" t="n">
        <v>37.2700040590494</v>
      </c>
      <c r="Z36" s="34" t="n">
        <v>2.44</v>
      </c>
      <c r="AA36" s="34" t="n">
        <v>2.38434215794652</v>
      </c>
      <c r="AB36" s="34" t="n">
        <v>24.82</v>
      </c>
      <c r="AC36" s="34" t="n">
        <v>24.2538411312429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34.8698</v>
      </c>
      <c r="H37" s="192" t="n">
        <v>300</v>
      </c>
      <c r="I37" s="192" t="n">
        <v>300</v>
      </c>
      <c r="J37" s="134"/>
      <c r="K37" s="135"/>
      <c r="L37" s="135"/>
      <c r="M37" s="135"/>
      <c r="N37" s="136"/>
      <c r="O37" s="135"/>
      <c r="P37" s="134" t="n">
        <v>1.41</v>
      </c>
      <c r="Q37" s="134"/>
      <c r="R37" s="134"/>
      <c r="S37" s="186" t="n">
        <v>61.3</v>
      </c>
      <c r="T37" s="34" t="n">
        <v>0.000999999999999994</v>
      </c>
      <c r="U37" s="34" t="n">
        <v>0.000977189408994472</v>
      </c>
      <c r="V37" s="134"/>
      <c r="W37" s="134"/>
      <c r="X37" s="34" t="n">
        <v>34.729</v>
      </c>
      <c r="Y37" s="34" t="n">
        <v>33.9368109849692</v>
      </c>
      <c r="Z37" s="34" t="n">
        <v>2.11</v>
      </c>
      <c r="AA37" s="34" t="n">
        <v>2.06186965297835</v>
      </c>
      <c r="AB37" s="34" t="n">
        <v>14.76</v>
      </c>
      <c r="AC37" s="34" t="n">
        <v>14.4233156767585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36.3628</v>
      </c>
      <c r="H38" s="124" t="n">
        <v>100</v>
      </c>
      <c r="I38" s="192" t="n">
        <v>100</v>
      </c>
      <c r="J38" s="134"/>
      <c r="K38" s="135"/>
      <c r="L38" s="135"/>
      <c r="M38" s="135"/>
      <c r="N38" s="136"/>
      <c r="O38" s="135"/>
      <c r="P38" s="134" t="n">
        <v>3.981</v>
      </c>
      <c r="Q38" s="134"/>
      <c r="R38" s="134"/>
      <c r="S38" s="186" t="n">
        <v>173.3</v>
      </c>
      <c r="T38" s="34" t="n">
        <v>0.317</v>
      </c>
      <c r="U38" s="34" t="n">
        <v>0.309769042651249</v>
      </c>
      <c r="V38" s="134"/>
      <c r="W38" s="134"/>
      <c r="X38" s="34" t="n">
        <v>4.933</v>
      </c>
      <c r="Y38" s="34" t="n">
        <v>4.82047535456976</v>
      </c>
      <c r="Z38" s="34" t="n">
        <v>0.549</v>
      </c>
      <c r="AA38" s="34" t="n">
        <v>0.536476985537968</v>
      </c>
      <c r="AB38" s="34" t="n">
        <v>2.07</v>
      </c>
      <c r="AC38" s="34" t="n">
        <v>2.02278207661857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/>
      <c r="H39" s="124" t="n">
        <v>100</v>
      </c>
      <c r="I39" s="192" t="n">
        <v>100</v>
      </c>
      <c r="J39" s="134"/>
      <c r="K39" s="135"/>
      <c r="L39" s="135"/>
      <c r="M39" s="135"/>
      <c r="N39" s="136"/>
      <c r="O39" s="135"/>
      <c r="P39" s="134"/>
      <c r="Q39" s="134"/>
      <c r="R39" s="134"/>
      <c r="S39" s="186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36.5935</v>
      </c>
      <c r="H40" s="124" t="n">
        <v>80</v>
      </c>
      <c r="I40" s="192" t="n">
        <v>79</v>
      </c>
      <c r="J40" s="134"/>
      <c r="K40" s="135"/>
      <c r="L40" s="135"/>
      <c r="M40" s="135"/>
      <c r="N40" s="136"/>
      <c r="O40" s="135"/>
      <c r="P40" s="134" t="n">
        <v>4.769</v>
      </c>
      <c r="Q40" s="134"/>
      <c r="R40" s="134"/>
      <c r="S40" s="186" t="n">
        <v>207.8</v>
      </c>
      <c r="T40" s="34" t="n">
        <v>0</v>
      </c>
      <c r="U40" s="34" t="n">
        <v>0</v>
      </c>
      <c r="V40" s="134"/>
      <c r="W40" s="134"/>
      <c r="X40" s="34" t="n">
        <v>0.05</v>
      </c>
      <c r="Y40" s="34" t="n">
        <v>0.0488594704497239</v>
      </c>
      <c r="Z40" s="34" t="n">
        <v>0.179</v>
      </c>
      <c r="AA40" s="34" t="n">
        <v>0.174916904210011</v>
      </c>
      <c r="AB40" s="34" t="n">
        <v>0.98</v>
      </c>
      <c r="AC40" s="34" t="n">
        <v>0.957645620814588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36.1308</v>
      </c>
      <c r="H41" s="124" t="n">
        <v>60</v>
      </c>
      <c r="I41" s="192" t="n">
        <v>60</v>
      </c>
      <c r="J41" s="134"/>
      <c r="K41" s="135"/>
      <c r="L41" s="135"/>
      <c r="M41" s="135"/>
      <c r="N41" s="136"/>
      <c r="O41" s="135"/>
      <c r="P41" s="134" t="n">
        <v>4.54</v>
      </c>
      <c r="Q41" s="134"/>
      <c r="R41" s="134"/>
      <c r="S41" s="186" t="n">
        <v>198</v>
      </c>
      <c r="T41" s="34" t="n">
        <v>0</v>
      </c>
      <c r="U41" s="34" t="n">
        <v>0</v>
      </c>
      <c r="V41" s="134"/>
      <c r="W41" s="134"/>
      <c r="X41" s="34" t="n">
        <v>0</v>
      </c>
      <c r="Y41" s="34" t="n">
        <v>0</v>
      </c>
      <c r="Z41" s="34" t="n">
        <v>0.048</v>
      </c>
      <c r="AA41" s="34" t="n">
        <v>0.0469050916317349</v>
      </c>
      <c r="AB41" s="34" t="n">
        <v>0.61</v>
      </c>
      <c r="AC41" s="34" t="n">
        <v>0.596085539486631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36.1268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34" t="n">
        <v>4.542</v>
      </c>
      <c r="Q42" s="134"/>
      <c r="R42" s="134"/>
      <c r="S42" s="186" t="n">
        <v>198.1</v>
      </c>
      <c r="T42" s="34" t="n">
        <v>0</v>
      </c>
      <c r="U42" s="34" t="n">
        <v>0</v>
      </c>
      <c r="V42" s="134"/>
      <c r="W42" s="134"/>
      <c r="X42" s="34" t="n">
        <v>0.01</v>
      </c>
      <c r="Y42" s="34" t="n">
        <v>0.00977189408994477</v>
      </c>
      <c r="Z42" s="34" t="n">
        <v>0.056</v>
      </c>
      <c r="AA42" s="34" t="n">
        <v>0.0547226069036907</v>
      </c>
      <c r="AB42" s="34" t="n">
        <v>0.64</v>
      </c>
      <c r="AC42" s="34" t="n">
        <v>0.625401221756466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36.1266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4.54</v>
      </c>
      <c r="Q43" s="134"/>
      <c r="R43" s="134"/>
      <c r="S43" s="186" t="n">
        <v>198</v>
      </c>
      <c r="T43" s="34" t="n">
        <v>0</v>
      </c>
      <c r="U43" s="34" t="n">
        <v>0</v>
      </c>
      <c r="V43" s="134"/>
      <c r="W43" s="134"/>
      <c r="X43" s="34" t="n">
        <v>0.01</v>
      </c>
      <c r="Y43" s="34" t="n">
        <v>0.00977189408994477</v>
      </c>
      <c r="Z43" s="34" t="n">
        <v>0.053</v>
      </c>
      <c r="AA43" s="34" t="n">
        <v>0.0517910386767073</v>
      </c>
      <c r="AB43" s="34" t="n">
        <v>0.63</v>
      </c>
      <c r="AC43" s="34" t="n">
        <v>0.615629327666521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36.127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4.535</v>
      </c>
      <c r="Q44" s="134"/>
      <c r="R44" s="134"/>
      <c r="S44" s="186" t="n">
        <v>197.8</v>
      </c>
      <c r="T44" s="34" t="n">
        <v>0.000999999999999994</v>
      </c>
      <c r="U44" s="34" t="n">
        <v>0.000977189408994472</v>
      </c>
      <c r="V44" s="134"/>
      <c r="W44" s="134"/>
      <c r="X44" s="34" t="n">
        <v>0.00900000000000001</v>
      </c>
      <c r="Y44" s="34" t="n">
        <v>0.0087947046809503</v>
      </c>
      <c r="Z44" s="34" t="n">
        <v>0.049</v>
      </c>
      <c r="AA44" s="34" t="n">
        <v>0.0478822810407294</v>
      </c>
      <c r="AB44" s="34" t="n">
        <v>0.61</v>
      </c>
      <c r="AC44" s="34" t="n">
        <v>0.596085539486631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36.127</v>
      </c>
      <c r="H45" s="124" t="n">
        <v>0</v>
      </c>
      <c r="I45" s="193" t="n">
        <v>2.3</v>
      </c>
      <c r="J45" s="134"/>
      <c r="K45" s="135"/>
      <c r="L45" s="135"/>
      <c r="M45" s="135"/>
      <c r="N45" s="136"/>
      <c r="O45" s="135"/>
      <c r="P45" s="134" t="n">
        <v>4.574</v>
      </c>
      <c r="Q45" s="134"/>
      <c r="R45" s="134"/>
      <c r="S45" s="186" t="n">
        <v>199.5</v>
      </c>
      <c r="T45" s="34" t="n">
        <v>0.004</v>
      </c>
      <c r="U45" s="34" t="n">
        <v>0.00390875763597791</v>
      </c>
      <c r="V45" s="134"/>
      <c r="W45" s="134"/>
      <c r="X45" s="34" t="n">
        <v>0.016</v>
      </c>
      <c r="Y45" s="34" t="n">
        <v>0.0156350305439116</v>
      </c>
      <c r="Z45" s="34" t="n">
        <v>0.052</v>
      </c>
      <c r="AA45" s="34" t="n">
        <v>0.0508138492677128</v>
      </c>
      <c r="AB45" s="34" t="n">
        <v>0.61</v>
      </c>
      <c r="AC45" s="34" t="n">
        <v>0.596085539486631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37798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8</v>
      </c>
      <c r="J9" s="31" t="n">
        <v>0.56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-8°0,56</v>
      </c>
      <c r="P9" s="31" t="s">
        <v>16</v>
      </c>
      <c r="Q9" s="35" t="n">
        <f aca="false">IF(ISBLANK(I9),"",IF(ISBLANK(J9),"",IF(J9&gt;60,"ERREUR !!",O11*(I9+(J9/60)))))</f>
        <v>-8.00933333333333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58.99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-9°58,99</v>
      </c>
      <c r="P10" s="31" t="s">
        <v>17</v>
      </c>
      <c r="Q10" s="35" t="n">
        <f aca="false">IF(ISBLANK(I10),"",IF(ISBLANK(J10),"",IF(J10&gt;60,"ERREUR !!",O12*(I10+(J10/60)))))</f>
        <v>-9.98316666666667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37798</v>
      </c>
      <c r="K11" s="40"/>
      <c r="L11" s="40"/>
      <c r="M11" s="40"/>
      <c r="N11" s="41" t="str">
        <f aca="false">I9&amp;"°"&amp;J9</f>
        <v>8°0,56</v>
      </c>
      <c r="O11" s="42" t="n">
        <f aca="false">IF(P9=M10,-1,1)</f>
        <v>-1</v>
      </c>
      <c r="P11" s="43" t="str">
        <f aca="false">TEXT(J11,"aaaa-mm-jj")&amp;"T"&amp;TEXT(J12,"hh:mm:ss")&amp;"z"</f>
        <v>2007-06-27T16:00:00z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0.666666666666667</v>
      </c>
      <c r="K12" s="48"/>
      <c r="L12" s="48"/>
      <c r="M12" s="48"/>
      <c r="N12" s="49" t="str">
        <f aca="false">I10&amp;"°"&amp;J10</f>
        <v>9°58,99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34.5718</v>
      </c>
      <c r="H35" s="123" t="n">
        <v>1000</v>
      </c>
      <c r="I35" s="192" t="n">
        <v>1000</v>
      </c>
      <c r="J35" s="125"/>
      <c r="K35" s="126"/>
      <c r="L35" s="126"/>
      <c r="M35" s="126"/>
      <c r="N35" s="127"/>
      <c r="O35" s="126"/>
      <c r="P35" s="125" t="n">
        <v>3.485</v>
      </c>
      <c r="Q35" s="125"/>
      <c r="R35" s="125"/>
      <c r="S35" s="184" t="n">
        <v>151.5</v>
      </c>
      <c r="T35" s="34" t="n">
        <v>0.000999999999999994</v>
      </c>
      <c r="U35" s="34" t="n">
        <v>0.000977189408994472</v>
      </c>
      <c r="V35" s="125"/>
      <c r="W35" s="125"/>
      <c r="X35" s="34" t="n">
        <v>34.579</v>
      </c>
      <c r="Y35" s="34" t="n">
        <v>33.79023257362</v>
      </c>
      <c r="Z35" s="34" t="n">
        <v>2.291</v>
      </c>
      <c r="AA35" s="34" t="n">
        <v>2.23874093600635</v>
      </c>
      <c r="AB35" s="34" t="n">
        <v>34.16</v>
      </c>
      <c r="AC35" s="34" t="n">
        <v>33.3807902112513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22" t="n">
        <v>34.5542</v>
      </c>
      <c r="H36" s="123" t="n">
        <v>600</v>
      </c>
      <c r="I36" s="192" t="n">
        <v>598</v>
      </c>
      <c r="J36" s="134"/>
      <c r="K36" s="135"/>
      <c r="L36" s="135"/>
      <c r="M36" s="135"/>
      <c r="N36" s="136"/>
      <c r="O36" s="135"/>
      <c r="P36" s="134" t="n">
        <v>2.358</v>
      </c>
      <c r="Q36" s="134"/>
      <c r="R36" s="134"/>
      <c r="S36" s="186" t="n">
        <v>102.5</v>
      </c>
      <c r="T36" s="34" t="n">
        <v>0</v>
      </c>
      <c r="U36" s="34" t="n">
        <v>0</v>
      </c>
      <c r="V36" s="134"/>
      <c r="W36" s="134"/>
      <c r="X36" s="34" t="n">
        <v>37.58</v>
      </c>
      <c r="Y36" s="34" t="n">
        <v>36.7227779900125</v>
      </c>
      <c r="Z36" s="34" t="n">
        <v>2.421</v>
      </c>
      <c r="AA36" s="34" t="n">
        <v>2.36577555917563</v>
      </c>
      <c r="AB36" s="34" t="n">
        <v>24.66</v>
      </c>
      <c r="AC36" s="34" t="n">
        <v>24.0974908258038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82" t="n">
        <v>34.556</v>
      </c>
      <c r="H37" s="123" t="n">
        <v>600</v>
      </c>
      <c r="I37" s="192" t="n">
        <v>598</v>
      </c>
      <c r="J37" s="134"/>
      <c r="K37" s="135"/>
      <c r="L37" s="135"/>
      <c r="M37" s="135"/>
      <c r="N37" s="136"/>
      <c r="O37" s="135"/>
      <c r="P37" s="134" t="n">
        <v>2.345</v>
      </c>
      <c r="Q37" s="134"/>
      <c r="R37" s="134"/>
      <c r="S37" s="186" t="n">
        <v>102</v>
      </c>
      <c r="T37" s="34" t="n">
        <v>0.008</v>
      </c>
      <c r="U37" s="34" t="n">
        <v>0.00781751527195582</v>
      </c>
      <c r="V37" s="134"/>
      <c r="W37" s="134"/>
      <c r="X37" s="34" t="n">
        <v>37.852</v>
      </c>
      <c r="Y37" s="34" t="n">
        <v>36.988573509259</v>
      </c>
      <c r="Z37" s="34" t="n">
        <v>2.384</v>
      </c>
      <c r="AA37" s="34" t="n">
        <v>2.32961955104283</v>
      </c>
      <c r="AB37" s="34" t="n">
        <v>24.07</v>
      </c>
      <c r="AC37" s="34" t="n">
        <v>23.5209490744971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34.8873</v>
      </c>
      <c r="H38" s="192" t="n">
        <v>300</v>
      </c>
      <c r="I38" s="192" t="n">
        <v>298</v>
      </c>
      <c r="J38" s="134"/>
      <c r="K38" s="135"/>
      <c r="L38" s="135"/>
      <c r="M38" s="135"/>
      <c r="N38" s="136"/>
      <c r="O38" s="135"/>
      <c r="P38" s="134" t="n">
        <v>1.716</v>
      </c>
      <c r="Q38" s="134"/>
      <c r="R38" s="134"/>
      <c r="S38" s="186" t="n">
        <v>74.6</v>
      </c>
      <c r="T38" s="34" t="n">
        <v>0.006</v>
      </c>
      <c r="U38" s="34" t="n">
        <v>0.00586313645396686</v>
      </c>
      <c r="V38" s="134"/>
      <c r="W38" s="134"/>
      <c r="X38" s="34" t="n">
        <v>32.804</v>
      </c>
      <c r="Y38" s="34" t="n">
        <v>32.0557213726548</v>
      </c>
      <c r="Z38" s="34" t="n">
        <v>2.043</v>
      </c>
      <c r="AA38" s="34" t="n">
        <v>1.99639796257572</v>
      </c>
      <c r="AB38" s="34" t="n">
        <v>14.07</v>
      </c>
      <c r="AC38" s="34" t="n">
        <v>13.7490549845523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35.7797</v>
      </c>
      <c r="H39" s="124" t="n">
        <v>100</v>
      </c>
      <c r="I39" s="192" t="n">
        <v>99</v>
      </c>
      <c r="J39" s="134"/>
      <c r="K39" s="135"/>
      <c r="L39" s="135"/>
      <c r="M39" s="135"/>
      <c r="N39" s="136"/>
      <c r="O39" s="135"/>
      <c r="P39" s="134" t="n">
        <v>2.483</v>
      </c>
      <c r="Q39" s="134"/>
      <c r="R39" s="134"/>
      <c r="S39" s="186" t="n">
        <v>108.1</v>
      </c>
      <c r="T39" s="34" t="n">
        <v>0.13</v>
      </c>
      <c r="U39" s="34" t="n">
        <v>0.127034623169282</v>
      </c>
      <c r="V39" s="134"/>
      <c r="W39" s="134"/>
      <c r="X39" s="34" t="n">
        <v>17.87</v>
      </c>
      <c r="Y39" s="34" t="n">
        <v>17.4623747387313</v>
      </c>
      <c r="Z39" s="34" t="n">
        <v>1.21</v>
      </c>
      <c r="AA39" s="34" t="n">
        <v>1.18239918488332</v>
      </c>
      <c r="AB39" s="34" t="n">
        <v>4.95</v>
      </c>
      <c r="AC39" s="34" t="n">
        <v>4.83708757452266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36.5356</v>
      </c>
      <c r="H40" s="124" t="n">
        <v>80</v>
      </c>
      <c r="I40" s="192" t="n">
        <v>80</v>
      </c>
      <c r="J40" s="134"/>
      <c r="K40" s="135"/>
      <c r="L40" s="135"/>
      <c r="M40" s="135"/>
      <c r="N40" s="136"/>
      <c r="O40" s="135"/>
      <c r="P40" s="134" t="n">
        <v>4.179</v>
      </c>
      <c r="Q40" s="134"/>
      <c r="R40" s="134"/>
      <c r="S40" s="186" t="n">
        <v>182</v>
      </c>
      <c r="T40" s="34" t="n">
        <v>0</v>
      </c>
      <c r="U40" s="34" t="n">
        <v>0</v>
      </c>
      <c r="V40" s="134"/>
      <c r="W40" s="134"/>
      <c r="X40" s="34" t="n">
        <v>0.09</v>
      </c>
      <c r="Y40" s="34" t="n">
        <v>0.087947046809503</v>
      </c>
      <c r="Z40" s="34" t="n">
        <v>0.128</v>
      </c>
      <c r="AA40" s="34" t="n">
        <v>0.125080244351293</v>
      </c>
      <c r="AB40" s="34" t="n">
        <v>0.82</v>
      </c>
      <c r="AC40" s="34" t="n">
        <v>0.801295315375472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36.5355</v>
      </c>
      <c r="H41" s="124" t="n">
        <v>60</v>
      </c>
      <c r="I41" s="192" t="n">
        <v>60</v>
      </c>
      <c r="J41" s="134"/>
      <c r="K41" s="135"/>
      <c r="L41" s="135"/>
      <c r="M41" s="135"/>
      <c r="N41" s="136"/>
      <c r="O41" s="135"/>
      <c r="P41" s="134" t="n">
        <v>4.581</v>
      </c>
      <c r="Q41" s="134"/>
      <c r="R41" s="134"/>
      <c r="S41" s="186" t="n">
        <v>199.7</v>
      </c>
      <c r="T41" s="34" t="n">
        <v>0.003</v>
      </c>
      <c r="U41" s="34" t="n">
        <v>0.00293156822698343</v>
      </c>
      <c r="V41" s="134"/>
      <c r="W41" s="134"/>
      <c r="X41" s="34" t="n">
        <v>0.077</v>
      </c>
      <c r="Y41" s="34" t="n">
        <v>0.0752435844925748</v>
      </c>
      <c r="Z41" s="34" t="n">
        <v>0.136</v>
      </c>
      <c r="AA41" s="34" t="n">
        <v>0.132897759623249</v>
      </c>
      <c r="AB41" s="34" t="n">
        <v>0.79</v>
      </c>
      <c r="AC41" s="34" t="n">
        <v>0.771979633105637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36.0173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34" t="n">
        <v>4.517</v>
      </c>
      <c r="Q42" s="134"/>
      <c r="R42" s="134"/>
      <c r="S42" s="186" t="n">
        <v>197</v>
      </c>
      <c r="T42" s="34" t="n">
        <v>0</v>
      </c>
      <c r="U42" s="34" t="n">
        <v>0</v>
      </c>
      <c r="V42" s="134"/>
      <c r="W42" s="134"/>
      <c r="X42" s="34" t="n">
        <v>0.02</v>
      </c>
      <c r="Y42" s="34" t="n">
        <v>0.0195437881798895</v>
      </c>
      <c r="Z42" s="34" t="n">
        <v>0.063</v>
      </c>
      <c r="AA42" s="34" t="n">
        <v>0.0615629327666521</v>
      </c>
      <c r="AB42" s="34" t="n">
        <v>0.56</v>
      </c>
      <c r="AC42" s="34" t="n">
        <v>0.547226069036907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36.0091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34" t="n">
        <v>4.525</v>
      </c>
      <c r="Q43" s="134"/>
      <c r="R43" s="134"/>
      <c r="S43" s="186" t="n">
        <v>197.4</v>
      </c>
      <c r="T43" s="34" t="n">
        <v>0</v>
      </c>
      <c r="U43" s="34" t="n">
        <v>0</v>
      </c>
      <c r="V43" s="134"/>
      <c r="W43" s="134"/>
      <c r="X43" s="34" t="n">
        <v>0.01</v>
      </c>
      <c r="Y43" s="34" t="n">
        <v>0.00977189408994477</v>
      </c>
      <c r="Z43" s="34" t="n">
        <v>0.07</v>
      </c>
      <c r="AA43" s="34" t="n">
        <v>0.0684032586296134</v>
      </c>
      <c r="AB43" s="34" t="n">
        <v>0.59</v>
      </c>
      <c r="AC43" s="34" t="n">
        <v>0.576541751306742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36.009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4.522</v>
      </c>
      <c r="Q44" s="134"/>
      <c r="R44" s="134"/>
      <c r="S44" s="186" t="n">
        <v>197.3</v>
      </c>
      <c r="T44" s="34" t="n">
        <v>0</v>
      </c>
      <c r="U44" s="34" t="n">
        <v>0</v>
      </c>
      <c r="V44" s="134"/>
      <c r="W44" s="134"/>
      <c r="X44" s="34" t="n">
        <v>0.02</v>
      </c>
      <c r="Y44" s="34" t="n">
        <v>0.0195437881798895</v>
      </c>
      <c r="Z44" s="34" t="n">
        <v>0.062</v>
      </c>
      <c r="AA44" s="34" t="n">
        <v>0.0605857433576576</v>
      </c>
      <c r="AB44" s="34" t="n">
        <v>0.58</v>
      </c>
      <c r="AC44" s="34" t="n">
        <v>0.566769857216797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36.0095</v>
      </c>
      <c r="H45" s="124" t="n">
        <v>0</v>
      </c>
      <c r="I45" s="193" t="n">
        <v>1.6</v>
      </c>
      <c r="J45" s="134"/>
      <c r="K45" s="135"/>
      <c r="L45" s="135"/>
      <c r="M45" s="135"/>
      <c r="N45" s="136"/>
      <c r="O45" s="135"/>
      <c r="P45" s="134" t="n">
        <v>4.525</v>
      </c>
      <c r="Q45" s="134"/>
      <c r="R45" s="134"/>
      <c r="S45" s="186" t="n">
        <v>197.4</v>
      </c>
      <c r="T45" s="34" t="n">
        <v>0</v>
      </c>
      <c r="U45" s="34" t="n">
        <v>0</v>
      </c>
      <c r="V45" s="134"/>
      <c r="W45" s="134"/>
      <c r="X45" s="34" t="n">
        <v>0.02</v>
      </c>
      <c r="Y45" s="34" t="n">
        <v>0.0195437881798895</v>
      </c>
      <c r="Z45" s="34" t="n">
        <v>0.058</v>
      </c>
      <c r="AA45" s="34" t="n">
        <v>0.0566769857216797</v>
      </c>
      <c r="AB45" s="34" t="n">
        <v>0.59</v>
      </c>
      <c r="AC45" s="34" t="n">
        <v>0.576541751306742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37799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7</v>
      </c>
      <c r="J9" s="31" t="n">
        <v>0.3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-7°0,3</v>
      </c>
      <c r="P9" s="31" t="s">
        <v>16</v>
      </c>
      <c r="Q9" s="35" t="n">
        <f aca="false">IF(ISBLANK(I9),"",IF(ISBLANK(J9),"",IF(J9&gt;60,"ERREUR !!",O11*(I9+(J9/60)))))</f>
        <v>-7.005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59.62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-9°59,62</v>
      </c>
      <c r="P10" s="31" t="s">
        <v>17</v>
      </c>
      <c r="Q10" s="35" t="n">
        <f aca="false">IF(ISBLANK(I10),"",IF(ISBLANK(J10),"",IF(J10&gt;60,"ERREUR !!",O12*(I10+(J10/60)))))</f>
        <v>-9.99366666666667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37798</v>
      </c>
      <c r="K11" s="40"/>
      <c r="L11" s="40"/>
      <c r="M11" s="40"/>
      <c r="N11" s="41" t="str">
        <f aca="false">I9&amp;"°"&amp;J9</f>
        <v>7°0,3</v>
      </c>
      <c r="O11" s="42" t="n">
        <f aca="false">IF(P9=M10,-1,1)</f>
        <v>-1</v>
      </c>
      <c r="P11" s="43" t="str">
        <f aca="false">TEXT(J11,"aaaa-mm-jj")&amp;"T"&amp;TEXT(J12,"hh:mm:ss")&amp;"z"</f>
        <v>2007-06-27T23:30:00z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0.979166666666667</v>
      </c>
      <c r="K12" s="48"/>
      <c r="L12" s="48"/>
      <c r="M12" s="48"/>
      <c r="N12" s="49" t="str">
        <f aca="false">I10&amp;"°"&amp;J10</f>
        <v>9°59,62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34.5716</v>
      </c>
      <c r="H35" s="123" t="n">
        <v>1000</v>
      </c>
      <c r="I35" s="192" t="n">
        <v>1001</v>
      </c>
      <c r="J35" s="125"/>
      <c r="K35" s="126"/>
      <c r="L35" s="126"/>
      <c r="M35" s="126"/>
      <c r="N35" s="127"/>
      <c r="O35" s="126"/>
      <c r="P35" s="125" t="n">
        <v>3.325</v>
      </c>
      <c r="Q35" s="125"/>
      <c r="R35" s="125"/>
      <c r="S35" s="184" t="n">
        <v>144.5</v>
      </c>
      <c r="T35" s="34" t="n">
        <v>0.001</v>
      </c>
      <c r="U35" s="34" t="n">
        <v>0.000977189408994478</v>
      </c>
      <c r="V35" s="125"/>
      <c r="W35" s="125"/>
      <c r="X35" s="34" t="n">
        <v>34.779</v>
      </c>
      <c r="Y35" s="34" t="n">
        <v>33.9856704554189</v>
      </c>
      <c r="Z35" s="34" t="n">
        <v>2.325</v>
      </c>
      <c r="AA35" s="34" t="n">
        <v>2.27196537591216</v>
      </c>
      <c r="AB35" s="34" t="n">
        <v>33.15</v>
      </c>
      <c r="AC35" s="34" t="n">
        <v>32.3938289081669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34.5816</v>
      </c>
      <c r="H36" s="123" t="n">
        <v>600</v>
      </c>
      <c r="I36" s="192" t="n">
        <v>601</v>
      </c>
      <c r="J36" s="134"/>
      <c r="K36" s="135"/>
      <c r="L36" s="135"/>
      <c r="M36" s="135"/>
      <c r="N36" s="136"/>
      <c r="O36" s="135"/>
      <c r="P36" s="134" t="n">
        <v>2.116</v>
      </c>
      <c r="Q36" s="134"/>
      <c r="R36" s="134"/>
      <c r="S36" s="186" t="n">
        <v>92</v>
      </c>
      <c r="T36" s="34" t="n">
        <v>0</v>
      </c>
      <c r="U36" s="34" t="n">
        <v>0</v>
      </c>
      <c r="V36" s="134"/>
      <c r="W36" s="134"/>
      <c r="X36" s="34" t="n">
        <v>37.89</v>
      </c>
      <c r="Y36" s="34" t="n">
        <v>37.0257067068007</v>
      </c>
      <c r="Z36" s="34" t="n">
        <v>2.411</v>
      </c>
      <c r="AA36" s="34" t="n">
        <v>2.35600366508568</v>
      </c>
      <c r="AB36" s="34" t="n">
        <v>22.84</v>
      </c>
      <c r="AC36" s="34" t="n">
        <v>22.3190061014339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82" t="n">
        <v>34.9126</v>
      </c>
      <c r="H37" s="123" t="n">
        <v>300</v>
      </c>
      <c r="I37" s="192" t="n">
        <v>299</v>
      </c>
      <c r="J37" s="134"/>
      <c r="K37" s="135"/>
      <c r="L37" s="135"/>
      <c r="M37" s="135"/>
      <c r="N37" s="136"/>
      <c r="O37" s="135"/>
      <c r="P37" s="134" t="n">
        <v>1.72</v>
      </c>
      <c r="Q37" s="134"/>
      <c r="R37" s="134"/>
      <c r="S37" s="186" t="n">
        <v>74.8</v>
      </c>
      <c r="T37" s="34" t="n">
        <v>0.00600000000000001</v>
      </c>
      <c r="U37" s="34" t="n">
        <v>0.00586313645396687</v>
      </c>
      <c r="V37" s="134"/>
      <c r="W37" s="134"/>
      <c r="X37" s="34" t="n">
        <v>32.114</v>
      </c>
      <c r="Y37" s="34" t="n">
        <v>31.3814606804486</v>
      </c>
      <c r="Z37" s="34" t="n">
        <v>1.988</v>
      </c>
      <c r="AA37" s="34" t="n">
        <v>1.94265254508102</v>
      </c>
      <c r="AB37" s="34" t="n">
        <v>13.23</v>
      </c>
      <c r="AC37" s="34" t="n">
        <v>12.9282158809969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22" t="n">
        <v>34.9126</v>
      </c>
      <c r="H38" s="192" t="n">
        <v>300</v>
      </c>
      <c r="I38" s="192" t="n">
        <v>299</v>
      </c>
      <c r="J38" s="134"/>
      <c r="K38" s="135"/>
      <c r="L38" s="135"/>
      <c r="M38" s="135"/>
      <c r="N38" s="136"/>
      <c r="O38" s="135"/>
      <c r="P38" s="134" t="n">
        <v>1.695</v>
      </c>
      <c r="Q38" s="134"/>
      <c r="R38" s="134"/>
      <c r="S38" s="186" t="n">
        <v>73.7</v>
      </c>
      <c r="T38" s="34" t="n">
        <v>0.004</v>
      </c>
      <c r="U38" s="34" t="n">
        <v>0.00390875763597791</v>
      </c>
      <c r="V38" s="134"/>
      <c r="W38" s="134"/>
      <c r="X38" s="34" t="n">
        <v>32.156</v>
      </c>
      <c r="Y38" s="34" t="n">
        <v>31.4225026356264</v>
      </c>
      <c r="Z38" s="34" t="n">
        <v>1.992</v>
      </c>
      <c r="AA38" s="34" t="n">
        <v>1.946561302717</v>
      </c>
      <c r="AB38" s="34" t="n">
        <v>13.35</v>
      </c>
      <c r="AC38" s="34" t="n">
        <v>13.0454786100763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35.6666</v>
      </c>
      <c r="H39" s="124" t="n">
        <v>100</v>
      </c>
      <c r="I39" s="192" t="n">
        <v>99</v>
      </c>
      <c r="J39" s="134"/>
      <c r="K39" s="135"/>
      <c r="L39" s="135"/>
      <c r="M39" s="135"/>
      <c r="N39" s="136"/>
      <c r="O39" s="135"/>
      <c r="P39" s="134" t="n">
        <v>2.278</v>
      </c>
      <c r="Q39" s="134"/>
      <c r="R39" s="134"/>
      <c r="S39" s="186" t="n">
        <v>99.2</v>
      </c>
      <c r="T39" s="34" t="n">
        <v>0.246</v>
      </c>
      <c r="U39" s="34" t="n">
        <v>0.240388594612641</v>
      </c>
      <c r="V39" s="134"/>
      <c r="W39" s="134"/>
      <c r="X39" s="34" t="n">
        <v>18.944</v>
      </c>
      <c r="Y39" s="34" t="n">
        <v>18.5118761639914</v>
      </c>
      <c r="Z39" s="34" t="n">
        <v>1.278</v>
      </c>
      <c r="AA39" s="34" t="n">
        <v>1.24884806469494</v>
      </c>
      <c r="AB39" s="34" t="n">
        <v>5.43</v>
      </c>
      <c r="AC39" s="34" t="n">
        <v>5.30613849084001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36.1895</v>
      </c>
      <c r="H40" s="124" t="n">
        <v>80</v>
      </c>
      <c r="I40" s="192" t="n">
        <v>78</v>
      </c>
      <c r="J40" s="134"/>
      <c r="K40" s="135"/>
      <c r="L40" s="135"/>
      <c r="M40" s="135"/>
      <c r="N40" s="136"/>
      <c r="O40" s="135"/>
      <c r="P40" s="134" t="n">
        <v>3.952</v>
      </c>
      <c r="Q40" s="134"/>
      <c r="R40" s="134"/>
      <c r="S40" s="186" t="n">
        <v>172.2</v>
      </c>
      <c r="T40" s="34" t="n">
        <v>0.179</v>
      </c>
      <c r="U40" s="34" t="n">
        <v>0.174916904210011</v>
      </c>
      <c r="V40" s="134"/>
      <c r="W40" s="134"/>
      <c r="X40" s="34" t="n">
        <v>4.491</v>
      </c>
      <c r="Y40" s="34" t="n">
        <v>4.3885576357942</v>
      </c>
      <c r="Z40" s="34" t="n">
        <v>0.463</v>
      </c>
      <c r="AA40" s="34" t="n">
        <v>0.452438696364443</v>
      </c>
      <c r="AB40" s="34" t="n">
        <v>2.11</v>
      </c>
      <c r="AC40" s="34" t="n">
        <v>2.06186965297835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36.3458</v>
      </c>
      <c r="H41" s="124" t="n">
        <v>60</v>
      </c>
      <c r="I41" s="192" t="n">
        <v>58</v>
      </c>
      <c r="J41" s="134"/>
      <c r="K41" s="135"/>
      <c r="L41" s="135"/>
      <c r="M41" s="135"/>
      <c r="N41" s="136"/>
      <c r="O41" s="135"/>
      <c r="P41" s="134" t="n">
        <v>4.48</v>
      </c>
      <c r="Q41" s="134"/>
      <c r="R41" s="134"/>
      <c r="S41" s="186" t="n">
        <v>195.3</v>
      </c>
      <c r="T41" s="34" t="n">
        <v>0.023</v>
      </c>
      <c r="U41" s="34" t="n">
        <v>0.022475356406873</v>
      </c>
      <c r="V41" s="134"/>
      <c r="W41" s="134"/>
      <c r="X41" s="34" t="n">
        <v>0.277</v>
      </c>
      <c r="Y41" s="34" t="n">
        <v>0.27068146629147</v>
      </c>
      <c r="Z41" s="34" t="n">
        <v>0.107</v>
      </c>
      <c r="AA41" s="34" t="n">
        <v>0.104559266762409</v>
      </c>
      <c r="AB41" s="34" t="n">
        <v>0.8</v>
      </c>
      <c r="AC41" s="34" t="n">
        <v>0.781751527195582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36.1129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34" t="n">
        <v>4.497</v>
      </c>
      <c r="Q42" s="134"/>
      <c r="R42" s="134"/>
      <c r="S42" s="186" t="n">
        <v>196.1</v>
      </c>
      <c r="T42" s="34" t="n">
        <v>0.00600000000000001</v>
      </c>
      <c r="U42" s="34" t="n">
        <v>0.00586313645396687</v>
      </c>
      <c r="V42" s="134"/>
      <c r="W42" s="134"/>
      <c r="X42" s="34" t="n">
        <v>0.094</v>
      </c>
      <c r="Y42" s="34" t="n">
        <v>0.0918558044454809</v>
      </c>
      <c r="Z42" s="34" t="n">
        <v>0.061</v>
      </c>
      <c r="AA42" s="34" t="n">
        <v>0.0596085539486631</v>
      </c>
      <c r="AB42" s="34" t="n">
        <v>0.67</v>
      </c>
      <c r="AC42" s="34" t="n">
        <v>0.6547169040263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36.079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4.496</v>
      </c>
      <c r="Q43" s="134"/>
      <c r="R43" s="134"/>
      <c r="S43" s="186" t="n">
        <v>196.1</v>
      </c>
      <c r="T43" s="34" t="n">
        <v>0.004</v>
      </c>
      <c r="U43" s="34" t="n">
        <v>0.00390875763597791</v>
      </c>
      <c r="V43" s="134"/>
      <c r="W43" s="134"/>
      <c r="X43" s="34" t="n">
        <v>0.066</v>
      </c>
      <c r="Y43" s="34" t="n">
        <v>0.0644945009936355</v>
      </c>
      <c r="Z43" s="34" t="n">
        <v>0.06</v>
      </c>
      <c r="AA43" s="34" t="n">
        <v>0.0586313645396686</v>
      </c>
      <c r="AB43" s="34" t="n">
        <v>0.65</v>
      </c>
      <c r="AC43" s="34" t="n">
        <v>0.63517311584641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36.0788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4.502</v>
      </c>
      <c r="Q44" s="134"/>
      <c r="R44" s="134"/>
      <c r="S44" s="186" t="n">
        <v>196.4</v>
      </c>
      <c r="T44" s="34" t="n">
        <v>0.00600000000000001</v>
      </c>
      <c r="U44" s="34" t="n">
        <v>0.00586313645396687</v>
      </c>
      <c r="V44" s="134"/>
      <c r="W44" s="134"/>
      <c r="X44" s="34" t="n">
        <v>0.044</v>
      </c>
      <c r="Y44" s="34" t="n">
        <v>0.042996333995757</v>
      </c>
      <c r="Z44" s="34" t="n">
        <v>0.048</v>
      </c>
      <c r="AA44" s="34" t="n">
        <v>0.0469050916317349</v>
      </c>
      <c r="AB44" s="34" t="n">
        <v>0.71</v>
      </c>
      <c r="AC44" s="34" t="n">
        <v>0.693804480386079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36.079</v>
      </c>
      <c r="H45" s="124" t="n">
        <v>0</v>
      </c>
      <c r="I45" s="193" t="n">
        <v>1.63</v>
      </c>
      <c r="J45" s="134"/>
      <c r="K45" s="135"/>
      <c r="L45" s="135"/>
      <c r="M45" s="135"/>
      <c r="N45" s="136"/>
      <c r="O45" s="135"/>
      <c r="P45" s="134" t="n">
        <v>4.493</v>
      </c>
      <c r="Q45" s="134"/>
      <c r="R45" s="134"/>
      <c r="S45" s="186" t="n">
        <v>196</v>
      </c>
      <c r="T45" s="34" t="n">
        <v>0</v>
      </c>
      <c r="U45" s="34" t="n">
        <v>0</v>
      </c>
      <c r="V45" s="134"/>
      <c r="W45" s="134"/>
      <c r="X45" s="34" t="n">
        <v>0.05</v>
      </c>
      <c r="Y45" s="34" t="n">
        <v>0.0488594704497239</v>
      </c>
      <c r="Z45" s="34" t="n">
        <v>0.045</v>
      </c>
      <c r="AA45" s="34" t="n">
        <v>0.0439735234047515</v>
      </c>
      <c r="AB45" s="34" t="n">
        <v>0.79</v>
      </c>
      <c r="AC45" s="34" t="n">
        <v>0.771979633105637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0.11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-6°0,11</v>
      </c>
      <c r="P9" s="31" t="s">
        <v>16</v>
      </c>
      <c r="Q9" s="35" t="n">
        <f aca="false">IF(ISBLANK(I9),"",IF(ISBLANK(J9),"",IF(J9&gt;60,"ERREUR !!",O11*(I9+(J9/60)))))</f>
        <v>-6.00183333333333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59.44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-9°59,44</v>
      </c>
      <c r="P10" s="31" t="s">
        <v>17</v>
      </c>
      <c r="Q10" s="35" t="n">
        <f aca="false">IF(ISBLANK(I10),"",IF(ISBLANK(J10),"",IF(J10&gt;60,"ERREUR !!",O12*(I10+(J10/60)))))</f>
        <v>-9.99066666666667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37799</v>
      </c>
      <c r="K11" s="40"/>
      <c r="L11" s="40"/>
      <c r="M11" s="40"/>
      <c r="N11" s="41" t="str">
        <f aca="false">I9&amp;"°"&amp;J9</f>
        <v>6°0,11</v>
      </c>
      <c r="O11" s="42" t="n">
        <f aca="false">IF(P9=M10,-1,1)</f>
        <v>-1</v>
      </c>
      <c r="P11" s="43" t="str">
        <f aca="false">TEXT(J11,"aaaa-mm-jj")&amp;"T"&amp;TEXT(J12,"hh:mm:ss")&amp;"z"</f>
        <v>2007-06-28T21:30:00z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0.895833333333333</v>
      </c>
      <c r="K12" s="48"/>
      <c r="L12" s="48"/>
      <c r="M12" s="48"/>
      <c r="N12" s="49" t="str">
        <f aca="false">I10&amp;"°"&amp;J10</f>
        <v>9°59,44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34.9485</v>
      </c>
      <c r="H35" s="123" t="n">
        <v>2000</v>
      </c>
      <c r="I35" s="192" t="n">
        <v>2003</v>
      </c>
      <c r="J35" s="125"/>
      <c r="K35" s="126"/>
      <c r="L35" s="126"/>
      <c r="M35" s="126"/>
      <c r="N35" s="127"/>
      <c r="O35" s="126"/>
      <c r="P35" s="125" t="n">
        <v>5.351</v>
      </c>
      <c r="Q35" s="125"/>
      <c r="R35" s="125"/>
      <c r="S35" s="184" t="n">
        <v>232.6</v>
      </c>
      <c r="T35" s="34" t="n">
        <v>0</v>
      </c>
      <c r="U35" s="34" t="n">
        <v>0</v>
      </c>
      <c r="V35" s="125"/>
      <c r="W35" s="125"/>
      <c r="X35" s="34" t="n">
        <v>21.5</v>
      </c>
      <c r="Y35" s="34" t="n">
        <v>21.0095722933813</v>
      </c>
      <c r="Z35" s="34" t="n">
        <v>1.435</v>
      </c>
      <c r="AA35" s="34" t="n">
        <v>1.40226680190708</v>
      </c>
      <c r="AB35" s="34" t="n">
        <v>25.24</v>
      </c>
      <c r="AC35" s="34" t="n">
        <v>24.6642606830206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34.9239</v>
      </c>
      <c r="H36" s="123" t="n">
        <v>1500</v>
      </c>
      <c r="I36" s="192" t="n">
        <v>1498</v>
      </c>
      <c r="J36" s="134"/>
      <c r="K36" s="135"/>
      <c r="L36" s="135"/>
      <c r="M36" s="135"/>
      <c r="N36" s="136"/>
      <c r="O36" s="135"/>
      <c r="P36" s="134" t="n">
        <v>4.871</v>
      </c>
      <c r="Q36" s="134"/>
      <c r="R36" s="134"/>
      <c r="S36" s="186" t="n">
        <v>211.7</v>
      </c>
      <c r="T36" s="34" t="n">
        <v>0</v>
      </c>
      <c r="U36" s="34" t="n">
        <v>0</v>
      </c>
      <c r="V36" s="134"/>
      <c r="W36" s="134"/>
      <c r="X36" s="34" t="n">
        <v>23.57</v>
      </c>
      <c r="Y36" s="34" t="n">
        <v>23.0323543699998</v>
      </c>
      <c r="Z36" s="34" t="n">
        <v>1.552</v>
      </c>
      <c r="AA36" s="34" t="n">
        <v>1.51659796275943</v>
      </c>
      <c r="AB36" s="34" t="n">
        <v>20.95</v>
      </c>
      <c r="AC36" s="34" t="n">
        <v>20.4721181184343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34.595</v>
      </c>
      <c r="H37" s="123" t="n">
        <v>1000</v>
      </c>
      <c r="I37" s="192" t="n">
        <v>999</v>
      </c>
      <c r="J37" s="134"/>
      <c r="K37" s="135"/>
      <c r="L37" s="135"/>
      <c r="M37" s="135"/>
      <c r="N37" s="136"/>
      <c r="O37" s="135"/>
      <c r="P37" s="134" t="n">
        <v>3.505</v>
      </c>
      <c r="Q37" s="134"/>
      <c r="R37" s="134"/>
      <c r="S37" s="186" t="n">
        <v>152.4</v>
      </c>
      <c r="T37" s="34" t="n">
        <v>0</v>
      </c>
      <c r="U37" s="34" t="n">
        <v>0</v>
      </c>
      <c r="V37" s="134"/>
      <c r="W37" s="134"/>
      <c r="X37" s="34" t="n">
        <v>33.92</v>
      </c>
      <c r="Y37" s="34" t="n">
        <v>33.1462647530927</v>
      </c>
      <c r="Z37" s="34" t="n">
        <v>2.236</v>
      </c>
      <c r="AA37" s="34" t="n">
        <v>2.18499551851165</v>
      </c>
      <c r="AB37" s="34" t="n">
        <v>32</v>
      </c>
      <c r="AC37" s="34" t="n">
        <v>31.2700610878233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34.6482</v>
      </c>
      <c r="H38" s="192" t="n">
        <v>500</v>
      </c>
      <c r="I38" s="192" t="n">
        <v>499</v>
      </c>
      <c r="J38" s="134"/>
      <c r="K38" s="135"/>
      <c r="L38" s="135"/>
      <c r="M38" s="135"/>
      <c r="N38" s="136"/>
      <c r="O38" s="135"/>
      <c r="P38" s="134" t="n">
        <v>1.709</v>
      </c>
      <c r="Q38" s="134"/>
      <c r="R38" s="134"/>
      <c r="S38" s="186" t="n">
        <v>74.3</v>
      </c>
      <c r="T38" s="34" t="n">
        <v>0</v>
      </c>
      <c r="U38" s="34" t="n">
        <v>0</v>
      </c>
      <c r="V38" s="134"/>
      <c r="W38" s="134"/>
      <c r="X38" s="34" t="n">
        <v>38.35</v>
      </c>
      <c r="Y38" s="34" t="n">
        <v>37.4752138349382</v>
      </c>
      <c r="Z38" s="34" t="n">
        <v>2.39</v>
      </c>
      <c r="AA38" s="34" t="n">
        <v>2.3354826874968</v>
      </c>
      <c r="AB38" s="34" t="n">
        <v>20.92</v>
      </c>
      <c r="AC38" s="34" t="n">
        <v>20.4428024361645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35.7141</v>
      </c>
      <c r="H39" s="124" t="n">
        <v>100</v>
      </c>
      <c r="I39" s="192" t="n">
        <v>98</v>
      </c>
      <c r="J39" s="134"/>
      <c r="K39" s="135"/>
      <c r="L39" s="135"/>
      <c r="M39" s="135"/>
      <c r="N39" s="136"/>
      <c r="O39" s="135"/>
      <c r="P39" s="134" t="n">
        <v>2.449</v>
      </c>
      <c r="Q39" s="134"/>
      <c r="R39" s="134"/>
      <c r="S39" s="186" t="n">
        <v>106.6</v>
      </c>
      <c r="T39" s="34" t="n">
        <v>0.282</v>
      </c>
      <c r="U39" s="34" t="n">
        <v>0.275567413336443</v>
      </c>
      <c r="V39" s="134"/>
      <c r="W39" s="134"/>
      <c r="X39" s="34" t="n">
        <v>18.048</v>
      </c>
      <c r="Y39" s="34" t="n">
        <v>17.6363144535323</v>
      </c>
      <c r="Z39" s="34" t="n">
        <v>1.235</v>
      </c>
      <c r="AA39" s="34" t="n">
        <v>1.20682892010818</v>
      </c>
      <c r="AB39" s="34" t="n">
        <v>5.15</v>
      </c>
      <c r="AC39" s="34" t="n">
        <v>5.03252545632156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36.301</v>
      </c>
      <c r="H40" s="124" t="n">
        <v>80</v>
      </c>
      <c r="I40" s="192" t="n">
        <v>72</v>
      </c>
      <c r="J40" s="134"/>
      <c r="K40" s="135"/>
      <c r="L40" s="135"/>
      <c r="M40" s="135"/>
      <c r="N40" s="136"/>
      <c r="O40" s="135"/>
      <c r="P40" s="134" t="n">
        <v>4.433</v>
      </c>
      <c r="Q40" s="134"/>
      <c r="R40" s="134"/>
      <c r="S40" s="186" t="n">
        <v>193.2</v>
      </c>
      <c r="T40" s="34" t="n">
        <v>0.031</v>
      </c>
      <c r="U40" s="34" t="n">
        <v>0.0302928716788288</v>
      </c>
      <c r="V40" s="134"/>
      <c r="W40" s="134"/>
      <c r="X40" s="34" t="n">
        <v>0.499</v>
      </c>
      <c r="Y40" s="34" t="n">
        <v>0.487617515088244</v>
      </c>
      <c r="Z40" s="34" t="n">
        <v>0.173</v>
      </c>
      <c r="AA40" s="34" t="n">
        <v>0.169053767756045</v>
      </c>
      <c r="AB40" s="34" t="n">
        <v>1.04</v>
      </c>
      <c r="AC40" s="34" t="n">
        <v>1.01627698535426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36.2085</v>
      </c>
      <c r="H41" s="124" t="n">
        <v>60</v>
      </c>
      <c r="I41" s="192" t="n">
        <v>58</v>
      </c>
      <c r="J41" s="134"/>
      <c r="K41" s="135"/>
      <c r="L41" s="135"/>
      <c r="M41" s="135"/>
      <c r="N41" s="136"/>
      <c r="O41" s="135"/>
      <c r="P41" s="134" t="n">
        <v>4.497</v>
      </c>
      <c r="Q41" s="134"/>
      <c r="R41" s="134"/>
      <c r="S41" s="186" t="n">
        <v>196.1</v>
      </c>
      <c r="T41" s="34" t="n">
        <v>0.003</v>
      </c>
      <c r="U41" s="34" t="n">
        <v>0.00293156822698343</v>
      </c>
      <c r="V41" s="134"/>
      <c r="W41" s="134"/>
      <c r="X41" s="34" t="n">
        <v>0.067</v>
      </c>
      <c r="Y41" s="34" t="n">
        <v>0.06547169040263</v>
      </c>
      <c r="Z41" s="34" t="n">
        <v>0.067</v>
      </c>
      <c r="AA41" s="34" t="n">
        <v>0.06547169040263</v>
      </c>
      <c r="AB41" s="34" t="n">
        <v>0.61</v>
      </c>
      <c r="AC41" s="34" t="n">
        <v>0.596085539486631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36.1314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34" t="n">
        <v>4.49</v>
      </c>
      <c r="Q42" s="134"/>
      <c r="R42" s="134"/>
      <c r="S42" s="186" t="n">
        <v>195.8</v>
      </c>
      <c r="T42" s="34" t="n">
        <v>0</v>
      </c>
      <c r="U42" s="34" t="n">
        <v>0</v>
      </c>
      <c r="V42" s="134"/>
      <c r="W42" s="134"/>
      <c r="X42" s="34" t="n">
        <v>0.04</v>
      </c>
      <c r="Y42" s="34" t="n">
        <v>0.0390875763597791</v>
      </c>
      <c r="Z42" s="34" t="n">
        <v>0.05</v>
      </c>
      <c r="AA42" s="34" t="n">
        <v>0.0488594704497239</v>
      </c>
      <c r="AB42" s="34" t="n">
        <v>0.6</v>
      </c>
      <c r="AC42" s="34" t="n">
        <v>0.586313645396686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36.1209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4.498</v>
      </c>
      <c r="Q43" s="134"/>
      <c r="R43" s="134"/>
      <c r="S43" s="186" t="n">
        <v>196.2</v>
      </c>
      <c r="T43" s="34" t="n">
        <v>0.00700000000000001</v>
      </c>
      <c r="U43" s="34" t="n">
        <v>0.00684032586296135</v>
      </c>
      <c r="V43" s="134"/>
      <c r="W43" s="134"/>
      <c r="X43" s="34" t="n">
        <v>0.073</v>
      </c>
      <c r="Y43" s="34" t="n">
        <v>0.0713348268565968</v>
      </c>
      <c r="Z43" s="34" t="n">
        <v>0.054</v>
      </c>
      <c r="AA43" s="34" t="n">
        <v>0.0527682280857018</v>
      </c>
      <c r="AB43" s="34" t="n">
        <v>0.53</v>
      </c>
      <c r="AC43" s="34" t="n">
        <v>0.517910386767073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36.1052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4.498</v>
      </c>
      <c r="Q44" s="134"/>
      <c r="R44" s="134"/>
      <c r="S44" s="186" t="n">
        <v>196.2</v>
      </c>
      <c r="T44" s="34" t="n">
        <v>0.003</v>
      </c>
      <c r="U44" s="34" t="n">
        <v>0.00293156822698343</v>
      </c>
      <c r="V44" s="134"/>
      <c r="W44" s="134"/>
      <c r="X44" s="34" t="n">
        <v>0.067</v>
      </c>
      <c r="Y44" s="34" t="n">
        <v>0.06547169040263</v>
      </c>
      <c r="Z44" s="34" t="n">
        <v>0.051</v>
      </c>
      <c r="AA44" s="34" t="n">
        <v>0.0498366598587183</v>
      </c>
      <c r="AB44" s="34" t="n">
        <v>0.58</v>
      </c>
      <c r="AC44" s="34" t="n">
        <v>0.566769857216797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36.1156</v>
      </c>
      <c r="H45" s="124" t="n">
        <v>0</v>
      </c>
      <c r="I45" s="193" t="n">
        <v>1.62</v>
      </c>
      <c r="J45" s="134"/>
      <c r="K45" s="135"/>
      <c r="L45" s="135"/>
      <c r="M45" s="135"/>
      <c r="N45" s="136"/>
      <c r="O45" s="135"/>
      <c r="P45" s="134" t="n">
        <v>4.502</v>
      </c>
      <c r="Q45" s="134"/>
      <c r="R45" s="134"/>
      <c r="S45" s="186" t="n">
        <v>196.4</v>
      </c>
      <c r="T45" s="34" t="n">
        <v>0</v>
      </c>
      <c r="U45" s="34" t="n">
        <v>0</v>
      </c>
      <c r="V45" s="134"/>
      <c r="W45" s="134"/>
      <c r="X45" s="34" t="n">
        <v>0.05</v>
      </c>
      <c r="Y45" s="34" t="n">
        <v>0.0488594704497239</v>
      </c>
      <c r="Z45" s="34" t="n">
        <v>0.053</v>
      </c>
      <c r="AA45" s="34" t="n">
        <v>0.0517910386767073</v>
      </c>
      <c r="AB45" s="34" t="n">
        <v>0.59</v>
      </c>
      <c r="AC45" s="34" t="n">
        <v>0.576541751306742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59.9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-4°59,9</v>
      </c>
      <c r="P9" s="31" t="s">
        <v>16</v>
      </c>
      <c r="Q9" s="35" t="n">
        <f aca="false">IF(ISBLANK(I9),"",IF(ISBLANK(J9),"",IF(J9&gt;60,"ERREUR !!",O11*(I9+(J9/60)))))</f>
        <v>-4.99833333333333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0.25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-10°0,25</v>
      </c>
      <c r="P10" s="31" t="s">
        <v>17</v>
      </c>
      <c r="Q10" s="35" t="n">
        <f aca="false">IF(ISBLANK(I10),"",IF(ISBLANK(J10),"",IF(J10&gt;60,"ERREUR !!",O12*(I10+(J10/60)))))</f>
        <v>-10.0041666666667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37800</v>
      </c>
      <c r="K11" s="40"/>
      <c r="L11" s="40"/>
      <c r="M11" s="40"/>
      <c r="N11" s="41" t="str">
        <f aca="false">I9&amp;"°"&amp;J9</f>
        <v>4°59,9</v>
      </c>
      <c r="O11" s="42" t="n">
        <f aca="false">IF(P9=M10,-1,1)</f>
        <v>-1</v>
      </c>
      <c r="P11" s="43" t="str">
        <f aca="false">TEXT(J11,"aaaa-mm-jj")&amp;"T"&amp;TEXT(J12,"hh:mm:ss")&amp;"z"</f>
        <v>2007-06-29T05:00:00z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0.208333333333333</v>
      </c>
      <c r="K12" s="48"/>
      <c r="L12" s="48"/>
      <c r="M12" s="48"/>
      <c r="N12" s="49" t="str">
        <f aca="false">I10&amp;"°"&amp;J10</f>
        <v>10°0,25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34.5987</v>
      </c>
      <c r="H35" s="123" t="n">
        <v>1000</v>
      </c>
      <c r="I35" s="192" t="n">
        <v>1000</v>
      </c>
      <c r="J35" s="125"/>
      <c r="K35" s="126"/>
      <c r="L35" s="126"/>
      <c r="M35" s="126"/>
      <c r="N35" s="127"/>
      <c r="O35" s="126"/>
      <c r="P35" s="125" t="n">
        <v>3.755</v>
      </c>
      <c r="Q35" s="125"/>
      <c r="R35" s="125"/>
      <c r="S35" s="184" t="n">
        <v>163.3</v>
      </c>
      <c r="T35" s="34" t="n">
        <v>0</v>
      </c>
      <c r="U35" s="34" t="n">
        <v>0</v>
      </c>
      <c r="V35" s="125"/>
      <c r="W35" s="125"/>
      <c r="X35" s="34" t="n">
        <v>33.56</v>
      </c>
      <c r="Y35" s="34" t="n">
        <v>32.7944765658547</v>
      </c>
      <c r="Z35" s="34" t="n">
        <v>2.242</v>
      </c>
      <c r="AA35" s="34" t="n">
        <v>2.19085865496562</v>
      </c>
      <c r="AB35" s="34" t="n">
        <v>32.45</v>
      </c>
      <c r="AC35" s="34" t="n">
        <v>31.7097963218708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34.5696</v>
      </c>
      <c r="H36" s="123" t="n">
        <v>600</v>
      </c>
      <c r="I36" s="192" t="n">
        <v>595</v>
      </c>
      <c r="J36" s="134"/>
      <c r="K36" s="135"/>
      <c r="L36" s="135"/>
      <c r="M36" s="135"/>
      <c r="N36" s="136"/>
      <c r="O36" s="135"/>
      <c r="P36" s="134" t="n">
        <v>2.643</v>
      </c>
      <c r="Q36" s="134"/>
      <c r="R36" s="134"/>
      <c r="S36" s="186" t="n">
        <v>114.9</v>
      </c>
      <c r="T36" s="34" t="n">
        <v>0</v>
      </c>
      <c r="U36" s="34" t="n">
        <v>0</v>
      </c>
      <c r="V36" s="134"/>
      <c r="W36" s="134"/>
      <c r="X36" s="34" t="n">
        <v>35.53</v>
      </c>
      <c r="Y36" s="34" t="n">
        <v>34.7195397015738</v>
      </c>
      <c r="Z36" s="34" t="n">
        <v>2.272</v>
      </c>
      <c r="AA36" s="34" t="n">
        <v>2.22017433723545</v>
      </c>
      <c r="AB36" s="34" t="n">
        <v>21.86</v>
      </c>
      <c r="AC36" s="34" t="n">
        <v>21.3613604806193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34.9482</v>
      </c>
      <c r="H37" s="123" t="n">
        <v>300</v>
      </c>
      <c r="I37" s="192" t="n">
        <v>297</v>
      </c>
      <c r="J37" s="134"/>
      <c r="K37" s="135"/>
      <c r="L37" s="135"/>
      <c r="M37" s="135"/>
      <c r="N37" s="136"/>
      <c r="O37" s="135"/>
      <c r="P37" s="134" t="n">
        <v>2.53</v>
      </c>
      <c r="Q37" s="134"/>
      <c r="R37" s="134"/>
      <c r="S37" s="186" t="n">
        <v>110.1</v>
      </c>
      <c r="T37" s="34" t="n">
        <v>0</v>
      </c>
      <c r="U37" s="34" t="n">
        <v>0</v>
      </c>
      <c r="V37" s="134"/>
      <c r="W37" s="134"/>
      <c r="X37" s="34" t="n">
        <v>27.28</v>
      </c>
      <c r="Y37" s="34" t="n">
        <v>26.6577270773693</v>
      </c>
      <c r="Z37" s="34" t="n">
        <v>1.748</v>
      </c>
      <c r="AA37" s="34" t="n">
        <v>1.70812708692235</v>
      </c>
      <c r="AB37" s="34" t="n">
        <v>11.61</v>
      </c>
      <c r="AC37" s="34" t="n">
        <v>11.3451690384259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22" t="n">
        <v>35.6138</v>
      </c>
      <c r="H38" s="124" t="n">
        <v>100</v>
      </c>
      <c r="I38" s="192" t="n">
        <v>94</v>
      </c>
      <c r="J38" s="134"/>
      <c r="K38" s="135"/>
      <c r="L38" s="135"/>
      <c r="M38" s="135"/>
      <c r="N38" s="136"/>
      <c r="O38" s="135"/>
      <c r="P38" s="134" t="n">
        <v>2.383</v>
      </c>
      <c r="Q38" s="134"/>
      <c r="R38" s="134"/>
      <c r="S38" s="186" t="n">
        <v>103.7</v>
      </c>
      <c r="T38" s="34" t="n">
        <v>0.071</v>
      </c>
      <c r="U38" s="34" t="n">
        <v>0.0693804480386079</v>
      </c>
      <c r="V38" s="134"/>
      <c r="W38" s="134"/>
      <c r="X38" s="34" t="n">
        <v>19.059</v>
      </c>
      <c r="Y38" s="34" t="n">
        <v>18.6242529460257</v>
      </c>
      <c r="Z38" s="34" t="n">
        <v>1.288</v>
      </c>
      <c r="AA38" s="34" t="n">
        <v>1.25861995878489</v>
      </c>
      <c r="AB38" s="34" t="n">
        <v>5.75</v>
      </c>
      <c r="AC38" s="34" t="n">
        <v>5.61883910171825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22" t="n">
        <v>35.6138</v>
      </c>
      <c r="H39" s="124" t="n">
        <v>100</v>
      </c>
      <c r="I39" s="192" t="n">
        <v>94</v>
      </c>
      <c r="J39" s="134"/>
      <c r="K39" s="135"/>
      <c r="L39" s="135"/>
      <c r="M39" s="135"/>
      <c r="N39" s="136"/>
      <c r="O39" s="135"/>
      <c r="P39" s="134" t="n">
        <v>2.369</v>
      </c>
      <c r="Q39" s="134"/>
      <c r="R39" s="134"/>
      <c r="S39" s="186" t="n">
        <v>103.1</v>
      </c>
      <c r="T39" s="34" t="n">
        <v>0.075</v>
      </c>
      <c r="U39" s="34" t="n">
        <v>0.0732892056745858</v>
      </c>
      <c r="V39" s="134"/>
      <c r="W39" s="134"/>
      <c r="X39" s="34" t="n">
        <v>18.885</v>
      </c>
      <c r="Y39" s="34" t="n">
        <v>18.4542219888607</v>
      </c>
      <c r="Z39" s="34" t="n">
        <v>1.263</v>
      </c>
      <c r="AA39" s="34" t="n">
        <v>1.23419022356002</v>
      </c>
      <c r="AB39" s="34" t="n">
        <v>5.71</v>
      </c>
      <c r="AC39" s="34" t="n">
        <v>5.57975152535847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36.225</v>
      </c>
      <c r="H40" s="124" t="n">
        <v>80</v>
      </c>
      <c r="I40" s="192" t="n">
        <v>80</v>
      </c>
      <c r="J40" s="134"/>
      <c r="K40" s="135"/>
      <c r="L40" s="135"/>
      <c r="M40" s="135"/>
      <c r="N40" s="136"/>
      <c r="O40" s="135"/>
      <c r="P40" s="134" t="n">
        <v>4.076</v>
      </c>
      <c r="Q40" s="134"/>
      <c r="R40" s="134"/>
      <c r="S40" s="186" t="n">
        <v>177.6</v>
      </c>
      <c r="T40" s="34" t="n">
        <v>0.152</v>
      </c>
      <c r="U40" s="34" t="n">
        <v>0.148532790167161</v>
      </c>
      <c r="V40" s="134"/>
      <c r="W40" s="134"/>
      <c r="X40" s="34" t="n">
        <v>3.228</v>
      </c>
      <c r="Y40" s="34" t="n">
        <v>3.15436741223417</v>
      </c>
      <c r="Z40" s="34" t="n">
        <v>0.409</v>
      </c>
      <c r="AA40" s="34" t="n">
        <v>0.399670468278741</v>
      </c>
      <c r="AB40" s="34" t="n">
        <v>2.01</v>
      </c>
      <c r="AC40" s="34" t="n">
        <v>1.9641507120789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36.3056</v>
      </c>
      <c r="H41" s="124" t="n">
        <v>60</v>
      </c>
      <c r="I41" s="192" t="n">
        <v>60</v>
      </c>
      <c r="J41" s="134"/>
      <c r="K41" s="135"/>
      <c r="L41" s="135"/>
      <c r="M41" s="135"/>
      <c r="N41" s="136"/>
      <c r="O41" s="135"/>
      <c r="P41" s="134" t="n">
        <v>4.496</v>
      </c>
      <c r="Q41" s="134"/>
      <c r="R41" s="134"/>
      <c r="S41" s="186" t="n">
        <v>196.1</v>
      </c>
      <c r="T41" s="34" t="n">
        <v>0.001</v>
      </c>
      <c r="U41" s="34" t="n">
        <v>0.000977189408994478</v>
      </c>
      <c r="V41" s="134"/>
      <c r="W41" s="134"/>
      <c r="X41" s="34" t="n">
        <v>0.039</v>
      </c>
      <c r="Y41" s="34" t="n">
        <v>0.0381103869507846</v>
      </c>
      <c r="Z41" s="34" t="n">
        <v>0.069</v>
      </c>
      <c r="AA41" s="34" t="n">
        <v>0.067426069220619</v>
      </c>
      <c r="AB41" s="34" t="n">
        <v>0.63</v>
      </c>
      <c r="AC41" s="34" t="n">
        <v>0.615629327666521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35.6045</v>
      </c>
      <c r="H42" s="124" t="n">
        <v>40</v>
      </c>
      <c r="I42" s="192" t="n">
        <v>40</v>
      </c>
      <c r="J42" s="134"/>
      <c r="K42" s="135"/>
      <c r="L42" s="135"/>
      <c r="M42" s="135"/>
      <c r="N42" s="136"/>
      <c r="O42" s="135"/>
      <c r="P42" s="134" t="n">
        <v>4.553</v>
      </c>
      <c r="Q42" s="134"/>
      <c r="R42" s="134"/>
      <c r="S42" s="186" t="n">
        <v>198.6</v>
      </c>
      <c r="T42" s="34" t="n">
        <v>0</v>
      </c>
      <c r="U42" s="34" t="n">
        <v>0</v>
      </c>
      <c r="V42" s="134"/>
      <c r="W42" s="134"/>
      <c r="X42" s="34" t="n">
        <v>0.03</v>
      </c>
      <c r="Y42" s="34" t="n">
        <v>0.0293156822698343</v>
      </c>
      <c r="Z42" s="34" t="n">
        <v>0.072</v>
      </c>
      <c r="AA42" s="34" t="n">
        <v>0.0703576374476024</v>
      </c>
      <c r="AB42" s="34" t="n">
        <v>0.68</v>
      </c>
      <c r="AC42" s="34" t="n">
        <v>0.664488798116245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35.489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3.589</v>
      </c>
      <c r="Q43" s="134"/>
      <c r="R43" s="134"/>
      <c r="S43" s="186" t="n">
        <v>156.3</v>
      </c>
      <c r="T43" s="34" t="n">
        <v>0.01</v>
      </c>
      <c r="U43" s="34" t="n">
        <v>0.00977189408994478</v>
      </c>
      <c r="V43" s="134"/>
      <c r="W43" s="134"/>
      <c r="X43" s="34" t="n">
        <v>9.72</v>
      </c>
      <c r="Y43" s="34" t="n">
        <v>9.49828105542632</v>
      </c>
      <c r="Z43" s="34" t="n">
        <v>0.657</v>
      </c>
      <c r="AA43" s="34" t="n">
        <v>0.642013441709372</v>
      </c>
      <c r="AB43" s="34" t="n">
        <v>4.92</v>
      </c>
      <c r="AC43" s="34" t="n">
        <v>4.80777189225283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35.5573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4.56</v>
      </c>
      <c r="Q44" s="134"/>
      <c r="R44" s="134"/>
      <c r="S44" s="186" t="n">
        <v>199</v>
      </c>
      <c r="T44" s="34" t="n">
        <v>0</v>
      </c>
      <c r="U44" s="34" t="n">
        <v>0</v>
      </c>
      <c r="V44" s="134"/>
      <c r="W44" s="134"/>
      <c r="X44" s="34" t="n">
        <v>0.03</v>
      </c>
      <c r="Y44" s="34" t="n">
        <v>0.0293156822698343</v>
      </c>
      <c r="Z44" s="34" t="n">
        <v>0.07</v>
      </c>
      <c r="AA44" s="34" t="n">
        <v>0.0684032586296134</v>
      </c>
      <c r="AB44" s="34" t="n">
        <v>0.67</v>
      </c>
      <c r="AC44" s="34" t="n">
        <v>0.6547169040263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35.5566</v>
      </c>
      <c r="H45" s="124" t="n">
        <v>0</v>
      </c>
      <c r="I45" s="193" t="n">
        <v>2</v>
      </c>
      <c r="J45" s="134"/>
      <c r="K45" s="135"/>
      <c r="L45" s="135"/>
      <c r="M45" s="135"/>
      <c r="N45" s="136"/>
      <c r="O45" s="135"/>
      <c r="P45" s="134" t="n">
        <v>5.121</v>
      </c>
      <c r="Q45" s="134"/>
      <c r="R45" s="134"/>
      <c r="S45" s="186" t="n">
        <v>223.4</v>
      </c>
      <c r="T45" s="34" t="n">
        <v>0</v>
      </c>
      <c r="U45" s="34" t="n">
        <v>0</v>
      </c>
      <c r="V45" s="134"/>
      <c r="W45" s="134"/>
      <c r="X45" s="34" t="n">
        <v>0.03</v>
      </c>
      <c r="Y45" s="34" t="n">
        <v>0.0293156822698343</v>
      </c>
      <c r="Z45" s="34" t="n">
        <v>0.072</v>
      </c>
      <c r="AA45" s="34" t="n">
        <v>0.0703576374476024</v>
      </c>
      <c r="AB45" s="34" t="n">
        <v>0.7</v>
      </c>
      <c r="AC45" s="34" t="n">
        <v>0.684032586296134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59.81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-3°59,81</v>
      </c>
      <c r="P9" s="31" t="s">
        <v>16</v>
      </c>
      <c r="Q9" s="35" t="n">
        <f aca="false">IF(ISBLANK(I9),"",IF(ISBLANK(J9),"",IF(J9&gt;60,"ERREUR !!",O11*(I9+(J9/60)))))</f>
        <v>-3.99683333333333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0.15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-10°0,15</v>
      </c>
      <c r="P10" s="31" t="s">
        <v>17</v>
      </c>
      <c r="Q10" s="35" t="n">
        <f aca="false">IF(ISBLANK(I10),"",IF(ISBLANK(J10),"",IF(J10&gt;60,"ERREUR !!",O12*(I10+(J10/60)))))</f>
        <v>-10.0025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37800</v>
      </c>
      <c r="K11" s="40"/>
      <c r="L11" s="40"/>
      <c r="M11" s="40"/>
      <c r="N11" s="41" t="str">
        <f aca="false">I9&amp;"°"&amp;J9</f>
        <v>3°59,81</v>
      </c>
      <c r="O11" s="42" t="n">
        <f aca="false">IF(P9=M10,-1,1)</f>
        <v>-1</v>
      </c>
      <c r="P11" s="43" t="str">
        <f aca="false">TEXT(J11,"aaaa-mm-jj")&amp;"T"&amp;TEXT(J12,"hh:mm:ss")&amp;"z"</f>
        <v>2007-06-29T12:00:00z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0.5</v>
      </c>
      <c r="K12" s="48"/>
      <c r="L12" s="48"/>
      <c r="M12" s="48"/>
      <c r="N12" s="49" t="str">
        <f aca="false">I10&amp;"°"&amp;J10</f>
        <v>10°0,15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34.6068</v>
      </c>
      <c r="H35" s="123" t="n">
        <v>1000</v>
      </c>
      <c r="I35" s="192" t="n">
        <v>1003</v>
      </c>
      <c r="J35" s="125"/>
      <c r="K35" s="126"/>
      <c r="L35" s="126"/>
      <c r="M35" s="126"/>
      <c r="N35" s="127"/>
      <c r="O35" s="126"/>
      <c r="P35" s="125" t="n">
        <v>3.496</v>
      </c>
      <c r="Q35" s="125"/>
      <c r="R35" s="125"/>
      <c r="S35" s="184" t="n">
        <v>152</v>
      </c>
      <c r="T35" s="34" t="n">
        <v>0.002</v>
      </c>
      <c r="U35" s="34" t="n">
        <v>0.00195437881798896</v>
      </c>
      <c r="V35" s="125"/>
      <c r="W35" s="125"/>
      <c r="X35" s="34" t="n">
        <v>33.758</v>
      </c>
      <c r="Y35" s="34" t="n">
        <v>32.9879600688356</v>
      </c>
      <c r="Z35" s="34" t="n">
        <v>2.228</v>
      </c>
      <c r="AA35" s="34" t="n">
        <v>2.1771780032397</v>
      </c>
      <c r="AB35" s="34" t="n">
        <v>32.06</v>
      </c>
      <c r="AC35" s="34" t="n">
        <v>31.3286924523629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34.5629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2.952</v>
      </c>
      <c r="Q36" s="134"/>
      <c r="R36" s="134"/>
      <c r="S36" s="186" t="n">
        <v>128.4</v>
      </c>
      <c r="T36" s="34" t="n">
        <v>0</v>
      </c>
      <c r="U36" s="34" t="n">
        <v>0</v>
      </c>
      <c r="V36" s="134"/>
      <c r="W36" s="134"/>
      <c r="X36" s="34" t="n">
        <v>33.51</v>
      </c>
      <c r="Y36" s="34" t="n">
        <v>32.7456170954049</v>
      </c>
      <c r="Z36" s="34" t="n">
        <v>2.152</v>
      </c>
      <c r="AA36" s="34" t="n">
        <v>2.10291160815612</v>
      </c>
      <c r="AB36" s="34" t="n">
        <v>20.97</v>
      </c>
      <c r="AC36" s="34" t="n">
        <v>20.4916619066142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35.0131</v>
      </c>
      <c r="H37" s="123" t="n">
        <v>300</v>
      </c>
      <c r="I37" s="192" t="n">
        <v>300</v>
      </c>
      <c r="J37" s="134"/>
      <c r="K37" s="135"/>
      <c r="L37" s="135"/>
      <c r="M37" s="135"/>
      <c r="N37" s="136"/>
      <c r="O37" s="135"/>
      <c r="P37" s="134" t="n">
        <v>1.958</v>
      </c>
      <c r="Q37" s="134"/>
      <c r="R37" s="134"/>
      <c r="S37" s="186" t="n">
        <v>85.2</v>
      </c>
      <c r="T37" s="34" t="n">
        <v>0.014</v>
      </c>
      <c r="U37" s="34" t="n">
        <v>0.0136806517259227</v>
      </c>
      <c r="V37" s="134"/>
      <c r="W37" s="134"/>
      <c r="X37" s="34" t="n">
        <v>29.146</v>
      </c>
      <c r="Y37" s="34" t="n">
        <v>28.481162514553</v>
      </c>
      <c r="Z37" s="34" t="n">
        <v>1.809</v>
      </c>
      <c r="AA37" s="34" t="n">
        <v>1.76773564087101</v>
      </c>
      <c r="AB37" s="34" t="n">
        <v>11.84</v>
      </c>
      <c r="AC37" s="34" t="n">
        <v>11.5699226024946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22" t="n">
        <v>35.5284</v>
      </c>
      <c r="H38" s="124" t="n">
        <v>100</v>
      </c>
      <c r="I38" s="192" t="n">
        <v>99</v>
      </c>
      <c r="J38" s="134"/>
      <c r="K38" s="135"/>
      <c r="L38" s="135"/>
      <c r="M38" s="135"/>
      <c r="N38" s="136"/>
      <c r="O38" s="135"/>
      <c r="P38" s="134" t="n">
        <v>2.336</v>
      </c>
      <c r="Q38" s="134"/>
      <c r="R38" s="134"/>
      <c r="S38" s="186" t="n">
        <v>101.6</v>
      </c>
      <c r="T38" s="34" t="n">
        <v>0.018</v>
      </c>
      <c r="U38" s="34" t="n">
        <v>0.0175894093619006</v>
      </c>
      <c r="V38" s="134"/>
      <c r="W38" s="134"/>
      <c r="X38" s="34" t="n">
        <v>20.382</v>
      </c>
      <c r="Y38" s="34" t="n">
        <v>19.9170745341254</v>
      </c>
      <c r="Z38" s="34" t="n">
        <v>1.346</v>
      </c>
      <c r="AA38" s="34" t="n">
        <v>1.31529694450657</v>
      </c>
      <c r="AB38" s="34" t="n">
        <v>6.74</v>
      </c>
      <c r="AC38" s="34" t="n">
        <v>6.58625661662278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22" t="n">
        <v>35.5299</v>
      </c>
      <c r="H39" s="124" t="n">
        <v>100</v>
      </c>
      <c r="I39" s="192" t="n">
        <v>99</v>
      </c>
      <c r="J39" s="134"/>
      <c r="K39" s="135"/>
      <c r="L39" s="135"/>
      <c r="M39" s="135"/>
      <c r="N39" s="136"/>
      <c r="O39" s="135"/>
      <c r="P39" s="134" t="n">
        <v>2.337</v>
      </c>
      <c r="Q39" s="134"/>
      <c r="R39" s="134"/>
      <c r="S39" s="186" t="n">
        <v>101.7</v>
      </c>
      <c r="T39" s="34" t="n">
        <v>0.02</v>
      </c>
      <c r="U39" s="34" t="n">
        <v>0.0195437881798896</v>
      </c>
      <c r="V39" s="134"/>
      <c r="W39" s="134"/>
      <c r="X39" s="34" t="n">
        <v>20.32</v>
      </c>
      <c r="Y39" s="34" t="n">
        <v>19.8564887907678</v>
      </c>
      <c r="Z39" s="34" t="n">
        <v>1.325</v>
      </c>
      <c r="AA39" s="34" t="n">
        <v>1.29477596691768</v>
      </c>
      <c r="AB39" s="34" t="n">
        <v>6.57</v>
      </c>
      <c r="AC39" s="34" t="n">
        <v>6.42013441709372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35.5534</v>
      </c>
      <c r="H40" s="124" t="n">
        <v>80</v>
      </c>
      <c r="I40" s="192" t="n">
        <v>78</v>
      </c>
      <c r="J40" s="134"/>
      <c r="K40" s="135"/>
      <c r="L40" s="135"/>
      <c r="M40" s="135"/>
      <c r="N40" s="136"/>
      <c r="O40" s="135"/>
      <c r="P40" s="134" t="n">
        <v>2.256</v>
      </c>
      <c r="Q40" s="134"/>
      <c r="R40" s="134"/>
      <c r="S40" s="186" t="n">
        <v>98.2</v>
      </c>
      <c r="T40" s="34" t="n">
        <v>0.045</v>
      </c>
      <c r="U40" s="34" t="n">
        <v>0.0439735234047515</v>
      </c>
      <c r="V40" s="134"/>
      <c r="W40" s="134"/>
      <c r="X40" s="34" t="n">
        <v>20.225</v>
      </c>
      <c r="Y40" s="34" t="n">
        <v>19.7636557969133</v>
      </c>
      <c r="Z40" s="34" t="n">
        <v>1.348</v>
      </c>
      <c r="AA40" s="34" t="n">
        <v>1.31725132332456</v>
      </c>
      <c r="AB40" s="34" t="n">
        <v>6.36</v>
      </c>
      <c r="AC40" s="34" t="n">
        <v>6.21492464120488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35.6846</v>
      </c>
      <c r="H41" s="124" t="n">
        <v>60</v>
      </c>
      <c r="I41" s="192" t="n">
        <v>59</v>
      </c>
      <c r="J41" s="134"/>
      <c r="K41" s="135"/>
      <c r="L41" s="135"/>
      <c r="M41" s="135"/>
      <c r="N41" s="136"/>
      <c r="O41" s="135"/>
      <c r="P41" s="134" t="n">
        <v>2.988</v>
      </c>
      <c r="Q41" s="134"/>
      <c r="R41" s="134"/>
      <c r="S41" s="186" t="n">
        <v>130.1</v>
      </c>
      <c r="T41" s="34" t="n">
        <v>0.357</v>
      </c>
      <c r="U41" s="34" t="n">
        <v>0.348856619011028</v>
      </c>
      <c r="V41" s="134"/>
      <c r="W41" s="134"/>
      <c r="X41" s="34" t="n">
        <v>14.283</v>
      </c>
      <c r="Y41" s="34" t="n">
        <v>13.9571963286681</v>
      </c>
      <c r="Z41" s="34" t="n">
        <v>1.031</v>
      </c>
      <c r="AA41" s="34" t="n">
        <v>1.00748228067331</v>
      </c>
      <c r="AB41" s="34" t="n">
        <v>4.53</v>
      </c>
      <c r="AC41" s="34" t="n">
        <v>4.42666802274498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36.0669</v>
      </c>
      <c r="H42" s="124" t="n">
        <v>40</v>
      </c>
      <c r="I42" s="192" t="n">
        <v>36</v>
      </c>
      <c r="J42" s="134"/>
      <c r="K42" s="135"/>
      <c r="L42" s="135"/>
      <c r="M42" s="135"/>
      <c r="N42" s="136"/>
      <c r="O42" s="135"/>
      <c r="P42" s="134" t="n">
        <v>4.5</v>
      </c>
      <c r="Q42" s="134"/>
      <c r="R42" s="134"/>
      <c r="S42" s="186" t="n">
        <v>196.1</v>
      </c>
      <c r="T42" s="34" t="n">
        <v>0.027</v>
      </c>
      <c r="U42" s="34" t="n">
        <v>0.0263841140428509</v>
      </c>
      <c r="V42" s="134"/>
      <c r="W42" s="134"/>
      <c r="X42" s="34" t="n">
        <v>1.173</v>
      </c>
      <c r="Y42" s="34" t="n">
        <v>1.14624317675052</v>
      </c>
      <c r="Z42" s="34" t="n">
        <v>0.276</v>
      </c>
      <c r="AA42" s="34" t="n">
        <v>0.269704276882476</v>
      </c>
      <c r="AB42" s="34" t="n">
        <v>1.72</v>
      </c>
      <c r="AC42" s="34" t="n">
        <v>1.6807657834705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35.67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4.652</v>
      </c>
      <c r="Q43" s="134"/>
      <c r="R43" s="134"/>
      <c r="S43" s="186" t="n">
        <v>202.9</v>
      </c>
      <c r="T43" s="34" t="n">
        <v>0.007</v>
      </c>
      <c r="U43" s="34" t="n">
        <v>0.00684032586296134</v>
      </c>
      <c r="V43" s="134"/>
      <c r="W43" s="134"/>
      <c r="X43" s="34" t="n">
        <v>0.063</v>
      </c>
      <c r="Y43" s="34" t="n">
        <v>0.0615629327666521</v>
      </c>
      <c r="Z43" s="34" t="n">
        <v>0.114</v>
      </c>
      <c r="AA43" s="34" t="n">
        <v>0.11139959262537</v>
      </c>
      <c r="AB43" s="34" t="n">
        <v>0.65</v>
      </c>
      <c r="AC43" s="34" t="n">
        <v>0.63517311584641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35.6534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4.66</v>
      </c>
      <c r="Q44" s="134"/>
      <c r="R44" s="134"/>
      <c r="S44" s="186" t="n">
        <v>203.3</v>
      </c>
      <c r="T44" s="34" t="n">
        <v>0.007</v>
      </c>
      <c r="U44" s="34" t="n">
        <v>0.00684032586296134</v>
      </c>
      <c r="V44" s="134"/>
      <c r="W44" s="134"/>
      <c r="X44" s="34" t="n">
        <v>0.053</v>
      </c>
      <c r="Y44" s="34" t="n">
        <v>0.0517910386767073</v>
      </c>
      <c r="Z44" s="34" t="n">
        <v>0.109</v>
      </c>
      <c r="AA44" s="34" t="n">
        <v>0.106513645580398</v>
      </c>
      <c r="AB44" s="34" t="n">
        <v>0.83</v>
      </c>
      <c r="AC44" s="34" t="n">
        <v>0.811067209465416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35.655</v>
      </c>
      <c r="H45" s="124" t="n">
        <v>0</v>
      </c>
      <c r="I45" s="193" t="n">
        <v>1.2</v>
      </c>
      <c r="J45" s="134"/>
      <c r="K45" s="135"/>
      <c r="L45" s="135"/>
      <c r="M45" s="135"/>
      <c r="N45" s="136"/>
      <c r="O45" s="135"/>
      <c r="P45" s="134" t="n">
        <v>4.668</v>
      </c>
      <c r="Q45" s="134"/>
      <c r="R45" s="134"/>
      <c r="S45" s="186" t="n">
        <v>203.6</v>
      </c>
      <c r="T45" s="34" t="n">
        <v>0</v>
      </c>
      <c r="U45" s="34" t="n">
        <v>0</v>
      </c>
      <c r="V45" s="134"/>
      <c r="W45" s="134"/>
      <c r="X45" s="34" t="n">
        <v>0.04</v>
      </c>
      <c r="Y45" s="34" t="n">
        <v>0.0390875763597791</v>
      </c>
      <c r="Z45" s="34" t="n">
        <v>0.111</v>
      </c>
      <c r="AA45" s="34" t="n">
        <v>0.108468024398387</v>
      </c>
      <c r="AB45" s="34" t="n">
        <v>0.77</v>
      </c>
      <c r="AC45" s="34" t="n">
        <v>0.752435844925748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30.08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-3°30,08</v>
      </c>
      <c r="P9" s="31" t="s">
        <v>16</v>
      </c>
      <c r="Q9" s="35" t="n">
        <f aca="false">IF(ISBLANK(I9),"",IF(ISBLANK(J9),"",IF(J9&gt;60,"ERREUR !!",O11*(I9+(J9/60)))))</f>
        <v>-3.50133333333333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0.16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-10°0,16</v>
      </c>
      <c r="P10" s="31" t="s">
        <v>17</v>
      </c>
      <c r="Q10" s="35" t="n">
        <f aca="false">IF(ISBLANK(I10),"",IF(ISBLANK(J10),"",IF(J10&gt;60,"ERREUR !!",O12*(I10+(J10/60)))))</f>
        <v>-10.0026666666667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37800</v>
      </c>
      <c r="K11" s="40"/>
      <c r="L11" s="40"/>
      <c r="M11" s="40"/>
      <c r="N11" s="41" t="str">
        <f aca="false">I9&amp;"°"&amp;J9</f>
        <v>3°30,08</v>
      </c>
      <c r="O11" s="42" t="n">
        <f aca="false">IF(P9=M10,-1,1)</f>
        <v>-1</v>
      </c>
      <c r="P11" s="43" t="str">
        <f aca="false">TEXT(J11,"aaaa-mm-jj")&amp;"T"&amp;TEXT(J12,"hh:mm:ss")&amp;"z"</f>
        <v>2007-06-29T16:00:00z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0.666666666666667</v>
      </c>
      <c r="K12" s="48"/>
      <c r="L12" s="48"/>
      <c r="M12" s="48"/>
      <c r="N12" s="49" t="str">
        <f aca="false">I10&amp;"°"&amp;J10</f>
        <v>10°0,16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34.592</v>
      </c>
      <c r="H35" s="123" t="n">
        <v>1000</v>
      </c>
      <c r="I35" s="192" t="n">
        <v>1001</v>
      </c>
      <c r="J35" s="125"/>
      <c r="K35" s="126"/>
      <c r="L35" s="126"/>
      <c r="M35" s="126"/>
      <c r="N35" s="127"/>
      <c r="O35" s="126"/>
      <c r="P35" s="125" t="n">
        <v>1.281</v>
      </c>
      <c r="Q35" s="125"/>
      <c r="R35" s="125"/>
      <c r="S35" s="184" t="n">
        <v>55.7</v>
      </c>
      <c r="T35" s="34" t="n">
        <v>0.006</v>
      </c>
      <c r="U35" s="34" t="n">
        <v>0.00586313645396686</v>
      </c>
      <c r="V35" s="125"/>
      <c r="W35" s="125"/>
      <c r="X35" s="34" t="n">
        <v>34.594</v>
      </c>
      <c r="Y35" s="34" t="n">
        <v>33.8048904147549</v>
      </c>
      <c r="Z35" s="34" t="n">
        <v>2.251</v>
      </c>
      <c r="AA35" s="34" t="n">
        <v>2.19965335964657</v>
      </c>
      <c r="AB35" s="34" t="n">
        <v>32.71</v>
      </c>
      <c r="AC35" s="34" t="n">
        <v>31.9638655682094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34.518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3.27</v>
      </c>
      <c r="Q36" s="134"/>
      <c r="R36" s="134"/>
      <c r="S36" s="186" t="n">
        <v>142.1</v>
      </c>
      <c r="T36" s="34" t="n">
        <v>0</v>
      </c>
      <c r="U36" s="34" t="n">
        <v>0</v>
      </c>
      <c r="V36" s="134"/>
      <c r="W36" s="134"/>
      <c r="X36" s="34" t="n">
        <v>33.71</v>
      </c>
      <c r="Y36" s="34" t="n">
        <v>32.9410549772038</v>
      </c>
      <c r="Z36" s="34" t="n">
        <v>2.177</v>
      </c>
      <c r="AA36" s="34" t="n">
        <v>2.12734134338098</v>
      </c>
      <c r="AB36" s="34" t="n">
        <v>23.32</v>
      </c>
      <c r="AC36" s="34" t="n">
        <v>22.7880570177512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35.0989</v>
      </c>
      <c r="H37" s="123" t="n">
        <v>300</v>
      </c>
      <c r="I37" s="192" t="n">
        <v>296</v>
      </c>
      <c r="J37" s="134"/>
      <c r="K37" s="135"/>
      <c r="L37" s="135"/>
      <c r="M37" s="135"/>
      <c r="N37" s="136"/>
      <c r="O37" s="135"/>
      <c r="P37" s="134" t="n">
        <v>1.607</v>
      </c>
      <c r="Q37" s="134"/>
      <c r="R37" s="134"/>
      <c r="S37" s="186" t="n">
        <v>69.9</v>
      </c>
      <c r="T37" s="34" t="n">
        <v>0.009</v>
      </c>
      <c r="U37" s="34" t="n">
        <v>0.0087947046809503</v>
      </c>
      <c r="V37" s="134"/>
      <c r="W37" s="134"/>
      <c r="X37" s="34" t="n">
        <v>29.831</v>
      </c>
      <c r="Y37" s="34" t="n">
        <v>29.1505372597143</v>
      </c>
      <c r="Z37" s="34" t="n">
        <v>1.824</v>
      </c>
      <c r="AA37" s="34" t="n">
        <v>1.78239348200593</v>
      </c>
      <c r="AB37" s="34" t="n">
        <v>11.25</v>
      </c>
      <c r="AC37" s="34" t="n">
        <v>10.9933808511879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35.6</v>
      </c>
      <c r="H38" s="124" t="n">
        <v>100</v>
      </c>
      <c r="I38" s="192" t="n">
        <v>100</v>
      </c>
      <c r="J38" s="134"/>
      <c r="K38" s="135"/>
      <c r="L38" s="135"/>
      <c r="M38" s="135"/>
      <c r="N38" s="136"/>
      <c r="O38" s="135"/>
      <c r="P38" s="134" t="n">
        <v>2.534</v>
      </c>
      <c r="Q38" s="134"/>
      <c r="R38" s="134"/>
      <c r="S38" s="186" t="n">
        <v>110.3</v>
      </c>
      <c r="T38" s="34" t="n">
        <v>0.054</v>
      </c>
      <c r="U38" s="34" t="n">
        <v>0.0527682280857018</v>
      </c>
      <c r="V38" s="134"/>
      <c r="W38" s="134"/>
      <c r="X38" s="34" t="n">
        <v>18.856</v>
      </c>
      <c r="Y38" s="34" t="n">
        <v>18.4258834959999</v>
      </c>
      <c r="Z38" s="34" t="n">
        <v>1.263</v>
      </c>
      <c r="AA38" s="34" t="n">
        <v>1.23419022356002</v>
      </c>
      <c r="AB38" s="34" t="n">
        <v>5.92</v>
      </c>
      <c r="AC38" s="34" t="n">
        <v>5.78496130124731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22" t="n">
        <v>35.6532</v>
      </c>
      <c r="H39" s="124" t="n">
        <v>80</v>
      </c>
      <c r="I39" s="192" t="n">
        <v>80</v>
      </c>
      <c r="J39" s="134"/>
      <c r="K39" s="135"/>
      <c r="L39" s="135"/>
      <c r="M39" s="135"/>
      <c r="N39" s="136"/>
      <c r="O39" s="135"/>
      <c r="P39" s="134" t="n">
        <v>2.833</v>
      </c>
      <c r="Q39" s="134"/>
      <c r="R39" s="134"/>
      <c r="S39" s="186" t="n">
        <v>123.3</v>
      </c>
      <c r="T39" s="34" t="n">
        <v>0.053</v>
      </c>
      <c r="U39" s="34" t="n">
        <v>0.0517910386767073</v>
      </c>
      <c r="V39" s="134"/>
      <c r="W39" s="134"/>
      <c r="X39" s="34" t="n">
        <v>16.367</v>
      </c>
      <c r="Y39" s="34" t="n">
        <v>15.9936590570126</v>
      </c>
      <c r="Z39" s="34" t="n">
        <v>1.139</v>
      </c>
      <c r="AA39" s="34" t="n">
        <v>1.11301873684471</v>
      </c>
      <c r="AB39" s="34" t="n">
        <v>5.53</v>
      </c>
      <c r="AC39" s="34" t="n">
        <v>5.40385743173946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22" t="n">
        <v>35.6618</v>
      </c>
      <c r="H40" s="124" t="n">
        <v>80</v>
      </c>
      <c r="I40" s="192" t="n">
        <v>80</v>
      </c>
      <c r="J40" s="134"/>
      <c r="K40" s="135"/>
      <c r="L40" s="135"/>
      <c r="M40" s="135"/>
      <c r="N40" s="136"/>
      <c r="O40" s="135"/>
      <c r="P40" s="134" t="n">
        <v>3.778</v>
      </c>
      <c r="Q40" s="134"/>
      <c r="R40" s="134"/>
      <c r="S40" s="186" t="n">
        <v>164.4</v>
      </c>
      <c r="T40" s="34" t="n">
        <v>0.091</v>
      </c>
      <c r="U40" s="34" t="n">
        <v>0.0889242362184975</v>
      </c>
      <c r="V40" s="134"/>
      <c r="W40" s="134"/>
      <c r="X40" s="34" t="n">
        <v>16.429</v>
      </c>
      <c r="Y40" s="34" t="n">
        <v>16.0542448003703</v>
      </c>
      <c r="Z40" s="34" t="n">
        <v>1.132</v>
      </c>
      <c r="AA40" s="34" t="n">
        <v>1.10617841098175</v>
      </c>
      <c r="AB40" s="34" t="n">
        <v>5.45</v>
      </c>
      <c r="AC40" s="34" t="n">
        <v>5.3256822790199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35.674</v>
      </c>
      <c r="H41" s="124" t="n">
        <v>60</v>
      </c>
      <c r="I41" s="192" t="n">
        <v>58</v>
      </c>
      <c r="J41" s="134"/>
      <c r="K41" s="135"/>
      <c r="L41" s="135"/>
      <c r="M41" s="135"/>
      <c r="N41" s="136"/>
      <c r="O41" s="135"/>
      <c r="P41" s="134" t="n">
        <v>2.827</v>
      </c>
      <c r="Q41" s="134"/>
      <c r="R41" s="134"/>
      <c r="S41" s="186" t="n">
        <v>123</v>
      </c>
      <c r="T41" s="34" t="n">
        <v>0.485</v>
      </c>
      <c r="U41" s="34" t="n">
        <v>0.473936863362322</v>
      </c>
      <c r="V41" s="134"/>
      <c r="W41" s="134"/>
      <c r="X41" s="34" t="n">
        <v>15.405</v>
      </c>
      <c r="Y41" s="34" t="n">
        <v>15.0536028455599</v>
      </c>
      <c r="Z41" s="34" t="n">
        <v>1.109</v>
      </c>
      <c r="AA41" s="34" t="n">
        <v>1.08370305457488</v>
      </c>
      <c r="AB41" s="34" t="n">
        <v>4.97</v>
      </c>
      <c r="AC41" s="34" t="n">
        <v>4.85663136270255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35.858</v>
      </c>
      <c r="H42" s="124" t="n">
        <v>40</v>
      </c>
      <c r="I42" s="192" t="n">
        <v>38</v>
      </c>
      <c r="J42" s="134"/>
      <c r="K42" s="135"/>
      <c r="L42" s="135"/>
      <c r="M42" s="135"/>
      <c r="N42" s="136"/>
      <c r="O42" s="135"/>
      <c r="P42" s="134" t="n">
        <v>4.057</v>
      </c>
      <c r="Q42" s="134"/>
      <c r="R42" s="134"/>
      <c r="S42" s="186" t="n">
        <v>176.7</v>
      </c>
      <c r="T42" s="34" t="n">
        <v>0.149</v>
      </c>
      <c r="U42" s="34" t="n">
        <v>0.145601221940177</v>
      </c>
      <c r="V42" s="134"/>
      <c r="W42" s="134"/>
      <c r="X42" s="34" t="n">
        <v>6.731</v>
      </c>
      <c r="Y42" s="34" t="n">
        <v>6.57746191194183</v>
      </c>
      <c r="Z42" s="34" t="n">
        <v>0.615</v>
      </c>
      <c r="AA42" s="34" t="n">
        <v>0.600971486531604</v>
      </c>
      <c r="AB42" s="34" t="n">
        <v>2.68</v>
      </c>
      <c r="AC42" s="34" t="n">
        <v>2.6188676161052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35.6138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34" t="n">
        <v>4.66</v>
      </c>
      <c r="Q43" s="134"/>
      <c r="R43" s="134"/>
      <c r="S43" s="186" t="n">
        <v>203.2</v>
      </c>
      <c r="T43" s="34" t="n">
        <v>0.026</v>
      </c>
      <c r="U43" s="34" t="n">
        <v>0.0254069246338564</v>
      </c>
      <c r="V43" s="134"/>
      <c r="W43" s="134"/>
      <c r="X43" s="34" t="n">
        <v>0.374</v>
      </c>
      <c r="Y43" s="34" t="n">
        <v>0.365468838963935</v>
      </c>
      <c r="Z43" s="34" t="n">
        <v>0.163</v>
      </c>
      <c r="AA43" s="34" t="n">
        <v>0.1592818736661</v>
      </c>
      <c r="AB43" s="34" t="n">
        <v>0.92</v>
      </c>
      <c r="AC43" s="34" t="n">
        <v>0.899014256274919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35.5992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4.691</v>
      </c>
      <c r="Q44" s="134"/>
      <c r="R44" s="134"/>
      <c r="S44" s="186" t="n">
        <v>204.6</v>
      </c>
      <c r="T44" s="34" t="n">
        <v>0.008</v>
      </c>
      <c r="U44" s="34" t="n">
        <v>0.00781751527195582</v>
      </c>
      <c r="V44" s="134"/>
      <c r="W44" s="134"/>
      <c r="X44" s="34" t="n">
        <v>0.152</v>
      </c>
      <c r="Y44" s="34" t="n">
        <v>0.148532790167161</v>
      </c>
      <c r="Z44" s="34" t="n">
        <v>0.146</v>
      </c>
      <c r="AA44" s="34" t="n">
        <v>0.142669653713194</v>
      </c>
      <c r="AB44" s="34" t="n">
        <v>0.84</v>
      </c>
      <c r="AC44" s="34" t="n">
        <v>0.820839103555361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35.5991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4.673</v>
      </c>
      <c r="Q45" s="134"/>
      <c r="R45" s="134"/>
      <c r="S45" s="186" t="n">
        <v>203.8</v>
      </c>
      <c r="T45" s="34" t="n">
        <v>0.009</v>
      </c>
      <c r="U45" s="34" t="n">
        <v>0.0087947046809503</v>
      </c>
      <c r="V45" s="134"/>
      <c r="W45" s="134"/>
      <c r="X45" s="34" t="n">
        <v>0.191</v>
      </c>
      <c r="Y45" s="34" t="n">
        <v>0.186643177117945</v>
      </c>
      <c r="Z45" s="34" t="n">
        <v>0.142</v>
      </c>
      <c r="AA45" s="34" t="n">
        <v>0.138760896077216</v>
      </c>
      <c r="AB45" s="34" t="n">
        <v>0.87</v>
      </c>
      <c r="AC45" s="34" t="n">
        <v>0.850154785825195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59.89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-2°59,89</v>
      </c>
      <c r="P9" s="31" t="s">
        <v>16</v>
      </c>
      <c r="Q9" s="35" t="n">
        <f aca="false">IF(ISBLANK(I9),"",IF(ISBLANK(J9),"",IF(J9&gt;60,"ERREUR !!",O11*(I9+(J9/60)))))</f>
        <v>-2.99816666666667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0.17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-10°0,17</v>
      </c>
      <c r="P10" s="31" t="s">
        <v>17</v>
      </c>
      <c r="Q10" s="35" t="n">
        <f aca="false">IF(ISBLANK(I10),"",IF(ISBLANK(J10),"",IF(J10&gt;60,"ERREUR !!",O12*(I10+(J10/60)))))</f>
        <v>-10.0028333333333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37800</v>
      </c>
      <c r="K11" s="40"/>
      <c r="L11" s="40"/>
      <c r="M11" s="40"/>
      <c r="N11" s="41" t="str">
        <f aca="false">I9&amp;"°"&amp;J9</f>
        <v>2°59,89</v>
      </c>
      <c r="O11" s="42" t="n">
        <f aca="false">IF(P9=M10,-1,1)</f>
        <v>-1</v>
      </c>
      <c r="P11" s="43" t="str">
        <f aca="false">TEXT(J11,"aaaa-mm-jj")&amp;"T"&amp;TEXT(J12,"hh:mm:ss")&amp;"z"</f>
        <v>2007-06-29T20:00:00z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0.833333333333333</v>
      </c>
      <c r="K12" s="48"/>
      <c r="L12" s="48"/>
      <c r="M12" s="48"/>
      <c r="N12" s="49" t="str">
        <f aca="false">I10&amp;"°"&amp;J10</f>
        <v>10°0,17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34.5941</v>
      </c>
      <c r="H35" s="123" t="n">
        <v>1000</v>
      </c>
      <c r="I35" s="192" t="n">
        <v>1001</v>
      </c>
      <c r="J35" s="125"/>
      <c r="K35" s="126"/>
      <c r="L35" s="126"/>
      <c r="M35" s="126"/>
      <c r="N35" s="127"/>
      <c r="O35" s="126"/>
      <c r="P35" s="125" t="n">
        <v>3.522</v>
      </c>
      <c r="Q35" s="125"/>
      <c r="R35" s="125"/>
      <c r="S35" s="184" t="n">
        <v>153.1</v>
      </c>
      <c r="T35" s="34" t="n">
        <v>0</v>
      </c>
      <c r="U35" s="34" t="n">
        <v>0</v>
      </c>
      <c r="V35" s="125"/>
      <c r="W35" s="125"/>
      <c r="X35" s="34" t="n">
        <v>33.95</v>
      </c>
      <c r="Y35" s="34" t="n">
        <v>33.1755804353625</v>
      </c>
      <c r="Z35" s="34" t="n">
        <v>2.178</v>
      </c>
      <c r="AA35" s="34" t="n">
        <v>2.12831853278997</v>
      </c>
      <c r="AB35" s="34" t="n">
        <v>32.21</v>
      </c>
      <c r="AC35" s="34" t="n">
        <v>31.4752708637121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34.5312</v>
      </c>
      <c r="H36" s="123" t="n">
        <v>600</v>
      </c>
      <c r="I36" s="192" t="n">
        <v>599</v>
      </c>
      <c r="J36" s="134"/>
      <c r="K36" s="135"/>
      <c r="L36" s="135"/>
      <c r="M36" s="135"/>
      <c r="N36" s="136"/>
      <c r="O36" s="135"/>
      <c r="P36" s="134" t="n">
        <v>3.102</v>
      </c>
      <c r="Q36" s="134"/>
      <c r="R36" s="134"/>
      <c r="S36" s="186" t="n">
        <v>134.8</v>
      </c>
      <c r="T36" s="34" t="n">
        <v>0</v>
      </c>
      <c r="U36" s="34" t="n">
        <v>0</v>
      </c>
      <c r="V36" s="134"/>
      <c r="W36" s="134"/>
      <c r="X36" s="34" t="n">
        <v>34.55</v>
      </c>
      <c r="Y36" s="34" t="n">
        <v>33.7618940807592</v>
      </c>
      <c r="Z36" s="34" t="n">
        <v>2.176</v>
      </c>
      <c r="AA36" s="34" t="n">
        <v>2.12636415397198</v>
      </c>
      <c r="AB36" s="34" t="n">
        <v>23.21</v>
      </c>
      <c r="AC36" s="34" t="n">
        <v>22.6805661827618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34.9996</v>
      </c>
      <c r="H37" s="123" t="n">
        <v>300</v>
      </c>
      <c r="I37" s="192" t="n">
        <v>300</v>
      </c>
      <c r="J37" s="134"/>
      <c r="K37" s="135"/>
      <c r="L37" s="135"/>
      <c r="M37" s="135"/>
      <c r="N37" s="136"/>
      <c r="O37" s="135"/>
      <c r="P37" s="134" t="n">
        <v>1.791</v>
      </c>
      <c r="Q37" s="134"/>
      <c r="R37" s="134"/>
      <c r="S37" s="186" t="n">
        <v>77.9</v>
      </c>
      <c r="T37" s="34" t="n">
        <v>0</v>
      </c>
      <c r="U37" s="34" t="n">
        <v>0</v>
      </c>
      <c r="V37" s="134"/>
      <c r="W37" s="134"/>
      <c r="X37" s="34" t="n">
        <v>31.02</v>
      </c>
      <c r="Y37" s="34" t="n">
        <v>30.3124154670087</v>
      </c>
      <c r="Z37" s="34" t="n">
        <v>1.891</v>
      </c>
      <c r="AA37" s="34" t="n">
        <v>1.84786517240856</v>
      </c>
      <c r="AB37" s="34" t="n">
        <v>12.65</v>
      </c>
      <c r="AC37" s="34" t="n">
        <v>12.3614460237801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35.6107</v>
      </c>
      <c r="H38" s="124" t="n">
        <v>100</v>
      </c>
      <c r="I38" s="192" t="n">
        <v>98</v>
      </c>
      <c r="J38" s="134"/>
      <c r="K38" s="135"/>
      <c r="L38" s="135"/>
      <c r="M38" s="135"/>
      <c r="N38" s="136"/>
      <c r="O38" s="135"/>
      <c r="P38" s="134" t="n">
        <v>2.795</v>
      </c>
      <c r="Q38" s="134"/>
      <c r="R38" s="134"/>
      <c r="S38" s="186" t="n">
        <v>121.5</v>
      </c>
      <c r="T38" s="34" t="n">
        <v>0.014</v>
      </c>
      <c r="U38" s="34" t="n">
        <v>0.0136806517259227</v>
      </c>
      <c r="V38" s="134"/>
      <c r="W38" s="134"/>
      <c r="X38" s="34" t="n">
        <v>17.456</v>
      </c>
      <c r="Y38" s="34" t="n">
        <v>17.0578183234076</v>
      </c>
      <c r="Z38" s="34" t="n">
        <v>1.175</v>
      </c>
      <c r="AA38" s="34" t="n">
        <v>1.14819755556851</v>
      </c>
      <c r="AB38" s="34" t="n">
        <v>5.83</v>
      </c>
      <c r="AC38" s="34" t="n">
        <v>5.6970142544378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35.6465</v>
      </c>
      <c r="H39" s="124" t="n">
        <v>80</v>
      </c>
      <c r="I39" s="192" t="n">
        <v>78</v>
      </c>
      <c r="J39" s="134"/>
      <c r="K39" s="135"/>
      <c r="L39" s="135"/>
      <c r="M39" s="135"/>
      <c r="N39" s="136"/>
      <c r="O39" s="135"/>
      <c r="P39" s="134" t="n">
        <v>2.878</v>
      </c>
      <c r="Q39" s="134"/>
      <c r="R39" s="134"/>
      <c r="S39" s="186" t="n">
        <v>125.2</v>
      </c>
      <c r="T39" s="34" t="n">
        <v>0.027</v>
      </c>
      <c r="U39" s="34" t="n">
        <v>0.0263841140428509</v>
      </c>
      <c r="V39" s="134"/>
      <c r="W39" s="134"/>
      <c r="X39" s="34" t="n">
        <v>16.403</v>
      </c>
      <c r="Y39" s="34" t="n">
        <v>16.0288378757364</v>
      </c>
      <c r="Z39" s="34" t="n">
        <v>1.135</v>
      </c>
      <c r="AA39" s="34" t="n">
        <v>1.10910997920873</v>
      </c>
      <c r="AB39" s="34" t="n">
        <v>5.75</v>
      </c>
      <c r="AC39" s="34" t="n">
        <v>5.61883910171825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22" t="n">
        <v>35.6763</v>
      </c>
      <c r="H40" s="124" t="n">
        <v>60</v>
      </c>
      <c r="I40" s="192" t="n">
        <v>58</v>
      </c>
      <c r="J40" s="134"/>
      <c r="K40" s="135"/>
      <c r="L40" s="135"/>
      <c r="M40" s="135"/>
      <c r="N40" s="136"/>
      <c r="O40" s="135"/>
      <c r="P40" s="134" t="n">
        <v>2.891</v>
      </c>
      <c r="Q40" s="134"/>
      <c r="R40" s="134"/>
      <c r="S40" s="186" t="n">
        <v>125.7</v>
      </c>
      <c r="T40" s="34" t="n">
        <v>0.068</v>
      </c>
      <c r="U40" s="34" t="n">
        <v>0.0664488798116245</v>
      </c>
      <c r="V40" s="134"/>
      <c r="W40" s="134"/>
      <c r="X40" s="34" t="n">
        <v>16.332</v>
      </c>
      <c r="Y40" s="34" t="n">
        <v>15.9594574276978</v>
      </c>
      <c r="Z40" s="34" t="n">
        <v>1.092</v>
      </c>
      <c r="AA40" s="34" t="n">
        <v>1.06709083462197</v>
      </c>
      <c r="AB40" s="34" t="n">
        <v>5.35</v>
      </c>
      <c r="AC40" s="34" t="n">
        <v>5.22796333812045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35.6771</v>
      </c>
      <c r="H41" s="124" t="n">
        <v>60</v>
      </c>
      <c r="I41" s="192" t="n">
        <v>58</v>
      </c>
      <c r="J41" s="134"/>
      <c r="K41" s="135"/>
      <c r="L41" s="135"/>
      <c r="M41" s="135"/>
      <c r="N41" s="136"/>
      <c r="O41" s="135"/>
      <c r="P41" s="134" t="n">
        <v>2.888</v>
      </c>
      <c r="Q41" s="134"/>
      <c r="R41" s="134"/>
      <c r="S41" s="186" t="n">
        <v>125.7</v>
      </c>
      <c r="T41" s="34" t="n">
        <v>0.049</v>
      </c>
      <c r="U41" s="34" t="n">
        <v>0.0478822810407294</v>
      </c>
      <c r="V41" s="134"/>
      <c r="W41" s="134"/>
      <c r="X41" s="34" t="n">
        <v>16.361</v>
      </c>
      <c r="Y41" s="34" t="n">
        <v>15.9877959205586</v>
      </c>
      <c r="Z41" s="34" t="n">
        <v>1.117</v>
      </c>
      <c r="AA41" s="34" t="n">
        <v>1.09152056984683</v>
      </c>
      <c r="AB41" s="34" t="n">
        <v>5.48</v>
      </c>
      <c r="AC41" s="34" t="n">
        <v>5.35499796128974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35.741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34" t="n">
        <v>3.145</v>
      </c>
      <c r="Q42" s="134"/>
      <c r="R42" s="134"/>
      <c r="S42" s="186" t="n">
        <v>136.9</v>
      </c>
      <c r="T42" s="34" t="n">
        <v>0.371</v>
      </c>
      <c r="U42" s="34" t="n">
        <v>0.362537270736951</v>
      </c>
      <c r="V42" s="134"/>
      <c r="W42" s="134"/>
      <c r="X42" s="34" t="n">
        <v>13.659</v>
      </c>
      <c r="Y42" s="34" t="n">
        <v>13.3474301374556</v>
      </c>
      <c r="Z42" s="34" t="n">
        <v>0.992</v>
      </c>
      <c r="AA42" s="34" t="n">
        <v>0.969371893722522</v>
      </c>
      <c r="AB42" s="34" t="n">
        <v>4.24</v>
      </c>
      <c r="AC42" s="34" t="n">
        <v>4.14328309413658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35.5427</v>
      </c>
      <c r="H43" s="124" t="n">
        <v>20</v>
      </c>
      <c r="I43" s="192" t="n">
        <v>18</v>
      </c>
      <c r="J43" s="134"/>
      <c r="K43" s="135"/>
      <c r="L43" s="135"/>
      <c r="M43" s="135"/>
      <c r="N43" s="136"/>
      <c r="O43" s="135"/>
      <c r="P43" s="134" t="n">
        <v>4.419</v>
      </c>
      <c r="Q43" s="134"/>
      <c r="R43" s="134"/>
      <c r="S43" s="186" t="n">
        <v>192.5</v>
      </c>
      <c r="T43" s="34" t="n">
        <v>0.069</v>
      </c>
      <c r="U43" s="34" t="n">
        <v>0.067426069220619</v>
      </c>
      <c r="V43" s="134"/>
      <c r="W43" s="134"/>
      <c r="X43" s="34" t="n">
        <v>2.711</v>
      </c>
      <c r="Y43" s="34" t="n">
        <v>2.64916048778403</v>
      </c>
      <c r="Z43" s="34" t="n">
        <v>0.312</v>
      </c>
      <c r="AA43" s="34" t="n">
        <v>0.304883095606277</v>
      </c>
      <c r="AB43" s="34" t="n">
        <v>1.39</v>
      </c>
      <c r="AC43" s="34" t="n">
        <v>1.35829327850232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35.4174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4.72</v>
      </c>
      <c r="Q44" s="134"/>
      <c r="R44" s="134"/>
      <c r="S44" s="186" t="n">
        <v>205.8</v>
      </c>
      <c r="T44" s="34" t="n">
        <v>0.012</v>
      </c>
      <c r="U44" s="34" t="n">
        <v>0.0117262729079337</v>
      </c>
      <c r="V44" s="134"/>
      <c r="W44" s="134"/>
      <c r="X44" s="34" t="n">
        <v>0.348</v>
      </c>
      <c r="Y44" s="34" t="n">
        <v>0.340061914330078</v>
      </c>
      <c r="Z44" s="34" t="n">
        <v>0.144</v>
      </c>
      <c r="AA44" s="34" t="n">
        <v>0.140715274895205</v>
      </c>
      <c r="AB44" s="34" t="n">
        <v>0.76</v>
      </c>
      <c r="AC44" s="34" t="n">
        <v>0.742663950835803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35.411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4.729</v>
      </c>
      <c r="Q45" s="134"/>
      <c r="R45" s="134"/>
      <c r="S45" s="186" t="n">
        <v>206.2</v>
      </c>
      <c r="T45" s="34" t="n">
        <v>0.005</v>
      </c>
      <c r="U45" s="34" t="n">
        <v>0.00488594704497239</v>
      </c>
      <c r="V45" s="134"/>
      <c r="W45" s="134"/>
      <c r="X45" s="34" t="n">
        <v>0.235</v>
      </c>
      <c r="Y45" s="34" t="n">
        <v>0.229639511113702</v>
      </c>
      <c r="Z45" s="34" t="n">
        <v>0.129</v>
      </c>
      <c r="AA45" s="34" t="n">
        <v>0.126057433760288</v>
      </c>
      <c r="AB45" s="34" t="n">
        <v>0.77</v>
      </c>
      <c r="AC45" s="34" t="n">
        <v>0.752435844925748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30.01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-2°30,01</v>
      </c>
      <c r="P9" s="31" t="s">
        <v>16</v>
      </c>
      <c r="Q9" s="35" t="n">
        <f aca="false">IF(ISBLANK(I9),"",IF(ISBLANK(J9),"",IF(J9&gt;60,"ERREUR !!",O11*(I9+(J9/60)))))</f>
        <v>-2.50016666666667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0.23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-10°0,23</v>
      </c>
      <c r="P10" s="31" t="s">
        <v>17</v>
      </c>
      <c r="Q10" s="35" t="n">
        <f aca="false">IF(ISBLANK(I10),"",IF(ISBLANK(J10),"",IF(J10&gt;60,"ERREUR !!",O12*(I10+(J10/60)))))</f>
        <v>-10.0038333333333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37801</v>
      </c>
      <c r="K11" s="40"/>
      <c r="L11" s="40"/>
      <c r="M11" s="40"/>
      <c r="N11" s="41" t="str">
        <f aca="false">I9&amp;"°"&amp;J9</f>
        <v>2°30,01</v>
      </c>
      <c r="O11" s="42" t="n">
        <f aca="false">IF(P9=M10,-1,1)</f>
        <v>-1</v>
      </c>
      <c r="P11" s="43" t="str">
        <f aca="false">TEXT(J11,"aaaa-mm-jj")&amp;"T"&amp;TEXT(J12,"hh:mm:ss")&amp;"z"</f>
        <v>2007-06-30T00:30:00z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0.0208333333333333</v>
      </c>
      <c r="K12" s="48"/>
      <c r="L12" s="48"/>
      <c r="M12" s="48"/>
      <c r="N12" s="49" t="str">
        <f aca="false">I10&amp;"°"&amp;J10</f>
        <v>10°0,23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34.6113</v>
      </c>
      <c r="H35" s="123" t="n">
        <v>1000</v>
      </c>
      <c r="I35" s="192" t="n">
        <v>1003</v>
      </c>
      <c r="J35" s="125"/>
      <c r="K35" s="126"/>
      <c r="L35" s="126"/>
      <c r="M35" s="126"/>
      <c r="N35" s="127"/>
      <c r="O35" s="126"/>
      <c r="P35" s="125" t="n">
        <v>3.559</v>
      </c>
      <c r="Q35" s="125"/>
      <c r="R35" s="125"/>
      <c r="S35" s="184" t="n">
        <v>154.7</v>
      </c>
      <c r="T35" s="34" t="n">
        <v>0.008</v>
      </c>
      <c r="U35" s="34" t="n">
        <v>0.00781751527195582</v>
      </c>
      <c r="V35" s="125"/>
      <c r="W35" s="125"/>
      <c r="X35" s="34" t="n">
        <v>33.432</v>
      </c>
      <c r="Y35" s="34" t="n">
        <v>32.6693963215034</v>
      </c>
      <c r="Z35" s="34" t="n">
        <v>2.214</v>
      </c>
      <c r="AA35" s="34" t="n">
        <v>2.16349735151377</v>
      </c>
      <c r="AB35" s="34" t="n">
        <v>30.44</v>
      </c>
      <c r="AC35" s="34" t="n">
        <v>29.7456456097919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34.5054</v>
      </c>
      <c r="H36" s="123" t="n">
        <v>600</v>
      </c>
      <c r="I36" s="192" t="n">
        <v>599</v>
      </c>
      <c r="J36" s="134"/>
      <c r="K36" s="135"/>
      <c r="L36" s="135"/>
      <c r="M36" s="135"/>
      <c r="N36" s="136"/>
      <c r="O36" s="135"/>
      <c r="P36" s="134" t="n">
        <v>3.226</v>
      </c>
      <c r="Q36" s="134"/>
      <c r="R36" s="134"/>
      <c r="S36" s="186" t="n">
        <v>140.3</v>
      </c>
      <c r="T36" s="34" t="n">
        <v>0.009</v>
      </c>
      <c r="U36" s="34" t="n">
        <v>0.0087947046809503</v>
      </c>
      <c r="V36" s="134"/>
      <c r="W36" s="134"/>
      <c r="X36" s="34" t="n">
        <v>34.241</v>
      </c>
      <c r="Y36" s="34" t="n">
        <v>33.4599425533799</v>
      </c>
      <c r="Z36" s="34" t="n">
        <v>2.221</v>
      </c>
      <c r="AA36" s="34" t="n">
        <v>2.17033767737673</v>
      </c>
      <c r="AB36" s="34" t="n">
        <v>23.39</v>
      </c>
      <c r="AC36" s="34" t="n">
        <v>22.8564602763808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35.059</v>
      </c>
      <c r="H37" s="123" t="n">
        <v>300</v>
      </c>
      <c r="I37" s="192" t="n">
        <v>299</v>
      </c>
      <c r="J37" s="134"/>
      <c r="K37" s="135"/>
      <c r="L37" s="135"/>
      <c r="M37" s="135"/>
      <c r="N37" s="136"/>
      <c r="O37" s="135"/>
      <c r="P37" s="134" t="n">
        <v>1.745</v>
      </c>
      <c r="Q37" s="134"/>
      <c r="R37" s="134"/>
      <c r="S37" s="186" t="n">
        <v>75.9</v>
      </c>
      <c r="T37" s="34" t="n">
        <v>0.007</v>
      </c>
      <c r="U37" s="34" t="n">
        <v>0.00684032586296134</v>
      </c>
      <c r="V37" s="134"/>
      <c r="W37" s="134"/>
      <c r="X37" s="34" t="n">
        <v>29.863</v>
      </c>
      <c r="Y37" s="34" t="n">
        <v>29.1818073208021</v>
      </c>
      <c r="Z37" s="34" t="n">
        <v>1.845</v>
      </c>
      <c r="AA37" s="34" t="n">
        <v>1.80291445959481</v>
      </c>
      <c r="AB37" s="34" t="n">
        <v>11.58</v>
      </c>
      <c r="AC37" s="34" t="n">
        <v>11.3158533561561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35.6337</v>
      </c>
      <c r="H38" s="124" t="n">
        <v>100</v>
      </c>
      <c r="I38" s="192" t="n">
        <v>97</v>
      </c>
      <c r="J38" s="134"/>
      <c r="K38" s="135"/>
      <c r="L38" s="135"/>
      <c r="M38" s="135"/>
      <c r="N38" s="136"/>
      <c r="O38" s="135"/>
      <c r="P38" s="134" t="n">
        <v>3.15</v>
      </c>
      <c r="Q38" s="134"/>
      <c r="R38" s="134"/>
      <c r="S38" s="186" t="n">
        <v>137.1</v>
      </c>
      <c r="T38" s="34" t="n">
        <v>0.04</v>
      </c>
      <c r="U38" s="34" t="n">
        <v>0.0390875763597791</v>
      </c>
      <c r="V38" s="134"/>
      <c r="W38" s="134"/>
      <c r="X38" s="34" t="n">
        <v>16.25</v>
      </c>
      <c r="Y38" s="34" t="n">
        <v>15.8793278961603</v>
      </c>
      <c r="Z38" s="34" t="n">
        <v>1.122</v>
      </c>
      <c r="AA38" s="34" t="n">
        <v>1.0964065168918</v>
      </c>
      <c r="AB38" s="34" t="n">
        <v>5.73</v>
      </c>
      <c r="AC38" s="34" t="n">
        <v>5.59929531353836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35.6577</v>
      </c>
      <c r="H39" s="124" t="n">
        <v>80</v>
      </c>
      <c r="I39" s="192" t="n">
        <v>80</v>
      </c>
      <c r="J39" s="134"/>
      <c r="K39" s="135"/>
      <c r="L39" s="135"/>
      <c r="M39" s="135"/>
      <c r="N39" s="136"/>
      <c r="O39" s="135"/>
      <c r="P39" s="134" t="n">
        <v>2.959</v>
      </c>
      <c r="Q39" s="134"/>
      <c r="R39" s="134"/>
      <c r="S39" s="186" t="n">
        <v>128.8</v>
      </c>
      <c r="T39" s="34" t="n">
        <v>0.063</v>
      </c>
      <c r="U39" s="34" t="n">
        <v>0.0615629327666521</v>
      </c>
      <c r="V39" s="134"/>
      <c r="W39" s="134"/>
      <c r="X39" s="34" t="n">
        <v>15.787</v>
      </c>
      <c r="Y39" s="34" t="n">
        <v>15.4268891997958</v>
      </c>
      <c r="Z39" s="34" t="n">
        <v>1.103</v>
      </c>
      <c r="AA39" s="34" t="n">
        <v>1.07783991812091</v>
      </c>
      <c r="AB39" s="34" t="n">
        <v>5.49</v>
      </c>
      <c r="AC39" s="34" t="n">
        <v>5.36476985537968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35.7118</v>
      </c>
      <c r="H40" s="124" t="n">
        <v>60</v>
      </c>
      <c r="I40" s="192" t="n">
        <v>57</v>
      </c>
      <c r="J40" s="134"/>
      <c r="K40" s="135"/>
      <c r="L40" s="135"/>
      <c r="M40" s="135"/>
      <c r="N40" s="136"/>
      <c r="O40" s="135"/>
      <c r="P40" s="134" t="n">
        <v>2.971</v>
      </c>
      <c r="Q40" s="134"/>
      <c r="R40" s="134"/>
      <c r="S40" s="186" t="n">
        <v>129.3</v>
      </c>
      <c r="T40" s="34" t="n">
        <v>0.28</v>
      </c>
      <c r="U40" s="34" t="n">
        <v>0.273613034518454</v>
      </c>
      <c r="V40" s="134"/>
      <c r="W40" s="134"/>
      <c r="X40" s="34" t="n">
        <v>15.23</v>
      </c>
      <c r="Y40" s="34" t="n">
        <v>14.8825946989859</v>
      </c>
      <c r="Z40" s="34" t="n">
        <v>1.06</v>
      </c>
      <c r="AA40" s="34" t="n">
        <v>1.03582077353415</v>
      </c>
      <c r="AB40" s="34" t="n">
        <v>5.17</v>
      </c>
      <c r="AC40" s="34" t="n">
        <v>5.05206924450145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35.7852</v>
      </c>
      <c r="H41" s="124" t="n">
        <v>40</v>
      </c>
      <c r="I41" s="192" t="n">
        <v>40</v>
      </c>
      <c r="J41" s="134"/>
      <c r="K41" s="135"/>
      <c r="L41" s="135"/>
      <c r="M41" s="135"/>
      <c r="N41" s="136"/>
      <c r="O41" s="135"/>
      <c r="P41" s="134" t="n">
        <v>3.492</v>
      </c>
      <c r="Q41" s="134"/>
      <c r="R41" s="134"/>
      <c r="S41" s="186" t="n">
        <v>152</v>
      </c>
      <c r="T41" s="34" t="n">
        <v>0.274</v>
      </c>
      <c r="U41" s="34" t="n">
        <v>0.267749898064487</v>
      </c>
      <c r="V41" s="134"/>
      <c r="W41" s="134"/>
      <c r="X41" s="34" t="n">
        <v>11.386</v>
      </c>
      <c r="Y41" s="34" t="n">
        <v>11.1262786108111</v>
      </c>
      <c r="Z41" s="34" t="n">
        <v>0.874</v>
      </c>
      <c r="AA41" s="34" t="n">
        <v>0.854063543461173</v>
      </c>
      <c r="AB41" s="34" t="n">
        <v>3.49</v>
      </c>
      <c r="AC41" s="34" t="n">
        <v>3.41039103739073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22" t="n">
        <v>35.7851</v>
      </c>
      <c r="H42" s="124" t="n">
        <v>40</v>
      </c>
      <c r="I42" s="192" t="n">
        <v>40</v>
      </c>
      <c r="J42" s="134"/>
      <c r="K42" s="135"/>
      <c r="L42" s="135"/>
      <c r="M42" s="135"/>
      <c r="N42" s="136"/>
      <c r="O42" s="135"/>
      <c r="P42" s="134" t="n">
        <v>3.474</v>
      </c>
      <c r="Q42" s="134"/>
      <c r="R42" s="134"/>
      <c r="S42" s="186" t="n">
        <v>151.3</v>
      </c>
      <c r="T42" s="34" t="n">
        <v>0.273</v>
      </c>
      <c r="U42" s="34" t="n">
        <v>0.266772708655492</v>
      </c>
      <c r="V42" s="134"/>
      <c r="W42" s="134"/>
      <c r="X42" s="34" t="n">
        <v>11.337</v>
      </c>
      <c r="Y42" s="34" t="n">
        <v>11.0783963297704</v>
      </c>
      <c r="Z42" s="34" t="n">
        <v>0.864</v>
      </c>
      <c r="AA42" s="34" t="n">
        <v>0.844291649371229</v>
      </c>
      <c r="AB42" s="34" t="n">
        <v>3.58</v>
      </c>
      <c r="AC42" s="34" t="n">
        <v>3.49833808420023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35.5169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4.697</v>
      </c>
      <c r="Q43" s="134"/>
      <c r="R43" s="134"/>
      <c r="S43" s="186" t="n">
        <v>204.8</v>
      </c>
      <c r="T43" s="34" t="n">
        <v>0.053</v>
      </c>
      <c r="U43" s="34" t="n">
        <v>0.0517910386767073</v>
      </c>
      <c r="V43" s="134"/>
      <c r="W43" s="134"/>
      <c r="X43" s="34" t="n">
        <v>0.527</v>
      </c>
      <c r="Y43" s="34" t="n">
        <v>0.514978818540089</v>
      </c>
      <c r="Z43" s="34" t="n">
        <v>0.162</v>
      </c>
      <c r="AA43" s="34" t="n">
        <v>0.158304684257105</v>
      </c>
      <c r="AB43" s="34" t="n">
        <v>0.8</v>
      </c>
      <c r="AC43" s="34" t="n">
        <v>0.781751527195582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35.5093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4.693</v>
      </c>
      <c r="Q44" s="134"/>
      <c r="R44" s="134"/>
      <c r="S44" s="186" t="n">
        <v>204.7</v>
      </c>
      <c r="T44" s="34" t="n">
        <v>0.046</v>
      </c>
      <c r="U44" s="34" t="n">
        <v>0.044950712813746</v>
      </c>
      <c r="V44" s="134"/>
      <c r="W44" s="134"/>
      <c r="X44" s="34" t="n">
        <v>0.514</v>
      </c>
      <c r="Y44" s="34" t="n">
        <v>0.502275356223161</v>
      </c>
      <c r="Z44" s="34" t="n">
        <v>0.157</v>
      </c>
      <c r="AA44" s="34" t="n">
        <v>0.153418737212133</v>
      </c>
      <c r="AB44" s="34" t="n">
        <v>0.84</v>
      </c>
      <c r="AC44" s="34" t="n">
        <v>0.820839103555361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35.5131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4.667</v>
      </c>
      <c r="Q45" s="134"/>
      <c r="R45" s="134"/>
      <c r="S45" s="186" t="n">
        <v>203.5</v>
      </c>
      <c r="T45" s="34" t="n">
        <v>0.029</v>
      </c>
      <c r="U45" s="34" t="n">
        <v>0.0283384928608398</v>
      </c>
      <c r="V45" s="134"/>
      <c r="W45" s="134"/>
      <c r="X45" s="34" t="n">
        <v>0.511</v>
      </c>
      <c r="Y45" s="34" t="n">
        <v>0.499343787996178</v>
      </c>
      <c r="Z45" s="34" t="n">
        <v>0.154</v>
      </c>
      <c r="AA45" s="34" t="n">
        <v>0.15048716898515</v>
      </c>
      <c r="AB45" s="34" t="n">
        <v>0.92</v>
      </c>
      <c r="AC45" s="34" t="n">
        <v>0.899014256274919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0.1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-2°0,1</v>
      </c>
      <c r="P9" s="31" t="s">
        <v>16</v>
      </c>
      <c r="Q9" s="35" t="n">
        <f aca="false">IF(ISBLANK(I9),"",IF(ISBLANK(J9),"",IF(J9&gt;60,"ERREUR !!",O11*(I9+(J9/60)))))</f>
        <v>-2.00166666666667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0.1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-10°0,1</v>
      </c>
      <c r="P10" s="31" t="s">
        <v>17</v>
      </c>
      <c r="Q10" s="35" t="n">
        <f aca="false">IF(ISBLANK(I10),"",IF(ISBLANK(J10),"",IF(J10&gt;60,"ERREUR !!",O12*(I10+(J10/60)))))</f>
        <v>-10.0016666666667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37801</v>
      </c>
      <c r="K11" s="40"/>
      <c r="L11" s="40"/>
      <c r="M11" s="40"/>
      <c r="N11" s="41" t="str">
        <f aca="false">I9&amp;"°"&amp;J9</f>
        <v>2°0,1</v>
      </c>
      <c r="O11" s="42" t="n">
        <f aca="false">IF(P9=M10,-1,1)</f>
        <v>-1</v>
      </c>
      <c r="P11" s="43" t="str">
        <f aca="false">TEXT(J11,"aaaa-mm-jj")&amp;"T"&amp;TEXT(J12,"hh:mm:ss")&amp;"z"</f>
        <v>2007-06-30T04:30:00z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0.1875</v>
      </c>
      <c r="K12" s="48"/>
      <c r="L12" s="48"/>
      <c r="M12" s="48"/>
      <c r="N12" s="49" t="str">
        <f aca="false">I10&amp;"°"&amp;J10</f>
        <v>10°0,1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34.6139</v>
      </c>
      <c r="H35" s="123" t="n">
        <v>1000</v>
      </c>
      <c r="I35" s="192" t="n">
        <v>1002</v>
      </c>
      <c r="J35" s="125"/>
      <c r="K35" s="126"/>
      <c r="L35" s="126"/>
      <c r="M35" s="126"/>
      <c r="N35" s="127"/>
      <c r="O35" s="126"/>
      <c r="P35" s="125" t="n">
        <v>3.573</v>
      </c>
      <c r="Q35" s="125"/>
      <c r="R35" s="125"/>
      <c r="S35" s="184" t="n">
        <v>155.3</v>
      </c>
      <c r="T35" s="34" t="n">
        <v>0.005</v>
      </c>
      <c r="U35" s="34" t="n">
        <v>0.00488594704497239</v>
      </c>
      <c r="V35" s="125"/>
      <c r="W35" s="125"/>
      <c r="X35" s="34" t="n">
        <v>33.135</v>
      </c>
      <c r="Y35" s="34" t="n">
        <v>32.379171067032</v>
      </c>
      <c r="Z35" s="34" t="n">
        <v>2.21</v>
      </c>
      <c r="AA35" s="34" t="n">
        <v>2.1595885938778</v>
      </c>
      <c r="AB35" s="34" t="n">
        <v>31.49</v>
      </c>
      <c r="AC35" s="34" t="n">
        <v>30.7716944892361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34.493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3.322</v>
      </c>
      <c r="Q36" s="134"/>
      <c r="R36" s="134"/>
      <c r="S36" s="186" t="n">
        <v>144.5</v>
      </c>
      <c r="T36" s="34" t="n">
        <v>0.006</v>
      </c>
      <c r="U36" s="34" t="n">
        <v>0.00586313645396686</v>
      </c>
      <c r="V36" s="134"/>
      <c r="W36" s="134"/>
      <c r="X36" s="34" t="n">
        <v>34.014</v>
      </c>
      <c r="Y36" s="34" t="n">
        <v>33.2381205575382</v>
      </c>
      <c r="Z36" s="34" t="n">
        <v>2.217</v>
      </c>
      <c r="AA36" s="34" t="n">
        <v>2.16642891974076</v>
      </c>
      <c r="AB36" s="34" t="n">
        <v>25.2</v>
      </c>
      <c r="AC36" s="34" t="n">
        <v>24.6251731066608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34.8672</v>
      </c>
      <c r="H37" s="123" t="n">
        <v>300</v>
      </c>
      <c r="I37" s="192" t="n">
        <v>299</v>
      </c>
      <c r="J37" s="134"/>
      <c r="K37" s="135"/>
      <c r="L37" s="135"/>
      <c r="M37" s="135"/>
      <c r="N37" s="136"/>
      <c r="O37" s="135"/>
      <c r="P37" s="134" t="n">
        <v>1.794</v>
      </c>
      <c r="Q37" s="134"/>
      <c r="R37" s="134"/>
      <c r="S37" s="186" t="n">
        <v>78</v>
      </c>
      <c r="T37" s="34" t="n">
        <v>0</v>
      </c>
      <c r="U37" s="34" t="n">
        <v>0</v>
      </c>
      <c r="V37" s="134"/>
      <c r="W37" s="134"/>
      <c r="X37" s="34" t="n">
        <v>31.13</v>
      </c>
      <c r="Y37" s="34" t="n">
        <v>30.4199063019981</v>
      </c>
      <c r="Z37" s="34" t="n">
        <v>1.915</v>
      </c>
      <c r="AA37" s="34" t="n">
        <v>1.87131771822442</v>
      </c>
      <c r="AB37" s="34" t="n">
        <v>13.54</v>
      </c>
      <c r="AC37" s="34" t="n">
        <v>13.2311445977852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35.6066</v>
      </c>
      <c r="H38" s="124" t="n">
        <v>100</v>
      </c>
      <c r="I38" s="192" t="n">
        <v>100</v>
      </c>
      <c r="J38" s="134"/>
      <c r="K38" s="135"/>
      <c r="L38" s="135"/>
      <c r="M38" s="135"/>
      <c r="N38" s="136"/>
      <c r="O38" s="135"/>
      <c r="P38" s="134" t="n">
        <v>2.671</v>
      </c>
      <c r="Q38" s="134"/>
      <c r="R38" s="134"/>
      <c r="S38" s="186" t="n">
        <v>116.2</v>
      </c>
      <c r="T38" s="34" t="n">
        <v>0.031</v>
      </c>
      <c r="U38" s="34" t="n">
        <v>0.0302928716788288</v>
      </c>
      <c r="V38" s="134"/>
      <c r="W38" s="134"/>
      <c r="X38" s="34" t="n">
        <v>17.969</v>
      </c>
      <c r="Y38" s="34" t="n">
        <v>17.5591164902218</v>
      </c>
      <c r="Z38" s="34" t="n">
        <v>1.209</v>
      </c>
      <c r="AA38" s="34" t="n">
        <v>1.18142199547432</v>
      </c>
      <c r="AB38" s="34" t="n">
        <v>6.31</v>
      </c>
      <c r="AC38" s="34" t="n">
        <v>6.16606517075515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35.6656</v>
      </c>
      <c r="H39" s="124" t="n">
        <v>80</v>
      </c>
      <c r="I39" s="192" t="n">
        <v>78</v>
      </c>
      <c r="J39" s="134"/>
      <c r="K39" s="135"/>
      <c r="L39" s="135"/>
      <c r="M39" s="135"/>
      <c r="N39" s="136"/>
      <c r="O39" s="135"/>
      <c r="P39" s="134" t="n">
        <v>2.846</v>
      </c>
      <c r="Q39" s="134"/>
      <c r="R39" s="134"/>
      <c r="S39" s="186" t="n">
        <v>123.9</v>
      </c>
      <c r="T39" s="34" t="n">
        <v>0.117</v>
      </c>
      <c r="U39" s="34" t="n">
        <v>0.114331160852354</v>
      </c>
      <c r="V39" s="134"/>
      <c r="W39" s="134"/>
      <c r="X39" s="34" t="n">
        <v>16.263</v>
      </c>
      <c r="Y39" s="34" t="n">
        <v>15.8920313584772</v>
      </c>
      <c r="Z39" s="34" t="n">
        <v>1.133</v>
      </c>
      <c r="AA39" s="34" t="n">
        <v>1.10715560039074</v>
      </c>
      <c r="AB39" s="34" t="n">
        <v>5.92</v>
      </c>
      <c r="AC39" s="34" t="n">
        <v>5.78496130124731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22" t="n">
        <v>35.7086</v>
      </c>
      <c r="H40" s="124" t="n">
        <v>60</v>
      </c>
      <c r="I40" s="192" t="n">
        <v>59</v>
      </c>
      <c r="J40" s="134"/>
      <c r="K40" s="135"/>
      <c r="L40" s="135"/>
      <c r="M40" s="135"/>
      <c r="N40" s="136"/>
      <c r="O40" s="135"/>
      <c r="P40" s="134" t="n">
        <v>2.932</v>
      </c>
      <c r="Q40" s="134"/>
      <c r="R40" s="134"/>
      <c r="S40" s="186" t="n">
        <v>127.6</v>
      </c>
      <c r="T40" s="34" t="n">
        <v>0.448</v>
      </c>
      <c r="U40" s="34" t="n">
        <v>0.437780855229526</v>
      </c>
      <c r="V40" s="134"/>
      <c r="W40" s="134"/>
      <c r="X40" s="34" t="n">
        <v>15.092</v>
      </c>
      <c r="Y40" s="34" t="n">
        <v>14.7477425605447</v>
      </c>
      <c r="Z40" s="34" t="n">
        <v>1.074</v>
      </c>
      <c r="AA40" s="34" t="n">
        <v>1.04950142526007</v>
      </c>
      <c r="AB40" s="34" t="n">
        <v>5.11</v>
      </c>
      <c r="AC40" s="34" t="n">
        <v>4.99343787996178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22" t="n">
        <v>35.7108</v>
      </c>
      <c r="H41" s="124" t="n">
        <v>60</v>
      </c>
      <c r="I41" s="192" t="n">
        <v>59</v>
      </c>
      <c r="J41" s="134"/>
      <c r="K41" s="135"/>
      <c r="L41" s="135"/>
      <c r="M41" s="135"/>
      <c r="N41" s="136"/>
      <c r="O41" s="135"/>
      <c r="P41" s="134" t="n">
        <v>2.929</v>
      </c>
      <c r="Q41" s="134"/>
      <c r="R41" s="134"/>
      <c r="S41" s="186" t="n">
        <v>127.5</v>
      </c>
      <c r="T41" s="34" t="n">
        <v>0.448</v>
      </c>
      <c r="U41" s="34" t="n">
        <v>0.437780855229526</v>
      </c>
      <c r="V41" s="134"/>
      <c r="W41" s="134"/>
      <c r="X41" s="34" t="n">
        <v>15.162</v>
      </c>
      <c r="Y41" s="34" t="n">
        <v>14.8161458191743</v>
      </c>
      <c r="Z41" s="34" t="n">
        <v>1.066</v>
      </c>
      <c r="AA41" s="34" t="n">
        <v>1.04168390998811</v>
      </c>
      <c r="AB41" s="34" t="n">
        <v>5.25</v>
      </c>
      <c r="AC41" s="34" t="n">
        <v>5.13024439722101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35.7591</v>
      </c>
      <c r="H42" s="124" t="n">
        <v>40</v>
      </c>
      <c r="I42" s="192" t="n">
        <v>40</v>
      </c>
      <c r="J42" s="134"/>
      <c r="K42" s="135"/>
      <c r="L42" s="135"/>
      <c r="M42" s="135"/>
      <c r="N42" s="136"/>
      <c r="O42" s="135"/>
      <c r="P42" s="134" t="n">
        <v>3.391</v>
      </c>
      <c r="Q42" s="134"/>
      <c r="R42" s="134"/>
      <c r="S42" s="186" t="n">
        <v>147.6</v>
      </c>
      <c r="T42" s="34" t="n">
        <v>0.274</v>
      </c>
      <c r="U42" s="34" t="n">
        <v>0.267749898064487</v>
      </c>
      <c r="V42" s="134"/>
      <c r="W42" s="134"/>
      <c r="X42" s="34" t="n">
        <v>11.696</v>
      </c>
      <c r="Y42" s="34" t="n">
        <v>11.4292073275994</v>
      </c>
      <c r="Z42" s="34" t="n">
        <v>0.89</v>
      </c>
      <c r="AA42" s="34" t="n">
        <v>0.869698574005085</v>
      </c>
      <c r="AB42" s="34" t="n">
        <v>3.99</v>
      </c>
      <c r="AC42" s="34" t="n">
        <v>3.89898574188796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35.7628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4.619</v>
      </c>
      <c r="Q43" s="134"/>
      <c r="R43" s="134"/>
      <c r="S43" s="186" t="n">
        <v>201.4</v>
      </c>
      <c r="T43" s="34" t="n">
        <v>0.031</v>
      </c>
      <c r="U43" s="34" t="n">
        <v>0.0302928716788288</v>
      </c>
      <c r="V43" s="134"/>
      <c r="W43" s="134"/>
      <c r="X43" s="34" t="n">
        <v>0.399</v>
      </c>
      <c r="Y43" s="34" t="n">
        <v>0.389898574188796</v>
      </c>
      <c r="Z43" s="34" t="n">
        <v>0.196</v>
      </c>
      <c r="AA43" s="34" t="n">
        <v>0.191529124162918</v>
      </c>
      <c r="AB43" s="34" t="n">
        <v>1.09</v>
      </c>
      <c r="AC43" s="34" t="n">
        <v>1.06513645580398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35.7489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4.648</v>
      </c>
      <c r="Q44" s="134"/>
      <c r="R44" s="134"/>
      <c r="S44" s="186" t="n">
        <v>202.6</v>
      </c>
      <c r="T44" s="34" t="n">
        <v>0.027</v>
      </c>
      <c r="U44" s="34" t="n">
        <v>0.0263841140428509</v>
      </c>
      <c r="V44" s="134"/>
      <c r="W44" s="134"/>
      <c r="X44" s="34" t="n">
        <v>0.293</v>
      </c>
      <c r="Y44" s="34" t="n">
        <v>0.286316496835382</v>
      </c>
      <c r="Z44" s="34" t="n">
        <v>0.177</v>
      </c>
      <c r="AA44" s="34" t="n">
        <v>0.172962525392023</v>
      </c>
      <c r="AB44" s="34" t="n">
        <v>0.99</v>
      </c>
      <c r="AC44" s="34" t="n">
        <v>0.967417514904533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35.7478</v>
      </c>
      <c r="H45" s="124" t="n">
        <v>0</v>
      </c>
      <c r="I45" s="193" t="n">
        <v>1.64</v>
      </c>
      <c r="J45" s="134"/>
      <c r="K45" s="135"/>
      <c r="L45" s="135"/>
      <c r="M45" s="135"/>
      <c r="N45" s="136"/>
      <c r="O45" s="135"/>
      <c r="P45" s="134" t="n">
        <v>4.646</v>
      </c>
      <c r="Q45" s="134"/>
      <c r="R45" s="134"/>
      <c r="S45" s="186" t="n">
        <v>202.6</v>
      </c>
      <c r="T45" s="34" t="n">
        <v>0.047</v>
      </c>
      <c r="U45" s="34" t="n">
        <v>0.0459279022227404</v>
      </c>
      <c r="V45" s="134"/>
      <c r="W45" s="134"/>
      <c r="X45" s="34" t="n">
        <v>0.433</v>
      </c>
      <c r="Y45" s="34" t="n">
        <v>0.423123014094609</v>
      </c>
      <c r="Z45" s="34" t="n">
        <v>0.179</v>
      </c>
      <c r="AA45" s="34" t="n">
        <v>0.174916904210011</v>
      </c>
      <c r="AB45" s="34" t="n">
        <v>1.18</v>
      </c>
      <c r="AC45" s="34" t="n">
        <v>1.15308350261348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29.68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-1°29,68</v>
      </c>
      <c r="P9" s="31" t="s">
        <v>16</v>
      </c>
      <c r="Q9" s="35" t="n">
        <f aca="false">IF(ISBLANK(I9),"",IF(ISBLANK(J9),"",IF(J9&gt;60,"ERREUR !!",O11*(I9+(J9/60)))))</f>
        <v>-1.49466666666667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59.81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-9°59,81</v>
      </c>
      <c r="P10" s="31" t="s">
        <v>17</v>
      </c>
      <c r="Q10" s="35" t="n">
        <f aca="false">IF(ISBLANK(I10),"",IF(ISBLANK(J10),"",IF(J10&gt;60,"ERREUR !!",O12*(I10+(J10/60)))))</f>
        <v>-9.99683333333333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37801</v>
      </c>
      <c r="K11" s="40"/>
      <c r="L11" s="40"/>
      <c r="M11" s="40"/>
      <c r="N11" s="41" t="str">
        <f aca="false">I9&amp;"°"&amp;J9</f>
        <v>1°29,68</v>
      </c>
      <c r="O11" s="42" t="n">
        <f aca="false">IF(P9=M10,-1,1)</f>
        <v>-1</v>
      </c>
      <c r="P11" s="43" t="str">
        <f aca="false">TEXT(J11,"aaaa-mm-jj")&amp;"T"&amp;TEXT(J12,"hh:mm:ss")&amp;"z"</f>
        <v>2007-06-30T07:30:00z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0.3125</v>
      </c>
      <c r="K12" s="48"/>
      <c r="L12" s="48"/>
      <c r="M12" s="48"/>
      <c r="N12" s="49" t="str">
        <f aca="false">I10&amp;"°"&amp;J10</f>
        <v>9°59,81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34.6202</v>
      </c>
      <c r="H35" s="123" t="n">
        <v>1000</v>
      </c>
      <c r="I35" s="192" t="n">
        <v>1000</v>
      </c>
      <c r="J35" s="125"/>
      <c r="K35" s="126"/>
      <c r="L35" s="126"/>
      <c r="M35" s="126"/>
      <c r="N35" s="127"/>
      <c r="O35" s="126"/>
      <c r="P35" s="125" t="n">
        <v>3.52</v>
      </c>
      <c r="Q35" s="125"/>
      <c r="R35" s="125"/>
      <c r="S35" s="184" t="n">
        <v>153</v>
      </c>
      <c r="T35" s="34" t="n">
        <v>0.015</v>
      </c>
      <c r="U35" s="34" t="n">
        <v>0.0146578411349172</v>
      </c>
      <c r="V35" s="125"/>
      <c r="W35" s="125"/>
      <c r="X35" s="34" t="n">
        <v>33.465</v>
      </c>
      <c r="Y35" s="34" t="n">
        <v>32.7016435720002</v>
      </c>
      <c r="Z35" s="34" t="n">
        <v>2.208</v>
      </c>
      <c r="AA35" s="34" t="n">
        <v>2.15763421505981</v>
      </c>
      <c r="AB35" s="34" t="n">
        <v>31.03</v>
      </c>
      <c r="AC35" s="34" t="n">
        <v>30.3221873610986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34.5035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3.355</v>
      </c>
      <c r="Q36" s="134"/>
      <c r="R36" s="134"/>
      <c r="S36" s="186" t="n">
        <v>145.9</v>
      </c>
      <c r="T36" s="34" t="n">
        <v>0.016</v>
      </c>
      <c r="U36" s="34" t="n">
        <v>0.0156350305439116</v>
      </c>
      <c r="V36" s="134"/>
      <c r="W36" s="134"/>
      <c r="X36" s="34" t="n">
        <v>33.834</v>
      </c>
      <c r="Y36" s="34" t="n">
        <v>33.0622264639191</v>
      </c>
      <c r="Z36" s="34" t="n">
        <v>2.18</v>
      </c>
      <c r="AA36" s="34" t="n">
        <v>2.13027291160796</v>
      </c>
      <c r="AB36" s="34" t="n">
        <v>24.35</v>
      </c>
      <c r="AC36" s="34" t="n">
        <v>23.7945621090155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34.9697</v>
      </c>
      <c r="H37" s="123" t="n">
        <v>300</v>
      </c>
      <c r="I37" s="192" t="n">
        <v>299</v>
      </c>
      <c r="J37" s="134"/>
      <c r="K37" s="135"/>
      <c r="L37" s="135"/>
      <c r="M37" s="135"/>
      <c r="N37" s="136"/>
      <c r="O37" s="135"/>
      <c r="P37" s="134" t="n">
        <v>1.661</v>
      </c>
      <c r="Q37" s="134"/>
      <c r="R37" s="134"/>
      <c r="S37" s="186" t="n">
        <v>72.3</v>
      </c>
      <c r="T37" s="34" t="n">
        <v>0.011</v>
      </c>
      <c r="U37" s="34" t="n">
        <v>0.0107490834989393</v>
      </c>
      <c r="V37" s="134"/>
      <c r="W37" s="134"/>
      <c r="X37" s="34" t="n">
        <v>31.899</v>
      </c>
      <c r="Y37" s="34" t="n">
        <v>31.1713649575148</v>
      </c>
      <c r="Z37" s="34" t="n">
        <v>1.964</v>
      </c>
      <c r="AA37" s="34" t="n">
        <v>1.91919999926515</v>
      </c>
      <c r="AB37" s="34" t="n">
        <v>13.76</v>
      </c>
      <c r="AC37" s="34" t="n">
        <v>13.446126267764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35.5715</v>
      </c>
      <c r="H38" s="124" t="n">
        <v>100</v>
      </c>
      <c r="I38" s="192" t="n">
        <v>100</v>
      </c>
      <c r="J38" s="134"/>
      <c r="K38" s="135"/>
      <c r="L38" s="135"/>
      <c r="M38" s="135"/>
      <c r="N38" s="136"/>
      <c r="O38" s="135"/>
      <c r="P38" s="134" t="n">
        <v>2.516</v>
      </c>
      <c r="Q38" s="134"/>
      <c r="R38" s="134"/>
      <c r="S38" s="186" t="n">
        <v>109.5</v>
      </c>
      <c r="T38" s="34" t="n">
        <v>0.03</v>
      </c>
      <c r="U38" s="34" t="n">
        <v>0.0293156822698343</v>
      </c>
      <c r="V38" s="134"/>
      <c r="W38" s="134"/>
      <c r="X38" s="34" t="n">
        <v>18.62</v>
      </c>
      <c r="Y38" s="34" t="n">
        <v>18.1952667954772</v>
      </c>
      <c r="Z38" s="34" t="n">
        <v>1.267</v>
      </c>
      <c r="AA38" s="34" t="n">
        <v>1.238098981196</v>
      </c>
      <c r="AB38" s="34" t="n">
        <v>6.49</v>
      </c>
      <c r="AC38" s="34" t="n">
        <v>6.34195926437416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35.6434</v>
      </c>
      <c r="H39" s="124" t="n">
        <v>80</v>
      </c>
      <c r="I39" s="192" t="n">
        <v>80</v>
      </c>
      <c r="J39" s="134"/>
      <c r="K39" s="135"/>
      <c r="L39" s="135"/>
      <c r="M39" s="135"/>
      <c r="N39" s="136"/>
      <c r="O39" s="135"/>
      <c r="P39" s="134" t="n">
        <v>2.704</v>
      </c>
      <c r="Q39" s="134"/>
      <c r="R39" s="134"/>
      <c r="S39" s="186" t="n">
        <v>117.7</v>
      </c>
      <c r="T39" s="34" t="n">
        <v>0.077</v>
      </c>
      <c r="U39" s="34" t="n">
        <v>0.0752435844925748</v>
      </c>
      <c r="V39" s="134"/>
      <c r="W39" s="134"/>
      <c r="X39" s="34" t="n">
        <v>17.233</v>
      </c>
      <c r="Y39" s="34" t="n">
        <v>16.8399050852018</v>
      </c>
      <c r="Z39" s="34" t="n">
        <v>1.174</v>
      </c>
      <c r="AA39" s="34" t="n">
        <v>1.14722036615952</v>
      </c>
      <c r="AB39" s="34" t="n">
        <v>5.78</v>
      </c>
      <c r="AC39" s="34" t="n">
        <v>5.64815478398808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35.6948</v>
      </c>
      <c r="H40" s="124" t="n">
        <v>60</v>
      </c>
      <c r="I40" s="192" t="n">
        <v>60</v>
      </c>
      <c r="J40" s="134"/>
      <c r="K40" s="135"/>
      <c r="L40" s="135"/>
      <c r="M40" s="135"/>
      <c r="N40" s="136"/>
      <c r="O40" s="135"/>
      <c r="P40" s="134" t="n">
        <v>2.831</v>
      </c>
      <c r="Q40" s="134"/>
      <c r="R40" s="134"/>
      <c r="S40" s="186" t="n">
        <v>123.2</v>
      </c>
      <c r="T40" s="34" t="n">
        <v>0.184</v>
      </c>
      <c r="U40" s="34" t="n">
        <v>0.179802851254984</v>
      </c>
      <c r="V40" s="134"/>
      <c r="W40" s="134"/>
      <c r="X40" s="34" t="n">
        <v>16.166</v>
      </c>
      <c r="Y40" s="34" t="n">
        <v>15.7972439858047</v>
      </c>
      <c r="Z40" s="34" t="n">
        <v>1.104</v>
      </c>
      <c r="AA40" s="34" t="n">
        <v>1.0788171075299</v>
      </c>
      <c r="AB40" s="34" t="n">
        <v>5.62</v>
      </c>
      <c r="AC40" s="34" t="n">
        <v>5.49180447854896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35.7958</v>
      </c>
      <c r="H41" s="124" t="n">
        <v>40</v>
      </c>
      <c r="I41" s="192" t="n">
        <v>39</v>
      </c>
      <c r="J41" s="134"/>
      <c r="K41" s="135"/>
      <c r="L41" s="135"/>
      <c r="M41" s="135"/>
      <c r="N41" s="136"/>
      <c r="O41" s="135"/>
      <c r="P41" s="134" t="n">
        <v>3.467</v>
      </c>
      <c r="Q41" s="134"/>
      <c r="R41" s="134"/>
      <c r="S41" s="186" t="n">
        <v>151</v>
      </c>
      <c r="T41" s="34" t="n">
        <v>0.327</v>
      </c>
      <c r="U41" s="34" t="n">
        <v>0.319540936741194</v>
      </c>
      <c r="V41" s="134"/>
      <c r="W41" s="134"/>
      <c r="X41" s="34" t="n">
        <v>9.533</v>
      </c>
      <c r="Y41" s="34" t="n">
        <v>9.31554663594435</v>
      </c>
      <c r="Z41" s="34" t="n">
        <v>0.784</v>
      </c>
      <c r="AA41" s="34" t="n">
        <v>0.76611649665167</v>
      </c>
      <c r="AB41" s="34" t="n">
        <v>3.7</v>
      </c>
      <c r="AC41" s="34" t="n">
        <v>3.61560081327957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22" t="n">
        <v>35.9754</v>
      </c>
      <c r="H42" s="124" t="n">
        <v>20</v>
      </c>
      <c r="I42" s="192" t="n">
        <v>19</v>
      </c>
      <c r="J42" s="134"/>
      <c r="K42" s="135"/>
      <c r="L42" s="135"/>
      <c r="M42" s="135"/>
      <c r="N42" s="136"/>
      <c r="O42" s="135"/>
      <c r="P42" s="134" t="n">
        <v>4.562</v>
      </c>
      <c r="Q42" s="134"/>
      <c r="R42" s="134"/>
      <c r="S42" s="186" t="n">
        <v>198.9</v>
      </c>
      <c r="T42" s="34" t="n">
        <v>0.069</v>
      </c>
      <c r="U42" s="34" t="n">
        <v>0.067426069220619</v>
      </c>
      <c r="V42" s="134"/>
      <c r="W42" s="134"/>
      <c r="X42" s="34" t="n">
        <v>0.711</v>
      </c>
      <c r="Y42" s="34" t="n">
        <v>0.694781669795074</v>
      </c>
      <c r="Z42" s="34" t="n">
        <v>0.203</v>
      </c>
      <c r="AA42" s="34" t="n">
        <v>0.198369450025879</v>
      </c>
      <c r="AB42" s="34" t="n">
        <v>1.03</v>
      </c>
      <c r="AC42" s="34" t="n">
        <v>1.00650509126431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22" t="n">
        <v>35.9806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4.521</v>
      </c>
      <c r="Q43" s="134"/>
      <c r="R43" s="134"/>
      <c r="S43" s="186" t="n">
        <v>197</v>
      </c>
      <c r="T43" s="34" t="n">
        <v>0.051</v>
      </c>
      <c r="U43" s="34" t="n">
        <v>0.0498366598587184</v>
      </c>
      <c r="V43" s="134"/>
      <c r="W43" s="134"/>
      <c r="X43" s="34" t="n">
        <v>0.299</v>
      </c>
      <c r="Y43" s="34" t="n">
        <v>0.292179633289349</v>
      </c>
      <c r="Z43" s="34" t="n">
        <v>0.178</v>
      </c>
      <c r="AA43" s="34" t="n">
        <v>0.173939714801017</v>
      </c>
      <c r="AB43" s="34" t="n">
        <v>0.87</v>
      </c>
      <c r="AC43" s="34" t="n">
        <v>0.850154785825195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35.9804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4.647</v>
      </c>
      <c r="Q44" s="134"/>
      <c r="R44" s="134"/>
      <c r="S44" s="186" t="n">
        <v>202.6</v>
      </c>
      <c r="T44" s="34" t="n">
        <v>0.037</v>
      </c>
      <c r="U44" s="34" t="n">
        <v>0.0361560081327957</v>
      </c>
      <c r="V44" s="134"/>
      <c r="W44" s="134"/>
      <c r="X44" s="34" t="n">
        <v>0.163</v>
      </c>
      <c r="Y44" s="34" t="n">
        <v>0.1592818736661</v>
      </c>
      <c r="Z44" s="34" t="n">
        <v>0.224</v>
      </c>
      <c r="AA44" s="34" t="n">
        <v>0.218890427614763</v>
      </c>
      <c r="AB44" s="34" t="n">
        <v>0.85</v>
      </c>
      <c r="AC44" s="34" t="n">
        <v>0.830610997645306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35.9802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4.814</v>
      </c>
      <c r="Q45" s="134"/>
      <c r="R45" s="134"/>
      <c r="S45" s="186" t="n">
        <v>209.8</v>
      </c>
      <c r="T45" s="34" t="n">
        <v>0.035</v>
      </c>
      <c r="U45" s="34" t="n">
        <v>0.0342016293148067</v>
      </c>
      <c r="V45" s="134"/>
      <c r="W45" s="134"/>
      <c r="X45" s="34" t="n">
        <v>0.175</v>
      </c>
      <c r="Y45" s="34" t="n">
        <v>0.171008146574034</v>
      </c>
      <c r="Z45" s="34" t="n">
        <v>0.164</v>
      </c>
      <c r="AA45" s="34" t="n">
        <v>0.160259063075094</v>
      </c>
      <c r="AB45" s="34" t="n">
        <v>0.84</v>
      </c>
      <c r="AC45" s="34" t="n">
        <v>0.820839103555361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0.14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-1°0,14</v>
      </c>
      <c r="P9" s="31" t="s">
        <v>16</v>
      </c>
      <c r="Q9" s="35" t="n">
        <f aca="false">IF(ISBLANK(I9),"",IF(ISBLANK(J9),"",IF(J9&gt;60,"ERREUR !!",O11*(I9+(J9/60)))))</f>
        <v>-1.00233333333333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0.1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-10°0,1</v>
      </c>
      <c r="P10" s="31" t="s">
        <v>17</v>
      </c>
      <c r="Q10" s="35" t="n">
        <f aca="false">IF(ISBLANK(I10),"",IF(ISBLANK(J10),"",IF(J10&gt;60,"ERREUR !!",O12*(I10+(J10/60)))))</f>
        <v>-10.0016666666667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37801</v>
      </c>
      <c r="K11" s="40"/>
      <c r="L11" s="40"/>
      <c r="M11" s="40"/>
      <c r="N11" s="41" t="str">
        <f aca="false">I9&amp;"°"&amp;J9</f>
        <v>1°0,14</v>
      </c>
      <c r="O11" s="42" t="n">
        <f aca="false">IF(P9=M10,-1,1)</f>
        <v>-1</v>
      </c>
      <c r="P11" s="43" t="str">
        <f aca="false">TEXT(J11,"aaaa-mm-jj")&amp;"T"&amp;TEXT(J12,"hh:mm:ss")&amp;"z"</f>
        <v>2007-06-30T12:15:00z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0.510416666666667</v>
      </c>
      <c r="K12" s="48"/>
      <c r="L12" s="48"/>
      <c r="M12" s="48"/>
      <c r="N12" s="49" t="str">
        <f aca="false">I10&amp;"°"&amp;J10</f>
        <v>10°0,1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34.6002</v>
      </c>
      <c r="H35" s="123" t="n">
        <v>1000</v>
      </c>
      <c r="I35" s="192" t="n">
        <v>1000</v>
      </c>
      <c r="J35" s="125"/>
      <c r="K35" s="126"/>
      <c r="L35" s="126"/>
      <c r="M35" s="126"/>
      <c r="N35" s="127"/>
      <c r="O35" s="126"/>
      <c r="P35" s="125" t="n">
        <v>3.447</v>
      </c>
      <c r="Q35" s="125"/>
      <c r="R35" s="125"/>
      <c r="S35" s="184" t="n">
        <v>149.8</v>
      </c>
      <c r="T35" s="34" t="n">
        <v>0.005</v>
      </c>
      <c r="U35" s="34" t="n">
        <v>0.00488594704497239</v>
      </c>
      <c r="V35" s="125"/>
      <c r="W35" s="125"/>
      <c r="X35" s="34" t="n">
        <v>33.975</v>
      </c>
      <c r="Y35" s="34" t="n">
        <v>33.2000101705874</v>
      </c>
      <c r="Z35" s="34" t="n">
        <v>2.268</v>
      </c>
      <c r="AA35" s="34" t="n">
        <v>2.21626557959947</v>
      </c>
      <c r="AB35" s="34" t="n">
        <v>31.6</v>
      </c>
      <c r="AC35" s="34" t="n">
        <v>30.8791853242255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34.537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3.118</v>
      </c>
      <c r="Q36" s="134"/>
      <c r="R36" s="134"/>
      <c r="S36" s="186" t="n">
        <v>135.6</v>
      </c>
      <c r="T36" s="34" t="n">
        <v>0.008</v>
      </c>
      <c r="U36" s="34" t="n">
        <v>0.00781751527195582</v>
      </c>
      <c r="V36" s="134"/>
      <c r="W36" s="134"/>
      <c r="X36" s="34" t="n">
        <v>34.152</v>
      </c>
      <c r="Y36" s="34" t="n">
        <v>33.3729726959794</v>
      </c>
      <c r="Z36" s="34" t="n">
        <v>2.214</v>
      </c>
      <c r="AA36" s="34" t="n">
        <v>2.16349735151377</v>
      </c>
      <c r="AB36" s="34" t="n">
        <v>23.21</v>
      </c>
      <c r="AC36" s="34" t="n">
        <v>22.6805661827618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34.9878</v>
      </c>
      <c r="H37" s="123" t="n">
        <v>300</v>
      </c>
      <c r="I37" s="192" t="n">
        <v>298</v>
      </c>
      <c r="J37" s="134"/>
      <c r="K37" s="135"/>
      <c r="L37" s="135"/>
      <c r="M37" s="135"/>
      <c r="N37" s="136"/>
      <c r="O37" s="135"/>
      <c r="P37" s="134" t="n">
        <v>1.736</v>
      </c>
      <c r="Q37" s="134"/>
      <c r="R37" s="134"/>
      <c r="S37" s="186" t="n">
        <v>75.5</v>
      </c>
      <c r="T37" s="34" t="n">
        <v>0.005</v>
      </c>
      <c r="U37" s="34" t="n">
        <v>0.00488594704497239</v>
      </c>
      <c r="V37" s="134"/>
      <c r="W37" s="134"/>
      <c r="X37" s="34" t="n">
        <v>30.815</v>
      </c>
      <c r="Y37" s="34" t="n">
        <v>30.1120916381648</v>
      </c>
      <c r="Z37" s="34" t="n">
        <v>1.914</v>
      </c>
      <c r="AA37" s="34" t="n">
        <v>1.87034052881543</v>
      </c>
      <c r="AB37" s="34" t="n">
        <v>13.36</v>
      </c>
      <c r="AC37" s="34" t="n">
        <v>13.0552505041662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34.5445</v>
      </c>
      <c r="H38" s="124" t="n">
        <v>100</v>
      </c>
      <c r="I38" s="192" t="n">
        <v>98</v>
      </c>
      <c r="J38" s="134"/>
      <c r="K38" s="135"/>
      <c r="L38" s="135"/>
      <c r="M38" s="135"/>
      <c r="N38" s="136"/>
      <c r="O38" s="135"/>
      <c r="P38" s="134" t="n">
        <v>2.677</v>
      </c>
      <c r="Q38" s="134"/>
      <c r="R38" s="134"/>
      <c r="S38" s="186" t="n">
        <v>116.6</v>
      </c>
      <c r="T38" s="34" t="n">
        <v>0.052</v>
      </c>
      <c r="U38" s="34" t="n">
        <v>0.0508138492677128</v>
      </c>
      <c r="V38" s="134"/>
      <c r="W38" s="134"/>
      <c r="X38" s="34" t="n">
        <v>18.388</v>
      </c>
      <c r="Y38" s="34" t="n">
        <v>17.9685588525905</v>
      </c>
      <c r="Z38" s="34" t="n">
        <v>1.23</v>
      </c>
      <c r="AA38" s="34" t="n">
        <v>1.20194297306321</v>
      </c>
      <c r="AB38" s="34" t="n">
        <v>6.32</v>
      </c>
      <c r="AC38" s="34" t="n">
        <v>6.1758370648451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35.6344</v>
      </c>
      <c r="H39" s="124" t="n">
        <v>80</v>
      </c>
      <c r="I39" s="192" t="n">
        <v>80</v>
      </c>
      <c r="J39" s="134"/>
      <c r="K39" s="135"/>
      <c r="L39" s="135"/>
      <c r="M39" s="135"/>
      <c r="N39" s="136"/>
      <c r="O39" s="135"/>
      <c r="P39" s="134" t="n">
        <v>2.441</v>
      </c>
      <c r="Q39" s="134"/>
      <c r="R39" s="134"/>
      <c r="S39" s="186" t="n">
        <v>106.2</v>
      </c>
      <c r="T39" s="34" t="n">
        <v>0.19</v>
      </c>
      <c r="U39" s="34" t="n">
        <v>0.185665987708951</v>
      </c>
      <c r="V39" s="134"/>
      <c r="W39" s="134"/>
      <c r="X39" s="34" t="n">
        <v>18.44</v>
      </c>
      <c r="Y39" s="34" t="n">
        <v>18.0193727018582</v>
      </c>
      <c r="Z39" s="34" t="n">
        <v>1.247</v>
      </c>
      <c r="AA39" s="34" t="n">
        <v>1.21855519301611</v>
      </c>
      <c r="AB39" s="34" t="n">
        <v>5.69</v>
      </c>
      <c r="AC39" s="34" t="n">
        <v>5.56020773717858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35.6826</v>
      </c>
      <c r="H40" s="124" t="n">
        <v>60</v>
      </c>
      <c r="I40" s="192" t="n">
        <v>60</v>
      </c>
      <c r="J40" s="134"/>
      <c r="K40" s="135"/>
      <c r="L40" s="135"/>
      <c r="M40" s="135"/>
      <c r="N40" s="136"/>
      <c r="O40" s="135"/>
      <c r="P40" s="134" t="n">
        <v>2.559</v>
      </c>
      <c r="Q40" s="134"/>
      <c r="R40" s="134"/>
      <c r="S40" s="186" t="n">
        <v>111.4</v>
      </c>
      <c r="T40" s="34" t="n">
        <v>0.226</v>
      </c>
      <c r="U40" s="34" t="n">
        <v>0.220844806432752</v>
      </c>
      <c r="V40" s="134"/>
      <c r="W40" s="134"/>
      <c r="X40" s="34" t="n">
        <v>16.974</v>
      </c>
      <c r="Y40" s="34" t="n">
        <v>16.5868130282723</v>
      </c>
      <c r="Z40" s="34" t="n">
        <v>1.187</v>
      </c>
      <c r="AA40" s="34" t="n">
        <v>1.15992382847644</v>
      </c>
      <c r="AB40" s="34" t="n">
        <v>5.25</v>
      </c>
      <c r="AC40" s="34" t="n">
        <v>5.13024439722101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35.9403</v>
      </c>
      <c r="H41" s="124" t="n">
        <v>40</v>
      </c>
      <c r="I41" s="192" t="n">
        <v>40</v>
      </c>
      <c r="J41" s="134"/>
      <c r="K41" s="135"/>
      <c r="L41" s="135"/>
      <c r="M41" s="135"/>
      <c r="N41" s="136"/>
      <c r="O41" s="135"/>
      <c r="P41" s="134" t="n">
        <v>3.386</v>
      </c>
      <c r="Q41" s="134"/>
      <c r="R41" s="134"/>
      <c r="S41" s="186" t="n">
        <v>147.5</v>
      </c>
      <c r="T41" s="34" t="n">
        <v>0.576</v>
      </c>
      <c r="U41" s="34" t="n">
        <v>0.562861099580819</v>
      </c>
      <c r="V41" s="134"/>
      <c r="W41" s="134"/>
      <c r="X41" s="34" t="n">
        <v>8.204</v>
      </c>
      <c r="Y41" s="34" t="n">
        <v>8.01686191139069</v>
      </c>
      <c r="Z41" s="34" t="n">
        <v>0.73</v>
      </c>
      <c r="AA41" s="34" t="n">
        <v>0.713348268565969</v>
      </c>
      <c r="AB41" s="34" t="n">
        <v>3.21</v>
      </c>
      <c r="AC41" s="34" t="n">
        <v>3.13677800287227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35.889</v>
      </c>
      <c r="H42" s="124" t="n">
        <v>20</v>
      </c>
      <c r="I42" s="192" t="n">
        <v>20</v>
      </c>
      <c r="J42" s="134"/>
      <c r="K42" s="135"/>
      <c r="L42" s="135"/>
      <c r="M42" s="135"/>
      <c r="N42" s="136"/>
      <c r="O42" s="135"/>
      <c r="P42" s="134" t="n">
        <v>4.591</v>
      </c>
      <c r="Q42" s="134"/>
      <c r="R42" s="134"/>
      <c r="S42" s="186" t="n">
        <v>200.1</v>
      </c>
      <c r="T42" s="34" t="n">
        <v>0.072</v>
      </c>
      <c r="U42" s="34" t="n">
        <v>0.0703576374476024</v>
      </c>
      <c r="V42" s="134"/>
      <c r="W42" s="134"/>
      <c r="X42" s="34" t="n">
        <v>0.438</v>
      </c>
      <c r="Y42" s="34" t="n">
        <v>0.428008961139581</v>
      </c>
      <c r="Z42" s="34" t="n">
        <v>0.173</v>
      </c>
      <c r="AA42" s="34" t="n">
        <v>0.169053767756045</v>
      </c>
      <c r="AB42" s="34" t="n">
        <v>0.67</v>
      </c>
      <c r="AC42" s="34" t="n">
        <v>0.6547169040263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22" t="n">
        <v>35.8703</v>
      </c>
      <c r="H43" s="124" t="n">
        <v>10</v>
      </c>
      <c r="I43" s="192" t="n">
        <v>10</v>
      </c>
      <c r="J43" s="134"/>
      <c r="K43" s="135"/>
      <c r="L43" s="135"/>
      <c r="M43" s="135"/>
      <c r="N43" s="136"/>
      <c r="O43" s="135"/>
      <c r="P43" s="134" t="n">
        <v>4.669</v>
      </c>
      <c r="Q43" s="134"/>
      <c r="R43" s="134"/>
      <c r="S43" s="186" t="n">
        <v>203.5</v>
      </c>
      <c r="T43" s="34" t="n">
        <v>0.03</v>
      </c>
      <c r="U43" s="34" t="n">
        <v>0.0293156822698343</v>
      </c>
      <c r="V43" s="134"/>
      <c r="W43" s="134"/>
      <c r="X43" s="34" t="n">
        <v>0.19</v>
      </c>
      <c r="Y43" s="34" t="n">
        <v>0.185665987708951</v>
      </c>
      <c r="Z43" s="34" t="n">
        <v>0.208</v>
      </c>
      <c r="AA43" s="34" t="n">
        <v>0.203255397070851</v>
      </c>
      <c r="AB43" s="34" t="n">
        <v>0.6</v>
      </c>
      <c r="AC43" s="34" t="n">
        <v>0.586313645396686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22" t="n">
        <v>35.8683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4.676</v>
      </c>
      <c r="Q44" s="134"/>
      <c r="R44" s="134"/>
      <c r="S44" s="186" t="n">
        <v>203.8</v>
      </c>
      <c r="T44" s="34" t="n">
        <v>0.03</v>
      </c>
      <c r="U44" s="34" t="n">
        <v>0.0293156822698343</v>
      </c>
      <c r="V44" s="134"/>
      <c r="W44" s="134"/>
      <c r="X44" s="34" t="n">
        <v>0.19</v>
      </c>
      <c r="Y44" s="34" t="n">
        <v>0.185665987708951</v>
      </c>
      <c r="Z44" s="34" t="n">
        <v>0.14</v>
      </c>
      <c r="AA44" s="34" t="n">
        <v>0.136806517259227</v>
      </c>
      <c r="AB44" s="34" t="n">
        <v>0.53</v>
      </c>
      <c r="AC44" s="34" t="n">
        <v>0.517910386767073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35.8693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4.677</v>
      </c>
      <c r="Q45" s="134"/>
      <c r="R45" s="134"/>
      <c r="S45" s="186" t="n">
        <v>203.9</v>
      </c>
      <c r="T45" s="34" t="n">
        <v>0.027</v>
      </c>
      <c r="U45" s="34" t="n">
        <v>0.0263841140428509</v>
      </c>
      <c r="V45" s="134"/>
      <c r="W45" s="134"/>
      <c r="X45" s="34" t="n">
        <v>0.163</v>
      </c>
      <c r="Y45" s="34" t="n">
        <v>0.1592818736661</v>
      </c>
      <c r="Z45" s="34" t="n">
        <v>0.155</v>
      </c>
      <c r="AA45" s="34" t="n">
        <v>0.151464358394144</v>
      </c>
      <c r="AB45" s="34" t="n">
        <v>0.58</v>
      </c>
      <c r="AC45" s="34" t="n">
        <v>0.566769857216797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30.33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-0°30,33</v>
      </c>
      <c r="P9" s="31" t="s">
        <v>16</v>
      </c>
      <c r="Q9" s="35" t="n">
        <f aca="false">IF(ISBLANK(I9),"",IF(ISBLANK(J9),"",IF(J9&gt;60,"ERREUR !!",O11*(I9+(J9/60)))))</f>
        <v>-0.5055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59.97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-9°59,97</v>
      </c>
      <c r="P10" s="31" t="s">
        <v>17</v>
      </c>
      <c r="Q10" s="35" t="n">
        <f aca="false">IF(ISBLANK(I10),"",IF(ISBLANK(J10),"",IF(J10&gt;60,"ERREUR !!",O12*(I10+(J10/60)))))</f>
        <v>-9.9995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37801</v>
      </c>
      <c r="K11" s="40"/>
      <c r="L11" s="40"/>
      <c r="M11" s="40"/>
      <c r="N11" s="41" t="str">
        <f aca="false">I9&amp;"°"&amp;J9</f>
        <v>0°30,33</v>
      </c>
      <c r="O11" s="42" t="n">
        <f aca="false">IF(P9=M10,-1,1)</f>
        <v>-1</v>
      </c>
      <c r="P11" s="43" t="str">
        <f aca="false">TEXT(J11,"aaaa-mm-jj")&amp;"T"&amp;TEXT(J12,"hh:mm:ss")&amp;"z"</f>
        <v>2007-06-30T16:00:00z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0.666666666666667</v>
      </c>
      <c r="K12" s="48"/>
      <c r="L12" s="48"/>
      <c r="M12" s="48"/>
      <c r="N12" s="49" t="str">
        <f aca="false">I10&amp;"°"&amp;J10</f>
        <v>9°59,97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34.5887</v>
      </c>
      <c r="H35" s="123" t="n">
        <v>1000</v>
      </c>
      <c r="I35" s="192" t="n">
        <v>1000</v>
      </c>
      <c r="J35" s="125"/>
      <c r="K35" s="126"/>
      <c r="L35" s="126"/>
      <c r="M35" s="126"/>
      <c r="N35" s="127"/>
      <c r="O35" s="126"/>
      <c r="P35" s="125" t="n">
        <v>3.442</v>
      </c>
      <c r="Q35" s="125"/>
      <c r="R35" s="125"/>
      <c r="S35" s="184" t="n">
        <v>149.6</v>
      </c>
      <c r="T35" s="34" t="n">
        <v>0</v>
      </c>
      <c r="U35" s="34" t="n">
        <v>0</v>
      </c>
      <c r="V35" s="125"/>
      <c r="W35" s="125"/>
      <c r="X35" s="34" t="n">
        <v>34.1</v>
      </c>
      <c r="Y35" s="34" t="n">
        <v>33.3221588467117</v>
      </c>
      <c r="Z35" s="34" t="n">
        <v>2.295</v>
      </c>
      <c r="AA35" s="34" t="n">
        <v>2.24264969364233</v>
      </c>
      <c r="AB35" s="34" t="n">
        <v>31.7</v>
      </c>
      <c r="AC35" s="34" t="n">
        <v>30.9769042651249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34.5488</v>
      </c>
      <c r="H36" s="123" t="n">
        <v>600</v>
      </c>
      <c r="I36" s="192" t="n">
        <v>600</v>
      </c>
      <c r="J36" s="134"/>
      <c r="K36" s="135"/>
      <c r="L36" s="135"/>
      <c r="M36" s="135"/>
      <c r="N36" s="136"/>
      <c r="O36" s="135"/>
      <c r="P36" s="134" t="n">
        <v>3.06</v>
      </c>
      <c r="Q36" s="134"/>
      <c r="R36" s="134"/>
      <c r="S36" s="186" t="n">
        <v>133</v>
      </c>
      <c r="T36" s="34" t="n">
        <v>0.004</v>
      </c>
      <c r="U36" s="34" t="n">
        <v>0.00390875763597791</v>
      </c>
      <c r="V36" s="134"/>
      <c r="W36" s="134"/>
      <c r="X36" s="34" t="n">
        <v>33.976</v>
      </c>
      <c r="Y36" s="34" t="n">
        <v>33.2009873599964</v>
      </c>
      <c r="Z36" s="34" t="n">
        <v>2.198</v>
      </c>
      <c r="AA36" s="34" t="n">
        <v>2.14786232096986</v>
      </c>
      <c r="AB36" s="34" t="n">
        <v>22.85</v>
      </c>
      <c r="AC36" s="34" t="n">
        <v>22.3287779955238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34.95</v>
      </c>
      <c r="H37" s="123" t="n">
        <v>300</v>
      </c>
      <c r="I37" s="192" t="n">
        <v>299</v>
      </c>
      <c r="J37" s="134"/>
      <c r="K37" s="135"/>
      <c r="L37" s="135"/>
      <c r="M37" s="135"/>
      <c r="N37" s="136"/>
      <c r="O37" s="135"/>
      <c r="P37" s="134" t="n">
        <v>1.646</v>
      </c>
      <c r="Q37" s="134"/>
      <c r="R37" s="134"/>
      <c r="S37" s="186" t="n">
        <v>71.6</v>
      </c>
      <c r="T37" s="34" t="n">
        <v>0.003</v>
      </c>
      <c r="U37" s="34" t="n">
        <v>0.00293156822698343</v>
      </c>
      <c r="V37" s="134"/>
      <c r="W37" s="134"/>
      <c r="X37" s="34" t="n">
        <v>32.157</v>
      </c>
      <c r="Y37" s="34" t="n">
        <v>31.4234798250354</v>
      </c>
      <c r="Z37" s="34" t="n">
        <v>1.99</v>
      </c>
      <c r="AA37" s="34" t="n">
        <v>1.94460692389901</v>
      </c>
      <c r="AB37" s="34" t="n">
        <v>13.68</v>
      </c>
      <c r="AC37" s="34" t="n">
        <v>13.3679511150445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35.6694</v>
      </c>
      <c r="H38" s="124" t="n">
        <v>100</v>
      </c>
      <c r="I38" s="192" t="n">
        <v>100</v>
      </c>
      <c r="J38" s="134"/>
      <c r="K38" s="135"/>
      <c r="L38" s="135"/>
      <c r="M38" s="135"/>
      <c r="N38" s="136"/>
      <c r="O38" s="135"/>
      <c r="P38" s="134" t="n">
        <v>3.201</v>
      </c>
      <c r="Q38" s="134"/>
      <c r="R38" s="134"/>
      <c r="S38" s="186" t="n">
        <v>139.3</v>
      </c>
      <c r="T38" s="34" t="n">
        <v>0.029</v>
      </c>
      <c r="U38" s="34" t="n">
        <v>0.0283384928608398</v>
      </c>
      <c r="V38" s="134"/>
      <c r="W38" s="134"/>
      <c r="X38" s="34" t="n">
        <v>14.641</v>
      </c>
      <c r="Y38" s="34" t="n">
        <v>14.3070301370881</v>
      </c>
      <c r="Z38" s="34" t="n">
        <v>1.044</v>
      </c>
      <c r="AA38" s="34" t="n">
        <v>1.02018574299023</v>
      </c>
      <c r="AB38" s="34" t="n">
        <v>5.46</v>
      </c>
      <c r="AC38" s="34" t="n">
        <v>5.33545417310985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35.7884</v>
      </c>
      <c r="H39" s="124" t="n">
        <v>80</v>
      </c>
      <c r="I39" s="192" t="n">
        <v>80</v>
      </c>
      <c r="J39" s="134"/>
      <c r="K39" s="135"/>
      <c r="L39" s="135"/>
      <c r="M39" s="135"/>
      <c r="N39" s="136"/>
      <c r="O39" s="135"/>
      <c r="P39" s="134" t="n">
        <v>3.225</v>
      </c>
      <c r="Q39" s="134"/>
      <c r="R39" s="134"/>
      <c r="S39" s="186" t="n">
        <v>140.3</v>
      </c>
      <c r="T39" s="34" t="n">
        <v>0.036</v>
      </c>
      <c r="U39" s="34" t="n">
        <v>0.0351788187238012</v>
      </c>
      <c r="V39" s="134"/>
      <c r="W39" s="134"/>
      <c r="X39" s="34" t="n">
        <v>13.274</v>
      </c>
      <c r="Y39" s="34" t="n">
        <v>12.9712122149927</v>
      </c>
      <c r="Z39" s="34" t="n">
        <v>0.974</v>
      </c>
      <c r="AA39" s="34" t="n">
        <v>0.951782484360621</v>
      </c>
      <c r="AB39" s="34" t="n">
        <v>4.75</v>
      </c>
      <c r="AC39" s="34" t="n">
        <v>4.64164969272377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35.941</v>
      </c>
      <c r="H40" s="124" t="n">
        <v>60</v>
      </c>
      <c r="I40" s="192" t="n">
        <v>59</v>
      </c>
      <c r="J40" s="134"/>
      <c r="K40" s="135"/>
      <c r="L40" s="135"/>
      <c r="M40" s="135"/>
      <c r="N40" s="136"/>
      <c r="O40" s="135"/>
      <c r="P40" s="134" t="n">
        <v>3.653</v>
      </c>
      <c r="Q40" s="134"/>
      <c r="R40" s="134"/>
      <c r="S40" s="186" t="n">
        <v>159</v>
      </c>
      <c r="T40" s="34" t="n">
        <v>0.05</v>
      </c>
      <c r="U40" s="34" t="n">
        <v>0.0488594704497239</v>
      </c>
      <c r="V40" s="134"/>
      <c r="W40" s="134"/>
      <c r="X40" s="34" t="n">
        <v>9.93</v>
      </c>
      <c r="Y40" s="34" t="n">
        <v>9.70349083131516</v>
      </c>
      <c r="Z40" s="34" t="n">
        <v>0.792</v>
      </c>
      <c r="AA40" s="34" t="n">
        <v>0.773934011923626</v>
      </c>
      <c r="AB40" s="34" t="n">
        <v>3.82</v>
      </c>
      <c r="AC40" s="34" t="n">
        <v>3.7328635423589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36.0484</v>
      </c>
      <c r="H41" s="124" t="n">
        <v>40</v>
      </c>
      <c r="I41" s="192" t="n">
        <v>39</v>
      </c>
      <c r="J41" s="134"/>
      <c r="K41" s="135"/>
      <c r="L41" s="135"/>
      <c r="M41" s="135"/>
      <c r="N41" s="136"/>
      <c r="O41" s="135"/>
      <c r="P41" s="134" t="n">
        <v>3.408</v>
      </c>
      <c r="Q41" s="134"/>
      <c r="R41" s="134"/>
      <c r="S41" s="186" t="n">
        <v>148.4</v>
      </c>
      <c r="T41" s="34" t="n">
        <v>0.211</v>
      </c>
      <c r="U41" s="34" t="n">
        <v>0.206186965297835</v>
      </c>
      <c r="V41" s="134"/>
      <c r="W41" s="134"/>
      <c r="X41" s="34" t="n">
        <v>9.289</v>
      </c>
      <c r="Y41" s="34" t="n">
        <v>9.0771124201497</v>
      </c>
      <c r="Z41" s="34" t="n">
        <v>0.786</v>
      </c>
      <c r="AA41" s="34" t="n">
        <v>0.768070875469659</v>
      </c>
      <c r="AB41" s="34" t="n">
        <v>3.58</v>
      </c>
      <c r="AC41" s="34" t="n">
        <v>3.49833808420023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35.9478</v>
      </c>
      <c r="H42" s="124" t="n">
        <v>20</v>
      </c>
      <c r="I42" s="192" t="n">
        <v>20</v>
      </c>
      <c r="J42" s="134"/>
      <c r="K42" s="135"/>
      <c r="L42" s="135"/>
      <c r="M42" s="135"/>
      <c r="N42" s="136"/>
      <c r="O42" s="135"/>
      <c r="P42" s="134" t="n">
        <v>4.202</v>
      </c>
      <c r="Q42" s="134"/>
      <c r="R42" s="134"/>
      <c r="S42" s="186" t="n">
        <v>183.1</v>
      </c>
      <c r="T42" s="34" t="n">
        <v>0.206</v>
      </c>
      <c r="U42" s="34" t="n">
        <v>0.201301018252862</v>
      </c>
      <c r="V42" s="134"/>
      <c r="W42" s="134"/>
      <c r="X42" s="34" t="n">
        <v>2.664</v>
      </c>
      <c r="Y42" s="34" t="n">
        <v>2.60323258556129</v>
      </c>
      <c r="Z42" s="34" t="n">
        <v>0.331</v>
      </c>
      <c r="AA42" s="34" t="n">
        <v>0.323449694377172</v>
      </c>
      <c r="AB42" s="34" t="n">
        <v>1.67</v>
      </c>
      <c r="AC42" s="34" t="n">
        <v>1.63190631302078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35.8182</v>
      </c>
      <c r="H43" s="124" t="n">
        <v>10</v>
      </c>
      <c r="I43" s="192" t="n">
        <v>9</v>
      </c>
      <c r="J43" s="134"/>
      <c r="K43" s="135"/>
      <c r="L43" s="135"/>
      <c r="M43" s="135"/>
      <c r="N43" s="136"/>
      <c r="O43" s="135"/>
      <c r="P43" s="134" t="n">
        <v>4.677</v>
      </c>
      <c r="Q43" s="134"/>
      <c r="R43" s="134"/>
      <c r="S43" s="186" t="n">
        <v>203.9</v>
      </c>
      <c r="T43" s="34" t="n">
        <v>0.043</v>
      </c>
      <c r="U43" s="34" t="n">
        <v>0.0420191445867625</v>
      </c>
      <c r="V43" s="134"/>
      <c r="W43" s="134"/>
      <c r="X43" s="34" t="n">
        <v>0.407</v>
      </c>
      <c r="Y43" s="34" t="n">
        <v>0.397716089460752</v>
      </c>
      <c r="Z43" s="34" t="n">
        <v>0.174</v>
      </c>
      <c r="AA43" s="34" t="n">
        <v>0.170030957165039</v>
      </c>
      <c r="AB43" s="34" t="n">
        <v>0.98</v>
      </c>
      <c r="AC43" s="34" t="n">
        <v>0.957645620814588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22" t="n">
        <v>35.7906</v>
      </c>
      <c r="H44" s="124" t="n">
        <v>0</v>
      </c>
      <c r="I44" s="192" t="n">
        <v>1</v>
      </c>
      <c r="J44" s="134"/>
      <c r="K44" s="135"/>
      <c r="L44" s="135"/>
      <c r="M44" s="135"/>
      <c r="N44" s="136"/>
      <c r="O44" s="135"/>
      <c r="P44" s="134" t="n">
        <v>4.759</v>
      </c>
      <c r="Q44" s="134"/>
      <c r="R44" s="134"/>
      <c r="S44" s="186" t="n">
        <v>207.5</v>
      </c>
      <c r="T44" s="34" t="n">
        <v>0.019</v>
      </c>
      <c r="U44" s="34" t="n">
        <v>0.0185665987708951</v>
      </c>
      <c r="V44" s="134"/>
      <c r="W44" s="134"/>
      <c r="X44" s="34" t="n">
        <v>0.071</v>
      </c>
      <c r="Y44" s="34" t="n">
        <v>0.0693804480386079</v>
      </c>
      <c r="Z44" s="34" t="n">
        <v>0.091</v>
      </c>
      <c r="AA44" s="34" t="n">
        <v>0.0889242362184974</v>
      </c>
      <c r="AB44" s="34" t="n">
        <v>0.84</v>
      </c>
      <c r="AC44" s="34" t="n">
        <v>0.820839103555361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22" t="n">
        <v>35.7906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34" t="n">
        <v>4.987</v>
      </c>
      <c r="Q45" s="134"/>
      <c r="R45" s="134"/>
      <c r="S45" s="186" t="n">
        <v>217.4</v>
      </c>
      <c r="T45" s="34" t="n">
        <v>0.016</v>
      </c>
      <c r="U45" s="34" t="n">
        <v>0.0156350305439116</v>
      </c>
      <c r="V45" s="134"/>
      <c r="W45" s="134"/>
      <c r="X45" s="34" t="n">
        <v>0.044</v>
      </c>
      <c r="Y45" s="34" t="n">
        <v>0.042996333995757</v>
      </c>
      <c r="Z45" s="34" t="n">
        <v>0.147</v>
      </c>
      <c r="AA45" s="34" t="n">
        <v>0.143646843122188</v>
      </c>
      <c r="AB45" s="34" t="n">
        <v>0.94</v>
      </c>
      <c r="AC45" s="34" t="n">
        <v>0.918558044454809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6" activeCellId="0" sqref="H36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2.11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0°2,11</v>
      </c>
      <c r="P9" s="31" t="s">
        <v>13</v>
      </c>
      <c r="Q9" s="35" t="n">
        <f aca="false">IF(ISBLANK(I9),"",IF(ISBLANK(J9),"",IF(J9&gt;60,"ERREUR !!",O11*(I9+(J9/60)))))</f>
        <v>0.0351666666666667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55.45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-9°55,45</v>
      </c>
      <c r="P10" s="31" t="s">
        <v>17</v>
      </c>
      <c r="Q10" s="35" t="n">
        <f aca="false">IF(ISBLANK(I10),"",IF(ISBLANK(J10),"",IF(J10&gt;60,"ERREUR !!",O12*(I10+(J10/60)))))</f>
        <v>-9.92416666666667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37801</v>
      </c>
      <c r="K11" s="40"/>
      <c r="L11" s="40"/>
      <c r="M11" s="40"/>
      <c r="N11" s="41" t="str">
        <f aca="false">I9&amp;"°"&amp;J9</f>
        <v>0°2,11</v>
      </c>
      <c r="O11" s="42" t="n">
        <f aca="false">IF(P9=M10,-1,1)</f>
        <v>1</v>
      </c>
      <c r="P11" s="43" t="str">
        <f aca="false">TEXT(J11,"aaaa-mm-jj")&amp;"T"&amp;TEXT(J12,"hh:mm:ss")&amp;"z"</f>
        <v>2007-06-30T21:00:00z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0.875</v>
      </c>
      <c r="K12" s="48"/>
      <c r="L12" s="48"/>
      <c r="M12" s="48"/>
      <c r="N12" s="49" t="str">
        <f aca="false">I10&amp;"°"&amp;J10</f>
        <v>9°55,45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34.9713</v>
      </c>
      <c r="H35" s="123" t="n">
        <v>2000</v>
      </c>
      <c r="I35" s="192" t="n">
        <v>2002</v>
      </c>
      <c r="J35" s="125"/>
      <c r="K35" s="126"/>
      <c r="L35" s="126"/>
      <c r="M35" s="126"/>
      <c r="N35" s="127"/>
      <c r="O35" s="126"/>
      <c r="P35" s="125" t="n">
        <v>5.525</v>
      </c>
      <c r="Q35" s="125"/>
      <c r="R35" s="125"/>
      <c r="S35" s="184" t="n">
        <v>240.1</v>
      </c>
      <c r="T35" s="34" t="n">
        <v>0.004</v>
      </c>
      <c r="U35" s="34" t="n">
        <v>0.00390875763597791</v>
      </c>
      <c r="V35" s="125"/>
      <c r="W35" s="125"/>
      <c r="X35" s="34" t="n">
        <v>19.996</v>
      </c>
      <c r="Y35" s="34" t="n">
        <v>19.5398794222536</v>
      </c>
      <c r="Z35" s="34" t="n">
        <v>1.344</v>
      </c>
      <c r="AA35" s="34" t="n">
        <v>1.31334256568858</v>
      </c>
      <c r="AB35" s="34" t="n">
        <v>20</v>
      </c>
      <c r="AC35" s="34" t="n">
        <v>19.5437881798896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34.9526</v>
      </c>
      <c r="H36" s="123" t="n">
        <v>1500</v>
      </c>
      <c r="I36" s="192" t="n">
        <v>1500</v>
      </c>
      <c r="J36" s="134"/>
      <c r="K36" s="135"/>
      <c r="L36" s="135"/>
      <c r="M36" s="135"/>
      <c r="N36" s="136"/>
      <c r="O36" s="135"/>
      <c r="P36" s="134" t="n">
        <v>4.936</v>
      </c>
      <c r="Q36" s="134"/>
      <c r="R36" s="134"/>
      <c r="S36" s="186" t="n">
        <v>214.5</v>
      </c>
      <c r="T36" s="34" t="n">
        <v>0.004</v>
      </c>
      <c r="U36" s="34" t="n">
        <v>0.00390875763597791</v>
      </c>
      <c r="V36" s="134"/>
      <c r="W36" s="134"/>
      <c r="X36" s="34" t="n">
        <v>22.716</v>
      </c>
      <c r="Y36" s="34" t="n">
        <v>22.1978346147185</v>
      </c>
      <c r="Z36" s="34" t="n">
        <v>1.512</v>
      </c>
      <c r="AA36" s="34" t="n">
        <v>1.47751038639965</v>
      </c>
      <c r="AB36" s="34" t="n">
        <v>19.13</v>
      </c>
      <c r="AC36" s="34" t="n">
        <v>18.6936333940644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34.629</v>
      </c>
      <c r="H37" s="123" t="n">
        <v>1000</v>
      </c>
      <c r="I37" s="192" t="n">
        <v>1000</v>
      </c>
      <c r="J37" s="134"/>
      <c r="K37" s="135"/>
      <c r="L37" s="135"/>
      <c r="M37" s="135"/>
      <c r="N37" s="136"/>
      <c r="O37" s="135"/>
      <c r="P37" s="134" t="n">
        <v>3.499</v>
      </c>
      <c r="Q37" s="134"/>
      <c r="R37" s="134"/>
      <c r="S37" s="186" t="n">
        <v>152.1</v>
      </c>
      <c r="T37" s="34" t="n">
        <v>0</v>
      </c>
      <c r="U37" s="34" t="n">
        <v>0</v>
      </c>
      <c r="V37" s="134"/>
      <c r="W37" s="134"/>
      <c r="X37" s="34" t="n">
        <v>33.26</v>
      </c>
      <c r="Y37" s="34" t="n">
        <v>32.5013197431563</v>
      </c>
      <c r="Z37" s="34" t="n">
        <v>2.227</v>
      </c>
      <c r="AA37" s="34" t="n">
        <v>2.1762008138307</v>
      </c>
      <c r="AB37" s="34" t="n">
        <v>30.7</v>
      </c>
      <c r="AC37" s="34" t="n">
        <v>29.9997148561305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34.6046</v>
      </c>
      <c r="H38" s="124" t="n">
        <v>500</v>
      </c>
      <c r="I38" s="192" t="n">
        <v>500</v>
      </c>
      <c r="J38" s="134"/>
      <c r="K38" s="135"/>
      <c r="L38" s="135"/>
      <c r="M38" s="135"/>
      <c r="N38" s="136"/>
      <c r="O38" s="135"/>
      <c r="P38" s="134" t="n">
        <v>2.918</v>
      </c>
      <c r="Q38" s="134"/>
      <c r="R38" s="134"/>
      <c r="S38" s="186" t="n">
        <v>126.9</v>
      </c>
      <c r="T38" s="34" t="n">
        <v>0.007</v>
      </c>
      <c r="U38" s="34" t="n">
        <v>0.00684032586296134</v>
      </c>
      <c r="V38" s="134"/>
      <c r="W38" s="134"/>
      <c r="X38" s="34" t="n">
        <v>33.053</v>
      </c>
      <c r="Y38" s="34" t="n">
        <v>32.2990415354945</v>
      </c>
      <c r="Z38" s="34" t="n">
        <v>2.122</v>
      </c>
      <c r="AA38" s="34" t="n">
        <v>2.07359592588628</v>
      </c>
      <c r="AB38" s="34" t="n">
        <v>20.05</v>
      </c>
      <c r="AC38" s="34" t="n">
        <v>19.5926476503393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35.7162</v>
      </c>
      <c r="H39" s="124" t="n">
        <v>100</v>
      </c>
      <c r="I39" s="192" t="n">
        <v>100</v>
      </c>
      <c r="J39" s="134"/>
      <c r="K39" s="135"/>
      <c r="L39" s="135"/>
      <c r="M39" s="135"/>
      <c r="N39" s="136"/>
      <c r="O39" s="135"/>
      <c r="P39" s="134" t="n">
        <v>3.477</v>
      </c>
      <c r="Q39" s="134"/>
      <c r="R39" s="134"/>
      <c r="S39" s="186" t="n">
        <v>151.3</v>
      </c>
      <c r="T39" s="34" t="n">
        <v>0.026</v>
      </c>
      <c r="U39" s="34" t="n">
        <v>0.0254069246338564</v>
      </c>
      <c r="V39" s="134"/>
      <c r="W39" s="134"/>
      <c r="X39" s="34" t="n">
        <v>12.804</v>
      </c>
      <c r="Y39" s="34" t="n">
        <v>12.5119331927653</v>
      </c>
      <c r="Z39" s="34" t="n">
        <v>0.95</v>
      </c>
      <c r="AA39" s="34" t="n">
        <v>0.928329938544754</v>
      </c>
      <c r="AB39" s="34" t="n">
        <v>4.91</v>
      </c>
      <c r="AC39" s="34" t="n">
        <v>4.79799999816288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35.8177</v>
      </c>
      <c r="H40" s="124" t="n">
        <v>80</v>
      </c>
      <c r="I40" s="192" t="n">
        <v>79</v>
      </c>
      <c r="J40" s="134"/>
      <c r="K40" s="135"/>
      <c r="L40" s="135"/>
      <c r="M40" s="135"/>
      <c r="N40" s="136"/>
      <c r="O40" s="135"/>
      <c r="P40" s="134" t="n">
        <v>3.628</v>
      </c>
      <c r="Q40" s="134"/>
      <c r="R40" s="134"/>
      <c r="S40" s="186" t="n">
        <v>157.9</v>
      </c>
      <c r="T40" s="34" t="n">
        <v>0.037</v>
      </c>
      <c r="U40" s="34" t="n">
        <v>0.0361560081327957</v>
      </c>
      <c r="V40" s="134"/>
      <c r="W40" s="134"/>
      <c r="X40" s="34" t="n">
        <v>11.163</v>
      </c>
      <c r="Y40" s="34" t="n">
        <v>10.9083653726053</v>
      </c>
      <c r="Z40" s="34" t="n">
        <v>0.852</v>
      </c>
      <c r="AA40" s="34" t="n">
        <v>0.832565376463295</v>
      </c>
      <c r="AB40" s="34" t="n">
        <v>4.3</v>
      </c>
      <c r="AC40" s="34" t="n">
        <v>4.20191445867625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35.9784</v>
      </c>
      <c r="H41" s="124" t="n">
        <v>60</v>
      </c>
      <c r="I41" s="192" t="n">
        <v>60</v>
      </c>
      <c r="J41" s="134"/>
      <c r="K41" s="135"/>
      <c r="L41" s="135"/>
      <c r="M41" s="135"/>
      <c r="N41" s="136"/>
      <c r="O41" s="135"/>
      <c r="P41" s="134" t="n">
        <v>3.67</v>
      </c>
      <c r="Q41" s="134"/>
      <c r="R41" s="134"/>
      <c r="S41" s="186" t="n">
        <v>159.7</v>
      </c>
      <c r="T41" s="34" t="n">
        <v>0.054</v>
      </c>
      <c r="U41" s="34" t="n">
        <v>0.0527682280857018</v>
      </c>
      <c r="V41" s="134"/>
      <c r="W41" s="134"/>
      <c r="X41" s="34" t="n">
        <v>9.136</v>
      </c>
      <c r="Y41" s="34" t="n">
        <v>8.92760244057354</v>
      </c>
      <c r="Z41" s="34" t="n">
        <v>0.718</v>
      </c>
      <c r="AA41" s="34" t="n">
        <v>0.701621995658035</v>
      </c>
      <c r="AB41" s="34" t="n">
        <v>3.59</v>
      </c>
      <c r="AC41" s="34" t="n">
        <v>3.50810997829017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35.8723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34" t="n">
        <v>3.795</v>
      </c>
      <c r="Q42" s="134"/>
      <c r="R42" s="134"/>
      <c r="S42" s="186" t="n">
        <v>165.3</v>
      </c>
      <c r="T42" s="34" t="n">
        <v>0.167</v>
      </c>
      <c r="U42" s="34" t="n">
        <v>0.163190631302078</v>
      </c>
      <c r="V42" s="134"/>
      <c r="W42" s="134"/>
      <c r="X42" s="34" t="n">
        <v>5.463</v>
      </c>
      <c r="Y42" s="34" t="n">
        <v>5.33838574133683</v>
      </c>
      <c r="Z42" s="34" t="n">
        <v>0.503</v>
      </c>
      <c r="AA42" s="34" t="n">
        <v>0.491526272724222</v>
      </c>
      <c r="AB42" s="34" t="n">
        <v>2.51</v>
      </c>
      <c r="AC42" s="34" t="n">
        <v>2.45274541657614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35.6981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4.553</v>
      </c>
      <c r="Q43" s="134"/>
      <c r="R43" s="134"/>
      <c r="S43" s="186" t="n">
        <v>198.5</v>
      </c>
      <c r="T43" s="34" t="n">
        <v>0.069</v>
      </c>
      <c r="U43" s="34" t="n">
        <v>0.067426069220619</v>
      </c>
      <c r="V43" s="134"/>
      <c r="W43" s="134"/>
      <c r="X43" s="34" t="n">
        <v>1.341</v>
      </c>
      <c r="Y43" s="34" t="n">
        <v>1.31041099746159</v>
      </c>
      <c r="Z43" s="34" t="n">
        <v>0.223</v>
      </c>
      <c r="AA43" s="34" t="n">
        <v>0.217913238205768</v>
      </c>
      <c r="AB43" s="34" t="n">
        <v>1.15</v>
      </c>
      <c r="AC43" s="34" t="n">
        <v>1.12376782034365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35.711</v>
      </c>
      <c r="H44" s="124" t="n">
        <v>10</v>
      </c>
      <c r="I44" s="192" t="n">
        <v>8</v>
      </c>
      <c r="J44" s="134"/>
      <c r="K44" s="135"/>
      <c r="L44" s="135"/>
      <c r="M44" s="135"/>
      <c r="N44" s="136"/>
      <c r="O44" s="135"/>
      <c r="P44" s="134" t="n">
        <v>4.649</v>
      </c>
      <c r="Q44" s="134"/>
      <c r="R44" s="134"/>
      <c r="S44" s="186" t="n">
        <v>202.7</v>
      </c>
      <c r="T44" s="34" t="n">
        <v>0.07</v>
      </c>
      <c r="U44" s="34" t="n">
        <v>0.0684032586296134</v>
      </c>
      <c r="V44" s="134"/>
      <c r="W44" s="134"/>
      <c r="X44" s="34" t="n">
        <v>1.07</v>
      </c>
      <c r="Y44" s="34" t="n">
        <v>1.04559266762409</v>
      </c>
      <c r="Z44" s="34" t="n">
        <v>0.207</v>
      </c>
      <c r="AA44" s="34" t="n">
        <v>0.202278207661857</v>
      </c>
      <c r="AB44" s="34" t="n">
        <v>1.07</v>
      </c>
      <c r="AC44" s="34" t="n">
        <v>1.04559266762409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35.715</v>
      </c>
      <c r="H45" s="124" t="n">
        <v>0</v>
      </c>
      <c r="I45" s="193" t="n">
        <v>1.37</v>
      </c>
      <c r="J45" s="134"/>
      <c r="K45" s="135"/>
      <c r="L45" s="135"/>
      <c r="M45" s="135"/>
      <c r="N45" s="136"/>
      <c r="O45" s="135"/>
      <c r="P45" s="134" t="n">
        <v>4.64</v>
      </c>
      <c r="Q45" s="134"/>
      <c r="R45" s="134"/>
      <c r="S45" s="186" t="n">
        <v>202.3</v>
      </c>
      <c r="T45" s="34" t="n">
        <v>0.055</v>
      </c>
      <c r="U45" s="34" t="n">
        <v>0.0537454174946963</v>
      </c>
      <c r="V45" s="134"/>
      <c r="W45" s="134"/>
      <c r="X45" s="34" t="n">
        <v>1.005</v>
      </c>
      <c r="Y45" s="34" t="n">
        <v>0.98207535603945</v>
      </c>
      <c r="Z45" s="34" t="n">
        <v>0.206</v>
      </c>
      <c r="AA45" s="34" t="n">
        <v>0.201301018252862</v>
      </c>
      <c r="AB45" s="34" t="n">
        <v>0.97</v>
      </c>
      <c r="AC45" s="34" t="n">
        <v>0.947873726724643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48" activeCellId="0" sqref="R48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30.07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0°30,07</v>
      </c>
      <c r="P9" s="31" t="s">
        <v>13</v>
      </c>
      <c r="Q9" s="35" t="n">
        <f aca="false">IF(ISBLANK(I9),"",IF(ISBLANK(J9),"",IF(J9&gt;60,"ERREUR !!",O11*(I9+(J9/60)))))</f>
        <v>0.501166666666667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59.92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-9°59,92</v>
      </c>
      <c r="P10" s="31" t="s">
        <v>17</v>
      </c>
      <c r="Q10" s="35" t="n">
        <f aca="false">IF(ISBLANK(I10),"",IF(ISBLANK(J10),"",IF(J10&gt;60,"ERREUR !!",O12*(I10+(J10/60)))))</f>
        <v>-9.99866666666667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37802</v>
      </c>
      <c r="K11" s="40"/>
      <c r="L11" s="40"/>
      <c r="M11" s="40"/>
      <c r="N11" s="41" t="str">
        <f aca="false">I9&amp;"°"&amp;J9</f>
        <v>0°30,07</v>
      </c>
      <c r="O11" s="42" t="n">
        <f aca="false">IF(P9=M10,-1,1)</f>
        <v>1</v>
      </c>
      <c r="P11" s="43" t="str">
        <f aca="false">TEXT(J11,"aaaa-mm-jj")&amp;"T"&amp;TEXT(J12,"hh:mm:ss")&amp;"z"</f>
        <v>2007-07-01T01:00:00z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0.0416666666666667</v>
      </c>
      <c r="K12" s="48"/>
      <c r="L12" s="48"/>
      <c r="M12" s="48"/>
      <c r="N12" s="49" t="str">
        <f aca="false">I10&amp;"°"&amp;J10</f>
        <v>9°59,92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34.6456</v>
      </c>
      <c r="H35" s="123" t="n">
        <v>1000</v>
      </c>
      <c r="I35" s="192" t="n">
        <v>1000</v>
      </c>
      <c r="J35" s="125"/>
      <c r="K35" s="126"/>
      <c r="L35" s="126"/>
      <c r="M35" s="126"/>
      <c r="N35" s="127"/>
      <c r="O35" s="126"/>
      <c r="P35" s="125" t="n">
        <v>3.796</v>
      </c>
      <c r="Q35" s="125"/>
      <c r="R35" s="125"/>
      <c r="S35" s="184" t="n">
        <v>165</v>
      </c>
      <c r="T35" s="34" t="n">
        <v>0.004</v>
      </c>
      <c r="U35" s="34" t="n">
        <v>0.00390875763597791</v>
      </c>
      <c r="V35" s="125"/>
      <c r="W35" s="125"/>
      <c r="X35" s="34" t="n">
        <v>33.246</v>
      </c>
      <c r="Y35" s="34" t="n">
        <v>32.4876390914304</v>
      </c>
      <c r="Z35" s="34" t="n">
        <v>2.244</v>
      </c>
      <c r="AA35" s="34" t="n">
        <v>2.19281303378361</v>
      </c>
      <c r="AB35" s="34" t="n">
        <v>30.89</v>
      </c>
      <c r="AC35" s="34" t="n">
        <v>30.1853808438394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22" t="n">
        <v>34.6437</v>
      </c>
      <c r="H36" s="123" t="n">
        <v>1000</v>
      </c>
      <c r="I36" s="192" t="n">
        <v>1000</v>
      </c>
      <c r="J36" s="134"/>
      <c r="K36" s="135"/>
      <c r="L36" s="135"/>
      <c r="M36" s="135"/>
      <c r="N36" s="136"/>
      <c r="O36" s="135"/>
      <c r="P36" s="134" t="n">
        <v>3.501</v>
      </c>
      <c r="Q36" s="134"/>
      <c r="R36" s="134"/>
      <c r="S36" s="186" t="n">
        <v>152.2</v>
      </c>
      <c r="T36" s="34" t="n">
        <v>0.009</v>
      </c>
      <c r="U36" s="34" t="n">
        <v>0.0087947046809503</v>
      </c>
      <c r="V36" s="134"/>
      <c r="W36" s="134"/>
      <c r="X36" s="34" t="n">
        <v>33.291</v>
      </c>
      <c r="Y36" s="34" t="n">
        <v>32.5316126148351</v>
      </c>
      <c r="Z36" s="34" t="n">
        <v>2.233</v>
      </c>
      <c r="AA36" s="34" t="n">
        <v>2.18206395028467</v>
      </c>
      <c r="AB36" s="34" t="n">
        <v>30.09</v>
      </c>
      <c r="AC36" s="34" t="n">
        <v>29.4036293166438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34.5616</v>
      </c>
      <c r="H37" s="123" t="n">
        <v>600</v>
      </c>
      <c r="I37" s="192" t="n">
        <v>598</v>
      </c>
      <c r="J37" s="134"/>
      <c r="K37" s="135"/>
      <c r="L37" s="135"/>
      <c r="M37" s="135"/>
      <c r="N37" s="136"/>
      <c r="O37" s="135"/>
      <c r="P37" s="134" t="n">
        <v>5.159</v>
      </c>
      <c r="Q37" s="134"/>
      <c r="R37" s="134"/>
      <c r="S37" s="186" t="n">
        <v>224.3</v>
      </c>
      <c r="T37" s="34" t="n">
        <v>0.009</v>
      </c>
      <c r="U37" s="34" t="n">
        <v>0.0087947046809503</v>
      </c>
      <c r="V37" s="134"/>
      <c r="W37" s="134"/>
      <c r="X37" s="34" t="n">
        <v>34.301</v>
      </c>
      <c r="Y37" s="34" t="n">
        <v>33.5185739179196</v>
      </c>
      <c r="Z37" s="34" t="n">
        <v>2.229</v>
      </c>
      <c r="AA37" s="34" t="n">
        <v>2.17815519264869</v>
      </c>
      <c r="AB37" s="34" t="n">
        <v>23.07</v>
      </c>
      <c r="AC37" s="34" t="n">
        <v>22.5437596655026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34.9716</v>
      </c>
      <c r="H38" s="124" t="n">
        <v>300</v>
      </c>
      <c r="I38" s="192" t="n">
        <v>299</v>
      </c>
      <c r="J38" s="134"/>
      <c r="K38" s="135"/>
      <c r="L38" s="135"/>
      <c r="M38" s="135"/>
      <c r="N38" s="136"/>
      <c r="O38" s="135"/>
      <c r="P38" s="134" t="n">
        <v>3.189</v>
      </c>
      <c r="Q38" s="134"/>
      <c r="R38" s="134"/>
      <c r="S38" s="186" t="n">
        <v>138.7</v>
      </c>
      <c r="T38" s="34" t="n">
        <v>0.006</v>
      </c>
      <c r="U38" s="34" t="n">
        <v>0.00586313645396686</v>
      </c>
      <c r="V38" s="134"/>
      <c r="W38" s="134"/>
      <c r="X38" s="34" t="n">
        <v>31.904</v>
      </c>
      <c r="Y38" s="34" t="n">
        <v>31.1762509045598</v>
      </c>
      <c r="Z38" s="34" t="n">
        <v>1.969</v>
      </c>
      <c r="AA38" s="34" t="n">
        <v>1.92408594631013</v>
      </c>
      <c r="AB38" s="34" t="n">
        <v>13.37</v>
      </c>
      <c r="AC38" s="34" t="n">
        <v>13.0650223982562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35.6893</v>
      </c>
      <c r="H39" s="124" t="n">
        <v>100</v>
      </c>
      <c r="I39" s="192" t="n">
        <v>97</v>
      </c>
      <c r="J39" s="134"/>
      <c r="K39" s="135"/>
      <c r="L39" s="135"/>
      <c r="M39" s="135"/>
      <c r="N39" s="136"/>
      <c r="O39" s="135"/>
      <c r="P39" s="134" t="n">
        <v>3.938</v>
      </c>
      <c r="Q39" s="134"/>
      <c r="R39" s="134"/>
      <c r="S39" s="186" t="n">
        <v>171.4</v>
      </c>
      <c r="T39" s="34" t="n">
        <v>0.028</v>
      </c>
      <c r="U39" s="34" t="n">
        <v>0.0273613034518454</v>
      </c>
      <c r="V39" s="134"/>
      <c r="W39" s="134"/>
      <c r="X39" s="34" t="n">
        <v>15.312</v>
      </c>
      <c r="Y39" s="34" t="n">
        <v>14.9627242305234</v>
      </c>
      <c r="Z39" s="34" t="n">
        <v>1.086</v>
      </c>
      <c r="AA39" s="34" t="n">
        <v>1.061227698168</v>
      </c>
      <c r="AB39" s="34" t="n">
        <v>5.59</v>
      </c>
      <c r="AC39" s="34" t="n">
        <v>5.46248879627913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/>
      <c r="H40" s="124" t="n">
        <v>80</v>
      </c>
      <c r="I40" s="192"/>
      <c r="J40" s="134"/>
      <c r="K40" s="135"/>
      <c r="L40" s="135"/>
      <c r="M40" s="135"/>
      <c r="N40" s="136"/>
      <c r="O40" s="135"/>
      <c r="P40" s="134"/>
      <c r="Q40" s="134"/>
      <c r="R40" s="134"/>
      <c r="S40" s="186"/>
      <c r="T40" s="34" t="n">
        <v>0.042</v>
      </c>
      <c r="U40" s="34" t="n">
        <v>0.0410419551777681</v>
      </c>
      <c r="V40" s="134"/>
      <c r="W40" s="134"/>
      <c r="X40" s="34" t="n">
        <v>15.728</v>
      </c>
      <c r="Y40" s="34" t="n">
        <v>15.3692350246651</v>
      </c>
      <c r="Z40" s="34" t="n">
        <v>1.1</v>
      </c>
      <c r="AA40" s="34" t="n">
        <v>1.07490834989393</v>
      </c>
      <c r="AB40" s="34" t="n">
        <v>5.46</v>
      </c>
      <c r="AC40" s="34" t="n">
        <v>5.33545417310985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35.7875</v>
      </c>
      <c r="H41" s="124" t="n">
        <v>60</v>
      </c>
      <c r="I41" s="192" t="n">
        <v>59</v>
      </c>
      <c r="J41" s="134"/>
      <c r="K41" s="135"/>
      <c r="L41" s="135"/>
      <c r="M41" s="135"/>
      <c r="N41" s="136"/>
      <c r="O41" s="135"/>
      <c r="P41" s="134" t="n">
        <v>3.27</v>
      </c>
      <c r="Q41" s="134"/>
      <c r="R41" s="134"/>
      <c r="S41" s="186" t="n">
        <v>142.4</v>
      </c>
      <c r="T41" s="34" t="n">
        <v>0.438</v>
      </c>
      <c r="U41" s="34" t="n">
        <v>0.428008961139581</v>
      </c>
      <c r="V41" s="134"/>
      <c r="W41" s="134"/>
      <c r="X41" s="34" t="n">
        <v>9.262</v>
      </c>
      <c r="Y41" s="34" t="n">
        <v>9.05072830610685</v>
      </c>
      <c r="Z41" s="34" t="n">
        <v>0.765</v>
      </c>
      <c r="AA41" s="34" t="n">
        <v>0.747549897880775</v>
      </c>
      <c r="AB41" s="34" t="n">
        <v>3.48</v>
      </c>
      <c r="AC41" s="34" t="n">
        <v>3.40061914330078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35.8162</v>
      </c>
      <c r="H42" s="124" t="n">
        <v>40</v>
      </c>
      <c r="I42" s="192" t="n">
        <v>40</v>
      </c>
      <c r="J42" s="134"/>
      <c r="K42" s="135"/>
      <c r="L42" s="135"/>
      <c r="M42" s="135"/>
      <c r="N42" s="136"/>
      <c r="O42" s="135"/>
      <c r="P42" s="134" t="n">
        <v>4.76</v>
      </c>
      <c r="Q42" s="134"/>
      <c r="R42" s="134"/>
      <c r="S42" s="186" t="n">
        <v>207.4</v>
      </c>
      <c r="T42" s="34" t="n">
        <v>0.024</v>
      </c>
      <c r="U42" s="34" t="n">
        <v>0.0234525458158675</v>
      </c>
      <c r="V42" s="134"/>
      <c r="W42" s="134"/>
      <c r="X42" s="34" t="n">
        <v>0.396</v>
      </c>
      <c r="Y42" s="34" t="n">
        <v>0.386967005961813</v>
      </c>
      <c r="Z42" s="34" t="n">
        <v>0.183</v>
      </c>
      <c r="AA42" s="34" t="n">
        <v>0.178825661845989</v>
      </c>
      <c r="AB42" s="34" t="n">
        <v>1.49</v>
      </c>
      <c r="AC42" s="34" t="n">
        <v>1.45601221940177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35.3355</v>
      </c>
      <c r="H43" s="124" t="n">
        <v>20</v>
      </c>
      <c r="I43" s="192" t="n">
        <v>20</v>
      </c>
      <c r="J43" s="134"/>
      <c r="K43" s="135"/>
      <c r="L43" s="135"/>
      <c r="M43" s="135"/>
      <c r="N43" s="136"/>
      <c r="O43" s="135"/>
      <c r="P43" s="134" t="n">
        <v>4.67</v>
      </c>
      <c r="Q43" s="134"/>
      <c r="R43" s="134"/>
      <c r="S43" s="186" t="n">
        <v>203.7</v>
      </c>
      <c r="T43" s="34" t="n">
        <v>0.022</v>
      </c>
      <c r="U43" s="34" t="n">
        <v>0.0214981669978785</v>
      </c>
      <c r="V43" s="134"/>
      <c r="W43" s="134"/>
      <c r="X43" s="34" t="n">
        <v>0.038</v>
      </c>
      <c r="Y43" s="34" t="n">
        <v>0.0371331975417901</v>
      </c>
      <c r="Z43" s="34" t="n">
        <v>0.095</v>
      </c>
      <c r="AA43" s="34" t="n">
        <v>0.0928329938544754</v>
      </c>
      <c r="AB43" s="34" t="n">
        <v>0.69</v>
      </c>
      <c r="AC43" s="34" t="n">
        <v>0.67426069220619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35.315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34" t="n">
        <v>4.701</v>
      </c>
      <c r="Q44" s="134"/>
      <c r="R44" s="134"/>
      <c r="S44" s="186" t="n">
        <v>205.1</v>
      </c>
      <c r="T44" s="34" t="n">
        <v>0.018</v>
      </c>
      <c r="U44" s="34" t="n">
        <v>0.0175894093619006</v>
      </c>
      <c r="V44" s="134"/>
      <c r="W44" s="134"/>
      <c r="X44" s="34" t="n">
        <v>0.032</v>
      </c>
      <c r="Y44" s="34" t="n">
        <v>0.0312700610878233</v>
      </c>
      <c r="Z44" s="34" t="n">
        <v>0.096</v>
      </c>
      <c r="AA44" s="34" t="n">
        <v>0.0938101832634698</v>
      </c>
      <c r="AB44" s="34" t="n">
        <v>0.61</v>
      </c>
      <c r="AC44" s="34" t="n">
        <v>0.596085539486631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35.317</v>
      </c>
      <c r="H45" s="124" t="n">
        <v>0</v>
      </c>
      <c r="I45" s="193" t="n">
        <v>2</v>
      </c>
      <c r="J45" s="134"/>
      <c r="K45" s="135"/>
      <c r="L45" s="135"/>
      <c r="M45" s="135"/>
      <c r="N45" s="136"/>
      <c r="O45" s="135"/>
      <c r="P45" s="134" t="n">
        <v>4.83</v>
      </c>
      <c r="Q45" s="134"/>
      <c r="R45" s="134"/>
      <c r="S45" s="186" t="n">
        <v>210.7</v>
      </c>
      <c r="T45" s="34" t="n">
        <v>0.017</v>
      </c>
      <c r="U45" s="34" t="n">
        <v>0.0166122199529061</v>
      </c>
      <c r="V45" s="134"/>
      <c r="W45" s="134"/>
      <c r="X45" s="34" t="n">
        <v>0.013</v>
      </c>
      <c r="Y45" s="34" t="n">
        <v>0.0127034623169282</v>
      </c>
      <c r="Z45" s="34" t="n">
        <v>0.087</v>
      </c>
      <c r="AA45" s="34" t="n">
        <v>0.0850154785825195</v>
      </c>
      <c r="AB45" s="34" t="n">
        <v>0.65</v>
      </c>
      <c r="AC45" s="34" t="n">
        <v>0.63517311584641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0.12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1°0,12</v>
      </c>
      <c r="P9" s="31" t="s">
        <v>13</v>
      </c>
      <c r="Q9" s="35" t="n">
        <f aca="false">IF(ISBLANK(I9),"",IF(ISBLANK(J9),"",IF(J9&gt;60,"ERREUR !!",O11*(I9+(J9/60)))))</f>
        <v>1.002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0.55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-10°0,55</v>
      </c>
      <c r="P10" s="31" t="s">
        <v>17</v>
      </c>
      <c r="Q10" s="35" t="n">
        <f aca="false">IF(ISBLANK(I10),"",IF(ISBLANK(J10),"",IF(J10&gt;60,"ERREUR !!",O12*(I10+(J10/60)))))</f>
        <v>-10.0091666666667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37802</v>
      </c>
      <c r="K11" s="40"/>
      <c r="L11" s="40"/>
      <c r="M11" s="40"/>
      <c r="N11" s="41" t="str">
        <f aca="false">I9&amp;"°"&amp;J9</f>
        <v>1°0,12</v>
      </c>
      <c r="O11" s="42" t="n">
        <f aca="false">IF(P9=M10,-1,1)</f>
        <v>1</v>
      </c>
      <c r="P11" s="43" t="str">
        <f aca="false">TEXT(J11,"aaaa-mm-jj")&amp;"T"&amp;TEXT(J12,"hh:mm:ss")&amp;"z"</f>
        <v>2007-07-01T05:30:00z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0.229166666666667</v>
      </c>
      <c r="K12" s="48"/>
      <c r="L12" s="48"/>
      <c r="M12" s="48"/>
      <c r="N12" s="49" t="str">
        <f aca="false">I10&amp;"°"&amp;J10</f>
        <v>10°0,55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J13" s="0" t="s">
        <v>99</v>
      </c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34.6408</v>
      </c>
      <c r="H35" s="123" t="n">
        <v>1000</v>
      </c>
      <c r="I35" s="192" t="n">
        <v>1001</v>
      </c>
      <c r="J35" s="125"/>
      <c r="K35" s="126"/>
      <c r="L35" s="126"/>
      <c r="M35" s="126"/>
      <c r="N35" s="127"/>
      <c r="O35" s="126"/>
      <c r="P35" s="125" t="n">
        <v>3.44</v>
      </c>
      <c r="Q35" s="125"/>
      <c r="R35" s="125"/>
      <c r="S35" s="184" t="n">
        <v>149.5</v>
      </c>
      <c r="T35" s="34" t="n">
        <v>0.003</v>
      </c>
      <c r="U35" s="34" t="n">
        <v>0.00293156822698343</v>
      </c>
      <c r="V35" s="125"/>
      <c r="W35" s="125"/>
      <c r="X35" s="34" t="n">
        <v>33.287</v>
      </c>
      <c r="Y35" s="34" t="n">
        <v>32.5277038571992</v>
      </c>
      <c r="Z35" s="34" t="n">
        <v>2.172</v>
      </c>
      <c r="AA35" s="34" t="n">
        <v>2.122455396336</v>
      </c>
      <c r="AB35" s="34" t="n">
        <v>29.85</v>
      </c>
      <c r="AC35" s="34" t="n">
        <v>29.1691038584851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22" t="n">
        <v>34.5565</v>
      </c>
      <c r="H36" s="123" t="n">
        <v>600</v>
      </c>
      <c r="I36" s="192" t="n">
        <v>599</v>
      </c>
      <c r="J36" s="134"/>
      <c r="K36" s="135"/>
      <c r="L36" s="135"/>
      <c r="M36" s="135"/>
      <c r="N36" s="136"/>
      <c r="O36" s="135"/>
      <c r="P36" s="134" t="n">
        <v>2.926</v>
      </c>
      <c r="Q36" s="134"/>
      <c r="R36" s="134"/>
      <c r="S36" s="186" t="n">
        <v>127.2</v>
      </c>
      <c r="T36" s="34" t="n">
        <v>0.002</v>
      </c>
      <c r="U36" s="34" t="n">
        <v>0.00195437881798896</v>
      </c>
      <c r="V36" s="134"/>
      <c r="W36" s="134"/>
      <c r="X36" s="34" t="n">
        <v>34.398</v>
      </c>
      <c r="Y36" s="34" t="n">
        <v>33.613361290592</v>
      </c>
      <c r="Z36" s="34" t="n">
        <v>2.224</v>
      </c>
      <c r="AA36" s="34" t="n">
        <v>2.17326924560372</v>
      </c>
      <c r="AB36" s="34" t="n">
        <v>23.28</v>
      </c>
      <c r="AC36" s="34" t="n">
        <v>22.7489694413914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82" t="n">
        <v>34.5585</v>
      </c>
      <c r="H37" s="123" t="n">
        <v>600</v>
      </c>
      <c r="I37" s="192" t="n">
        <v>599</v>
      </c>
      <c r="J37" s="134"/>
      <c r="K37" s="135"/>
      <c r="L37" s="135"/>
      <c r="M37" s="135"/>
      <c r="N37" s="136"/>
      <c r="O37" s="135"/>
      <c r="P37" s="134" t="n">
        <v>2.983</v>
      </c>
      <c r="Q37" s="134"/>
      <c r="R37" s="134"/>
      <c r="S37" s="186" t="n">
        <v>129.7</v>
      </c>
      <c r="T37" s="34" t="n">
        <v>0.009</v>
      </c>
      <c r="U37" s="34" t="n">
        <v>0.0087947046809503</v>
      </c>
      <c r="V37" s="134"/>
      <c r="W37" s="134"/>
      <c r="X37" s="34" t="n">
        <v>34.361</v>
      </c>
      <c r="Y37" s="34" t="n">
        <v>33.5772052824592</v>
      </c>
      <c r="Z37" s="34" t="n">
        <v>2.214</v>
      </c>
      <c r="AA37" s="34" t="n">
        <v>2.16349735151377</v>
      </c>
      <c r="AB37" s="34" t="n">
        <v>22.72</v>
      </c>
      <c r="AC37" s="34" t="n">
        <v>22.2017433723545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34.9746</v>
      </c>
      <c r="H38" s="124" t="n">
        <v>300</v>
      </c>
      <c r="I38" s="192" t="n">
        <v>299</v>
      </c>
      <c r="J38" s="134"/>
      <c r="K38" s="135"/>
      <c r="L38" s="135"/>
      <c r="M38" s="135"/>
      <c r="N38" s="136"/>
      <c r="O38" s="135"/>
      <c r="P38" s="134" t="n">
        <v>1.67</v>
      </c>
      <c r="Q38" s="134"/>
      <c r="R38" s="134"/>
      <c r="S38" s="186" t="n">
        <v>72.6</v>
      </c>
      <c r="T38" s="34" t="n">
        <v>0</v>
      </c>
      <c r="U38" s="34" t="n">
        <v>0</v>
      </c>
      <c r="V38" s="134"/>
      <c r="W38" s="134"/>
      <c r="X38" s="34" t="n">
        <v>31.75</v>
      </c>
      <c r="Y38" s="34" t="n">
        <v>31.0257637355747</v>
      </c>
      <c r="Z38" s="34" t="n">
        <v>1.957</v>
      </c>
      <c r="AA38" s="34" t="n">
        <v>1.91235967340219</v>
      </c>
      <c r="AB38" s="34" t="n">
        <v>13.67</v>
      </c>
      <c r="AC38" s="34" t="n">
        <v>13.3581792209545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35.6218</v>
      </c>
      <c r="H39" s="124" t="n">
        <v>100</v>
      </c>
      <c r="I39" s="192" t="n">
        <v>100</v>
      </c>
      <c r="J39" s="134"/>
      <c r="K39" s="135"/>
      <c r="L39" s="135"/>
      <c r="M39" s="135"/>
      <c r="N39" s="136"/>
      <c r="O39" s="135"/>
      <c r="P39" s="134" t="n">
        <v>2.93</v>
      </c>
      <c r="Q39" s="134"/>
      <c r="R39" s="134"/>
      <c r="S39" s="186" t="n">
        <v>127.5</v>
      </c>
      <c r="T39" s="34" t="n">
        <v>0.029</v>
      </c>
      <c r="U39" s="34" t="n">
        <v>0.0283384928608398</v>
      </c>
      <c r="V39" s="134"/>
      <c r="W39" s="134"/>
      <c r="X39" s="34" t="n">
        <v>16.341</v>
      </c>
      <c r="Y39" s="34" t="n">
        <v>15.9682521323788</v>
      </c>
      <c r="Z39" s="34" t="n">
        <v>1.135</v>
      </c>
      <c r="AA39" s="34" t="n">
        <v>1.10910997920873</v>
      </c>
      <c r="AB39" s="34" t="n">
        <v>5.98</v>
      </c>
      <c r="AC39" s="34" t="n">
        <v>5.84359266578698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35.6916</v>
      </c>
      <c r="H40" s="124" t="n">
        <v>80</v>
      </c>
      <c r="I40" s="192" t="n">
        <v>80</v>
      </c>
      <c r="J40" s="134"/>
      <c r="K40" s="135"/>
      <c r="L40" s="135"/>
      <c r="M40" s="135"/>
      <c r="N40" s="136"/>
      <c r="O40" s="135"/>
      <c r="P40" s="134" t="n">
        <v>3.006</v>
      </c>
      <c r="Q40" s="134"/>
      <c r="R40" s="134"/>
      <c r="S40" s="186" t="n">
        <v>130.8</v>
      </c>
      <c r="T40" s="34" t="n">
        <v>0.108</v>
      </c>
      <c r="U40" s="34" t="n">
        <v>0.105536456171404</v>
      </c>
      <c r="V40" s="134"/>
      <c r="W40" s="134"/>
      <c r="X40" s="34" t="n">
        <v>15.312</v>
      </c>
      <c r="Y40" s="34" t="n">
        <v>14.9627242305234</v>
      </c>
      <c r="Z40" s="34" t="n">
        <v>1.061</v>
      </c>
      <c r="AA40" s="34" t="n">
        <v>1.03679796294314</v>
      </c>
      <c r="AB40" s="34" t="n">
        <v>5.59</v>
      </c>
      <c r="AC40" s="34" t="n">
        <v>5.46248879627913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35.8264</v>
      </c>
      <c r="H41" s="124" t="n">
        <v>60</v>
      </c>
      <c r="I41" s="192" t="n">
        <v>59</v>
      </c>
      <c r="J41" s="134"/>
      <c r="K41" s="135"/>
      <c r="L41" s="135"/>
      <c r="M41" s="135"/>
      <c r="N41" s="136"/>
      <c r="O41" s="135"/>
      <c r="P41" s="134" t="n">
        <v>3.006</v>
      </c>
      <c r="Q41" s="134"/>
      <c r="R41" s="134"/>
      <c r="S41" s="186" t="n">
        <v>130.9</v>
      </c>
      <c r="T41" s="34" t="n">
        <v>0.429</v>
      </c>
      <c r="U41" s="34" t="n">
        <v>0.419214256458631</v>
      </c>
      <c r="V41" s="134"/>
      <c r="W41" s="134"/>
      <c r="X41" s="34" t="n">
        <v>12.071</v>
      </c>
      <c r="Y41" s="34" t="n">
        <v>11.7956533559723</v>
      </c>
      <c r="Z41" s="34" t="n">
        <v>0.89</v>
      </c>
      <c r="AA41" s="34" t="n">
        <v>0.869698574005085</v>
      </c>
      <c r="AB41" s="34" t="n">
        <v>4.2</v>
      </c>
      <c r="AC41" s="34" t="n">
        <v>4.10419551777681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35.2092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34" t="n">
        <v>4.491</v>
      </c>
      <c r="Q42" s="134"/>
      <c r="R42" s="134"/>
      <c r="S42" s="186" t="n">
        <v>195.9</v>
      </c>
      <c r="T42" s="34" t="n">
        <v>0.022</v>
      </c>
      <c r="U42" s="34" t="n">
        <v>0.0214981669978785</v>
      </c>
      <c r="V42" s="134"/>
      <c r="W42" s="134"/>
      <c r="X42" s="34" t="n">
        <v>0.468</v>
      </c>
      <c r="Y42" s="34" t="n">
        <v>0.457324643409415</v>
      </c>
      <c r="Z42" s="34" t="n">
        <v>0.071</v>
      </c>
      <c r="AA42" s="34" t="n">
        <v>0.0693804480386079</v>
      </c>
      <c r="AB42" s="34" t="n">
        <v>1.01</v>
      </c>
      <c r="AC42" s="34" t="n">
        <v>0.986961303084422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35.1005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34" t="n">
        <v>4.546</v>
      </c>
      <c r="Q43" s="134"/>
      <c r="R43" s="134"/>
      <c r="S43" s="186" t="n">
        <v>198.4</v>
      </c>
      <c r="T43" s="34" t="n">
        <v>0.011</v>
      </c>
      <c r="U43" s="34" t="n">
        <v>0.0107490834989393</v>
      </c>
      <c r="V43" s="134"/>
      <c r="W43" s="134"/>
      <c r="X43" s="34" t="n">
        <v>0.079</v>
      </c>
      <c r="Y43" s="34" t="n">
        <v>0.0771979633105637</v>
      </c>
      <c r="Z43" s="34" t="n">
        <v>0.032</v>
      </c>
      <c r="AA43" s="34" t="n">
        <v>0.0312700610878233</v>
      </c>
      <c r="AB43" s="34" t="n">
        <v>0.82</v>
      </c>
      <c r="AC43" s="34" t="n">
        <v>0.801295315375472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35.0592</v>
      </c>
      <c r="H44" s="124" t="n">
        <v>10</v>
      </c>
      <c r="I44" s="192" t="n">
        <v>9</v>
      </c>
      <c r="J44" s="134"/>
      <c r="K44" s="135"/>
      <c r="L44" s="135"/>
      <c r="M44" s="135"/>
      <c r="N44" s="136"/>
      <c r="O44" s="135"/>
      <c r="P44" s="134" t="n">
        <v>4.564</v>
      </c>
      <c r="Q44" s="134"/>
      <c r="R44" s="134"/>
      <c r="S44" s="186" t="n">
        <v>199.2</v>
      </c>
      <c r="T44" s="34" t="n">
        <v>0.004</v>
      </c>
      <c r="U44" s="34" t="n">
        <v>0.00390875763597791</v>
      </c>
      <c r="V44" s="134"/>
      <c r="W44" s="134"/>
      <c r="X44" s="34" t="n">
        <v>0.096</v>
      </c>
      <c r="Y44" s="34" t="n">
        <v>0.0938101832634698</v>
      </c>
      <c r="Z44" s="34" t="n">
        <v>0.035</v>
      </c>
      <c r="AA44" s="34" t="n">
        <v>0.0342016293148067</v>
      </c>
      <c r="AB44" s="34" t="n">
        <v>0.88</v>
      </c>
      <c r="AC44" s="34" t="n">
        <v>0.85992667991514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35.0561</v>
      </c>
      <c r="H45" s="124" t="n">
        <v>0</v>
      </c>
      <c r="I45" s="193" t="n">
        <v>1.41</v>
      </c>
      <c r="J45" s="134"/>
      <c r="K45" s="135"/>
      <c r="L45" s="135"/>
      <c r="M45" s="135"/>
      <c r="N45" s="136"/>
      <c r="O45" s="135"/>
      <c r="P45" s="134" t="n">
        <v>4.537</v>
      </c>
      <c r="Q45" s="134"/>
      <c r="R45" s="134"/>
      <c r="S45" s="186" t="n">
        <v>198</v>
      </c>
      <c r="T45" s="34" t="n">
        <v>0.005</v>
      </c>
      <c r="U45" s="34" t="n">
        <v>0.00488594704497239</v>
      </c>
      <c r="V45" s="134"/>
      <c r="W45" s="134"/>
      <c r="X45" s="34" t="n">
        <v>0.065</v>
      </c>
      <c r="Y45" s="34" t="n">
        <v>0.063517311584641</v>
      </c>
      <c r="Z45" s="34" t="n">
        <v>0.029</v>
      </c>
      <c r="AA45" s="34" t="n">
        <v>0.0283384928608398</v>
      </c>
      <c r="AB45" s="34" t="n">
        <v>0.95</v>
      </c>
      <c r="AC45" s="34" t="n">
        <v>0.928329938544754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5" activeCellId="0" sqref="V35"/>
    </sheetView>
  </sheetViews>
  <sheetFormatPr defaultRowHeight="15"/>
  <cols>
    <col collapsed="false" hidden="false" max="2" min="1" style="0" width="0.8582995951417"/>
    <col collapsed="false" hidden="false" max="3" min="3" style="0" width="3.64372469635628"/>
    <col collapsed="false" hidden="false" max="9" min="4" style="0" width="10.3886639676113"/>
    <col collapsed="false" hidden="false" max="10" min="10" style="0" width="13.9271255060729"/>
    <col collapsed="false" hidden="true" max="12" min="11" style="0" width="0"/>
    <col collapsed="false" hidden="false" max="13" min="13" style="0" width="0.105263157894737"/>
    <col collapsed="false" hidden="true" max="15" min="14" style="0" width="0"/>
    <col collapsed="false" hidden="false" max="16" min="16" style="0" width="8.35627530364373"/>
    <col collapsed="false" hidden="false" max="29" min="17" style="0" width="10.3886639676113"/>
    <col collapsed="false" hidden="false" max="30" min="30" style="0" width="13.6032388663968"/>
    <col collapsed="false" hidden="false" max="31" min="31" style="0" width="16.7125506072875"/>
    <col collapsed="false" hidden="false" max="32" min="32" style="0" width="9.10526315789474"/>
    <col collapsed="false" hidden="false" max="33" min="33" style="0" width="26.3522267206478"/>
    <col collapsed="false" hidden="false" max="34" min="34" style="0" width="12.748987854251"/>
    <col collapsed="false" hidden="false" max="35" min="35" style="0" width="11.3562753036437"/>
    <col collapsed="false" hidden="false" max="36" min="36" style="0" width="14.4615384615385"/>
    <col collapsed="false" hidden="false" max="37" min="37" style="0" width="12.1052631578947"/>
    <col collapsed="false" hidden="false" max="38" min="38" style="0" width="26.7813765182186"/>
    <col collapsed="false" hidden="false" max="39" min="39" style="0" width="14.5668016194332"/>
    <col collapsed="false" hidden="false" max="40" min="40" style="0" width="11.3562753036437"/>
    <col collapsed="false" hidden="false" max="41" min="41" style="0" width="12.4251012145749"/>
    <col collapsed="false" hidden="false" max="42" min="42" style="0" width="10.7125506072875"/>
    <col collapsed="false" hidden="false" max="43" min="43" style="0" width="6.31983805668016"/>
    <col collapsed="false" hidden="false" max="44" min="44" style="0" width="19.6032388663968"/>
    <col collapsed="false" hidden="false" max="45" min="45" style="0" width="12.9595141700405"/>
    <col collapsed="false" hidden="false" max="46" min="46" style="0" width="17.6761133603239"/>
    <col collapsed="false" hidden="false" max="47" min="47" style="0" width="14.5668016194332"/>
    <col collapsed="false" hidden="false" max="48" min="48" style="0" width="13.6032388663968"/>
    <col collapsed="false" hidden="false" max="49" min="49" style="0" width="13.7125506072874"/>
    <col collapsed="false" hidden="false" max="50" min="50" style="0" width="19.8178137651822"/>
    <col collapsed="false" hidden="false" max="51" min="51" style="0" width="13.1740890688259"/>
    <col collapsed="false" hidden="false" max="52" min="52" style="0" width="17.5668016194332"/>
    <col collapsed="false" hidden="false" max="53" min="53" style="0" width="13.3886639676113"/>
    <col collapsed="false" hidden="false" max="54" min="54" style="0" width="12.5344129554656"/>
    <col collapsed="false" hidden="false" max="1025" min="55" style="0" width="11.46153846153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37802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29.05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1°29,05</v>
      </c>
      <c r="P9" s="31" t="s">
        <v>13</v>
      </c>
      <c r="Q9" s="35" t="n">
        <f aca="false">IF(ISBLANK(I9),"",IF(ISBLANK(J9),"",IF(J9&gt;60,"ERREUR !!",O11*(I9+(J9/60)))))</f>
        <v>1.48416666666667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0.69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-10°0,69</v>
      </c>
      <c r="P10" s="31" t="s">
        <v>17</v>
      </c>
      <c r="Q10" s="35" t="n">
        <f aca="false">IF(ISBLANK(I10),"",IF(ISBLANK(J10),"",IF(J10&gt;60,"ERREUR !!",O12*(I10+(J10/60)))))</f>
        <v>-10.0115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37802</v>
      </c>
      <c r="K11" s="40"/>
      <c r="L11" s="40"/>
      <c r="M11" s="40"/>
      <c r="N11" s="41" t="str">
        <f aca="false">I9&amp;"°"&amp;J9</f>
        <v>1°29,05</v>
      </c>
      <c r="O11" s="42" t="n">
        <f aca="false">IF(P9=M10,-1,1)</f>
        <v>1</v>
      </c>
      <c r="P11" s="43" t="str">
        <f aca="false">TEXT(J11,"aaaa-mm-jj")&amp;"T"&amp;TEXT(J12,"hh:mm:ss")&amp;"z"</f>
        <v>2007-07-01T10:00:00z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191" t="n">
        <v>0.416666666666667</v>
      </c>
      <c r="K12" s="48"/>
      <c r="L12" s="48"/>
      <c r="M12" s="48"/>
      <c r="N12" s="49" t="str">
        <f aca="false">I10&amp;"°"&amp;J10</f>
        <v>10°0,69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44" t="n">
        <v>35.9654</v>
      </c>
      <c r="H35" s="123" t="n">
        <v>2000</v>
      </c>
      <c r="I35" s="192" t="n">
        <v>2001</v>
      </c>
      <c r="J35" s="125"/>
      <c r="K35" s="126"/>
      <c r="L35" s="126"/>
      <c r="M35" s="126"/>
      <c r="N35" s="127"/>
      <c r="O35" s="126"/>
      <c r="P35" s="178" t="n">
        <v>5.551</v>
      </c>
      <c r="Q35" s="125"/>
      <c r="R35" s="125"/>
      <c r="S35" s="194" t="n">
        <v>241</v>
      </c>
      <c r="T35" s="34" t="n">
        <v>0.006</v>
      </c>
      <c r="U35" s="34" t="n">
        <v>0.00586313645396686</v>
      </c>
      <c r="V35" s="125"/>
      <c r="W35" s="125"/>
      <c r="X35" s="34" t="n">
        <v>20.594</v>
      </c>
      <c r="Y35" s="34" t="n">
        <v>20.1242386888323</v>
      </c>
      <c r="Z35" s="34" t="n">
        <v>1.375</v>
      </c>
      <c r="AA35" s="34" t="n">
        <v>1.34363543736741</v>
      </c>
      <c r="AB35" s="34" t="n">
        <v>22.06</v>
      </c>
      <c r="AC35" s="34" t="n">
        <v>21.5567983624182</v>
      </c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1" t="n">
        <v>2</v>
      </c>
      <c r="D36" s="132"/>
      <c r="E36" s="132"/>
      <c r="F36" s="133"/>
      <c r="G36" s="144" t="n">
        <v>34.9577</v>
      </c>
      <c r="H36" s="123" t="n">
        <v>1500</v>
      </c>
      <c r="I36" s="192" t="n">
        <v>1497</v>
      </c>
      <c r="J36" s="134"/>
      <c r="K36" s="135"/>
      <c r="L36" s="135"/>
      <c r="M36" s="135"/>
      <c r="N36" s="136"/>
      <c r="O36" s="135"/>
      <c r="P36" s="180" t="n">
        <v>4.994</v>
      </c>
      <c r="Q36" s="134"/>
      <c r="R36" s="134"/>
      <c r="S36" s="195" t="n">
        <v>217</v>
      </c>
      <c r="T36" s="34" t="n">
        <v>0.006</v>
      </c>
      <c r="U36" s="34" t="n">
        <v>0.00586313645396686</v>
      </c>
      <c r="V36" s="134"/>
      <c r="W36" s="134"/>
      <c r="X36" s="34" t="n">
        <v>22.534</v>
      </c>
      <c r="Y36" s="34" t="n">
        <v>22.0199861422816</v>
      </c>
      <c r="Z36" s="34" t="n">
        <v>1.483</v>
      </c>
      <c r="AA36" s="34" t="n">
        <v>1.44917189353881</v>
      </c>
      <c r="AB36" s="34" t="n">
        <v>18.77</v>
      </c>
      <c r="AC36" s="34" t="n">
        <v>18.3418452068263</v>
      </c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1" t="n">
        <v>3</v>
      </c>
      <c r="D37" s="132"/>
      <c r="E37" s="132"/>
      <c r="F37" s="140"/>
      <c r="G37" s="141" t="n">
        <v>34.6398</v>
      </c>
      <c r="H37" s="123" t="n">
        <v>100</v>
      </c>
      <c r="I37" s="192" t="n">
        <v>999</v>
      </c>
      <c r="J37" s="134"/>
      <c r="K37" s="135"/>
      <c r="L37" s="135"/>
      <c r="M37" s="135"/>
      <c r="N37" s="136"/>
      <c r="O37" s="135"/>
      <c r="P37" s="180" t="n">
        <v>3.447</v>
      </c>
      <c r="Q37" s="134"/>
      <c r="R37" s="134"/>
      <c r="S37" s="195" t="n">
        <v>149.8</v>
      </c>
      <c r="T37" s="34" t="n">
        <v>0.007</v>
      </c>
      <c r="U37" s="34" t="n">
        <v>0.00684032586296134</v>
      </c>
      <c r="V37" s="134"/>
      <c r="W37" s="134"/>
      <c r="X37" s="34" t="n">
        <v>33.433</v>
      </c>
      <c r="Y37" s="34" t="n">
        <v>32.6703735109124</v>
      </c>
      <c r="Z37" s="34" t="n">
        <v>2.229</v>
      </c>
      <c r="AA37" s="34" t="n">
        <v>2.17815519264869</v>
      </c>
      <c r="AB37" s="34" t="n">
        <v>30.12</v>
      </c>
      <c r="AC37" s="34" t="n">
        <v>29.4329449989137</v>
      </c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1" t="n">
        <v>4</v>
      </c>
      <c r="D38" s="142"/>
      <c r="E38" s="142"/>
      <c r="F38" s="143"/>
      <c r="G38" s="144" t="n">
        <v>34.6406</v>
      </c>
      <c r="H38" s="124" t="n">
        <v>500</v>
      </c>
      <c r="I38" s="192" t="n">
        <v>499</v>
      </c>
      <c r="J38" s="134"/>
      <c r="K38" s="135"/>
      <c r="L38" s="135"/>
      <c r="M38" s="135"/>
      <c r="N38" s="136"/>
      <c r="O38" s="135"/>
      <c r="P38" s="178" t="n">
        <v>1.682</v>
      </c>
      <c r="Q38" s="134"/>
      <c r="R38" s="134"/>
      <c r="S38" s="194" t="n">
        <v>73.2</v>
      </c>
      <c r="T38" s="34" t="n">
        <v>0.006</v>
      </c>
      <c r="U38" s="34" t="n">
        <v>0.00586313645396686</v>
      </c>
      <c r="V38" s="134"/>
      <c r="W38" s="134"/>
      <c r="X38" s="34" t="n">
        <v>32.784</v>
      </c>
      <c r="Y38" s="34" t="n">
        <v>32.0361775844749</v>
      </c>
      <c r="Z38" s="34" t="n">
        <v>2.079</v>
      </c>
      <c r="AA38" s="34" t="n">
        <v>2.03157678129952</v>
      </c>
      <c r="AB38" s="34" t="n">
        <v>19.69</v>
      </c>
      <c r="AC38" s="34" t="n">
        <v>19.2408594631013</v>
      </c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1" t="n">
        <v>5</v>
      </c>
      <c r="D39" s="132"/>
      <c r="E39" s="132"/>
      <c r="F39" s="140"/>
      <c r="G39" s="144" t="n">
        <v>35.6618</v>
      </c>
      <c r="H39" s="124" t="n">
        <v>100</v>
      </c>
      <c r="I39" s="192" t="n">
        <v>100</v>
      </c>
      <c r="J39" s="134"/>
      <c r="K39" s="135"/>
      <c r="L39" s="135"/>
      <c r="M39" s="135"/>
      <c r="N39" s="136"/>
      <c r="O39" s="135"/>
      <c r="P39" s="178" t="n">
        <v>3.37</v>
      </c>
      <c r="Q39" s="134"/>
      <c r="R39" s="134"/>
      <c r="S39" s="194" t="n">
        <v>146.7</v>
      </c>
      <c r="T39" s="34" t="n">
        <v>0.023</v>
      </c>
      <c r="U39" s="34" t="n">
        <v>0.022475356406873</v>
      </c>
      <c r="V39" s="134"/>
      <c r="W39" s="134"/>
      <c r="X39" s="34" t="n">
        <v>15.797</v>
      </c>
      <c r="Y39" s="34" t="n">
        <v>15.4366610938858</v>
      </c>
      <c r="Z39" s="34" t="n">
        <v>1.094</v>
      </c>
      <c r="AA39" s="34" t="n">
        <v>1.06904521343996</v>
      </c>
      <c r="AB39" s="34" t="n">
        <v>5.72</v>
      </c>
      <c r="AC39" s="34" t="n">
        <v>5.58952341944841</v>
      </c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1" t="n">
        <v>6</v>
      </c>
      <c r="D40" s="132"/>
      <c r="E40" s="132"/>
      <c r="F40" s="140"/>
      <c r="G40" s="144" t="n">
        <v>35.7657</v>
      </c>
      <c r="H40" s="124" t="n">
        <v>80</v>
      </c>
      <c r="I40" s="192" t="n">
        <v>80</v>
      </c>
      <c r="J40" s="134"/>
      <c r="K40" s="135"/>
      <c r="L40" s="135"/>
      <c r="M40" s="135"/>
      <c r="N40" s="136"/>
      <c r="O40" s="135"/>
      <c r="P40" s="178" t="n">
        <v>2.993</v>
      </c>
      <c r="Q40" s="134"/>
      <c r="R40" s="134"/>
      <c r="S40" s="194" t="n">
        <v>130.3</v>
      </c>
      <c r="T40" s="34" t="n">
        <v>0.089</v>
      </c>
      <c r="U40" s="34" t="n">
        <v>0.0869698574005085</v>
      </c>
      <c r="V40" s="134"/>
      <c r="W40" s="134"/>
      <c r="X40" s="34" t="n">
        <v>14.771</v>
      </c>
      <c r="Y40" s="34" t="n">
        <v>14.4340647602574</v>
      </c>
      <c r="Z40" s="34" t="n">
        <v>1.06</v>
      </c>
      <c r="AA40" s="34" t="n">
        <v>1.03582077353415</v>
      </c>
      <c r="AB40" s="34" t="n">
        <v>5.14</v>
      </c>
      <c r="AC40" s="34" t="n">
        <v>5.02275356223162</v>
      </c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1" t="n">
        <v>7</v>
      </c>
      <c r="D41" s="132"/>
      <c r="E41" s="132"/>
      <c r="F41" s="140"/>
      <c r="G41" s="144" t="n">
        <v>35.8854</v>
      </c>
      <c r="H41" s="124" t="n">
        <v>60</v>
      </c>
      <c r="I41" s="192" t="n">
        <v>59</v>
      </c>
      <c r="J41" s="134"/>
      <c r="K41" s="135"/>
      <c r="L41" s="135"/>
      <c r="M41" s="135"/>
      <c r="N41" s="136"/>
      <c r="O41" s="135"/>
      <c r="P41" s="178" t="n">
        <v>3.262</v>
      </c>
      <c r="Q41" s="134"/>
      <c r="R41" s="134"/>
      <c r="S41" s="194" t="n">
        <v>142</v>
      </c>
      <c r="T41" s="34" t="n">
        <v>0.26</v>
      </c>
      <c r="U41" s="34" t="n">
        <v>0.254069246338564</v>
      </c>
      <c r="V41" s="134"/>
      <c r="W41" s="134"/>
      <c r="X41" s="34" t="n">
        <v>9.84</v>
      </c>
      <c r="Y41" s="34" t="n">
        <v>9.61554378450566</v>
      </c>
      <c r="Z41" s="34" t="n">
        <v>0.777</v>
      </c>
      <c r="AA41" s="34" t="n">
        <v>0.759276170788709</v>
      </c>
      <c r="AB41" s="34" t="n">
        <v>3.39</v>
      </c>
      <c r="AC41" s="34" t="n">
        <v>3.31267209649128</v>
      </c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1" t="n">
        <v>8</v>
      </c>
      <c r="D42" s="132"/>
      <c r="E42" s="132"/>
      <c r="F42" s="140"/>
      <c r="G42" s="144" t="n">
        <v>34.9969</v>
      </c>
      <c r="H42" s="124" t="n">
        <v>40</v>
      </c>
      <c r="I42" s="192" t="n">
        <v>39</v>
      </c>
      <c r="J42" s="134"/>
      <c r="K42" s="135"/>
      <c r="L42" s="135"/>
      <c r="M42" s="135"/>
      <c r="N42" s="136"/>
      <c r="O42" s="135"/>
      <c r="P42" s="178" t="n">
        <v>4.602</v>
      </c>
      <c r="Q42" s="134"/>
      <c r="R42" s="134"/>
      <c r="S42" s="194" t="n">
        <v>200.9</v>
      </c>
      <c r="T42" s="34" t="n">
        <v>0.009</v>
      </c>
      <c r="U42" s="34" t="n">
        <v>0.0087947046809503</v>
      </c>
      <c r="V42" s="134"/>
      <c r="W42" s="134"/>
      <c r="X42" s="34" t="n">
        <v>0.111</v>
      </c>
      <c r="Y42" s="34" t="n">
        <v>0.108468024398387</v>
      </c>
      <c r="Z42" s="34" t="n">
        <v>0</v>
      </c>
      <c r="AA42" s="34" t="n">
        <v>0</v>
      </c>
      <c r="AB42" s="34" t="n">
        <v>0.68</v>
      </c>
      <c r="AC42" s="34" t="n">
        <v>0.664488798116245</v>
      </c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1" t="n">
        <v>9</v>
      </c>
      <c r="D43" s="132"/>
      <c r="E43" s="132"/>
      <c r="F43" s="140"/>
      <c r="G43" s="144" t="n">
        <v>34.95</v>
      </c>
      <c r="H43" s="124" t="n">
        <v>20</v>
      </c>
      <c r="I43" s="192" t="n">
        <v>19</v>
      </c>
      <c r="J43" s="134"/>
      <c r="K43" s="135"/>
      <c r="L43" s="135"/>
      <c r="M43" s="135"/>
      <c r="N43" s="136"/>
      <c r="O43" s="135"/>
      <c r="P43" s="178" t="n">
        <v>4.581</v>
      </c>
      <c r="Q43" s="134"/>
      <c r="R43" s="134"/>
      <c r="S43" s="194" t="n">
        <v>200</v>
      </c>
      <c r="T43" s="34" t="n">
        <v>0.009</v>
      </c>
      <c r="U43" s="34" t="n">
        <v>0.0087947046809503</v>
      </c>
      <c r="V43" s="134"/>
      <c r="W43" s="134"/>
      <c r="X43" s="34" t="n">
        <v>0.091</v>
      </c>
      <c r="Y43" s="34" t="n">
        <v>0.0889242362184974</v>
      </c>
      <c r="Z43" s="34" t="n">
        <v>0.00600000000000001</v>
      </c>
      <c r="AA43" s="34" t="n">
        <v>0.00586313645396687</v>
      </c>
      <c r="AB43" s="34" t="n">
        <v>0.58</v>
      </c>
      <c r="AC43" s="34" t="n">
        <v>0.566769857216797</v>
      </c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1" t="n">
        <v>10</v>
      </c>
      <c r="D44" s="132"/>
      <c r="E44" s="132"/>
      <c r="F44" s="140"/>
      <c r="G44" s="144" t="n">
        <v>34.9477</v>
      </c>
      <c r="H44" s="124" t="n">
        <v>10</v>
      </c>
      <c r="I44" s="192" t="n">
        <v>10</v>
      </c>
      <c r="J44" s="134"/>
      <c r="K44" s="135"/>
      <c r="L44" s="135"/>
      <c r="M44" s="135"/>
      <c r="N44" s="136"/>
      <c r="O44" s="135"/>
      <c r="P44" s="178" t="n">
        <v>4.504</v>
      </c>
      <c r="Q44" s="134"/>
      <c r="R44" s="134"/>
      <c r="S44" s="194" t="n">
        <v>196.6</v>
      </c>
      <c r="T44" s="34" t="n">
        <v>0</v>
      </c>
      <c r="U44" s="34" t="n">
        <v>0</v>
      </c>
      <c r="V44" s="134"/>
      <c r="W44" s="134"/>
      <c r="X44" s="34" t="n">
        <v>0.1</v>
      </c>
      <c r="Y44" s="34" t="n">
        <v>0.0977189408994478</v>
      </c>
      <c r="Z44" s="34" t="n">
        <v>0.00600000000000001</v>
      </c>
      <c r="AA44" s="34" t="n">
        <v>0.00586313645396687</v>
      </c>
      <c r="AB44" s="34" t="n">
        <v>0.63</v>
      </c>
      <c r="AC44" s="34" t="n">
        <v>0.615629327666521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9"/>
    </row>
    <row r="45" customFormat="false" ht="16.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1" t="n">
        <v>11</v>
      </c>
      <c r="D45" s="132"/>
      <c r="E45" s="132"/>
      <c r="F45" s="140"/>
      <c r="G45" s="144" t="n">
        <v>34.9485</v>
      </c>
      <c r="H45" s="124" t="n">
        <v>0</v>
      </c>
      <c r="I45" s="193" t="n">
        <v>1</v>
      </c>
      <c r="J45" s="134"/>
      <c r="K45" s="135"/>
      <c r="L45" s="135"/>
      <c r="M45" s="135"/>
      <c r="N45" s="136"/>
      <c r="O45" s="135"/>
      <c r="P45" s="178" t="n">
        <v>4.75</v>
      </c>
      <c r="Q45" s="134"/>
      <c r="R45" s="134"/>
      <c r="S45" s="194" t="n">
        <v>207.4</v>
      </c>
      <c r="T45" s="34" t="n">
        <v>0</v>
      </c>
      <c r="U45" s="34" t="n">
        <v>0</v>
      </c>
      <c r="V45" s="134"/>
      <c r="W45" s="134"/>
      <c r="X45" s="34" t="n">
        <v>0.08</v>
      </c>
      <c r="Y45" s="34" t="n">
        <v>0.0781751527195582</v>
      </c>
      <c r="Z45" s="34" t="n">
        <v>0.025</v>
      </c>
      <c r="AA45" s="34" t="n">
        <v>0.0244297352248619</v>
      </c>
      <c r="AB45" s="34" t="n">
        <v>0.67</v>
      </c>
      <c r="AC45" s="34" t="n">
        <v>0.6547169040263</v>
      </c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9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1" t="n">
        <v>12</v>
      </c>
      <c r="D46" s="150"/>
      <c r="E46" s="150"/>
      <c r="F46" s="151"/>
      <c r="G46" s="152"/>
      <c r="H46" s="150"/>
      <c r="I46" s="153"/>
      <c r="J46" s="134"/>
      <c r="K46" s="135" t="str">
        <f aca="false">IF(ISBLANK(E46),"",(0.000824493-(0.0000040899*E46)+(0.000000076438*E46^2)-(0.00000000082467*E46^3)+(0.0000000000053875*E46^4)))</f>
        <v/>
      </c>
      <c r="L46" s="135" t="str">
        <f aca="false">IF(ISBLANK(E46),"",(-0.00000572466+(0.00000010227*E46)-(0.0000000016546*E46^2)))</f>
        <v/>
      </c>
      <c r="M46" s="135" t="str">
        <f aca="false">IF(ISBLANK(E46),"",IF(ISBLANK(G46),(O46+(K46*35)+(L46*35^1.5)+(0.00000048314*35^2)),(O46+(K46*G46)+(L46*G46^1.5)+(0.00000048314*G46^2))))</f>
        <v/>
      </c>
      <c r="N46" s="136" t="str">
        <f aca="false">IF(ISBLANK(D46),"",IF(ISBLANK(G46),J46*(1+0.00001*(35-20)),J46*(1+0.00001*(G46-20))))</f>
        <v/>
      </c>
      <c r="O46" s="135" t="str">
        <f aca="false">IF(ISBLANK(E46),"",(0.999842594+(0.00006793952*E46)-(0.00000909529*E46^2)+(0.0000001001685*E46^3)-(0.000000001120083*E46^4)+(0.000000000006536332*E46^5)))</f>
        <v/>
      </c>
      <c r="P46" s="134"/>
      <c r="Q46" s="134"/>
      <c r="R46" s="134"/>
      <c r="S46" s="134"/>
      <c r="T46" s="138"/>
      <c r="U46" s="138"/>
      <c r="V46" s="138" t="s">
        <v>145</v>
      </c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9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1" t="n">
        <v>13</v>
      </c>
      <c r="D47" s="159"/>
      <c r="E47" s="159"/>
      <c r="F47" s="160"/>
      <c r="G47" s="161"/>
      <c r="H47" s="159"/>
      <c r="I47" s="159"/>
      <c r="J47" s="134"/>
      <c r="K47" s="135" t="str">
        <f aca="false">IF(ISBLANK(E47),"",(0.000824493-(0.0000040899*E47)+(0.000000076438*E47^2)-(0.00000000082467*E47^3)+(0.0000000000053875*E47^4)))</f>
        <v/>
      </c>
      <c r="L47" s="135" t="str">
        <f aca="false">IF(ISBLANK(E47),"",(-0.00000572466+(0.00000010227*E47)-(0.0000000016546*E47^2)))</f>
        <v/>
      </c>
      <c r="M47" s="135" t="str">
        <f aca="false">IF(ISBLANK(E47),"",IF(ISBLANK(G47),(O47+(K47*35)+(L47*35^1.5)+(0.00000048314*35^2)),(O47+(K47*G47)+(L47*G47^1.5)+(0.00000048314*G47^2))))</f>
        <v/>
      </c>
      <c r="N47" s="136" t="str">
        <f aca="false">IF(ISBLANK(D47),"",IF(ISBLANK(G47),J47*(1+0.00001*(35-20)),J47*(1+0.00001*(G47-20))))</f>
        <v/>
      </c>
      <c r="O47" s="135" t="str">
        <f aca="false">IF(ISBLANK(E47),"",(0.999842594+(0.00006793952*E47)-(0.00000909529*E47^2)+(0.0000001001685*E47^3)-(0.000000001120083*E47^4)+(0.000000000006536332*E47^5)))</f>
        <v/>
      </c>
      <c r="P47" s="134"/>
      <c r="Q47" s="134"/>
      <c r="R47" s="134"/>
      <c r="S47" s="134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1" t="n">
        <v>14</v>
      </c>
      <c r="D48" s="159"/>
      <c r="E48" s="159"/>
      <c r="F48" s="160"/>
      <c r="G48" s="161"/>
      <c r="H48" s="159"/>
      <c r="I48" s="159"/>
      <c r="J48" s="134"/>
      <c r="K48" s="135" t="str">
        <f aca="false">IF(ISBLANK(E48),"",(0.000824493-(0.0000040899*E48)+(0.000000076438*E48^2)-(0.00000000082467*E48^3)+(0.0000000000053875*E48^4)))</f>
        <v/>
      </c>
      <c r="L48" s="135" t="str">
        <f aca="false">IF(ISBLANK(E48),"",(-0.00000572466+(0.00000010227*E48)-(0.0000000016546*E48^2)))</f>
        <v/>
      </c>
      <c r="M48" s="135" t="str">
        <f aca="false">IF(ISBLANK(E48),"",IF(ISBLANK(G48),(O48+(K48*35)+(L48*35^1.5)+(0.00000048314*35^2)),(O48+(K48*G48)+(L48*G48^1.5)+(0.00000048314*G48^2))))</f>
        <v/>
      </c>
      <c r="N48" s="136" t="str">
        <f aca="false">IF(ISBLANK(D48),"",IF(ISBLANK(G48),J48*(1+0.00001*(35-20)),J48*(1+0.00001*(G48-20))))</f>
        <v/>
      </c>
      <c r="O48" s="135" t="str">
        <f aca="false">IF(ISBLANK(E48),"",(0.999842594+(0.00006793952*E48)-(0.00000909529*E48^2)+(0.0000001001685*E48^3)-(0.000000001120083*E48^4)+(0.000000000006536332*E48^5)))</f>
        <v/>
      </c>
      <c r="P48" s="134"/>
      <c r="Q48" s="134"/>
      <c r="R48" s="134"/>
      <c r="S48" s="134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9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1" t="n">
        <v>15</v>
      </c>
      <c r="D49" s="159"/>
      <c r="E49" s="159"/>
      <c r="F49" s="160"/>
      <c r="G49" s="163"/>
      <c r="H49" s="159"/>
      <c r="I49" s="159"/>
      <c r="J49" s="134"/>
      <c r="K49" s="135" t="str">
        <f aca="false">IF(ISBLANK(E49),"",(0.000824493-(0.0000040899*E49)+(0.000000076438*E49^2)-(0.00000000082467*E49^3)+(0.0000000000053875*E49^4)))</f>
        <v/>
      </c>
      <c r="L49" s="135" t="str">
        <f aca="false">IF(ISBLANK(E49),"",(-0.00000572466+(0.00000010227*E49)-(0.0000000016546*E49^2)))</f>
        <v/>
      </c>
      <c r="M49" s="135" t="str">
        <f aca="false">IF(ISBLANK(E49),"",IF(ISBLANK(G49),(O49+(K49*35)+(L49*35^1.5)+(0.00000048314*35^2)),(O49+(K49*G49)+(L49*G49^1.5)+(0.00000048314*G49^2))))</f>
        <v/>
      </c>
      <c r="N49" s="136" t="str">
        <f aca="false">IF(ISBLANK(D49),"",IF(ISBLANK(G49),J49*(1+0.00001*(35-20)),J49*(1+0.00001*(G49-20))))</f>
        <v/>
      </c>
      <c r="O49" s="135" t="str">
        <f aca="false">IF(ISBLANK(E49),"",(0.999842594+(0.00006793952*E49)-(0.00000909529*E49^2)+(0.0000001001685*E49^3)-(0.000000001120083*E49^4)+(0.000000000006536332*E49^5)))</f>
        <v/>
      </c>
      <c r="P49" s="134"/>
      <c r="Q49" s="134"/>
      <c r="R49" s="134"/>
      <c r="S49" s="134"/>
      <c r="T49" s="34"/>
      <c r="U49" s="34"/>
      <c r="V49" s="165"/>
      <c r="W49" s="165"/>
      <c r="X49" s="165"/>
      <c r="Y49" s="165"/>
      <c r="Z49" s="34"/>
      <c r="AA49" s="34"/>
      <c r="AB49" s="165"/>
      <c r="AC49" s="165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9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1" t="n">
        <v>16</v>
      </c>
      <c r="D50" s="159"/>
      <c r="E50" s="159"/>
      <c r="F50" s="160"/>
      <c r="G50" s="163"/>
      <c r="H50" s="159"/>
      <c r="I50" s="159"/>
      <c r="J50" s="134"/>
      <c r="K50" s="135" t="str">
        <f aca="false">IF(ISBLANK(E50),"",(0.000824493-(0.0000040899*E50)+(0.000000076438*E50^2)-(0.00000000082467*E50^3)+(0.0000000000053875*E50^4)))</f>
        <v/>
      </c>
      <c r="L50" s="135" t="str">
        <f aca="false">IF(ISBLANK(E50),"",(-0.00000572466+(0.00000010227*E50)-(0.0000000016546*E50^2)))</f>
        <v/>
      </c>
      <c r="M50" s="135" t="str">
        <f aca="false">IF(ISBLANK(E50),"",IF(ISBLANK(G50),(O50+(K50*35)+(L50*35^1.5)+(0.00000048314*35^2)),(O50+(K50*G50)+(L50*G50^1.5)+(0.00000048314*G50^2))))</f>
        <v/>
      </c>
      <c r="N50" s="136" t="str">
        <f aca="false">IF(ISBLANK(D50),"",IF(ISBLANK(G50),J50*(1+0.00001*(35-20)),J50*(1+0.00001*(G50-20))))</f>
        <v/>
      </c>
      <c r="O50" s="135" t="str">
        <f aca="false">IF(ISBLANK(E50),"",(0.999842594+(0.00006793952*E50)-(0.00000909529*E50^2)+(0.0000001001685*E50^3)-(0.000000001120083*E50^4)+(0.000000000006536332*E50^5)))</f>
        <v/>
      </c>
      <c r="P50" s="134"/>
      <c r="Q50" s="134"/>
      <c r="R50" s="134"/>
      <c r="S50" s="134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9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1" t="n">
        <v>17</v>
      </c>
      <c r="D51" s="159"/>
      <c r="E51" s="159"/>
      <c r="F51" s="160"/>
      <c r="G51" s="163"/>
      <c r="H51" s="159"/>
      <c r="I51" s="159"/>
      <c r="J51" s="134"/>
      <c r="K51" s="135" t="str">
        <f aca="false">IF(ISBLANK(E51),"",(0.000824493-(0.0000040899*E51)+(0.000000076438*E51^2)-(0.00000000082467*E51^3)+(0.0000000000053875*E51^4)))</f>
        <v/>
      </c>
      <c r="L51" s="135" t="str">
        <f aca="false">IF(ISBLANK(E51),"",(-0.00000572466+(0.00000010227*E51)-(0.0000000016546*E51^2)))</f>
        <v/>
      </c>
      <c r="M51" s="135" t="str">
        <f aca="false">IF(ISBLANK(E51),"",IF(ISBLANK(G51),(O51+(K51*35)+(L51*35^1.5)+(0.00000048314*35^2)),(O51+(K51*G51)+(L51*G51^1.5)+(0.00000048314*G51^2))))</f>
        <v/>
      </c>
      <c r="N51" s="136" t="str">
        <f aca="false">IF(ISBLANK(D51),"",IF(ISBLANK(G51),J51*(1+0.00001*(35-20)),J51*(1+0.00001*(G51-20))))</f>
        <v/>
      </c>
      <c r="O51" s="135" t="str">
        <f aca="false">IF(ISBLANK(E51),"",(0.999842594+(0.00006793952*E51)-(0.00000909529*E51^2)+(0.0000001001685*E51^3)-(0.000000001120083*E51^4)+(0.000000000006536332*E51^5)))</f>
        <v/>
      </c>
      <c r="P51" s="134"/>
      <c r="Q51" s="134"/>
      <c r="R51" s="134"/>
      <c r="S51" s="134"/>
      <c r="T51" s="34"/>
      <c r="U51" s="34"/>
      <c r="V51" s="165"/>
      <c r="W51" s="165"/>
      <c r="X51" s="165"/>
      <c r="Y51" s="165"/>
      <c r="Z51" s="34"/>
      <c r="AA51" s="34"/>
      <c r="AB51" s="165"/>
      <c r="AC51" s="165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9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1" t="n">
        <v>18</v>
      </c>
      <c r="D52" s="159"/>
      <c r="E52" s="159"/>
      <c r="F52" s="160"/>
      <c r="G52" s="163"/>
      <c r="H52" s="159"/>
      <c r="I52" s="159"/>
      <c r="J52" s="134"/>
      <c r="K52" s="135" t="str">
        <f aca="false">IF(ISBLANK(E52),"",(0.000824493-(0.0000040899*E52)+(0.000000076438*E52^2)-(0.00000000082467*E52^3)+(0.0000000000053875*E52^4)))</f>
        <v/>
      </c>
      <c r="L52" s="135" t="str">
        <f aca="false">IF(ISBLANK(E52),"",(-0.00000572466+(0.00000010227*E52)-(0.0000000016546*E52^2)))</f>
        <v/>
      </c>
      <c r="M52" s="135" t="str">
        <f aca="false">IF(ISBLANK(E52),"",IF(ISBLANK(G52),(O52+(K52*35)+(L52*35^1.5)+(0.00000048314*35^2)),(O52+(K52*G52)+(L52*G52^1.5)+(0.00000048314*G52^2))))</f>
        <v/>
      </c>
      <c r="N52" s="136" t="str">
        <f aca="false">IF(ISBLANK(D52),"",IF(ISBLANK(G52),J52*(1+0.00001*(35-20)),J52*(1+0.00001*(G52-20))))</f>
        <v/>
      </c>
      <c r="O52" s="135" t="str">
        <f aca="false">IF(ISBLANK(E52),"",(0.999842594+(0.00006793952*E52)-(0.00000909529*E52^2)+(0.0000001001685*E52^3)-(0.000000001120083*E52^4)+(0.000000000006536332*E52^5)))</f>
        <v/>
      </c>
      <c r="P52" s="134"/>
      <c r="Q52" s="134"/>
      <c r="R52" s="134"/>
      <c r="S52" s="134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9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1" t="n">
        <v>19</v>
      </c>
      <c r="D53" s="159"/>
      <c r="E53" s="159"/>
      <c r="F53" s="160"/>
      <c r="G53" s="163"/>
      <c r="H53" s="159"/>
      <c r="I53" s="159"/>
      <c r="J53" s="134"/>
      <c r="K53" s="135" t="str">
        <f aca="false">IF(ISBLANK(E53),"",(0.000824493-(0.0000040899*E53)+(0.000000076438*E53^2)-(0.00000000082467*E53^3)+(0.0000000000053875*E53^4)))</f>
        <v/>
      </c>
      <c r="L53" s="135" t="str">
        <f aca="false">IF(ISBLANK(E53),"",(-0.00000572466+(0.00000010227*E53)-(0.0000000016546*E53^2)))</f>
        <v/>
      </c>
      <c r="M53" s="135" t="str">
        <f aca="false">IF(ISBLANK(E53),"",IF(ISBLANK(G53),(O53+(K53*35)+(L53*35^1.5)+(0.00000048314*35^2)),(O53+(K53*G53)+(L53*G53^1.5)+(0.00000048314*G53^2))))</f>
        <v/>
      </c>
      <c r="N53" s="136" t="str">
        <f aca="false">IF(ISBLANK(D53),"",IF(ISBLANK(G53),J53*(1+0.00001*(35-20)),J53*(1+0.00001*(G53-20))))</f>
        <v/>
      </c>
      <c r="O53" s="135" t="str">
        <f aca="false">IF(ISBLANK(E53),"",(0.999842594+(0.00006793952*E53)-(0.00000909529*E53^2)+(0.0000001001685*E53^3)-(0.000000001120083*E53^4)+(0.000000000006536332*E53^5)))</f>
        <v/>
      </c>
      <c r="P53" s="134"/>
      <c r="Q53" s="134"/>
      <c r="R53" s="134"/>
      <c r="S53" s="134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1" t="n">
        <v>20</v>
      </c>
      <c r="D54" s="159"/>
      <c r="E54" s="159"/>
      <c r="F54" s="160"/>
      <c r="G54" s="163"/>
      <c r="H54" s="159"/>
      <c r="I54" s="159"/>
      <c r="J54" s="134"/>
      <c r="K54" s="135" t="str">
        <f aca="false">IF(ISBLANK(E54),"",(0.000824493-(0.0000040899*E54)+(0.000000076438*E54^2)-(0.00000000082467*E54^3)+(0.0000000000053875*E54^4)))</f>
        <v/>
      </c>
      <c r="L54" s="135" t="str">
        <f aca="false">IF(ISBLANK(E54),"",(-0.00000572466+(0.00000010227*E54)-(0.0000000016546*E54^2)))</f>
        <v/>
      </c>
      <c r="M54" s="135" t="str">
        <f aca="false">IF(ISBLANK(E54),"",IF(ISBLANK(G54),(O54+(K54*35)+(L54*35^1.5)+(0.00000048314*35^2)),(O54+(K54*G54)+(L54*G54^1.5)+(0.00000048314*G54^2))))</f>
        <v/>
      </c>
      <c r="N54" s="136" t="str">
        <f aca="false">IF(ISBLANK(D54),"",IF(ISBLANK(G54),J54*(1+0.00001*(35-20)),J54*(1+0.00001*(G54-20))))</f>
        <v/>
      </c>
      <c r="O54" s="135" t="str">
        <f aca="false">IF(ISBLANK(E54),"",(0.999842594+(0.00006793952*E54)-(0.00000909529*E54^2)+(0.0000001001685*E54^3)-(0.000000001120083*E54^4)+(0.000000000006536332*E54^5)))</f>
        <v/>
      </c>
      <c r="P54" s="134"/>
      <c r="Q54" s="134"/>
      <c r="R54" s="134"/>
      <c r="S54" s="134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1" t="n">
        <v>21</v>
      </c>
      <c r="D55" s="159"/>
      <c r="E55" s="159"/>
      <c r="F55" s="160"/>
      <c r="G55" s="163"/>
      <c r="H55" s="159"/>
      <c r="I55" s="159"/>
      <c r="J55" s="134"/>
      <c r="K55" s="135" t="str">
        <f aca="false">IF(ISBLANK(E55),"",(0.000824493-(0.0000040899*E55)+(0.000000076438*E55^2)-(0.00000000082467*E55^3)+(0.0000000000053875*E55^4)))</f>
        <v/>
      </c>
      <c r="L55" s="135" t="str">
        <f aca="false">IF(ISBLANK(E55),"",(-0.00000572466+(0.00000010227*E55)-(0.0000000016546*E55^2)))</f>
        <v/>
      </c>
      <c r="M55" s="135" t="str">
        <f aca="false">IF(ISBLANK(E55),"",IF(ISBLANK(G55),(O55+(K55*35)+(L55*35^1.5)+(0.00000048314*35^2)),(O55+(K55*G55)+(L55*G55^1.5)+(0.00000048314*G55^2))))</f>
        <v/>
      </c>
      <c r="N55" s="136" t="str">
        <f aca="false">IF(ISBLANK(D55),"",IF(ISBLANK(G55),J55*(1+0.00001*(35-20)),J55*(1+0.00001*(G55-20))))</f>
        <v/>
      </c>
      <c r="O55" s="135" t="str">
        <f aca="false">IF(ISBLANK(E55),"",(0.999842594+(0.00006793952*E55)-(0.00000909529*E55^2)+(0.0000001001685*E55^3)-(0.000000001120083*E55^4)+(0.000000000006536332*E55^5)))</f>
        <v/>
      </c>
      <c r="P55" s="134"/>
      <c r="Q55" s="134"/>
      <c r="R55" s="134"/>
      <c r="S55" s="134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1" t="n">
        <v>22</v>
      </c>
      <c r="D56" s="159"/>
      <c r="E56" s="159"/>
      <c r="F56" s="160"/>
      <c r="G56" s="163"/>
      <c r="H56" s="159"/>
      <c r="I56" s="159"/>
      <c r="J56" s="134"/>
      <c r="K56" s="135" t="str">
        <f aca="false">IF(ISBLANK(E56),"",(0.000824493-(0.0000040899*E56)+(0.000000076438*E56^2)-(0.00000000082467*E56^3)+(0.0000000000053875*E56^4)))</f>
        <v/>
      </c>
      <c r="L56" s="135" t="str">
        <f aca="false">IF(ISBLANK(E56),"",(-0.00000572466+(0.00000010227*E56)-(0.0000000016546*E56^2)))</f>
        <v/>
      </c>
      <c r="M56" s="135" t="str">
        <f aca="false">IF(ISBLANK(E56),"",IF(ISBLANK(G56),(O56+(K56*35)+(L56*35^1.5)+(0.00000048314*35^2)),(O56+(K56*G56)+(L56*G56^1.5)+(0.00000048314*G56^2))))</f>
        <v/>
      </c>
      <c r="N56" s="136" t="str">
        <f aca="false">IF(ISBLANK(D56),"",IF(ISBLANK(G56),J56*(1+0.00001*(35-20)),J56*(1+0.00001*(G56-20))))</f>
        <v/>
      </c>
      <c r="O56" s="135" t="str">
        <f aca="false">IF(ISBLANK(E56),"",(0.999842594+(0.00006793952*E56)-(0.00000909529*E56^2)+(0.0000001001685*E56^3)-(0.000000001120083*E56^4)+(0.000000000006536332*E56^5)))</f>
        <v/>
      </c>
      <c r="P56" s="134"/>
      <c r="Q56" s="134"/>
      <c r="R56" s="134"/>
      <c r="S56" s="134"/>
      <c r="T56" s="34"/>
      <c r="U56" s="34"/>
      <c r="V56" s="165"/>
      <c r="W56" s="165"/>
      <c r="X56" s="165"/>
      <c r="Y56" s="165"/>
      <c r="Z56" s="34"/>
      <c r="AA56" s="34"/>
      <c r="AB56" s="165"/>
      <c r="AC56" s="165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1" t="n">
        <v>23</v>
      </c>
      <c r="D57" s="159"/>
      <c r="E57" s="159"/>
      <c r="F57" s="160"/>
      <c r="G57" s="163"/>
      <c r="H57" s="159"/>
      <c r="I57" s="159"/>
      <c r="J57" s="134"/>
      <c r="K57" s="135" t="str">
        <f aca="false">IF(ISBLANK(E57),"",(0.000824493-(0.0000040899*E57)+(0.000000076438*E57^2)-(0.00000000082467*E57^3)+(0.0000000000053875*E57^4)))</f>
        <v/>
      </c>
      <c r="L57" s="135" t="str">
        <f aca="false">IF(ISBLANK(E57),"",(-0.00000572466+(0.00000010227*E57)-(0.0000000016546*E57^2)))</f>
        <v/>
      </c>
      <c r="M57" s="135" t="str">
        <f aca="false">IF(ISBLANK(E57),"",IF(ISBLANK(G57),(O57+(K57*35)+(L57*35^1.5)+(0.00000048314*35^2)),(O57+(K57*G57)+(L57*G57^1.5)+(0.00000048314*G57^2))))</f>
        <v/>
      </c>
      <c r="N57" s="136" t="str">
        <f aca="false">IF(ISBLANK(D57),"",IF(ISBLANK(G57),J57*(1+0.00001*(35-20)),J57*(1+0.00001*(G57-20))))</f>
        <v/>
      </c>
      <c r="O57" s="135" t="str">
        <f aca="false">IF(ISBLANK(E57),"",(0.999842594+(0.00006793952*E57)-(0.00000909529*E57^2)+(0.0000001001685*E57^3)-(0.000000001120083*E57^4)+(0.000000000006536332*E57^5)))</f>
        <v/>
      </c>
      <c r="P57" s="134"/>
      <c r="Q57" s="134"/>
      <c r="R57" s="134"/>
      <c r="S57" s="134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6" t="n">
        <v>24</v>
      </c>
      <c r="D58" s="167"/>
      <c r="E58" s="167"/>
      <c r="F58" s="168"/>
      <c r="G58" s="169"/>
      <c r="H58" s="167"/>
      <c r="I58" s="167"/>
      <c r="J58" s="134"/>
      <c r="K58" s="171" t="str">
        <f aca="false">IF(ISBLANK(E58),"",(0.000824493-(0.0000040899*E58)+(0.000000076438*E58^2)-(0.00000000082467*E58^3)+(0.0000000000053875*E58^4)))</f>
        <v/>
      </c>
      <c r="L58" s="171" t="str">
        <f aca="false">IF(ISBLANK(E58),"",(-0.00000572466+(0.00000010227*E58)-(0.0000000016546*E58^2)))</f>
        <v/>
      </c>
      <c r="M58" s="171" t="str">
        <f aca="false">IF(ISBLANK(E58),"",IF(ISBLANK(G58),(O58+(K58*35)+(L58*35^1.5)+(0.00000048314*35^2)),(O58+(K58*G58)+(L58*G58^1.5)+(0.00000048314*G58^2))))</f>
        <v/>
      </c>
      <c r="N58" s="172" t="str">
        <f aca="false">IF(ISBLANK(D58),"",IF(ISBLANK(G58),J58*(1+0.00001*(35-20)),J58*(1+0.00001*(G58-20))))</f>
        <v/>
      </c>
      <c r="O58" s="171" t="str">
        <f aca="false">IF(ISBLANK(E58),"",(0.999842594+(0.00006793952*E58)-(0.00000909529*E58^2)+(0.0000001001685*E58^3)-(0.000000001120083*E58^4)+(0.000000000006536332*E58^5)))</f>
        <v/>
      </c>
      <c r="P58" s="134"/>
      <c r="Q58" s="134"/>
      <c r="R58" s="134"/>
      <c r="S58" s="134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7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2018-02-15T13:11:12Z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