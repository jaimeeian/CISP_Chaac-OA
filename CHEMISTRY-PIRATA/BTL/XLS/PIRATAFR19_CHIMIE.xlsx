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externalLinks/_rels/externalLink4.xml.rels" ContentType="application/vnd.openxmlformats-package.relationships+xml"/>
  <Override PartName="/xl/externalLinks/_rels/externalLink3.xml.rels" ContentType="application/vnd.openxmlformats-package.relationships+xml"/>
  <Override PartName="/xl/externalLinks/externalLink4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18.xml" ContentType="application/vnd.openxmlformats-officedocument.spreadsheetml.worksheet+xml"/>
  <Override PartName="/xl/worksheets/sheet3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991" firstSheet="0" activeTab="13"/>
  </bookViews>
  <sheets>
    <sheet name="001_01" sheetId="1" state="visible" r:id="rId2"/>
    <sheet name="002_01" sheetId="2" state="visible" r:id="rId3"/>
    <sheet name="003_01" sheetId="3" state="visible" r:id="rId4"/>
    <sheet name="004_01" sheetId="4" state="visible" r:id="rId5"/>
    <sheet name="005_01" sheetId="5" state="visible" r:id="rId6"/>
    <sheet name="006_01" sheetId="6" state="visible" r:id="rId7"/>
    <sheet name="007_01" sheetId="7" state="visible" r:id="rId8"/>
    <sheet name="008_01" sheetId="8" state="visible" r:id="rId9"/>
    <sheet name="009_01" sheetId="9" state="visible" r:id="rId10"/>
    <sheet name="010_01" sheetId="10" state="visible" r:id="rId11"/>
    <sheet name="011_01" sheetId="11" state="visible" r:id="rId12"/>
    <sheet name="012_01" sheetId="12" state="visible" r:id="rId13"/>
    <sheet name="013_01" sheetId="13" state="visible" r:id="rId14"/>
    <sheet name="014_01" sheetId="14" state="visible" r:id="rId15"/>
    <sheet name="015_01" sheetId="15" state="visible" r:id="rId16"/>
    <sheet name="016_01" sheetId="16" state="visible" r:id="rId17"/>
    <sheet name="017_01" sheetId="17" state="visible" r:id="rId18"/>
    <sheet name="018_01" sheetId="18" state="visible" r:id="rId19"/>
    <sheet name="019_01" sheetId="19" state="visible" r:id="rId20"/>
    <sheet name="020_01" sheetId="20" state="visible" r:id="rId21"/>
    <sheet name="021_01" sheetId="21" state="visible" r:id="rId22"/>
    <sheet name="022_01" sheetId="22" state="visible" r:id="rId23"/>
    <sheet name="023_01" sheetId="23" state="visible" r:id="rId24"/>
    <sheet name="024_01" sheetId="24" state="visible" r:id="rId25"/>
    <sheet name="025_01" sheetId="25" state="visible" r:id="rId26"/>
    <sheet name="026_01" sheetId="26" state="visible" r:id="rId27"/>
    <sheet name="027_01" sheetId="27" state="visible" r:id="rId28"/>
    <sheet name="028_01" sheetId="28" state="visible" r:id="rId29"/>
    <sheet name="029_01" sheetId="29" state="visible" r:id="rId30"/>
    <sheet name="030_01" sheetId="30" state="visible" r:id="rId31"/>
    <sheet name="031_01" sheetId="31" state="visible" r:id="rId32"/>
    <sheet name="032_01" sheetId="32" state="visible" r:id="rId33"/>
    <sheet name="033_01" sheetId="33" state="visible" r:id="rId34"/>
    <sheet name="034_01" sheetId="34" state="visible" r:id="rId35"/>
    <sheet name="035_01" sheetId="35" state="visible" r:id="rId36"/>
    <sheet name="036_01" sheetId="36" state="visible" r:id="rId37"/>
    <sheet name="037_01" sheetId="37" state="visible" r:id="rId38"/>
    <sheet name="038_01" sheetId="38" state="visible" r:id="rId39"/>
    <sheet name="039_01" sheetId="39" state="visible" r:id="rId40"/>
    <sheet name="040_01" sheetId="40" state="visible" r:id="rId41"/>
    <sheet name="041_01" sheetId="41" state="visible" r:id="rId42"/>
    <sheet name="042_01" sheetId="42" state="visible" r:id="rId43"/>
    <sheet name="043_01" sheetId="43" state="visible" r:id="rId44"/>
    <sheet name="044_01" sheetId="44" state="visible" r:id="rId45"/>
  </sheets>
  <externalReferences>
    <externalReference r:id="rId46"/>
    <externalReference r:id="rId47"/>
  </externalReferences>
  <definedNames>
    <definedName function="false" hidden="false" name="Blanc" vbProcedure="false">"$#REF !.$O$15"</definedName>
    <definedName function="false" hidden="false" name="Blanc___0" vbProcedure="false">"$#REF !.$E$13"</definedName>
    <definedName function="false" hidden="false" name="Blanc___1" vbProcedure="false">"$#REF !.$O$15"</definedName>
    <definedName function="false" hidden="false" name="Blanc___10" vbProcedure="false">"$#REF !.$O$15"</definedName>
    <definedName function="false" hidden="false" name="Blanc___11" vbProcedure="false">"$#REF !.$O$15"</definedName>
    <definedName function="false" hidden="false" name="Blanc___12" vbProcedure="false">"$#REF !.$O$15"</definedName>
    <definedName function="false" hidden="false" name="Blanc___13" vbProcedure="false">"$#REF !.$O$15"</definedName>
    <definedName function="false" hidden="false" name="Blanc___14" vbProcedure="false">"$#REF !.$O$15"</definedName>
    <definedName function="false" hidden="false" name="Blanc___15" vbProcedure="false">"$#REF !.$O$15"</definedName>
    <definedName function="false" hidden="false" name="Blanc___16" vbProcedure="false">"$#REF !.$O$15"</definedName>
    <definedName function="false" hidden="false" name="Blanc___17" vbProcedure="false">"$#REF !.$O$15"</definedName>
    <definedName function="false" hidden="false" name="Blanc___18" vbProcedure="false">"$#REF !.$O$15"</definedName>
    <definedName function="false" hidden="false" name="Blanc___19" vbProcedure="false">"$#REF !.$O$15"</definedName>
    <definedName function="false" hidden="false" name="Blanc___20" vbProcedure="false">"$#REF !.$O$15"</definedName>
    <definedName function="false" hidden="false" name="Blanc___21" vbProcedure="false">"$#REF !.$O$15"</definedName>
    <definedName function="false" hidden="false" name="Blanc___22" vbProcedure="false">"$#REF !.$O$15"</definedName>
    <definedName function="false" hidden="false" name="Blanc___23" vbProcedure="false">"$#REF !.$O$15"</definedName>
    <definedName function="false" hidden="false" name="Blanc___24" vbProcedure="false">"$#REF !.$O$16"</definedName>
    <definedName function="false" hidden="false" name="Blanc___24_11" vbProcedure="false">"$#REF !.$O$16"</definedName>
    <definedName function="false" hidden="false" name="Blanc___24_13" vbProcedure="false">"$#REF !.$O$16"</definedName>
    <definedName function="false" hidden="false" name="Blanc___24_15" vbProcedure="false">"$#REF !.$O$16"</definedName>
    <definedName function="false" hidden="false" name="Blanc___24_17" vbProcedure="false">"$#REF !.$O$16"</definedName>
    <definedName function="false" hidden="false" name="Blanc___24_19" vbProcedure="false">"$#REF !.$O$16"</definedName>
    <definedName function="false" hidden="false" name="Blanc___24_21" vbProcedure="false">"$#REF !.$O$16"</definedName>
    <definedName function="false" hidden="false" name="Blanc___24_23" vbProcedure="false">"$#REF !.$O$16"</definedName>
    <definedName function="false" hidden="false" name="Blanc___24_25" vbProcedure="false">"$#REF !.$O$16"</definedName>
    <definedName function="false" hidden="false" name="Blanc___24_27" vbProcedure="false">"$#REF !.$O$16"</definedName>
    <definedName function="false" hidden="false" name="Blanc___24_29" vbProcedure="false">"$#REF !.$O$16"</definedName>
    <definedName function="false" hidden="false" name="Blanc___24_31" vbProcedure="false">"$#REF !.$O$16"</definedName>
    <definedName function="false" hidden="false" name="Blanc___24_33" vbProcedure="false">"$#REF !.$O$16"</definedName>
    <definedName function="false" hidden="false" name="Blanc___24_35" vbProcedure="false">"$#REF !.$O$16"</definedName>
    <definedName function="false" hidden="false" name="Blanc___24_37" vbProcedure="false">"$#REF !.$O$16"</definedName>
    <definedName function="false" hidden="false" name="Blanc___24_39" vbProcedure="false">"$#REF !.$O$16"</definedName>
    <definedName function="false" hidden="false" name="Blanc___24_41" vbProcedure="false">"$#REF !.$O$16"</definedName>
    <definedName function="false" hidden="false" name="Blanc___24_43" vbProcedure="false">"$#REF !.$O$16"</definedName>
    <definedName function="false" hidden="false" name="Blanc___24_45" vbProcedure="false">"$#REF !.$O$16"</definedName>
    <definedName function="false" hidden="false" name="Blanc___24_47" vbProcedure="false">"$#REF !.$O$16"</definedName>
    <definedName function="false" hidden="false" name="Blanc___24_49" vbProcedure="false">"$#REF !.$O$16"</definedName>
    <definedName function="false" hidden="false" name="Blanc___24_51" vbProcedure="false">"$#REF !.$O$16"</definedName>
    <definedName function="false" hidden="false" name="Blanc___24_53" vbProcedure="false">"$#REF !.$O$16"</definedName>
    <definedName function="false" hidden="false" name="Blanc___24_55" vbProcedure="false">"$#REF !.$O$16"</definedName>
    <definedName function="false" hidden="false" name="Blanc___24_57" vbProcedure="false">"$#REF !.$O$16"</definedName>
    <definedName function="false" hidden="false" name="Blanc___24_59" vbProcedure="false">"$#REF !.$O$16"</definedName>
    <definedName function="false" hidden="false" name="Blanc___24_61" vbProcedure="false">"$#REF !.$O$16"</definedName>
    <definedName function="false" hidden="false" name="Blanc___24_63" vbProcedure="false">"$#REF !.$O$16"</definedName>
    <definedName function="false" hidden="false" name="Blanc___24_65" vbProcedure="false">"$#REF !.$O$16"</definedName>
    <definedName function="false" hidden="false" name="Blanc___24_67" vbProcedure="false">"$#REF !.$O$16"</definedName>
    <definedName function="false" hidden="false" name="Blanc___24_69" vbProcedure="false">"$#REF !.$O$16"</definedName>
    <definedName function="false" hidden="false" name="Blanc___24_71" vbProcedure="false">"$#REF !.$O$16"</definedName>
    <definedName function="false" hidden="false" name="Blanc___24_73" vbProcedure="false">"$#REF !.$O$16"</definedName>
    <definedName function="false" hidden="false" name="Blanc___24_75" vbProcedure="false">"$#REF !.$O$16"</definedName>
    <definedName function="false" hidden="false" name="Blanc___24_77" vbProcedure="false">"$#REF !.$O$16"</definedName>
    <definedName function="false" hidden="false" name="Blanc___24_79" vbProcedure="false">"$#REF !.$O$16"</definedName>
    <definedName function="false" hidden="false" name="Blanc___24_81" vbProcedure="false">"$#REF !.$O$16"</definedName>
    <definedName function="false" hidden="false" name="Blanc___24_83" vbProcedure="false">001_01!$O$15</definedName>
    <definedName function="false" hidden="false" name="Blanc___24_83_2" vbProcedure="false">"$#REF !.$O$16"</definedName>
    <definedName function="false" hidden="false" name="Blanc___24_83_3" vbProcedure="false">#REF!</definedName>
    <definedName function="false" hidden="false" name="Blanc___24_83_3_1" vbProcedure="false">"$#REF !.$O$16"</definedName>
    <definedName function="false" hidden="false" name="Blanc___24_83_4" vbProcedure="false">#REF!</definedName>
    <definedName function="false" hidden="false" name="Blanc___24_83_4_1" vbProcedure="false">"$#REF !.$O$16"</definedName>
    <definedName function="false" hidden="false" name="Blanc___24_83_5" vbProcedure="false">#REF!</definedName>
    <definedName function="false" hidden="false" name="Blanc___24_83_5_1" vbProcedure="false">"$#REF !.$O$16"</definedName>
    <definedName function="false" hidden="false" name="Blanc___24_83_6" vbProcedure="false">#REF!</definedName>
    <definedName function="false" hidden="false" name="Blanc___24_83_6_1" vbProcedure="false">"$#REF !.$O$16"</definedName>
    <definedName function="false" hidden="false" name="Blanc___24_83_7" vbProcedure="false">#REF!</definedName>
    <definedName function="false" hidden="false" name="Blanc___24_83_7_1" vbProcedure="false">"$#REF !.$O$16"</definedName>
    <definedName function="false" hidden="false" name="Blanc___25" vbProcedure="false">"$#REF !.$O$16"</definedName>
    <definedName function="false" hidden="false" name="Blanc___26" vbProcedure="false">"$#REF !.$O$16"</definedName>
    <definedName function="false" hidden="false" name="Blanc___27" vbProcedure="false">"$#REF !.$O$16"</definedName>
    <definedName function="false" hidden="false" name="Blanc___28" vbProcedure="false">"$#REF !.$O$16"</definedName>
    <definedName function="false" hidden="false" name="Blanc___3" vbProcedure="false">"$#REF !.$O$15"</definedName>
    <definedName function="false" hidden="false" name="Blanc___33" vbProcedure="false">"$#REF !.$O$15"</definedName>
    <definedName function="false" hidden="false" name="Blanc___33_89" vbProcedure="false">#REF!</definedName>
    <definedName function="false" hidden="false" name="Blanc___4" vbProcedure="false">"$#REF !.$O$15"</definedName>
    <definedName function="false" hidden="false" name="Blanc___5" vbProcedure="false">"$#REF !.$O$15"</definedName>
    <definedName function="false" hidden="false" name="Blanc___6" vbProcedure="false">"$#REF !.$O$15"</definedName>
    <definedName function="false" hidden="false" name="Blanc___7" vbProcedure="false">"$#REF !.$O$15"</definedName>
    <definedName function="false" hidden="false" name="Blanc___8" vbProcedure="false">"$#REF !.$O$15"</definedName>
    <definedName function="false" hidden="false" name="Blanc___9" vbProcedure="false">"$#REF !.$O$15"</definedName>
    <definedName function="false" hidden="false" name="CASSES_1" vbProcedure="false">#REF!</definedName>
    <definedName function="false" hidden="false" name="Correction_10ml" vbProcedure="false">[3]corrections_de_vol_!$G$9</definedName>
    <definedName function="false" hidden="false" name="correction_5ml" vbProcedure="false">#REF!</definedName>
    <definedName function="false" hidden="false" name="correction_react" vbProcedure="false">#REF!</definedName>
    <definedName function="false" hidden="false" name="densite_eau_pure_20" vbProcedure="false">[4]TITRE_IODATE!$F$14</definedName>
    <definedName function="false" hidden="false" name="Flacons_N" vbProcedure="false">#REF!</definedName>
    <definedName function="false" hidden="false" name="NORMALITE" vbProcedure="false">"$#REF !.$O$11"</definedName>
    <definedName function="false" hidden="false" name="NORMALITE___0" vbProcedure="false">"$#REF !.$O$11"</definedName>
    <definedName function="false" hidden="false" name="NORMALITE___0_89" vbProcedure="false">#REF!</definedName>
    <definedName function="false" hidden="false" name="NORMALITE___1" vbProcedure="false">"$#REF !.$O$11"</definedName>
    <definedName function="false" hidden="false" name="NORMALITE___10" vbProcedure="false">"$#REF !.$O$11"</definedName>
    <definedName function="false" hidden="false" name="NORMALITE___11" vbProcedure="false">"$#REF !.$O$11"</definedName>
    <definedName function="false" hidden="false" name="NORMALITE___12" vbProcedure="false">"$#REF !.$O$11"</definedName>
    <definedName function="false" hidden="false" name="NORMALITE___13" vbProcedure="false">"$#REF !.$O$11"</definedName>
    <definedName function="false" hidden="false" name="NORMALITE___14" vbProcedure="false">"$#REF !.$O$11"</definedName>
    <definedName function="false" hidden="false" name="NORMALITE___15" vbProcedure="false">"$#REF !.$O$11"</definedName>
    <definedName function="false" hidden="false" name="NORMALITE___16" vbProcedure="false">"$#REF !.$O$11"</definedName>
    <definedName function="false" hidden="false" name="NORMALITE___17" vbProcedure="false">"$#REF !.$O$11"</definedName>
    <definedName function="false" hidden="false" name="NORMALITE___18" vbProcedure="false">"$#REF !.$O$11"</definedName>
    <definedName function="false" hidden="false" name="NORMALITE___19" vbProcedure="false">"$#REF !.$O$11"</definedName>
    <definedName function="false" hidden="false" name="NORMALITE___20" vbProcedure="false">"$#REF !.$O$11"</definedName>
    <definedName function="false" hidden="false" name="NORMALITE___21" vbProcedure="false">"$#REF !.$O$11"</definedName>
    <definedName function="false" hidden="false" name="NORMALITE___22" vbProcedure="false">"$#REF !.$O$11"</definedName>
    <definedName function="false" hidden="false" name="NORMALITE___23" vbProcedure="false">"$#REF !.$O$11"</definedName>
    <definedName function="false" hidden="false" name="NORMALITE___24" vbProcedure="false">"$#REF !.$O$12"</definedName>
    <definedName function="false" hidden="false" name="NORMALITE___24_11" vbProcedure="false">"$#REF !.$O$12"</definedName>
    <definedName function="false" hidden="false" name="NORMALITE___24_13" vbProcedure="false">"$#REF !.$O$12"</definedName>
    <definedName function="false" hidden="false" name="NORMALITE___24_15" vbProcedure="false">"$#REF !.$O$12"</definedName>
    <definedName function="false" hidden="false" name="NORMALITE___24_17" vbProcedure="false">"$#REF !.$O$12"</definedName>
    <definedName function="false" hidden="false" name="NORMALITE___24_19" vbProcedure="false">"$#REF !.$O$12"</definedName>
    <definedName function="false" hidden="false" name="NORMALITE___24_21" vbProcedure="false">"$#REF !.$O$12"</definedName>
    <definedName function="false" hidden="false" name="NORMALITE___24_23" vbProcedure="false">"$#REF !.$O$12"</definedName>
    <definedName function="false" hidden="false" name="NORMALITE___24_25" vbProcedure="false">"$#REF !.$O$12"</definedName>
    <definedName function="false" hidden="false" name="NORMALITE___24_27" vbProcedure="false">"$#REF !.$O$12"</definedName>
    <definedName function="false" hidden="false" name="NORMALITE___24_29" vbProcedure="false">"$#REF !.$O$12"</definedName>
    <definedName function="false" hidden="false" name="NORMALITE___24_31" vbProcedure="false">"$#REF !.$O$12"</definedName>
    <definedName function="false" hidden="false" name="NORMALITE___24_33" vbProcedure="false">"$#REF !.$O$12"</definedName>
    <definedName function="false" hidden="false" name="NORMALITE___24_35" vbProcedure="false">"$#REF !.$O$12"</definedName>
    <definedName function="false" hidden="false" name="NORMALITE___24_37" vbProcedure="false">"$#REF !.$O$12"</definedName>
    <definedName function="false" hidden="false" name="NORMALITE___24_39" vbProcedure="false">"$#REF !.$O$12"</definedName>
    <definedName function="false" hidden="false" name="NORMALITE___24_41" vbProcedure="false">"$#REF !.$O$12"</definedName>
    <definedName function="false" hidden="false" name="NORMALITE___24_43" vbProcedure="false">"$#REF !.$O$12"</definedName>
    <definedName function="false" hidden="false" name="NORMALITE___24_45" vbProcedure="false">"$#REF !.$O$12"</definedName>
    <definedName function="false" hidden="false" name="NORMALITE___24_47" vbProcedure="false">"$#REF !.$O$12"</definedName>
    <definedName function="false" hidden="false" name="NORMALITE___24_49" vbProcedure="false">"$#REF !.$O$12"</definedName>
    <definedName function="false" hidden="false" name="NORMALITE___24_51" vbProcedure="false">"$#REF !.$O$12"</definedName>
    <definedName function="false" hidden="false" name="NORMALITE___24_53" vbProcedure="false">"$#REF !.$O$12"</definedName>
    <definedName function="false" hidden="false" name="NORMALITE___24_55" vbProcedure="false">"$#REF !.$O$12"</definedName>
    <definedName function="false" hidden="false" name="NORMALITE___24_57" vbProcedure="false">"$#REF !.$O$12"</definedName>
    <definedName function="false" hidden="false" name="NORMALITE___24_59" vbProcedure="false">"$#REF !.$O$12"</definedName>
    <definedName function="false" hidden="false" name="NORMALITE___24_61" vbProcedure="false">"$#REF !.$O$12"</definedName>
    <definedName function="false" hidden="false" name="NORMALITE___24_63" vbProcedure="false">"$#REF !.$O$12"</definedName>
    <definedName function="false" hidden="false" name="NORMALITE___24_65" vbProcedure="false">"$#REF !.$O$12"</definedName>
    <definedName function="false" hidden="false" name="NORMALITE___24_67" vbProcedure="false">"$#REF !.$O$12"</definedName>
    <definedName function="false" hidden="false" name="NORMALITE___24_69" vbProcedure="false">"$#REF !.$O$12"</definedName>
    <definedName function="false" hidden="false" name="NORMALITE___24_71" vbProcedure="false">"$#REF !.$O$12"</definedName>
    <definedName function="false" hidden="false" name="NORMALITE___24_73" vbProcedure="false">"$#REF !.$O$12"</definedName>
    <definedName function="false" hidden="false" name="NORMALITE___24_75" vbProcedure="false">"$#REF !.$O$12"</definedName>
    <definedName function="false" hidden="false" name="NORMALITE___24_77" vbProcedure="false">"$#REF !.$O$12"</definedName>
    <definedName function="false" hidden="false" name="NORMALITE___24_79" vbProcedure="false">"$#REF !.$O$12"</definedName>
    <definedName function="false" hidden="false" name="NORMALITE___24_81" vbProcedure="false">"$#REF !.$O$12"</definedName>
    <definedName function="false" hidden="false" name="NORMALITE___24_83" vbProcedure="false">001_01!$O$11</definedName>
    <definedName function="false" hidden="false" name="NORMALITE___24_83_2" vbProcedure="false">"$#REF !.$O$12"</definedName>
    <definedName function="false" hidden="false" name="NORMALITE___24_83_3" vbProcedure="false">#REF!</definedName>
    <definedName function="false" hidden="false" name="NORMALITE___24_83_3_1" vbProcedure="false">"$#REF !.$O$12"</definedName>
    <definedName function="false" hidden="false" name="NORMALITE___24_83_4" vbProcedure="false">#REF!</definedName>
    <definedName function="false" hidden="false" name="NORMALITE___24_83_4_1" vbProcedure="false">"$#REF !.$O$12"</definedName>
    <definedName function="false" hidden="false" name="NORMALITE___24_83_5" vbProcedure="false">#REF!</definedName>
    <definedName function="false" hidden="false" name="NORMALITE___24_83_5_1" vbProcedure="false">"$#REF !.$O$12"</definedName>
    <definedName function="false" hidden="false" name="NORMALITE___24_83_6" vbProcedure="false">#REF!</definedName>
    <definedName function="false" hidden="false" name="NORMALITE___24_83_6_1" vbProcedure="false">"$#REF !.$O$12"</definedName>
    <definedName function="false" hidden="false" name="NORMALITE___24_83_7" vbProcedure="false">#REF!</definedName>
    <definedName function="false" hidden="false" name="NORMALITE___24_83_7_1" vbProcedure="false">"$#REF !.$O$12"</definedName>
    <definedName function="false" hidden="false" name="NORMALITE___25" vbProcedure="false">"$#REF !.$O$12"</definedName>
    <definedName function="false" hidden="false" name="NORMALITE___26" vbProcedure="false">"$#REF !.$O$12"</definedName>
    <definedName function="false" hidden="false" name="NORMALITE___27" vbProcedure="false">"$#REF !.$O$12"</definedName>
    <definedName function="false" hidden="false" name="NORMALITE___28" vbProcedure="false">"$#REF !.$O$12"</definedName>
    <definedName function="false" hidden="false" name="NORMALITE___3" vbProcedure="false">"$#REF !.$O$11"</definedName>
    <definedName function="false" hidden="false" name="NORMALITE___4" vbProcedure="false">"$#REF !.$O$11"</definedName>
    <definedName function="false" hidden="false" name="NORMALITE___5" vbProcedure="false">"$#REF !.$O$11"</definedName>
    <definedName function="false" hidden="false" name="NORMALITE___6" vbProcedure="false">"$#REF !.$O$11"</definedName>
    <definedName function="false" hidden="false" name="NORMALITE___7" vbProcedure="false">"$#REF !.$O$11"</definedName>
    <definedName function="false" hidden="false" name="NORMALITE___8" vbProcedure="false">"$#REF !.$O$11"</definedName>
    <definedName function="false" hidden="false" name="NORMALITE___9" vbProcedure="false">"$#REF !.$O$11"</definedName>
    <definedName function="false" hidden="false" name="N_iodate" vbProcedure="false">"$#REF !.$O$18"</definedName>
    <definedName function="false" hidden="false" name="N_iodate___0" vbProcedure="false">"$#REF !.$E$10"</definedName>
    <definedName function="false" hidden="false" name="N_iodate___1" vbProcedure="false">"$#REF !.$O$18"</definedName>
    <definedName function="false" hidden="false" name="N_iodate___10" vbProcedure="false">"$#REF !.$O$18"</definedName>
    <definedName function="false" hidden="false" name="N_iodate___11" vbProcedure="false">"$#REF !.$O$18"</definedName>
    <definedName function="false" hidden="false" name="N_iodate___12" vbProcedure="false">"$#REF !.$O$18"</definedName>
    <definedName function="false" hidden="false" name="N_iodate___13" vbProcedure="false">"$#REF !.$O$18"</definedName>
    <definedName function="false" hidden="false" name="N_iodate___14" vbProcedure="false">"$#REF !.$O$18"</definedName>
    <definedName function="false" hidden="false" name="N_iodate___15" vbProcedure="false">"$#REF !.$O$18"</definedName>
    <definedName function="false" hidden="false" name="N_iodate___16" vbProcedure="false">"$#REF !.$O$18"</definedName>
    <definedName function="false" hidden="false" name="N_iodate___17" vbProcedure="false">"$#REF !.$O$18"</definedName>
    <definedName function="false" hidden="false" name="N_iodate___18" vbProcedure="false">"$#REF !.$O$18"</definedName>
    <definedName function="false" hidden="false" name="N_iodate___19" vbProcedure="false">"$#REF !.$O$18"</definedName>
    <definedName function="false" hidden="false" name="N_iodate___20" vbProcedure="false">"$#REF !.$O$18"</definedName>
    <definedName function="false" hidden="false" name="N_iodate___21" vbProcedure="false">"$#REF !.$O$18"</definedName>
    <definedName function="false" hidden="false" name="N_iodate___22" vbProcedure="false">"$#REF !.$O$18"</definedName>
    <definedName function="false" hidden="false" name="N_iodate___23" vbProcedure="false">"$#REF !.$O$18"</definedName>
    <definedName function="false" hidden="false" name="N_iodate___24" vbProcedure="false">"$#REF !.$O$19"</definedName>
    <definedName function="false" hidden="false" name="N_iodate___24_11" vbProcedure="false">"$#REF !.$O$19"</definedName>
    <definedName function="false" hidden="false" name="N_iodate___24_13" vbProcedure="false">"$#REF !.$O$19"</definedName>
    <definedName function="false" hidden="false" name="N_iodate___24_15" vbProcedure="false">"$#REF !.$O$19"</definedName>
    <definedName function="false" hidden="false" name="N_iodate___24_17" vbProcedure="false">"$#REF !.$O$19"</definedName>
    <definedName function="false" hidden="false" name="N_iodate___24_19" vbProcedure="false">"$#REF !.$O$19"</definedName>
    <definedName function="false" hidden="false" name="N_iodate___24_21" vbProcedure="false">"$#REF !.$O$19"</definedName>
    <definedName function="false" hidden="false" name="N_iodate___24_23" vbProcedure="false">"$#REF !.$O$19"</definedName>
    <definedName function="false" hidden="false" name="N_iodate___24_25" vbProcedure="false">"$#REF !.$O$19"</definedName>
    <definedName function="false" hidden="false" name="N_iodate___24_27" vbProcedure="false">"$#REF !.$O$19"</definedName>
    <definedName function="false" hidden="false" name="N_iodate___24_29" vbProcedure="false">"$#REF !.$O$19"</definedName>
    <definedName function="false" hidden="false" name="N_iodate___24_31" vbProcedure="false">"$#REF !.$O$19"</definedName>
    <definedName function="false" hidden="false" name="N_iodate___24_33" vbProcedure="false">"$#REF !.$O$19"</definedName>
    <definedName function="false" hidden="false" name="N_iodate___24_35" vbProcedure="false">"$#REF !.$O$19"</definedName>
    <definedName function="false" hidden="false" name="N_iodate___24_37" vbProcedure="false">"$#REF !.$O$19"</definedName>
    <definedName function="false" hidden="false" name="N_iodate___24_39" vbProcedure="false">"$#REF !.$O$19"</definedName>
    <definedName function="false" hidden="false" name="N_iodate___24_41" vbProcedure="false">"$#REF !.$O$19"</definedName>
    <definedName function="false" hidden="false" name="N_iodate___24_43" vbProcedure="false">"$#REF !.$O$19"</definedName>
    <definedName function="false" hidden="false" name="N_iodate___24_45" vbProcedure="false">"$#REF !.$O$19"</definedName>
    <definedName function="false" hidden="false" name="N_iodate___24_47" vbProcedure="false">"$#REF !.$O$19"</definedName>
    <definedName function="false" hidden="false" name="N_iodate___24_49" vbProcedure="false">"$#REF !.$O$19"</definedName>
    <definedName function="false" hidden="false" name="N_iodate___24_51" vbProcedure="false">"$#REF !.$O$19"</definedName>
    <definedName function="false" hidden="false" name="N_iodate___24_53" vbProcedure="false">"$#REF !.$O$19"</definedName>
    <definedName function="false" hidden="false" name="N_iodate___24_55" vbProcedure="false">"$#REF !.$O$19"</definedName>
    <definedName function="false" hidden="false" name="N_iodate___24_57" vbProcedure="false">"$#REF !.$O$19"</definedName>
    <definedName function="false" hidden="false" name="N_iodate___24_59" vbProcedure="false">"$#REF !.$O$19"</definedName>
    <definedName function="false" hidden="false" name="N_iodate___24_61" vbProcedure="false">"$#REF !.$O$19"</definedName>
    <definedName function="false" hidden="false" name="N_iodate___24_63" vbProcedure="false">"$#REF !.$O$19"</definedName>
    <definedName function="false" hidden="false" name="N_iodate___24_65" vbProcedure="false">"$#REF !.$O$19"</definedName>
    <definedName function="false" hidden="false" name="N_iodate___24_67" vbProcedure="false">"$#REF !.$O$19"</definedName>
    <definedName function="false" hidden="false" name="N_iodate___24_69" vbProcedure="false">"$#REF !.$O$19"</definedName>
    <definedName function="false" hidden="false" name="N_iodate___24_71" vbProcedure="false">"$#REF !.$O$19"</definedName>
    <definedName function="false" hidden="false" name="N_iodate___24_73" vbProcedure="false">"$#REF !.$O$19"</definedName>
    <definedName function="false" hidden="false" name="N_iodate___24_75" vbProcedure="false">"$#REF !.$O$19"</definedName>
    <definedName function="false" hidden="false" name="N_iodate___24_77" vbProcedure="false">"$#REF !.$O$19"</definedName>
    <definedName function="false" hidden="false" name="N_iodate___24_79" vbProcedure="false">"$#REF !.$O$19"</definedName>
    <definedName function="false" hidden="false" name="N_iodate___24_81" vbProcedure="false">"$#REF !.$O$19"</definedName>
    <definedName function="false" hidden="false" name="N_iodate___24_83_2" vbProcedure="false">"$#REF !.$O$19"</definedName>
    <definedName function="false" hidden="false" name="N_iodate___24_83_3" vbProcedure="false">#REF!</definedName>
    <definedName function="false" hidden="false" name="N_iodate___24_83_3_1" vbProcedure="false">"$#REF !.$O$19"</definedName>
    <definedName function="false" hidden="false" name="N_iodate___24_83_4" vbProcedure="false">#REF!</definedName>
    <definedName function="false" hidden="false" name="N_iodate___24_83_4_1" vbProcedure="false">"$#REF !.$O$19"</definedName>
    <definedName function="false" hidden="false" name="N_iodate___24_83_5" vbProcedure="false">#REF!</definedName>
    <definedName function="false" hidden="false" name="N_iodate___24_83_5_1" vbProcedure="false">"$#REF !.$O$19"</definedName>
    <definedName function="false" hidden="false" name="N_iodate___24_83_6" vbProcedure="false">#REF!</definedName>
    <definedName function="false" hidden="false" name="N_iodate___24_83_6_1" vbProcedure="false">"$#REF !.$O$19"</definedName>
    <definedName function="false" hidden="false" name="N_iodate___24_83_7" vbProcedure="false">#REF!</definedName>
    <definedName function="false" hidden="false" name="N_iodate___24_83_7_1" vbProcedure="false">"$#REF !.$O$19"</definedName>
    <definedName function="false" hidden="false" name="N_iodate___25" vbProcedure="false">"$#REF !.$O$19"</definedName>
    <definedName function="false" hidden="false" name="N_iodate___26" vbProcedure="false">"$#REF !.$O$19"</definedName>
    <definedName function="false" hidden="false" name="N_iodate___27" vbProcedure="false">"$#REF !.$O$19"</definedName>
    <definedName function="false" hidden="false" name="N_iodate___28" vbProcedure="false">"$#REF !.$O$19"</definedName>
    <definedName function="false" hidden="false" name="N_iodate___3" vbProcedure="false">"$#REF !.$O$18"</definedName>
    <definedName function="false" hidden="false" name="N_iodate___33" vbProcedure="false">"$#REF !.$O$18"</definedName>
    <definedName function="false" hidden="false" name="N_iodate___33_89" vbProcedure="false">#REF!</definedName>
    <definedName function="false" hidden="false" name="N_iodate___4" vbProcedure="false">"$#REF !.$O$18"</definedName>
    <definedName function="false" hidden="false" name="N_iodate___5" vbProcedure="false">"$#REF !.$O$18"</definedName>
    <definedName function="false" hidden="false" name="N_iodate___6" vbProcedure="false">"$#REF !.$O$18"</definedName>
    <definedName function="false" hidden="false" name="N_iodate___7" vbProcedure="false">"$#REF !.$O$18"</definedName>
    <definedName function="false" hidden="false" name="N_iodate___8" vbProcedure="false">"$#REF !.$O$18"</definedName>
    <definedName function="false" hidden="false" name="N_iodate___9" vbProcedure="false">"$#REF !.$O$18"</definedName>
    <definedName function="false" hidden="false" name="Volume_du_flacon" vbProcedure="false">"$#REF !.$B$14"</definedName>
    <definedName function="false" hidden="false" name="Vol_Flacons" vbProcedure="false">#REF!</definedName>
    <definedName function="false" hidden="false" name="Vol_iodate" vbProcedure="false">"$#REF !.$O$12"</definedName>
    <definedName function="false" hidden="false" name="vol_iodate_tc" vbProcedure="false">"$#REF !.$O$13"</definedName>
    <definedName function="false" hidden="false" name="vol_iodate_tc___0" vbProcedure="false">"$#REF !.$O$13"</definedName>
    <definedName function="false" hidden="false" name="vol_iodate_tc___0_89" vbProcedure="false">#REF!</definedName>
    <definedName function="false" hidden="false" name="vol_iodate_tc___1" vbProcedure="false">"$#REF !.$O$13"</definedName>
    <definedName function="false" hidden="false" name="vol_iodate_tc___10" vbProcedure="false">"$#REF !.$O$13"</definedName>
    <definedName function="false" hidden="false" name="vol_iodate_tc___11" vbProcedure="false">"$#REF !.$O$13"</definedName>
    <definedName function="false" hidden="false" name="vol_iodate_tc___12" vbProcedure="false">"$#REF !.$O$13"</definedName>
    <definedName function="false" hidden="false" name="vol_iodate_tc___13" vbProcedure="false">"$#REF !.$O$13"</definedName>
    <definedName function="false" hidden="false" name="vol_iodate_tc___14" vbProcedure="false">"$#REF !.$O$13"</definedName>
    <definedName function="false" hidden="false" name="vol_iodate_tc___15" vbProcedure="false">"$#REF !.$O$13"</definedName>
    <definedName function="false" hidden="false" name="vol_iodate_tc___16" vbProcedure="false">"$#REF !.$O$13"</definedName>
    <definedName function="false" hidden="false" name="vol_iodate_tc___17" vbProcedure="false">"$#REF !.$O$13"</definedName>
    <definedName function="false" hidden="false" name="vol_iodate_tc___18" vbProcedure="false">"$#REF !.$O$13"</definedName>
    <definedName function="false" hidden="false" name="vol_iodate_tc___19" vbProcedure="false">"$#REF !.$O$13"</definedName>
    <definedName function="false" hidden="false" name="vol_iodate_tc___20" vbProcedure="false">"$#REF !.$O$13"</definedName>
    <definedName function="false" hidden="false" name="vol_iodate_tc___21" vbProcedure="false">"$#REF !.$O$13"</definedName>
    <definedName function="false" hidden="false" name="vol_iodate_tc___22" vbProcedure="false">"$#REF !.$O$13"</definedName>
    <definedName function="false" hidden="false" name="vol_iodate_tc___23" vbProcedure="false">"$#REF !.$O$13"</definedName>
    <definedName function="false" hidden="false" name="vol_iodate_tc___24" vbProcedure="false">"$#REF !.$O$14"</definedName>
    <definedName function="false" hidden="false" name="vol_iodate_tc___24_11" vbProcedure="false">"$#REF !.$O$14"</definedName>
    <definedName function="false" hidden="false" name="vol_iodate_tc___24_13" vbProcedure="false">"$#REF !.$O$14"</definedName>
    <definedName function="false" hidden="false" name="vol_iodate_tc___24_15" vbProcedure="false">"$#REF !.$O$14"</definedName>
    <definedName function="false" hidden="false" name="vol_iodate_tc___24_17" vbProcedure="false">"$#REF !.$O$14"</definedName>
    <definedName function="false" hidden="false" name="vol_iodate_tc___24_19" vbProcedure="false">"$#REF !.$O$14"</definedName>
    <definedName function="false" hidden="false" name="vol_iodate_tc___24_21" vbProcedure="false">"$#REF !.$O$14"</definedName>
    <definedName function="false" hidden="false" name="vol_iodate_tc___24_23" vbProcedure="false">"$#REF !.$O$14"</definedName>
    <definedName function="false" hidden="false" name="vol_iodate_tc___24_25" vbProcedure="false">"$#REF !.$O$14"</definedName>
    <definedName function="false" hidden="false" name="vol_iodate_tc___24_27" vbProcedure="false">"$#REF !.$O$14"</definedName>
    <definedName function="false" hidden="false" name="vol_iodate_tc___24_29" vbProcedure="false">"$#REF !.$O$14"</definedName>
    <definedName function="false" hidden="false" name="vol_iodate_tc___24_31" vbProcedure="false">"$#REF !.$O$14"</definedName>
    <definedName function="false" hidden="false" name="vol_iodate_tc___24_33" vbProcedure="false">"$#REF !.$O$14"</definedName>
    <definedName function="false" hidden="false" name="vol_iodate_tc___24_35" vbProcedure="false">"$#REF !.$O$14"</definedName>
    <definedName function="false" hidden="false" name="vol_iodate_tc___24_37" vbProcedure="false">"$#REF !.$O$14"</definedName>
    <definedName function="false" hidden="false" name="vol_iodate_tc___24_39" vbProcedure="false">"$#REF !.$O$14"</definedName>
    <definedName function="false" hidden="false" name="vol_iodate_tc___24_41" vbProcedure="false">"$#REF !.$O$14"</definedName>
    <definedName function="false" hidden="false" name="vol_iodate_tc___24_43" vbProcedure="false">"$#REF !.$O$14"</definedName>
    <definedName function="false" hidden="false" name="vol_iodate_tc___24_45" vbProcedure="false">"$#REF !.$O$14"</definedName>
    <definedName function="false" hidden="false" name="vol_iodate_tc___24_47" vbProcedure="false">"$#REF !.$O$14"</definedName>
    <definedName function="false" hidden="false" name="vol_iodate_tc___24_49" vbProcedure="false">"$#REF !.$O$14"</definedName>
    <definedName function="false" hidden="false" name="vol_iodate_tc___24_51" vbProcedure="false">"$#REF !.$O$14"</definedName>
    <definedName function="false" hidden="false" name="vol_iodate_tc___24_53" vbProcedure="false">"$#REF !.$O$14"</definedName>
    <definedName function="false" hidden="false" name="vol_iodate_tc___24_55" vbProcedure="false">"$#REF !.$O$14"</definedName>
    <definedName function="false" hidden="false" name="vol_iodate_tc___24_57" vbProcedure="false">"$#REF !.$O$14"</definedName>
    <definedName function="false" hidden="false" name="vol_iodate_tc___24_59" vbProcedure="false">"$#REF !.$O$14"</definedName>
    <definedName function="false" hidden="false" name="vol_iodate_tc___24_61" vbProcedure="false">"$#REF !.$O$14"</definedName>
    <definedName function="false" hidden="false" name="vol_iodate_tc___24_63" vbProcedure="false">"$#REF !.$O$14"</definedName>
    <definedName function="false" hidden="false" name="vol_iodate_tc___24_65" vbProcedure="false">"$#REF !.$O$14"</definedName>
    <definedName function="false" hidden="false" name="vol_iodate_tc___24_67" vbProcedure="false">"$#REF !.$O$14"</definedName>
    <definedName function="false" hidden="false" name="vol_iodate_tc___24_69" vbProcedure="false">"$#REF !.$O$14"</definedName>
    <definedName function="false" hidden="false" name="vol_iodate_tc___24_71" vbProcedure="false">"$#REF !.$O$14"</definedName>
    <definedName function="false" hidden="false" name="vol_iodate_tc___24_73" vbProcedure="false">"$#REF !.$O$14"</definedName>
    <definedName function="false" hidden="false" name="vol_iodate_tc___24_75" vbProcedure="false">"$#REF !.$O$14"</definedName>
    <definedName function="false" hidden="false" name="vol_iodate_tc___24_77" vbProcedure="false">"$#REF !.$O$14"</definedName>
    <definedName function="false" hidden="false" name="vol_iodate_tc___24_79" vbProcedure="false">"$#REF !.$O$14"</definedName>
    <definedName function="false" hidden="false" name="vol_iodate_tc___24_81" vbProcedure="false">"$#REF !.$O$14"</definedName>
    <definedName function="false" hidden="false" name="vol_iodate_tc___24_83" vbProcedure="false">001_01!$O$13</definedName>
    <definedName function="false" hidden="false" name="vol_iodate_tc___24_83_2" vbProcedure="false">"$#REF !.$O$14"</definedName>
    <definedName function="false" hidden="false" name="vol_iodate_tc___24_83_3" vbProcedure="false">#REF!</definedName>
    <definedName function="false" hidden="false" name="vol_iodate_tc___24_83_3_1" vbProcedure="false">"$#REF !.$O$14"</definedName>
    <definedName function="false" hidden="false" name="vol_iodate_tc___24_83_4" vbProcedure="false">#REF!</definedName>
    <definedName function="false" hidden="false" name="vol_iodate_tc___24_83_4_1" vbProcedure="false">"$#REF !.$O$14"</definedName>
    <definedName function="false" hidden="false" name="vol_iodate_tc___24_83_5" vbProcedure="false">#REF!</definedName>
    <definedName function="false" hidden="false" name="vol_iodate_tc___24_83_5_1" vbProcedure="false">"$#REF !.$O$14"</definedName>
    <definedName function="false" hidden="false" name="vol_iodate_tc___24_83_6" vbProcedure="false">#REF!</definedName>
    <definedName function="false" hidden="false" name="vol_iodate_tc___24_83_6_1" vbProcedure="false">"$#REF !.$O$14"</definedName>
    <definedName function="false" hidden="false" name="vol_iodate_tc___24_83_7" vbProcedure="false">#REF!</definedName>
    <definedName function="false" hidden="false" name="vol_iodate_tc___24_83_7_1" vbProcedure="false">"$#REF !.$O$14"</definedName>
    <definedName function="false" hidden="false" name="vol_iodate_tc___25" vbProcedure="false">"$#REF !.$O$14"</definedName>
    <definedName function="false" hidden="false" name="vol_iodate_tc___26" vbProcedure="false">"$#REF !.$O$14"</definedName>
    <definedName function="false" hidden="false" name="vol_iodate_tc___27" vbProcedure="false">"$#REF !.$O$14"</definedName>
    <definedName function="false" hidden="false" name="vol_iodate_tc___28" vbProcedure="false">"$#REF !.$O$14"</definedName>
    <definedName function="false" hidden="false" name="vol_iodate_tc___3" vbProcedure="false">"$#REF !.$O$13"</definedName>
    <definedName function="false" hidden="false" name="vol_iodate_tc___4" vbProcedure="false">"$#REF !.$O$13"</definedName>
    <definedName function="false" hidden="false" name="vol_iodate_tc___5" vbProcedure="false">"$#REF !.$O$13"</definedName>
    <definedName function="false" hidden="false" name="vol_iodate_tc___6" vbProcedure="false">"$#REF !.$O$13"</definedName>
    <definedName function="false" hidden="false" name="vol_iodate_tc___7" vbProcedure="false">"$#REF !.$O$13"</definedName>
    <definedName function="false" hidden="false" name="vol_iodate_tc___8" vbProcedure="false">"$#REF !.$O$13"</definedName>
    <definedName function="false" hidden="false" name="vol_iodate_tc___9" vbProcedure="false">"$#REF !.$O$13"</definedName>
    <definedName function="false" hidden="false" name="Vol_iodate___0" vbProcedure="false">"$#REF !.$E$11"</definedName>
    <definedName function="false" hidden="false" name="Vol_iodate___1" vbProcedure="false">"$#REF !.$O$12"</definedName>
    <definedName function="false" hidden="false" name="Vol_iodate___10" vbProcedure="false">"$#REF !.$O$12"</definedName>
    <definedName function="false" hidden="false" name="Vol_iodate___11" vbProcedure="false">"$#REF !.$O$12"</definedName>
    <definedName function="false" hidden="false" name="Vol_iodate___12" vbProcedure="false">"$#REF !.$O$12"</definedName>
    <definedName function="false" hidden="false" name="Vol_iodate___13" vbProcedure="false">"$#REF !.$O$12"</definedName>
    <definedName function="false" hidden="false" name="Vol_iodate___14" vbProcedure="false">"$#REF !.$O$12"</definedName>
    <definedName function="false" hidden="false" name="Vol_iodate___15" vbProcedure="false">"$#REF !.$O$12"</definedName>
    <definedName function="false" hidden="false" name="Vol_iodate___16" vbProcedure="false">"$#REF !.$O$12"</definedName>
    <definedName function="false" hidden="false" name="Vol_iodate___17" vbProcedure="false">"$#REF !.$O$12"</definedName>
    <definedName function="false" hidden="false" name="Vol_iodate___18" vbProcedure="false">"$#REF !.$O$12"</definedName>
    <definedName function="false" hidden="false" name="Vol_iodate___19" vbProcedure="false">"$#REF !.$O$12"</definedName>
    <definedName function="false" hidden="false" name="Vol_iodate___20" vbProcedure="false">"$#REF !.$O$12"</definedName>
    <definedName function="false" hidden="false" name="Vol_iodate___21" vbProcedure="false">"$#REF !.$O$12"</definedName>
    <definedName function="false" hidden="false" name="Vol_iodate___22" vbProcedure="false">"$#REF !.$O$12"</definedName>
    <definedName function="false" hidden="false" name="Vol_iodate___23" vbProcedure="false">"$#REF !.$O$12"</definedName>
    <definedName function="false" hidden="false" name="Vol_iodate___24" vbProcedure="false">"$#REF !.$O$13"</definedName>
    <definedName function="false" hidden="false" name="Vol_iodate___24_11" vbProcedure="false">"$#REF !.$O$13"</definedName>
    <definedName function="false" hidden="false" name="Vol_iodate___24_13" vbProcedure="false">"$#REF !.$O$13"</definedName>
    <definedName function="false" hidden="false" name="Vol_iodate___24_15" vbProcedure="false">"$#REF !.$O$13"</definedName>
    <definedName function="false" hidden="false" name="Vol_iodate___24_17" vbProcedure="false">"$#REF !.$O$13"</definedName>
    <definedName function="false" hidden="false" name="Vol_iodate___24_19" vbProcedure="false">"$#REF !.$O$13"</definedName>
    <definedName function="false" hidden="false" name="Vol_iodate___24_21" vbProcedure="false">"$#REF !.$O$13"</definedName>
    <definedName function="false" hidden="false" name="Vol_iodate___24_23" vbProcedure="false">"$#REF !.$O$13"</definedName>
    <definedName function="false" hidden="false" name="Vol_iodate___24_25" vbProcedure="false">"$#REF !.$O$13"</definedName>
    <definedName function="false" hidden="false" name="Vol_iodate___24_27" vbProcedure="false">"$#REF !.$O$13"</definedName>
    <definedName function="false" hidden="false" name="Vol_iodate___24_29" vbProcedure="false">"$#REF !.$O$13"</definedName>
    <definedName function="false" hidden="false" name="Vol_iodate___24_31" vbProcedure="false">"$#REF !.$O$13"</definedName>
    <definedName function="false" hidden="false" name="Vol_iodate___24_33" vbProcedure="false">"$#REF !.$O$13"</definedName>
    <definedName function="false" hidden="false" name="Vol_iodate___24_35" vbProcedure="false">"$#REF !.$O$13"</definedName>
    <definedName function="false" hidden="false" name="Vol_iodate___24_37" vbProcedure="false">"$#REF !.$O$13"</definedName>
    <definedName function="false" hidden="false" name="Vol_iodate___24_39" vbProcedure="false">"$#REF !.$O$13"</definedName>
    <definedName function="false" hidden="false" name="Vol_iodate___24_41" vbProcedure="false">"$#REF !.$O$13"</definedName>
    <definedName function="false" hidden="false" name="Vol_iodate___24_43" vbProcedure="false">"$#REF !.$O$13"</definedName>
    <definedName function="false" hidden="false" name="Vol_iodate___24_45" vbProcedure="false">"$#REF !.$O$13"</definedName>
    <definedName function="false" hidden="false" name="Vol_iodate___24_47" vbProcedure="false">"$#REF !.$O$13"</definedName>
    <definedName function="false" hidden="false" name="Vol_iodate___24_49" vbProcedure="false">"$#REF !.$O$13"</definedName>
    <definedName function="false" hidden="false" name="Vol_iodate___24_51" vbProcedure="false">"$#REF !.$O$13"</definedName>
    <definedName function="false" hidden="false" name="Vol_iodate___24_53" vbProcedure="false">"$#REF !.$O$13"</definedName>
    <definedName function="false" hidden="false" name="Vol_iodate___24_55" vbProcedure="false">"$#REF !.$O$13"</definedName>
    <definedName function="false" hidden="false" name="Vol_iodate___24_57" vbProcedure="false">"$#REF !.$O$13"</definedName>
    <definedName function="false" hidden="false" name="Vol_iodate___24_59" vbProcedure="false">"$#REF !.$O$13"</definedName>
    <definedName function="false" hidden="false" name="Vol_iodate___24_61" vbProcedure="false">"$#REF !.$O$13"</definedName>
    <definedName function="false" hidden="false" name="Vol_iodate___24_63" vbProcedure="false">"$#REF !.$O$13"</definedName>
    <definedName function="false" hidden="false" name="Vol_iodate___24_65" vbProcedure="false">"$#REF !.$O$13"</definedName>
    <definedName function="false" hidden="false" name="Vol_iodate___24_67" vbProcedure="false">"$#REF !.$O$13"</definedName>
    <definedName function="false" hidden="false" name="Vol_iodate___24_69" vbProcedure="false">"$#REF !.$O$13"</definedName>
    <definedName function="false" hidden="false" name="Vol_iodate___24_71" vbProcedure="false">"$#REF !.$O$13"</definedName>
    <definedName function="false" hidden="false" name="Vol_iodate___24_73" vbProcedure="false">"$#REF !.$O$13"</definedName>
    <definedName function="false" hidden="false" name="Vol_iodate___24_75" vbProcedure="false">"$#REF !.$O$13"</definedName>
    <definedName function="false" hidden="false" name="Vol_iodate___24_77" vbProcedure="false">"$#REF !.$O$13"</definedName>
    <definedName function="false" hidden="false" name="Vol_iodate___24_79" vbProcedure="false">"$#REF !.$O$13"</definedName>
    <definedName function="false" hidden="false" name="Vol_iodate___24_81" vbProcedure="false">"$#REF !.$O$13"</definedName>
    <definedName function="false" hidden="false" name="Vol_iodate___24_83_2" vbProcedure="false">"$#REF !.$O$13"</definedName>
    <definedName function="false" hidden="false" name="Vol_iodate___24_83_3" vbProcedure="false">#REF!</definedName>
    <definedName function="false" hidden="false" name="Vol_iodate___24_83_3_1" vbProcedure="false">"$#REF !.$O$13"</definedName>
    <definedName function="false" hidden="false" name="Vol_iodate___24_83_4" vbProcedure="false">#REF!</definedName>
    <definedName function="false" hidden="false" name="Vol_iodate___24_83_4_1" vbProcedure="false">"$#REF !.$O$13"</definedName>
    <definedName function="false" hidden="false" name="Vol_iodate___24_83_5" vbProcedure="false">#REF!</definedName>
    <definedName function="false" hidden="false" name="Vol_iodate___24_83_5_1" vbProcedure="false">"$#REF !.$O$13"</definedName>
    <definedName function="false" hidden="false" name="Vol_iodate___24_83_6" vbProcedure="false">#REF!</definedName>
    <definedName function="false" hidden="false" name="Vol_iodate___24_83_6_1" vbProcedure="false">"$#REF !.$O$13"</definedName>
    <definedName function="false" hidden="false" name="Vol_iodate___24_83_7" vbProcedure="false">#REF!</definedName>
    <definedName function="false" hidden="false" name="Vol_iodate___24_83_7_1" vbProcedure="false">"$#REF !.$O$13"</definedName>
    <definedName function="false" hidden="false" name="Vol_iodate___25" vbProcedure="false">"$#REF !.$O$13"</definedName>
    <definedName function="false" hidden="false" name="Vol_iodate___26" vbProcedure="false">"$#REF !.$O$13"</definedName>
    <definedName function="false" hidden="false" name="Vol_iodate___27" vbProcedure="false">"$#REF !.$O$13"</definedName>
    <definedName function="false" hidden="false" name="Vol_iodate___28" vbProcedure="false">"$#REF !.$O$13"</definedName>
    <definedName function="false" hidden="false" name="Vol_iodate___3" vbProcedure="false">"$#REF !.$O$12"</definedName>
    <definedName function="false" hidden="false" name="Vol_iodate___33" vbProcedure="false">"$#REF !.$O$12"</definedName>
    <definedName function="false" hidden="false" name="Vol_iodate___33_89" vbProcedure="false">#REF!</definedName>
    <definedName function="false" hidden="false" name="Vol_iodate___4" vbProcedure="false">"$#REF !.$O$12"</definedName>
    <definedName function="false" hidden="false" name="Vol_iodate___5" vbProcedure="false">"$#REF !.$O$12"</definedName>
    <definedName function="false" hidden="false" name="Vol_iodate___6" vbProcedure="false">"$#REF !.$O$12"</definedName>
    <definedName function="false" hidden="false" name="Vol_iodate___7" vbProcedure="false">"$#REF !.$O$12"</definedName>
    <definedName function="false" hidden="false" name="Vol_iodate___8" vbProcedure="false">"$#REF !.$O$12"</definedName>
    <definedName function="false" hidden="false" name="Vol_iodate___9" vbProcedure="false">"$#REF !.$O$12"</definedName>
    <definedName function="false" hidden="false" name="Vol_reactif" vbProcedure="false">"$#REF !.$N$20"</definedName>
    <definedName function="false" hidden="false" name="Vol_reactif___0" vbProcedure="false">"$#REF !.$E$14"</definedName>
    <definedName function="false" hidden="false" name="Vol_reactif___1" vbProcedure="false">"$#REF !.$N$20"</definedName>
    <definedName function="false" hidden="false" name="Vol_reactif___10" vbProcedure="false">"$#REF !.$N$20"</definedName>
    <definedName function="false" hidden="false" name="Vol_reactif___11" vbProcedure="false">"$#REF !.$N$20"</definedName>
    <definedName function="false" hidden="false" name="Vol_reactif___12" vbProcedure="false">"$#REF !.$N$20"</definedName>
    <definedName function="false" hidden="false" name="Vol_reactif___13" vbProcedure="false">"$#REF !.$N$20"</definedName>
    <definedName function="false" hidden="false" name="Vol_reactif___14" vbProcedure="false">"$#REF !.$N$20"</definedName>
    <definedName function="false" hidden="false" name="Vol_reactif___15" vbProcedure="false">"$#REF !.$N$20"</definedName>
    <definedName function="false" hidden="false" name="Vol_reactif___16" vbProcedure="false">"$#REF !.$N$20"</definedName>
    <definedName function="false" hidden="false" name="Vol_reactif___17" vbProcedure="false">"$#REF !.$N$20"</definedName>
    <definedName function="false" hidden="false" name="Vol_reactif___18" vbProcedure="false">"$#REF !.$N$20"</definedName>
    <definedName function="false" hidden="false" name="Vol_reactif___19" vbProcedure="false">"$#REF !.$N$20"</definedName>
    <definedName function="false" hidden="false" name="Vol_reactif___20" vbProcedure="false">"$#REF !.$N$20"</definedName>
    <definedName function="false" hidden="false" name="Vol_reactif___21" vbProcedure="false">"$#REF !.$N$20"</definedName>
    <definedName function="false" hidden="false" name="Vol_reactif___22" vbProcedure="false">"$#REF !.$N$20"</definedName>
    <definedName function="false" hidden="false" name="Vol_reactif___23" vbProcedure="false">"$#REF !.$N$20"</definedName>
    <definedName function="false" hidden="false" name="Vol_reactif___24" vbProcedure="false">"$#REF !.$N$21"</definedName>
    <definedName function="false" hidden="false" name="Vol_reactif___24_11" vbProcedure="false">"$#REF !.$N$21"</definedName>
    <definedName function="false" hidden="false" name="Vol_reactif___24_13" vbProcedure="false">"$#REF !.$N$21"</definedName>
    <definedName function="false" hidden="false" name="Vol_reactif___24_15" vbProcedure="false">"$#REF !.$N$21"</definedName>
    <definedName function="false" hidden="false" name="Vol_reactif___24_17" vbProcedure="false">"$#REF !.$N$21"</definedName>
    <definedName function="false" hidden="false" name="Vol_reactif___24_19" vbProcedure="false">"$#REF !.$N$21"</definedName>
    <definedName function="false" hidden="false" name="Vol_reactif___24_21" vbProcedure="false">"$#REF !.$N$21"</definedName>
    <definedName function="false" hidden="false" name="Vol_reactif___24_23" vbProcedure="false">"$#REF !.$N$21"</definedName>
    <definedName function="false" hidden="false" name="Vol_reactif___24_25" vbProcedure="false">"$#REF !.$N$21"</definedName>
    <definedName function="false" hidden="false" name="Vol_reactif___24_27" vbProcedure="false">"$#REF !.$N$21"</definedName>
    <definedName function="false" hidden="false" name="Vol_reactif___24_29" vbProcedure="false">"$#REF !.$N$21"</definedName>
    <definedName function="false" hidden="false" name="Vol_reactif___24_31" vbProcedure="false">"$#REF !.$N$21"</definedName>
    <definedName function="false" hidden="false" name="Vol_reactif___24_33" vbProcedure="false">"$#REF !.$N$21"</definedName>
    <definedName function="false" hidden="false" name="Vol_reactif___24_35" vbProcedure="false">"$#REF !.$N$21"</definedName>
    <definedName function="false" hidden="false" name="Vol_reactif___24_37" vbProcedure="false">"$#REF !.$N$21"</definedName>
    <definedName function="false" hidden="false" name="Vol_reactif___24_39" vbProcedure="false">"$#REF !.$N$21"</definedName>
    <definedName function="false" hidden="false" name="Vol_reactif___24_41" vbProcedure="false">"$#REF !.$N$21"</definedName>
    <definedName function="false" hidden="false" name="Vol_reactif___24_43" vbProcedure="false">"$#REF !.$N$21"</definedName>
    <definedName function="false" hidden="false" name="Vol_reactif___24_45" vbProcedure="false">"$#REF !.$N$21"</definedName>
    <definedName function="false" hidden="false" name="Vol_reactif___24_47" vbProcedure="false">"$#REF !.$N$21"</definedName>
    <definedName function="false" hidden="false" name="Vol_reactif___24_49" vbProcedure="false">"$#REF !.$N$21"</definedName>
    <definedName function="false" hidden="false" name="Vol_reactif___24_51" vbProcedure="false">"$#REF !.$N$21"</definedName>
    <definedName function="false" hidden="false" name="Vol_reactif___24_53" vbProcedure="false">"$#REF !.$N$21"</definedName>
    <definedName function="false" hidden="false" name="Vol_reactif___24_55" vbProcedure="false">"$#REF !.$N$21"</definedName>
    <definedName function="false" hidden="false" name="Vol_reactif___24_57" vbProcedure="false">"$#REF !.$N$21"</definedName>
    <definedName function="false" hidden="false" name="Vol_reactif___24_59" vbProcedure="false">"$#REF !.$N$21"</definedName>
    <definedName function="false" hidden="false" name="Vol_reactif___24_61" vbProcedure="false">"$#REF !.$N$21"</definedName>
    <definedName function="false" hidden="false" name="Vol_reactif___24_63" vbProcedure="false">"$#REF !.$N$21"</definedName>
    <definedName function="false" hidden="false" name="Vol_reactif___24_65" vbProcedure="false">"$#REF !.$N$21"</definedName>
    <definedName function="false" hidden="false" name="Vol_reactif___24_67" vbProcedure="false">"$#REF !.$N$21"</definedName>
    <definedName function="false" hidden="false" name="Vol_reactif___24_69" vbProcedure="false">"$#REF !.$N$21"</definedName>
    <definedName function="false" hidden="false" name="Vol_reactif___24_71" vbProcedure="false">"$#REF !.$N$21"</definedName>
    <definedName function="false" hidden="false" name="Vol_reactif___24_73" vbProcedure="false">"$#REF !.$N$21"</definedName>
    <definedName function="false" hidden="false" name="Vol_reactif___24_75" vbProcedure="false">"$#REF !.$N$21"</definedName>
    <definedName function="false" hidden="false" name="Vol_reactif___24_77" vbProcedure="false">"$#REF !.$N$21"</definedName>
    <definedName function="false" hidden="false" name="Vol_reactif___24_79" vbProcedure="false">"$#REF !.$N$21"</definedName>
    <definedName function="false" hidden="false" name="Vol_reactif___24_81" vbProcedure="false">"$#REF !.$N$21"</definedName>
    <definedName function="false" hidden="false" name="Vol_reactif___24_83" vbProcedure="false">001_01!$N$20</definedName>
    <definedName function="false" hidden="false" name="Vol_reactif___24_83_2" vbProcedure="false">"$#REF !.$N$21"</definedName>
    <definedName function="false" hidden="false" name="Vol_reactif___24_83_3" vbProcedure="false">#REF!</definedName>
    <definedName function="false" hidden="false" name="Vol_reactif___24_83_3_1" vbProcedure="false">"$#REF !.$N$21"</definedName>
    <definedName function="false" hidden="false" name="Vol_reactif___24_83_4" vbProcedure="false">#REF!</definedName>
    <definedName function="false" hidden="false" name="Vol_reactif___24_83_4_1" vbProcedure="false">"$#REF !.$N$21"</definedName>
    <definedName function="false" hidden="false" name="Vol_reactif___24_83_5" vbProcedure="false">#REF!</definedName>
    <definedName function="false" hidden="false" name="Vol_reactif___24_83_5_1" vbProcedure="false">"$#REF !.$N$21"</definedName>
    <definedName function="false" hidden="false" name="Vol_reactif___24_83_6" vbProcedure="false">#REF!</definedName>
    <definedName function="false" hidden="false" name="Vol_reactif___24_83_6_1" vbProcedure="false">"$#REF !.$N$21"</definedName>
    <definedName function="false" hidden="false" name="Vol_reactif___24_83_7" vbProcedure="false">#REF!</definedName>
    <definedName function="false" hidden="false" name="Vol_reactif___24_83_7_1" vbProcedure="false">"$#REF !.$N$21"</definedName>
    <definedName function="false" hidden="false" name="Vol_reactif___25" vbProcedure="false">"$#REF !.$N$21"</definedName>
    <definedName function="false" hidden="false" name="Vol_reactif___26" vbProcedure="false">"$#REF !.$N$21"</definedName>
    <definedName function="false" hidden="false" name="Vol_reactif___27" vbProcedure="false">"$#REF !.$N$21"</definedName>
    <definedName function="false" hidden="false" name="Vol_reactif___28" vbProcedure="false">"$#REF !.$N$21"</definedName>
    <definedName function="false" hidden="false" name="Vol_reactif___3" vbProcedure="false">"$#REF !.$N$20"</definedName>
    <definedName function="false" hidden="false" name="Vol_reactif___33" vbProcedure="false">"$#REF !.$N$20"</definedName>
    <definedName function="false" hidden="false" name="Vol_reactif___33_89" vbProcedure="false">#REF!</definedName>
    <definedName function="false" hidden="false" name="Vol_reactif___4" vbProcedure="false">"$#REF !.$N$20"</definedName>
    <definedName function="false" hidden="false" name="Vol_reactif___5" vbProcedure="false">"$#REF !.$N$20"</definedName>
    <definedName function="false" hidden="false" name="Vol_reactif___6" vbProcedure="false">"$#REF !.$N$20"</definedName>
    <definedName function="false" hidden="false" name="Vol_reactif___7" vbProcedure="false">"$#REF !.$N$20"</definedName>
    <definedName function="false" hidden="false" name="Vol_reactif___8" vbProcedure="false">"$#REF !.$N$20"</definedName>
    <definedName function="false" hidden="false" name="Vol_reactif___9" vbProcedure="false">"$#REF !.$N$20"</definedName>
    <definedName function="false" hidden="false" name="Vol_thio_iodate" vbProcedure="false">"$#REF !.$O$14"</definedName>
    <definedName function="false" hidden="false" name="Vol_thio_iodate___0" vbProcedure="false">"$#REF !.$E$12"</definedName>
    <definedName function="false" hidden="false" name="Vol_thio_iodate___1" vbProcedure="false">"$#REF !.$O$14"</definedName>
    <definedName function="false" hidden="false" name="Vol_thio_iodate___10" vbProcedure="false">"$#REF !.$O$14"</definedName>
    <definedName function="false" hidden="false" name="Vol_thio_iodate___11" vbProcedure="false">"$#REF !.$O$14"</definedName>
    <definedName function="false" hidden="false" name="Vol_thio_iodate___12" vbProcedure="false">"$#REF !.$O$14"</definedName>
    <definedName function="false" hidden="false" name="Vol_thio_iodate___13" vbProcedure="false">"$#REF !.$O$14"</definedName>
    <definedName function="false" hidden="false" name="Vol_thio_iodate___14" vbProcedure="false">"$#REF !.$O$14"</definedName>
    <definedName function="false" hidden="false" name="Vol_thio_iodate___15" vbProcedure="false">"$#REF !.$O$14"</definedName>
    <definedName function="false" hidden="false" name="Vol_thio_iodate___16" vbProcedure="false">"$#REF !.$O$14"</definedName>
    <definedName function="false" hidden="false" name="Vol_thio_iodate___17" vbProcedure="false">"$#REF !.$O$14"</definedName>
    <definedName function="false" hidden="false" name="Vol_thio_iodate___18" vbProcedure="false">"$#REF !.$O$14"</definedName>
    <definedName function="false" hidden="false" name="Vol_thio_iodate___19" vbProcedure="false">"$#REF !.$O$14"</definedName>
    <definedName function="false" hidden="false" name="Vol_thio_iodate___20" vbProcedure="false">"$#REF !.$O$14"</definedName>
    <definedName function="false" hidden="false" name="Vol_thio_iodate___21" vbProcedure="false">"$#REF !.$O$14"</definedName>
    <definedName function="false" hidden="false" name="Vol_thio_iodate___22" vbProcedure="false">"$#REF !.$O$14"</definedName>
    <definedName function="false" hidden="false" name="Vol_thio_iodate___23" vbProcedure="false">"$#REF !.$O$14"</definedName>
    <definedName function="false" hidden="false" name="Vol_thio_iodate___24" vbProcedure="false">"$#REF !.$O$15"</definedName>
    <definedName function="false" hidden="false" name="Vol_thio_iodate___24_11" vbProcedure="false">"$#REF !.$O$15"</definedName>
    <definedName function="false" hidden="false" name="Vol_thio_iodate___24_13" vbProcedure="false">"$#REF !.$O$15"</definedName>
    <definedName function="false" hidden="false" name="Vol_thio_iodate___24_15" vbProcedure="false">"$#REF !.$O$15"</definedName>
    <definedName function="false" hidden="false" name="Vol_thio_iodate___24_17" vbProcedure="false">"$#REF !.$O$15"</definedName>
    <definedName function="false" hidden="false" name="Vol_thio_iodate___24_19" vbProcedure="false">"$#REF !.$O$15"</definedName>
    <definedName function="false" hidden="false" name="Vol_thio_iodate___24_21" vbProcedure="false">"$#REF !.$O$15"</definedName>
    <definedName function="false" hidden="false" name="Vol_thio_iodate___24_23" vbProcedure="false">"$#REF !.$O$15"</definedName>
    <definedName function="false" hidden="false" name="Vol_thio_iodate___24_25" vbProcedure="false">"$#REF !.$O$15"</definedName>
    <definedName function="false" hidden="false" name="Vol_thio_iodate___24_27" vbProcedure="false">"$#REF !.$O$15"</definedName>
    <definedName function="false" hidden="false" name="Vol_thio_iodate___24_29" vbProcedure="false">"$#REF !.$O$15"</definedName>
    <definedName function="false" hidden="false" name="Vol_thio_iodate___24_31" vbProcedure="false">"$#REF !.$O$15"</definedName>
    <definedName function="false" hidden="false" name="Vol_thio_iodate___24_33" vbProcedure="false">"$#REF !.$O$15"</definedName>
    <definedName function="false" hidden="false" name="Vol_thio_iodate___24_35" vbProcedure="false">"$#REF !.$O$15"</definedName>
    <definedName function="false" hidden="false" name="Vol_thio_iodate___24_37" vbProcedure="false">"$#REF !.$O$15"</definedName>
    <definedName function="false" hidden="false" name="Vol_thio_iodate___24_39" vbProcedure="false">"$#REF !.$O$15"</definedName>
    <definedName function="false" hidden="false" name="Vol_thio_iodate___24_41" vbProcedure="false">"$#REF !.$O$15"</definedName>
    <definedName function="false" hidden="false" name="Vol_thio_iodate___24_43" vbProcedure="false">"$#REF !.$O$15"</definedName>
    <definedName function="false" hidden="false" name="Vol_thio_iodate___24_45" vbProcedure="false">"$#REF !.$O$15"</definedName>
    <definedName function="false" hidden="false" name="Vol_thio_iodate___24_47" vbProcedure="false">"$#REF !.$O$15"</definedName>
    <definedName function="false" hidden="false" name="Vol_thio_iodate___24_49" vbProcedure="false">"$#REF !.$O$15"</definedName>
    <definedName function="false" hidden="false" name="Vol_thio_iodate___24_51" vbProcedure="false">"$#REF !.$O$15"</definedName>
    <definedName function="false" hidden="false" name="Vol_thio_iodate___24_53" vbProcedure="false">"$#REF !.$O$15"</definedName>
    <definedName function="false" hidden="false" name="Vol_thio_iodate___24_55" vbProcedure="false">"$#REF !.$O$15"</definedName>
    <definedName function="false" hidden="false" name="Vol_thio_iodate___24_57" vbProcedure="false">"$#REF !.$O$15"</definedName>
    <definedName function="false" hidden="false" name="Vol_thio_iodate___24_59" vbProcedure="false">"$#REF !.$O$15"</definedName>
    <definedName function="false" hidden="false" name="Vol_thio_iodate___24_61" vbProcedure="false">"$#REF !.$O$15"</definedName>
    <definedName function="false" hidden="false" name="Vol_thio_iodate___24_63" vbProcedure="false">"$#REF !.$O$15"</definedName>
    <definedName function="false" hidden="false" name="Vol_thio_iodate___24_65" vbProcedure="false">"$#REF !.$O$15"</definedName>
    <definedName function="false" hidden="false" name="Vol_thio_iodate___24_67" vbProcedure="false">"$#REF !.$O$15"</definedName>
    <definedName function="false" hidden="false" name="Vol_thio_iodate___24_69" vbProcedure="false">"$#REF !.$O$15"</definedName>
    <definedName function="false" hidden="false" name="Vol_thio_iodate___24_71" vbProcedure="false">"$#REF !.$O$15"</definedName>
    <definedName function="false" hidden="false" name="Vol_thio_iodate___24_73" vbProcedure="false">"$#REF !.$O$15"</definedName>
    <definedName function="false" hidden="false" name="Vol_thio_iodate___24_75" vbProcedure="false">"$#REF !.$O$15"</definedName>
    <definedName function="false" hidden="false" name="Vol_thio_iodate___24_77" vbProcedure="false">"$#REF !.$O$15"</definedName>
    <definedName function="false" hidden="false" name="Vol_thio_iodate___24_79" vbProcedure="false">"$#REF !.$O$15"</definedName>
    <definedName function="false" hidden="false" name="Vol_thio_iodate___24_81" vbProcedure="false">"$#REF !.$O$15"</definedName>
    <definedName function="false" hidden="false" name="Vol_thio_iodate___24_83" vbProcedure="false">001_01!$O$14</definedName>
    <definedName function="false" hidden="false" name="Vol_thio_iodate___24_83_2" vbProcedure="false">"$#REF !.$O$15"</definedName>
    <definedName function="false" hidden="false" name="Vol_thio_iodate___24_83_3" vbProcedure="false">#REF!</definedName>
    <definedName function="false" hidden="false" name="Vol_thio_iodate___24_83_3_1" vbProcedure="false">"$#REF !.$O$15"</definedName>
    <definedName function="false" hidden="false" name="Vol_thio_iodate___24_83_4" vbProcedure="false">#REF!</definedName>
    <definedName function="false" hidden="false" name="Vol_thio_iodate___24_83_4_1" vbProcedure="false">"$#REF !.$O$15"</definedName>
    <definedName function="false" hidden="false" name="Vol_thio_iodate___24_83_5" vbProcedure="false">#REF!</definedName>
    <definedName function="false" hidden="false" name="Vol_thio_iodate___24_83_5_1" vbProcedure="false">"$#REF !.$O$15"</definedName>
    <definedName function="false" hidden="false" name="Vol_thio_iodate___24_83_6" vbProcedure="false">#REF!</definedName>
    <definedName function="false" hidden="false" name="Vol_thio_iodate___24_83_6_1" vbProcedure="false">"$#REF !.$O$15"</definedName>
    <definedName function="false" hidden="false" name="Vol_thio_iodate___24_83_7" vbProcedure="false">#REF!</definedName>
    <definedName function="false" hidden="false" name="Vol_thio_iodate___24_83_7_1" vbProcedure="false">"$#REF !.$O$15"</definedName>
    <definedName function="false" hidden="false" name="Vol_thio_iodate___25" vbProcedure="false">"$#REF !.$O$15"</definedName>
    <definedName function="false" hidden="false" name="Vol_thio_iodate___26" vbProcedure="false">"$#REF !.$O$15"</definedName>
    <definedName function="false" hidden="false" name="Vol_thio_iodate___27" vbProcedure="false">"$#REF !.$O$15"</definedName>
    <definedName function="false" hidden="false" name="Vol_thio_iodate___28" vbProcedure="false">"$#REF !.$O$15"</definedName>
    <definedName function="false" hidden="false" name="Vol_thio_iodate___3" vbProcedure="false">"$#REF !.$O$14"</definedName>
    <definedName function="false" hidden="false" name="Vol_thio_iodate___33" vbProcedure="false">"$#REF !.$O$14"</definedName>
    <definedName function="false" hidden="false" name="Vol_thio_iodate___33_89" vbProcedure="false">#REF!</definedName>
    <definedName function="false" hidden="false" name="Vol_thio_iodate___4" vbProcedure="false">"$#REF !.$O$14"</definedName>
    <definedName function="false" hidden="false" name="Vol_thio_iodate___5" vbProcedure="false">"$#REF !.$O$14"</definedName>
    <definedName function="false" hidden="false" name="Vol_thio_iodate___6" vbProcedure="false">"$#REF !.$O$14"</definedName>
    <definedName function="false" hidden="false" name="Vol_thio_iodate___7" vbProcedure="false">"$#REF !.$O$14"</definedName>
    <definedName function="false" hidden="false" name="Vol_thio_iodate___8" vbProcedure="false">"$#REF !.$O$14"</definedName>
    <definedName function="false" hidden="false" name="Vol_thio_iodate___9" vbProcedure="false">"$#REF !.$O$14"</definedName>
    <definedName function="false" hidden="false" localSheetId="31" name="Blanc___24_83_3" vbProcedure="false">#REF!</definedName>
    <definedName function="false" hidden="false" localSheetId="31" name="Blanc___24_83_4" vbProcedure="false">#REF!</definedName>
    <definedName function="false" hidden="false" localSheetId="31" name="Blanc___24_83_5" vbProcedure="false">#REF!</definedName>
    <definedName function="false" hidden="false" localSheetId="31" name="Blanc___24_83_6" vbProcedure="false">#REF!</definedName>
    <definedName function="false" hidden="false" localSheetId="31" name="Blanc___24_83_7" vbProcedure="false">#REF!</definedName>
    <definedName function="false" hidden="false" localSheetId="31" name="Blanc___33_89" vbProcedure="false">#REF!</definedName>
    <definedName function="false" hidden="false" localSheetId="31" name="NORMALITE___0_89" vbProcedure="false">#REF!</definedName>
    <definedName function="false" hidden="false" localSheetId="31" name="NORMALITE___24_83_3" vbProcedure="false">#REF!</definedName>
    <definedName function="false" hidden="false" localSheetId="31" name="NORMALITE___24_83_4" vbProcedure="false">#REF!</definedName>
    <definedName function="false" hidden="false" localSheetId="31" name="NORMALITE___24_83_5" vbProcedure="false">#REF!</definedName>
    <definedName function="false" hidden="false" localSheetId="31" name="NORMALITE___24_83_6" vbProcedure="false">#REF!</definedName>
    <definedName function="false" hidden="false" localSheetId="31" name="NORMALITE___24_83_7" vbProcedure="false">#REF!</definedName>
    <definedName function="false" hidden="false" localSheetId="31" name="N_iodate___24_83_3" vbProcedure="false">#REF!</definedName>
    <definedName function="false" hidden="false" localSheetId="31" name="N_iodate___24_83_4" vbProcedure="false">#REF!</definedName>
    <definedName function="false" hidden="false" localSheetId="31" name="N_iodate___24_83_5" vbProcedure="false">#REF!</definedName>
    <definedName function="false" hidden="false" localSheetId="31" name="N_iodate___24_83_6" vbProcedure="false">#REF!</definedName>
    <definedName function="false" hidden="false" localSheetId="31" name="N_iodate___24_83_7" vbProcedure="false">#REF!</definedName>
    <definedName function="false" hidden="false" localSheetId="31" name="N_iodate___33_89" vbProcedure="false">#REF!</definedName>
    <definedName function="false" hidden="false" localSheetId="31" name="vol_iodate_tc___0_89" vbProcedure="false">#REF!</definedName>
    <definedName function="false" hidden="false" localSheetId="31" name="vol_iodate_tc___24_83_3" vbProcedure="false">#REF!</definedName>
    <definedName function="false" hidden="false" localSheetId="31" name="vol_iodate_tc___24_83_4" vbProcedure="false">#REF!</definedName>
    <definedName function="false" hidden="false" localSheetId="31" name="vol_iodate_tc___24_83_5" vbProcedure="false">#REF!</definedName>
    <definedName function="false" hidden="false" localSheetId="31" name="vol_iodate_tc___24_83_6" vbProcedure="false">#REF!</definedName>
    <definedName function="false" hidden="false" localSheetId="31" name="vol_iodate_tc___24_83_7" vbProcedure="false">#REF!</definedName>
    <definedName function="false" hidden="false" localSheetId="31" name="Vol_iodate___24_83_3" vbProcedure="false">#REF!</definedName>
    <definedName function="false" hidden="false" localSheetId="31" name="Vol_iodate___24_83_4" vbProcedure="false">#REF!</definedName>
    <definedName function="false" hidden="false" localSheetId="31" name="Vol_iodate___24_83_5" vbProcedure="false">#REF!</definedName>
    <definedName function="false" hidden="false" localSheetId="31" name="Vol_iodate___24_83_6" vbProcedure="false">#REF!</definedName>
    <definedName function="false" hidden="false" localSheetId="31" name="Vol_iodate___24_83_7" vbProcedure="false">#REF!</definedName>
    <definedName function="false" hidden="false" localSheetId="31" name="Vol_iodate___33_89" vbProcedure="false">#REF!</definedName>
    <definedName function="false" hidden="false" localSheetId="31" name="Vol_reactif___24_83_3" vbProcedure="false">#REF!</definedName>
    <definedName function="false" hidden="false" localSheetId="31" name="Vol_reactif___24_83_4" vbProcedure="false">#REF!</definedName>
    <definedName function="false" hidden="false" localSheetId="31" name="Vol_reactif___24_83_5" vbProcedure="false">#REF!</definedName>
    <definedName function="false" hidden="false" localSheetId="31" name="Vol_reactif___24_83_6" vbProcedure="false">#REF!</definedName>
    <definedName function="false" hidden="false" localSheetId="31" name="Vol_reactif___24_83_7" vbProcedure="false">#REF!</definedName>
    <definedName function="false" hidden="false" localSheetId="31" name="Vol_reactif___33_89" vbProcedure="false">#REF!</definedName>
    <definedName function="false" hidden="false" localSheetId="31" name="Vol_thio_iodate___24_83_3" vbProcedure="false">#REF!</definedName>
    <definedName function="false" hidden="false" localSheetId="31" name="Vol_thio_iodate___24_83_4" vbProcedure="false">#REF!</definedName>
    <definedName function="false" hidden="false" localSheetId="31" name="Vol_thio_iodate___24_83_5" vbProcedure="false">#REF!</definedName>
    <definedName function="false" hidden="false" localSheetId="31" name="Vol_thio_iodate___24_83_6" vbProcedure="false">#REF!</definedName>
    <definedName function="false" hidden="false" localSheetId="31" name="Vol_thio_iodate___24_83_7" vbProcedure="false">#REF!</definedName>
    <definedName function="false" hidden="false" localSheetId="31" name="Vol_thio_iodate___33_89" vbProcedure="false">#REF!</definedName>
    <definedName function="false" hidden="false" localSheetId="32" name="Blanc___24_83_3" vbProcedure="false">#REF!</definedName>
    <definedName function="false" hidden="false" localSheetId="32" name="Blanc___24_83_4" vbProcedure="false">#REF!</definedName>
    <definedName function="false" hidden="false" localSheetId="32" name="Blanc___24_83_5" vbProcedure="false">#REF!</definedName>
    <definedName function="false" hidden="false" localSheetId="32" name="Blanc___24_83_6" vbProcedure="false">#REF!</definedName>
    <definedName function="false" hidden="false" localSheetId="32" name="Blanc___24_83_7" vbProcedure="false">#REF!</definedName>
    <definedName function="false" hidden="false" localSheetId="32" name="Blanc___33_89" vbProcedure="false">#REF!</definedName>
    <definedName function="false" hidden="false" localSheetId="32" name="NORMALITE___0_89" vbProcedure="false">#REF!</definedName>
    <definedName function="false" hidden="false" localSheetId="32" name="NORMALITE___24_83_3" vbProcedure="false">#REF!</definedName>
    <definedName function="false" hidden="false" localSheetId="32" name="NORMALITE___24_83_4" vbProcedure="false">#REF!</definedName>
    <definedName function="false" hidden="false" localSheetId="32" name="NORMALITE___24_83_5" vbProcedure="false">#REF!</definedName>
    <definedName function="false" hidden="false" localSheetId="32" name="NORMALITE___24_83_6" vbProcedure="false">#REF!</definedName>
    <definedName function="false" hidden="false" localSheetId="32" name="NORMALITE___24_83_7" vbProcedure="false">#REF!</definedName>
    <definedName function="false" hidden="false" localSheetId="32" name="N_iodate___24_83_3" vbProcedure="false">#REF!</definedName>
    <definedName function="false" hidden="false" localSheetId="32" name="N_iodate___24_83_4" vbProcedure="false">#REF!</definedName>
    <definedName function="false" hidden="false" localSheetId="32" name="N_iodate___24_83_5" vbProcedure="false">#REF!</definedName>
    <definedName function="false" hidden="false" localSheetId="32" name="N_iodate___24_83_6" vbProcedure="false">#REF!</definedName>
    <definedName function="false" hidden="false" localSheetId="32" name="N_iodate___24_83_7" vbProcedure="false">#REF!</definedName>
    <definedName function="false" hidden="false" localSheetId="32" name="N_iodate___33_89" vbProcedure="false">#REF!</definedName>
    <definedName function="false" hidden="false" localSheetId="32" name="vol_iodate_tc___0_89" vbProcedure="false">#REF!</definedName>
    <definedName function="false" hidden="false" localSheetId="32" name="vol_iodate_tc___24_83_3" vbProcedure="false">#REF!</definedName>
    <definedName function="false" hidden="false" localSheetId="32" name="vol_iodate_tc___24_83_4" vbProcedure="false">#REF!</definedName>
    <definedName function="false" hidden="false" localSheetId="32" name="vol_iodate_tc___24_83_5" vbProcedure="false">#REF!</definedName>
    <definedName function="false" hidden="false" localSheetId="32" name="vol_iodate_tc___24_83_6" vbProcedure="false">#REF!</definedName>
    <definedName function="false" hidden="false" localSheetId="32" name="vol_iodate_tc___24_83_7" vbProcedure="false">#REF!</definedName>
    <definedName function="false" hidden="false" localSheetId="32" name="Vol_iodate___24_83_3" vbProcedure="false">#REF!</definedName>
    <definedName function="false" hidden="false" localSheetId="32" name="Vol_iodate___24_83_4" vbProcedure="false">#REF!</definedName>
    <definedName function="false" hidden="false" localSheetId="32" name="Vol_iodate___24_83_5" vbProcedure="false">#REF!</definedName>
    <definedName function="false" hidden="false" localSheetId="32" name="Vol_iodate___24_83_6" vbProcedure="false">#REF!</definedName>
    <definedName function="false" hidden="false" localSheetId="32" name="Vol_iodate___24_83_7" vbProcedure="false">#REF!</definedName>
    <definedName function="false" hidden="false" localSheetId="32" name="Vol_iodate___33_89" vbProcedure="false">#REF!</definedName>
    <definedName function="false" hidden="false" localSheetId="32" name="Vol_reactif___24_83_3" vbProcedure="false">#REF!</definedName>
    <definedName function="false" hidden="false" localSheetId="32" name="Vol_reactif___24_83_4" vbProcedure="false">#REF!</definedName>
    <definedName function="false" hidden="false" localSheetId="32" name="Vol_reactif___24_83_5" vbProcedure="false">#REF!</definedName>
    <definedName function="false" hidden="false" localSheetId="32" name="Vol_reactif___24_83_6" vbProcedure="false">#REF!</definedName>
    <definedName function="false" hidden="false" localSheetId="32" name="Vol_reactif___24_83_7" vbProcedure="false">#REF!</definedName>
    <definedName function="false" hidden="false" localSheetId="32" name="Vol_reactif___33_89" vbProcedure="false">#REF!</definedName>
    <definedName function="false" hidden="false" localSheetId="32" name="Vol_thio_iodate___24_83_3" vbProcedure="false">#REF!</definedName>
    <definedName function="false" hidden="false" localSheetId="32" name="Vol_thio_iodate___24_83_4" vbProcedure="false">#REF!</definedName>
    <definedName function="false" hidden="false" localSheetId="32" name="Vol_thio_iodate___24_83_5" vbProcedure="false">#REF!</definedName>
    <definedName function="false" hidden="false" localSheetId="32" name="Vol_thio_iodate___24_83_6" vbProcedure="false">#REF!</definedName>
    <definedName function="false" hidden="false" localSheetId="32" name="Vol_thio_iodate___24_83_7" vbProcedure="false">#REF!</definedName>
    <definedName function="false" hidden="false" localSheetId="32" name="Vol_thio_iodate___33_89" vbProcedure="false">#REF!</definedName>
    <definedName function="false" hidden="false" localSheetId="33" name="Blanc___24_83_3" vbProcedure="false">#REF!</definedName>
    <definedName function="false" hidden="false" localSheetId="33" name="Blanc___24_83_4" vbProcedure="false">#REF!</definedName>
    <definedName function="false" hidden="false" localSheetId="33" name="Blanc___24_83_5" vbProcedure="false">#REF!</definedName>
    <definedName function="false" hidden="false" localSheetId="33" name="Blanc___24_83_6" vbProcedure="false">#REF!</definedName>
    <definedName function="false" hidden="false" localSheetId="33" name="Blanc___24_83_7" vbProcedure="false">#REF!</definedName>
    <definedName function="false" hidden="false" localSheetId="33" name="Blanc___33_89" vbProcedure="false">#REF!</definedName>
    <definedName function="false" hidden="false" localSheetId="33" name="NORMALITE___0_89" vbProcedure="false">#REF!</definedName>
    <definedName function="false" hidden="false" localSheetId="33" name="NORMALITE___24_83_3" vbProcedure="false">#REF!</definedName>
    <definedName function="false" hidden="false" localSheetId="33" name="NORMALITE___24_83_4" vbProcedure="false">#REF!</definedName>
    <definedName function="false" hidden="false" localSheetId="33" name="NORMALITE___24_83_5" vbProcedure="false">#REF!</definedName>
    <definedName function="false" hidden="false" localSheetId="33" name="NORMALITE___24_83_6" vbProcedure="false">#REF!</definedName>
    <definedName function="false" hidden="false" localSheetId="33" name="NORMALITE___24_83_7" vbProcedure="false">#REF!</definedName>
    <definedName function="false" hidden="false" localSheetId="33" name="N_iodate___24_83_3" vbProcedure="false">#REF!</definedName>
    <definedName function="false" hidden="false" localSheetId="33" name="N_iodate___24_83_4" vbProcedure="false">#REF!</definedName>
    <definedName function="false" hidden="false" localSheetId="33" name="N_iodate___24_83_5" vbProcedure="false">#REF!</definedName>
    <definedName function="false" hidden="false" localSheetId="33" name="N_iodate___24_83_6" vbProcedure="false">#REF!</definedName>
    <definedName function="false" hidden="false" localSheetId="33" name="N_iodate___24_83_7" vbProcedure="false">#REF!</definedName>
    <definedName function="false" hidden="false" localSheetId="33" name="N_iodate___33_89" vbProcedure="false">#REF!</definedName>
    <definedName function="false" hidden="false" localSheetId="33" name="vol_iodate_tc___0_89" vbProcedure="false">#REF!</definedName>
    <definedName function="false" hidden="false" localSheetId="33" name="vol_iodate_tc___24_83_3" vbProcedure="false">#REF!</definedName>
    <definedName function="false" hidden="false" localSheetId="33" name="vol_iodate_tc___24_83_4" vbProcedure="false">#REF!</definedName>
    <definedName function="false" hidden="false" localSheetId="33" name="vol_iodate_tc___24_83_5" vbProcedure="false">#REF!</definedName>
    <definedName function="false" hidden="false" localSheetId="33" name="vol_iodate_tc___24_83_6" vbProcedure="false">#REF!</definedName>
    <definedName function="false" hidden="false" localSheetId="33" name="vol_iodate_tc___24_83_7" vbProcedure="false">#REF!</definedName>
    <definedName function="false" hidden="false" localSheetId="33" name="Vol_iodate___24_83_3" vbProcedure="false">#REF!</definedName>
    <definedName function="false" hidden="false" localSheetId="33" name="Vol_iodate___24_83_4" vbProcedure="false">#REF!</definedName>
    <definedName function="false" hidden="false" localSheetId="33" name="Vol_iodate___24_83_5" vbProcedure="false">#REF!</definedName>
    <definedName function="false" hidden="false" localSheetId="33" name="Vol_iodate___24_83_6" vbProcedure="false">#REF!</definedName>
    <definedName function="false" hidden="false" localSheetId="33" name="Vol_iodate___24_83_7" vbProcedure="false">#REF!</definedName>
    <definedName function="false" hidden="false" localSheetId="33" name="Vol_iodate___33_89" vbProcedure="false">#REF!</definedName>
    <definedName function="false" hidden="false" localSheetId="33" name="Vol_reactif___24_83_3" vbProcedure="false">#REF!</definedName>
    <definedName function="false" hidden="false" localSheetId="33" name="Vol_reactif___24_83_4" vbProcedure="false">#REF!</definedName>
    <definedName function="false" hidden="false" localSheetId="33" name="Vol_reactif___24_83_5" vbProcedure="false">#REF!</definedName>
    <definedName function="false" hidden="false" localSheetId="33" name="Vol_reactif___24_83_6" vbProcedure="false">#REF!</definedName>
    <definedName function="false" hidden="false" localSheetId="33" name="Vol_reactif___24_83_7" vbProcedure="false">#REF!</definedName>
    <definedName function="false" hidden="false" localSheetId="33" name="Vol_reactif___33_89" vbProcedure="false">#REF!</definedName>
    <definedName function="false" hidden="false" localSheetId="33" name="Vol_thio_iodate___24_83_3" vbProcedure="false">#REF!</definedName>
    <definedName function="false" hidden="false" localSheetId="33" name="Vol_thio_iodate___24_83_4" vbProcedure="false">#REF!</definedName>
    <definedName function="false" hidden="false" localSheetId="33" name="Vol_thio_iodate___24_83_5" vbProcedure="false">#REF!</definedName>
    <definedName function="false" hidden="false" localSheetId="33" name="Vol_thio_iodate___24_83_6" vbProcedure="false">#REF!</definedName>
    <definedName function="false" hidden="false" localSheetId="33" name="Vol_thio_iodate___24_83_7" vbProcedure="false">#REF!</definedName>
    <definedName function="false" hidden="false" localSheetId="33" name="Vol_thio_iodate___33_89" vbProcedure="false">#REF!</definedName>
    <definedName function="false" hidden="false" localSheetId="34" name="Blanc___24_83_3" vbProcedure="false">#REF!</definedName>
    <definedName function="false" hidden="false" localSheetId="34" name="Blanc___24_83_4" vbProcedure="false">#REF!</definedName>
    <definedName function="false" hidden="false" localSheetId="34" name="Blanc___24_83_5" vbProcedure="false">#REF!</definedName>
    <definedName function="false" hidden="false" localSheetId="34" name="Blanc___24_83_6" vbProcedure="false">#REF!</definedName>
    <definedName function="false" hidden="false" localSheetId="34" name="Blanc___24_83_7" vbProcedure="false">#REF!</definedName>
    <definedName function="false" hidden="false" localSheetId="34" name="Blanc___33_89" vbProcedure="false">#REF!</definedName>
    <definedName function="false" hidden="false" localSheetId="34" name="NORMALITE___0_89" vbProcedure="false">#REF!</definedName>
    <definedName function="false" hidden="false" localSheetId="34" name="NORMALITE___24_83_3" vbProcedure="false">#REF!</definedName>
    <definedName function="false" hidden="false" localSheetId="34" name="NORMALITE___24_83_4" vbProcedure="false">#REF!</definedName>
    <definedName function="false" hidden="false" localSheetId="34" name="NORMALITE___24_83_5" vbProcedure="false">#REF!</definedName>
    <definedName function="false" hidden="false" localSheetId="34" name="NORMALITE___24_83_6" vbProcedure="false">#REF!</definedName>
    <definedName function="false" hidden="false" localSheetId="34" name="NORMALITE___24_83_7" vbProcedure="false">#REF!</definedName>
    <definedName function="false" hidden="false" localSheetId="34" name="N_iodate___24_83_3" vbProcedure="false">#REF!</definedName>
    <definedName function="false" hidden="false" localSheetId="34" name="N_iodate___24_83_4" vbProcedure="false">#REF!</definedName>
    <definedName function="false" hidden="false" localSheetId="34" name="N_iodate___24_83_5" vbProcedure="false">#REF!</definedName>
    <definedName function="false" hidden="false" localSheetId="34" name="N_iodate___24_83_6" vbProcedure="false">#REF!</definedName>
    <definedName function="false" hidden="false" localSheetId="34" name="N_iodate___24_83_7" vbProcedure="false">#REF!</definedName>
    <definedName function="false" hidden="false" localSheetId="34" name="N_iodate___33_89" vbProcedure="false">#REF!</definedName>
    <definedName function="false" hidden="false" localSheetId="34" name="vol_iodate_tc___0_89" vbProcedure="false">#REF!</definedName>
    <definedName function="false" hidden="false" localSheetId="34" name="vol_iodate_tc___24_83_3" vbProcedure="false">#REF!</definedName>
    <definedName function="false" hidden="false" localSheetId="34" name="vol_iodate_tc___24_83_4" vbProcedure="false">#REF!</definedName>
    <definedName function="false" hidden="false" localSheetId="34" name="vol_iodate_tc___24_83_5" vbProcedure="false">#REF!</definedName>
    <definedName function="false" hidden="false" localSheetId="34" name="vol_iodate_tc___24_83_6" vbProcedure="false">#REF!</definedName>
    <definedName function="false" hidden="false" localSheetId="34" name="vol_iodate_tc___24_83_7" vbProcedure="false">#REF!</definedName>
    <definedName function="false" hidden="false" localSheetId="34" name="Vol_iodate___24_83_3" vbProcedure="false">#REF!</definedName>
    <definedName function="false" hidden="false" localSheetId="34" name="Vol_iodate___24_83_4" vbProcedure="false">#REF!</definedName>
    <definedName function="false" hidden="false" localSheetId="34" name="Vol_iodate___24_83_5" vbProcedure="false">#REF!</definedName>
    <definedName function="false" hidden="false" localSheetId="34" name="Vol_iodate___24_83_6" vbProcedure="false">#REF!</definedName>
    <definedName function="false" hidden="false" localSheetId="34" name="Vol_iodate___24_83_7" vbProcedure="false">#REF!</definedName>
    <definedName function="false" hidden="false" localSheetId="34" name="Vol_iodate___33_89" vbProcedure="false">#REF!</definedName>
    <definedName function="false" hidden="false" localSheetId="34" name="Vol_reactif___24_83_3" vbProcedure="false">#REF!</definedName>
    <definedName function="false" hidden="false" localSheetId="34" name="Vol_reactif___24_83_4" vbProcedure="false">#REF!</definedName>
    <definedName function="false" hidden="false" localSheetId="34" name="Vol_reactif___24_83_5" vbProcedure="false">#REF!</definedName>
    <definedName function="false" hidden="false" localSheetId="34" name="Vol_reactif___24_83_6" vbProcedure="false">#REF!</definedName>
    <definedName function="false" hidden="false" localSheetId="34" name="Vol_reactif___24_83_7" vbProcedure="false">#REF!</definedName>
    <definedName function="false" hidden="false" localSheetId="34" name="Vol_reactif___33_89" vbProcedure="false">#REF!</definedName>
    <definedName function="false" hidden="false" localSheetId="34" name="Vol_thio_iodate___24_83_3" vbProcedure="false">#REF!</definedName>
    <definedName function="false" hidden="false" localSheetId="34" name="Vol_thio_iodate___24_83_4" vbProcedure="false">#REF!</definedName>
    <definedName function="false" hidden="false" localSheetId="34" name="Vol_thio_iodate___24_83_5" vbProcedure="false">#REF!</definedName>
    <definedName function="false" hidden="false" localSheetId="34" name="Vol_thio_iodate___24_83_6" vbProcedure="false">#REF!</definedName>
    <definedName function="false" hidden="false" localSheetId="34" name="Vol_thio_iodate___24_83_7" vbProcedure="false">#REF!</definedName>
    <definedName function="false" hidden="false" localSheetId="34" name="Vol_thio_iodate___33_89" vbProcedure="false">#REF!</definedName>
    <definedName function="false" hidden="false" localSheetId="35" name="Blanc___24_83_3" vbProcedure="false">#REF!</definedName>
    <definedName function="false" hidden="false" localSheetId="35" name="Blanc___24_83_4" vbProcedure="false">#REF!</definedName>
    <definedName function="false" hidden="false" localSheetId="35" name="Blanc___24_83_5" vbProcedure="false">#REF!</definedName>
    <definedName function="false" hidden="false" localSheetId="35" name="Blanc___24_83_6" vbProcedure="false">#REF!</definedName>
    <definedName function="false" hidden="false" localSheetId="35" name="Blanc___24_83_7" vbProcedure="false">#REF!</definedName>
    <definedName function="false" hidden="false" localSheetId="35" name="Blanc___33_89" vbProcedure="false">#REF!</definedName>
    <definedName function="false" hidden="false" localSheetId="35" name="NORMALITE___0_89" vbProcedure="false">#REF!</definedName>
    <definedName function="false" hidden="false" localSheetId="35" name="NORMALITE___24_83_3" vbProcedure="false">#REF!</definedName>
    <definedName function="false" hidden="false" localSheetId="35" name="NORMALITE___24_83_4" vbProcedure="false">#REF!</definedName>
    <definedName function="false" hidden="false" localSheetId="35" name="NORMALITE___24_83_5" vbProcedure="false">#REF!</definedName>
    <definedName function="false" hidden="false" localSheetId="35" name="NORMALITE___24_83_6" vbProcedure="false">#REF!</definedName>
    <definedName function="false" hidden="false" localSheetId="35" name="NORMALITE___24_83_7" vbProcedure="false">#REF!</definedName>
    <definedName function="false" hidden="false" localSheetId="35" name="N_iodate___24_83_3" vbProcedure="false">#REF!</definedName>
    <definedName function="false" hidden="false" localSheetId="35" name="N_iodate___24_83_4" vbProcedure="false">#REF!</definedName>
    <definedName function="false" hidden="false" localSheetId="35" name="N_iodate___24_83_5" vbProcedure="false">#REF!</definedName>
    <definedName function="false" hidden="false" localSheetId="35" name="N_iodate___24_83_6" vbProcedure="false">#REF!</definedName>
    <definedName function="false" hidden="false" localSheetId="35" name="N_iodate___24_83_7" vbProcedure="false">#REF!</definedName>
    <definedName function="false" hidden="false" localSheetId="35" name="N_iodate___33_89" vbProcedure="false">#REF!</definedName>
    <definedName function="false" hidden="false" localSheetId="35" name="vol_iodate_tc___0_89" vbProcedure="false">#REF!</definedName>
    <definedName function="false" hidden="false" localSheetId="35" name="vol_iodate_tc___24_83_3" vbProcedure="false">#REF!</definedName>
    <definedName function="false" hidden="false" localSheetId="35" name="vol_iodate_tc___24_83_4" vbProcedure="false">#REF!</definedName>
    <definedName function="false" hidden="false" localSheetId="35" name="vol_iodate_tc___24_83_5" vbProcedure="false">#REF!</definedName>
    <definedName function="false" hidden="false" localSheetId="35" name="vol_iodate_tc___24_83_6" vbProcedure="false">#REF!</definedName>
    <definedName function="false" hidden="false" localSheetId="35" name="vol_iodate_tc___24_83_7" vbProcedure="false">#REF!</definedName>
    <definedName function="false" hidden="false" localSheetId="35" name="Vol_iodate___24_83_3" vbProcedure="false">#REF!</definedName>
    <definedName function="false" hidden="false" localSheetId="35" name="Vol_iodate___24_83_4" vbProcedure="false">#REF!</definedName>
    <definedName function="false" hidden="false" localSheetId="35" name="Vol_iodate___24_83_5" vbProcedure="false">#REF!</definedName>
    <definedName function="false" hidden="false" localSheetId="35" name="Vol_iodate___24_83_6" vbProcedure="false">#REF!</definedName>
    <definedName function="false" hidden="false" localSheetId="35" name="Vol_iodate___24_83_7" vbProcedure="false">#REF!</definedName>
    <definedName function="false" hidden="false" localSheetId="35" name="Vol_iodate___33_89" vbProcedure="false">#REF!</definedName>
    <definedName function="false" hidden="false" localSheetId="35" name="Vol_reactif___24_83_3" vbProcedure="false">#REF!</definedName>
    <definedName function="false" hidden="false" localSheetId="35" name="Vol_reactif___24_83_4" vbProcedure="false">#REF!</definedName>
    <definedName function="false" hidden="false" localSheetId="35" name="Vol_reactif___24_83_5" vbProcedure="false">#REF!</definedName>
    <definedName function="false" hidden="false" localSheetId="35" name="Vol_reactif___24_83_6" vbProcedure="false">#REF!</definedName>
    <definedName function="false" hidden="false" localSheetId="35" name="Vol_reactif___24_83_7" vbProcedure="false">#REF!</definedName>
    <definedName function="false" hidden="false" localSheetId="35" name="Vol_reactif___33_89" vbProcedure="false">#REF!</definedName>
    <definedName function="false" hidden="false" localSheetId="35" name="Vol_thio_iodate___24_83_3" vbProcedure="false">#REF!</definedName>
    <definedName function="false" hidden="false" localSheetId="35" name="Vol_thio_iodate___24_83_4" vbProcedure="false">#REF!</definedName>
    <definedName function="false" hidden="false" localSheetId="35" name="Vol_thio_iodate___24_83_5" vbProcedure="false">#REF!</definedName>
    <definedName function="false" hidden="false" localSheetId="35" name="Vol_thio_iodate___24_83_6" vbProcedure="false">#REF!</definedName>
    <definedName function="false" hidden="false" localSheetId="35" name="Vol_thio_iodate___24_83_7" vbProcedure="false">#REF!</definedName>
    <definedName function="false" hidden="false" localSheetId="35" name="Vol_thio_iodate___33_89" vbProcedure="false">#REF!</definedName>
    <definedName function="false" hidden="false" localSheetId="36" name="Blanc___24_83_3" vbProcedure="false">#REF!</definedName>
    <definedName function="false" hidden="false" localSheetId="36" name="Blanc___24_83_4" vbProcedure="false">#REF!</definedName>
    <definedName function="false" hidden="false" localSheetId="36" name="Blanc___24_83_5" vbProcedure="false">#REF!</definedName>
    <definedName function="false" hidden="false" localSheetId="36" name="Blanc___24_83_6" vbProcedure="false">#REF!</definedName>
    <definedName function="false" hidden="false" localSheetId="36" name="Blanc___24_83_7" vbProcedure="false">#REF!</definedName>
    <definedName function="false" hidden="false" localSheetId="36" name="Blanc___33_89" vbProcedure="false">#REF!</definedName>
    <definedName function="false" hidden="false" localSheetId="36" name="NORMALITE___0_89" vbProcedure="false">#REF!</definedName>
    <definedName function="false" hidden="false" localSheetId="36" name="NORMALITE___24_83_3" vbProcedure="false">#REF!</definedName>
    <definedName function="false" hidden="false" localSheetId="36" name="NORMALITE___24_83_4" vbProcedure="false">#REF!</definedName>
    <definedName function="false" hidden="false" localSheetId="36" name="NORMALITE___24_83_5" vbProcedure="false">#REF!</definedName>
    <definedName function="false" hidden="false" localSheetId="36" name="NORMALITE___24_83_6" vbProcedure="false">#REF!</definedName>
    <definedName function="false" hidden="false" localSheetId="36" name="NORMALITE___24_83_7" vbProcedure="false">#REF!</definedName>
    <definedName function="false" hidden="false" localSheetId="36" name="N_iodate___24_83_3" vbProcedure="false">#REF!</definedName>
    <definedName function="false" hidden="false" localSheetId="36" name="N_iodate___24_83_4" vbProcedure="false">#REF!</definedName>
    <definedName function="false" hidden="false" localSheetId="36" name="N_iodate___24_83_5" vbProcedure="false">#REF!</definedName>
    <definedName function="false" hidden="false" localSheetId="36" name="N_iodate___24_83_6" vbProcedure="false">#REF!</definedName>
    <definedName function="false" hidden="false" localSheetId="36" name="N_iodate___24_83_7" vbProcedure="false">#REF!</definedName>
    <definedName function="false" hidden="false" localSheetId="36" name="N_iodate___33_89" vbProcedure="false">#REF!</definedName>
    <definedName function="false" hidden="false" localSheetId="36" name="vol_iodate_tc___0_89" vbProcedure="false">#REF!</definedName>
    <definedName function="false" hidden="false" localSheetId="36" name="vol_iodate_tc___24_83_3" vbProcedure="false">#REF!</definedName>
    <definedName function="false" hidden="false" localSheetId="36" name="vol_iodate_tc___24_83_4" vbProcedure="false">#REF!</definedName>
    <definedName function="false" hidden="false" localSheetId="36" name="vol_iodate_tc___24_83_5" vbProcedure="false">#REF!</definedName>
    <definedName function="false" hidden="false" localSheetId="36" name="vol_iodate_tc___24_83_6" vbProcedure="false">#REF!</definedName>
    <definedName function="false" hidden="false" localSheetId="36" name="vol_iodate_tc___24_83_7" vbProcedure="false">#REF!</definedName>
    <definedName function="false" hidden="false" localSheetId="36" name="Vol_iodate___24_83_3" vbProcedure="false">#REF!</definedName>
    <definedName function="false" hidden="false" localSheetId="36" name="Vol_iodate___24_83_4" vbProcedure="false">#REF!</definedName>
    <definedName function="false" hidden="false" localSheetId="36" name="Vol_iodate___24_83_5" vbProcedure="false">#REF!</definedName>
    <definedName function="false" hidden="false" localSheetId="36" name="Vol_iodate___24_83_6" vbProcedure="false">#REF!</definedName>
    <definedName function="false" hidden="false" localSheetId="36" name="Vol_iodate___24_83_7" vbProcedure="false">#REF!</definedName>
    <definedName function="false" hidden="false" localSheetId="36" name="Vol_iodate___33_89" vbProcedure="false">#REF!</definedName>
    <definedName function="false" hidden="false" localSheetId="36" name="Vol_reactif___24_83_3" vbProcedure="false">#REF!</definedName>
    <definedName function="false" hidden="false" localSheetId="36" name="Vol_reactif___24_83_4" vbProcedure="false">#REF!</definedName>
    <definedName function="false" hidden="false" localSheetId="36" name="Vol_reactif___24_83_5" vbProcedure="false">#REF!</definedName>
    <definedName function="false" hidden="false" localSheetId="36" name="Vol_reactif___24_83_6" vbProcedure="false">#REF!</definedName>
    <definedName function="false" hidden="false" localSheetId="36" name="Vol_reactif___24_83_7" vbProcedure="false">#REF!</definedName>
    <definedName function="false" hidden="false" localSheetId="36" name="Vol_reactif___33_89" vbProcedure="false">#REF!</definedName>
    <definedName function="false" hidden="false" localSheetId="36" name="Vol_thio_iodate___24_83_3" vbProcedure="false">#REF!</definedName>
    <definedName function="false" hidden="false" localSheetId="36" name="Vol_thio_iodate___24_83_4" vbProcedure="false">#REF!</definedName>
    <definedName function="false" hidden="false" localSheetId="36" name="Vol_thio_iodate___24_83_5" vbProcedure="false">#REF!</definedName>
    <definedName function="false" hidden="false" localSheetId="36" name="Vol_thio_iodate___24_83_6" vbProcedure="false">#REF!</definedName>
    <definedName function="false" hidden="false" localSheetId="36" name="Vol_thio_iodate___24_83_7" vbProcedure="false">#REF!</definedName>
    <definedName function="false" hidden="false" localSheetId="36" name="Vol_thio_iodate___33_89" vbProcedure="false">#REF!</definedName>
    <definedName function="false" hidden="false" localSheetId="37" name="Blanc___24_83_3" vbProcedure="false">#REF!</definedName>
    <definedName function="false" hidden="false" localSheetId="37" name="Blanc___24_83_4" vbProcedure="false">#REF!</definedName>
    <definedName function="false" hidden="false" localSheetId="37" name="Blanc___24_83_5" vbProcedure="false">#REF!</definedName>
    <definedName function="false" hidden="false" localSheetId="37" name="Blanc___24_83_6" vbProcedure="false">#REF!</definedName>
    <definedName function="false" hidden="false" localSheetId="37" name="Blanc___24_83_7" vbProcedure="false">#REF!</definedName>
    <definedName function="false" hidden="false" localSheetId="37" name="Blanc___33_89" vbProcedure="false">#REF!</definedName>
    <definedName function="false" hidden="false" localSheetId="37" name="NORMALITE___0_89" vbProcedure="false">#REF!</definedName>
    <definedName function="false" hidden="false" localSheetId="37" name="NORMALITE___24_83_3" vbProcedure="false">#REF!</definedName>
    <definedName function="false" hidden="false" localSheetId="37" name="NORMALITE___24_83_4" vbProcedure="false">#REF!</definedName>
    <definedName function="false" hidden="false" localSheetId="37" name="NORMALITE___24_83_5" vbProcedure="false">#REF!</definedName>
    <definedName function="false" hidden="false" localSheetId="37" name="NORMALITE___24_83_6" vbProcedure="false">#REF!</definedName>
    <definedName function="false" hidden="false" localSheetId="37" name="NORMALITE___24_83_7" vbProcedure="false">#REF!</definedName>
    <definedName function="false" hidden="false" localSheetId="37" name="N_iodate___24_83_3" vbProcedure="false">#REF!</definedName>
    <definedName function="false" hidden="false" localSheetId="37" name="N_iodate___24_83_4" vbProcedure="false">#REF!</definedName>
    <definedName function="false" hidden="false" localSheetId="37" name="N_iodate___24_83_5" vbProcedure="false">#REF!</definedName>
    <definedName function="false" hidden="false" localSheetId="37" name="N_iodate___24_83_6" vbProcedure="false">#REF!</definedName>
    <definedName function="false" hidden="false" localSheetId="37" name="N_iodate___24_83_7" vbProcedure="false">#REF!</definedName>
    <definedName function="false" hidden="false" localSheetId="37" name="N_iodate___33_89" vbProcedure="false">#REF!</definedName>
    <definedName function="false" hidden="false" localSheetId="37" name="vol_iodate_tc___0_89" vbProcedure="false">#REF!</definedName>
    <definedName function="false" hidden="false" localSheetId="37" name="vol_iodate_tc___24_83_3" vbProcedure="false">#REF!</definedName>
    <definedName function="false" hidden="false" localSheetId="37" name="vol_iodate_tc___24_83_4" vbProcedure="false">#REF!</definedName>
    <definedName function="false" hidden="false" localSheetId="37" name="vol_iodate_tc___24_83_5" vbProcedure="false">#REF!</definedName>
    <definedName function="false" hidden="false" localSheetId="37" name="vol_iodate_tc___24_83_6" vbProcedure="false">#REF!</definedName>
    <definedName function="false" hidden="false" localSheetId="37" name="vol_iodate_tc___24_83_7" vbProcedure="false">#REF!</definedName>
    <definedName function="false" hidden="false" localSheetId="37" name="Vol_iodate___24_83_3" vbProcedure="false">#REF!</definedName>
    <definedName function="false" hidden="false" localSheetId="37" name="Vol_iodate___24_83_4" vbProcedure="false">#REF!</definedName>
    <definedName function="false" hidden="false" localSheetId="37" name="Vol_iodate___24_83_5" vbProcedure="false">#REF!</definedName>
    <definedName function="false" hidden="false" localSheetId="37" name="Vol_iodate___24_83_6" vbProcedure="false">#REF!</definedName>
    <definedName function="false" hidden="false" localSheetId="37" name="Vol_iodate___24_83_7" vbProcedure="false">#REF!</definedName>
    <definedName function="false" hidden="false" localSheetId="37" name="Vol_iodate___33_89" vbProcedure="false">#REF!</definedName>
    <definedName function="false" hidden="false" localSheetId="37" name="Vol_reactif___24_83_3" vbProcedure="false">#REF!</definedName>
    <definedName function="false" hidden="false" localSheetId="37" name="Vol_reactif___24_83_4" vbProcedure="false">#REF!</definedName>
    <definedName function="false" hidden="false" localSheetId="37" name="Vol_reactif___24_83_5" vbProcedure="false">#REF!</definedName>
    <definedName function="false" hidden="false" localSheetId="37" name="Vol_reactif___24_83_6" vbProcedure="false">#REF!</definedName>
    <definedName function="false" hidden="false" localSheetId="37" name="Vol_reactif___24_83_7" vbProcedure="false">#REF!</definedName>
    <definedName function="false" hidden="false" localSheetId="37" name="Vol_reactif___33_89" vbProcedure="false">#REF!</definedName>
    <definedName function="false" hidden="false" localSheetId="37" name="Vol_thio_iodate___24_83_3" vbProcedure="false">#REF!</definedName>
    <definedName function="false" hidden="false" localSheetId="37" name="Vol_thio_iodate___24_83_4" vbProcedure="false">#REF!</definedName>
    <definedName function="false" hidden="false" localSheetId="37" name="Vol_thio_iodate___24_83_5" vbProcedure="false">#REF!</definedName>
    <definedName function="false" hidden="false" localSheetId="37" name="Vol_thio_iodate___24_83_6" vbProcedure="false">#REF!</definedName>
    <definedName function="false" hidden="false" localSheetId="37" name="Vol_thio_iodate___24_83_7" vbProcedure="false">#REF!</definedName>
    <definedName function="false" hidden="false" localSheetId="37" name="Vol_thio_iodate___33_89" vbProcedure="false">#REF!</definedName>
    <definedName function="false" hidden="false" localSheetId="38" name="Blanc___24_83_3" vbProcedure="false">#REF!</definedName>
    <definedName function="false" hidden="false" localSheetId="38" name="Blanc___24_83_4" vbProcedure="false">#REF!</definedName>
    <definedName function="false" hidden="false" localSheetId="38" name="Blanc___24_83_5" vbProcedure="false">#REF!</definedName>
    <definedName function="false" hidden="false" localSheetId="38" name="Blanc___24_83_6" vbProcedure="false">#REF!</definedName>
    <definedName function="false" hidden="false" localSheetId="38" name="Blanc___24_83_7" vbProcedure="false">#REF!</definedName>
    <definedName function="false" hidden="false" localSheetId="38" name="Blanc___33_89" vbProcedure="false">#REF!</definedName>
    <definedName function="false" hidden="false" localSheetId="38" name="NORMALITE___0_89" vbProcedure="false">#REF!</definedName>
    <definedName function="false" hidden="false" localSheetId="38" name="NORMALITE___24_83_3" vbProcedure="false">#REF!</definedName>
    <definedName function="false" hidden="false" localSheetId="38" name="NORMALITE___24_83_4" vbProcedure="false">#REF!</definedName>
    <definedName function="false" hidden="false" localSheetId="38" name="NORMALITE___24_83_5" vbProcedure="false">#REF!</definedName>
    <definedName function="false" hidden="false" localSheetId="38" name="NORMALITE___24_83_6" vbProcedure="false">#REF!</definedName>
    <definedName function="false" hidden="false" localSheetId="38" name="NORMALITE___24_83_7" vbProcedure="false">#REF!</definedName>
    <definedName function="false" hidden="false" localSheetId="38" name="N_iodate___24_83_3" vbProcedure="false">#REF!</definedName>
    <definedName function="false" hidden="false" localSheetId="38" name="N_iodate___24_83_4" vbProcedure="false">#REF!</definedName>
    <definedName function="false" hidden="false" localSheetId="38" name="N_iodate___24_83_5" vbProcedure="false">#REF!</definedName>
    <definedName function="false" hidden="false" localSheetId="38" name="N_iodate___24_83_6" vbProcedure="false">#REF!</definedName>
    <definedName function="false" hidden="false" localSheetId="38" name="N_iodate___24_83_7" vbProcedure="false">#REF!</definedName>
    <definedName function="false" hidden="false" localSheetId="38" name="N_iodate___33_89" vbProcedure="false">#REF!</definedName>
    <definedName function="false" hidden="false" localSheetId="38" name="vol_iodate_tc___0_89" vbProcedure="false">#REF!</definedName>
    <definedName function="false" hidden="false" localSheetId="38" name="vol_iodate_tc___24_83_3" vbProcedure="false">#REF!</definedName>
    <definedName function="false" hidden="false" localSheetId="38" name="vol_iodate_tc___24_83_4" vbProcedure="false">#REF!</definedName>
    <definedName function="false" hidden="false" localSheetId="38" name="vol_iodate_tc___24_83_5" vbProcedure="false">#REF!</definedName>
    <definedName function="false" hidden="false" localSheetId="38" name="vol_iodate_tc___24_83_6" vbProcedure="false">#REF!</definedName>
    <definedName function="false" hidden="false" localSheetId="38" name="vol_iodate_tc___24_83_7" vbProcedure="false">#REF!</definedName>
    <definedName function="false" hidden="false" localSheetId="38" name="Vol_iodate___24_83_3" vbProcedure="false">#REF!</definedName>
    <definedName function="false" hidden="false" localSheetId="38" name="Vol_iodate___24_83_4" vbProcedure="false">#REF!</definedName>
    <definedName function="false" hidden="false" localSheetId="38" name="Vol_iodate___24_83_5" vbProcedure="false">#REF!</definedName>
    <definedName function="false" hidden="false" localSheetId="38" name="Vol_iodate___24_83_6" vbProcedure="false">#REF!</definedName>
    <definedName function="false" hidden="false" localSheetId="38" name="Vol_iodate___24_83_7" vbProcedure="false">#REF!</definedName>
    <definedName function="false" hidden="false" localSheetId="38" name="Vol_iodate___33_89" vbProcedure="false">#REF!</definedName>
    <definedName function="false" hidden="false" localSheetId="38" name="Vol_reactif___24_83_3" vbProcedure="false">#REF!</definedName>
    <definedName function="false" hidden="false" localSheetId="38" name="Vol_reactif___24_83_4" vbProcedure="false">#REF!</definedName>
    <definedName function="false" hidden="false" localSheetId="38" name="Vol_reactif___24_83_5" vbProcedure="false">#REF!</definedName>
    <definedName function="false" hidden="false" localSheetId="38" name="Vol_reactif___24_83_6" vbProcedure="false">#REF!</definedName>
    <definedName function="false" hidden="false" localSheetId="38" name="Vol_reactif___24_83_7" vbProcedure="false">#REF!</definedName>
    <definedName function="false" hidden="false" localSheetId="38" name="Vol_reactif___33_89" vbProcedure="false">#REF!</definedName>
    <definedName function="false" hidden="false" localSheetId="38" name="Vol_thio_iodate___24_83_3" vbProcedure="false">#REF!</definedName>
    <definedName function="false" hidden="false" localSheetId="38" name="Vol_thio_iodate___24_83_4" vbProcedure="false">#REF!</definedName>
    <definedName function="false" hidden="false" localSheetId="38" name="Vol_thio_iodate___24_83_5" vbProcedure="false">#REF!</definedName>
    <definedName function="false" hidden="false" localSheetId="38" name="Vol_thio_iodate___24_83_6" vbProcedure="false">#REF!</definedName>
    <definedName function="false" hidden="false" localSheetId="38" name="Vol_thio_iodate___24_83_7" vbProcedure="false">#REF!</definedName>
    <definedName function="false" hidden="false" localSheetId="38" name="Vol_thio_iodate___33_89" vbProcedure="false">#REF!</definedName>
    <definedName function="false" hidden="false" localSheetId="39" name="Blanc___24_83_3" vbProcedure="false">#REF!</definedName>
    <definedName function="false" hidden="false" localSheetId="39" name="Blanc___24_83_4" vbProcedure="false">#REF!</definedName>
    <definedName function="false" hidden="false" localSheetId="39" name="Blanc___24_83_5" vbProcedure="false">#REF!</definedName>
    <definedName function="false" hidden="false" localSheetId="39" name="Blanc___24_83_6" vbProcedure="false">#REF!</definedName>
    <definedName function="false" hidden="false" localSheetId="39" name="Blanc___24_83_7" vbProcedure="false">#REF!</definedName>
    <definedName function="false" hidden="false" localSheetId="39" name="Blanc___33_89" vbProcedure="false">#REF!</definedName>
    <definedName function="false" hidden="false" localSheetId="39" name="NORMALITE___0_89" vbProcedure="false">#REF!</definedName>
    <definedName function="false" hidden="false" localSheetId="39" name="NORMALITE___24_83_3" vbProcedure="false">#REF!</definedName>
    <definedName function="false" hidden="false" localSheetId="39" name="NORMALITE___24_83_4" vbProcedure="false">#REF!</definedName>
    <definedName function="false" hidden="false" localSheetId="39" name="NORMALITE___24_83_5" vbProcedure="false">#REF!</definedName>
    <definedName function="false" hidden="false" localSheetId="39" name="NORMALITE___24_83_6" vbProcedure="false">#REF!</definedName>
    <definedName function="false" hidden="false" localSheetId="39" name="NORMALITE___24_83_7" vbProcedure="false">#REF!</definedName>
    <definedName function="false" hidden="false" localSheetId="39" name="N_iodate___24_83_3" vbProcedure="false">#REF!</definedName>
    <definedName function="false" hidden="false" localSheetId="39" name="N_iodate___24_83_4" vbProcedure="false">#REF!</definedName>
    <definedName function="false" hidden="false" localSheetId="39" name="N_iodate___24_83_5" vbProcedure="false">#REF!</definedName>
    <definedName function="false" hidden="false" localSheetId="39" name="N_iodate___24_83_6" vbProcedure="false">#REF!</definedName>
    <definedName function="false" hidden="false" localSheetId="39" name="N_iodate___24_83_7" vbProcedure="false">#REF!</definedName>
    <definedName function="false" hidden="false" localSheetId="39" name="N_iodate___33_89" vbProcedure="false">#REF!</definedName>
    <definedName function="false" hidden="false" localSheetId="39" name="vol_iodate_tc___0_89" vbProcedure="false">#REF!</definedName>
    <definedName function="false" hidden="false" localSheetId="39" name="vol_iodate_tc___24_83_3" vbProcedure="false">#REF!</definedName>
    <definedName function="false" hidden="false" localSheetId="39" name="vol_iodate_tc___24_83_4" vbProcedure="false">#REF!</definedName>
    <definedName function="false" hidden="false" localSheetId="39" name="vol_iodate_tc___24_83_5" vbProcedure="false">#REF!</definedName>
    <definedName function="false" hidden="false" localSheetId="39" name="vol_iodate_tc___24_83_6" vbProcedure="false">#REF!</definedName>
    <definedName function="false" hidden="false" localSheetId="39" name="vol_iodate_tc___24_83_7" vbProcedure="false">#REF!</definedName>
    <definedName function="false" hidden="false" localSheetId="39" name="Vol_iodate___24_83_3" vbProcedure="false">#REF!</definedName>
    <definedName function="false" hidden="false" localSheetId="39" name="Vol_iodate___24_83_4" vbProcedure="false">#REF!</definedName>
    <definedName function="false" hidden="false" localSheetId="39" name="Vol_iodate___24_83_5" vbProcedure="false">#REF!</definedName>
    <definedName function="false" hidden="false" localSheetId="39" name="Vol_iodate___24_83_6" vbProcedure="false">#REF!</definedName>
    <definedName function="false" hidden="false" localSheetId="39" name="Vol_iodate___24_83_7" vbProcedure="false">#REF!</definedName>
    <definedName function="false" hidden="false" localSheetId="39" name="Vol_iodate___33_89" vbProcedure="false">#REF!</definedName>
    <definedName function="false" hidden="false" localSheetId="39" name="Vol_reactif___24_83_3" vbProcedure="false">#REF!</definedName>
    <definedName function="false" hidden="false" localSheetId="39" name="Vol_reactif___24_83_4" vbProcedure="false">#REF!</definedName>
    <definedName function="false" hidden="false" localSheetId="39" name="Vol_reactif___24_83_5" vbProcedure="false">#REF!</definedName>
    <definedName function="false" hidden="false" localSheetId="39" name="Vol_reactif___24_83_6" vbProcedure="false">#REF!</definedName>
    <definedName function="false" hidden="false" localSheetId="39" name="Vol_reactif___24_83_7" vbProcedure="false">#REF!</definedName>
    <definedName function="false" hidden="false" localSheetId="39" name="Vol_reactif___33_89" vbProcedure="false">#REF!</definedName>
    <definedName function="false" hidden="false" localSheetId="39" name="Vol_thio_iodate___24_83_3" vbProcedure="false">#REF!</definedName>
    <definedName function="false" hidden="false" localSheetId="39" name="Vol_thio_iodate___24_83_4" vbProcedure="false">#REF!</definedName>
    <definedName function="false" hidden="false" localSheetId="39" name="Vol_thio_iodate___24_83_5" vbProcedure="false">#REF!</definedName>
    <definedName function="false" hidden="false" localSheetId="39" name="Vol_thio_iodate___24_83_6" vbProcedure="false">#REF!</definedName>
    <definedName function="false" hidden="false" localSheetId="39" name="Vol_thio_iodate___24_83_7" vbProcedure="false">#REF!</definedName>
    <definedName function="false" hidden="false" localSheetId="39" name="Vol_thio_iodate___33_89" vbProcedure="false">#REF!</definedName>
    <definedName function="false" hidden="false" localSheetId="40" name="Blanc___24_83_3" vbProcedure="false">#REF!</definedName>
    <definedName function="false" hidden="false" localSheetId="40" name="Blanc___24_83_4" vbProcedure="false">#REF!</definedName>
    <definedName function="false" hidden="false" localSheetId="40" name="Blanc___24_83_5" vbProcedure="false">#REF!</definedName>
    <definedName function="false" hidden="false" localSheetId="40" name="Blanc___24_83_6" vbProcedure="false">#REF!</definedName>
    <definedName function="false" hidden="false" localSheetId="40" name="Blanc___24_83_7" vbProcedure="false">#REF!</definedName>
    <definedName function="false" hidden="false" localSheetId="40" name="Blanc___33_89" vbProcedure="false">#REF!</definedName>
    <definedName function="false" hidden="false" localSheetId="40" name="NORMALITE___0_89" vbProcedure="false">#REF!</definedName>
    <definedName function="false" hidden="false" localSheetId="40" name="NORMALITE___24_83_3" vbProcedure="false">#REF!</definedName>
    <definedName function="false" hidden="false" localSheetId="40" name="NORMALITE___24_83_4" vbProcedure="false">#REF!</definedName>
    <definedName function="false" hidden="false" localSheetId="40" name="NORMALITE___24_83_5" vbProcedure="false">#REF!</definedName>
    <definedName function="false" hidden="false" localSheetId="40" name="NORMALITE___24_83_6" vbProcedure="false">#REF!</definedName>
    <definedName function="false" hidden="false" localSheetId="40" name="NORMALITE___24_83_7" vbProcedure="false">#REF!</definedName>
    <definedName function="false" hidden="false" localSheetId="40" name="N_iodate___24_83_3" vbProcedure="false">#REF!</definedName>
    <definedName function="false" hidden="false" localSheetId="40" name="N_iodate___24_83_4" vbProcedure="false">#REF!</definedName>
    <definedName function="false" hidden="false" localSheetId="40" name="N_iodate___24_83_5" vbProcedure="false">#REF!</definedName>
    <definedName function="false" hidden="false" localSheetId="40" name="N_iodate___24_83_6" vbProcedure="false">#REF!</definedName>
    <definedName function="false" hidden="false" localSheetId="40" name="N_iodate___24_83_7" vbProcedure="false">#REF!</definedName>
    <definedName function="false" hidden="false" localSheetId="40" name="N_iodate___33_89" vbProcedure="false">#REF!</definedName>
    <definedName function="false" hidden="false" localSheetId="40" name="vol_iodate_tc___0_89" vbProcedure="false">#REF!</definedName>
    <definedName function="false" hidden="false" localSheetId="40" name="vol_iodate_tc___24_83_3" vbProcedure="false">#REF!</definedName>
    <definedName function="false" hidden="false" localSheetId="40" name="vol_iodate_tc___24_83_4" vbProcedure="false">#REF!</definedName>
    <definedName function="false" hidden="false" localSheetId="40" name="vol_iodate_tc___24_83_5" vbProcedure="false">#REF!</definedName>
    <definedName function="false" hidden="false" localSheetId="40" name="vol_iodate_tc___24_83_6" vbProcedure="false">#REF!</definedName>
    <definedName function="false" hidden="false" localSheetId="40" name="vol_iodate_tc___24_83_7" vbProcedure="false">#REF!</definedName>
    <definedName function="false" hidden="false" localSheetId="40" name="Vol_iodate___24_83_3" vbProcedure="false">#REF!</definedName>
    <definedName function="false" hidden="false" localSheetId="40" name="Vol_iodate___24_83_4" vbProcedure="false">#REF!</definedName>
    <definedName function="false" hidden="false" localSheetId="40" name="Vol_iodate___24_83_5" vbProcedure="false">#REF!</definedName>
    <definedName function="false" hidden="false" localSheetId="40" name="Vol_iodate___24_83_6" vbProcedure="false">#REF!</definedName>
    <definedName function="false" hidden="false" localSheetId="40" name="Vol_iodate___24_83_7" vbProcedure="false">#REF!</definedName>
    <definedName function="false" hidden="false" localSheetId="40" name="Vol_iodate___33_89" vbProcedure="false">#REF!</definedName>
    <definedName function="false" hidden="false" localSheetId="40" name="Vol_reactif___24_83_3" vbProcedure="false">#REF!</definedName>
    <definedName function="false" hidden="false" localSheetId="40" name="Vol_reactif___24_83_4" vbProcedure="false">#REF!</definedName>
    <definedName function="false" hidden="false" localSheetId="40" name="Vol_reactif___24_83_5" vbProcedure="false">#REF!</definedName>
    <definedName function="false" hidden="false" localSheetId="40" name="Vol_reactif___24_83_6" vbProcedure="false">#REF!</definedName>
    <definedName function="false" hidden="false" localSheetId="40" name="Vol_reactif___24_83_7" vbProcedure="false">#REF!</definedName>
    <definedName function="false" hidden="false" localSheetId="40" name="Vol_reactif___33_89" vbProcedure="false">#REF!</definedName>
    <definedName function="false" hidden="false" localSheetId="40" name="Vol_thio_iodate___24_83_3" vbProcedure="false">#REF!</definedName>
    <definedName function="false" hidden="false" localSheetId="40" name="Vol_thio_iodate___24_83_4" vbProcedure="false">#REF!</definedName>
    <definedName function="false" hidden="false" localSheetId="40" name="Vol_thio_iodate___24_83_5" vbProcedure="false">#REF!</definedName>
    <definedName function="false" hidden="false" localSheetId="40" name="Vol_thio_iodate___24_83_6" vbProcedure="false">#REF!</definedName>
    <definedName function="false" hidden="false" localSheetId="40" name="Vol_thio_iodate___24_83_7" vbProcedure="false">#REF!</definedName>
    <definedName function="false" hidden="false" localSheetId="40" name="Vol_thio_iodate___33_89" vbProcedure="false">#REF!</definedName>
    <definedName function="false" hidden="false" localSheetId="41" name="Blanc___24_83_3" vbProcedure="false">#REF!</definedName>
    <definedName function="false" hidden="false" localSheetId="41" name="Blanc___24_83_4" vbProcedure="false">#REF!</definedName>
    <definedName function="false" hidden="false" localSheetId="41" name="Blanc___24_83_5" vbProcedure="false">#REF!</definedName>
    <definedName function="false" hidden="false" localSheetId="41" name="Blanc___24_83_6" vbProcedure="false">#REF!</definedName>
    <definedName function="false" hidden="false" localSheetId="41" name="Blanc___24_83_7" vbProcedure="false">#REF!</definedName>
    <definedName function="false" hidden="false" localSheetId="41" name="Blanc___33_89" vbProcedure="false">#REF!</definedName>
    <definedName function="false" hidden="false" localSheetId="41" name="NORMALITE___0_89" vbProcedure="false">#REF!</definedName>
    <definedName function="false" hidden="false" localSheetId="41" name="NORMALITE___24_83_3" vbProcedure="false">#REF!</definedName>
    <definedName function="false" hidden="false" localSheetId="41" name="NORMALITE___24_83_4" vbProcedure="false">#REF!</definedName>
    <definedName function="false" hidden="false" localSheetId="41" name="NORMALITE___24_83_5" vbProcedure="false">#REF!</definedName>
    <definedName function="false" hidden="false" localSheetId="41" name="NORMALITE___24_83_6" vbProcedure="false">#REF!</definedName>
    <definedName function="false" hidden="false" localSheetId="41" name="NORMALITE___24_83_7" vbProcedure="false">#REF!</definedName>
    <definedName function="false" hidden="false" localSheetId="41" name="N_iodate___24_83_3" vbProcedure="false">#REF!</definedName>
    <definedName function="false" hidden="false" localSheetId="41" name="N_iodate___24_83_4" vbProcedure="false">#REF!</definedName>
    <definedName function="false" hidden="false" localSheetId="41" name="N_iodate___24_83_5" vbProcedure="false">#REF!</definedName>
    <definedName function="false" hidden="false" localSheetId="41" name="N_iodate___24_83_6" vbProcedure="false">#REF!</definedName>
    <definedName function="false" hidden="false" localSheetId="41" name="N_iodate___24_83_7" vbProcedure="false">#REF!</definedName>
    <definedName function="false" hidden="false" localSheetId="41" name="N_iodate___33_89" vbProcedure="false">#REF!</definedName>
    <definedName function="false" hidden="false" localSheetId="41" name="vol_iodate_tc___0_89" vbProcedure="false">#REF!</definedName>
    <definedName function="false" hidden="false" localSheetId="41" name="vol_iodate_tc___24_83_3" vbProcedure="false">#REF!</definedName>
    <definedName function="false" hidden="false" localSheetId="41" name="vol_iodate_tc___24_83_4" vbProcedure="false">#REF!</definedName>
    <definedName function="false" hidden="false" localSheetId="41" name="vol_iodate_tc___24_83_5" vbProcedure="false">#REF!</definedName>
    <definedName function="false" hidden="false" localSheetId="41" name="vol_iodate_tc___24_83_6" vbProcedure="false">#REF!</definedName>
    <definedName function="false" hidden="false" localSheetId="41" name="vol_iodate_tc___24_83_7" vbProcedure="false">#REF!</definedName>
    <definedName function="false" hidden="false" localSheetId="41" name="Vol_iodate___24_83_3" vbProcedure="false">#REF!</definedName>
    <definedName function="false" hidden="false" localSheetId="41" name="Vol_iodate___24_83_4" vbProcedure="false">#REF!</definedName>
    <definedName function="false" hidden="false" localSheetId="41" name="Vol_iodate___24_83_5" vbProcedure="false">#REF!</definedName>
    <definedName function="false" hidden="false" localSheetId="41" name="Vol_iodate___24_83_6" vbProcedure="false">#REF!</definedName>
    <definedName function="false" hidden="false" localSheetId="41" name="Vol_iodate___24_83_7" vbProcedure="false">#REF!</definedName>
    <definedName function="false" hidden="false" localSheetId="41" name="Vol_iodate___33_89" vbProcedure="false">#REF!</definedName>
    <definedName function="false" hidden="false" localSheetId="41" name="Vol_reactif___24_83_3" vbProcedure="false">#REF!</definedName>
    <definedName function="false" hidden="false" localSheetId="41" name="Vol_reactif___24_83_4" vbProcedure="false">#REF!</definedName>
    <definedName function="false" hidden="false" localSheetId="41" name="Vol_reactif___24_83_5" vbProcedure="false">#REF!</definedName>
    <definedName function="false" hidden="false" localSheetId="41" name="Vol_reactif___24_83_6" vbProcedure="false">#REF!</definedName>
    <definedName function="false" hidden="false" localSheetId="41" name="Vol_reactif___24_83_7" vbProcedure="false">#REF!</definedName>
    <definedName function="false" hidden="false" localSheetId="41" name="Vol_reactif___33_89" vbProcedure="false">#REF!</definedName>
    <definedName function="false" hidden="false" localSheetId="41" name="Vol_thio_iodate___24_83_3" vbProcedure="false">#REF!</definedName>
    <definedName function="false" hidden="false" localSheetId="41" name="Vol_thio_iodate___24_83_4" vbProcedure="false">#REF!</definedName>
    <definedName function="false" hidden="false" localSheetId="41" name="Vol_thio_iodate___24_83_5" vbProcedure="false">#REF!</definedName>
    <definedName function="false" hidden="false" localSheetId="41" name="Vol_thio_iodate___24_83_6" vbProcedure="false">#REF!</definedName>
    <definedName function="false" hidden="false" localSheetId="41" name="Vol_thio_iodate___24_83_7" vbProcedure="false">#REF!</definedName>
    <definedName function="false" hidden="false" localSheetId="41" name="Vol_thio_iodate___33_89" vbProcedure="false">#REF!</definedName>
    <definedName function="false" hidden="false" localSheetId="42" name="Blanc___24_83_3" vbProcedure="false">#REF!</definedName>
    <definedName function="false" hidden="false" localSheetId="42" name="Blanc___24_83_4" vbProcedure="false">#REF!</definedName>
    <definedName function="false" hidden="false" localSheetId="42" name="Blanc___24_83_5" vbProcedure="false">#REF!</definedName>
    <definedName function="false" hidden="false" localSheetId="42" name="Blanc___24_83_6" vbProcedure="false">#REF!</definedName>
    <definedName function="false" hidden="false" localSheetId="42" name="Blanc___24_83_7" vbProcedure="false">#REF!</definedName>
    <definedName function="false" hidden="false" localSheetId="42" name="Blanc___33_89" vbProcedure="false">#REF!</definedName>
    <definedName function="false" hidden="false" localSheetId="42" name="NORMALITE___0_89" vbProcedure="false">#REF!</definedName>
    <definedName function="false" hidden="false" localSheetId="42" name="NORMALITE___24_83_3" vbProcedure="false">#REF!</definedName>
    <definedName function="false" hidden="false" localSheetId="42" name="NORMALITE___24_83_4" vbProcedure="false">#REF!</definedName>
    <definedName function="false" hidden="false" localSheetId="42" name="NORMALITE___24_83_5" vbProcedure="false">#REF!</definedName>
    <definedName function="false" hidden="false" localSheetId="42" name="NORMALITE___24_83_6" vbProcedure="false">#REF!</definedName>
    <definedName function="false" hidden="false" localSheetId="42" name="NORMALITE___24_83_7" vbProcedure="false">#REF!</definedName>
    <definedName function="false" hidden="false" localSheetId="42" name="N_iodate___24_83_3" vbProcedure="false">#REF!</definedName>
    <definedName function="false" hidden="false" localSheetId="42" name="N_iodate___24_83_4" vbProcedure="false">#REF!</definedName>
    <definedName function="false" hidden="false" localSheetId="42" name="N_iodate___24_83_5" vbProcedure="false">#REF!</definedName>
    <definedName function="false" hidden="false" localSheetId="42" name="N_iodate___24_83_6" vbProcedure="false">#REF!</definedName>
    <definedName function="false" hidden="false" localSheetId="42" name="N_iodate___24_83_7" vbProcedure="false">#REF!</definedName>
    <definedName function="false" hidden="false" localSheetId="42" name="N_iodate___33_89" vbProcedure="false">#REF!</definedName>
    <definedName function="false" hidden="false" localSheetId="42" name="vol_iodate_tc___0_89" vbProcedure="false">#REF!</definedName>
    <definedName function="false" hidden="false" localSheetId="42" name="vol_iodate_tc___24_83_3" vbProcedure="false">#REF!</definedName>
    <definedName function="false" hidden="false" localSheetId="42" name="vol_iodate_tc___24_83_4" vbProcedure="false">#REF!</definedName>
    <definedName function="false" hidden="false" localSheetId="42" name="vol_iodate_tc___24_83_5" vbProcedure="false">#REF!</definedName>
    <definedName function="false" hidden="false" localSheetId="42" name="vol_iodate_tc___24_83_6" vbProcedure="false">#REF!</definedName>
    <definedName function="false" hidden="false" localSheetId="42" name="vol_iodate_tc___24_83_7" vbProcedure="false">#REF!</definedName>
    <definedName function="false" hidden="false" localSheetId="42" name="Vol_iodate___24_83_3" vbProcedure="false">#REF!</definedName>
    <definedName function="false" hidden="false" localSheetId="42" name="Vol_iodate___24_83_4" vbProcedure="false">#REF!</definedName>
    <definedName function="false" hidden="false" localSheetId="42" name="Vol_iodate___24_83_5" vbProcedure="false">#REF!</definedName>
    <definedName function="false" hidden="false" localSheetId="42" name="Vol_iodate___24_83_6" vbProcedure="false">#REF!</definedName>
    <definedName function="false" hidden="false" localSheetId="42" name="Vol_iodate___24_83_7" vbProcedure="false">#REF!</definedName>
    <definedName function="false" hidden="false" localSheetId="42" name="Vol_iodate___33_89" vbProcedure="false">#REF!</definedName>
    <definedName function="false" hidden="false" localSheetId="42" name="Vol_reactif___24_83_3" vbProcedure="false">#REF!</definedName>
    <definedName function="false" hidden="false" localSheetId="42" name="Vol_reactif___24_83_4" vbProcedure="false">#REF!</definedName>
    <definedName function="false" hidden="false" localSheetId="42" name="Vol_reactif___24_83_5" vbProcedure="false">#REF!</definedName>
    <definedName function="false" hidden="false" localSheetId="42" name="Vol_reactif___24_83_6" vbProcedure="false">#REF!</definedName>
    <definedName function="false" hidden="false" localSheetId="42" name="Vol_reactif___24_83_7" vbProcedure="false">#REF!</definedName>
    <definedName function="false" hidden="false" localSheetId="42" name="Vol_reactif___33_89" vbProcedure="false">#REF!</definedName>
    <definedName function="false" hidden="false" localSheetId="42" name="Vol_thio_iodate___24_83_3" vbProcedure="false">#REF!</definedName>
    <definedName function="false" hidden="false" localSheetId="42" name="Vol_thio_iodate___24_83_4" vbProcedure="false">#REF!</definedName>
    <definedName function="false" hidden="false" localSheetId="42" name="Vol_thio_iodate___24_83_5" vbProcedure="false">#REF!</definedName>
    <definedName function="false" hidden="false" localSheetId="42" name="Vol_thio_iodate___24_83_6" vbProcedure="false">#REF!</definedName>
    <definedName function="false" hidden="false" localSheetId="42" name="Vol_thio_iodate___24_83_7" vbProcedure="false">#REF!</definedName>
    <definedName function="false" hidden="false" localSheetId="42" name="Vol_thio_iodate___33_89" vbProcedure="false">#REF!</definedName>
    <definedName function="false" hidden="false" localSheetId="43" name="Blanc___24_83_3" vbProcedure="false">#REF!</definedName>
    <definedName function="false" hidden="false" localSheetId="43" name="Blanc___24_83_4" vbProcedure="false">#REF!</definedName>
    <definedName function="false" hidden="false" localSheetId="43" name="Blanc___24_83_5" vbProcedure="false">#REF!</definedName>
    <definedName function="false" hidden="false" localSheetId="43" name="Blanc___24_83_6" vbProcedure="false">#REF!</definedName>
    <definedName function="false" hidden="false" localSheetId="43" name="Blanc___24_83_7" vbProcedure="false">#REF!</definedName>
    <definedName function="false" hidden="false" localSheetId="43" name="Blanc___33_89" vbProcedure="false">#REF!</definedName>
    <definedName function="false" hidden="false" localSheetId="43" name="NORMALITE___0_89" vbProcedure="false">#REF!</definedName>
    <definedName function="false" hidden="false" localSheetId="43" name="NORMALITE___24_83_3" vbProcedure="false">#REF!</definedName>
    <definedName function="false" hidden="false" localSheetId="43" name="NORMALITE___24_83_4" vbProcedure="false">#REF!</definedName>
    <definedName function="false" hidden="false" localSheetId="43" name="NORMALITE___24_83_5" vbProcedure="false">#REF!</definedName>
    <definedName function="false" hidden="false" localSheetId="43" name="NORMALITE___24_83_6" vbProcedure="false">#REF!</definedName>
    <definedName function="false" hidden="false" localSheetId="43" name="NORMALITE___24_83_7" vbProcedure="false">#REF!</definedName>
    <definedName function="false" hidden="false" localSheetId="43" name="N_iodate___24_83_3" vbProcedure="false">#REF!</definedName>
    <definedName function="false" hidden="false" localSheetId="43" name="N_iodate___24_83_4" vbProcedure="false">#REF!</definedName>
    <definedName function="false" hidden="false" localSheetId="43" name="N_iodate___24_83_5" vbProcedure="false">#REF!</definedName>
    <definedName function="false" hidden="false" localSheetId="43" name="N_iodate___24_83_6" vbProcedure="false">#REF!</definedName>
    <definedName function="false" hidden="false" localSheetId="43" name="N_iodate___24_83_7" vbProcedure="false">#REF!</definedName>
    <definedName function="false" hidden="false" localSheetId="43" name="N_iodate___33_89" vbProcedure="false">#REF!</definedName>
    <definedName function="false" hidden="false" localSheetId="43" name="vol_iodate_tc___0_89" vbProcedure="false">#REF!</definedName>
    <definedName function="false" hidden="false" localSheetId="43" name="vol_iodate_tc___24_83_3" vbProcedure="false">#REF!</definedName>
    <definedName function="false" hidden="false" localSheetId="43" name="vol_iodate_tc___24_83_4" vbProcedure="false">#REF!</definedName>
    <definedName function="false" hidden="false" localSheetId="43" name="vol_iodate_tc___24_83_5" vbProcedure="false">#REF!</definedName>
    <definedName function="false" hidden="false" localSheetId="43" name="vol_iodate_tc___24_83_6" vbProcedure="false">#REF!</definedName>
    <definedName function="false" hidden="false" localSheetId="43" name="vol_iodate_tc___24_83_7" vbProcedure="false">#REF!</definedName>
    <definedName function="false" hidden="false" localSheetId="43" name="Vol_iodate___24_83_3" vbProcedure="false">#REF!</definedName>
    <definedName function="false" hidden="false" localSheetId="43" name="Vol_iodate___24_83_4" vbProcedure="false">#REF!</definedName>
    <definedName function="false" hidden="false" localSheetId="43" name="Vol_iodate___24_83_5" vbProcedure="false">#REF!</definedName>
    <definedName function="false" hidden="false" localSheetId="43" name="Vol_iodate___24_83_6" vbProcedure="false">#REF!</definedName>
    <definedName function="false" hidden="false" localSheetId="43" name="Vol_iodate___24_83_7" vbProcedure="false">#REF!</definedName>
    <definedName function="false" hidden="false" localSheetId="43" name="Vol_iodate___33_89" vbProcedure="false">#REF!</definedName>
    <definedName function="false" hidden="false" localSheetId="43" name="Vol_reactif___24_83_3" vbProcedure="false">#REF!</definedName>
    <definedName function="false" hidden="false" localSheetId="43" name="Vol_reactif___24_83_4" vbProcedure="false">#REF!</definedName>
    <definedName function="false" hidden="false" localSheetId="43" name="Vol_reactif___24_83_5" vbProcedure="false">#REF!</definedName>
    <definedName function="false" hidden="false" localSheetId="43" name="Vol_reactif___24_83_6" vbProcedure="false">#REF!</definedName>
    <definedName function="false" hidden="false" localSheetId="43" name="Vol_reactif___24_83_7" vbProcedure="false">#REF!</definedName>
    <definedName function="false" hidden="false" localSheetId="43" name="Vol_reactif___33_89" vbProcedure="false">#REF!</definedName>
    <definedName function="false" hidden="false" localSheetId="43" name="Vol_thio_iodate___24_83_3" vbProcedure="false">#REF!</definedName>
    <definedName function="false" hidden="false" localSheetId="43" name="Vol_thio_iodate___24_83_4" vbProcedure="false">#REF!</definedName>
    <definedName function="false" hidden="false" localSheetId="43" name="Vol_thio_iodate___24_83_5" vbProcedure="false">#REF!</definedName>
    <definedName function="false" hidden="false" localSheetId="43" name="Vol_thio_iodate___24_83_6" vbProcedure="false">#REF!</definedName>
    <definedName function="false" hidden="false" localSheetId="43" name="Vol_thio_iodate___24_83_7" vbProcedure="false">#REF!</definedName>
    <definedName function="false" hidden="false" localSheetId="43" name="Vol_thio_iodate___33_89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<sst xmlns="http://schemas.openxmlformats.org/spreadsheetml/2006/main" count="8989" uniqueCount="146">
  <si>
    <t xml:space="preserve">Campagne :</t>
  </si>
  <si>
    <t xml:space="preserve">PIRATA Fr19</t>
  </si>
  <si>
    <t xml:space="preserve">Données de campagne</t>
  </si>
  <si>
    <t xml:space="preserve">N° de station :</t>
  </si>
  <si>
    <t xml:space="preserve">N° de palanquée :</t>
  </si>
  <si>
    <t xml:space="preserve">Date d'analyse :</t>
  </si>
  <si>
    <t xml:space="preserve">Position</t>
  </si>
  <si>
    <t xml:space="preserve">Degrés </t>
  </si>
  <si>
    <t xml:space="preserve">Minutes</t>
  </si>
  <si>
    <t xml:space="preserve">Cardinal</t>
  </si>
  <si>
    <t xml:space="preserve">Décimale</t>
  </si>
  <si>
    <t xml:space="preserve">Latitude</t>
  </si>
  <si>
    <t xml:space="preserve">:</t>
  </si>
  <si>
    <t xml:space="preserve">N</t>
  </si>
  <si>
    <t xml:space="preserve">E</t>
  </si>
  <si>
    <t xml:space="preserve">S</t>
  </si>
  <si>
    <t xml:space="preserve">Longitude</t>
  </si>
  <si>
    <t xml:space="preserve">W</t>
  </si>
  <si>
    <t xml:space="preserve">Prélèvement</t>
  </si>
  <si>
    <t xml:space="preserve">Date</t>
  </si>
  <si>
    <t xml:space="preserve">Heure</t>
  </si>
  <si>
    <t xml:space="preserve">Données :</t>
  </si>
  <si>
    <t xml:space="preserve">Température du laboratoire à la calibration ( t°c )</t>
  </si>
  <si>
    <t xml:space="preserve">t°c =</t>
  </si>
  <si>
    <t xml:space="preserve">°C</t>
  </si>
  <si>
    <t xml:space="preserve">Température du laboratoire au début de la série d'analyses </t>
  </si>
  <si>
    <r>
      <rPr>
        <sz val="10"/>
        <color rgb="FF000000"/>
        <rFont val="Calibri"/>
        <family val="2"/>
        <charset val="1"/>
      </rPr>
      <t xml:space="preserve">t°</t>
    </r>
    <r>
      <rPr>
        <vertAlign val="subscript"/>
        <sz val="10"/>
        <color rgb="FF000000"/>
        <rFont val="Calibri"/>
        <family val="2"/>
        <charset val="1"/>
      </rPr>
      <t xml:space="preserve">lab</t>
    </r>
    <r>
      <rPr>
        <sz val="10"/>
        <color rgb="FF000000"/>
        <rFont val="Calibri"/>
        <family val="2"/>
        <charset val="1"/>
      </rPr>
      <t xml:space="preserve"> =</t>
    </r>
  </si>
  <si>
    <t xml:space="preserve">Volume moyen de thiosulfate pour la titration à t°c</t>
  </si>
  <si>
    <r>
      <rPr>
        <sz val="10"/>
        <color rgb="FF000000"/>
        <rFont val="Calibri"/>
        <family val="2"/>
        <charset val="1"/>
      </rPr>
      <t xml:space="preserve">V</t>
    </r>
    <r>
      <rPr>
        <vertAlign val="subscript"/>
        <sz val="10"/>
        <color rgb="FF000000"/>
        <rFont val="Calibri"/>
        <family val="2"/>
        <charset val="1"/>
      </rPr>
      <t xml:space="preserve">moy.titr.t°c</t>
    </r>
    <r>
      <rPr>
        <sz val="10"/>
        <color rgb="FF000000"/>
        <rFont val="Calibri"/>
        <family val="2"/>
        <charset val="1"/>
      </rPr>
      <t xml:space="preserve"> =</t>
    </r>
  </si>
  <si>
    <t xml:space="preserve">mL</t>
  </si>
  <si>
    <t xml:space="preserve">Volume moyen de thiosulfate pour la détermination du blanc à t°c</t>
  </si>
  <si>
    <r>
      <rPr>
        <sz val="10"/>
        <color rgb="FF000000"/>
        <rFont val="Calibri"/>
        <family val="2"/>
        <charset val="1"/>
      </rPr>
      <t xml:space="preserve">V</t>
    </r>
    <r>
      <rPr>
        <vertAlign val="subscript"/>
        <sz val="10"/>
        <color rgb="FF000000"/>
        <rFont val="Calibri"/>
        <family val="2"/>
        <charset val="1"/>
      </rPr>
      <t xml:space="preserve">moy.titr.blanc.t°c</t>
    </r>
    <r>
      <rPr>
        <sz val="10"/>
        <color rgb="FF000000"/>
        <rFont val="Calibri"/>
        <family val="2"/>
        <charset val="1"/>
      </rPr>
      <t xml:space="preserve"> =</t>
    </r>
  </si>
  <si>
    <t xml:space="preserve">Masse volumique de l'eau pure à la calibration</t>
  </si>
  <si>
    <t xml:space="preserve">ρ =</t>
  </si>
  <si>
    <t xml:space="preserve">Normalite de l'iodate (NIO3) à la température de calibration</t>
  </si>
  <si>
    <r>
      <rPr>
        <sz val="8"/>
        <color rgb="FF000000"/>
        <rFont val="Calibri"/>
        <family val="2"/>
        <charset val="1"/>
      </rPr>
      <t xml:space="preserve">N(IO</t>
    </r>
    <r>
      <rPr>
        <vertAlign val="subscript"/>
        <sz val="8"/>
        <color rgb="FF000000"/>
        <rFont val="Calibri"/>
        <family val="2"/>
        <charset val="1"/>
      </rPr>
      <t xml:space="preserve">3</t>
    </r>
    <r>
      <rPr>
        <sz val="8"/>
        <color rgb="FF000000"/>
        <rFont val="Calibri"/>
        <family val="2"/>
        <charset val="1"/>
      </rPr>
      <t xml:space="preserve">) =</t>
    </r>
  </si>
  <si>
    <t xml:space="preserve">Vol. de la prise d'essai d'iodate (VIO3) à 20°C</t>
  </si>
  <si>
    <r>
      <rPr>
        <sz val="8"/>
        <color rgb="FF000000"/>
        <rFont val="Calibri"/>
        <family val="2"/>
        <charset val="1"/>
      </rPr>
      <t xml:space="preserve">V(IO</t>
    </r>
    <r>
      <rPr>
        <vertAlign val="subscript"/>
        <sz val="8"/>
        <color rgb="FF000000"/>
        <rFont val="Calibri"/>
        <family val="2"/>
        <charset val="1"/>
      </rPr>
      <t xml:space="preserve">3</t>
    </r>
    <r>
      <rPr>
        <sz val="8"/>
        <color rgb="FF000000"/>
        <rFont val="Calibri"/>
        <family val="2"/>
        <charset val="1"/>
      </rPr>
      <t xml:space="preserve">)</t>
    </r>
    <r>
      <rPr>
        <vertAlign val="subscript"/>
        <sz val="8"/>
        <color rgb="FF000000"/>
        <rFont val="Calibri"/>
        <family val="2"/>
        <charset val="1"/>
      </rPr>
      <t xml:space="preserve">20°C</t>
    </r>
    <r>
      <rPr>
        <sz val="8"/>
        <color rgb="FF000000"/>
        <rFont val="Calibri"/>
        <family val="2"/>
        <charset val="1"/>
      </rPr>
      <t xml:space="preserve"> =</t>
    </r>
  </si>
  <si>
    <t xml:space="preserve">Vol. de la prise d'essai d'iodate (VIO3) à t°c</t>
  </si>
  <si>
    <r>
      <rPr>
        <sz val="8"/>
        <color rgb="FF000000"/>
        <rFont val="Calibri"/>
        <family val="2"/>
        <charset val="1"/>
      </rPr>
      <t xml:space="preserve">V(IO</t>
    </r>
    <r>
      <rPr>
        <vertAlign val="subscript"/>
        <sz val="8"/>
        <color rgb="FF000000"/>
        <rFont val="Calibri"/>
        <family val="2"/>
        <charset val="1"/>
      </rPr>
      <t xml:space="preserve">3</t>
    </r>
    <r>
      <rPr>
        <sz val="8"/>
        <color rgb="FF000000"/>
        <rFont val="Calibri"/>
        <family val="2"/>
        <charset val="1"/>
      </rPr>
      <t xml:space="preserve">)</t>
    </r>
    <r>
      <rPr>
        <vertAlign val="subscript"/>
        <sz val="8"/>
        <color rgb="FF000000"/>
        <rFont val="Calibri"/>
        <family val="2"/>
        <charset val="1"/>
      </rPr>
      <t xml:space="preserve">t°c</t>
    </r>
    <r>
      <rPr>
        <sz val="8"/>
        <color rgb="FF000000"/>
        <rFont val="Calibri"/>
        <family val="2"/>
        <charset val="1"/>
      </rPr>
      <t xml:space="preserve">=</t>
    </r>
  </si>
  <si>
    <t xml:space="preserve">Volume moyen de thiosulfate pour la titration à 20° C</t>
  </si>
  <si>
    <r>
      <rPr>
        <sz val="8"/>
        <color rgb="FF000000"/>
        <rFont val="Calibri"/>
        <family val="2"/>
        <charset val="1"/>
      </rPr>
      <t xml:space="preserve">V</t>
    </r>
    <r>
      <rPr>
        <vertAlign val="subscript"/>
        <sz val="8"/>
        <color rgb="FF000000"/>
        <rFont val="Calibri"/>
        <family val="2"/>
        <charset val="1"/>
      </rPr>
      <t xml:space="preserve">moy.titr.20°C</t>
    </r>
    <r>
      <rPr>
        <sz val="8"/>
        <color rgb="FF000000"/>
        <rFont val="Calibri"/>
        <family val="2"/>
        <charset val="1"/>
      </rPr>
      <t xml:space="preserve"> =</t>
    </r>
  </si>
  <si>
    <t xml:space="preserve">Volume moyen de thiosulfate pour la détermination du blanc à 20° C</t>
  </si>
  <si>
    <r>
      <rPr>
        <sz val="8"/>
        <color rgb="FF000000"/>
        <rFont val="Calibri"/>
        <family val="2"/>
        <charset val="1"/>
      </rPr>
      <t xml:space="preserve">V</t>
    </r>
    <r>
      <rPr>
        <vertAlign val="subscript"/>
        <sz val="8"/>
        <color rgb="FF000000"/>
        <rFont val="Calibri"/>
        <family val="2"/>
        <charset val="1"/>
      </rPr>
      <t xml:space="preserve">moy.titr.blanc.20°C</t>
    </r>
    <r>
      <rPr>
        <sz val="8"/>
        <color rgb="FF000000"/>
        <rFont val="Calibri"/>
        <family val="2"/>
        <charset val="1"/>
      </rPr>
      <t xml:space="preserve"> =</t>
    </r>
  </si>
  <si>
    <t xml:space="preserve">Normalite de l'iodate (NIO3) à 20°C</t>
  </si>
  <si>
    <r>
      <rPr>
        <sz val="8"/>
        <color rgb="FF000000"/>
        <rFont val="Calibri"/>
        <family val="2"/>
        <charset val="1"/>
      </rPr>
      <t xml:space="preserve">N(IO</t>
    </r>
    <r>
      <rPr>
        <vertAlign val="subscript"/>
        <sz val="8"/>
        <color rgb="FF000000"/>
        <rFont val="Calibri"/>
        <family val="2"/>
        <charset val="1"/>
      </rPr>
      <t xml:space="preserve">3</t>
    </r>
    <r>
      <rPr>
        <sz val="8"/>
        <color rgb="FF000000"/>
        <rFont val="Calibri"/>
        <family val="2"/>
        <charset val="1"/>
      </rPr>
      <t xml:space="preserve">)</t>
    </r>
    <r>
      <rPr>
        <vertAlign val="subscript"/>
        <sz val="8"/>
        <color rgb="FF000000"/>
        <rFont val="Calibri"/>
        <family val="2"/>
        <charset val="1"/>
      </rPr>
      <t xml:space="preserve">20°C</t>
    </r>
    <r>
      <rPr>
        <sz val="8"/>
        <color rgb="FF000000"/>
        <rFont val="Calibri"/>
        <family val="2"/>
        <charset val="1"/>
      </rPr>
      <t xml:space="preserve"> =</t>
    </r>
  </si>
  <si>
    <t xml:space="preserve">Titre du thiosulfate à 20°C</t>
  </si>
  <si>
    <r>
      <rPr>
        <sz val="8"/>
        <color rgb="FF000000"/>
        <rFont val="Calibri"/>
        <family val="2"/>
        <charset val="1"/>
      </rPr>
      <t xml:space="preserve">V(Thio)</t>
    </r>
    <r>
      <rPr>
        <vertAlign val="subscript"/>
        <sz val="8"/>
        <color rgb="FF000000"/>
        <rFont val="Calibri"/>
        <family val="2"/>
        <charset val="1"/>
      </rPr>
      <t xml:space="preserve">20°C</t>
    </r>
    <r>
      <rPr>
        <sz val="8"/>
        <color rgb="FF000000"/>
        <rFont val="Calibri"/>
        <family val="2"/>
        <charset val="1"/>
      </rPr>
      <t xml:space="preserve"> =</t>
    </r>
  </si>
  <si>
    <t xml:space="preserve">Volume de réactif utilisé</t>
  </si>
  <si>
    <t xml:space="preserve">Vreg =</t>
  </si>
  <si>
    <t xml:space="preserve">DOreg =</t>
  </si>
  <si>
    <t xml:space="preserve">Choix de la série de flacons :</t>
  </si>
  <si>
    <t xml:space="preserve">IRD</t>
  </si>
  <si>
    <t xml:space="preserve">LPO</t>
  </si>
  <si>
    <t xml:space="preserve">N°</t>
  </si>
  <si>
    <t xml:space="preserve">N° des Flacons</t>
  </si>
  <si>
    <t xml:space="preserve">T° prélèv.</t>
  </si>
  <si>
    <t xml:space="preserve">Volume de thio. </t>
  </si>
  <si>
    <t xml:space="preserve">Salinité</t>
  </si>
  <si>
    <t xml:space="preserve">Prof. Théorique</t>
  </si>
  <si>
    <t xml:space="preserve">Prof. Effective</t>
  </si>
  <si>
    <t xml:space="preserve">V. flacons 20°C </t>
  </si>
  <si>
    <t xml:space="preserve">A</t>
  </si>
  <si>
    <t xml:space="preserve">B</t>
  </si>
  <si>
    <t xml:space="preserve">Densité eau de mer à t°</t>
  </si>
  <si>
    <t xml:space="preserve">Vol. à t° prél. des flacons</t>
  </si>
  <si>
    <t xml:space="preserve">Densité eau pure à t°</t>
  </si>
  <si>
    <t xml:space="preserve">Oxygène dissous</t>
  </si>
  <si>
    <r>
      <rPr>
        <b val="true"/>
        <sz val="22"/>
        <color rgb="FFFFFF00"/>
        <rFont val="Calibri"/>
        <family val="2"/>
        <charset val="1"/>
      </rPr>
      <t xml:space="preserve">NO</t>
    </r>
    <r>
      <rPr>
        <b val="true"/>
        <vertAlign val="subscript"/>
        <sz val="22"/>
        <color rgb="FFFFFF00"/>
        <rFont val="Calibri"/>
        <family val="2"/>
        <charset val="1"/>
      </rPr>
      <t xml:space="preserve">2</t>
    </r>
  </si>
  <si>
    <r>
      <rPr>
        <b val="true"/>
        <sz val="22"/>
        <color rgb="FFFFFF00"/>
        <rFont val="Calibri"/>
        <family val="2"/>
        <charset val="1"/>
      </rPr>
      <t xml:space="preserve">NO</t>
    </r>
    <r>
      <rPr>
        <b val="true"/>
        <vertAlign val="subscript"/>
        <sz val="22"/>
        <color rgb="FFFFFF00"/>
        <rFont val="Calibri"/>
        <family val="2"/>
        <charset val="1"/>
      </rPr>
      <t xml:space="preserve">3</t>
    </r>
    <r>
      <rPr>
        <b val="true"/>
        <sz val="22"/>
        <color rgb="FFFFFF00"/>
        <rFont val="Calibri"/>
        <family val="2"/>
        <charset val="1"/>
      </rPr>
      <t xml:space="preserve"> + NO</t>
    </r>
    <r>
      <rPr>
        <b val="true"/>
        <vertAlign val="subscript"/>
        <sz val="22"/>
        <color rgb="FFFFFF00"/>
        <rFont val="Calibri"/>
        <family val="2"/>
        <charset val="1"/>
      </rPr>
      <t xml:space="preserve">2</t>
    </r>
  </si>
  <si>
    <r>
      <rPr>
        <b val="true"/>
        <sz val="22"/>
        <color rgb="FFFFFF00"/>
        <rFont val="Calibri"/>
        <family val="2"/>
        <charset val="1"/>
      </rPr>
      <t xml:space="preserve">NO</t>
    </r>
    <r>
      <rPr>
        <b val="true"/>
        <vertAlign val="subscript"/>
        <sz val="22"/>
        <color rgb="FFFFFF00"/>
        <rFont val="Calibri"/>
        <family val="2"/>
        <charset val="1"/>
      </rPr>
      <t xml:space="preserve">3</t>
    </r>
    <r>
      <rPr>
        <b val="true"/>
        <sz val="22"/>
        <color rgb="FFFFFF00"/>
        <rFont val="Calibri"/>
        <family val="2"/>
        <charset val="1"/>
      </rPr>
      <t xml:space="preserve"> </t>
    </r>
  </si>
  <si>
    <t xml:space="preserve">Phosphate</t>
  </si>
  <si>
    <t xml:space="preserve">Silicate</t>
  </si>
  <si>
    <t xml:space="preserve">chlorophyll-c3</t>
  </si>
  <si>
    <t xml:space="preserve">chlorophyll-c1+c2</t>
  </si>
  <si>
    <t xml:space="preserve">peridinin</t>
  </si>
  <si>
    <t xml:space="preserve">19'-butanoyloxyfucoxanthin</t>
  </si>
  <si>
    <t xml:space="preserve">fucoxanthine</t>
  </si>
  <si>
    <t xml:space="preserve">neoxanthin</t>
  </si>
  <si>
    <t xml:space="preserve">prasinoxanthin</t>
  </si>
  <si>
    <t xml:space="preserve">violaxanthin</t>
  </si>
  <si>
    <t xml:space="preserve">19'-hexanoyloxyfucoxanthin</t>
  </si>
  <si>
    <t xml:space="preserve">diadinoxanthin</t>
  </si>
  <si>
    <t xml:space="preserve">alloxanthin</t>
  </si>
  <si>
    <t xml:space="preserve">diatoxanthin</t>
  </si>
  <si>
    <t xml:space="preserve">zeaxanthin</t>
  </si>
  <si>
    <t xml:space="preserve">lutein</t>
  </si>
  <si>
    <t xml:space="preserve">divinyl chlorophyll-b</t>
  </si>
  <si>
    <t xml:space="preserve">chlorophyll-b</t>
  </si>
  <si>
    <t xml:space="preserve">total chlorophyll-b</t>
  </si>
  <si>
    <t xml:space="preserve">alpha-carotene</t>
  </si>
  <si>
    <t xml:space="preserve">beta-carotene</t>
  </si>
  <si>
    <t xml:space="preserve">pheophorbide</t>
  </si>
  <si>
    <t xml:space="preserve">divinyl chlorophyll-a </t>
  </si>
  <si>
    <t xml:space="preserve">chlorophyll-a </t>
  </si>
  <si>
    <t xml:space="preserve">total chlorophyll-a</t>
  </si>
  <si>
    <t xml:space="preserve">pheophytin_a</t>
  </si>
  <si>
    <t xml:space="preserve">crocoxanthin</t>
  </si>
  <si>
    <t xml:space="preserve">BTL</t>
  </si>
  <si>
    <t xml:space="preserve"> </t>
  </si>
  <si>
    <t xml:space="preserve">ml</t>
  </si>
  <si>
    <t xml:space="preserve">m</t>
  </si>
  <si>
    <t xml:space="preserve">DOX1</t>
  </si>
  <si>
    <t xml:space="preserve">DOXY</t>
  </si>
  <si>
    <t xml:space="preserve">DOX2</t>
  </si>
  <si>
    <t xml:space="preserve">NTRI</t>
  </si>
  <si>
    <t xml:space="preserve">NTIW</t>
  </si>
  <si>
    <t xml:space="preserve">NTRZ</t>
  </si>
  <si>
    <t xml:space="preserve">NTZW</t>
  </si>
  <si>
    <t xml:space="preserve">NTRA</t>
  </si>
  <si>
    <t xml:space="preserve">NTAW</t>
  </si>
  <si>
    <t xml:space="preserve">PHOS</t>
  </si>
  <si>
    <t xml:space="preserve">PHOW</t>
  </si>
  <si>
    <t xml:space="preserve">SLCA</t>
  </si>
  <si>
    <t xml:space="preserve">SLCW</t>
  </si>
  <si>
    <t xml:space="preserve">CHC3</t>
  </si>
  <si>
    <t xml:space="preserve">CHCZ</t>
  </si>
  <si>
    <t xml:space="preserve">PERP</t>
  </si>
  <si>
    <t xml:space="preserve">BFUP</t>
  </si>
  <si>
    <t xml:space="preserve">FUCP</t>
  </si>
  <si>
    <t xml:space="preserve">NEXW</t>
  </si>
  <si>
    <t xml:space="preserve">PXAP</t>
  </si>
  <si>
    <t xml:space="preserve">VIOW</t>
  </si>
  <si>
    <t xml:space="preserve">HFUP</t>
  </si>
  <si>
    <t xml:space="preserve">DXAP</t>
  </si>
  <si>
    <t xml:space="preserve">AXAP</t>
  </si>
  <si>
    <t xml:space="preserve">TXAP</t>
  </si>
  <si>
    <t xml:space="preserve">ZXAP</t>
  </si>
  <si>
    <t xml:space="preserve">LUTW</t>
  </si>
  <si>
    <t xml:space="preserve">CHBD</t>
  </si>
  <si>
    <t xml:space="preserve">CH2P</t>
  </si>
  <si>
    <t xml:space="preserve">CHLB</t>
  </si>
  <si>
    <t xml:space="preserve">AACP</t>
  </si>
  <si>
    <t xml:space="preserve">BBCP</t>
  </si>
  <si>
    <t xml:space="preserve">PHEP</t>
  </si>
  <si>
    <t xml:space="preserve">CHAD</t>
  </si>
  <si>
    <t xml:space="preserve">CH1P</t>
  </si>
  <si>
    <t xml:space="preserve">CPHL</t>
  </si>
  <si>
    <t xml:space="preserve">PHEA</t>
  </si>
  <si>
    <t xml:space="preserve">CXAP</t>
  </si>
  <si>
    <t xml:space="preserve">ml/l</t>
  </si>
  <si>
    <t xml:space="preserve">ml/kg</t>
  </si>
  <si>
    <t xml:space="preserve">µmol/l</t>
  </si>
  <si>
    <t xml:space="preserve">µmol/kg</t>
  </si>
  <si>
    <r>
      <rPr>
        <b val="true"/>
        <sz val="11"/>
        <color rgb="FF000000"/>
        <rFont val="Calibri"/>
        <family val="2"/>
        <charset val="1"/>
      </rPr>
      <t xml:space="preserve">µg.l</t>
    </r>
    <r>
      <rPr>
        <b val="true"/>
        <vertAlign val="superscript"/>
        <sz val="11"/>
        <color rgb="FF000000"/>
        <rFont val="Calibri"/>
        <family val="2"/>
        <charset val="1"/>
      </rPr>
      <t xml:space="preserve">-1</t>
    </r>
  </si>
  <si>
    <t xml:space="preserve">  </t>
  </si>
</sst>
</file>

<file path=xl/styles.xml><?xml version="1.0" encoding="utf-8"?>
<styleSheet xmlns="http://schemas.openxmlformats.org/spreadsheetml/2006/main">
  <numFmts count="22">
    <numFmt numFmtId="164" formatCode="General"/>
    <numFmt numFmtId="165" formatCode="000"/>
    <numFmt numFmtId="166" formatCode="00"/>
    <numFmt numFmtId="167" formatCode="DD/MM/YYYY"/>
    <numFmt numFmtId="168" formatCode="00\°"/>
    <numFmt numFmtId="169" formatCode="00.00&quot;''&quot;"/>
    <numFmt numFmtId="170" formatCode="0.00"/>
    <numFmt numFmtId="171" formatCode="00.00&quot; ''&quot;"/>
    <numFmt numFmtId="172" formatCode="YYYY\-MM\-DD"/>
    <numFmt numFmtId="173" formatCode="HH:MM:SS"/>
    <numFmt numFmtId="174" formatCode="YYYY\-MM\-DD\THH:MM:SS\z"/>
    <numFmt numFmtId="175" formatCode="DDDD&quot;, &quot;MMMM\ DD&quot;, &quot;YYYY"/>
    <numFmt numFmtId="176" formatCode="0.000"/>
    <numFmt numFmtId="177" formatCode="0.0000"/>
    <numFmt numFmtId="178" formatCode="0.0"/>
    <numFmt numFmtId="179" formatCode="#,##0.000;[RED]&quot;Erreur !&quot;;[RED]&quot;Erreur !&quot;;[RED]General"/>
    <numFmt numFmtId="180" formatCode="0.00000000"/>
    <numFmt numFmtId="181" formatCode="#,##0.00;[RED]&quot;Erreur !&quot;;[RED]&quot;Erreur !&quot;;[RED]General"/>
    <numFmt numFmtId="182" formatCode="#,##0.000;[RED]#,##0.000"/>
    <numFmt numFmtId="183" formatCode="#,##0.0;[RED]#,##0.0"/>
    <numFmt numFmtId="184" formatCode="HH:MM"/>
    <numFmt numFmtId="185" formatCode="0"/>
  </numFmts>
  <fonts count="3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0000"/>
      <name val="Calibri"/>
      <family val="2"/>
      <charset val="1"/>
    </font>
    <font>
      <b val="true"/>
      <sz val="16"/>
      <color rgb="FFFF0000"/>
      <name val="Calibri"/>
      <family val="2"/>
      <charset val="1"/>
    </font>
    <font>
      <sz val="16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0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vertAlign val="subscript"/>
      <sz val="10"/>
      <color rgb="FF000000"/>
      <name val="Calibri"/>
      <family val="2"/>
      <charset val="1"/>
    </font>
    <font>
      <sz val="8"/>
      <name val="Arial"/>
      <family val="2"/>
      <charset val="1"/>
    </font>
    <font>
      <sz val="8"/>
      <color rgb="FF000000"/>
      <name val="Calibri"/>
      <family val="2"/>
      <charset val="1"/>
    </font>
    <font>
      <vertAlign val="subscript"/>
      <sz val="8"/>
      <color rgb="FF000000"/>
      <name val="Calibri"/>
      <family val="2"/>
      <charset val="1"/>
    </font>
    <font>
      <b val="true"/>
      <sz val="11"/>
      <color rgb="FFFFFF00"/>
      <name val="Calibri"/>
      <family val="2"/>
      <charset val="1"/>
    </font>
    <font>
      <b val="true"/>
      <sz val="22"/>
      <color rgb="FFFFFF00"/>
      <name val="Calibri"/>
      <family val="2"/>
      <charset val="1"/>
    </font>
    <font>
      <b val="true"/>
      <vertAlign val="subscript"/>
      <sz val="22"/>
      <color rgb="FFFFFF00"/>
      <name val="Calibri"/>
      <family val="2"/>
      <charset val="1"/>
    </font>
    <font>
      <b val="true"/>
      <sz val="11"/>
      <name val="Calibri"/>
      <family val="2"/>
      <charset val="1"/>
    </font>
    <font>
      <sz val="11"/>
      <color rgb="FFFFFF00"/>
      <name val="Calibri"/>
      <family val="2"/>
      <charset val="1"/>
    </font>
    <font>
      <b val="true"/>
      <sz val="12"/>
      <color rgb="FFFFFF00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b val="true"/>
      <vertAlign val="superscript"/>
      <sz val="11"/>
      <color rgb="FF000000"/>
      <name val="Calibri"/>
      <family val="2"/>
      <charset val="1"/>
    </font>
    <font>
      <sz val="11"/>
      <color rgb="FFFFFFFF"/>
      <name val="Calibri"/>
      <family val="2"/>
      <charset val="1"/>
    </font>
    <font>
      <sz val="12"/>
      <color rgb="FFFFFFFF"/>
      <name val="Calibri"/>
      <family val="2"/>
      <charset val="1"/>
    </font>
    <font>
      <sz val="11"/>
      <name val="Calibri"/>
      <family val="2"/>
      <charset val="1"/>
    </font>
    <font>
      <b val="true"/>
      <sz val="12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1"/>
      <color rgb="FF002060"/>
      <name val="Calibri"/>
      <family val="2"/>
      <charset val="1"/>
    </font>
    <font>
      <sz val="10"/>
      <color rgb="FF00000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10"/>
      <color rgb="FFFF0000"/>
      <name val="Arial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FFFF66"/>
        <bgColor rgb="FFFFFF00"/>
      </patternFill>
    </fill>
    <fill>
      <patternFill patternType="solid">
        <fgColor rgb="FF0070C0"/>
        <bgColor rgb="FF008080"/>
      </patternFill>
    </fill>
    <fill>
      <patternFill patternType="solid">
        <fgColor rgb="FF00B0F0"/>
        <bgColor rgb="FF33CCCC"/>
      </patternFill>
    </fill>
    <fill>
      <patternFill patternType="solid">
        <fgColor rgb="FFBFBFBF"/>
        <bgColor rgb="FFCCCCFF"/>
      </patternFill>
    </fill>
    <fill>
      <patternFill patternType="solid">
        <fgColor rgb="FFFFFFFF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8080"/>
        <bgColor rgb="FFFA6F58"/>
      </patternFill>
    </fill>
    <fill>
      <patternFill patternType="solid">
        <fgColor rgb="FFFA6F58"/>
        <bgColor rgb="FFFF8080"/>
      </patternFill>
    </fill>
    <fill>
      <patternFill patternType="solid">
        <fgColor rgb="FFD68C8A"/>
        <bgColor rgb="FFFF8080"/>
      </patternFill>
    </fill>
  </fills>
  <borders count="28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2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2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0" fillId="2" borderId="1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0" fillId="2" borderId="1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0" fillId="2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0" fillId="2" borderId="1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0" fillId="2" borderId="1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3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2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6" fontId="13" fillId="2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6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5" fillId="0" borderId="2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5" fillId="0" borderId="2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6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2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3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3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3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4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4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9" fillId="5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5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5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1" fillId="5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3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3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3" borderId="2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3" borderId="2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4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4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9" fillId="5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21" fillId="5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24" fillId="5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4" fillId="5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3" borderId="2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2" fillId="3" borderId="2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8" fillId="4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4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9" fillId="5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6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1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7" borderId="1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0" fillId="7" borderId="1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7" fontId="0" fillId="8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9" fillId="9" borderId="1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8" fontId="29" fillId="9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9" fontId="28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0" fontId="28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1" fontId="28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2" fontId="28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6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0" fillId="7" borderId="14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9" fillId="9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9" fontId="28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0" fontId="28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1" fontId="28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2" fontId="28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0" fillId="7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0" fillId="7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30" fillId="7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7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2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31" fillId="2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31" fillId="2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4" fillId="2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80" fontId="31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1" fontId="31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6" fontId="31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6" fontId="28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31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8" fillId="2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28" fillId="2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7" fontId="28" fillId="2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28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8" fontId="28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6" fontId="28" fillId="2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6" fontId="28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8" fillId="6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8" fillId="2" borderId="1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28" fillId="2" borderId="1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28" fillId="2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9" fontId="28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0" fontId="28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1" fontId="28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6" fontId="28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6" fontId="28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28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7" borderId="2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30" fillId="6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8" fontId="30" fillId="6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6" fontId="0" fillId="0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28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83" fontId="28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3" fontId="28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9" fillId="5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0" fillId="0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84" fontId="0" fillId="2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32" fillId="6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8" fontId="11" fillId="6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6" fontId="33" fillId="6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6" fontId="34" fillId="6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6" fontId="28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5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85" fontId="0" fillId="0" borderId="1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0" fillId="11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1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66"/>
      <rgbColor rgb="FF99CCFF"/>
      <rgbColor rgb="FFD68C8A"/>
      <rgbColor rgb="FFCC99FF"/>
      <rgbColor rgb="FFFFCC99"/>
      <rgbColor rgb="FF3366FF"/>
      <rgbColor rgb="FF33CCCC"/>
      <rgbColor rgb="FF99CC00"/>
      <rgbColor rgb="FFFFCC00"/>
      <rgbColor rgb="FFFF9900"/>
      <rgbColor rgb="FFFA6F58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externalLink" Target="externalLinks/externalLink3.xml"/><Relationship Id="rId47" Type="http://schemas.openxmlformats.org/officeDocument/2006/relationships/externalLink" Target="externalLinks/externalLink4.xml"/><Relationship Id="rId48" Type="http://schemas.openxmlformats.org/officeDocument/2006/relationships/sharedStrings" Target="sharedStrings.xml"/>
</Relationships>
</file>

<file path=xl/externalLinks/_rels/externalLink3.xml.rels><?xml version="1.0" encoding="UTF-8"?>
<Relationships xmlns="http://schemas.openxmlformats.org/package/2006/relationships"><Relationship Id="rId1" Type="http://schemas.openxmlformats.org/officeDocument/2006/relationships/externalLinkPath" Target="3" TargetMode="External"/>
</Relationships>
</file>

<file path=xl/externalLinks/_rels/externalLink4.xml.rels><?xml version="1.0" encoding="UTF-8"?>
<Relationships xmlns="http://schemas.openxmlformats.org/package/2006/relationships"><Relationship Id="rId1" Type="http://schemas.openxmlformats.org/officeDocument/2006/relationships/externalLinkPath" Target="4" TargetMode="External"/>
</Relationships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/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/>
</externalLink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AF1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8178137651822"/>
    <col collapsed="false" hidden="false" max="32" min="32" style="0" width="9.10526315789474"/>
    <col collapsed="false" hidden="false" max="33" min="33" style="0" width="26.5668016194332"/>
    <col collapsed="false" hidden="false" max="34" min="34" style="0" width="12.8542510121458"/>
    <col collapsed="false" hidden="false" max="35" min="35" style="0" width="11.1417004048583"/>
    <col collapsed="false" hidden="false" max="36" min="36" style="0" width="14.5668016194332"/>
    <col collapsed="false" hidden="false" max="37" min="37" style="0" width="12.2105263157895"/>
    <col collapsed="false" hidden="false" max="38" min="38" style="0" width="26.995951417004"/>
    <col collapsed="false" hidden="false" max="39" min="39" style="0" width="14.6761133603239"/>
    <col collapsed="false" hidden="false" max="40" min="40" style="0" width="11.3562753036437"/>
    <col collapsed="false" hidden="false" max="41" min="41" style="0" width="12.5344129554656"/>
    <col collapsed="false" hidden="false" max="42" min="42" style="0" width="10.7125506072875"/>
    <col collapsed="false" hidden="false" max="43" min="43" style="0" width="6.31983805668016"/>
    <col collapsed="false" hidden="false" max="44" min="44" style="0" width="19.7085020242915"/>
    <col collapsed="false" hidden="false" max="45" min="45" style="0" width="13.0688259109312"/>
    <col collapsed="false" hidden="false" max="46" min="46" style="0" width="17.7813765182186"/>
    <col collapsed="false" hidden="false" max="47" min="47" style="0" width="14.6761133603239"/>
    <col collapsed="false" hidden="false" max="48" min="48" style="0" width="13.6032388663968"/>
    <col collapsed="false" hidden="false" max="49" min="49" style="0" width="13.7125506072874"/>
    <col collapsed="false" hidden="false" max="50" min="50" style="0" width="19.9230769230769"/>
    <col collapsed="false" hidden="false" max="51" min="51" style="0" width="13.2834008097166"/>
    <col collapsed="false" hidden="false" max="52" min="52" style="0" width="17.6761133603239"/>
    <col collapsed="false" hidden="false" max="53" min="53" style="0" width="13.3886639676113"/>
    <col collapsed="false" hidden="false" max="54" min="54" style="0" width="12.6396761133603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1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38521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0</v>
      </c>
      <c r="J9" s="29" t="n">
        <v>0.45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-0°0,45</v>
      </c>
      <c r="P9" s="29" t="s">
        <v>15</v>
      </c>
      <c r="Q9" s="33" t="n">
        <f aca="false">IF(ISBLANK(I9),"",IF(ISBLANK(J9),"",IF(J9&gt;60,"ERREUR !!",O11*(I9+(J9/60)))))</f>
        <v>-0.0075</v>
      </c>
      <c r="R9" s="33"/>
    </row>
    <row r="10" customFormat="false" ht="15" hidden="false" customHeight="true" outlineLevel="0" collapsed="false">
      <c r="C10" s="21"/>
      <c r="D10" s="18"/>
      <c r="G10" s="27" t="s">
        <v>16</v>
      </c>
      <c r="H10" s="27"/>
      <c r="I10" s="28" t="n">
        <v>22</v>
      </c>
      <c r="J10" s="29" t="n">
        <v>59.36</v>
      </c>
      <c r="K10" s="30" t="s">
        <v>12</v>
      </c>
      <c r="L10" s="31" t="str">
        <f aca="false">IF(P10=N9,"+","-")</f>
        <v>-</v>
      </c>
      <c r="M10" s="30" t="s">
        <v>15</v>
      </c>
      <c r="N10" s="30" t="s">
        <v>17</v>
      </c>
      <c r="O10" s="34" t="str">
        <f aca="false">IF(ISBLANK(I10),"",IF(ISBLANK(J10),"",IF(P10=N10,L10&amp;N12,N12)))</f>
        <v>-22°59,36</v>
      </c>
      <c r="P10" s="29" t="s">
        <v>17</v>
      </c>
      <c r="Q10" s="33" t="n">
        <f aca="false">IF(ISBLANK(I10),"",IF(ISBLANK(J10),"",IF(J10&gt;60,"ERREUR !!",O12*(I10+(J10/60)))))</f>
        <v>-22.9893333333333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38521</v>
      </c>
      <c r="K11" s="38"/>
      <c r="L11" s="38"/>
      <c r="M11" s="38"/>
      <c r="N11" s="39" t="str">
        <f aca="false">I9&amp;"°"&amp;J9</f>
        <v>0°0,45</v>
      </c>
      <c r="O11" s="40" t="n">
        <f aca="false">IF(P9=M10,-1,1)</f>
        <v>-1</v>
      </c>
      <c r="P11" s="41" t="str">
        <f aca="false">TEXT(J11,"aaaa-mm-jj")&amp;"T"&amp;TEXT(J12,"hh:mm:ss")&amp;"z"</f>
        <v>2009-06-19T02:30:00z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0.104166666666667</v>
      </c>
      <c r="K12" s="45"/>
      <c r="L12" s="45"/>
      <c r="M12" s="45"/>
      <c r="N12" s="46" t="str">
        <f aca="false">I10&amp;"°"&amp;J10</f>
        <v>22°59,36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e">
        <f aca="false">$P$24*($P$18/#REF!)</f>
        <v>#REF!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e">
        <f aca="false">5+#REF!</f>
        <v>#REF!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e">
        <f aca="false">P20*(1+0.00001*(R14-20))</f>
        <v>#REF!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e">
        <f aca="false">MAX(#REF!)</f>
        <v>#VALUE!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e">
        <f aca="false">2+(#REF!+#REF!)</f>
        <v>#REF!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52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53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IF(ISBLANK(VLOOKUP(D35,#REF!,3)),0,1)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n">
        <v>34.6223</v>
      </c>
      <c r="H35" s="118" t="n">
        <v>1000</v>
      </c>
      <c r="I35" s="119" t="n">
        <v>1019</v>
      </c>
      <c r="J35" s="120"/>
      <c r="K35" s="121"/>
      <c r="L35" s="121"/>
      <c r="M35" s="121"/>
      <c r="N35" s="122"/>
      <c r="O35" s="121"/>
      <c r="P35" s="123" t="n">
        <v>3.591</v>
      </c>
      <c r="Q35" s="120"/>
      <c r="R35" s="120"/>
      <c r="S35" s="120" t="n">
        <v>156.133</v>
      </c>
      <c r="T35" s="32" t="n">
        <v>0.01</v>
      </c>
      <c r="U35" s="32" t="n">
        <v>0.01</v>
      </c>
      <c r="V35" s="124"/>
      <c r="W35" s="124"/>
      <c r="X35" s="125" t="n">
        <v>32.8</v>
      </c>
      <c r="Y35" s="125" t="n">
        <v>32.1</v>
      </c>
      <c r="Z35" s="32" t="n">
        <v>1.68</v>
      </c>
      <c r="AA35" s="32" t="n">
        <v>1.64</v>
      </c>
      <c r="AB35" s="125" t="n">
        <v>31.2</v>
      </c>
      <c r="AC35" s="125" t="n">
        <v>30.5</v>
      </c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7"/>
    </row>
    <row r="36" customFormat="false" ht="15.6" hidden="false" customHeight="false" outlineLevel="0" collapsed="false">
      <c r="A36" s="111" t="n">
        <f aca="false">IF(ISBLANK(VLOOKUP(D36,#REF!,3)),0,1)</f>
        <v>1</v>
      </c>
      <c r="B36" s="112" t="n">
        <f aca="false">IF(ISBLANK(D36),0,IF(ISBLANK(E36),0,IF(ISBLANK(F36),0,1)))</f>
        <v>0</v>
      </c>
      <c r="C36" s="128" t="n">
        <v>2</v>
      </c>
      <c r="D36" s="129"/>
      <c r="E36" s="129"/>
      <c r="F36" s="130"/>
      <c r="G36" s="117" t="n">
        <v>34.4962</v>
      </c>
      <c r="H36" s="131" t="n">
        <v>700</v>
      </c>
      <c r="I36" s="119" t="n">
        <v>720</v>
      </c>
      <c r="J36" s="132"/>
      <c r="K36" s="133"/>
      <c r="L36" s="133"/>
      <c r="M36" s="133"/>
      <c r="N36" s="134"/>
      <c r="O36" s="133"/>
      <c r="P36" s="135" t="n">
        <v>3.377</v>
      </c>
      <c r="Q36" s="132"/>
      <c r="R36" s="132"/>
      <c r="S36" s="132" t="n">
        <v>146.837</v>
      </c>
      <c r="T36" s="32" t="n">
        <v>0.01</v>
      </c>
      <c r="U36" s="32" t="n">
        <v>0.01</v>
      </c>
      <c r="V36" s="124"/>
      <c r="W36" s="124"/>
      <c r="X36" s="125" t="n">
        <v>34.2</v>
      </c>
      <c r="Y36" s="125" t="n">
        <v>33.4</v>
      </c>
      <c r="Z36" s="32" t="n">
        <v>1.68</v>
      </c>
      <c r="AA36" s="32" t="n">
        <v>1.64</v>
      </c>
      <c r="AB36" s="125" t="n">
        <v>26.9</v>
      </c>
      <c r="AC36" s="125" t="n">
        <v>26.3</v>
      </c>
      <c r="AD36" s="124"/>
      <c r="AE36" s="124"/>
      <c r="AF36" s="124"/>
      <c r="AG36" s="124"/>
      <c r="AH36" s="124"/>
      <c r="AI36" s="124"/>
      <c r="AJ36" s="124"/>
      <c r="AK36" s="124"/>
      <c r="AL36" s="124"/>
      <c r="AM36" s="124"/>
      <c r="AN36" s="124"/>
      <c r="AO36" s="124"/>
      <c r="AP36" s="124"/>
      <c r="AQ36" s="124"/>
      <c r="AR36" s="124"/>
      <c r="AS36" s="124"/>
      <c r="AT36" s="124"/>
      <c r="AU36" s="124"/>
      <c r="AV36" s="124"/>
      <c r="AW36" s="124"/>
      <c r="AX36" s="124"/>
      <c r="AY36" s="124"/>
      <c r="AZ36" s="124"/>
      <c r="BA36" s="124"/>
      <c r="BB36" s="136"/>
    </row>
    <row r="37" customFormat="false" ht="15.6" hidden="false" customHeight="false" outlineLevel="0" collapsed="false">
      <c r="A37" s="111" t="n">
        <f aca="false">IF(ISBLANK(VLOOKUP(D37,#REF!,3)),0,1)</f>
        <v>1</v>
      </c>
      <c r="B37" s="112" t="n">
        <f aca="false">IF(ISBLANK(D37),0,IF(ISBLANK(E37),0,IF(ISBLANK(F37),0,1)))</f>
        <v>0</v>
      </c>
      <c r="C37" s="128" t="n">
        <v>3</v>
      </c>
      <c r="D37" s="129"/>
      <c r="E37" s="129"/>
      <c r="F37" s="137"/>
      <c r="G37" s="117" t="n">
        <v>34.54</v>
      </c>
      <c r="H37" s="131" t="n">
        <v>600</v>
      </c>
      <c r="I37" s="119" t="n">
        <v>600</v>
      </c>
      <c r="J37" s="132"/>
      <c r="K37" s="133"/>
      <c r="L37" s="133"/>
      <c r="M37" s="133"/>
      <c r="N37" s="134"/>
      <c r="O37" s="133"/>
      <c r="P37" s="135" t="n">
        <v>3.238</v>
      </c>
      <c r="Q37" s="132"/>
      <c r="R37" s="132"/>
      <c r="S37" s="132" t="n">
        <v>140.827</v>
      </c>
      <c r="T37" s="32" t="n">
        <v>0</v>
      </c>
      <c r="U37" s="32" t="n">
        <v>0</v>
      </c>
      <c r="V37" s="124"/>
      <c r="W37" s="124"/>
      <c r="X37" s="125" t="n">
        <v>33.3</v>
      </c>
      <c r="Y37" s="125" t="n">
        <v>32.5</v>
      </c>
      <c r="Z37" s="32" t="n">
        <v>1.63</v>
      </c>
      <c r="AA37" s="32" t="n">
        <v>1.59</v>
      </c>
      <c r="AB37" s="125" t="n">
        <v>23.8</v>
      </c>
      <c r="AC37" s="125" t="n">
        <v>23.2</v>
      </c>
      <c r="AD37" s="124"/>
      <c r="AE37" s="124"/>
      <c r="AF37" s="124"/>
      <c r="AG37" s="124"/>
      <c r="AH37" s="124"/>
      <c r="AI37" s="124"/>
      <c r="AJ37" s="124"/>
      <c r="AK37" s="124"/>
      <c r="AL37" s="124"/>
      <c r="AM37" s="124"/>
      <c r="AN37" s="124"/>
      <c r="AO37" s="124"/>
      <c r="AP37" s="124"/>
      <c r="AQ37" s="124"/>
      <c r="AR37" s="124"/>
      <c r="AS37" s="124"/>
      <c r="AT37" s="124"/>
      <c r="AU37" s="124"/>
      <c r="AV37" s="124"/>
      <c r="AW37" s="124"/>
      <c r="AX37" s="124"/>
      <c r="AY37" s="124"/>
      <c r="AZ37" s="124"/>
      <c r="BA37" s="124"/>
      <c r="BB37" s="136"/>
    </row>
    <row r="38" customFormat="false" ht="15.6" hidden="false" customHeight="false" outlineLevel="0" collapsed="false">
      <c r="A38" s="111" t="n">
        <f aca="false">IF(ISBLANK(VLOOKUP(D38,#REF!,3)),0,1)</f>
        <v>1</v>
      </c>
      <c r="B38" s="112" t="n">
        <f aca="false">IF(ISBLANK(D38),0,IF(ISBLANK(E38),0,IF(ISBLANK(F38),0,1)))</f>
        <v>0</v>
      </c>
      <c r="C38" s="128" t="n">
        <v>4</v>
      </c>
      <c r="D38" s="138"/>
      <c r="E38" s="138"/>
      <c r="F38" s="139"/>
      <c r="G38" s="117" t="n">
        <v>34.6145</v>
      </c>
      <c r="H38" s="131" t="n">
        <v>500</v>
      </c>
      <c r="I38" s="119" t="n">
        <v>501</v>
      </c>
      <c r="J38" s="132"/>
      <c r="K38" s="133"/>
      <c r="L38" s="133"/>
      <c r="M38" s="133"/>
      <c r="N38" s="134"/>
      <c r="O38" s="133"/>
      <c r="P38" s="135" t="n">
        <v>2.915</v>
      </c>
      <c r="Q38" s="132"/>
      <c r="R38" s="132"/>
      <c r="S38" s="132" t="n">
        <v>126.764</v>
      </c>
      <c r="T38" s="32" t="n">
        <v>0.01</v>
      </c>
      <c r="U38" s="32" t="n">
        <v>0.01</v>
      </c>
      <c r="V38" s="124"/>
      <c r="W38" s="124"/>
      <c r="X38" s="125" t="n">
        <v>32.6</v>
      </c>
      <c r="Y38" s="125" t="n">
        <v>31.9</v>
      </c>
      <c r="Z38" s="32" t="n">
        <v>1.57</v>
      </c>
      <c r="AA38" s="32" t="n">
        <v>1.53</v>
      </c>
      <c r="AB38" s="125" t="n">
        <v>20.6</v>
      </c>
      <c r="AC38" s="125" t="n">
        <v>20.1</v>
      </c>
      <c r="AD38" s="124"/>
      <c r="AE38" s="124"/>
      <c r="AF38" s="124"/>
      <c r="AG38" s="124"/>
      <c r="AH38" s="124"/>
      <c r="AI38" s="124"/>
      <c r="AJ38" s="124"/>
      <c r="AK38" s="124"/>
      <c r="AL38" s="124"/>
      <c r="AM38" s="124"/>
      <c r="AN38" s="124"/>
      <c r="AO38" s="124"/>
      <c r="AP38" s="124"/>
      <c r="AQ38" s="124"/>
      <c r="AR38" s="124"/>
      <c r="AS38" s="124"/>
      <c r="AT38" s="124"/>
      <c r="AU38" s="124"/>
      <c r="AV38" s="124"/>
      <c r="AW38" s="124"/>
      <c r="AX38" s="124"/>
      <c r="AY38" s="124"/>
      <c r="AZ38" s="124"/>
      <c r="BA38" s="124"/>
      <c r="BB38" s="136"/>
    </row>
    <row r="39" customFormat="false" ht="15.6" hidden="false" customHeight="false" outlineLevel="0" collapsed="false">
      <c r="A39" s="111" t="n">
        <f aca="false">IF(ISBLANK(VLOOKUP(D39,#REF!,3)),0,1)</f>
        <v>1</v>
      </c>
      <c r="B39" s="112" t="n">
        <f aca="false">IF(ISBLANK(D39),0,IF(ISBLANK(E39),0,IF(ISBLANK(F39),0,1)))</f>
        <v>0</v>
      </c>
      <c r="C39" s="128" t="n">
        <v>5</v>
      </c>
      <c r="D39" s="129"/>
      <c r="E39" s="129"/>
      <c r="F39" s="137"/>
      <c r="G39" s="117" t="n">
        <v>34.8132</v>
      </c>
      <c r="H39" s="131" t="n">
        <v>400</v>
      </c>
      <c r="I39" s="119" t="n">
        <v>400</v>
      </c>
      <c r="J39" s="132"/>
      <c r="K39" s="133"/>
      <c r="L39" s="133"/>
      <c r="M39" s="133"/>
      <c r="N39" s="134"/>
      <c r="O39" s="133"/>
      <c r="P39" s="135" t="n">
        <v>2.447</v>
      </c>
      <c r="Q39" s="132"/>
      <c r="R39" s="132"/>
      <c r="S39" s="132" t="n">
        <v>106.443</v>
      </c>
      <c r="T39" s="32" t="n">
        <v>0.01</v>
      </c>
      <c r="U39" s="32" t="n">
        <v>0.01</v>
      </c>
      <c r="V39" s="124"/>
      <c r="W39" s="124"/>
      <c r="X39" s="125" t="n">
        <v>30.8</v>
      </c>
      <c r="Y39" s="125" t="n">
        <v>30.1</v>
      </c>
      <c r="Z39" s="32" t="n">
        <v>1.46</v>
      </c>
      <c r="AA39" s="32" t="n">
        <v>1.43</v>
      </c>
      <c r="AB39" s="125" t="n">
        <v>15.8</v>
      </c>
      <c r="AC39" s="125" t="n">
        <v>15.5</v>
      </c>
      <c r="AD39" s="140"/>
      <c r="AE39" s="140"/>
      <c r="AF39" s="140"/>
      <c r="AG39" s="140"/>
      <c r="AH39" s="140"/>
      <c r="AI39" s="140"/>
      <c r="AJ39" s="140"/>
      <c r="AK39" s="140"/>
      <c r="AL39" s="140"/>
      <c r="AM39" s="140"/>
      <c r="AN39" s="140"/>
      <c r="AO39" s="140"/>
      <c r="AP39" s="140"/>
      <c r="AQ39" s="140"/>
      <c r="AR39" s="140"/>
      <c r="AS39" s="140"/>
      <c r="AT39" s="140"/>
      <c r="AU39" s="140"/>
      <c r="AV39" s="140"/>
      <c r="AW39" s="140"/>
      <c r="AX39" s="140"/>
      <c r="AY39" s="140"/>
      <c r="AZ39" s="140"/>
      <c r="BA39" s="140"/>
      <c r="BB39" s="141"/>
    </row>
    <row r="40" customFormat="false" ht="15.6" hidden="false" customHeight="false" outlineLevel="0" collapsed="false">
      <c r="A40" s="111" t="n">
        <f aca="false">IF(ISBLANK(VLOOKUP(D40,#REF!,3)),0,1)</f>
        <v>1</v>
      </c>
      <c r="B40" s="112" t="n">
        <f aca="false">IF(ISBLANK(D40),0,IF(ISBLANK(E40),0,IF(ISBLANK(F40),0,1)))</f>
        <v>0</v>
      </c>
      <c r="C40" s="128" t="n">
        <v>6</v>
      </c>
      <c r="D40" s="129"/>
      <c r="E40" s="129"/>
      <c r="F40" s="137"/>
      <c r="G40" s="117" t="n">
        <v>35.0051</v>
      </c>
      <c r="H40" s="131" t="n">
        <v>300</v>
      </c>
      <c r="I40" s="119" t="n">
        <v>300</v>
      </c>
      <c r="J40" s="132"/>
      <c r="K40" s="133"/>
      <c r="L40" s="133"/>
      <c r="M40" s="133"/>
      <c r="N40" s="134"/>
      <c r="O40" s="133"/>
      <c r="P40" s="135" t="n">
        <v>2.139</v>
      </c>
      <c r="Q40" s="132"/>
      <c r="R40" s="132"/>
      <c r="S40" s="132" t="n">
        <v>93.065</v>
      </c>
      <c r="T40" s="32" t="n">
        <v>0.01</v>
      </c>
      <c r="U40" s="32" t="n">
        <v>0.01</v>
      </c>
      <c r="V40" s="124"/>
      <c r="W40" s="124"/>
      <c r="X40" s="125" t="n">
        <v>28.5</v>
      </c>
      <c r="Y40" s="125" t="n">
        <v>27.9</v>
      </c>
      <c r="Z40" s="32" t="n">
        <v>1.32</v>
      </c>
      <c r="AA40" s="32" t="n">
        <v>1.29</v>
      </c>
      <c r="AB40" s="125" t="n">
        <v>12.8</v>
      </c>
      <c r="AC40" s="125" t="n">
        <v>12.5</v>
      </c>
      <c r="AD40" s="140"/>
      <c r="AE40" s="140"/>
      <c r="AF40" s="140"/>
      <c r="AG40" s="140"/>
      <c r="AH40" s="140"/>
      <c r="AI40" s="140"/>
      <c r="AJ40" s="140"/>
      <c r="AK40" s="140"/>
      <c r="AL40" s="140"/>
      <c r="AM40" s="140"/>
      <c r="AN40" s="140"/>
      <c r="AO40" s="140"/>
      <c r="AP40" s="140"/>
      <c r="AQ40" s="140"/>
      <c r="AR40" s="140"/>
      <c r="AS40" s="140"/>
      <c r="AT40" s="140"/>
      <c r="AU40" s="140"/>
      <c r="AV40" s="140"/>
      <c r="AW40" s="140"/>
      <c r="AX40" s="140"/>
      <c r="AY40" s="140"/>
      <c r="AZ40" s="140"/>
      <c r="BA40" s="140"/>
      <c r="BB40" s="141"/>
    </row>
    <row r="41" customFormat="false" ht="15.6" hidden="false" customHeight="false" outlineLevel="0" collapsed="false">
      <c r="A41" s="111" t="n">
        <f aca="false">IF(ISBLANK(VLOOKUP(D41,#REF!,3)),0,1)</f>
        <v>1</v>
      </c>
      <c r="B41" s="112" t="n">
        <f aca="false">IF(ISBLANK(D41),0,IF(ISBLANK(E41),0,IF(ISBLANK(F41),0,1)))</f>
        <v>0</v>
      </c>
      <c r="C41" s="128" t="n">
        <v>7</v>
      </c>
      <c r="D41" s="129"/>
      <c r="E41" s="129"/>
      <c r="F41" s="137"/>
      <c r="G41" s="117" t="n">
        <v>35.404</v>
      </c>
      <c r="H41" s="131" t="n">
        <v>200</v>
      </c>
      <c r="I41" s="119" t="n">
        <v>200</v>
      </c>
      <c r="J41" s="132"/>
      <c r="K41" s="133"/>
      <c r="L41" s="133"/>
      <c r="M41" s="133"/>
      <c r="N41" s="134"/>
      <c r="O41" s="133"/>
      <c r="P41" s="135" t="n">
        <v>2.554</v>
      </c>
      <c r="Q41" s="132"/>
      <c r="R41" s="132"/>
      <c r="S41" s="132" t="n">
        <v>111.159</v>
      </c>
      <c r="T41" s="32" t="n">
        <v>0.01</v>
      </c>
      <c r="U41" s="32" t="n">
        <v>0.01</v>
      </c>
      <c r="V41" s="124"/>
      <c r="W41" s="124"/>
      <c r="X41" s="125" t="n">
        <v>21</v>
      </c>
      <c r="Y41" s="125" t="n">
        <v>20.5</v>
      </c>
      <c r="Z41" s="32" t="n">
        <v>0.99</v>
      </c>
      <c r="AA41" s="32" t="n">
        <v>0.97</v>
      </c>
      <c r="AB41" s="125" t="n">
        <v>7.8</v>
      </c>
      <c r="AC41" s="125" t="n">
        <v>7.6</v>
      </c>
      <c r="AD41" s="140"/>
      <c r="AE41" s="140"/>
      <c r="AF41" s="140"/>
      <c r="AG41" s="140"/>
      <c r="AH41" s="140"/>
      <c r="AI41" s="140"/>
      <c r="AJ41" s="140"/>
      <c r="AK41" s="140"/>
      <c r="AL41" s="140"/>
      <c r="AM41" s="140"/>
      <c r="AN41" s="140"/>
      <c r="AO41" s="140"/>
      <c r="AP41" s="140"/>
      <c r="AQ41" s="140"/>
      <c r="AR41" s="140"/>
      <c r="AS41" s="140"/>
      <c r="AT41" s="140"/>
      <c r="AU41" s="140"/>
      <c r="AV41" s="140"/>
      <c r="AW41" s="140"/>
      <c r="AX41" s="140"/>
      <c r="AY41" s="140"/>
      <c r="AZ41" s="140"/>
      <c r="BA41" s="140"/>
      <c r="BB41" s="141"/>
    </row>
    <row r="42" customFormat="false" ht="15.6" hidden="false" customHeight="false" outlineLevel="0" collapsed="false">
      <c r="A42" s="111" t="n">
        <f aca="false">IF(ISBLANK(VLOOKUP(D42,#REF!,3)),0,1)</f>
        <v>1</v>
      </c>
      <c r="B42" s="112" t="n">
        <f aca="false">IF(ISBLANK(D42),0,IF(ISBLANK(E42),0,IF(ISBLANK(F42),0,1)))</f>
        <v>0</v>
      </c>
      <c r="C42" s="128" t="n">
        <v>8</v>
      </c>
      <c r="D42" s="129"/>
      <c r="E42" s="129"/>
      <c r="F42" s="137"/>
      <c r="G42" s="117" t="n">
        <v>35.7184</v>
      </c>
      <c r="H42" s="131" t="n">
        <v>100</v>
      </c>
      <c r="I42" s="119" t="n">
        <v>99</v>
      </c>
      <c r="J42" s="132"/>
      <c r="K42" s="133"/>
      <c r="L42" s="133"/>
      <c r="M42" s="133"/>
      <c r="N42" s="134"/>
      <c r="O42" s="133"/>
      <c r="P42" s="135" t="n">
        <v>3.792</v>
      </c>
      <c r="Q42" s="132"/>
      <c r="R42" s="132"/>
      <c r="S42" s="132" t="n">
        <v>165.037</v>
      </c>
      <c r="T42" s="32" t="n">
        <v>0.06</v>
      </c>
      <c r="U42" s="32" t="n">
        <v>0.06</v>
      </c>
      <c r="V42" s="124"/>
      <c r="W42" s="124"/>
      <c r="X42" s="125" t="n">
        <v>11.9</v>
      </c>
      <c r="Y42" s="125" t="n">
        <v>11.6</v>
      </c>
      <c r="Z42" s="32" t="n">
        <v>0.64</v>
      </c>
      <c r="AA42" s="32" t="n">
        <v>0.63</v>
      </c>
      <c r="AB42" s="125" t="n">
        <v>4.9</v>
      </c>
      <c r="AC42" s="125" t="n">
        <v>4.8</v>
      </c>
      <c r="AD42" s="140"/>
      <c r="AE42" s="140"/>
      <c r="AF42" s="140"/>
      <c r="AG42" s="140"/>
      <c r="AH42" s="140"/>
      <c r="AI42" s="140"/>
      <c r="AJ42" s="140"/>
      <c r="AK42" s="140"/>
      <c r="AL42" s="140"/>
      <c r="AM42" s="140"/>
      <c r="AN42" s="140"/>
      <c r="AO42" s="140"/>
      <c r="AP42" s="140"/>
      <c r="AQ42" s="140"/>
      <c r="AR42" s="140"/>
      <c r="AS42" s="140"/>
      <c r="AT42" s="140"/>
      <c r="AU42" s="140"/>
      <c r="AV42" s="140"/>
      <c r="AW42" s="140"/>
      <c r="AX42" s="140"/>
      <c r="AY42" s="140"/>
      <c r="AZ42" s="140"/>
      <c r="BA42" s="140"/>
      <c r="BB42" s="141"/>
    </row>
    <row r="43" customFormat="false" ht="15.6" hidden="false" customHeight="false" outlineLevel="0" collapsed="false">
      <c r="A43" s="111" t="n">
        <f aca="false">IF(ISBLANK(VLOOKUP(D43,#REF!,3)),0,1)</f>
        <v>1</v>
      </c>
      <c r="B43" s="112" t="n">
        <f aca="false">IF(ISBLANK(D43),0,IF(ISBLANK(E43),0,IF(ISBLANK(F43),0,1)))</f>
        <v>0</v>
      </c>
      <c r="C43" s="128" t="n">
        <v>9</v>
      </c>
      <c r="D43" s="129"/>
      <c r="E43" s="129"/>
      <c r="F43" s="137"/>
      <c r="G43" s="117" t="n">
        <v>36.5587</v>
      </c>
      <c r="H43" s="131" t="n">
        <v>50</v>
      </c>
      <c r="I43" s="119" t="n">
        <v>50</v>
      </c>
      <c r="J43" s="132"/>
      <c r="K43" s="133"/>
      <c r="L43" s="133"/>
      <c r="M43" s="133"/>
      <c r="N43" s="134"/>
      <c r="O43" s="133"/>
      <c r="P43" s="135" t="n">
        <v>4.451</v>
      </c>
      <c r="Q43" s="132"/>
      <c r="R43" s="132"/>
      <c r="S43" s="132" t="n">
        <v>193.884</v>
      </c>
      <c r="T43" s="32" t="n">
        <v>0.17</v>
      </c>
      <c r="U43" s="32" t="n">
        <v>0.16</v>
      </c>
      <c r="V43" s="124"/>
      <c r="W43" s="124"/>
      <c r="X43" s="125" t="n">
        <v>2</v>
      </c>
      <c r="Y43" s="125" t="n">
        <v>1.9</v>
      </c>
      <c r="Z43" s="32" t="n">
        <v>0.21</v>
      </c>
      <c r="AA43" s="32" t="n">
        <v>0.21</v>
      </c>
      <c r="AB43" s="125" t="n">
        <v>1.7</v>
      </c>
      <c r="AC43" s="125" t="n">
        <v>1.7</v>
      </c>
      <c r="AD43" s="140"/>
      <c r="AE43" s="140"/>
      <c r="AF43" s="140"/>
      <c r="AG43" s="140"/>
      <c r="AH43" s="140"/>
      <c r="AI43" s="140"/>
      <c r="AJ43" s="140"/>
      <c r="AK43" s="140"/>
      <c r="AL43" s="140"/>
      <c r="AM43" s="140"/>
      <c r="AN43" s="140"/>
      <c r="AO43" s="140"/>
      <c r="AP43" s="140"/>
      <c r="AQ43" s="140"/>
      <c r="AR43" s="140"/>
      <c r="AS43" s="140"/>
      <c r="AT43" s="140"/>
      <c r="AU43" s="140"/>
      <c r="AV43" s="140"/>
      <c r="AW43" s="140"/>
      <c r="AX43" s="140"/>
      <c r="AY43" s="140"/>
      <c r="AZ43" s="140"/>
      <c r="BA43" s="140"/>
      <c r="BB43" s="141"/>
    </row>
    <row r="44" customFormat="false" ht="15.6" hidden="false" customHeight="false" outlineLevel="0" collapsed="false">
      <c r="A44" s="111" t="n">
        <f aca="false">IF(ISBLANK(VLOOKUP(D44,#REF!,3)),0,1)</f>
        <v>1</v>
      </c>
      <c r="B44" s="112" t="n">
        <f aca="false">IF(ISBLANK(D44),0,IF(ISBLANK(E44),0,IF(ISBLANK(F44),0,1)))</f>
        <v>0</v>
      </c>
      <c r="C44" s="128" t="n">
        <v>10</v>
      </c>
      <c r="D44" s="129"/>
      <c r="E44" s="129"/>
      <c r="F44" s="137"/>
      <c r="G44" s="117" t="n">
        <v>36.37</v>
      </c>
      <c r="H44" s="131" t="n">
        <v>20</v>
      </c>
      <c r="I44" s="119" t="n">
        <v>19</v>
      </c>
      <c r="J44" s="132"/>
      <c r="K44" s="133"/>
      <c r="L44" s="133"/>
      <c r="M44" s="133"/>
      <c r="N44" s="134"/>
      <c r="O44" s="133"/>
      <c r="P44" s="135" t="n">
        <v>4.635</v>
      </c>
      <c r="Q44" s="132"/>
      <c r="R44" s="132"/>
      <c r="S44" s="132" t="n">
        <v>202.138</v>
      </c>
      <c r="T44" s="32" t="n">
        <v>0.01</v>
      </c>
      <c r="U44" s="32" t="n">
        <v>0.01</v>
      </c>
      <c r="V44" s="124"/>
      <c r="W44" s="124"/>
      <c r="X44" s="125" t="n">
        <v>0.1</v>
      </c>
      <c r="Y44" s="125" t="n">
        <v>0.1</v>
      </c>
      <c r="Z44" s="32" t="n">
        <v>0.08</v>
      </c>
      <c r="AA44" s="32" t="n">
        <v>0.08</v>
      </c>
      <c r="AB44" s="125" t="n">
        <v>1.3</v>
      </c>
      <c r="AC44" s="125" t="n">
        <v>1.2</v>
      </c>
      <c r="AD44" s="124"/>
      <c r="AE44" s="124"/>
      <c r="AF44" s="124"/>
      <c r="AG44" s="124"/>
      <c r="AH44" s="124"/>
      <c r="AI44" s="124"/>
      <c r="AJ44" s="124"/>
      <c r="AK44" s="124"/>
      <c r="AL44" s="124"/>
      <c r="AM44" s="124"/>
      <c r="AN44" s="124"/>
      <c r="AO44" s="124"/>
      <c r="AP44" s="124"/>
      <c r="AQ44" s="124"/>
      <c r="AR44" s="124"/>
      <c r="AS44" s="124"/>
      <c r="AT44" s="124"/>
      <c r="AU44" s="124"/>
      <c r="AV44" s="124"/>
      <c r="AW44" s="124"/>
      <c r="AX44" s="124"/>
      <c r="AY44" s="124"/>
      <c r="AZ44" s="124"/>
      <c r="BA44" s="124"/>
      <c r="BB44" s="136"/>
    </row>
    <row r="45" customFormat="false" ht="15.6" hidden="false" customHeight="false" outlineLevel="0" collapsed="false">
      <c r="A45" s="111" t="n">
        <f aca="false">IF(ISBLANK(VLOOKUP(D45,#REF!,3)),0,1)</f>
        <v>1</v>
      </c>
      <c r="B45" s="112" t="n">
        <f aca="false">IF(ISBLANK(D45),0,IF(ISBLANK(E45),0,IF(ISBLANK(F45),0,1)))</f>
        <v>0</v>
      </c>
      <c r="C45" s="128" t="n">
        <v>11</v>
      </c>
      <c r="D45" s="129"/>
      <c r="E45" s="129"/>
      <c r="F45" s="137"/>
      <c r="G45" s="117" t="n">
        <v>36.3715</v>
      </c>
      <c r="H45" s="131" t="n">
        <v>10</v>
      </c>
      <c r="I45" s="119" t="n">
        <v>9</v>
      </c>
      <c r="J45" s="132"/>
      <c r="K45" s="133"/>
      <c r="L45" s="133"/>
      <c r="M45" s="133"/>
      <c r="N45" s="134"/>
      <c r="O45" s="133"/>
      <c r="P45" s="135" t="n">
        <v>4.626</v>
      </c>
      <c r="Q45" s="132"/>
      <c r="R45" s="132"/>
      <c r="S45" s="132" t="n">
        <v>201.727</v>
      </c>
      <c r="T45" s="32" t="n">
        <v>0.01</v>
      </c>
      <c r="U45" s="32" t="n">
        <v>0.01</v>
      </c>
      <c r="V45" s="124"/>
      <c r="W45" s="124"/>
      <c r="X45" s="125" t="n">
        <v>0</v>
      </c>
      <c r="Y45" s="125" t="n">
        <v>0</v>
      </c>
      <c r="Z45" s="32" t="n">
        <v>0.08</v>
      </c>
      <c r="AA45" s="32" t="n">
        <v>0.08</v>
      </c>
      <c r="AB45" s="125" t="n">
        <v>1.2</v>
      </c>
      <c r="AC45" s="125" t="n">
        <v>1.2</v>
      </c>
      <c r="AD45" s="124"/>
      <c r="AE45" s="124"/>
      <c r="AF45" s="124"/>
      <c r="AG45" s="124"/>
      <c r="AH45" s="124"/>
      <c r="AI45" s="124"/>
      <c r="AJ45" s="124"/>
      <c r="AK45" s="124"/>
      <c r="AL45" s="124"/>
      <c r="AM45" s="124"/>
      <c r="AN45" s="124"/>
      <c r="AO45" s="124"/>
      <c r="AP45" s="124"/>
      <c r="AQ45" s="124"/>
      <c r="AR45" s="124"/>
      <c r="AS45" s="124"/>
      <c r="AT45" s="124"/>
      <c r="AU45" s="124"/>
      <c r="AV45" s="124"/>
      <c r="AW45" s="124"/>
      <c r="AX45" s="124"/>
      <c r="AY45" s="124"/>
      <c r="AZ45" s="124"/>
      <c r="BA45" s="124"/>
      <c r="BB45" s="124"/>
    </row>
    <row r="46" customFormat="false" ht="15.6" hidden="false" customHeight="false" outlineLevel="0" collapsed="false">
      <c r="A46" s="111" t="n">
        <f aca="false">IF(ISBLANK(VLOOKUP(D46,#REF!,3)),0,1)</f>
        <v>1</v>
      </c>
      <c r="B46" s="112" t="n">
        <f aca="false">IF(ISBLANK(D46),0,IF(ISBLANK(E46),0,IF(ISBLANK(F46),0,1)))</f>
        <v>0</v>
      </c>
      <c r="C46" s="128" t="n">
        <v>12</v>
      </c>
      <c r="D46" s="142"/>
      <c r="E46" s="142"/>
      <c r="F46" s="143"/>
      <c r="G46" s="144"/>
      <c r="H46" s="142"/>
      <c r="I46" s="145"/>
      <c r="J46" s="132" t="str">
        <f aca="false">IF(ISBLANK(D46),"",IF(VLOOKUP(D46,#REF!,2)=0,"",IF(D46&gt;#REF!,"Mauvais numéro",IF(D46&lt;#REF!,"Mauvais numéro",(VLOOKUP(D46,#REF!,3))))))</f>
        <v/>
      </c>
      <c r="K46" s="146" t="str">
        <f aca="false">IF(ISBLANK(E46),"",(0.000824493-(0.0000040899*E46)+(0.000000076438*E46^2)-(0.00000000082467*E46^3)+(0.0000000000053875*E46^4)))</f>
        <v/>
      </c>
      <c r="L46" s="146" t="str">
        <f aca="false">IF(ISBLANK(E46),"",(-0.00000572466+(0.00000010227*E46)-(0.0000000016546*E46^2)))</f>
        <v/>
      </c>
      <c r="M46" s="146" t="str">
        <f aca="false">IF(ISBLANK(E46),"",IF(ISBLANK(G46),(O46+(K46*35)+(L46*35^1.5)+(0.00000048314*35^2)),(O46+(K46*G46)+(L46*G46^1.5)+(0.00000048314*G46^2))))</f>
        <v/>
      </c>
      <c r="N46" s="147" t="str">
        <f aca="false">IF(ISBLANK(D46),"",IF(ISBLANK(G46),J46*(1+0.00001*(35-20)),J46*(1+0.00001*(G46-20))))</f>
        <v/>
      </c>
      <c r="O46" s="146" t="str">
        <f aca="false">IF(ISBLANK(E46),"",(0.999842594+(0.00006793952*E46)-(0.00000909529*E46^2)+(0.0000001001685*E46^3)-(0.000000001120083*E46^4)+(0.000000000006536332*E46^5)))</f>
        <v/>
      </c>
      <c r="P46" s="148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49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0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0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24"/>
      <c r="U46" s="124"/>
      <c r="V46" s="124"/>
      <c r="W46" s="124"/>
      <c r="X46" s="124"/>
      <c r="Y46" s="124"/>
      <c r="Z46" s="124"/>
      <c r="AA46" s="124"/>
      <c r="AB46" s="124"/>
      <c r="AC46" s="124"/>
      <c r="AD46" s="124"/>
      <c r="AE46" s="124"/>
      <c r="AF46" s="124"/>
      <c r="AG46" s="124"/>
      <c r="AH46" s="124"/>
      <c r="AI46" s="124"/>
      <c r="AJ46" s="124"/>
      <c r="AK46" s="124"/>
      <c r="AL46" s="124"/>
      <c r="AM46" s="124"/>
      <c r="AN46" s="124"/>
      <c r="AO46" s="124"/>
      <c r="AP46" s="124"/>
      <c r="AQ46" s="124"/>
      <c r="AR46" s="124"/>
      <c r="AS46" s="124"/>
      <c r="AT46" s="124"/>
      <c r="AU46" s="124"/>
      <c r="AV46" s="124"/>
      <c r="AW46" s="124"/>
      <c r="AX46" s="124"/>
      <c r="AY46" s="124"/>
      <c r="AZ46" s="124"/>
      <c r="BA46" s="124"/>
      <c r="BB46" s="136"/>
    </row>
    <row r="47" customFormat="false" ht="15.6" hidden="false" customHeight="false" outlineLevel="0" collapsed="false">
      <c r="A47" s="111" t="n">
        <f aca="false">IF(ISBLANK(VLOOKUP(D47,#REF!,3)),0,1)</f>
        <v>1</v>
      </c>
      <c r="B47" s="112" t="n">
        <f aca="false">IF(ISBLANK(D47),0,IF(ISBLANK(E47),0,IF(ISBLANK(F47),0,1)))</f>
        <v>0</v>
      </c>
      <c r="C47" s="128" t="n">
        <v>13</v>
      </c>
      <c r="D47" s="151"/>
      <c r="E47" s="151"/>
      <c r="F47" s="152"/>
      <c r="G47" s="153"/>
      <c r="H47" s="151"/>
      <c r="I47" s="151"/>
      <c r="J47" s="132" t="str">
        <f aca="false">IF(ISBLANK(D47),"",IF(VLOOKUP(D47,#REF!,2)=0,"",IF(D47&gt;#REF!,"Mauvais numéro",IF(D47&lt;#REF!,"Mauvais numéro",(VLOOKUP(D47,#REF!,3))))))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54"/>
      <c r="Q47" s="149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5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4"/>
      <c r="T47" s="124"/>
      <c r="U47" s="124"/>
      <c r="V47" s="124"/>
      <c r="W47" s="124"/>
      <c r="X47" s="12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24"/>
      <c r="AJ47" s="124"/>
      <c r="AK47" s="124"/>
      <c r="AL47" s="124"/>
      <c r="AM47" s="124"/>
      <c r="AN47" s="124"/>
      <c r="AO47" s="124"/>
      <c r="AP47" s="124"/>
      <c r="AQ47" s="124"/>
      <c r="AR47" s="124"/>
      <c r="AS47" s="124"/>
      <c r="AT47" s="124"/>
      <c r="AU47" s="124"/>
      <c r="AV47" s="124"/>
      <c r="AW47" s="124"/>
      <c r="AX47" s="124"/>
      <c r="AY47" s="124"/>
      <c r="AZ47" s="124"/>
      <c r="BA47" s="124"/>
      <c r="BB47" s="136"/>
    </row>
    <row r="48" customFormat="false" ht="15.6" hidden="false" customHeight="false" outlineLevel="0" collapsed="false">
      <c r="A48" s="111" t="n">
        <f aca="false">IF(ISBLANK(VLOOKUP(D48,#REF!,3)),0,1)</f>
        <v>1</v>
      </c>
      <c r="B48" s="112" t="n">
        <f aca="false">IF(ISBLANK(D48),0,IF(ISBLANK(E48),0,IF(ISBLANK(F48),0,1)))</f>
        <v>0</v>
      </c>
      <c r="C48" s="128" t="n">
        <v>14</v>
      </c>
      <c r="D48" s="151"/>
      <c r="E48" s="151"/>
      <c r="F48" s="152"/>
      <c r="G48" s="153"/>
      <c r="H48" s="151"/>
      <c r="I48" s="151"/>
      <c r="J48" s="132" t="str">
        <f aca="false">IF(ISBLANK(D48),"",IF(VLOOKUP(D48,#REF!,2)=0,"",IF(D48&gt;#REF!,"Mauvais numéro",IF(D48&lt;#REF!,"Mauvais numéro",(VLOOKUP(D48,#REF!,3))))))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54"/>
      <c r="Q48" s="149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5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4"/>
      <c r="T48" s="124"/>
      <c r="U48" s="124"/>
      <c r="V48" s="124"/>
      <c r="W48" s="124"/>
      <c r="X48" s="124"/>
      <c r="Y48" s="124"/>
      <c r="Z48" s="124"/>
      <c r="AA48" s="124"/>
      <c r="AB48" s="124"/>
      <c r="AC48" s="124"/>
      <c r="AD48" s="124"/>
      <c r="AE48" s="124"/>
      <c r="AF48" s="124"/>
      <c r="AG48" s="124"/>
      <c r="AH48" s="124"/>
      <c r="AI48" s="124"/>
      <c r="AJ48" s="124"/>
      <c r="AK48" s="124"/>
      <c r="AL48" s="124"/>
      <c r="AM48" s="124"/>
      <c r="AN48" s="124"/>
      <c r="AO48" s="124"/>
      <c r="AP48" s="124"/>
      <c r="AQ48" s="124"/>
      <c r="AR48" s="124"/>
      <c r="AS48" s="124"/>
      <c r="AT48" s="124"/>
      <c r="AU48" s="124"/>
      <c r="AV48" s="124"/>
      <c r="AW48" s="124"/>
      <c r="AX48" s="124"/>
      <c r="AY48" s="124"/>
      <c r="AZ48" s="124"/>
      <c r="BA48" s="124"/>
      <c r="BB48" s="136"/>
    </row>
    <row r="49" customFormat="false" ht="15.6" hidden="false" customHeight="false" outlineLevel="0" collapsed="false">
      <c r="A49" s="111" t="n">
        <f aca="false">IF(ISBLANK(VLOOKUP(D49,#REF!,3)),0,1)</f>
        <v>1</v>
      </c>
      <c r="B49" s="112" t="n">
        <f aca="false">IF(ISBLANK(D49),0,IF(ISBLANK(E49),0,IF(ISBLANK(F49),0,1)))</f>
        <v>0</v>
      </c>
      <c r="C49" s="128" t="n">
        <v>15</v>
      </c>
      <c r="D49" s="151"/>
      <c r="E49" s="151"/>
      <c r="F49" s="152"/>
      <c r="G49" s="156"/>
      <c r="H49" s="151"/>
      <c r="I49" s="151"/>
      <c r="J49" s="132" t="str">
        <f aca="false">IF(ISBLANK(D49),"",IF(VLOOKUP(D49,#REF!,2)=0,"",IF(D49&gt;#REF!,"Mauvais numéro",IF(D49&lt;#REF!,"Mauvais numéro",(VLOOKUP(D49,#REF!,3))))))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57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49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24"/>
      <c r="AE49" s="124"/>
      <c r="AF49" s="124"/>
      <c r="AG49" s="124"/>
      <c r="AH49" s="124"/>
      <c r="AI49" s="124"/>
      <c r="AJ49" s="124"/>
      <c r="AK49" s="124"/>
      <c r="AL49" s="124"/>
      <c r="AM49" s="124"/>
      <c r="AN49" s="124"/>
      <c r="AO49" s="124"/>
      <c r="AP49" s="124"/>
      <c r="AQ49" s="124"/>
      <c r="AR49" s="124"/>
      <c r="AS49" s="124"/>
      <c r="AT49" s="124"/>
      <c r="AU49" s="124"/>
      <c r="AV49" s="124"/>
      <c r="AW49" s="124"/>
      <c r="AX49" s="124"/>
      <c r="AY49" s="124"/>
      <c r="AZ49" s="124"/>
      <c r="BA49" s="124"/>
      <c r="BB49" s="136"/>
    </row>
    <row r="50" customFormat="false" ht="15.6" hidden="false" customHeight="false" outlineLevel="0" collapsed="false">
      <c r="A50" s="111" t="n">
        <f aca="false">IF(ISBLANK(VLOOKUP(D50,#REF!,3)),0,1)</f>
        <v>1</v>
      </c>
      <c r="B50" s="112" t="n">
        <f aca="false">IF(ISBLANK(D50),0,IF(ISBLANK(E50),0,IF(ISBLANK(F50),0,1)))</f>
        <v>0</v>
      </c>
      <c r="C50" s="128" t="n">
        <v>16</v>
      </c>
      <c r="D50" s="151"/>
      <c r="E50" s="151"/>
      <c r="F50" s="152"/>
      <c r="G50" s="156"/>
      <c r="H50" s="151"/>
      <c r="I50" s="151"/>
      <c r="J50" s="132" t="str">
        <f aca="false">IF(ISBLANK(D50),"",IF(VLOOKUP(D50,#REF!,2)=0,"",IF(D50&gt;#REF!,"Mauvais numéro",IF(D50&lt;#REF!,"Mauvais numéro",(VLOOKUP(D50,#REF!,3))))))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57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49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24"/>
      <c r="U50" s="124"/>
      <c r="V50" s="124"/>
      <c r="W50" s="124"/>
      <c r="X50" s="124"/>
      <c r="Y50" s="124"/>
      <c r="Z50" s="124"/>
      <c r="AA50" s="124"/>
      <c r="AB50" s="124"/>
      <c r="AC50" s="124"/>
      <c r="AD50" s="124"/>
      <c r="AE50" s="124"/>
      <c r="AF50" s="124"/>
      <c r="AG50" s="124"/>
      <c r="AH50" s="124"/>
      <c r="AI50" s="124"/>
      <c r="AJ50" s="124"/>
      <c r="AK50" s="124"/>
      <c r="AL50" s="124"/>
      <c r="AM50" s="124"/>
      <c r="AN50" s="124"/>
      <c r="AO50" s="124"/>
      <c r="AP50" s="124"/>
      <c r="AQ50" s="124"/>
      <c r="AR50" s="124"/>
      <c r="AS50" s="124"/>
      <c r="AT50" s="124"/>
      <c r="AU50" s="124"/>
      <c r="AV50" s="124"/>
      <c r="AW50" s="124"/>
      <c r="AX50" s="124"/>
      <c r="AY50" s="124"/>
      <c r="AZ50" s="124"/>
      <c r="BA50" s="124"/>
      <c r="BB50" s="136"/>
    </row>
    <row r="51" customFormat="false" ht="15.6" hidden="false" customHeight="false" outlineLevel="0" collapsed="false">
      <c r="A51" s="111" t="n">
        <f aca="false">IF(ISBLANK(VLOOKUP(D51,#REF!,3)),0,1)</f>
        <v>1</v>
      </c>
      <c r="B51" s="112" t="n">
        <f aca="false">IF(ISBLANK(D51),0,IF(ISBLANK(E51),0,IF(ISBLANK(F51),0,1)))</f>
        <v>0</v>
      </c>
      <c r="C51" s="128" t="n">
        <v>17</v>
      </c>
      <c r="D51" s="151"/>
      <c r="E51" s="151"/>
      <c r="F51" s="152"/>
      <c r="G51" s="156"/>
      <c r="H51" s="151"/>
      <c r="I51" s="151"/>
      <c r="J51" s="132" t="str">
        <f aca="false">IF(ISBLANK(D51),"",IF(VLOOKUP(D51,#REF!,2)=0,"",IF(D51&gt;#REF!,"Mauvais numéro",IF(D51&lt;#REF!,"Mauvais numéro",(VLOOKUP(D51,#REF!,3))))))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57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49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24"/>
      <c r="AE51" s="124"/>
      <c r="AF51" s="124"/>
      <c r="AG51" s="124"/>
      <c r="AH51" s="124"/>
      <c r="AI51" s="124"/>
      <c r="AJ51" s="124"/>
      <c r="AK51" s="124"/>
      <c r="AL51" s="124"/>
      <c r="AM51" s="124"/>
      <c r="AN51" s="124"/>
      <c r="AO51" s="124"/>
      <c r="AP51" s="124"/>
      <c r="AQ51" s="124"/>
      <c r="AR51" s="124"/>
      <c r="AS51" s="124"/>
      <c r="AT51" s="124"/>
      <c r="AU51" s="124"/>
      <c r="AV51" s="124"/>
      <c r="AW51" s="124"/>
      <c r="AX51" s="124"/>
      <c r="AY51" s="124"/>
      <c r="AZ51" s="124"/>
      <c r="BA51" s="124"/>
      <c r="BB51" s="136"/>
    </row>
    <row r="52" customFormat="false" ht="15.6" hidden="false" customHeight="false" outlineLevel="0" collapsed="false">
      <c r="A52" s="111" t="n">
        <f aca="false">IF(ISBLANK(VLOOKUP(D52,#REF!,3)),0,1)</f>
        <v>1</v>
      </c>
      <c r="B52" s="112" t="n">
        <f aca="false">IF(ISBLANK(D52),0,IF(ISBLANK(E52),0,IF(ISBLANK(F52),0,1)))</f>
        <v>0</v>
      </c>
      <c r="C52" s="128" t="n">
        <v>18</v>
      </c>
      <c r="D52" s="151"/>
      <c r="E52" s="151"/>
      <c r="F52" s="152"/>
      <c r="G52" s="156"/>
      <c r="H52" s="151"/>
      <c r="I52" s="151"/>
      <c r="J52" s="132" t="str">
        <f aca="false">IF(ISBLANK(D52),"",IF(VLOOKUP(D52,#REF!,2)=0,"",IF(D52&gt;#REF!,"Mauvais numéro",IF(D52&lt;#REF!,"Mauvais numéro",(VLOOKUP(D52,#REF!,3))))))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57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49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24"/>
      <c r="U52" s="124"/>
      <c r="V52" s="124"/>
      <c r="W52" s="124"/>
      <c r="X52" s="124"/>
      <c r="Y52" s="124"/>
      <c r="Z52" s="124"/>
      <c r="AA52" s="124"/>
      <c r="AB52" s="124"/>
      <c r="AC52" s="124"/>
      <c r="AD52" s="124"/>
      <c r="AE52" s="124"/>
      <c r="AF52" s="124"/>
      <c r="AG52" s="124"/>
      <c r="AH52" s="124"/>
      <c r="AI52" s="124"/>
      <c r="AJ52" s="124"/>
      <c r="AK52" s="124"/>
      <c r="AL52" s="124"/>
      <c r="AM52" s="124"/>
      <c r="AN52" s="124"/>
      <c r="AO52" s="124"/>
      <c r="AP52" s="124"/>
      <c r="AQ52" s="124"/>
      <c r="AR52" s="124"/>
      <c r="AS52" s="124"/>
      <c r="AT52" s="124"/>
      <c r="AU52" s="124"/>
      <c r="AV52" s="124"/>
      <c r="AW52" s="124"/>
      <c r="AX52" s="124"/>
      <c r="AY52" s="124"/>
      <c r="AZ52" s="124"/>
      <c r="BA52" s="124"/>
      <c r="BB52" s="136"/>
    </row>
    <row r="53" customFormat="false" ht="15.6" hidden="false" customHeight="false" outlineLevel="0" collapsed="false">
      <c r="A53" s="111" t="n">
        <f aca="false">IF(ISBLANK(VLOOKUP(D53,#REF!,3)),0,1)</f>
        <v>1</v>
      </c>
      <c r="B53" s="112" t="n">
        <f aca="false">IF(ISBLANK(D53),0,IF(ISBLANK(E53),0,IF(ISBLANK(F53),0,1)))</f>
        <v>0</v>
      </c>
      <c r="C53" s="128" t="n">
        <v>19</v>
      </c>
      <c r="D53" s="151"/>
      <c r="E53" s="151"/>
      <c r="F53" s="152"/>
      <c r="G53" s="156"/>
      <c r="H53" s="151"/>
      <c r="I53" s="151"/>
      <c r="J53" s="132" t="str">
        <f aca="false">IF(ISBLANK(D53),"",IF(VLOOKUP(D53,#REF!,2)=0,"",IF(D53&gt;#REF!,"Mauvais numéro",IF(D53&lt;#REF!,"Mauvais numéro",(VLOOKUP(D53,#REF!,3))))))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57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49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24"/>
      <c r="U53" s="124"/>
      <c r="V53" s="124"/>
      <c r="W53" s="124"/>
      <c r="X53" s="12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24"/>
      <c r="AJ53" s="124"/>
      <c r="AK53" s="124"/>
      <c r="AL53" s="124"/>
      <c r="AM53" s="124"/>
      <c r="AN53" s="124"/>
      <c r="AO53" s="124"/>
      <c r="AP53" s="124"/>
      <c r="AQ53" s="124"/>
      <c r="AR53" s="124"/>
      <c r="AS53" s="124"/>
      <c r="AT53" s="124"/>
      <c r="AU53" s="124"/>
      <c r="AV53" s="124"/>
      <c r="AW53" s="124"/>
      <c r="AX53" s="124"/>
      <c r="AY53" s="124"/>
      <c r="AZ53" s="124"/>
      <c r="BA53" s="124"/>
      <c r="BB53" s="136"/>
    </row>
    <row r="54" customFormat="false" ht="15.6" hidden="false" customHeight="false" outlineLevel="0" collapsed="false">
      <c r="A54" s="111" t="n">
        <f aca="false">IF(ISBLANK(VLOOKUP(D54,#REF!,3)),0,1)</f>
        <v>1</v>
      </c>
      <c r="B54" s="112" t="n">
        <f aca="false">IF(ISBLANK(D54),0,IF(ISBLANK(E54),0,IF(ISBLANK(F54),0,1)))</f>
        <v>0</v>
      </c>
      <c r="C54" s="128" t="n">
        <v>20</v>
      </c>
      <c r="D54" s="151"/>
      <c r="E54" s="151"/>
      <c r="F54" s="152"/>
      <c r="G54" s="156"/>
      <c r="H54" s="151"/>
      <c r="I54" s="151"/>
      <c r="J54" s="132" t="str">
        <f aca="false">IF(ISBLANK(D54),"",IF(VLOOKUP(D54,#REF!,2)=0,"",IF(D54&gt;#REF!,"Mauvais numéro",IF(D54&lt;#REF!,"Mauvais numéro",(VLOOKUP(D54,#REF!,3))))))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57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49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4"/>
      <c r="U54" s="124"/>
      <c r="V54" s="124"/>
      <c r="W54" s="124"/>
      <c r="X54" s="124"/>
      <c r="Y54" s="124"/>
      <c r="Z54" s="124"/>
      <c r="AA54" s="124"/>
      <c r="AB54" s="124"/>
      <c r="AC54" s="124"/>
      <c r="AD54" s="124"/>
      <c r="AE54" s="124"/>
      <c r="AF54" s="124"/>
      <c r="AG54" s="124"/>
      <c r="AH54" s="124"/>
      <c r="AI54" s="124"/>
      <c r="AJ54" s="124"/>
      <c r="AK54" s="124"/>
      <c r="AL54" s="124"/>
      <c r="AM54" s="124"/>
      <c r="AN54" s="124"/>
      <c r="AO54" s="124"/>
      <c r="AP54" s="124"/>
      <c r="AQ54" s="124"/>
      <c r="AR54" s="124"/>
      <c r="AS54" s="124"/>
      <c r="AT54" s="124"/>
      <c r="AU54" s="124"/>
      <c r="AV54" s="124"/>
      <c r="AW54" s="124"/>
      <c r="AX54" s="124"/>
      <c r="AY54" s="124"/>
      <c r="AZ54" s="124"/>
      <c r="BA54" s="124"/>
      <c r="BB54" s="136"/>
    </row>
    <row r="55" customFormat="false" ht="15.6" hidden="false" customHeight="false" outlineLevel="0" collapsed="false">
      <c r="A55" s="111" t="n">
        <f aca="false">IF(ISBLANK(VLOOKUP(D55,#REF!,3)),0,1)</f>
        <v>1</v>
      </c>
      <c r="B55" s="112" t="n">
        <f aca="false">IF(ISBLANK(D55),0,IF(ISBLANK(E55),0,IF(ISBLANK(F55),0,1)))</f>
        <v>0</v>
      </c>
      <c r="C55" s="128" t="n">
        <v>21</v>
      </c>
      <c r="D55" s="151"/>
      <c r="E55" s="151"/>
      <c r="F55" s="152"/>
      <c r="G55" s="156"/>
      <c r="H55" s="151"/>
      <c r="I55" s="151"/>
      <c r="J55" s="132" t="str">
        <f aca="false">IF(ISBLANK(D55),"",IF(VLOOKUP(D55,#REF!,2)=0,"",IF(D55&gt;#REF!,"Mauvais numéro",IF(D55&lt;#REF!,"Mauvais numéro",(VLOOKUP(D55,#REF!,3))))))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57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49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24"/>
      <c r="U55" s="124"/>
      <c r="V55" s="124"/>
      <c r="W55" s="124"/>
      <c r="X55" s="124"/>
      <c r="Y55" s="124"/>
      <c r="Z55" s="124"/>
      <c r="AA55" s="124"/>
      <c r="AB55" s="124"/>
      <c r="AC55" s="124"/>
      <c r="AD55" s="124"/>
      <c r="AE55" s="124"/>
      <c r="AF55" s="124"/>
      <c r="AG55" s="124"/>
      <c r="AH55" s="124"/>
      <c r="AI55" s="124"/>
      <c r="AJ55" s="124"/>
      <c r="AK55" s="124"/>
      <c r="AL55" s="124"/>
      <c r="AM55" s="124"/>
      <c r="AN55" s="124"/>
      <c r="AO55" s="124"/>
      <c r="AP55" s="124"/>
      <c r="AQ55" s="124"/>
      <c r="AR55" s="124"/>
      <c r="AS55" s="124"/>
      <c r="AT55" s="124"/>
      <c r="AU55" s="124"/>
      <c r="AV55" s="124"/>
      <c r="AW55" s="124"/>
      <c r="AX55" s="124"/>
      <c r="AY55" s="124"/>
      <c r="AZ55" s="124"/>
      <c r="BA55" s="124"/>
      <c r="BB55" s="136"/>
    </row>
    <row r="56" customFormat="false" ht="15.6" hidden="false" customHeight="false" outlineLevel="0" collapsed="false">
      <c r="A56" s="111" t="n">
        <f aca="false">IF(ISBLANK(VLOOKUP(D56,#REF!,3)),0,1)</f>
        <v>1</v>
      </c>
      <c r="B56" s="112" t="n">
        <f aca="false">IF(ISBLANK(D56),0,IF(ISBLANK(E56),0,IF(ISBLANK(F56),0,1)))</f>
        <v>0</v>
      </c>
      <c r="C56" s="128" t="n">
        <v>22</v>
      </c>
      <c r="D56" s="151"/>
      <c r="E56" s="151"/>
      <c r="F56" s="152"/>
      <c r="G56" s="156"/>
      <c r="H56" s="151"/>
      <c r="I56" s="151"/>
      <c r="J56" s="132" t="str">
        <f aca="false">IF(ISBLANK(D56),"",IF(VLOOKUP(D56,#REF!,2)=0,"",IF(D56&gt;#REF!,"Mauvais numéro",IF(D56&lt;#REF!,"Mauvais numéro",(VLOOKUP(D56,#REF!,3))))))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57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49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24"/>
      <c r="AE56" s="124"/>
      <c r="AF56" s="124"/>
      <c r="AG56" s="124"/>
      <c r="AH56" s="124"/>
      <c r="AI56" s="124"/>
      <c r="AJ56" s="124"/>
      <c r="AK56" s="124"/>
      <c r="AL56" s="124"/>
      <c r="AM56" s="124"/>
      <c r="AN56" s="124"/>
      <c r="AO56" s="124"/>
      <c r="AP56" s="124"/>
      <c r="AQ56" s="124"/>
      <c r="AR56" s="124"/>
      <c r="AS56" s="124"/>
      <c r="AT56" s="124"/>
      <c r="AU56" s="124"/>
      <c r="AV56" s="124"/>
      <c r="AW56" s="124"/>
      <c r="AX56" s="124"/>
      <c r="AY56" s="124"/>
      <c r="AZ56" s="124"/>
      <c r="BA56" s="124"/>
      <c r="BB56" s="136"/>
    </row>
    <row r="57" customFormat="false" ht="15.6" hidden="false" customHeight="false" outlineLevel="0" collapsed="false">
      <c r="A57" s="111" t="n">
        <f aca="false">IF(ISBLANK(VLOOKUP(D57,#REF!,3)),0,1)</f>
        <v>1</v>
      </c>
      <c r="B57" s="112" t="n">
        <f aca="false">IF(ISBLANK(D57),0,IF(ISBLANK(E57),0,IF(ISBLANK(F57),0,1)))</f>
        <v>0</v>
      </c>
      <c r="C57" s="128" t="n">
        <v>23</v>
      </c>
      <c r="D57" s="151"/>
      <c r="E57" s="151"/>
      <c r="F57" s="152"/>
      <c r="G57" s="156"/>
      <c r="H57" s="151"/>
      <c r="I57" s="151"/>
      <c r="J57" s="132" t="str">
        <f aca="false">IF(ISBLANK(D57),"",IF(VLOOKUP(D57,#REF!,2)=0,"",IF(D57&gt;#REF!,"Mauvais numéro",IF(D57&lt;#REF!,"Mauvais numéro",(VLOOKUP(D57,#REF!,3))))))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57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49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4"/>
      <c r="U57" s="124"/>
      <c r="V57" s="124"/>
      <c r="W57" s="124"/>
      <c r="X57" s="124"/>
      <c r="Y57" s="124"/>
      <c r="Z57" s="124"/>
      <c r="AA57" s="124"/>
      <c r="AB57" s="124"/>
      <c r="AC57" s="124"/>
      <c r="AD57" s="124"/>
      <c r="AE57" s="124"/>
      <c r="AF57" s="124"/>
      <c r="AG57" s="124"/>
      <c r="AH57" s="124"/>
      <c r="AI57" s="124"/>
      <c r="AJ57" s="124"/>
      <c r="AK57" s="124"/>
      <c r="AL57" s="124"/>
      <c r="AM57" s="124"/>
      <c r="AN57" s="124"/>
      <c r="AO57" s="124"/>
      <c r="AP57" s="124"/>
      <c r="AQ57" s="124"/>
      <c r="AR57" s="124"/>
      <c r="AS57" s="124"/>
      <c r="AT57" s="124"/>
      <c r="AU57" s="124"/>
      <c r="AV57" s="124"/>
      <c r="AW57" s="124"/>
      <c r="AX57" s="124"/>
      <c r="AY57" s="124"/>
      <c r="AZ57" s="124"/>
      <c r="BA57" s="124"/>
      <c r="BB57" s="136"/>
    </row>
    <row r="58" customFormat="false" ht="16.2" hidden="false" customHeight="false" outlineLevel="0" collapsed="false">
      <c r="A58" s="111" t="n">
        <f aca="false">IF(ISBLANK(VLOOKUP(D58,#REF!,3)),0,1)</f>
        <v>1</v>
      </c>
      <c r="B58" s="112" t="n">
        <f aca="false">IF(ISBLANK(D58),0,IF(ISBLANK(E58),0,IF(ISBLANK(F58),0,1)))</f>
        <v>0</v>
      </c>
      <c r="C58" s="158" t="n">
        <v>24</v>
      </c>
      <c r="D58" s="159"/>
      <c r="E58" s="159"/>
      <c r="F58" s="160"/>
      <c r="G58" s="161"/>
      <c r="H58" s="159"/>
      <c r="I58" s="159"/>
      <c r="J58" s="162" t="str">
        <f aca="false">IF(ISBLANK(D58),"",IF(VLOOKUP(D58,#REF!,2)=0,"",IF(D58&gt;#REF!,"Mauvais numéro",IF(D58&lt;#REF!,"Mauvais numéro",(VLOOKUP(D58,#REF!,3))))))</f>
        <v/>
      </c>
      <c r="K58" s="163" t="str">
        <f aca="false">IF(ISBLANK(E58),"",(0.000824493-(0.0000040899*E58)+(0.000000076438*E58^2)-(0.00000000082467*E58^3)+(0.0000000000053875*E58^4)))</f>
        <v/>
      </c>
      <c r="L58" s="163" t="str">
        <f aca="false">IF(ISBLANK(E58),"",(-0.00000572466+(0.00000010227*E58)-(0.0000000016546*E58^2)))</f>
        <v/>
      </c>
      <c r="M58" s="163" t="str">
        <f aca="false">IF(ISBLANK(E58),"",IF(ISBLANK(G58),(O58+(K58*35)+(L58*35^1.5)+(0.00000048314*35^2)),(O58+(K58*G58)+(L58*G58^1.5)+(0.00000048314*G58^2))))</f>
        <v/>
      </c>
      <c r="N58" s="164" t="str">
        <f aca="false">IF(ISBLANK(D58),"",IF(ISBLANK(G58),J58*(1+0.00001*(35-20)),J58*(1+0.00001*(G58-20))))</f>
        <v/>
      </c>
      <c r="O58" s="163" t="str">
        <f aca="false">IF(ISBLANK(E58),"",(0.999842594+(0.00006793952*E58)-(0.00000909529*E58^2)+(0.0000001001685*E58^3)-(0.000000001120083*E58^4)+(0.000000000006536332*E58^5)))</f>
        <v/>
      </c>
      <c r="P58" s="165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66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7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7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68"/>
      <c r="U58" s="168"/>
      <c r="V58" s="168"/>
      <c r="W58" s="168"/>
      <c r="X58" s="168"/>
      <c r="Y58" s="168"/>
      <c r="Z58" s="168"/>
      <c r="AA58" s="168"/>
      <c r="AB58" s="168"/>
      <c r="AC58" s="168"/>
      <c r="AD58" s="168"/>
      <c r="AE58" s="168"/>
      <c r="AF58" s="168"/>
      <c r="AG58" s="168"/>
      <c r="AH58" s="168"/>
      <c r="AI58" s="168"/>
      <c r="AJ58" s="168"/>
      <c r="AK58" s="168"/>
      <c r="AL58" s="168"/>
      <c r="AM58" s="168"/>
      <c r="AN58" s="168"/>
      <c r="AO58" s="168"/>
      <c r="AP58" s="168"/>
      <c r="AQ58" s="168"/>
      <c r="AR58" s="168"/>
      <c r="AS58" s="168"/>
      <c r="AT58" s="168"/>
      <c r="AU58" s="168"/>
      <c r="AV58" s="168"/>
      <c r="AW58" s="168"/>
      <c r="AX58" s="168"/>
      <c r="AY58" s="168"/>
      <c r="AZ58" s="168"/>
      <c r="BA58" s="168"/>
      <c r="BB58" s="169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S1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8178137651822"/>
    <col collapsed="false" hidden="false" max="32" min="32" style="0" width="9.10526315789474"/>
    <col collapsed="false" hidden="false" max="33" min="33" style="0" width="26.5668016194332"/>
    <col collapsed="false" hidden="false" max="34" min="34" style="0" width="12.8542510121458"/>
    <col collapsed="false" hidden="false" max="35" min="35" style="0" width="11.1417004048583"/>
    <col collapsed="false" hidden="false" max="36" min="36" style="0" width="14.5668016194332"/>
    <col collapsed="false" hidden="false" max="37" min="37" style="0" width="12.2105263157895"/>
    <col collapsed="false" hidden="false" max="38" min="38" style="0" width="26.995951417004"/>
    <col collapsed="false" hidden="false" max="39" min="39" style="0" width="14.6761133603239"/>
    <col collapsed="false" hidden="false" max="40" min="40" style="0" width="11.3562753036437"/>
    <col collapsed="false" hidden="false" max="41" min="41" style="0" width="12.5344129554656"/>
    <col collapsed="false" hidden="false" max="42" min="42" style="0" width="10.7125506072875"/>
    <col collapsed="false" hidden="false" max="43" min="43" style="0" width="6.31983805668016"/>
    <col collapsed="false" hidden="false" max="44" min="44" style="0" width="19.7085020242915"/>
    <col collapsed="false" hidden="false" max="45" min="45" style="0" width="13.0688259109312"/>
    <col collapsed="false" hidden="false" max="46" min="46" style="0" width="17.7813765182186"/>
    <col collapsed="false" hidden="false" max="47" min="47" style="0" width="14.6761133603239"/>
    <col collapsed="false" hidden="false" max="48" min="48" style="0" width="13.6032388663968"/>
    <col collapsed="false" hidden="false" max="49" min="49" style="0" width="13.7125506072874"/>
    <col collapsed="false" hidden="false" max="50" min="50" style="0" width="19.9230769230769"/>
    <col collapsed="false" hidden="false" max="51" min="51" style="0" width="13.2834008097166"/>
    <col collapsed="false" hidden="false" max="52" min="52" style="0" width="17.6761133603239"/>
    <col collapsed="false" hidden="false" max="53" min="53" style="0" width="13.3886639676113"/>
    <col collapsed="false" hidden="false" max="54" min="54" style="0" width="12.6396761133603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38524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0</v>
      </c>
      <c r="J9" s="29" t="n">
        <v>0.01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0°0,01</v>
      </c>
      <c r="P9" s="29" t="s">
        <v>13</v>
      </c>
      <c r="Q9" s="33" t="n">
        <f aca="false">IF(ISBLANK(I9),"",IF(ISBLANK(J9),"",IF(J9&gt;60,"ERREUR !!",O11*(I9+(J9/60)))))</f>
        <v>0.000166666666666667</v>
      </c>
      <c r="R9" s="33"/>
    </row>
    <row r="10" customFormat="false" ht="15" hidden="false" customHeight="true" outlineLevel="0" collapsed="false">
      <c r="C10" s="21"/>
      <c r="D10" s="18"/>
      <c r="G10" s="27" t="s">
        <v>16</v>
      </c>
      <c r="H10" s="27"/>
      <c r="I10" s="28" t="n">
        <v>12</v>
      </c>
      <c r="J10" s="29" t="n">
        <v>59.99</v>
      </c>
      <c r="K10" s="30" t="s">
        <v>12</v>
      </c>
      <c r="L10" s="31" t="str">
        <f aca="false">IF(P10=N9,"+","-")</f>
        <v>-</v>
      </c>
      <c r="M10" s="30" t="s">
        <v>15</v>
      </c>
      <c r="N10" s="30" t="s">
        <v>17</v>
      </c>
      <c r="O10" s="34" t="str">
        <f aca="false">IF(ISBLANK(I10),"",IF(ISBLANK(J10),"",IF(P10=N10,L10&amp;N12,N12)))</f>
        <v>-12°59,99</v>
      </c>
      <c r="P10" s="29" t="s">
        <v>17</v>
      </c>
      <c r="Q10" s="33" t="n">
        <f aca="false">IF(ISBLANK(I10),"",IF(ISBLANK(J10),"",IF(J10&gt;60,"ERREUR !!",O12*(I10+(J10/60)))))</f>
        <v>-12.9998333333333</v>
      </c>
      <c r="R10" s="33"/>
      <c r="S10" s="35"/>
      <c r="T10" s="35"/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170" t="n">
        <v>38523</v>
      </c>
      <c r="K11" s="38"/>
      <c r="L11" s="38"/>
      <c r="M11" s="38"/>
      <c r="N11" s="39" t="str">
        <f aca="false">I9&amp;"°"&amp;J9</f>
        <v>0°0,01</v>
      </c>
      <c r="O11" s="40" t="n">
        <f aca="false">IF(P9=M10,-1,1)</f>
        <v>1</v>
      </c>
      <c r="P11" s="41" t="str">
        <f aca="false">TEXT(J11,"aaaa-mm-jj")&amp;"T"&amp;TEXT(J12,"hh:mm:ss")&amp;"z"</f>
        <v>2009-06-21T23:15:00z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0.96875</v>
      </c>
      <c r="K12" s="45"/>
      <c r="L12" s="45"/>
      <c r="M12" s="45"/>
      <c r="N12" s="46" t="str">
        <f aca="false">I10&amp;"°"&amp;J10</f>
        <v>12°59,99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e">
        <f aca="false">$P$24*($P$18/#REF!)</f>
        <v>#REF!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e">
        <f aca="false">5+#REF!</f>
        <v>#REF!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e">
        <f aca="false">P20*(1+0.00001*(R14-20))</f>
        <v>#REF!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e">
        <f aca="false">MAX(#REF!)</f>
        <v>#VALUE!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e">
        <f aca="false">2+(#REF!+#REF!)</f>
        <v>#REF!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52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53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IF(ISBLANK(VLOOKUP(D35,#REF!,3)),0,1)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n">
        <v>34.9651</v>
      </c>
      <c r="H35" s="118" t="n">
        <v>2000</v>
      </c>
      <c r="I35" s="119" t="n">
        <v>2035</v>
      </c>
      <c r="J35" s="120"/>
      <c r="K35" s="121"/>
      <c r="L35" s="121"/>
      <c r="M35" s="121"/>
      <c r="N35" s="122"/>
      <c r="O35" s="121"/>
      <c r="P35" s="171" t="n">
        <v>5.76</v>
      </c>
      <c r="Q35" s="120"/>
      <c r="R35" s="120"/>
      <c r="S35" s="172" t="n">
        <v>250.3</v>
      </c>
      <c r="T35" s="32" t="n">
        <v>0.02</v>
      </c>
      <c r="U35" s="32" t="n">
        <v>0.01</v>
      </c>
      <c r="V35" s="120"/>
      <c r="W35" s="120"/>
      <c r="X35" s="125" t="n">
        <v>19.4</v>
      </c>
      <c r="Y35" s="125" t="n">
        <v>18.9</v>
      </c>
      <c r="Z35" s="32" t="n">
        <v>1.09</v>
      </c>
      <c r="AA35" s="32" t="n">
        <v>1.06</v>
      </c>
      <c r="AB35" s="125" t="n">
        <v>20.6</v>
      </c>
      <c r="AC35" s="125" t="n">
        <v>20.1</v>
      </c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7"/>
    </row>
    <row r="36" customFormat="false" ht="15.6" hidden="false" customHeight="false" outlineLevel="0" collapsed="false">
      <c r="A36" s="111" t="n">
        <f aca="false">IF(ISBLANK(VLOOKUP(D36,#REF!,3)),0,1)</f>
        <v>1</v>
      </c>
      <c r="B36" s="112" t="n">
        <f aca="false">IF(ISBLANK(D36),0,IF(ISBLANK(E36),0,IF(ISBLANK(F36),0,1)))</f>
        <v>0</v>
      </c>
      <c r="C36" s="128" t="n">
        <v>2</v>
      </c>
      <c r="D36" s="129"/>
      <c r="E36" s="129"/>
      <c r="F36" s="130"/>
      <c r="G36" s="117" t="n">
        <v>34.671</v>
      </c>
      <c r="H36" s="131" t="n">
        <v>1000</v>
      </c>
      <c r="I36" s="119" t="n">
        <v>997</v>
      </c>
      <c r="J36" s="132"/>
      <c r="K36" s="133"/>
      <c r="L36" s="133"/>
      <c r="M36" s="133"/>
      <c r="N36" s="134"/>
      <c r="O36" s="133"/>
      <c r="P36" s="171" t="n">
        <v>3.763</v>
      </c>
      <c r="Q36" s="132"/>
      <c r="R36" s="132"/>
      <c r="S36" s="172" t="n">
        <v>163.6</v>
      </c>
      <c r="T36" s="32" t="n">
        <v>0.01</v>
      </c>
      <c r="U36" s="32" t="n">
        <v>0.01</v>
      </c>
      <c r="V36" s="132"/>
      <c r="W36" s="132"/>
      <c r="X36" s="125" t="n">
        <v>31.3</v>
      </c>
      <c r="Y36" s="125" t="n">
        <v>30.6</v>
      </c>
      <c r="Z36" s="32" t="n">
        <v>1.69</v>
      </c>
      <c r="AA36" s="32" t="n">
        <v>1.65</v>
      </c>
      <c r="AB36" s="125" t="n">
        <v>29.2</v>
      </c>
      <c r="AC36" s="125" t="n">
        <v>28.5</v>
      </c>
      <c r="AD36" s="124"/>
      <c r="AE36" s="124"/>
      <c r="AF36" s="124"/>
      <c r="AG36" s="124"/>
      <c r="AH36" s="124"/>
      <c r="AI36" s="124"/>
      <c r="AJ36" s="124"/>
      <c r="AK36" s="124"/>
      <c r="AL36" s="124"/>
      <c r="AM36" s="124"/>
      <c r="AN36" s="124"/>
      <c r="AO36" s="124"/>
      <c r="AP36" s="124"/>
      <c r="AQ36" s="124"/>
      <c r="AR36" s="124"/>
      <c r="AS36" s="124"/>
      <c r="AT36" s="124"/>
      <c r="AU36" s="124"/>
      <c r="AV36" s="124"/>
      <c r="AW36" s="124"/>
      <c r="AX36" s="124"/>
      <c r="AY36" s="124"/>
      <c r="AZ36" s="124"/>
      <c r="BA36" s="124"/>
      <c r="BB36" s="136"/>
    </row>
    <row r="37" customFormat="false" ht="15.6" hidden="false" customHeight="false" outlineLevel="0" collapsed="false">
      <c r="A37" s="111" t="n">
        <f aca="false">IF(ISBLANK(VLOOKUP(D37,#REF!,3)),0,1)</f>
        <v>1</v>
      </c>
      <c r="B37" s="112" t="n">
        <f aca="false">IF(ISBLANK(D37),0,IF(ISBLANK(E37),0,IF(ISBLANK(F37),0,1)))</f>
        <v>0</v>
      </c>
      <c r="C37" s="128" t="n">
        <v>3</v>
      </c>
      <c r="D37" s="129"/>
      <c r="E37" s="129"/>
      <c r="F37" s="137"/>
      <c r="G37" s="117" t="n">
        <v>34.5161</v>
      </c>
      <c r="H37" s="131" t="n">
        <v>800</v>
      </c>
      <c r="I37" s="119" t="n">
        <v>801</v>
      </c>
      <c r="J37" s="132"/>
      <c r="K37" s="133"/>
      <c r="L37" s="133"/>
      <c r="M37" s="133"/>
      <c r="N37" s="134"/>
      <c r="O37" s="133"/>
      <c r="P37" s="171" t="n">
        <v>3.391</v>
      </c>
      <c r="Q37" s="132"/>
      <c r="R37" s="132"/>
      <c r="S37" s="172" t="n">
        <v>147.4</v>
      </c>
      <c r="T37" s="32" t="n">
        <v>0.01</v>
      </c>
      <c r="U37" s="32" t="n">
        <v>0.01</v>
      </c>
      <c r="V37" s="132"/>
      <c r="W37" s="132"/>
      <c r="X37" s="125" t="n">
        <v>34</v>
      </c>
      <c r="Y37" s="125" t="n">
        <v>33.2</v>
      </c>
      <c r="Z37" s="32" t="n">
        <v>1.76</v>
      </c>
      <c r="AA37" s="32" t="n">
        <v>1.72</v>
      </c>
      <c r="AB37" s="125" t="n">
        <v>29.8</v>
      </c>
      <c r="AC37" s="125" t="n">
        <v>29.1</v>
      </c>
      <c r="AD37" s="124"/>
      <c r="AE37" s="124"/>
      <c r="AF37" s="124"/>
      <c r="AG37" s="124"/>
      <c r="AH37" s="124"/>
      <c r="AI37" s="124"/>
      <c r="AJ37" s="124"/>
      <c r="AK37" s="124"/>
      <c r="AL37" s="124"/>
      <c r="AM37" s="124"/>
      <c r="AN37" s="124"/>
      <c r="AO37" s="124"/>
      <c r="AP37" s="124"/>
      <c r="AQ37" s="124"/>
      <c r="AR37" s="124"/>
      <c r="AS37" s="124"/>
      <c r="AT37" s="124"/>
      <c r="AU37" s="124"/>
      <c r="AV37" s="124"/>
      <c r="AW37" s="124"/>
      <c r="AX37" s="124"/>
      <c r="AY37" s="124"/>
      <c r="AZ37" s="124"/>
      <c r="BA37" s="124"/>
      <c r="BB37" s="136"/>
    </row>
    <row r="38" customFormat="false" ht="16.2" hidden="false" customHeight="false" outlineLevel="0" collapsed="false">
      <c r="A38" s="111" t="n">
        <f aca="false">IF(ISBLANK(VLOOKUP(D38,#REF!,3)),0,1)</f>
        <v>1</v>
      </c>
      <c r="B38" s="112" t="n">
        <f aca="false">IF(ISBLANK(D38),0,IF(ISBLANK(E38),0,IF(ISBLANK(F38),0,1)))</f>
        <v>0</v>
      </c>
      <c r="C38" s="128" t="n">
        <v>4</v>
      </c>
      <c r="D38" s="138"/>
      <c r="E38" s="138"/>
      <c r="F38" s="139"/>
      <c r="G38" s="117" t="n">
        <v>34.5238</v>
      </c>
      <c r="H38" s="131" t="n">
        <v>600</v>
      </c>
      <c r="I38" s="119" t="n">
        <v>600</v>
      </c>
      <c r="J38" s="132"/>
      <c r="K38" s="133"/>
      <c r="L38" s="133"/>
      <c r="M38" s="133"/>
      <c r="N38" s="134"/>
      <c r="O38" s="133"/>
      <c r="P38" s="171" t="n">
        <v>3.23</v>
      </c>
      <c r="Q38" s="132"/>
      <c r="R38" s="132"/>
      <c r="S38" s="172" t="n">
        <v>140.5</v>
      </c>
      <c r="T38" s="32" t="n">
        <v>0.02</v>
      </c>
      <c r="U38" s="32" t="n">
        <v>0.01</v>
      </c>
      <c r="V38" s="132"/>
      <c r="W38" s="132"/>
      <c r="X38" s="125" t="n">
        <v>33.5</v>
      </c>
      <c r="Y38" s="125" t="n">
        <v>32.7</v>
      </c>
      <c r="Z38" s="32" t="n">
        <v>1.76</v>
      </c>
      <c r="AA38" s="32" t="n">
        <v>1.72</v>
      </c>
      <c r="AB38" s="125" t="n">
        <v>24.5</v>
      </c>
      <c r="AC38" s="125" t="n">
        <v>24</v>
      </c>
      <c r="AD38" s="124"/>
      <c r="AE38" s="124"/>
      <c r="AF38" s="124"/>
      <c r="AG38" s="124"/>
      <c r="AH38" s="124"/>
      <c r="AI38" s="124"/>
      <c r="AJ38" s="124"/>
      <c r="AK38" s="124"/>
      <c r="AL38" s="124"/>
      <c r="AM38" s="124"/>
      <c r="AN38" s="124"/>
      <c r="AO38" s="124"/>
      <c r="AP38" s="124"/>
      <c r="AQ38" s="124"/>
      <c r="AR38" s="124"/>
      <c r="AS38" s="124"/>
      <c r="AT38" s="124"/>
      <c r="AU38" s="124"/>
      <c r="AV38" s="124"/>
      <c r="AW38" s="124"/>
      <c r="AX38" s="124"/>
      <c r="AY38" s="124"/>
      <c r="AZ38" s="124"/>
      <c r="BA38" s="124"/>
      <c r="BB38" s="136"/>
    </row>
    <row r="39" customFormat="false" ht="16.2" hidden="false" customHeight="false" outlineLevel="0" collapsed="false">
      <c r="A39" s="111" t="n">
        <f aca="false">IF(ISBLANK(VLOOKUP(D39,#REF!,3)),0,1)</f>
        <v>1</v>
      </c>
      <c r="B39" s="112" t="n">
        <f aca="false">IF(ISBLANK(D39),0,IF(ISBLANK(E39),0,IF(ISBLANK(F39),0,1)))</f>
        <v>0</v>
      </c>
      <c r="C39" s="128" t="n">
        <v>5</v>
      </c>
      <c r="D39" s="129"/>
      <c r="E39" s="129"/>
      <c r="F39" s="137"/>
      <c r="G39" s="117" t="n">
        <v>34.756</v>
      </c>
      <c r="H39" s="131" t="n">
        <v>400</v>
      </c>
      <c r="I39" s="119" t="n">
        <v>397</v>
      </c>
      <c r="J39" s="132"/>
      <c r="K39" s="133"/>
      <c r="L39" s="133"/>
      <c r="M39" s="133"/>
      <c r="N39" s="134"/>
      <c r="O39" s="133"/>
      <c r="P39" s="171" t="n">
        <v>2.445</v>
      </c>
      <c r="Q39" s="132"/>
      <c r="R39" s="132"/>
      <c r="S39" s="172" t="n">
        <v>106.4</v>
      </c>
      <c r="T39" s="32" t="n">
        <v>0.02</v>
      </c>
      <c r="U39" s="32" t="n">
        <v>0.02</v>
      </c>
      <c r="V39" s="132"/>
      <c r="W39" s="132"/>
      <c r="X39" s="125" t="n">
        <v>31.1</v>
      </c>
      <c r="Y39" s="125" t="n">
        <v>30.4</v>
      </c>
      <c r="Z39" s="32" t="n">
        <v>1.55</v>
      </c>
      <c r="AA39" s="32" t="n">
        <v>1.52</v>
      </c>
      <c r="AB39" s="125" t="n">
        <v>16.9</v>
      </c>
      <c r="AC39" s="125" t="n">
        <v>16.5</v>
      </c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7"/>
    </row>
    <row r="40" customFormat="false" ht="16.2" hidden="false" customHeight="false" outlineLevel="0" collapsed="false">
      <c r="A40" s="111" t="n">
        <f aca="false">IF(ISBLANK(VLOOKUP(D40,#REF!,3)),0,1)</f>
        <v>1</v>
      </c>
      <c r="B40" s="112" t="n">
        <f aca="false">IF(ISBLANK(D40),0,IF(ISBLANK(E40),0,IF(ISBLANK(F40),0,1)))</f>
        <v>0</v>
      </c>
      <c r="C40" s="128" t="n">
        <v>6</v>
      </c>
      <c r="D40" s="129"/>
      <c r="E40" s="129"/>
      <c r="F40" s="137"/>
      <c r="G40" s="117" t="n">
        <v>35.173</v>
      </c>
      <c r="H40" s="131" t="n">
        <v>300</v>
      </c>
      <c r="I40" s="119" t="n">
        <v>290</v>
      </c>
      <c r="J40" s="132"/>
      <c r="K40" s="133"/>
      <c r="L40" s="133"/>
      <c r="M40" s="133"/>
      <c r="N40" s="134"/>
      <c r="O40" s="133"/>
      <c r="P40" s="171" t="n">
        <v>2.01</v>
      </c>
      <c r="Q40" s="132"/>
      <c r="R40" s="132"/>
      <c r="S40" s="172" t="n">
        <v>87.4</v>
      </c>
      <c r="T40" s="32" t="n">
        <v>0.01</v>
      </c>
      <c r="U40" s="32" t="n">
        <v>0.01</v>
      </c>
      <c r="V40" s="132"/>
      <c r="W40" s="132"/>
      <c r="X40" s="125" t="n">
        <v>25.9</v>
      </c>
      <c r="Y40" s="125" t="n">
        <v>25.3</v>
      </c>
      <c r="Z40" s="32" t="n">
        <v>1.24</v>
      </c>
      <c r="AA40" s="32" t="n">
        <v>1.22</v>
      </c>
      <c r="AB40" s="125" t="n">
        <v>10.7</v>
      </c>
      <c r="AC40" s="125" t="n">
        <v>10.4</v>
      </c>
      <c r="AD40" s="126"/>
      <c r="AE40" s="126"/>
      <c r="AF40" s="126"/>
      <c r="AG40" s="126"/>
      <c r="AH40" s="126"/>
      <c r="AI40" s="126"/>
      <c r="AJ40" s="126"/>
      <c r="AK40" s="126"/>
      <c r="AL40" s="126"/>
      <c r="AM40" s="126"/>
      <c r="AN40" s="126"/>
      <c r="AO40" s="126"/>
      <c r="AP40" s="126"/>
      <c r="AQ40" s="126"/>
      <c r="AR40" s="126"/>
      <c r="AS40" s="126"/>
      <c r="AT40" s="126"/>
      <c r="AU40" s="126"/>
      <c r="AV40" s="126"/>
      <c r="AW40" s="126"/>
      <c r="AX40" s="126"/>
      <c r="AY40" s="126"/>
      <c r="AZ40" s="126"/>
      <c r="BA40" s="126"/>
      <c r="BB40" s="127"/>
    </row>
    <row r="41" customFormat="false" ht="16.2" hidden="false" customHeight="false" outlineLevel="0" collapsed="false">
      <c r="A41" s="111" t="n">
        <f aca="false">IF(ISBLANK(VLOOKUP(D41,#REF!,3)),0,1)</f>
        <v>1</v>
      </c>
      <c r="B41" s="112" t="n">
        <f aca="false">IF(ISBLANK(D41),0,IF(ISBLANK(E41),0,IF(ISBLANK(F41),0,1)))</f>
        <v>0</v>
      </c>
      <c r="C41" s="128" t="n">
        <v>7</v>
      </c>
      <c r="D41" s="129"/>
      <c r="E41" s="129"/>
      <c r="F41" s="137"/>
      <c r="G41" s="117" t="n">
        <v>35.7625</v>
      </c>
      <c r="H41" s="131" t="n">
        <v>200</v>
      </c>
      <c r="I41" s="119" t="n">
        <v>200</v>
      </c>
      <c r="J41" s="132"/>
      <c r="K41" s="133"/>
      <c r="L41" s="133"/>
      <c r="M41" s="133"/>
      <c r="N41" s="134"/>
      <c r="O41" s="133"/>
      <c r="P41" s="171" t="n">
        <v>3.753</v>
      </c>
      <c r="Q41" s="132"/>
      <c r="R41" s="132"/>
      <c r="S41" s="172" t="n">
        <v>163.4</v>
      </c>
      <c r="T41" s="32" t="n">
        <v>0.08</v>
      </c>
      <c r="U41" s="32" t="n">
        <v>0.07</v>
      </c>
      <c r="V41" s="132"/>
      <c r="W41" s="132"/>
      <c r="X41" s="125" t="n">
        <v>11.4</v>
      </c>
      <c r="Y41" s="125" t="n">
        <v>11.1</v>
      </c>
      <c r="Z41" s="32" t="n">
        <v>0.61</v>
      </c>
      <c r="AA41" s="32" t="n">
        <v>0.6</v>
      </c>
      <c r="AB41" s="125" t="n">
        <v>4.8</v>
      </c>
      <c r="AC41" s="125" t="n">
        <v>4.7</v>
      </c>
      <c r="AD41" s="126"/>
      <c r="AE41" s="126"/>
      <c r="AF41" s="126"/>
      <c r="AG41" s="126"/>
      <c r="AH41" s="126"/>
      <c r="AI41" s="126"/>
      <c r="AJ41" s="126"/>
      <c r="AK41" s="126"/>
      <c r="AL41" s="126"/>
      <c r="AM41" s="126"/>
      <c r="AN41" s="126"/>
      <c r="AO41" s="126"/>
      <c r="AP41" s="126"/>
      <c r="AQ41" s="126"/>
      <c r="AR41" s="126"/>
      <c r="AS41" s="126"/>
      <c r="AT41" s="126"/>
      <c r="AU41" s="126"/>
      <c r="AV41" s="126"/>
      <c r="AW41" s="126"/>
      <c r="AX41" s="126"/>
      <c r="AY41" s="126"/>
      <c r="AZ41" s="126"/>
      <c r="BA41" s="126"/>
      <c r="BB41" s="127"/>
    </row>
    <row r="42" customFormat="false" ht="16.2" hidden="false" customHeight="false" outlineLevel="0" collapsed="false">
      <c r="A42" s="111" t="n">
        <f aca="false">IF(ISBLANK(VLOOKUP(D42,#REF!,3)),0,1)</f>
        <v>1</v>
      </c>
      <c r="B42" s="112" t="n">
        <f aca="false">IF(ISBLANK(D42),0,IF(ISBLANK(E42),0,IF(ISBLANK(F42),0,1)))</f>
        <v>0</v>
      </c>
      <c r="C42" s="128" t="n">
        <v>8</v>
      </c>
      <c r="D42" s="129"/>
      <c r="E42" s="129"/>
      <c r="F42" s="137"/>
      <c r="G42" s="117" t="n">
        <v>36.0323</v>
      </c>
      <c r="H42" s="131" t="n">
        <v>100</v>
      </c>
      <c r="I42" s="119" t="n">
        <v>50</v>
      </c>
      <c r="J42" s="132"/>
      <c r="K42" s="133"/>
      <c r="L42" s="133"/>
      <c r="M42" s="133"/>
      <c r="N42" s="134"/>
      <c r="O42" s="133"/>
      <c r="P42" s="171" t="n">
        <v>4.113</v>
      </c>
      <c r="Q42" s="132"/>
      <c r="R42" s="132"/>
      <c r="S42" s="172" t="n">
        <v>179.1</v>
      </c>
      <c r="T42" s="32" t="n">
        <v>0.34</v>
      </c>
      <c r="U42" s="32" t="n">
        <v>0.33</v>
      </c>
      <c r="V42" s="132"/>
      <c r="W42" s="132"/>
      <c r="X42" s="125" t="n">
        <v>6</v>
      </c>
      <c r="Y42" s="125" t="n">
        <v>5.9</v>
      </c>
      <c r="Z42" s="32" t="n">
        <v>0.33</v>
      </c>
      <c r="AA42" s="32" t="n">
        <v>0.33</v>
      </c>
      <c r="AB42" s="125" t="n">
        <v>3.1</v>
      </c>
      <c r="AC42" s="125" t="n">
        <v>3</v>
      </c>
      <c r="AD42" s="126"/>
      <c r="AE42" s="126"/>
      <c r="AF42" s="126"/>
      <c r="AG42" s="126"/>
      <c r="AH42" s="126"/>
      <c r="AI42" s="126"/>
      <c r="AJ42" s="126"/>
      <c r="AK42" s="126"/>
      <c r="AL42" s="126"/>
      <c r="AM42" s="126"/>
      <c r="AN42" s="126"/>
      <c r="AO42" s="126"/>
      <c r="AP42" s="126"/>
      <c r="AQ42" s="126"/>
      <c r="AR42" s="126"/>
      <c r="AS42" s="126"/>
      <c r="AT42" s="126"/>
      <c r="AU42" s="126"/>
      <c r="AV42" s="126"/>
      <c r="AW42" s="126"/>
      <c r="AX42" s="126"/>
      <c r="AY42" s="126"/>
      <c r="AZ42" s="126"/>
      <c r="BA42" s="126"/>
      <c r="BB42" s="127"/>
    </row>
    <row r="43" customFormat="false" ht="16.2" hidden="false" customHeight="false" outlineLevel="0" collapsed="false">
      <c r="A43" s="111" t="n">
        <f aca="false">IF(ISBLANK(VLOOKUP(D43,#REF!,3)),0,1)</f>
        <v>1</v>
      </c>
      <c r="B43" s="112" t="n">
        <f aca="false">IF(ISBLANK(D43),0,IF(ISBLANK(E43),0,IF(ISBLANK(F43),0,1)))</f>
        <v>0</v>
      </c>
      <c r="C43" s="128" t="n">
        <v>9</v>
      </c>
      <c r="D43" s="129"/>
      <c r="E43" s="129"/>
      <c r="F43" s="137"/>
      <c r="G43" s="117" t="n">
        <v>35.9519</v>
      </c>
      <c r="H43" s="131" t="n">
        <v>50</v>
      </c>
      <c r="I43" s="119" t="n">
        <v>40</v>
      </c>
      <c r="J43" s="132"/>
      <c r="K43" s="133"/>
      <c r="L43" s="133"/>
      <c r="M43" s="133"/>
      <c r="N43" s="134"/>
      <c r="O43" s="133"/>
      <c r="P43" s="171" t="n">
        <v>4.391</v>
      </c>
      <c r="Q43" s="132"/>
      <c r="R43" s="132"/>
      <c r="S43" s="172" t="n">
        <v>191.3</v>
      </c>
      <c r="T43" s="32" t="n">
        <v>0.17</v>
      </c>
      <c r="U43" s="32" t="n">
        <v>0.17</v>
      </c>
      <c r="V43" s="132"/>
      <c r="W43" s="132"/>
      <c r="X43" s="125" t="n">
        <v>3.6</v>
      </c>
      <c r="Y43" s="125" t="n">
        <v>3.5</v>
      </c>
      <c r="Z43" s="32" t="n">
        <v>0.34</v>
      </c>
      <c r="AA43" s="32" t="n">
        <v>0.33</v>
      </c>
      <c r="AB43" s="125" t="n">
        <v>2.7</v>
      </c>
      <c r="AC43" s="125" t="n">
        <v>2.6</v>
      </c>
      <c r="AD43" s="126"/>
      <c r="AE43" s="126"/>
      <c r="AF43" s="126"/>
      <c r="AG43" s="126"/>
      <c r="AH43" s="126"/>
      <c r="AI43" s="126"/>
      <c r="AJ43" s="126"/>
      <c r="AK43" s="126"/>
      <c r="AL43" s="126"/>
      <c r="AM43" s="126"/>
      <c r="AN43" s="126"/>
      <c r="AO43" s="126"/>
      <c r="AP43" s="126"/>
      <c r="AQ43" s="126"/>
      <c r="AR43" s="126"/>
      <c r="AS43" s="126"/>
      <c r="AT43" s="126"/>
      <c r="AU43" s="126"/>
      <c r="AV43" s="126"/>
      <c r="AW43" s="126"/>
      <c r="AX43" s="126"/>
      <c r="AY43" s="126"/>
      <c r="AZ43" s="126"/>
      <c r="BA43" s="126"/>
      <c r="BB43" s="127"/>
    </row>
    <row r="44" customFormat="false" ht="16.2" hidden="false" customHeight="false" outlineLevel="0" collapsed="false">
      <c r="A44" s="111" t="n">
        <f aca="false">IF(ISBLANK(VLOOKUP(D44,#REF!,3)),0,1)</f>
        <v>1</v>
      </c>
      <c r="B44" s="112" t="n">
        <f aca="false">IF(ISBLANK(D44),0,IF(ISBLANK(E44),0,IF(ISBLANK(F44),0,1)))</f>
        <v>0</v>
      </c>
      <c r="C44" s="128" t="n">
        <v>10</v>
      </c>
      <c r="D44" s="129"/>
      <c r="E44" s="129"/>
      <c r="F44" s="137"/>
      <c r="G44" s="117" t="n">
        <v>35.8091</v>
      </c>
      <c r="H44" s="131" t="n">
        <v>20</v>
      </c>
      <c r="I44" s="119" t="n">
        <v>20</v>
      </c>
      <c r="J44" s="132"/>
      <c r="K44" s="133"/>
      <c r="L44" s="133"/>
      <c r="M44" s="133"/>
      <c r="N44" s="134"/>
      <c r="O44" s="133"/>
      <c r="P44" s="171" t="n">
        <v>4.878</v>
      </c>
      <c r="Q44" s="132"/>
      <c r="R44" s="132"/>
      <c r="S44" s="172" t="n">
        <v>212.7</v>
      </c>
      <c r="T44" s="32" t="n">
        <v>0.03</v>
      </c>
      <c r="U44" s="32" t="n">
        <v>0.03</v>
      </c>
      <c r="V44" s="132"/>
      <c r="W44" s="132"/>
      <c r="X44" s="125" t="n">
        <v>0.5</v>
      </c>
      <c r="Y44" s="125" t="n">
        <v>0.5</v>
      </c>
      <c r="Z44" s="32" t="n">
        <v>0.11</v>
      </c>
      <c r="AA44" s="32" t="n">
        <v>0.11</v>
      </c>
      <c r="AB44" s="125" t="n">
        <v>1.8</v>
      </c>
      <c r="AC44" s="125" t="n">
        <v>1.7</v>
      </c>
      <c r="AD44" s="126"/>
      <c r="AE44" s="126"/>
      <c r="AF44" s="126"/>
      <c r="AG44" s="126"/>
      <c r="AH44" s="126"/>
      <c r="AI44" s="126"/>
      <c r="AJ44" s="126"/>
      <c r="AK44" s="126"/>
      <c r="AL44" s="126"/>
      <c r="AM44" s="126"/>
      <c r="AN44" s="126"/>
      <c r="AO44" s="126"/>
      <c r="AP44" s="126"/>
      <c r="AQ44" s="126"/>
      <c r="AR44" s="126"/>
      <c r="AS44" s="126"/>
      <c r="AT44" s="126"/>
      <c r="AU44" s="126"/>
      <c r="AV44" s="126"/>
      <c r="AW44" s="126"/>
      <c r="AX44" s="126"/>
      <c r="AY44" s="126"/>
      <c r="AZ44" s="126"/>
      <c r="BA44" s="126"/>
      <c r="BB44" s="127"/>
    </row>
    <row r="45" customFormat="false" ht="15.6" hidden="false" customHeight="false" outlineLevel="0" collapsed="false">
      <c r="A45" s="111" t="n">
        <f aca="false">IF(ISBLANK(VLOOKUP(D45,#REF!,3)),0,1)</f>
        <v>1</v>
      </c>
      <c r="B45" s="112" t="n">
        <f aca="false">IF(ISBLANK(D45),0,IF(ISBLANK(E45),0,IF(ISBLANK(F45),0,1)))</f>
        <v>0</v>
      </c>
      <c r="C45" s="128" t="n">
        <v>11</v>
      </c>
      <c r="D45" s="129"/>
      <c r="E45" s="129"/>
      <c r="F45" s="137"/>
      <c r="G45" s="117" t="n">
        <v>35.8044</v>
      </c>
      <c r="H45" s="131" t="n">
        <v>0</v>
      </c>
      <c r="I45" s="119" t="n">
        <v>2</v>
      </c>
      <c r="J45" s="132"/>
      <c r="K45" s="133"/>
      <c r="L45" s="133"/>
      <c r="M45" s="133"/>
      <c r="N45" s="134"/>
      <c r="O45" s="133"/>
      <c r="P45" s="171" t="n">
        <v>4.914</v>
      </c>
      <c r="Q45" s="132"/>
      <c r="R45" s="132"/>
      <c r="S45" s="172" t="n">
        <v>214.3</v>
      </c>
      <c r="T45" s="32" t="n">
        <v>0.02</v>
      </c>
      <c r="U45" s="32" t="n">
        <v>0.01</v>
      </c>
      <c r="V45" s="132"/>
      <c r="W45" s="132"/>
      <c r="X45" s="125" t="n">
        <v>0.1</v>
      </c>
      <c r="Y45" s="125" t="n">
        <v>0.1</v>
      </c>
      <c r="Z45" s="32" t="n">
        <v>0.1</v>
      </c>
      <c r="AA45" s="32" t="n">
        <v>0.09</v>
      </c>
      <c r="AB45" s="125" t="n">
        <v>1.4</v>
      </c>
      <c r="AC45" s="125" t="n">
        <v>1.4</v>
      </c>
      <c r="AD45" s="126"/>
      <c r="AE45" s="126"/>
      <c r="AF45" s="126"/>
      <c r="AG45" s="126"/>
      <c r="AH45" s="126"/>
      <c r="AI45" s="126"/>
      <c r="AJ45" s="126"/>
      <c r="AK45" s="126"/>
      <c r="AL45" s="126"/>
      <c r="AM45" s="126"/>
      <c r="AN45" s="126"/>
      <c r="AO45" s="126"/>
      <c r="AP45" s="126"/>
      <c r="AQ45" s="126"/>
      <c r="AR45" s="126"/>
      <c r="AS45" s="126"/>
      <c r="AT45" s="126"/>
      <c r="AU45" s="126"/>
      <c r="AV45" s="126"/>
      <c r="AW45" s="126"/>
      <c r="AX45" s="126"/>
      <c r="AY45" s="126"/>
      <c r="AZ45" s="126"/>
      <c r="BA45" s="126"/>
      <c r="BB45" s="127"/>
    </row>
    <row r="46" customFormat="false" ht="15.6" hidden="false" customHeight="false" outlineLevel="0" collapsed="false">
      <c r="A46" s="111" t="n">
        <f aca="false">IF(ISBLANK(VLOOKUP(D46,#REF!,3)),0,1)</f>
        <v>1</v>
      </c>
      <c r="B46" s="112" t="n">
        <f aca="false">IF(ISBLANK(D46),0,IF(ISBLANK(E46),0,IF(ISBLANK(F46),0,1)))</f>
        <v>0</v>
      </c>
      <c r="C46" s="128" t="n">
        <v>12</v>
      </c>
      <c r="D46" s="142"/>
      <c r="E46" s="142"/>
      <c r="F46" s="143"/>
      <c r="G46" s="144"/>
      <c r="H46" s="142"/>
      <c r="I46" s="145"/>
      <c r="J46" s="132" t="str">
        <f aca="false">IF(ISBLANK(D46),"",IF(VLOOKUP(D46,#REF!,2)=0,"",IF(D46&gt;#REF!,"Mauvais numéro",IF(D46&lt;#REF!,"Mauvais numéro",(VLOOKUP(D46,#REF!,3))))))</f>
        <v/>
      </c>
      <c r="K46" s="146" t="str">
        <f aca="false">IF(ISBLANK(E46),"",(0.000824493-(0.0000040899*E46)+(0.000000076438*E46^2)-(0.00000000082467*E46^3)+(0.0000000000053875*E46^4)))</f>
        <v/>
      </c>
      <c r="L46" s="146" t="str">
        <f aca="false">IF(ISBLANK(E46),"",(-0.00000572466+(0.00000010227*E46)-(0.0000000016546*E46^2)))</f>
        <v/>
      </c>
      <c r="M46" s="146" t="str">
        <f aca="false">IF(ISBLANK(E46),"",IF(ISBLANK(G46),(O46+(K46*35)+(L46*35^1.5)+(0.00000048314*35^2)),(O46+(K46*G46)+(L46*G46^1.5)+(0.00000048314*G46^2))))</f>
        <v/>
      </c>
      <c r="N46" s="147" t="str">
        <f aca="false">IF(ISBLANK(D46),"",IF(ISBLANK(G46),J46*(1+0.00001*(35-20)),J46*(1+0.00001*(G46-20))))</f>
        <v/>
      </c>
      <c r="O46" s="146" t="str">
        <f aca="false">IF(ISBLANK(E46),"",(0.999842594+(0.00006793952*E46)-(0.00000909529*E46^2)+(0.0000001001685*E46^3)-(0.000000001120083*E46^4)+(0.000000000006536332*E46^5)))</f>
        <v/>
      </c>
      <c r="P46" s="148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49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0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0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24"/>
      <c r="U46" s="124"/>
      <c r="V46" s="124"/>
      <c r="W46" s="124"/>
      <c r="X46" s="124"/>
      <c r="Y46" s="124"/>
      <c r="Z46" s="124"/>
      <c r="AA46" s="124"/>
      <c r="AB46" s="124"/>
      <c r="AC46" s="124"/>
      <c r="AD46" s="124"/>
      <c r="AE46" s="124"/>
      <c r="AF46" s="124"/>
      <c r="AG46" s="124"/>
      <c r="AH46" s="124"/>
      <c r="AI46" s="124"/>
      <c r="AJ46" s="124"/>
      <c r="AK46" s="124"/>
      <c r="AL46" s="124"/>
      <c r="AM46" s="124"/>
      <c r="AN46" s="124"/>
      <c r="AO46" s="124"/>
      <c r="AP46" s="124"/>
      <c r="AQ46" s="124"/>
      <c r="AR46" s="124"/>
      <c r="AS46" s="124"/>
      <c r="AT46" s="124"/>
      <c r="AU46" s="124"/>
      <c r="AV46" s="124"/>
      <c r="AW46" s="124"/>
      <c r="AX46" s="124"/>
      <c r="AY46" s="124"/>
      <c r="AZ46" s="124"/>
      <c r="BA46" s="124"/>
      <c r="BB46" s="136"/>
    </row>
    <row r="47" customFormat="false" ht="15.6" hidden="false" customHeight="false" outlineLevel="0" collapsed="false">
      <c r="A47" s="111" t="n">
        <f aca="false">IF(ISBLANK(VLOOKUP(D47,#REF!,3)),0,1)</f>
        <v>1</v>
      </c>
      <c r="B47" s="112" t="n">
        <f aca="false">IF(ISBLANK(D47),0,IF(ISBLANK(E47),0,IF(ISBLANK(F47),0,1)))</f>
        <v>0</v>
      </c>
      <c r="C47" s="128" t="n">
        <v>13</v>
      </c>
      <c r="D47" s="151"/>
      <c r="E47" s="151"/>
      <c r="F47" s="152"/>
      <c r="G47" s="153"/>
      <c r="H47" s="151"/>
      <c r="I47" s="151"/>
      <c r="J47" s="132" t="str">
        <f aca="false">IF(ISBLANK(D47),"",IF(VLOOKUP(D47,#REF!,2)=0,"",IF(D47&gt;#REF!,"Mauvais numéro",IF(D47&lt;#REF!,"Mauvais numéro",(VLOOKUP(D47,#REF!,3))))))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54"/>
      <c r="Q47" s="149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5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4"/>
      <c r="T47" s="124"/>
      <c r="U47" s="124"/>
      <c r="V47" s="124"/>
      <c r="W47" s="124"/>
      <c r="X47" s="12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24"/>
      <c r="AJ47" s="124"/>
      <c r="AK47" s="124"/>
      <c r="AL47" s="124"/>
      <c r="AM47" s="124"/>
      <c r="AN47" s="124"/>
      <c r="AO47" s="124"/>
      <c r="AP47" s="124"/>
      <c r="AQ47" s="124"/>
      <c r="AR47" s="124"/>
      <c r="AS47" s="124"/>
      <c r="AT47" s="124"/>
      <c r="AU47" s="124"/>
      <c r="AV47" s="124"/>
      <c r="AW47" s="124"/>
      <c r="AX47" s="124"/>
      <c r="AY47" s="124"/>
      <c r="AZ47" s="124"/>
      <c r="BA47" s="124"/>
      <c r="BB47" s="136"/>
    </row>
    <row r="48" customFormat="false" ht="15.6" hidden="false" customHeight="false" outlineLevel="0" collapsed="false">
      <c r="A48" s="111" t="n">
        <f aca="false">IF(ISBLANK(VLOOKUP(D48,#REF!,3)),0,1)</f>
        <v>1</v>
      </c>
      <c r="B48" s="112" t="n">
        <f aca="false">IF(ISBLANK(D48),0,IF(ISBLANK(E48),0,IF(ISBLANK(F48),0,1)))</f>
        <v>0</v>
      </c>
      <c r="C48" s="128" t="n">
        <v>14</v>
      </c>
      <c r="D48" s="151"/>
      <c r="E48" s="151"/>
      <c r="F48" s="152"/>
      <c r="G48" s="153"/>
      <c r="H48" s="151"/>
      <c r="I48" s="151"/>
      <c r="J48" s="132" t="str">
        <f aca="false">IF(ISBLANK(D48),"",IF(VLOOKUP(D48,#REF!,2)=0,"",IF(D48&gt;#REF!,"Mauvais numéro",IF(D48&lt;#REF!,"Mauvais numéro",(VLOOKUP(D48,#REF!,3))))))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54"/>
      <c r="Q48" s="149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5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4"/>
      <c r="T48" s="124"/>
      <c r="U48" s="124"/>
      <c r="V48" s="124"/>
      <c r="W48" s="124"/>
      <c r="X48" s="124"/>
      <c r="Y48" s="124"/>
      <c r="Z48" s="124"/>
      <c r="AA48" s="124"/>
      <c r="AB48" s="124"/>
      <c r="AC48" s="124"/>
      <c r="AD48" s="124"/>
      <c r="AE48" s="124"/>
      <c r="AF48" s="124"/>
      <c r="AG48" s="124"/>
      <c r="AH48" s="124"/>
      <c r="AI48" s="124"/>
      <c r="AJ48" s="124"/>
      <c r="AK48" s="124"/>
      <c r="AL48" s="124"/>
      <c r="AM48" s="124"/>
      <c r="AN48" s="124"/>
      <c r="AO48" s="124"/>
      <c r="AP48" s="124"/>
      <c r="AQ48" s="124"/>
      <c r="AR48" s="124"/>
      <c r="AS48" s="124"/>
      <c r="AT48" s="124"/>
      <c r="AU48" s="124"/>
      <c r="AV48" s="124"/>
      <c r="AW48" s="124"/>
      <c r="AX48" s="124"/>
      <c r="AY48" s="124"/>
      <c r="AZ48" s="124"/>
      <c r="BA48" s="124"/>
      <c r="BB48" s="136"/>
    </row>
    <row r="49" customFormat="false" ht="15.6" hidden="false" customHeight="false" outlineLevel="0" collapsed="false">
      <c r="A49" s="111" t="n">
        <f aca="false">IF(ISBLANK(VLOOKUP(D49,#REF!,3)),0,1)</f>
        <v>1</v>
      </c>
      <c r="B49" s="112" t="n">
        <f aca="false">IF(ISBLANK(D49),0,IF(ISBLANK(E49),0,IF(ISBLANK(F49),0,1)))</f>
        <v>0</v>
      </c>
      <c r="C49" s="128" t="n">
        <v>15</v>
      </c>
      <c r="D49" s="151"/>
      <c r="E49" s="151"/>
      <c r="F49" s="152"/>
      <c r="G49" s="156"/>
      <c r="H49" s="151"/>
      <c r="I49" s="151"/>
      <c r="J49" s="132" t="str">
        <f aca="false">IF(ISBLANK(D49),"",IF(VLOOKUP(D49,#REF!,2)=0,"",IF(D49&gt;#REF!,"Mauvais numéro",IF(D49&lt;#REF!,"Mauvais numéro",(VLOOKUP(D49,#REF!,3))))))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57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49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24"/>
      <c r="AE49" s="124"/>
      <c r="AF49" s="124"/>
      <c r="AG49" s="124"/>
      <c r="AH49" s="124"/>
      <c r="AI49" s="124"/>
      <c r="AJ49" s="124"/>
      <c r="AK49" s="124"/>
      <c r="AL49" s="124"/>
      <c r="AM49" s="124"/>
      <c r="AN49" s="124"/>
      <c r="AO49" s="124"/>
      <c r="AP49" s="124"/>
      <c r="AQ49" s="124"/>
      <c r="AR49" s="124"/>
      <c r="AS49" s="124"/>
      <c r="AT49" s="124"/>
      <c r="AU49" s="124"/>
      <c r="AV49" s="124"/>
      <c r="AW49" s="124"/>
      <c r="AX49" s="124"/>
      <c r="AY49" s="124"/>
      <c r="AZ49" s="124"/>
      <c r="BA49" s="124"/>
      <c r="BB49" s="136"/>
    </row>
    <row r="50" customFormat="false" ht="15.6" hidden="false" customHeight="false" outlineLevel="0" collapsed="false">
      <c r="A50" s="111" t="n">
        <f aca="false">IF(ISBLANK(VLOOKUP(D50,#REF!,3)),0,1)</f>
        <v>1</v>
      </c>
      <c r="B50" s="112" t="n">
        <f aca="false">IF(ISBLANK(D50),0,IF(ISBLANK(E50),0,IF(ISBLANK(F50),0,1)))</f>
        <v>0</v>
      </c>
      <c r="C50" s="128" t="n">
        <v>16</v>
      </c>
      <c r="D50" s="151"/>
      <c r="E50" s="151"/>
      <c r="F50" s="152"/>
      <c r="G50" s="156"/>
      <c r="H50" s="151"/>
      <c r="I50" s="151"/>
      <c r="J50" s="132" t="str">
        <f aca="false">IF(ISBLANK(D50),"",IF(VLOOKUP(D50,#REF!,2)=0,"",IF(D50&gt;#REF!,"Mauvais numéro",IF(D50&lt;#REF!,"Mauvais numéro",(VLOOKUP(D50,#REF!,3))))))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57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49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24"/>
      <c r="U50" s="124"/>
      <c r="V50" s="124"/>
      <c r="W50" s="124"/>
      <c r="X50" s="124"/>
      <c r="Y50" s="124"/>
      <c r="Z50" s="124"/>
      <c r="AA50" s="124"/>
      <c r="AB50" s="124"/>
      <c r="AC50" s="124"/>
      <c r="AD50" s="124"/>
      <c r="AE50" s="124"/>
      <c r="AF50" s="124"/>
      <c r="AG50" s="124"/>
      <c r="AH50" s="124"/>
      <c r="AI50" s="124"/>
      <c r="AJ50" s="124"/>
      <c r="AK50" s="124"/>
      <c r="AL50" s="124"/>
      <c r="AM50" s="124"/>
      <c r="AN50" s="124"/>
      <c r="AO50" s="124"/>
      <c r="AP50" s="124"/>
      <c r="AQ50" s="124"/>
      <c r="AR50" s="124"/>
      <c r="AS50" s="124"/>
      <c r="AT50" s="124"/>
      <c r="AU50" s="124"/>
      <c r="AV50" s="124"/>
      <c r="AW50" s="124"/>
      <c r="AX50" s="124"/>
      <c r="AY50" s="124"/>
      <c r="AZ50" s="124"/>
      <c r="BA50" s="124"/>
      <c r="BB50" s="136"/>
    </row>
    <row r="51" customFormat="false" ht="15.6" hidden="false" customHeight="false" outlineLevel="0" collapsed="false">
      <c r="A51" s="111" t="n">
        <f aca="false">IF(ISBLANK(VLOOKUP(D51,#REF!,3)),0,1)</f>
        <v>1</v>
      </c>
      <c r="B51" s="112" t="n">
        <f aca="false">IF(ISBLANK(D51),0,IF(ISBLANK(E51),0,IF(ISBLANK(F51),0,1)))</f>
        <v>0</v>
      </c>
      <c r="C51" s="128" t="n">
        <v>17</v>
      </c>
      <c r="D51" s="151"/>
      <c r="E51" s="151"/>
      <c r="F51" s="152"/>
      <c r="G51" s="156"/>
      <c r="H51" s="151"/>
      <c r="I51" s="151"/>
      <c r="J51" s="132" t="str">
        <f aca="false">IF(ISBLANK(D51),"",IF(VLOOKUP(D51,#REF!,2)=0,"",IF(D51&gt;#REF!,"Mauvais numéro",IF(D51&lt;#REF!,"Mauvais numéro",(VLOOKUP(D51,#REF!,3))))))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57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49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24"/>
      <c r="AE51" s="124"/>
      <c r="AF51" s="124"/>
      <c r="AG51" s="124"/>
      <c r="AH51" s="124"/>
      <c r="AI51" s="124"/>
      <c r="AJ51" s="124"/>
      <c r="AK51" s="124"/>
      <c r="AL51" s="124"/>
      <c r="AM51" s="124"/>
      <c r="AN51" s="124"/>
      <c r="AO51" s="124"/>
      <c r="AP51" s="124"/>
      <c r="AQ51" s="124"/>
      <c r="AR51" s="124"/>
      <c r="AS51" s="124"/>
      <c r="AT51" s="124"/>
      <c r="AU51" s="124"/>
      <c r="AV51" s="124"/>
      <c r="AW51" s="124"/>
      <c r="AX51" s="124"/>
      <c r="AY51" s="124"/>
      <c r="AZ51" s="124"/>
      <c r="BA51" s="124"/>
      <c r="BB51" s="136"/>
    </row>
    <row r="52" customFormat="false" ht="15.6" hidden="false" customHeight="false" outlineLevel="0" collapsed="false">
      <c r="A52" s="111" t="n">
        <f aca="false">IF(ISBLANK(VLOOKUP(D52,#REF!,3)),0,1)</f>
        <v>1</v>
      </c>
      <c r="B52" s="112" t="n">
        <f aca="false">IF(ISBLANK(D52),0,IF(ISBLANK(E52),0,IF(ISBLANK(F52),0,1)))</f>
        <v>0</v>
      </c>
      <c r="C52" s="128" t="n">
        <v>18</v>
      </c>
      <c r="D52" s="151"/>
      <c r="E52" s="151"/>
      <c r="F52" s="152"/>
      <c r="G52" s="156"/>
      <c r="H52" s="151"/>
      <c r="I52" s="151"/>
      <c r="J52" s="132" t="str">
        <f aca="false">IF(ISBLANK(D52),"",IF(VLOOKUP(D52,#REF!,2)=0,"",IF(D52&gt;#REF!,"Mauvais numéro",IF(D52&lt;#REF!,"Mauvais numéro",(VLOOKUP(D52,#REF!,3))))))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57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49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24"/>
      <c r="U52" s="124"/>
      <c r="V52" s="124"/>
      <c r="W52" s="124"/>
      <c r="X52" s="124"/>
      <c r="Y52" s="124"/>
      <c r="Z52" s="124"/>
      <c r="AA52" s="124"/>
      <c r="AB52" s="124"/>
      <c r="AC52" s="124"/>
      <c r="AD52" s="124"/>
      <c r="AE52" s="124"/>
      <c r="AF52" s="124"/>
      <c r="AG52" s="124"/>
      <c r="AH52" s="124"/>
      <c r="AI52" s="124"/>
      <c r="AJ52" s="124"/>
      <c r="AK52" s="124"/>
      <c r="AL52" s="124"/>
      <c r="AM52" s="124"/>
      <c r="AN52" s="124"/>
      <c r="AO52" s="124"/>
      <c r="AP52" s="124"/>
      <c r="AQ52" s="124"/>
      <c r="AR52" s="124"/>
      <c r="AS52" s="124"/>
      <c r="AT52" s="124"/>
      <c r="AU52" s="124"/>
      <c r="AV52" s="124"/>
      <c r="AW52" s="124"/>
      <c r="AX52" s="124"/>
      <c r="AY52" s="124"/>
      <c r="AZ52" s="124"/>
      <c r="BA52" s="124"/>
      <c r="BB52" s="136"/>
    </row>
    <row r="53" customFormat="false" ht="15.6" hidden="false" customHeight="false" outlineLevel="0" collapsed="false">
      <c r="A53" s="111" t="n">
        <f aca="false">IF(ISBLANK(VLOOKUP(D53,#REF!,3)),0,1)</f>
        <v>1</v>
      </c>
      <c r="B53" s="112" t="n">
        <f aca="false">IF(ISBLANK(D53),0,IF(ISBLANK(E53),0,IF(ISBLANK(F53),0,1)))</f>
        <v>0</v>
      </c>
      <c r="C53" s="128" t="n">
        <v>19</v>
      </c>
      <c r="D53" s="151"/>
      <c r="E53" s="151"/>
      <c r="F53" s="152"/>
      <c r="G53" s="156"/>
      <c r="H53" s="151"/>
      <c r="I53" s="151"/>
      <c r="J53" s="132" t="str">
        <f aca="false">IF(ISBLANK(D53),"",IF(VLOOKUP(D53,#REF!,2)=0,"",IF(D53&gt;#REF!,"Mauvais numéro",IF(D53&lt;#REF!,"Mauvais numéro",(VLOOKUP(D53,#REF!,3))))))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57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49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24"/>
      <c r="U53" s="124"/>
      <c r="V53" s="124"/>
      <c r="W53" s="124"/>
      <c r="X53" s="12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24"/>
      <c r="AJ53" s="124"/>
      <c r="AK53" s="124"/>
      <c r="AL53" s="124"/>
      <c r="AM53" s="124"/>
      <c r="AN53" s="124"/>
      <c r="AO53" s="124"/>
      <c r="AP53" s="124"/>
      <c r="AQ53" s="124"/>
      <c r="AR53" s="124"/>
      <c r="AS53" s="124"/>
      <c r="AT53" s="124"/>
      <c r="AU53" s="124"/>
      <c r="AV53" s="124"/>
      <c r="AW53" s="124"/>
      <c r="AX53" s="124"/>
      <c r="AY53" s="124"/>
      <c r="AZ53" s="124"/>
      <c r="BA53" s="124"/>
      <c r="BB53" s="136"/>
    </row>
    <row r="54" customFormat="false" ht="15.6" hidden="false" customHeight="false" outlineLevel="0" collapsed="false">
      <c r="A54" s="111" t="n">
        <f aca="false">IF(ISBLANK(VLOOKUP(D54,#REF!,3)),0,1)</f>
        <v>1</v>
      </c>
      <c r="B54" s="112" t="n">
        <f aca="false">IF(ISBLANK(D54),0,IF(ISBLANK(E54),0,IF(ISBLANK(F54),0,1)))</f>
        <v>0</v>
      </c>
      <c r="C54" s="128" t="n">
        <v>20</v>
      </c>
      <c r="D54" s="151"/>
      <c r="E54" s="151"/>
      <c r="F54" s="152"/>
      <c r="G54" s="156"/>
      <c r="H54" s="151"/>
      <c r="I54" s="151"/>
      <c r="J54" s="132" t="str">
        <f aca="false">IF(ISBLANK(D54),"",IF(VLOOKUP(D54,#REF!,2)=0,"",IF(D54&gt;#REF!,"Mauvais numéro",IF(D54&lt;#REF!,"Mauvais numéro",(VLOOKUP(D54,#REF!,3))))))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57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49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4"/>
      <c r="U54" s="124"/>
      <c r="V54" s="124"/>
      <c r="W54" s="124"/>
      <c r="X54" s="124"/>
      <c r="Y54" s="124"/>
      <c r="Z54" s="124"/>
      <c r="AA54" s="124"/>
      <c r="AB54" s="124"/>
      <c r="AC54" s="124"/>
      <c r="AD54" s="124"/>
      <c r="AE54" s="124"/>
      <c r="AF54" s="124"/>
      <c r="AG54" s="124"/>
      <c r="AH54" s="124"/>
      <c r="AI54" s="124"/>
      <c r="AJ54" s="124"/>
      <c r="AK54" s="124"/>
      <c r="AL54" s="124"/>
      <c r="AM54" s="124"/>
      <c r="AN54" s="124"/>
      <c r="AO54" s="124"/>
      <c r="AP54" s="124"/>
      <c r="AQ54" s="124"/>
      <c r="AR54" s="124"/>
      <c r="AS54" s="124"/>
      <c r="AT54" s="124"/>
      <c r="AU54" s="124"/>
      <c r="AV54" s="124"/>
      <c r="AW54" s="124"/>
      <c r="AX54" s="124"/>
      <c r="AY54" s="124"/>
      <c r="AZ54" s="124"/>
      <c r="BA54" s="124"/>
      <c r="BB54" s="136"/>
    </row>
    <row r="55" customFormat="false" ht="15.6" hidden="false" customHeight="false" outlineLevel="0" collapsed="false">
      <c r="A55" s="111" t="n">
        <f aca="false">IF(ISBLANK(VLOOKUP(D55,#REF!,3)),0,1)</f>
        <v>1</v>
      </c>
      <c r="B55" s="112" t="n">
        <f aca="false">IF(ISBLANK(D55),0,IF(ISBLANK(E55),0,IF(ISBLANK(F55),0,1)))</f>
        <v>0</v>
      </c>
      <c r="C55" s="128" t="n">
        <v>21</v>
      </c>
      <c r="D55" s="151"/>
      <c r="E55" s="151"/>
      <c r="F55" s="152"/>
      <c r="G55" s="156"/>
      <c r="H55" s="151"/>
      <c r="I55" s="151"/>
      <c r="J55" s="132" t="str">
        <f aca="false">IF(ISBLANK(D55),"",IF(VLOOKUP(D55,#REF!,2)=0,"",IF(D55&gt;#REF!,"Mauvais numéro",IF(D55&lt;#REF!,"Mauvais numéro",(VLOOKUP(D55,#REF!,3))))))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57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49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24"/>
      <c r="U55" s="124"/>
      <c r="V55" s="124"/>
      <c r="W55" s="124"/>
      <c r="X55" s="124"/>
      <c r="Y55" s="124"/>
      <c r="Z55" s="124"/>
      <c r="AA55" s="124"/>
      <c r="AB55" s="124"/>
      <c r="AC55" s="124"/>
      <c r="AD55" s="124"/>
      <c r="AE55" s="124"/>
      <c r="AF55" s="124"/>
      <c r="AG55" s="124"/>
      <c r="AH55" s="124"/>
      <c r="AI55" s="124"/>
      <c r="AJ55" s="124"/>
      <c r="AK55" s="124"/>
      <c r="AL55" s="124"/>
      <c r="AM55" s="124"/>
      <c r="AN55" s="124"/>
      <c r="AO55" s="124"/>
      <c r="AP55" s="124"/>
      <c r="AQ55" s="124"/>
      <c r="AR55" s="124"/>
      <c r="AS55" s="124"/>
      <c r="AT55" s="124"/>
      <c r="AU55" s="124"/>
      <c r="AV55" s="124"/>
      <c r="AW55" s="124"/>
      <c r="AX55" s="124"/>
      <c r="AY55" s="124"/>
      <c r="AZ55" s="124"/>
      <c r="BA55" s="124"/>
      <c r="BB55" s="136"/>
    </row>
    <row r="56" customFormat="false" ht="15.6" hidden="false" customHeight="false" outlineLevel="0" collapsed="false">
      <c r="A56" s="111" t="n">
        <f aca="false">IF(ISBLANK(VLOOKUP(D56,#REF!,3)),0,1)</f>
        <v>1</v>
      </c>
      <c r="B56" s="112" t="n">
        <f aca="false">IF(ISBLANK(D56),0,IF(ISBLANK(E56),0,IF(ISBLANK(F56),0,1)))</f>
        <v>0</v>
      </c>
      <c r="C56" s="128" t="n">
        <v>22</v>
      </c>
      <c r="D56" s="151"/>
      <c r="E56" s="151"/>
      <c r="F56" s="152"/>
      <c r="G56" s="156"/>
      <c r="H56" s="151"/>
      <c r="I56" s="151"/>
      <c r="J56" s="132" t="str">
        <f aca="false">IF(ISBLANK(D56),"",IF(VLOOKUP(D56,#REF!,2)=0,"",IF(D56&gt;#REF!,"Mauvais numéro",IF(D56&lt;#REF!,"Mauvais numéro",(VLOOKUP(D56,#REF!,3))))))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57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49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24"/>
      <c r="AE56" s="124"/>
      <c r="AF56" s="124"/>
      <c r="AG56" s="124"/>
      <c r="AH56" s="124"/>
      <c r="AI56" s="124"/>
      <c r="AJ56" s="124"/>
      <c r="AK56" s="124"/>
      <c r="AL56" s="124"/>
      <c r="AM56" s="124"/>
      <c r="AN56" s="124"/>
      <c r="AO56" s="124"/>
      <c r="AP56" s="124"/>
      <c r="AQ56" s="124"/>
      <c r="AR56" s="124"/>
      <c r="AS56" s="124"/>
      <c r="AT56" s="124"/>
      <c r="AU56" s="124"/>
      <c r="AV56" s="124"/>
      <c r="AW56" s="124"/>
      <c r="AX56" s="124"/>
      <c r="AY56" s="124"/>
      <c r="AZ56" s="124"/>
      <c r="BA56" s="124"/>
      <c r="BB56" s="136"/>
    </row>
    <row r="57" customFormat="false" ht="15.6" hidden="false" customHeight="false" outlineLevel="0" collapsed="false">
      <c r="A57" s="111" t="n">
        <f aca="false">IF(ISBLANK(VLOOKUP(D57,#REF!,3)),0,1)</f>
        <v>1</v>
      </c>
      <c r="B57" s="112" t="n">
        <f aca="false">IF(ISBLANK(D57),0,IF(ISBLANK(E57),0,IF(ISBLANK(F57),0,1)))</f>
        <v>0</v>
      </c>
      <c r="C57" s="128" t="n">
        <v>23</v>
      </c>
      <c r="D57" s="151"/>
      <c r="E57" s="151"/>
      <c r="F57" s="152"/>
      <c r="G57" s="156"/>
      <c r="H57" s="151"/>
      <c r="I57" s="151"/>
      <c r="J57" s="132" t="str">
        <f aca="false">IF(ISBLANK(D57),"",IF(VLOOKUP(D57,#REF!,2)=0,"",IF(D57&gt;#REF!,"Mauvais numéro",IF(D57&lt;#REF!,"Mauvais numéro",(VLOOKUP(D57,#REF!,3))))))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57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49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4"/>
      <c r="U57" s="124"/>
      <c r="V57" s="124"/>
      <c r="W57" s="124"/>
      <c r="X57" s="124"/>
      <c r="Y57" s="124"/>
      <c r="Z57" s="124"/>
      <c r="AA57" s="124"/>
      <c r="AB57" s="124"/>
      <c r="AC57" s="124"/>
      <c r="AD57" s="124"/>
      <c r="AE57" s="124"/>
      <c r="AF57" s="124"/>
      <c r="AG57" s="124"/>
      <c r="AH57" s="124"/>
      <c r="AI57" s="124"/>
      <c r="AJ57" s="124"/>
      <c r="AK57" s="124"/>
      <c r="AL57" s="124"/>
      <c r="AM57" s="124"/>
      <c r="AN57" s="124"/>
      <c r="AO57" s="124"/>
      <c r="AP57" s="124"/>
      <c r="AQ57" s="124"/>
      <c r="AR57" s="124"/>
      <c r="AS57" s="124"/>
      <c r="AT57" s="124"/>
      <c r="AU57" s="124"/>
      <c r="AV57" s="124"/>
      <c r="AW57" s="124"/>
      <c r="AX57" s="124"/>
      <c r="AY57" s="124"/>
      <c r="AZ57" s="124"/>
      <c r="BA57" s="124"/>
      <c r="BB57" s="136"/>
    </row>
    <row r="58" customFormat="false" ht="16.2" hidden="false" customHeight="false" outlineLevel="0" collapsed="false">
      <c r="A58" s="111" t="n">
        <f aca="false">IF(ISBLANK(VLOOKUP(D58,#REF!,3)),0,1)</f>
        <v>1</v>
      </c>
      <c r="B58" s="112" t="n">
        <f aca="false">IF(ISBLANK(D58),0,IF(ISBLANK(E58),0,IF(ISBLANK(F58),0,1)))</f>
        <v>0</v>
      </c>
      <c r="C58" s="158" t="n">
        <v>24</v>
      </c>
      <c r="D58" s="159"/>
      <c r="E58" s="159"/>
      <c r="F58" s="160"/>
      <c r="G58" s="161"/>
      <c r="H58" s="159"/>
      <c r="I58" s="159"/>
      <c r="J58" s="162" t="str">
        <f aca="false">IF(ISBLANK(D58),"",IF(VLOOKUP(D58,#REF!,2)=0,"",IF(D58&gt;#REF!,"Mauvais numéro",IF(D58&lt;#REF!,"Mauvais numéro",(VLOOKUP(D58,#REF!,3))))))</f>
        <v/>
      </c>
      <c r="K58" s="163" t="str">
        <f aca="false">IF(ISBLANK(E58),"",(0.000824493-(0.0000040899*E58)+(0.000000076438*E58^2)-(0.00000000082467*E58^3)+(0.0000000000053875*E58^4)))</f>
        <v/>
      </c>
      <c r="L58" s="163" t="str">
        <f aca="false">IF(ISBLANK(E58),"",(-0.00000572466+(0.00000010227*E58)-(0.0000000016546*E58^2)))</f>
        <v/>
      </c>
      <c r="M58" s="163" t="str">
        <f aca="false">IF(ISBLANK(E58),"",IF(ISBLANK(G58),(O58+(K58*35)+(L58*35^1.5)+(0.00000048314*35^2)),(O58+(K58*G58)+(L58*G58^1.5)+(0.00000048314*G58^2))))</f>
        <v/>
      </c>
      <c r="N58" s="164" t="str">
        <f aca="false">IF(ISBLANK(D58),"",IF(ISBLANK(G58),J58*(1+0.00001*(35-20)),J58*(1+0.00001*(G58-20))))</f>
        <v/>
      </c>
      <c r="O58" s="163" t="str">
        <f aca="false">IF(ISBLANK(E58),"",(0.999842594+(0.00006793952*E58)-(0.00000909529*E58^2)+(0.0000001001685*E58^3)-(0.000000001120083*E58^4)+(0.000000000006536332*E58^5)))</f>
        <v/>
      </c>
      <c r="P58" s="165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66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7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7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68"/>
      <c r="U58" s="168"/>
      <c r="V58" s="168"/>
      <c r="W58" s="168"/>
      <c r="X58" s="168"/>
      <c r="Y58" s="168"/>
      <c r="Z58" s="168"/>
      <c r="AA58" s="168"/>
      <c r="AB58" s="168"/>
      <c r="AC58" s="168"/>
      <c r="AD58" s="168"/>
      <c r="AE58" s="168"/>
      <c r="AF58" s="168"/>
      <c r="AG58" s="168"/>
      <c r="AH58" s="168"/>
      <c r="AI58" s="168"/>
      <c r="AJ58" s="168"/>
      <c r="AK58" s="168"/>
      <c r="AL58" s="168"/>
      <c r="AM58" s="168"/>
      <c r="AN58" s="168"/>
      <c r="AO58" s="168"/>
      <c r="AP58" s="168"/>
      <c r="AQ58" s="168"/>
      <c r="AR58" s="168"/>
      <c r="AS58" s="168"/>
      <c r="AT58" s="168"/>
      <c r="AU58" s="168"/>
      <c r="AV58" s="168"/>
      <c r="AW58" s="168"/>
      <c r="AX58" s="168"/>
      <c r="AY58" s="168"/>
      <c r="AZ58" s="168"/>
      <c r="BA58" s="168"/>
      <c r="BB58" s="169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I29" type="list">
      <formula1>$O$28:$O$30</formula1>
      <formula2>0</formula2>
    </dataValidation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Q1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8178137651822"/>
    <col collapsed="false" hidden="false" max="32" min="32" style="0" width="9.10526315789474"/>
    <col collapsed="false" hidden="false" max="33" min="33" style="0" width="26.5668016194332"/>
    <col collapsed="false" hidden="false" max="34" min="34" style="0" width="12.8542510121458"/>
    <col collapsed="false" hidden="false" max="35" min="35" style="0" width="11.3562753036437"/>
    <col collapsed="false" hidden="false" max="36" min="36" style="0" width="14.5668016194332"/>
    <col collapsed="false" hidden="false" max="37" min="37" style="0" width="12.2105263157895"/>
    <col collapsed="false" hidden="false" max="38" min="38" style="0" width="26.995951417004"/>
    <col collapsed="false" hidden="false" max="39" min="39" style="0" width="14.6761133603239"/>
    <col collapsed="false" hidden="false" max="40" min="40" style="0" width="11.3562753036437"/>
    <col collapsed="false" hidden="false" max="41" min="41" style="0" width="12.5344129554656"/>
    <col collapsed="false" hidden="false" max="42" min="42" style="0" width="10.7125506072875"/>
    <col collapsed="false" hidden="false" max="43" min="43" style="0" width="6.31983805668016"/>
    <col collapsed="false" hidden="false" max="44" min="44" style="0" width="19.7085020242915"/>
    <col collapsed="false" hidden="false" max="45" min="45" style="0" width="13.0688259109312"/>
    <col collapsed="false" hidden="false" max="46" min="46" style="0" width="17.7813765182186"/>
    <col collapsed="false" hidden="false" max="47" min="47" style="0" width="14.6761133603239"/>
    <col collapsed="false" hidden="false" max="48" min="48" style="0" width="13.6032388663968"/>
    <col collapsed="false" hidden="false" max="49" min="49" style="0" width="13.7125506072874"/>
    <col collapsed="false" hidden="false" max="50" min="50" style="0" width="19.9230769230769"/>
    <col collapsed="false" hidden="false" max="51" min="51" style="0" width="13.2834008097166"/>
    <col collapsed="false" hidden="false" max="52" min="52" style="0" width="17.6761133603239"/>
    <col collapsed="false" hidden="false" max="53" min="53" style="0" width="13.3886639676113"/>
    <col collapsed="false" hidden="false" max="54" min="54" style="0" width="12.6396761133603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3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38525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n">
        <v>0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0</v>
      </c>
      <c r="J9" s="29" t="n">
        <v>0.06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0°0,06</v>
      </c>
      <c r="P9" s="29" t="s">
        <v>13</v>
      </c>
      <c r="Q9" s="33" t="n">
        <f aca="false">IF(ISBLANK(I9),"",IF(ISBLANK(J9),"",IF(J9&gt;60,"ERREUR !!",O11*(I9+(J9/60)))))</f>
        <v>0.001</v>
      </c>
      <c r="R9" s="33"/>
    </row>
    <row r="10" customFormat="false" ht="15" hidden="false" customHeight="true" outlineLevel="0" collapsed="false">
      <c r="C10" s="21"/>
      <c r="D10" s="18"/>
      <c r="G10" s="27" t="s">
        <v>16</v>
      </c>
      <c r="H10" s="27"/>
      <c r="I10" s="28" t="n">
        <v>9</v>
      </c>
      <c r="J10" s="29" t="n">
        <v>53.21</v>
      </c>
      <c r="K10" s="30" t="s">
        <v>12</v>
      </c>
      <c r="L10" s="31" t="str">
        <f aca="false">IF(P10=N9,"+","-")</f>
        <v>-</v>
      </c>
      <c r="M10" s="30" t="s">
        <v>15</v>
      </c>
      <c r="N10" s="30" t="s">
        <v>17</v>
      </c>
      <c r="O10" s="34" t="str">
        <f aca="false">IF(ISBLANK(I10),"",IF(ISBLANK(J10),"",IF(P10=N10,L10&amp;N12,N12)))</f>
        <v>-9°53,21</v>
      </c>
      <c r="P10" s="29" t="s">
        <v>17</v>
      </c>
      <c r="Q10" s="33" t="n">
        <f aca="false">IF(ISBLANK(I10),"",IF(ISBLANK(J10),"",IF(J10&gt;60,"ERREUR !!",O12*(I10+(J10/60)))))</f>
        <v>-9.88683333333333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38525</v>
      </c>
      <c r="K11" s="38"/>
      <c r="L11" s="38"/>
      <c r="M11" s="38"/>
      <c r="N11" s="39" t="str">
        <f aca="false">I9&amp;"°"&amp;J9</f>
        <v>0°0,06</v>
      </c>
      <c r="O11" s="40" t="n">
        <f aca="false">IF(P9=M10,-1,1)</f>
        <v>1</v>
      </c>
      <c r="P11" s="41" t="str">
        <f aca="false">TEXT(J11,"aaaa-mm-jj")&amp;"T"&amp;TEXT(J12,"hh:mm:ss")&amp;"z"</f>
        <v>2009-06-23T02:30:00z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0.104166666666667</v>
      </c>
      <c r="K12" s="45"/>
      <c r="L12" s="45"/>
      <c r="M12" s="45"/>
      <c r="N12" s="46" t="str">
        <f aca="false">I10&amp;"°"&amp;J10</f>
        <v>9°53,21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e">
        <f aca="false">$P$24*($P$18/#REF!)</f>
        <v>#REF!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e">
        <f aca="false">5+#REF!</f>
        <v>#REF!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e">
        <f aca="false">P20*(1+0.00001*(R14-20))</f>
        <v>#REF!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e">
        <f aca="false">MAX(#REF!)</f>
        <v>#VALUE!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e">
        <f aca="false">2+(#REF!+#REF!)</f>
        <v>#REF!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52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53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IF(ISBLANK(VLOOKUP(D35,#REF!,3)),0,1)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n">
        <v>34.9612</v>
      </c>
      <c r="H35" s="118" t="n">
        <v>2000</v>
      </c>
      <c r="I35" s="119" t="n">
        <v>2008</v>
      </c>
      <c r="J35" s="120"/>
      <c r="K35" s="121"/>
      <c r="L35" s="121"/>
      <c r="M35" s="121"/>
      <c r="N35" s="122"/>
      <c r="O35" s="121"/>
      <c r="P35" s="173" t="n">
        <v>5.713</v>
      </c>
      <c r="Q35" s="150"/>
      <c r="R35" s="150"/>
      <c r="S35" s="174" t="n">
        <v>248.3</v>
      </c>
      <c r="T35" s="32" t="n">
        <v>0.03</v>
      </c>
      <c r="U35" s="32" t="n">
        <v>0.02</v>
      </c>
      <c r="V35" s="32"/>
      <c r="W35" s="32"/>
      <c r="X35" s="125" t="n">
        <v>19.2</v>
      </c>
      <c r="Y35" s="125" t="n">
        <v>18.8</v>
      </c>
      <c r="Z35" s="32" t="n">
        <v>1.28</v>
      </c>
      <c r="AA35" s="32" t="n">
        <v>1.25</v>
      </c>
      <c r="AB35" s="125" t="n">
        <v>23</v>
      </c>
      <c r="AC35" s="125" t="n">
        <v>22.5</v>
      </c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7"/>
    </row>
    <row r="36" customFormat="false" ht="15.6" hidden="false" customHeight="false" outlineLevel="0" collapsed="false">
      <c r="A36" s="111" t="n">
        <f aca="false">IF(ISBLANK(VLOOKUP(D36,#REF!,3)),0,1)</f>
        <v>1</v>
      </c>
      <c r="B36" s="112" t="n">
        <f aca="false">IF(ISBLANK(D36),0,IF(ISBLANK(E36),0,IF(ISBLANK(F36),0,1)))</f>
        <v>0</v>
      </c>
      <c r="C36" s="128" t="n">
        <v>2</v>
      </c>
      <c r="D36" s="129"/>
      <c r="E36" s="129"/>
      <c r="F36" s="130"/>
      <c r="G36" s="117" t="n">
        <v>34.6675</v>
      </c>
      <c r="H36" s="131" t="n">
        <v>1000</v>
      </c>
      <c r="I36" s="119" t="n">
        <v>999</v>
      </c>
      <c r="J36" s="132"/>
      <c r="K36" s="133"/>
      <c r="L36" s="133"/>
      <c r="M36" s="133"/>
      <c r="N36" s="134"/>
      <c r="O36" s="133"/>
      <c r="P36" s="175" t="n">
        <v>3.766</v>
      </c>
      <c r="Q36" s="155"/>
      <c r="R36" s="155"/>
      <c r="S36" s="174" t="n">
        <v>163.7</v>
      </c>
      <c r="T36" s="32" t="n">
        <v>0.03</v>
      </c>
      <c r="U36" s="32" t="n">
        <v>0.03</v>
      </c>
      <c r="V36" s="32"/>
      <c r="W36" s="32"/>
      <c r="X36" s="125" t="n">
        <v>31.9</v>
      </c>
      <c r="Y36" s="125" t="n">
        <v>31.2</v>
      </c>
      <c r="Z36" s="32" t="n">
        <v>2.14</v>
      </c>
      <c r="AA36" s="32" t="n">
        <v>2.09</v>
      </c>
      <c r="AB36" s="125" t="n">
        <v>30.5</v>
      </c>
      <c r="AC36" s="125" t="n">
        <v>29.8</v>
      </c>
      <c r="AD36" s="124"/>
      <c r="AE36" s="124"/>
      <c r="AF36" s="124"/>
      <c r="AG36" s="124"/>
      <c r="AH36" s="124"/>
      <c r="AI36" s="124"/>
      <c r="AJ36" s="124"/>
      <c r="AK36" s="124"/>
      <c r="AL36" s="124"/>
      <c r="AM36" s="124"/>
      <c r="AN36" s="124"/>
      <c r="AO36" s="124"/>
      <c r="AP36" s="124"/>
      <c r="AQ36" s="124"/>
      <c r="AR36" s="124"/>
      <c r="AS36" s="124"/>
      <c r="AT36" s="124"/>
      <c r="AU36" s="124"/>
      <c r="AV36" s="124"/>
      <c r="AW36" s="124"/>
      <c r="AX36" s="124"/>
      <c r="AY36" s="124"/>
      <c r="AZ36" s="124"/>
      <c r="BA36" s="124"/>
      <c r="BB36" s="136"/>
    </row>
    <row r="37" customFormat="false" ht="15.6" hidden="false" customHeight="false" outlineLevel="0" collapsed="false">
      <c r="A37" s="111" t="n">
        <f aca="false">IF(ISBLANK(VLOOKUP(D37,#REF!,3)),0,1)</f>
        <v>1</v>
      </c>
      <c r="B37" s="112" t="n">
        <f aca="false">IF(ISBLANK(D37),0,IF(ISBLANK(E37),0,IF(ISBLANK(F37),0,1)))</f>
        <v>0</v>
      </c>
      <c r="C37" s="128" t="n">
        <v>3</v>
      </c>
      <c r="D37" s="129"/>
      <c r="E37" s="129"/>
      <c r="F37" s="137"/>
      <c r="G37" s="117" t="n">
        <v>34.5036</v>
      </c>
      <c r="H37" s="131" t="n">
        <v>800</v>
      </c>
      <c r="I37" s="119" t="n">
        <v>802</v>
      </c>
      <c r="J37" s="132"/>
      <c r="K37" s="133"/>
      <c r="L37" s="133"/>
      <c r="M37" s="133"/>
      <c r="N37" s="134"/>
      <c r="O37" s="133"/>
      <c r="P37" s="175" t="n">
        <v>3.425</v>
      </c>
      <c r="Q37" s="155"/>
      <c r="R37" s="155"/>
      <c r="S37" s="174" t="n">
        <v>148.9</v>
      </c>
      <c r="T37" s="32" t="n">
        <v>0.04</v>
      </c>
      <c r="U37" s="32" t="n">
        <v>0.04</v>
      </c>
      <c r="V37" s="32"/>
      <c r="W37" s="32"/>
      <c r="X37" s="125" t="n">
        <v>34.4</v>
      </c>
      <c r="Y37" s="125" t="n">
        <v>33.6</v>
      </c>
      <c r="Z37" s="32" t="n">
        <v>2.27</v>
      </c>
      <c r="AA37" s="32" t="n">
        <v>2.22</v>
      </c>
      <c r="AB37" s="125" t="n">
        <v>30.2</v>
      </c>
      <c r="AC37" s="125" t="n">
        <v>29.5</v>
      </c>
      <c r="AD37" s="124"/>
      <c r="AE37" s="124"/>
      <c r="AF37" s="124"/>
      <c r="AG37" s="124"/>
      <c r="AH37" s="124"/>
      <c r="AI37" s="124"/>
      <c r="AJ37" s="124"/>
      <c r="AK37" s="124"/>
      <c r="AL37" s="124"/>
      <c r="AM37" s="124"/>
      <c r="AN37" s="124"/>
      <c r="AO37" s="124"/>
      <c r="AP37" s="124"/>
      <c r="AQ37" s="124"/>
      <c r="AR37" s="124"/>
      <c r="AS37" s="124"/>
      <c r="AT37" s="124"/>
      <c r="AU37" s="124"/>
      <c r="AV37" s="124"/>
      <c r="AW37" s="124"/>
      <c r="AX37" s="124"/>
      <c r="AY37" s="124"/>
      <c r="AZ37" s="124"/>
      <c r="BA37" s="124"/>
      <c r="BB37" s="136"/>
    </row>
    <row r="38" customFormat="false" ht="16.2" hidden="false" customHeight="false" outlineLevel="0" collapsed="false">
      <c r="A38" s="111" t="n">
        <f aca="false">IF(ISBLANK(VLOOKUP(D38,#REF!,3)),0,1)</f>
        <v>1</v>
      </c>
      <c r="B38" s="112" t="n">
        <f aca="false">IF(ISBLANK(D38),0,IF(ISBLANK(E38),0,IF(ISBLANK(F38),0,1)))</f>
        <v>0</v>
      </c>
      <c r="C38" s="128" t="n">
        <v>4</v>
      </c>
      <c r="D38" s="138"/>
      <c r="E38" s="138"/>
      <c r="F38" s="139"/>
      <c r="G38" s="117" t="n">
        <v>34.5263</v>
      </c>
      <c r="H38" s="131" t="n">
        <v>600</v>
      </c>
      <c r="I38" s="119" t="n">
        <v>591</v>
      </c>
      <c r="J38" s="132"/>
      <c r="K38" s="133"/>
      <c r="L38" s="133"/>
      <c r="M38" s="133"/>
      <c r="N38" s="134"/>
      <c r="O38" s="133"/>
      <c r="P38" s="175" t="n">
        <v>3.255</v>
      </c>
      <c r="Q38" s="155"/>
      <c r="R38" s="155"/>
      <c r="S38" s="174" t="n">
        <v>141.6</v>
      </c>
      <c r="T38" s="32" t="n">
        <v>0.03</v>
      </c>
      <c r="U38" s="32" t="n">
        <v>0.03</v>
      </c>
      <c r="V38" s="32"/>
      <c r="W38" s="32"/>
      <c r="X38" s="125" t="n">
        <v>33.6</v>
      </c>
      <c r="Y38" s="125" t="n">
        <v>32.8</v>
      </c>
      <c r="Z38" s="32" t="n">
        <v>2.19</v>
      </c>
      <c r="AA38" s="32" t="n">
        <v>2.14</v>
      </c>
      <c r="AB38" s="125" t="n">
        <v>24.9</v>
      </c>
      <c r="AC38" s="125" t="n">
        <v>24.3</v>
      </c>
      <c r="AD38" s="124"/>
      <c r="AE38" s="124"/>
      <c r="AF38" s="124"/>
      <c r="AG38" s="124"/>
      <c r="AH38" s="124"/>
      <c r="AI38" s="124"/>
      <c r="AJ38" s="124"/>
      <c r="AK38" s="124"/>
      <c r="AL38" s="124"/>
      <c r="AM38" s="124"/>
      <c r="AN38" s="124"/>
      <c r="AO38" s="124"/>
      <c r="AP38" s="124"/>
      <c r="AQ38" s="124"/>
      <c r="AR38" s="124"/>
      <c r="AS38" s="124"/>
      <c r="AT38" s="124"/>
      <c r="AU38" s="124"/>
      <c r="AV38" s="124"/>
      <c r="AW38" s="124"/>
      <c r="AX38" s="124"/>
      <c r="AY38" s="124"/>
      <c r="AZ38" s="124"/>
      <c r="BA38" s="124"/>
      <c r="BB38" s="136"/>
    </row>
    <row r="39" customFormat="false" ht="15.6" hidden="false" customHeight="false" outlineLevel="0" collapsed="false">
      <c r="A39" s="111" t="n">
        <f aca="false">IF(ISBLANK(VLOOKUP(D39,#REF!,3)),0,1)</f>
        <v>1</v>
      </c>
      <c r="B39" s="112" t="n">
        <f aca="false">IF(ISBLANK(D39),0,IF(ISBLANK(E39),0,IF(ISBLANK(F39),0,1)))</f>
        <v>0</v>
      </c>
      <c r="C39" s="128" t="n">
        <v>5</v>
      </c>
      <c r="D39" s="129"/>
      <c r="E39" s="129"/>
      <c r="F39" s="137"/>
      <c r="G39" s="117" t="n">
        <v>34.781</v>
      </c>
      <c r="H39" s="131" t="n">
        <v>400</v>
      </c>
      <c r="I39" s="119" t="n">
        <v>400</v>
      </c>
      <c r="J39" s="132"/>
      <c r="K39" s="133"/>
      <c r="L39" s="133"/>
      <c r="M39" s="133"/>
      <c r="N39" s="134"/>
      <c r="O39" s="133"/>
      <c r="P39" s="175" t="n">
        <v>2.258</v>
      </c>
      <c r="Q39" s="155"/>
      <c r="R39" s="155"/>
      <c r="S39" s="174" t="n">
        <v>98.2</v>
      </c>
      <c r="T39" s="32" t="n">
        <v>0.03</v>
      </c>
      <c r="U39" s="32" t="n">
        <v>0.03</v>
      </c>
      <c r="V39" s="32"/>
      <c r="W39" s="32"/>
      <c r="X39" s="125" t="n">
        <v>32.3</v>
      </c>
      <c r="Y39" s="125" t="n">
        <v>31.6</v>
      </c>
      <c r="Z39" s="32" t="n">
        <v>2.06</v>
      </c>
      <c r="AA39" s="32" t="n">
        <v>2.01</v>
      </c>
      <c r="AB39" s="125" t="n">
        <v>17.1</v>
      </c>
      <c r="AC39" s="125" t="n">
        <v>16.7</v>
      </c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7"/>
    </row>
    <row r="40" customFormat="false" ht="15.6" hidden="false" customHeight="false" outlineLevel="0" collapsed="false">
      <c r="A40" s="111" t="n">
        <f aca="false">IF(ISBLANK(VLOOKUP(D40,#REF!,3)),0,1)</f>
        <v>1</v>
      </c>
      <c r="B40" s="112" t="n">
        <f aca="false">IF(ISBLANK(D40),0,IF(ISBLANK(E40),0,IF(ISBLANK(F40),0,1)))</f>
        <v>0</v>
      </c>
      <c r="C40" s="128" t="n">
        <v>6</v>
      </c>
      <c r="D40" s="129"/>
      <c r="E40" s="129"/>
      <c r="F40" s="137"/>
      <c r="G40" s="117" t="n">
        <v>35.0315</v>
      </c>
      <c r="H40" s="131" t="n">
        <v>300</v>
      </c>
      <c r="I40" s="119" t="n">
        <v>297</v>
      </c>
      <c r="J40" s="132"/>
      <c r="K40" s="133"/>
      <c r="L40" s="133"/>
      <c r="M40" s="133"/>
      <c r="N40" s="134"/>
      <c r="O40" s="133"/>
      <c r="P40" s="175" t="n">
        <v>2.238</v>
      </c>
      <c r="Q40" s="155"/>
      <c r="R40" s="155"/>
      <c r="S40" s="174" t="n">
        <v>97.4</v>
      </c>
      <c r="T40" s="32" t="n">
        <v>0.03</v>
      </c>
      <c r="U40" s="32" t="n">
        <v>0.03</v>
      </c>
      <c r="V40" s="32"/>
      <c r="W40" s="32"/>
      <c r="X40" s="125" t="n">
        <v>27.6</v>
      </c>
      <c r="Y40" s="125" t="n">
        <v>26.9</v>
      </c>
      <c r="Z40" s="32" t="n">
        <v>1.73</v>
      </c>
      <c r="AA40" s="32" t="n">
        <v>1.69</v>
      </c>
      <c r="AB40" s="125" t="n">
        <v>12.5</v>
      </c>
      <c r="AC40" s="125" t="n">
        <v>12.2</v>
      </c>
      <c r="AD40" s="124"/>
      <c r="AE40" s="124"/>
      <c r="AF40" s="124"/>
      <c r="AG40" s="124"/>
      <c r="AH40" s="124"/>
      <c r="AI40" s="124"/>
      <c r="AJ40" s="124"/>
      <c r="AK40" s="124"/>
      <c r="AL40" s="124"/>
      <c r="AM40" s="124"/>
      <c r="AN40" s="124"/>
      <c r="AO40" s="124"/>
      <c r="AP40" s="124"/>
      <c r="AQ40" s="124"/>
      <c r="AR40" s="124"/>
      <c r="AS40" s="124"/>
      <c r="AT40" s="124"/>
      <c r="AU40" s="124"/>
      <c r="AV40" s="124"/>
      <c r="AW40" s="124"/>
      <c r="AX40" s="124"/>
      <c r="AY40" s="124"/>
      <c r="AZ40" s="124"/>
      <c r="BA40" s="124"/>
      <c r="BB40" s="136"/>
    </row>
    <row r="41" customFormat="false" ht="16.2" hidden="false" customHeight="false" outlineLevel="0" collapsed="false">
      <c r="A41" s="111" t="n">
        <f aca="false">IF(ISBLANK(VLOOKUP(D41,#REF!,3)),0,1)</f>
        <v>1</v>
      </c>
      <c r="B41" s="112" t="n">
        <f aca="false">IF(ISBLANK(D41),0,IF(ISBLANK(E41),0,IF(ISBLANK(F41),0,1)))</f>
        <v>0</v>
      </c>
      <c r="C41" s="128" t="n">
        <v>7</v>
      </c>
      <c r="D41" s="129"/>
      <c r="E41" s="129"/>
      <c r="F41" s="137"/>
      <c r="G41" s="117" t="n">
        <v>35.5383</v>
      </c>
      <c r="H41" s="131" t="n">
        <v>200</v>
      </c>
      <c r="I41" s="119" t="n">
        <v>200</v>
      </c>
      <c r="J41" s="132"/>
      <c r="K41" s="133"/>
      <c r="L41" s="133"/>
      <c r="M41" s="133"/>
      <c r="N41" s="134"/>
      <c r="O41" s="133"/>
      <c r="P41" s="175" t="n">
        <v>2.695</v>
      </c>
      <c r="Q41" s="155"/>
      <c r="R41" s="155"/>
      <c r="S41" s="174" t="n">
        <v>117.3</v>
      </c>
      <c r="T41" s="32" t="n">
        <v>0.04</v>
      </c>
      <c r="U41" s="32" t="n">
        <v>0.04</v>
      </c>
      <c r="V41" s="32"/>
      <c r="W41" s="32"/>
      <c r="X41" s="125" t="n">
        <v>18.8</v>
      </c>
      <c r="Y41" s="125" t="n">
        <v>18.3</v>
      </c>
      <c r="Z41" s="32" t="n">
        <v>1.22</v>
      </c>
      <c r="AA41" s="32" t="n">
        <v>1.19</v>
      </c>
      <c r="AB41" s="125" t="n">
        <v>7.1</v>
      </c>
      <c r="AC41" s="125" t="n">
        <v>6.9</v>
      </c>
      <c r="AD41" s="124"/>
      <c r="AE41" s="124"/>
      <c r="AF41" s="124"/>
      <c r="AG41" s="124"/>
      <c r="AH41" s="124"/>
      <c r="AI41" s="124"/>
      <c r="AJ41" s="124"/>
      <c r="AK41" s="124"/>
      <c r="AL41" s="124"/>
      <c r="AM41" s="124"/>
      <c r="AN41" s="124"/>
      <c r="AO41" s="124"/>
      <c r="AP41" s="124"/>
      <c r="AQ41" s="124"/>
      <c r="AR41" s="124"/>
      <c r="AS41" s="124"/>
      <c r="AT41" s="124"/>
      <c r="AU41" s="124"/>
      <c r="AV41" s="124"/>
      <c r="AW41" s="124"/>
      <c r="AX41" s="124"/>
      <c r="AY41" s="124"/>
      <c r="AZ41" s="124"/>
      <c r="BA41" s="124"/>
      <c r="BB41" s="136"/>
    </row>
    <row r="42" customFormat="false" ht="15.6" hidden="false" customHeight="false" outlineLevel="0" collapsed="false">
      <c r="A42" s="111" t="n">
        <f aca="false">IF(ISBLANK(VLOOKUP(D42,#REF!,3)),0,1)</f>
        <v>1</v>
      </c>
      <c r="B42" s="112" t="n">
        <f aca="false">IF(ISBLANK(D42),0,IF(ISBLANK(E42),0,IF(ISBLANK(F42),0,1)))</f>
        <v>0</v>
      </c>
      <c r="C42" s="128" t="n">
        <v>8</v>
      </c>
      <c r="D42" s="129"/>
      <c r="E42" s="129"/>
      <c r="F42" s="137"/>
      <c r="G42" s="117" t="n">
        <v>35.6584</v>
      </c>
      <c r="H42" s="131" t="n">
        <v>100</v>
      </c>
      <c r="I42" s="119" t="n">
        <v>100</v>
      </c>
      <c r="J42" s="132"/>
      <c r="K42" s="133"/>
      <c r="L42" s="133"/>
      <c r="M42" s="133"/>
      <c r="N42" s="134"/>
      <c r="O42" s="133"/>
      <c r="P42" s="175" t="n">
        <v>3.513</v>
      </c>
      <c r="Q42" s="155"/>
      <c r="R42" s="155"/>
      <c r="S42" s="174" t="n">
        <v>152.9</v>
      </c>
      <c r="T42" s="32" t="n">
        <v>0.05</v>
      </c>
      <c r="U42" s="32" t="n">
        <v>0.05</v>
      </c>
      <c r="V42" s="32"/>
      <c r="W42" s="32"/>
      <c r="X42" s="125" t="n">
        <v>13.4</v>
      </c>
      <c r="Y42" s="125" t="n">
        <v>13.1</v>
      </c>
      <c r="Z42" s="32" t="n">
        <v>0.95</v>
      </c>
      <c r="AA42" s="32" t="n">
        <v>0.93</v>
      </c>
      <c r="AB42" s="125" t="n">
        <v>5.4</v>
      </c>
      <c r="AC42" s="125" t="n">
        <v>5.3</v>
      </c>
      <c r="AD42" s="126"/>
      <c r="AE42" s="126"/>
      <c r="AF42" s="126"/>
      <c r="AG42" s="126"/>
      <c r="AH42" s="126"/>
      <c r="AI42" s="126"/>
      <c r="AJ42" s="126"/>
      <c r="AK42" s="126"/>
      <c r="AL42" s="126"/>
      <c r="AM42" s="126"/>
      <c r="AN42" s="126"/>
      <c r="AO42" s="126"/>
      <c r="AP42" s="126"/>
      <c r="AQ42" s="126"/>
      <c r="AR42" s="126"/>
      <c r="AS42" s="126"/>
      <c r="AT42" s="126"/>
      <c r="AU42" s="126"/>
      <c r="AV42" s="126"/>
      <c r="AW42" s="126"/>
      <c r="AX42" s="126"/>
      <c r="AY42" s="126"/>
      <c r="AZ42" s="126"/>
      <c r="BA42" s="126"/>
      <c r="BB42" s="127"/>
    </row>
    <row r="43" customFormat="false" ht="15.6" hidden="false" customHeight="false" outlineLevel="0" collapsed="false">
      <c r="A43" s="111" t="n">
        <f aca="false">IF(ISBLANK(VLOOKUP(D43,#REF!,3)),0,1)</f>
        <v>1</v>
      </c>
      <c r="B43" s="112" t="n">
        <f aca="false">IF(ISBLANK(D43),0,IF(ISBLANK(E43),0,IF(ISBLANK(F43),0,1)))</f>
        <v>0</v>
      </c>
      <c r="C43" s="128" t="n">
        <v>9</v>
      </c>
      <c r="D43" s="129"/>
      <c r="E43" s="129"/>
      <c r="F43" s="137"/>
      <c r="G43" s="117" t="n">
        <v>35.9474</v>
      </c>
      <c r="H43" s="131" t="n">
        <v>50</v>
      </c>
      <c r="I43" s="119" t="n">
        <v>50</v>
      </c>
      <c r="J43" s="132"/>
      <c r="K43" s="133"/>
      <c r="L43" s="133"/>
      <c r="M43" s="133"/>
      <c r="N43" s="134"/>
      <c r="O43" s="133"/>
      <c r="P43" s="175" t="n">
        <v>3.916</v>
      </c>
      <c r="Q43" s="155"/>
      <c r="R43" s="155"/>
      <c r="S43" s="174" t="n">
        <v>170.5</v>
      </c>
      <c r="T43" s="32" t="n">
        <v>0.22</v>
      </c>
      <c r="U43" s="32" t="n">
        <v>0.21</v>
      </c>
      <c r="V43" s="32"/>
      <c r="W43" s="32"/>
      <c r="X43" s="125" t="n">
        <v>9.1</v>
      </c>
      <c r="Y43" s="125" t="n">
        <v>8.9</v>
      </c>
      <c r="Z43" s="32" t="n">
        <v>0.69</v>
      </c>
      <c r="AA43" s="32" t="n">
        <v>0.68</v>
      </c>
      <c r="AB43" s="125" t="n">
        <v>4</v>
      </c>
      <c r="AC43" s="125" t="n">
        <v>3.9</v>
      </c>
      <c r="AD43" s="124"/>
      <c r="AE43" s="124"/>
      <c r="AF43" s="124"/>
      <c r="AG43" s="124"/>
      <c r="AH43" s="124"/>
      <c r="AI43" s="124"/>
      <c r="AJ43" s="124"/>
      <c r="AK43" s="124"/>
      <c r="AL43" s="124"/>
      <c r="AM43" s="124"/>
      <c r="AN43" s="124"/>
      <c r="AO43" s="124"/>
      <c r="AP43" s="124"/>
      <c r="AQ43" s="124"/>
      <c r="AR43" s="124"/>
      <c r="AS43" s="124"/>
      <c r="AT43" s="124"/>
      <c r="AU43" s="124"/>
      <c r="AV43" s="124"/>
      <c r="AW43" s="124"/>
      <c r="AX43" s="124"/>
      <c r="AY43" s="124"/>
      <c r="AZ43" s="124"/>
      <c r="BA43" s="124"/>
      <c r="BB43" s="136"/>
    </row>
    <row r="44" customFormat="false" ht="15.6" hidden="false" customHeight="false" outlineLevel="0" collapsed="false">
      <c r="A44" s="111" t="n">
        <f aca="false">IF(ISBLANK(VLOOKUP(D44,#REF!,3)),0,1)</f>
        <v>1</v>
      </c>
      <c r="B44" s="112" t="n">
        <f aca="false">IF(ISBLANK(D44),0,IF(ISBLANK(E44),0,IF(ISBLANK(F44),0,1)))</f>
        <v>0</v>
      </c>
      <c r="C44" s="128" t="n">
        <v>10</v>
      </c>
      <c r="D44" s="129"/>
      <c r="E44" s="129"/>
      <c r="F44" s="137"/>
      <c r="G44" s="117" t="n">
        <v>35.9541</v>
      </c>
      <c r="H44" s="131" t="n">
        <v>20</v>
      </c>
      <c r="I44" s="119" t="n">
        <v>20</v>
      </c>
      <c r="J44" s="132"/>
      <c r="K44" s="133"/>
      <c r="L44" s="133"/>
      <c r="M44" s="133"/>
      <c r="N44" s="134"/>
      <c r="O44" s="133"/>
      <c r="P44" s="175" t="n">
        <v>4.587</v>
      </c>
      <c r="Q44" s="155"/>
      <c r="R44" s="155"/>
      <c r="S44" s="174" t="n">
        <v>199.9</v>
      </c>
      <c r="T44" s="32" t="n">
        <v>0.16</v>
      </c>
      <c r="U44" s="32" t="n">
        <v>0.16</v>
      </c>
      <c r="V44" s="32"/>
      <c r="W44" s="32"/>
      <c r="X44" s="125" t="n">
        <v>2.9</v>
      </c>
      <c r="Y44" s="125" t="n">
        <v>2.9</v>
      </c>
      <c r="Z44" s="32" t="n">
        <v>0.32</v>
      </c>
      <c r="AA44" s="32" t="n">
        <v>0.31</v>
      </c>
      <c r="AB44" s="125" t="n">
        <v>3.1</v>
      </c>
      <c r="AC44" s="125" t="n">
        <v>3</v>
      </c>
      <c r="AD44" s="124"/>
      <c r="AE44" s="124"/>
      <c r="AF44" s="124"/>
      <c r="AG44" s="124"/>
      <c r="AH44" s="124"/>
      <c r="AI44" s="124"/>
      <c r="AJ44" s="124"/>
      <c r="AK44" s="124"/>
      <c r="AL44" s="124"/>
      <c r="AM44" s="124"/>
      <c r="AN44" s="124"/>
      <c r="AO44" s="124"/>
      <c r="AP44" s="124"/>
      <c r="AQ44" s="124"/>
      <c r="AR44" s="124"/>
      <c r="AS44" s="124"/>
      <c r="AT44" s="124"/>
      <c r="AU44" s="124"/>
      <c r="AV44" s="124"/>
      <c r="AW44" s="124"/>
      <c r="AX44" s="124"/>
      <c r="AY44" s="124"/>
      <c r="AZ44" s="124"/>
      <c r="BA44" s="124"/>
      <c r="BB44" s="136"/>
    </row>
    <row r="45" customFormat="false" ht="15.6" hidden="false" customHeight="false" outlineLevel="0" collapsed="false">
      <c r="A45" s="111" t="n">
        <f aca="false">IF(ISBLANK(VLOOKUP(D45,#REF!,3)),0,1)</f>
        <v>1</v>
      </c>
      <c r="B45" s="112" t="n">
        <f aca="false">IF(ISBLANK(D45),0,IF(ISBLANK(E45),0,IF(ISBLANK(F45),0,1)))</f>
        <v>0</v>
      </c>
      <c r="C45" s="128" t="n">
        <v>11</v>
      </c>
      <c r="D45" s="129"/>
      <c r="E45" s="129"/>
      <c r="F45" s="137"/>
      <c r="G45" s="117" t="n">
        <v>35.7932</v>
      </c>
      <c r="H45" s="131" t="n">
        <v>0</v>
      </c>
      <c r="I45" s="119" t="n">
        <v>2</v>
      </c>
      <c r="J45" s="132"/>
      <c r="K45" s="133"/>
      <c r="L45" s="133"/>
      <c r="M45" s="133"/>
      <c r="N45" s="134"/>
      <c r="O45" s="133"/>
      <c r="P45" s="175" t="n">
        <v>4.984</v>
      </c>
      <c r="Q45" s="155"/>
      <c r="R45" s="155"/>
      <c r="S45" s="174" t="n">
        <v>217.3</v>
      </c>
      <c r="T45" s="32" t="n">
        <v>0.05</v>
      </c>
      <c r="U45" s="32" t="n">
        <v>0.05</v>
      </c>
      <c r="V45" s="32"/>
      <c r="W45" s="32"/>
      <c r="X45" s="125" t="n">
        <v>0.3</v>
      </c>
      <c r="Y45" s="125" t="n">
        <v>0.3</v>
      </c>
      <c r="Z45" s="32" t="n">
        <v>0.15</v>
      </c>
      <c r="AA45" s="32" t="n">
        <v>0.14</v>
      </c>
      <c r="AB45" s="125" t="n">
        <v>1.6</v>
      </c>
      <c r="AC45" s="125" t="n">
        <v>1.5</v>
      </c>
      <c r="AD45" s="124"/>
      <c r="AE45" s="124"/>
      <c r="AF45" s="124"/>
      <c r="AG45" s="124"/>
      <c r="AH45" s="124"/>
      <c r="AI45" s="124"/>
      <c r="AJ45" s="124"/>
      <c r="AK45" s="124"/>
      <c r="AL45" s="124"/>
      <c r="AM45" s="124"/>
      <c r="AN45" s="124"/>
      <c r="AO45" s="124"/>
      <c r="AP45" s="124"/>
      <c r="AQ45" s="124"/>
      <c r="AR45" s="124"/>
      <c r="AS45" s="124"/>
      <c r="AT45" s="124"/>
      <c r="AU45" s="124"/>
      <c r="AV45" s="124"/>
      <c r="AW45" s="124"/>
      <c r="AX45" s="124"/>
      <c r="AY45" s="124"/>
      <c r="AZ45" s="124"/>
      <c r="BA45" s="124"/>
      <c r="BB45" s="136"/>
    </row>
    <row r="46" customFormat="false" ht="15.6" hidden="false" customHeight="false" outlineLevel="0" collapsed="false">
      <c r="A46" s="111" t="n">
        <f aca="false">IF(ISBLANK(VLOOKUP(D46,#REF!,3)),0,1)</f>
        <v>1</v>
      </c>
      <c r="B46" s="112" t="n">
        <f aca="false">IF(ISBLANK(D46),0,IF(ISBLANK(E46),0,IF(ISBLANK(F46),0,1)))</f>
        <v>0</v>
      </c>
      <c r="C46" s="128" t="n">
        <v>12</v>
      </c>
      <c r="D46" s="142"/>
      <c r="E46" s="142"/>
      <c r="F46" s="143"/>
      <c r="G46" s="144"/>
      <c r="H46" s="142"/>
      <c r="I46" s="145"/>
      <c r="J46" s="132" t="str">
        <f aca="false">IF(ISBLANK(D46),"",IF(VLOOKUP(D46,#REF!,2)=0,"",IF(D46&gt;#REF!,"Mauvais numéro",IF(D46&lt;#REF!,"Mauvais numéro",(VLOOKUP(D46,#REF!,3))))))</f>
        <v/>
      </c>
      <c r="K46" s="146" t="str">
        <f aca="false">IF(ISBLANK(E46),"",(0.000824493-(0.0000040899*E46)+(0.000000076438*E46^2)-(0.00000000082467*E46^3)+(0.0000000000053875*E46^4)))</f>
        <v/>
      </c>
      <c r="L46" s="146" t="str">
        <f aca="false">IF(ISBLANK(E46),"",(-0.00000572466+(0.00000010227*E46)-(0.0000000016546*E46^2)))</f>
        <v/>
      </c>
      <c r="M46" s="146" t="str">
        <f aca="false">IF(ISBLANK(E46),"",IF(ISBLANK(G46),(O46+(K46*35)+(L46*35^1.5)+(0.00000048314*35^2)),(O46+(K46*G46)+(L46*G46^1.5)+(0.00000048314*G46^2))))</f>
        <v/>
      </c>
      <c r="N46" s="147" t="str">
        <f aca="false">IF(ISBLANK(D46),"",IF(ISBLANK(G46),J46*(1+0.00001*(35-20)),J46*(1+0.00001*(G46-20))))</f>
        <v/>
      </c>
      <c r="O46" s="146" t="str">
        <f aca="false">IF(ISBLANK(E46),"",(0.999842594+(0.00006793952*E46)-(0.00000909529*E46^2)+(0.0000001001685*E46^3)-(0.000000001120083*E46^4)+(0.000000000006536332*E46^5)))</f>
        <v/>
      </c>
      <c r="P46" s="148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49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5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0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24"/>
      <c r="U46" s="124"/>
      <c r="V46" s="124"/>
      <c r="W46" s="124"/>
      <c r="X46" s="124"/>
      <c r="Y46" s="124"/>
      <c r="Z46" s="124"/>
      <c r="AA46" s="124"/>
      <c r="AB46" s="124"/>
      <c r="AC46" s="124"/>
      <c r="AD46" s="124"/>
      <c r="AE46" s="124"/>
      <c r="AF46" s="124"/>
      <c r="AG46" s="124"/>
      <c r="AH46" s="124"/>
      <c r="AI46" s="124"/>
      <c r="AJ46" s="124"/>
      <c r="AK46" s="124"/>
      <c r="AL46" s="124"/>
      <c r="AM46" s="124"/>
      <c r="AN46" s="124"/>
      <c r="AO46" s="124"/>
      <c r="AP46" s="124"/>
      <c r="AQ46" s="124"/>
      <c r="AR46" s="124"/>
      <c r="AS46" s="124"/>
      <c r="AT46" s="124"/>
      <c r="AU46" s="124"/>
      <c r="AV46" s="124"/>
      <c r="AW46" s="124"/>
      <c r="AX46" s="124"/>
      <c r="AY46" s="124"/>
      <c r="AZ46" s="124"/>
      <c r="BA46" s="124"/>
      <c r="BB46" s="136"/>
    </row>
    <row r="47" customFormat="false" ht="15.6" hidden="false" customHeight="false" outlineLevel="0" collapsed="false">
      <c r="A47" s="111" t="n">
        <f aca="false">IF(ISBLANK(VLOOKUP(D47,#REF!,3)),0,1)</f>
        <v>1</v>
      </c>
      <c r="B47" s="112" t="n">
        <f aca="false">IF(ISBLANK(D47),0,IF(ISBLANK(E47),0,IF(ISBLANK(F47),0,1)))</f>
        <v>0</v>
      </c>
      <c r="C47" s="128" t="n">
        <v>13</v>
      </c>
      <c r="D47" s="151"/>
      <c r="E47" s="151"/>
      <c r="F47" s="152"/>
      <c r="G47" s="153"/>
      <c r="H47" s="151"/>
      <c r="I47" s="151"/>
      <c r="J47" s="132" t="str">
        <f aca="false">IF(ISBLANK(D47),"",IF(VLOOKUP(D47,#REF!,2)=0,"",IF(D47&gt;#REF!,"Mauvais numéro",IF(D47&lt;#REF!,"Mauvais numéro",(VLOOKUP(D47,#REF!,3))))))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54"/>
      <c r="Q47" s="149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5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4"/>
      <c r="T47" s="124"/>
      <c r="U47" s="124"/>
      <c r="V47" s="124"/>
      <c r="W47" s="124"/>
      <c r="X47" s="12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24"/>
      <c r="AJ47" s="124"/>
      <c r="AK47" s="124"/>
      <c r="AL47" s="124"/>
      <c r="AM47" s="124"/>
      <c r="AN47" s="124"/>
      <c r="AO47" s="124"/>
      <c r="AP47" s="124"/>
      <c r="AQ47" s="124"/>
      <c r="AR47" s="124"/>
      <c r="AS47" s="124"/>
      <c r="AT47" s="124"/>
      <c r="AU47" s="124"/>
      <c r="AV47" s="124"/>
      <c r="AW47" s="124"/>
      <c r="AX47" s="124"/>
      <c r="AY47" s="124"/>
      <c r="AZ47" s="124"/>
      <c r="BA47" s="124"/>
      <c r="BB47" s="136"/>
    </row>
    <row r="48" customFormat="false" ht="15.6" hidden="false" customHeight="false" outlineLevel="0" collapsed="false">
      <c r="A48" s="111" t="n">
        <f aca="false">IF(ISBLANK(VLOOKUP(D48,#REF!,3)),0,1)</f>
        <v>1</v>
      </c>
      <c r="B48" s="112" t="n">
        <f aca="false">IF(ISBLANK(D48),0,IF(ISBLANK(E48),0,IF(ISBLANK(F48),0,1)))</f>
        <v>0</v>
      </c>
      <c r="C48" s="128" t="n">
        <v>14</v>
      </c>
      <c r="D48" s="151"/>
      <c r="E48" s="151"/>
      <c r="F48" s="152"/>
      <c r="G48" s="153"/>
      <c r="H48" s="151"/>
      <c r="I48" s="151"/>
      <c r="J48" s="132" t="str">
        <f aca="false">IF(ISBLANK(D48),"",IF(VLOOKUP(D48,#REF!,2)=0,"",IF(D48&gt;#REF!,"Mauvais numéro",IF(D48&lt;#REF!,"Mauvais numéro",(VLOOKUP(D48,#REF!,3))))))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54"/>
      <c r="Q48" s="149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5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4"/>
      <c r="T48" s="124"/>
      <c r="U48" s="124"/>
      <c r="V48" s="124"/>
      <c r="W48" s="124"/>
      <c r="X48" s="124"/>
      <c r="Y48" s="124"/>
      <c r="Z48" s="124"/>
      <c r="AA48" s="124"/>
      <c r="AB48" s="124"/>
      <c r="AC48" s="124"/>
      <c r="AD48" s="124"/>
      <c r="AE48" s="124"/>
      <c r="AF48" s="124"/>
      <c r="AG48" s="124"/>
      <c r="AH48" s="124"/>
      <c r="AI48" s="124"/>
      <c r="AJ48" s="124"/>
      <c r="AK48" s="124"/>
      <c r="AL48" s="124"/>
      <c r="AM48" s="124"/>
      <c r="AN48" s="124"/>
      <c r="AO48" s="124"/>
      <c r="AP48" s="124"/>
      <c r="AQ48" s="124"/>
      <c r="AR48" s="124"/>
      <c r="AS48" s="124"/>
      <c r="AT48" s="124"/>
      <c r="AU48" s="124"/>
      <c r="AV48" s="124"/>
      <c r="AW48" s="124"/>
      <c r="AX48" s="124"/>
      <c r="AY48" s="124"/>
      <c r="AZ48" s="124"/>
      <c r="BA48" s="124"/>
      <c r="BB48" s="136"/>
    </row>
    <row r="49" customFormat="false" ht="15.6" hidden="false" customHeight="false" outlineLevel="0" collapsed="false">
      <c r="A49" s="111" t="n">
        <f aca="false">IF(ISBLANK(VLOOKUP(D49,#REF!,3)),0,1)</f>
        <v>1</v>
      </c>
      <c r="B49" s="112" t="n">
        <f aca="false">IF(ISBLANK(D49),0,IF(ISBLANK(E49),0,IF(ISBLANK(F49),0,1)))</f>
        <v>0</v>
      </c>
      <c r="C49" s="128" t="n">
        <v>15</v>
      </c>
      <c r="D49" s="151"/>
      <c r="E49" s="151"/>
      <c r="F49" s="152"/>
      <c r="G49" s="156"/>
      <c r="H49" s="151"/>
      <c r="I49" s="151"/>
      <c r="J49" s="132" t="str">
        <f aca="false">IF(ISBLANK(D49),"",IF(VLOOKUP(D49,#REF!,2)=0,"",IF(D49&gt;#REF!,"Mauvais numéro",IF(D49&lt;#REF!,"Mauvais numéro",(VLOOKUP(D49,#REF!,3))))))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57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49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24"/>
      <c r="AE49" s="124"/>
      <c r="AF49" s="124"/>
      <c r="AG49" s="124"/>
      <c r="AH49" s="124"/>
      <c r="AI49" s="124"/>
      <c r="AJ49" s="124"/>
      <c r="AK49" s="124"/>
      <c r="AL49" s="124"/>
      <c r="AM49" s="124"/>
      <c r="AN49" s="124"/>
      <c r="AO49" s="124"/>
      <c r="AP49" s="124"/>
      <c r="AQ49" s="124"/>
      <c r="AR49" s="124"/>
      <c r="AS49" s="124"/>
      <c r="AT49" s="124"/>
      <c r="AU49" s="124"/>
      <c r="AV49" s="124"/>
      <c r="AW49" s="124"/>
      <c r="AX49" s="124"/>
      <c r="AY49" s="124"/>
      <c r="AZ49" s="124"/>
      <c r="BA49" s="124"/>
      <c r="BB49" s="136"/>
    </row>
    <row r="50" customFormat="false" ht="15.6" hidden="false" customHeight="false" outlineLevel="0" collapsed="false">
      <c r="A50" s="111" t="n">
        <f aca="false">IF(ISBLANK(VLOOKUP(D50,#REF!,3)),0,1)</f>
        <v>1</v>
      </c>
      <c r="B50" s="112" t="n">
        <f aca="false">IF(ISBLANK(D50),0,IF(ISBLANK(E50),0,IF(ISBLANK(F50),0,1)))</f>
        <v>0</v>
      </c>
      <c r="C50" s="128" t="n">
        <v>16</v>
      </c>
      <c r="D50" s="151"/>
      <c r="E50" s="151"/>
      <c r="F50" s="152"/>
      <c r="G50" s="156"/>
      <c r="H50" s="151"/>
      <c r="I50" s="151"/>
      <c r="J50" s="132" t="str">
        <f aca="false">IF(ISBLANK(D50),"",IF(VLOOKUP(D50,#REF!,2)=0,"",IF(D50&gt;#REF!,"Mauvais numéro",IF(D50&lt;#REF!,"Mauvais numéro",(VLOOKUP(D50,#REF!,3))))))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57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49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24"/>
      <c r="U50" s="124"/>
      <c r="V50" s="124"/>
      <c r="W50" s="124"/>
      <c r="X50" s="124"/>
      <c r="Y50" s="124"/>
      <c r="Z50" s="124"/>
      <c r="AA50" s="124"/>
      <c r="AB50" s="124"/>
      <c r="AC50" s="124"/>
      <c r="AD50" s="124"/>
      <c r="AE50" s="124"/>
      <c r="AF50" s="124"/>
      <c r="AG50" s="124"/>
      <c r="AH50" s="124"/>
      <c r="AI50" s="124"/>
      <c r="AJ50" s="124"/>
      <c r="AK50" s="124"/>
      <c r="AL50" s="124"/>
      <c r="AM50" s="124"/>
      <c r="AN50" s="124"/>
      <c r="AO50" s="124"/>
      <c r="AP50" s="124"/>
      <c r="AQ50" s="124"/>
      <c r="AR50" s="124"/>
      <c r="AS50" s="124"/>
      <c r="AT50" s="124"/>
      <c r="AU50" s="124"/>
      <c r="AV50" s="124"/>
      <c r="AW50" s="124"/>
      <c r="AX50" s="124"/>
      <c r="AY50" s="124"/>
      <c r="AZ50" s="124"/>
      <c r="BA50" s="124"/>
      <c r="BB50" s="136"/>
    </row>
    <row r="51" customFormat="false" ht="15.6" hidden="false" customHeight="false" outlineLevel="0" collapsed="false">
      <c r="A51" s="111" t="n">
        <f aca="false">IF(ISBLANK(VLOOKUP(D51,#REF!,3)),0,1)</f>
        <v>1</v>
      </c>
      <c r="B51" s="112" t="n">
        <f aca="false">IF(ISBLANK(D51),0,IF(ISBLANK(E51),0,IF(ISBLANK(F51),0,1)))</f>
        <v>0</v>
      </c>
      <c r="C51" s="128" t="n">
        <v>17</v>
      </c>
      <c r="D51" s="151"/>
      <c r="E51" s="151"/>
      <c r="F51" s="152"/>
      <c r="G51" s="156"/>
      <c r="H51" s="151"/>
      <c r="I51" s="151"/>
      <c r="J51" s="132" t="str">
        <f aca="false">IF(ISBLANK(D51),"",IF(VLOOKUP(D51,#REF!,2)=0,"",IF(D51&gt;#REF!,"Mauvais numéro",IF(D51&lt;#REF!,"Mauvais numéro",(VLOOKUP(D51,#REF!,3))))))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57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49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24"/>
      <c r="AE51" s="124"/>
      <c r="AF51" s="124"/>
      <c r="AG51" s="124"/>
      <c r="AH51" s="124"/>
      <c r="AI51" s="124"/>
      <c r="AJ51" s="124"/>
      <c r="AK51" s="124"/>
      <c r="AL51" s="124"/>
      <c r="AM51" s="124"/>
      <c r="AN51" s="124"/>
      <c r="AO51" s="124"/>
      <c r="AP51" s="124"/>
      <c r="AQ51" s="124"/>
      <c r="AR51" s="124"/>
      <c r="AS51" s="124"/>
      <c r="AT51" s="124"/>
      <c r="AU51" s="124"/>
      <c r="AV51" s="124"/>
      <c r="AW51" s="124"/>
      <c r="AX51" s="124"/>
      <c r="AY51" s="124"/>
      <c r="AZ51" s="124"/>
      <c r="BA51" s="124"/>
      <c r="BB51" s="136"/>
    </row>
    <row r="52" customFormat="false" ht="15.6" hidden="false" customHeight="false" outlineLevel="0" collapsed="false">
      <c r="A52" s="111" t="n">
        <f aca="false">IF(ISBLANK(VLOOKUP(D52,#REF!,3)),0,1)</f>
        <v>1</v>
      </c>
      <c r="B52" s="112" t="n">
        <f aca="false">IF(ISBLANK(D52),0,IF(ISBLANK(E52),0,IF(ISBLANK(F52),0,1)))</f>
        <v>0</v>
      </c>
      <c r="C52" s="128" t="n">
        <v>18</v>
      </c>
      <c r="D52" s="151"/>
      <c r="E52" s="151"/>
      <c r="F52" s="152"/>
      <c r="G52" s="156"/>
      <c r="H52" s="151"/>
      <c r="I52" s="151"/>
      <c r="J52" s="132" t="str">
        <f aca="false">IF(ISBLANK(D52),"",IF(VLOOKUP(D52,#REF!,2)=0,"",IF(D52&gt;#REF!,"Mauvais numéro",IF(D52&lt;#REF!,"Mauvais numéro",(VLOOKUP(D52,#REF!,3))))))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57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49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24"/>
      <c r="U52" s="124"/>
      <c r="V52" s="124"/>
      <c r="W52" s="124"/>
      <c r="X52" s="124"/>
      <c r="Y52" s="124"/>
      <c r="Z52" s="124"/>
      <c r="AA52" s="124"/>
      <c r="AB52" s="124"/>
      <c r="AC52" s="124"/>
      <c r="AD52" s="124"/>
      <c r="AE52" s="124"/>
      <c r="AF52" s="124"/>
      <c r="AG52" s="124"/>
      <c r="AH52" s="124"/>
      <c r="AI52" s="124"/>
      <c r="AJ52" s="124"/>
      <c r="AK52" s="124"/>
      <c r="AL52" s="124"/>
      <c r="AM52" s="124"/>
      <c r="AN52" s="124"/>
      <c r="AO52" s="124"/>
      <c r="AP52" s="124"/>
      <c r="AQ52" s="124"/>
      <c r="AR52" s="124"/>
      <c r="AS52" s="124"/>
      <c r="AT52" s="124"/>
      <c r="AU52" s="124"/>
      <c r="AV52" s="124"/>
      <c r="AW52" s="124"/>
      <c r="AX52" s="124"/>
      <c r="AY52" s="124"/>
      <c r="AZ52" s="124"/>
      <c r="BA52" s="124"/>
      <c r="BB52" s="136"/>
    </row>
    <row r="53" customFormat="false" ht="15.6" hidden="false" customHeight="false" outlineLevel="0" collapsed="false">
      <c r="A53" s="111" t="n">
        <f aca="false">IF(ISBLANK(VLOOKUP(D53,#REF!,3)),0,1)</f>
        <v>1</v>
      </c>
      <c r="B53" s="112" t="n">
        <f aca="false">IF(ISBLANK(D53),0,IF(ISBLANK(E53),0,IF(ISBLANK(F53),0,1)))</f>
        <v>0</v>
      </c>
      <c r="C53" s="128" t="n">
        <v>19</v>
      </c>
      <c r="D53" s="151"/>
      <c r="E53" s="151"/>
      <c r="F53" s="152"/>
      <c r="G53" s="156"/>
      <c r="H53" s="151"/>
      <c r="I53" s="151"/>
      <c r="J53" s="132" t="str">
        <f aca="false">IF(ISBLANK(D53),"",IF(VLOOKUP(D53,#REF!,2)=0,"",IF(D53&gt;#REF!,"Mauvais numéro",IF(D53&lt;#REF!,"Mauvais numéro",(VLOOKUP(D53,#REF!,3))))))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57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49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24"/>
      <c r="U53" s="124"/>
      <c r="V53" s="124"/>
      <c r="W53" s="124"/>
      <c r="X53" s="12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24"/>
      <c r="AJ53" s="124"/>
      <c r="AK53" s="124"/>
      <c r="AL53" s="124"/>
      <c r="AM53" s="124"/>
      <c r="AN53" s="124"/>
      <c r="AO53" s="124"/>
      <c r="AP53" s="124"/>
      <c r="AQ53" s="124"/>
      <c r="AR53" s="124"/>
      <c r="AS53" s="124"/>
      <c r="AT53" s="124"/>
      <c r="AU53" s="124"/>
      <c r="AV53" s="124"/>
      <c r="AW53" s="124"/>
      <c r="AX53" s="124"/>
      <c r="AY53" s="124"/>
      <c r="AZ53" s="124"/>
      <c r="BA53" s="124"/>
      <c r="BB53" s="136"/>
    </row>
    <row r="54" customFormat="false" ht="15.6" hidden="false" customHeight="false" outlineLevel="0" collapsed="false">
      <c r="A54" s="111" t="n">
        <f aca="false">IF(ISBLANK(VLOOKUP(D54,#REF!,3)),0,1)</f>
        <v>1</v>
      </c>
      <c r="B54" s="112" t="n">
        <f aca="false">IF(ISBLANK(D54),0,IF(ISBLANK(E54),0,IF(ISBLANK(F54),0,1)))</f>
        <v>0</v>
      </c>
      <c r="C54" s="128" t="n">
        <v>20</v>
      </c>
      <c r="D54" s="151"/>
      <c r="E54" s="151"/>
      <c r="F54" s="152"/>
      <c r="G54" s="156"/>
      <c r="H54" s="151"/>
      <c r="I54" s="151"/>
      <c r="J54" s="132" t="str">
        <f aca="false">IF(ISBLANK(D54),"",IF(VLOOKUP(D54,#REF!,2)=0,"",IF(D54&gt;#REF!,"Mauvais numéro",IF(D54&lt;#REF!,"Mauvais numéro",(VLOOKUP(D54,#REF!,3))))))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57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49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4"/>
      <c r="U54" s="124"/>
      <c r="V54" s="124"/>
      <c r="W54" s="124"/>
      <c r="X54" s="124"/>
      <c r="Y54" s="124"/>
      <c r="Z54" s="124"/>
      <c r="AA54" s="124"/>
      <c r="AB54" s="124"/>
      <c r="AC54" s="124"/>
      <c r="AD54" s="124"/>
      <c r="AE54" s="124"/>
      <c r="AF54" s="124"/>
      <c r="AG54" s="124"/>
      <c r="AH54" s="124"/>
      <c r="AI54" s="124"/>
      <c r="AJ54" s="124"/>
      <c r="AK54" s="124"/>
      <c r="AL54" s="124"/>
      <c r="AM54" s="124"/>
      <c r="AN54" s="124"/>
      <c r="AO54" s="124"/>
      <c r="AP54" s="124"/>
      <c r="AQ54" s="124"/>
      <c r="AR54" s="124"/>
      <c r="AS54" s="124"/>
      <c r="AT54" s="124"/>
      <c r="AU54" s="124"/>
      <c r="AV54" s="124"/>
      <c r="AW54" s="124"/>
      <c r="AX54" s="124"/>
      <c r="AY54" s="124"/>
      <c r="AZ54" s="124"/>
      <c r="BA54" s="124"/>
      <c r="BB54" s="136"/>
    </row>
    <row r="55" customFormat="false" ht="15.6" hidden="false" customHeight="false" outlineLevel="0" collapsed="false">
      <c r="A55" s="111" t="n">
        <f aca="false">IF(ISBLANK(VLOOKUP(D55,#REF!,3)),0,1)</f>
        <v>1</v>
      </c>
      <c r="B55" s="112" t="n">
        <f aca="false">IF(ISBLANK(D55),0,IF(ISBLANK(E55),0,IF(ISBLANK(F55),0,1)))</f>
        <v>0</v>
      </c>
      <c r="C55" s="128" t="n">
        <v>21</v>
      </c>
      <c r="D55" s="151"/>
      <c r="E55" s="151"/>
      <c r="F55" s="152"/>
      <c r="G55" s="156"/>
      <c r="H55" s="151"/>
      <c r="I55" s="151"/>
      <c r="J55" s="132" t="str">
        <f aca="false">IF(ISBLANK(D55),"",IF(VLOOKUP(D55,#REF!,2)=0,"",IF(D55&gt;#REF!,"Mauvais numéro",IF(D55&lt;#REF!,"Mauvais numéro",(VLOOKUP(D55,#REF!,3))))))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57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49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24"/>
      <c r="U55" s="124"/>
      <c r="V55" s="124"/>
      <c r="W55" s="124"/>
      <c r="X55" s="124"/>
      <c r="Y55" s="124"/>
      <c r="Z55" s="124"/>
      <c r="AA55" s="124"/>
      <c r="AB55" s="124"/>
      <c r="AC55" s="124"/>
      <c r="AD55" s="124"/>
      <c r="AE55" s="124"/>
      <c r="AF55" s="124"/>
      <c r="AG55" s="124"/>
      <c r="AH55" s="124"/>
      <c r="AI55" s="124"/>
      <c r="AJ55" s="124"/>
      <c r="AK55" s="124"/>
      <c r="AL55" s="124"/>
      <c r="AM55" s="124"/>
      <c r="AN55" s="124"/>
      <c r="AO55" s="124"/>
      <c r="AP55" s="124"/>
      <c r="AQ55" s="124"/>
      <c r="AR55" s="124"/>
      <c r="AS55" s="124"/>
      <c r="AT55" s="124"/>
      <c r="AU55" s="124"/>
      <c r="AV55" s="124"/>
      <c r="AW55" s="124"/>
      <c r="AX55" s="124"/>
      <c r="AY55" s="124"/>
      <c r="AZ55" s="124"/>
      <c r="BA55" s="124"/>
      <c r="BB55" s="136"/>
    </row>
    <row r="56" customFormat="false" ht="15.6" hidden="false" customHeight="false" outlineLevel="0" collapsed="false">
      <c r="A56" s="111" t="n">
        <f aca="false">IF(ISBLANK(VLOOKUP(D56,#REF!,3)),0,1)</f>
        <v>1</v>
      </c>
      <c r="B56" s="112" t="n">
        <f aca="false">IF(ISBLANK(D56),0,IF(ISBLANK(E56),0,IF(ISBLANK(F56),0,1)))</f>
        <v>0</v>
      </c>
      <c r="C56" s="128" t="n">
        <v>22</v>
      </c>
      <c r="D56" s="151"/>
      <c r="E56" s="151"/>
      <c r="F56" s="152"/>
      <c r="G56" s="156"/>
      <c r="H56" s="151"/>
      <c r="I56" s="151"/>
      <c r="J56" s="132" t="str">
        <f aca="false">IF(ISBLANK(D56),"",IF(VLOOKUP(D56,#REF!,2)=0,"",IF(D56&gt;#REF!,"Mauvais numéro",IF(D56&lt;#REF!,"Mauvais numéro",(VLOOKUP(D56,#REF!,3))))))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57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49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24"/>
      <c r="AE56" s="124"/>
      <c r="AF56" s="124"/>
      <c r="AG56" s="124"/>
      <c r="AH56" s="124"/>
      <c r="AI56" s="124"/>
      <c r="AJ56" s="124"/>
      <c r="AK56" s="124"/>
      <c r="AL56" s="124"/>
      <c r="AM56" s="124"/>
      <c r="AN56" s="124"/>
      <c r="AO56" s="124"/>
      <c r="AP56" s="124"/>
      <c r="AQ56" s="124"/>
      <c r="AR56" s="124"/>
      <c r="AS56" s="124"/>
      <c r="AT56" s="124"/>
      <c r="AU56" s="124"/>
      <c r="AV56" s="124"/>
      <c r="AW56" s="124"/>
      <c r="AX56" s="124"/>
      <c r="AY56" s="124"/>
      <c r="AZ56" s="124"/>
      <c r="BA56" s="124"/>
      <c r="BB56" s="136"/>
    </row>
    <row r="57" customFormat="false" ht="15.6" hidden="false" customHeight="false" outlineLevel="0" collapsed="false">
      <c r="A57" s="111" t="n">
        <f aca="false">IF(ISBLANK(VLOOKUP(D57,#REF!,3)),0,1)</f>
        <v>1</v>
      </c>
      <c r="B57" s="112" t="n">
        <f aca="false">IF(ISBLANK(D57),0,IF(ISBLANK(E57),0,IF(ISBLANK(F57),0,1)))</f>
        <v>0</v>
      </c>
      <c r="C57" s="128" t="n">
        <v>23</v>
      </c>
      <c r="D57" s="151"/>
      <c r="E57" s="151"/>
      <c r="F57" s="152"/>
      <c r="G57" s="156"/>
      <c r="H57" s="151"/>
      <c r="I57" s="151"/>
      <c r="J57" s="132" t="str">
        <f aca="false">IF(ISBLANK(D57),"",IF(VLOOKUP(D57,#REF!,2)=0,"",IF(D57&gt;#REF!,"Mauvais numéro",IF(D57&lt;#REF!,"Mauvais numéro",(VLOOKUP(D57,#REF!,3))))))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57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49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4"/>
      <c r="U57" s="124"/>
      <c r="V57" s="124"/>
      <c r="W57" s="124"/>
      <c r="X57" s="124"/>
      <c r="Y57" s="124"/>
      <c r="Z57" s="124"/>
      <c r="AA57" s="124"/>
      <c r="AB57" s="124"/>
      <c r="AC57" s="124"/>
      <c r="AD57" s="124"/>
      <c r="AE57" s="124"/>
      <c r="AF57" s="124"/>
      <c r="AG57" s="124"/>
      <c r="AH57" s="124"/>
      <c r="AI57" s="124"/>
      <c r="AJ57" s="124"/>
      <c r="AK57" s="124"/>
      <c r="AL57" s="124"/>
      <c r="AM57" s="124"/>
      <c r="AN57" s="124"/>
      <c r="AO57" s="124"/>
      <c r="AP57" s="124"/>
      <c r="AQ57" s="124"/>
      <c r="AR57" s="124"/>
      <c r="AS57" s="124"/>
      <c r="AT57" s="124"/>
      <c r="AU57" s="124"/>
      <c r="AV57" s="124"/>
      <c r="AW57" s="124"/>
      <c r="AX57" s="124"/>
      <c r="AY57" s="124"/>
      <c r="AZ57" s="124"/>
      <c r="BA57" s="124"/>
      <c r="BB57" s="136"/>
    </row>
    <row r="58" customFormat="false" ht="16.2" hidden="false" customHeight="false" outlineLevel="0" collapsed="false">
      <c r="A58" s="111" t="n">
        <f aca="false">IF(ISBLANK(VLOOKUP(D58,#REF!,3)),0,1)</f>
        <v>1</v>
      </c>
      <c r="B58" s="112" t="n">
        <f aca="false">IF(ISBLANK(D58),0,IF(ISBLANK(E58),0,IF(ISBLANK(F58),0,1)))</f>
        <v>0</v>
      </c>
      <c r="C58" s="158" t="n">
        <v>24</v>
      </c>
      <c r="D58" s="159"/>
      <c r="E58" s="159"/>
      <c r="F58" s="160"/>
      <c r="G58" s="161"/>
      <c r="H58" s="159"/>
      <c r="I58" s="159"/>
      <c r="J58" s="162" t="str">
        <f aca="false">IF(ISBLANK(D58),"",IF(VLOOKUP(D58,#REF!,2)=0,"",IF(D58&gt;#REF!,"Mauvais numéro",IF(D58&lt;#REF!,"Mauvais numéro",(VLOOKUP(D58,#REF!,3))))))</f>
        <v/>
      </c>
      <c r="K58" s="163" t="str">
        <f aca="false">IF(ISBLANK(E58),"",(0.000824493-(0.0000040899*E58)+(0.000000076438*E58^2)-(0.00000000082467*E58^3)+(0.0000000000053875*E58^4)))</f>
        <v/>
      </c>
      <c r="L58" s="163" t="str">
        <f aca="false">IF(ISBLANK(E58),"",(-0.00000572466+(0.00000010227*E58)-(0.0000000016546*E58^2)))</f>
        <v/>
      </c>
      <c r="M58" s="163" t="str">
        <f aca="false">IF(ISBLANK(E58),"",IF(ISBLANK(G58),(O58+(K58*35)+(L58*35^1.5)+(0.00000048314*35^2)),(O58+(K58*G58)+(L58*G58^1.5)+(0.00000048314*G58^2))))</f>
        <v/>
      </c>
      <c r="N58" s="164" t="str">
        <f aca="false">IF(ISBLANK(D58),"",IF(ISBLANK(G58),J58*(1+0.00001*(35-20)),J58*(1+0.00001*(G58-20))))</f>
        <v/>
      </c>
      <c r="O58" s="163" t="str">
        <f aca="false">IF(ISBLANK(E58),"",(0.999842594+(0.00006793952*E58)-(0.00000909529*E58^2)+(0.0000001001685*E58^3)-(0.000000001120083*E58^4)+(0.000000000006536332*E58^5)))</f>
        <v/>
      </c>
      <c r="P58" s="165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66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7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7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68"/>
      <c r="U58" s="168"/>
      <c r="V58" s="168"/>
      <c r="W58" s="168"/>
      <c r="X58" s="168"/>
      <c r="Y58" s="168"/>
      <c r="Z58" s="168"/>
      <c r="AA58" s="168"/>
      <c r="AB58" s="168"/>
      <c r="AC58" s="168"/>
      <c r="AD58" s="168"/>
      <c r="AE58" s="168"/>
      <c r="AF58" s="168"/>
      <c r="AG58" s="168"/>
      <c r="AH58" s="168"/>
      <c r="AI58" s="168"/>
      <c r="AJ58" s="168"/>
      <c r="AK58" s="168"/>
      <c r="AL58" s="168"/>
      <c r="AM58" s="168"/>
      <c r="AN58" s="168"/>
      <c r="AO58" s="168"/>
      <c r="AP58" s="168"/>
      <c r="AQ58" s="168"/>
      <c r="AR58" s="168"/>
      <c r="AS58" s="168"/>
      <c r="AT58" s="168"/>
      <c r="AU58" s="168"/>
      <c r="AV58" s="168"/>
      <c r="AW58" s="168"/>
      <c r="AX58" s="168"/>
      <c r="AY58" s="168"/>
      <c r="AZ58" s="168"/>
      <c r="BA58" s="168"/>
      <c r="BB58" s="169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V1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8178137651822"/>
    <col collapsed="false" hidden="false" max="32" min="32" style="0" width="9.10526315789474"/>
    <col collapsed="false" hidden="false" max="33" min="33" style="0" width="26.5668016194332"/>
    <col collapsed="false" hidden="false" max="34" min="34" style="0" width="12.8542510121458"/>
    <col collapsed="false" hidden="false" max="35" min="35" style="0" width="11.1417004048583"/>
    <col collapsed="false" hidden="false" max="36" min="36" style="0" width="14.5668016194332"/>
    <col collapsed="false" hidden="false" max="37" min="37" style="0" width="12.2105263157895"/>
    <col collapsed="false" hidden="false" max="38" min="38" style="0" width="26.995951417004"/>
    <col collapsed="false" hidden="false" max="39" min="39" style="0" width="14.6761133603239"/>
    <col collapsed="false" hidden="false" max="40" min="40" style="0" width="11.3562753036437"/>
    <col collapsed="false" hidden="false" max="41" min="41" style="0" width="12.5344129554656"/>
    <col collapsed="false" hidden="false" max="42" min="42" style="0" width="10.7125506072875"/>
    <col collapsed="false" hidden="false" max="43" min="43" style="0" width="6.31983805668016"/>
    <col collapsed="false" hidden="false" max="44" min="44" style="0" width="19.7085020242915"/>
    <col collapsed="false" hidden="false" max="45" min="45" style="0" width="13.0688259109312"/>
    <col collapsed="false" hidden="false" max="46" min="46" style="0" width="17.7813765182186"/>
    <col collapsed="false" hidden="false" max="47" min="47" style="0" width="14.6761133603239"/>
    <col collapsed="false" hidden="false" max="48" min="48" style="0" width="13.6032388663968"/>
    <col collapsed="false" hidden="false" max="49" min="49" style="0" width="13.7125506072874"/>
    <col collapsed="false" hidden="false" max="50" min="50" style="0" width="19.9230769230769"/>
    <col collapsed="false" hidden="false" max="51" min="51" style="0" width="13.2834008097166"/>
    <col collapsed="false" hidden="false" max="52" min="52" style="0" width="17.6761133603239"/>
    <col collapsed="false" hidden="false" max="53" min="53" style="0" width="13.3886639676113"/>
    <col collapsed="false" hidden="false" max="54" min="54" style="0" width="12.6396761133603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4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38526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0</v>
      </c>
      <c r="J9" s="29" t="n">
        <v>30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0°30</v>
      </c>
      <c r="P9" s="29" t="s">
        <v>13</v>
      </c>
      <c r="Q9" s="33" t="n">
        <f aca="false">IF(ISBLANK(I9),"",IF(ISBLANK(J9),"",IF(J9&gt;60,"ERREUR !!",O11*(I9+(J9/60)))))</f>
        <v>0.5</v>
      </c>
      <c r="R9" s="33"/>
    </row>
    <row r="10" customFormat="false" ht="15" hidden="false" customHeight="true" outlineLevel="0" collapsed="false">
      <c r="C10" s="21"/>
      <c r="D10" s="18"/>
      <c r="G10" s="27" t="s">
        <v>16</v>
      </c>
      <c r="H10" s="27"/>
      <c r="I10" s="28" t="n">
        <v>10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15</v>
      </c>
      <c r="N10" s="30" t="s">
        <v>17</v>
      </c>
      <c r="O10" s="34" t="str">
        <f aca="false">IF(ISBLANK(I10),"",IF(ISBLANK(J10),"",IF(P10=N10,L10&amp;N12,N12)))</f>
        <v>-10°0</v>
      </c>
      <c r="P10" s="29" t="s">
        <v>17</v>
      </c>
      <c r="Q10" s="33" t="n">
        <f aca="false">IF(ISBLANK(I10),"",IF(ISBLANK(J10),"",IF(J10&gt;60,"ERREUR !!",O12*(I10+(J10/60)))))</f>
        <v>-10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38526</v>
      </c>
      <c r="K11" s="38"/>
      <c r="L11" s="38"/>
      <c r="M11" s="38"/>
      <c r="N11" s="39" t="str">
        <f aca="false">I9&amp;"°"&amp;J9</f>
        <v>0°30</v>
      </c>
      <c r="O11" s="40" t="n">
        <f aca="false">IF(P9=M10,-1,1)</f>
        <v>1</v>
      </c>
      <c r="P11" s="41" t="str">
        <f aca="false">TEXT(J11,"aaaa-mm-jj")&amp;"T"&amp;TEXT(J12,"hh:mm:ss")&amp;"z"</f>
        <v>2009-06-24T11:00:00z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0.458333333333333</v>
      </c>
      <c r="K12" s="45"/>
      <c r="L12" s="45"/>
      <c r="M12" s="45"/>
      <c r="N12" s="46" t="str">
        <f aca="false">I10&amp;"°"&amp;J10</f>
        <v>10°0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e">
        <f aca="false">$P$24*($P$18/#REF!)</f>
        <v>#REF!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e">
        <f aca="false">5+#REF!</f>
        <v>#REF!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e">
        <f aca="false">P20*(1+0.00001*(R14-20))</f>
        <v>#REF!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e">
        <f aca="false">MAX(#REF!)</f>
        <v>#VALUE!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e">
        <f aca="false">2+(#REF!+#REF!)</f>
        <v>#REF!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52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53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IF(ISBLANK(VLOOKUP(D35,#REF!,3)),0,1)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n">
        <v>34.9626</v>
      </c>
      <c r="H35" s="118" t="n">
        <v>2000</v>
      </c>
      <c r="I35" s="119" t="n">
        <v>2004</v>
      </c>
      <c r="J35" s="120"/>
      <c r="K35" s="121"/>
      <c r="L35" s="121"/>
      <c r="M35" s="121"/>
      <c r="N35" s="122"/>
      <c r="O35" s="121"/>
      <c r="P35" s="171" t="n">
        <v>5.685</v>
      </c>
      <c r="Q35" s="116"/>
      <c r="R35" s="116"/>
      <c r="S35" s="172" t="n">
        <v>247.1</v>
      </c>
      <c r="T35" s="32" t="n">
        <v>0.03</v>
      </c>
      <c r="U35" s="32" t="n">
        <v>0.03</v>
      </c>
      <c r="V35" s="32"/>
      <c r="W35" s="32"/>
      <c r="X35" s="125" t="n">
        <v>20.1</v>
      </c>
      <c r="Y35" s="125" t="n">
        <v>19.6</v>
      </c>
      <c r="Z35" s="32" t="n">
        <v>1.33</v>
      </c>
      <c r="AA35" s="32" t="n">
        <v>1.3</v>
      </c>
      <c r="AB35" s="125" t="n">
        <v>22.7</v>
      </c>
      <c r="AC35" s="125" t="n">
        <v>22.1</v>
      </c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7"/>
    </row>
    <row r="36" customFormat="false" ht="15.6" hidden="false" customHeight="false" outlineLevel="0" collapsed="false">
      <c r="A36" s="111" t="n">
        <f aca="false">IF(ISBLANK(VLOOKUP(D36,#REF!,3)),0,1)</f>
        <v>1</v>
      </c>
      <c r="B36" s="112" t="n">
        <f aca="false">IF(ISBLANK(D36),0,IF(ISBLANK(E36),0,IF(ISBLANK(F36),0,1)))</f>
        <v>0</v>
      </c>
      <c r="C36" s="128" t="n">
        <v>2</v>
      </c>
      <c r="D36" s="129"/>
      <c r="E36" s="129"/>
      <c r="F36" s="130"/>
      <c r="G36" s="117" t="n">
        <v>34.6505</v>
      </c>
      <c r="H36" s="131" t="n">
        <v>1000</v>
      </c>
      <c r="I36" s="119" t="n">
        <v>999</v>
      </c>
      <c r="J36" s="132"/>
      <c r="K36" s="133"/>
      <c r="L36" s="133"/>
      <c r="M36" s="133"/>
      <c r="N36" s="134"/>
      <c r="O36" s="133"/>
      <c r="P36" s="171" t="n">
        <v>3.767</v>
      </c>
      <c r="Q36" s="130"/>
      <c r="R36" s="130"/>
      <c r="S36" s="172" t="n">
        <v>163.8</v>
      </c>
      <c r="T36" s="32" t="n">
        <v>0.02</v>
      </c>
      <c r="U36" s="32" t="n">
        <v>0.02</v>
      </c>
      <c r="V36" s="32"/>
      <c r="W36" s="32"/>
      <c r="X36" s="125" t="n">
        <v>32</v>
      </c>
      <c r="Y36" s="125" t="n">
        <v>31.2</v>
      </c>
      <c r="Z36" s="32" t="n">
        <v>2.17</v>
      </c>
      <c r="AA36" s="32" t="n">
        <v>2.12</v>
      </c>
      <c r="AB36" s="125" t="n">
        <v>31.1</v>
      </c>
      <c r="AC36" s="125" t="n">
        <v>30.4</v>
      </c>
      <c r="AD36" s="124"/>
      <c r="AE36" s="124"/>
      <c r="AF36" s="124"/>
      <c r="AG36" s="124"/>
      <c r="AH36" s="124"/>
      <c r="AI36" s="124"/>
      <c r="AJ36" s="124"/>
      <c r="AK36" s="124"/>
      <c r="AL36" s="124"/>
      <c r="AM36" s="124"/>
      <c r="AN36" s="124"/>
      <c r="AO36" s="124"/>
      <c r="AP36" s="124"/>
      <c r="AQ36" s="124"/>
      <c r="AR36" s="124"/>
      <c r="AS36" s="124"/>
      <c r="AT36" s="124"/>
      <c r="AU36" s="124"/>
      <c r="AV36" s="124"/>
      <c r="AW36" s="124"/>
      <c r="AX36" s="124"/>
      <c r="AY36" s="124"/>
      <c r="AZ36" s="124"/>
      <c r="BA36" s="124"/>
      <c r="BB36" s="136"/>
    </row>
    <row r="37" customFormat="false" ht="15.6" hidden="false" customHeight="false" outlineLevel="0" collapsed="false">
      <c r="A37" s="111" t="n">
        <f aca="false">IF(ISBLANK(VLOOKUP(D37,#REF!,3)),0,1)</f>
        <v>1</v>
      </c>
      <c r="B37" s="112" t="n">
        <f aca="false">IF(ISBLANK(D37),0,IF(ISBLANK(E37),0,IF(ISBLANK(F37),0,1)))</f>
        <v>0</v>
      </c>
      <c r="C37" s="128" t="n">
        <v>3</v>
      </c>
      <c r="D37" s="129"/>
      <c r="E37" s="129"/>
      <c r="F37" s="137"/>
      <c r="G37" s="117" t="n">
        <v>34.5072</v>
      </c>
      <c r="H37" s="131" t="n">
        <v>800</v>
      </c>
      <c r="I37" s="119" t="n">
        <v>798</v>
      </c>
      <c r="J37" s="132"/>
      <c r="K37" s="133"/>
      <c r="L37" s="133"/>
      <c r="M37" s="133"/>
      <c r="N37" s="134"/>
      <c r="O37" s="133"/>
      <c r="P37" s="171" t="n">
        <v>3.383</v>
      </c>
      <c r="Q37" s="137"/>
      <c r="R37" s="137"/>
      <c r="S37" s="172" t="n">
        <v>147.1</v>
      </c>
      <c r="T37" s="32" t="n">
        <v>0.02</v>
      </c>
      <c r="U37" s="32" t="n">
        <v>0.02</v>
      </c>
      <c r="V37" s="32"/>
      <c r="W37" s="32"/>
      <c r="X37" s="125" t="n">
        <v>34.6</v>
      </c>
      <c r="Y37" s="125" t="n">
        <v>33.8</v>
      </c>
      <c r="Z37" s="32" t="n">
        <v>2.31</v>
      </c>
      <c r="AA37" s="32" t="n">
        <v>2.26</v>
      </c>
      <c r="AB37" s="125" t="n">
        <v>30.1</v>
      </c>
      <c r="AC37" s="125" t="n">
        <v>29.4</v>
      </c>
      <c r="AD37" s="124"/>
      <c r="AE37" s="124"/>
      <c r="AF37" s="124"/>
      <c r="AG37" s="124"/>
      <c r="AH37" s="124"/>
      <c r="AI37" s="124"/>
      <c r="AJ37" s="124"/>
      <c r="AK37" s="124"/>
      <c r="AL37" s="124"/>
      <c r="AM37" s="124"/>
      <c r="AN37" s="124"/>
      <c r="AO37" s="124"/>
      <c r="AP37" s="124"/>
      <c r="AQ37" s="124"/>
      <c r="AR37" s="124"/>
      <c r="AS37" s="124"/>
      <c r="AT37" s="124"/>
      <c r="AU37" s="124"/>
      <c r="AV37" s="124"/>
      <c r="AW37" s="124"/>
      <c r="AX37" s="124"/>
      <c r="AY37" s="124"/>
      <c r="AZ37" s="124"/>
      <c r="BA37" s="124"/>
      <c r="BB37" s="136"/>
    </row>
    <row r="38" customFormat="false" ht="16.2" hidden="false" customHeight="false" outlineLevel="0" collapsed="false">
      <c r="A38" s="111" t="n">
        <f aca="false">IF(ISBLANK(VLOOKUP(D38,#REF!,3)),0,1)</f>
        <v>1</v>
      </c>
      <c r="B38" s="112" t="n">
        <f aca="false">IF(ISBLANK(D38),0,IF(ISBLANK(E38),0,IF(ISBLANK(F38),0,1)))</f>
        <v>0</v>
      </c>
      <c r="C38" s="128" t="n">
        <v>4</v>
      </c>
      <c r="D38" s="138"/>
      <c r="E38" s="138"/>
      <c r="F38" s="139"/>
      <c r="G38" s="117" t="n">
        <v>34.5345</v>
      </c>
      <c r="H38" s="131" t="n">
        <v>600</v>
      </c>
      <c r="I38" s="119" t="n">
        <v>600</v>
      </c>
      <c r="J38" s="132"/>
      <c r="K38" s="133"/>
      <c r="L38" s="133"/>
      <c r="M38" s="133"/>
      <c r="N38" s="134"/>
      <c r="O38" s="133"/>
      <c r="P38" s="171" t="n">
        <v>3.145</v>
      </c>
      <c r="Q38" s="139"/>
      <c r="R38" s="139"/>
      <c r="S38" s="172" t="n">
        <v>136.8</v>
      </c>
      <c r="T38" s="32" t="n">
        <v>0.02</v>
      </c>
      <c r="U38" s="32" t="n">
        <v>0.02</v>
      </c>
      <c r="V38" s="32"/>
      <c r="W38" s="32"/>
      <c r="X38" s="125" t="n">
        <v>34.4</v>
      </c>
      <c r="Y38" s="125" t="n">
        <v>33.6</v>
      </c>
      <c r="Z38" s="32" t="n">
        <v>2.27</v>
      </c>
      <c r="AA38" s="32" t="n">
        <v>2.22</v>
      </c>
      <c r="AB38" s="125" t="n">
        <v>25.4</v>
      </c>
      <c r="AC38" s="125" t="n">
        <v>24.8</v>
      </c>
      <c r="AD38" s="124"/>
      <c r="AE38" s="124"/>
      <c r="AF38" s="124"/>
      <c r="AG38" s="124"/>
      <c r="AH38" s="124"/>
      <c r="AI38" s="124"/>
      <c r="AJ38" s="124"/>
      <c r="AK38" s="124"/>
      <c r="AL38" s="124"/>
      <c r="AM38" s="124"/>
      <c r="AN38" s="124"/>
      <c r="AO38" s="124"/>
      <c r="AP38" s="124"/>
      <c r="AQ38" s="124"/>
      <c r="AR38" s="124"/>
      <c r="AS38" s="124"/>
      <c r="AT38" s="124"/>
      <c r="AU38" s="124"/>
      <c r="AV38" s="124"/>
      <c r="AW38" s="124"/>
      <c r="AX38" s="124"/>
      <c r="AY38" s="124"/>
      <c r="AZ38" s="124"/>
      <c r="BA38" s="124"/>
      <c r="BB38" s="136"/>
    </row>
    <row r="39" customFormat="false" ht="15.6" hidden="false" customHeight="false" outlineLevel="0" collapsed="false">
      <c r="A39" s="111" t="n">
        <f aca="false">IF(ISBLANK(VLOOKUP(D39,#REF!,3)),0,1)</f>
        <v>1</v>
      </c>
      <c r="B39" s="112" t="n">
        <f aca="false">IF(ISBLANK(D39),0,IF(ISBLANK(E39),0,IF(ISBLANK(F39),0,1)))</f>
        <v>0</v>
      </c>
      <c r="C39" s="128" t="n">
        <v>5</v>
      </c>
      <c r="D39" s="129"/>
      <c r="E39" s="129"/>
      <c r="F39" s="137"/>
      <c r="G39" s="117" t="n">
        <v>34.7391</v>
      </c>
      <c r="H39" s="131" t="n">
        <v>400</v>
      </c>
      <c r="I39" s="119" t="n">
        <v>398</v>
      </c>
      <c r="J39" s="132"/>
      <c r="K39" s="133"/>
      <c r="L39" s="133"/>
      <c r="M39" s="133"/>
      <c r="N39" s="134"/>
      <c r="O39" s="133"/>
      <c r="P39" s="171" t="n">
        <v>2.373</v>
      </c>
      <c r="Q39" s="137"/>
      <c r="R39" s="137"/>
      <c r="S39" s="172" t="n">
        <v>103.2</v>
      </c>
      <c r="T39" s="32" t="n">
        <v>0.02</v>
      </c>
      <c r="U39" s="32" t="n">
        <v>0.02</v>
      </c>
      <c r="V39" s="32"/>
      <c r="W39" s="32"/>
      <c r="X39" s="125" t="n">
        <v>32.8</v>
      </c>
      <c r="Y39" s="125" t="n">
        <v>32.1</v>
      </c>
      <c r="Z39" s="32" t="n">
        <v>2.08</v>
      </c>
      <c r="AA39" s="32" t="n">
        <v>2.04</v>
      </c>
      <c r="AB39" s="125" t="n">
        <v>18</v>
      </c>
      <c r="AC39" s="125" t="n">
        <v>17.6</v>
      </c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7"/>
    </row>
    <row r="40" customFormat="false" ht="15.6" hidden="false" customHeight="false" outlineLevel="0" collapsed="false">
      <c r="A40" s="111" t="n">
        <f aca="false">IF(ISBLANK(VLOOKUP(D40,#REF!,3)),0,1)</f>
        <v>1</v>
      </c>
      <c r="B40" s="112" t="n">
        <f aca="false">IF(ISBLANK(D40),0,IF(ISBLANK(E40),0,IF(ISBLANK(F40),0,1)))</f>
        <v>0</v>
      </c>
      <c r="C40" s="128" t="n">
        <v>6</v>
      </c>
      <c r="D40" s="129"/>
      <c r="E40" s="129"/>
      <c r="F40" s="137"/>
      <c r="G40" s="117" t="n">
        <v>34.9904</v>
      </c>
      <c r="H40" s="131" t="n">
        <v>300</v>
      </c>
      <c r="I40" s="119" t="n">
        <v>300</v>
      </c>
      <c r="J40" s="132"/>
      <c r="K40" s="133"/>
      <c r="L40" s="133"/>
      <c r="M40" s="133"/>
      <c r="N40" s="134"/>
      <c r="O40" s="133"/>
      <c r="P40" s="171" t="n">
        <v>2.269</v>
      </c>
      <c r="Q40" s="137"/>
      <c r="R40" s="137"/>
      <c r="S40" s="172" t="n">
        <v>98.7</v>
      </c>
      <c r="T40" s="32" t="n">
        <v>0.02</v>
      </c>
      <c r="U40" s="32" t="n">
        <v>0.02</v>
      </c>
      <c r="V40" s="32"/>
      <c r="W40" s="32"/>
      <c r="X40" s="125" t="n">
        <v>28.3</v>
      </c>
      <c r="Y40" s="125" t="n">
        <v>27.7</v>
      </c>
      <c r="Z40" s="32" t="n">
        <v>1.8</v>
      </c>
      <c r="AA40" s="32" t="n">
        <v>1.76</v>
      </c>
      <c r="AB40" s="125" t="n">
        <v>13.1</v>
      </c>
      <c r="AC40" s="125" t="n">
        <v>12.8</v>
      </c>
      <c r="AD40" s="124"/>
      <c r="AE40" s="124"/>
      <c r="AF40" s="124"/>
      <c r="AG40" s="124"/>
      <c r="AH40" s="124"/>
      <c r="AI40" s="124"/>
      <c r="AJ40" s="124"/>
      <c r="AK40" s="124"/>
      <c r="AL40" s="124"/>
      <c r="AM40" s="124"/>
      <c r="AN40" s="124"/>
      <c r="AO40" s="124"/>
      <c r="AP40" s="124"/>
      <c r="AQ40" s="124"/>
      <c r="AR40" s="124"/>
      <c r="AS40" s="124"/>
      <c r="AT40" s="124"/>
      <c r="AU40" s="124"/>
      <c r="AV40" s="124"/>
      <c r="AW40" s="124"/>
      <c r="AX40" s="124"/>
      <c r="AY40" s="124"/>
      <c r="AZ40" s="124"/>
      <c r="BA40" s="124"/>
      <c r="BB40" s="136"/>
    </row>
    <row r="41" customFormat="false" ht="16.2" hidden="false" customHeight="false" outlineLevel="0" collapsed="false">
      <c r="A41" s="111" t="n">
        <f aca="false">IF(ISBLANK(VLOOKUP(D41,#REF!,3)),0,1)</f>
        <v>1</v>
      </c>
      <c r="B41" s="112" t="n">
        <f aca="false">IF(ISBLANK(D41),0,IF(ISBLANK(E41),0,IF(ISBLANK(F41),0,1)))</f>
        <v>0</v>
      </c>
      <c r="C41" s="128" t="n">
        <v>7</v>
      </c>
      <c r="D41" s="129"/>
      <c r="E41" s="129"/>
      <c r="F41" s="137"/>
      <c r="G41" s="117" t="n">
        <v>35.426</v>
      </c>
      <c r="H41" s="131" t="n">
        <v>200</v>
      </c>
      <c r="I41" s="119" t="n">
        <v>202</v>
      </c>
      <c r="J41" s="132"/>
      <c r="K41" s="133"/>
      <c r="L41" s="133"/>
      <c r="M41" s="133"/>
      <c r="N41" s="134"/>
      <c r="O41" s="133"/>
      <c r="P41" s="171" t="n">
        <v>2.399</v>
      </c>
      <c r="Q41" s="137"/>
      <c r="R41" s="137"/>
      <c r="S41" s="172" t="n">
        <v>104.4</v>
      </c>
      <c r="T41" s="32" t="n">
        <v>0.01</v>
      </c>
      <c r="U41" s="32" t="n">
        <v>0.01</v>
      </c>
      <c r="V41" s="32"/>
      <c r="W41" s="32"/>
      <c r="X41" s="125" t="n">
        <v>21.6</v>
      </c>
      <c r="Y41" s="125" t="n">
        <v>21.1</v>
      </c>
      <c r="Z41" s="32" t="n">
        <v>1.39</v>
      </c>
      <c r="AA41" s="32" t="n">
        <v>1.36</v>
      </c>
      <c r="AB41" s="125" t="n">
        <v>8.2</v>
      </c>
      <c r="AC41" s="125" t="n">
        <v>8.1</v>
      </c>
      <c r="AD41" s="124"/>
      <c r="AE41" s="124"/>
      <c r="AF41" s="124"/>
      <c r="AG41" s="124"/>
      <c r="AH41" s="124"/>
      <c r="AI41" s="124"/>
      <c r="AJ41" s="124"/>
      <c r="AK41" s="124"/>
      <c r="AL41" s="124"/>
      <c r="AM41" s="124"/>
      <c r="AN41" s="124"/>
      <c r="AO41" s="124"/>
      <c r="AP41" s="124"/>
      <c r="AQ41" s="124"/>
      <c r="AR41" s="124"/>
      <c r="AS41" s="124"/>
      <c r="AT41" s="124"/>
      <c r="AU41" s="124"/>
      <c r="AV41" s="124"/>
      <c r="AW41" s="124"/>
      <c r="AX41" s="124"/>
      <c r="AY41" s="124"/>
      <c r="AZ41" s="124"/>
      <c r="BA41" s="124"/>
      <c r="BB41" s="136"/>
    </row>
    <row r="42" customFormat="false" ht="15.6" hidden="false" customHeight="false" outlineLevel="0" collapsed="false">
      <c r="A42" s="111" t="n">
        <f aca="false">IF(ISBLANK(VLOOKUP(D42,#REF!,3)),0,1)</f>
        <v>1</v>
      </c>
      <c r="B42" s="112" t="n">
        <f aca="false">IF(ISBLANK(D42),0,IF(ISBLANK(E42),0,IF(ISBLANK(F42),0,1)))</f>
        <v>0</v>
      </c>
      <c r="C42" s="128" t="n">
        <v>8</v>
      </c>
      <c r="D42" s="129"/>
      <c r="E42" s="129"/>
      <c r="F42" s="137"/>
      <c r="G42" s="117" t="n">
        <v>35.7046</v>
      </c>
      <c r="H42" s="131" t="n">
        <v>100</v>
      </c>
      <c r="I42" s="119" t="n">
        <v>100</v>
      </c>
      <c r="J42" s="132"/>
      <c r="K42" s="133"/>
      <c r="L42" s="133"/>
      <c r="M42" s="133"/>
      <c r="N42" s="134"/>
      <c r="O42" s="133"/>
      <c r="P42" s="171" t="n">
        <v>3.627</v>
      </c>
      <c r="Q42" s="137"/>
      <c r="R42" s="137"/>
      <c r="S42" s="172" t="n">
        <v>157.9</v>
      </c>
      <c r="T42" s="32" t="n">
        <v>0.03</v>
      </c>
      <c r="U42" s="32" t="n">
        <v>0.03</v>
      </c>
      <c r="V42" s="32"/>
      <c r="W42" s="32"/>
      <c r="X42" s="125" t="n">
        <v>12.9</v>
      </c>
      <c r="Y42" s="125" t="n">
        <v>12.6</v>
      </c>
      <c r="Z42" s="32" t="n">
        <v>0.88</v>
      </c>
      <c r="AA42" s="32" t="n">
        <v>0.86</v>
      </c>
      <c r="AB42" s="125" t="n">
        <v>5.2</v>
      </c>
      <c r="AC42" s="125" t="n">
        <v>5.1</v>
      </c>
      <c r="AD42" s="126"/>
      <c r="AE42" s="126"/>
      <c r="AF42" s="126"/>
      <c r="AG42" s="126"/>
      <c r="AH42" s="126"/>
      <c r="AI42" s="126"/>
      <c r="AJ42" s="126"/>
      <c r="AK42" s="126"/>
      <c r="AL42" s="126"/>
      <c r="AM42" s="126"/>
      <c r="AN42" s="126"/>
      <c r="AO42" s="126"/>
      <c r="AP42" s="126"/>
      <c r="AQ42" s="126"/>
      <c r="AR42" s="126"/>
      <c r="AS42" s="126"/>
      <c r="AT42" s="126"/>
      <c r="AU42" s="126"/>
      <c r="AV42" s="126"/>
      <c r="AW42" s="126"/>
      <c r="AX42" s="126"/>
      <c r="AY42" s="126"/>
      <c r="AZ42" s="126"/>
      <c r="BA42" s="126"/>
      <c r="BB42" s="127"/>
    </row>
    <row r="43" customFormat="false" ht="15.6" hidden="false" customHeight="false" outlineLevel="0" collapsed="false">
      <c r="A43" s="111" t="n">
        <f aca="false">IF(ISBLANK(VLOOKUP(D43,#REF!,3)),0,1)</f>
        <v>1</v>
      </c>
      <c r="B43" s="112" t="n">
        <f aca="false">IF(ISBLANK(D43),0,IF(ISBLANK(E43),0,IF(ISBLANK(F43),0,1)))</f>
        <v>0</v>
      </c>
      <c r="C43" s="128" t="n">
        <v>9</v>
      </c>
      <c r="D43" s="129"/>
      <c r="E43" s="129"/>
      <c r="F43" s="137"/>
      <c r="G43" s="117" t="n">
        <v>35.9236</v>
      </c>
      <c r="H43" s="131" t="n">
        <v>50</v>
      </c>
      <c r="I43" s="119" t="n">
        <v>50</v>
      </c>
      <c r="J43" s="132"/>
      <c r="K43" s="133"/>
      <c r="L43" s="133"/>
      <c r="M43" s="133"/>
      <c r="N43" s="134"/>
      <c r="O43" s="133"/>
      <c r="P43" s="171" t="n">
        <v>3.846</v>
      </c>
      <c r="Q43" s="137"/>
      <c r="R43" s="137"/>
      <c r="S43" s="172" t="n">
        <v>167.4</v>
      </c>
      <c r="T43" s="32" t="n">
        <v>0.26</v>
      </c>
      <c r="U43" s="32" t="n">
        <v>0.25</v>
      </c>
      <c r="V43" s="32"/>
      <c r="W43" s="32"/>
      <c r="X43" s="125" t="n">
        <v>9.6</v>
      </c>
      <c r="Y43" s="125" t="n">
        <v>9.4</v>
      </c>
      <c r="Z43" s="32" t="n">
        <v>0.73</v>
      </c>
      <c r="AA43" s="32" t="n">
        <v>0.71</v>
      </c>
      <c r="AB43" s="125" t="n">
        <v>4.1</v>
      </c>
      <c r="AC43" s="125" t="n">
        <v>4</v>
      </c>
      <c r="AD43" s="124"/>
      <c r="AE43" s="124"/>
      <c r="AF43" s="124"/>
      <c r="AG43" s="124"/>
      <c r="AH43" s="124"/>
      <c r="AI43" s="124"/>
      <c r="AJ43" s="124"/>
      <c r="AK43" s="124"/>
      <c r="AL43" s="124"/>
      <c r="AM43" s="124"/>
      <c r="AN43" s="124"/>
      <c r="AO43" s="124"/>
      <c r="AP43" s="124"/>
      <c r="AQ43" s="124"/>
      <c r="AR43" s="124"/>
      <c r="AS43" s="124"/>
      <c r="AT43" s="124"/>
      <c r="AU43" s="124"/>
      <c r="AV43" s="124"/>
      <c r="AW43" s="124"/>
      <c r="AX43" s="124"/>
      <c r="AY43" s="124"/>
      <c r="AZ43" s="124"/>
      <c r="BA43" s="124"/>
      <c r="BB43" s="136"/>
    </row>
    <row r="44" customFormat="false" ht="15.6" hidden="false" customHeight="false" outlineLevel="0" collapsed="false">
      <c r="A44" s="111" t="n">
        <f aca="false">IF(ISBLANK(VLOOKUP(D44,#REF!,3)),0,1)</f>
        <v>1</v>
      </c>
      <c r="B44" s="112" t="n">
        <f aca="false">IF(ISBLANK(D44),0,IF(ISBLANK(E44),0,IF(ISBLANK(F44),0,1)))</f>
        <v>0</v>
      </c>
      <c r="C44" s="128" t="n">
        <v>10</v>
      </c>
      <c r="D44" s="129"/>
      <c r="E44" s="129"/>
      <c r="F44" s="137"/>
      <c r="G44" s="117" t="n">
        <v>35.5434</v>
      </c>
      <c r="H44" s="131" t="n">
        <v>20</v>
      </c>
      <c r="I44" s="119" t="n">
        <v>20</v>
      </c>
      <c r="J44" s="132"/>
      <c r="K44" s="133"/>
      <c r="L44" s="133"/>
      <c r="M44" s="133"/>
      <c r="N44" s="134"/>
      <c r="O44" s="133"/>
      <c r="P44" s="171" t="n">
        <v>4.706</v>
      </c>
      <c r="Q44" s="137"/>
      <c r="R44" s="137"/>
      <c r="S44" s="172" t="n">
        <v>205.1</v>
      </c>
      <c r="T44" s="32" t="n">
        <v>0.12</v>
      </c>
      <c r="U44" s="32" t="n">
        <v>0.12</v>
      </c>
      <c r="V44" s="32"/>
      <c r="W44" s="32"/>
      <c r="X44" s="125" t="n">
        <v>2.2</v>
      </c>
      <c r="Y44" s="125" t="n">
        <v>2.2</v>
      </c>
      <c r="Z44" s="32" t="n">
        <v>0.25</v>
      </c>
      <c r="AA44" s="32" t="n">
        <v>0.25</v>
      </c>
      <c r="AB44" s="125" t="n">
        <v>2.4</v>
      </c>
      <c r="AC44" s="125" t="n">
        <v>2.4</v>
      </c>
      <c r="AD44" s="124"/>
      <c r="AE44" s="124"/>
      <c r="AF44" s="124"/>
      <c r="AG44" s="124"/>
      <c r="AH44" s="124"/>
      <c r="AI44" s="124"/>
      <c r="AJ44" s="124"/>
      <c r="AK44" s="124"/>
      <c r="AL44" s="124"/>
      <c r="AM44" s="124"/>
      <c r="AN44" s="124"/>
      <c r="AO44" s="124"/>
      <c r="AP44" s="124"/>
      <c r="AQ44" s="124"/>
      <c r="AR44" s="124"/>
      <c r="AS44" s="124"/>
      <c r="AT44" s="124"/>
      <c r="AU44" s="124"/>
      <c r="AV44" s="124"/>
      <c r="AW44" s="124"/>
      <c r="AX44" s="124"/>
      <c r="AY44" s="124"/>
      <c r="AZ44" s="124"/>
      <c r="BA44" s="124"/>
      <c r="BB44" s="136"/>
    </row>
    <row r="45" customFormat="false" ht="15.6" hidden="false" customHeight="false" outlineLevel="0" collapsed="false">
      <c r="A45" s="111" t="n">
        <f aca="false">IF(ISBLANK(VLOOKUP(D45,#REF!,3)),0,1)</f>
        <v>1</v>
      </c>
      <c r="B45" s="112" t="n">
        <f aca="false">IF(ISBLANK(D45),0,IF(ISBLANK(E45),0,IF(ISBLANK(F45),0,1)))</f>
        <v>0</v>
      </c>
      <c r="C45" s="128" t="n">
        <v>11</v>
      </c>
      <c r="D45" s="129"/>
      <c r="E45" s="129"/>
      <c r="F45" s="137"/>
      <c r="G45" s="117" t="n">
        <v>35.3635</v>
      </c>
      <c r="H45" s="131" t="n">
        <v>0</v>
      </c>
      <c r="I45" s="119" t="n">
        <v>2</v>
      </c>
      <c r="J45" s="132"/>
      <c r="K45" s="133"/>
      <c r="L45" s="133"/>
      <c r="M45" s="133"/>
      <c r="N45" s="134"/>
      <c r="O45" s="133"/>
      <c r="P45" s="171" t="n">
        <v>5.078</v>
      </c>
      <c r="Q45" s="137"/>
      <c r="R45" s="137"/>
      <c r="S45" s="172" t="n">
        <v>221.4</v>
      </c>
      <c r="T45" s="32" t="n">
        <v>0.02</v>
      </c>
      <c r="U45" s="32" t="n">
        <v>0.02</v>
      </c>
      <c r="V45" s="32"/>
      <c r="W45" s="32"/>
      <c r="X45" s="125" t="n">
        <v>0.1</v>
      </c>
      <c r="Y45" s="125" t="n">
        <v>0.1</v>
      </c>
      <c r="Z45" s="32" t="n">
        <v>0.12</v>
      </c>
      <c r="AA45" s="32" t="n">
        <v>0.11</v>
      </c>
      <c r="AB45" s="125" t="n">
        <v>1.6</v>
      </c>
      <c r="AC45" s="125" t="n">
        <v>1.6</v>
      </c>
      <c r="AD45" s="124"/>
      <c r="AE45" s="124"/>
      <c r="AF45" s="124"/>
      <c r="AG45" s="124"/>
      <c r="AH45" s="124"/>
      <c r="AI45" s="124"/>
      <c r="AJ45" s="124"/>
      <c r="AK45" s="124"/>
      <c r="AL45" s="124"/>
      <c r="AM45" s="124"/>
      <c r="AN45" s="124"/>
      <c r="AO45" s="124"/>
      <c r="AP45" s="124"/>
      <c r="AQ45" s="124"/>
      <c r="AR45" s="124"/>
      <c r="AS45" s="124"/>
      <c r="AT45" s="124"/>
      <c r="AU45" s="124"/>
      <c r="AV45" s="124"/>
      <c r="AW45" s="124"/>
      <c r="AX45" s="124"/>
      <c r="AY45" s="124"/>
      <c r="AZ45" s="124"/>
      <c r="BA45" s="124"/>
      <c r="BB45" s="136"/>
    </row>
    <row r="46" customFormat="false" ht="16.2" hidden="false" customHeight="false" outlineLevel="0" collapsed="false">
      <c r="A46" s="111" t="n">
        <f aca="false">IF(ISBLANK(VLOOKUP(D46,#REF!,3)),0,1)</f>
        <v>1</v>
      </c>
      <c r="B46" s="112" t="n">
        <f aca="false">IF(ISBLANK(D46),0,IF(ISBLANK(E46),0,IF(ISBLANK(F46),0,1)))</f>
        <v>0</v>
      </c>
      <c r="C46" s="128" t="n">
        <v>12</v>
      </c>
      <c r="D46" s="142"/>
      <c r="E46" s="142"/>
      <c r="F46" s="143"/>
      <c r="G46" s="144"/>
      <c r="H46" s="142"/>
      <c r="I46" s="145"/>
      <c r="J46" s="132" t="str">
        <f aca="false">IF(ISBLANK(D46),"",IF(VLOOKUP(D46,#REF!,2)=0,"",IF(D46&gt;#REF!,"Mauvais numéro",IF(D46&lt;#REF!,"Mauvais numéro",(VLOOKUP(D46,#REF!,3))))))</f>
        <v/>
      </c>
      <c r="K46" s="146" t="str">
        <f aca="false">IF(ISBLANK(E46),"",(0.000824493-(0.0000040899*E46)+(0.000000076438*E46^2)-(0.00000000082467*E46^3)+(0.0000000000053875*E46^4)))</f>
        <v/>
      </c>
      <c r="L46" s="146" t="str">
        <f aca="false">IF(ISBLANK(E46),"",(-0.00000572466+(0.00000010227*E46)-(0.0000000016546*E46^2)))</f>
        <v/>
      </c>
      <c r="M46" s="146" t="str">
        <f aca="false">IF(ISBLANK(E46),"",IF(ISBLANK(G46),(O46+(K46*35)+(L46*35^1.5)+(0.00000048314*35^2)),(O46+(K46*G46)+(L46*G46^1.5)+(0.00000048314*G46^2))))</f>
        <v/>
      </c>
      <c r="N46" s="147" t="str">
        <f aca="false">IF(ISBLANK(D46),"",IF(ISBLANK(G46),J46*(1+0.00001*(35-20)),J46*(1+0.00001*(G46-20))))</f>
        <v/>
      </c>
      <c r="O46" s="146" t="str">
        <f aca="false">IF(ISBLANK(E46),"",(0.999842594+(0.00006793952*E46)-(0.00000909529*E46^2)+(0.0000001001685*E46^3)-(0.000000001120083*E46^4)+(0.000000000006536332*E46^5)))</f>
        <v/>
      </c>
      <c r="P46" s="148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49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0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0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24"/>
      <c r="U46" s="124"/>
      <c r="V46" s="124"/>
      <c r="W46" s="124"/>
      <c r="X46" s="168"/>
      <c r="Y46" s="168"/>
      <c r="Z46" s="124"/>
      <c r="AA46" s="124"/>
      <c r="AB46" s="124"/>
      <c r="AC46" s="124"/>
      <c r="AD46" s="124"/>
      <c r="AE46" s="124"/>
      <c r="AF46" s="124"/>
      <c r="AG46" s="124"/>
      <c r="AH46" s="124"/>
      <c r="AI46" s="124"/>
      <c r="AJ46" s="124"/>
      <c r="AK46" s="124"/>
      <c r="AL46" s="124"/>
      <c r="AM46" s="124"/>
      <c r="AN46" s="124"/>
      <c r="AO46" s="124"/>
      <c r="AP46" s="124"/>
      <c r="AQ46" s="124"/>
      <c r="AR46" s="124"/>
      <c r="AS46" s="124"/>
      <c r="AT46" s="124"/>
      <c r="AU46" s="124"/>
      <c r="AV46" s="124"/>
      <c r="AW46" s="124"/>
      <c r="AX46" s="124"/>
      <c r="AY46" s="124"/>
      <c r="AZ46" s="124"/>
      <c r="BA46" s="124"/>
      <c r="BB46" s="136"/>
    </row>
    <row r="47" customFormat="false" ht="15.6" hidden="false" customHeight="false" outlineLevel="0" collapsed="false">
      <c r="A47" s="111" t="n">
        <f aca="false">IF(ISBLANK(VLOOKUP(D47,#REF!,3)),0,1)</f>
        <v>1</v>
      </c>
      <c r="B47" s="112" t="n">
        <f aca="false">IF(ISBLANK(D47),0,IF(ISBLANK(E47),0,IF(ISBLANK(F47),0,1)))</f>
        <v>0</v>
      </c>
      <c r="C47" s="128" t="n">
        <v>13</v>
      </c>
      <c r="D47" s="151"/>
      <c r="E47" s="151"/>
      <c r="F47" s="152"/>
      <c r="G47" s="153"/>
      <c r="H47" s="151"/>
      <c r="I47" s="151"/>
      <c r="J47" s="132" t="str">
        <f aca="false">IF(ISBLANK(D47),"",IF(VLOOKUP(D47,#REF!,2)=0,"",IF(D47&gt;#REF!,"Mauvais numéro",IF(D47&lt;#REF!,"Mauvais numéro",(VLOOKUP(D47,#REF!,3))))))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54"/>
      <c r="Q47" s="149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5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4"/>
      <c r="T47" s="124"/>
      <c r="U47" s="124"/>
      <c r="V47" s="124"/>
      <c r="W47" s="124"/>
      <c r="X47" s="12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24"/>
      <c r="AJ47" s="124"/>
      <c r="AK47" s="124"/>
      <c r="AL47" s="124"/>
      <c r="AM47" s="124"/>
      <c r="AN47" s="124"/>
      <c r="AO47" s="124"/>
      <c r="AP47" s="124"/>
      <c r="AQ47" s="124"/>
      <c r="AR47" s="124"/>
      <c r="AS47" s="124"/>
      <c r="AT47" s="124"/>
      <c r="AU47" s="124"/>
      <c r="AV47" s="124"/>
      <c r="AW47" s="124"/>
      <c r="AX47" s="124"/>
      <c r="AY47" s="124"/>
      <c r="AZ47" s="124"/>
      <c r="BA47" s="124"/>
      <c r="BB47" s="136"/>
    </row>
    <row r="48" customFormat="false" ht="15.6" hidden="false" customHeight="false" outlineLevel="0" collapsed="false">
      <c r="A48" s="111" t="n">
        <f aca="false">IF(ISBLANK(VLOOKUP(D48,#REF!,3)),0,1)</f>
        <v>1</v>
      </c>
      <c r="B48" s="112" t="n">
        <f aca="false">IF(ISBLANK(D48),0,IF(ISBLANK(E48),0,IF(ISBLANK(F48),0,1)))</f>
        <v>0</v>
      </c>
      <c r="C48" s="128" t="n">
        <v>14</v>
      </c>
      <c r="D48" s="151"/>
      <c r="E48" s="151"/>
      <c r="F48" s="152"/>
      <c r="G48" s="153"/>
      <c r="H48" s="151"/>
      <c r="I48" s="151"/>
      <c r="J48" s="132" t="str">
        <f aca="false">IF(ISBLANK(D48),"",IF(VLOOKUP(D48,#REF!,2)=0,"",IF(D48&gt;#REF!,"Mauvais numéro",IF(D48&lt;#REF!,"Mauvais numéro",(VLOOKUP(D48,#REF!,3))))))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54"/>
      <c r="Q48" s="149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5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4"/>
      <c r="T48" s="124"/>
      <c r="U48" s="124"/>
      <c r="V48" s="124"/>
      <c r="W48" s="124"/>
      <c r="X48" s="124"/>
      <c r="Y48" s="124"/>
      <c r="Z48" s="124"/>
      <c r="AA48" s="124"/>
      <c r="AB48" s="124"/>
      <c r="AC48" s="124"/>
      <c r="AD48" s="124"/>
      <c r="AE48" s="124"/>
      <c r="AF48" s="124"/>
      <c r="AG48" s="124"/>
      <c r="AH48" s="124"/>
      <c r="AI48" s="124"/>
      <c r="AJ48" s="124"/>
      <c r="AK48" s="124"/>
      <c r="AL48" s="124"/>
      <c r="AM48" s="124"/>
      <c r="AN48" s="124"/>
      <c r="AO48" s="124"/>
      <c r="AP48" s="124"/>
      <c r="AQ48" s="124"/>
      <c r="AR48" s="124"/>
      <c r="AS48" s="124"/>
      <c r="AT48" s="124"/>
      <c r="AU48" s="124"/>
      <c r="AV48" s="124"/>
      <c r="AW48" s="124"/>
      <c r="AX48" s="124"/>
      <c r="AY48" s="124"/>
      <c r="AZ48" s="124"/>
      <c r="BA48" s="124"/>
      <c r="BB48" s="136"/>
    </row>
    <row r="49" customFormat="false" ht="15.6" hidden="false" customHeight="false" outlineLevel="0" collapsed="false">
      <c r="A49" s="111" t="n">
        <f aca="false">IF(ISBLANK(VLOOKUP(D49,#REF!,3)),0,1)</f>
        <v>1</v>
      </c>
      <c r="B49" s="112" t="n">
        <f aca="false">IF(ISBLANK(D49),0,IF(ISBLANK(E49),0,IF(ISBLANK(F49),0,1)))</f>
        <v>0</v>
      </c>
      <c r="C49" s="128" t="n">
        <v>15</v>
      </c>
      <c r="D49" s="151"/>
      <c r="E49" s="151"/>
      <c r="F49" s="152"/>
      <c r="G49" s="156"/>
      <c r="H49" s="151"/>
      <c r="I49" s="151"/>
      <c r="J49" s="132" t="str">
        <f aca="false">IF(ISBLANK(D49),"",IF(VLOOKUP(D49,#REF!,2)=0,"",IF(D49&gt;#REF!,"Mauvais numéro",IF(D49&lt;#REF!,"Mauvais numéro",(VLOOKUP(D49,#REF!,3))))))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57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49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24"/>
      <c r="AE49" s="124"/>
      <c r="AF49" s="124"/>
      <c r="AG49" s="124"/>
      <c r="AH49" s="124"/>
      <c r="AI49" s="124"/>
      <c r="AJ49" s="124"/>
      <c r="AK49" s="124"/>
      <c r="AL49" s="124"/>
      <c r="AM49" s="124"/>
      <c r="AN49" s="124"/>
      <c r="AO49" s="124"/>
      <c r="AP49" s="124"/>
      <c r="AQ49" s="124"/>
      <c r="AR49" s="124"/>
      <c r="AS49" s="124"/>
      <c r="AT49" s="124"/>
      <c r="AU49" s="124"/>
      <c r="AV49" s="124"/>
      <c r="AW49" s="124"/>
      <c r="AX49" s="124"/>
      <c r="AY49" s="124"/>
      <c r="AZ49" s="124"/>
      <c r="BA49" s="124"/>
      <c r="BB49" s="136"/>
    </row>
    <row r="50" customFormat="false" ht="15.6" hidden="false" customHeight="false" outlineLevel="0" collapsed="false">
      <c r="A50" s="111" t="n">
        <f aca="false">IF(ISBLANK(VLOOKUP(D50,#REF!,3)),0,1)</f>
        <v>1</v>
      </c>
      <c r="B50" s="112" t="n">
        <f aca="false">IF(ISBLANK(D50),0,IF(ISBLANK(E50),0,IF(ISBLANK(F50),0,1)))</f>
        <v>0</v>
      </c>
      <c r="C50" s="128" t="n">
        <v>16</v>
      </c>
      <c r="D50" s="151"/>
      <c r="E50" s="151"/>
      <c r="F50" s="152"/>
      <c r="G50" s="156"/>
      <c r="H50" s="151"/>
      <c r="I50" s="151"/>
      <c r="J50" s="132" t="str">
        <f aca="false">IF(ISBLANK(D50),"",IF(VLOOKUP(D50,#REF!,2)=0,"",IF(D50&gt;#REF!,"Mauvais numéro",IF(D50&lt;#REF!,"Mauvais numéro",(VLOOKUP(D50,#REF!,3))))))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57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49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24"/>
      <c r="U50" s="124"/>
      <c r="V50" s="124"/>
      <c r="W50" s="124"/>
      <c r="X50" s="124"/>
      <c r="Y50" s="124"/>
      <c r="Z50" s="124"/>
      <c r="AA50" s="124"/>
      <c r="AB50" s="124"/>
      <c r="AC50" s="124"/>
      <c r="AD50" s="124"/>
      <c r="AE50" s="124"/>
      <c r="AF50" s="124"/>
      <c r="AG50" s="124"/>
      <c r="AH50" s="124"/>
      <c r="AI50" s="124"/>
      <c r="AJ50" s="124"/>
      <c r="AK50" s="124"/>
      <c r="AL50" s="124"/>
      <c r="AM50" s="124"/>
      <c r="AN50" s="124"/>
      <c r="AO50" s="124"/>
      <c r="AP50" s="124"/>
      <c r="AQ50" s="124"/>
      <c r="AR50" s="124"/>
      <c r="AS50" s="124"/>
      <c r="AT50" s="124"/>
      <c r="AU50" s="124"/>
      <c r="AV50" s="124"/>
      <c r="AW50" s="124"/>
      <c r="AX50" s="124"/>
      <c r="AY50" s="124"/>
      <c r="AZ50" s="124"/>
      <c r="BA50" s="124"/>
      <c r="BB50" s="136"/>
    </row>
    <row r="51" customFormat="false" ht="15.6" hidden="false" customHeight="false" outlineLevel="0" collapsed="false">
      <c r="A51" s="111" t="n">
        <f aca="false">IF(ISBLANK(VLOOKUP(D51,#REF!,3)),0,1)</f>
        <v>1</v>
      </c>
      <c r="B51" s="112" t="n">
        <f aca="false">IF(ISBLANK(D51),0,IF(ISBLANK(E51),0,IF(ISBLANK(F51),0,1)))</f>
        <v>0</v>
      </c>
      <c r="C51" s="128" t="n">
        <v>17</v>
      </c>
      <c r="D51" s="151"/>
      <c r="E51" s="151"/>
      <c r="F51" s="152"/>
      <c r="G51" s="156"/>
      <c r="H51" s="151"/>
      <c r="I51" s="151"/>
      <c r="J51" s="132" t="str">
        <f aca="false">IF(ISBLANK(D51),"",IF(VLOOKUP(D51,#REF!,2)=0,"",IF(D51&gt;#REF!,"Mauvais numéro",IF(D51&lt;#REF!,"Mauvais numéro",(VLOOKUP(D51,#REF!,3))))))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57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49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24"/>
      <c r="AE51" s="124"/>
      <c r="AF51" s="124"/>
      <c r="AG51" s="124"/>
      <c r="AH51" s="124"/>
      <c r="AI51" s="124"/>
      <c r="AJ51" s="124"/>
      <c r="AK51" s="124"/>
      <c r="AL51" s="124"/>
      <c r="AM51" s="124"/>
      <c r="AN51" s="124"/>
      <c r="AO51" s="124"/>
      <c r="AP51" s="124"/>
      <c r="AQ51" s="124"/>
      <c r="AR51" s="124"/>
      <c r="AS51" s="124"/>
      <c r="AT51" s="124"/>
      <c r="AU51" s="124"/>
      <c r="AV51" s="124"/>
      <c r="AW51" s="124"/>
      <c r="AX51" s="124"/>
      <c r="AY51" s="124"/>
      <c r="AZ51" s="124"/>
      <c r="BA51" s="124"/>
      <c r="BB51" s="136"/>
    </row>
    <row r="52" customFormat="false" ht="15.6" hidden="false" customHeight="false" outlineLevel="0" collapsed="false">
      <c r="A52" s="111" t="n">
        <f aca="false">IF(ISBLANK(VLOOKUP(D52,#REF!,3)),0,1)</f>
        <v>1</v>
      </c>
      <c r="B52" s="112" t="n">
        <f aca="false">IF(ISBLANK(D52),0,IF(ISBLANK(E52),0,IF(ISBLANK(F52),0,1)))</f>
        <v>0</v>
      </c>
      <c r="C52" s="128" t="n">
        <v>18</v>
      </c>
      <c r="D52" s="151"/>
      <c r="E52" s="151"/>
      <c r="F52" s="152"/>
      <c r="G52" s="156"/>
      <c r="H52" s="151"/>
      <c r="I52" s="151"/>
      <c r="J52" s="132" t="str">
        <f aca="false">IF(ISBLANK(D52),"",IF(VLOOKUP(D52,#REF!,2)=0,"",IF(D52&gt;#REF!,"Mauvais numéro",IF(D52&lt;#REF!,"Mauvais numéro",(VLOOKUP(D52,#REF!,3))))))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57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49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24"/>
      <c r="U52" s="124"/>
      <c r="V52" s="124"/>
      <c r="W52" s="124"/>
      <c r="X52" s="124"/>
      <c r="Y52" s="124"/>
      <c r="Z52" s="124"/>
      <c r="AA52" s="124"/>
      <c r="AB52" s="124"/>
      <c r="AC52" s="124"/>
      <c r="AD52" s="124"/>
      <c r="AE52" s="124"/>
      <c r="AF52" s="124"/>
      <c r="AG52" s="124"/>
      <c r="AH52" s="124"/>
      <c r="AI52" s="124"/>
      <c r="AJ52" s="124"/>
      <c r="AK52" s="124"/>
      <c r="AL52" s="124"/>
      <c r="AM52" s="124"/>
      <c r="AN52" s="124"/>
      <c r="AO52" s="124"/>
      <c r="AP52" s="124"/>
      <c r="AQ52" s="124"/>
      <c r="AR52" s="124"/>
      <c r="AS52" s="124"/>
      <c r="AT52" s="124"/>
      <c r="AU52" s="124"/>
      <c r="AV52" s="124"/>
      <c r="AW52" s="124"/>
      <c r="AX52" s="124"/>
      <c r="AY52" s="124"/>
      <c r="AZ52" s="124"/>
      <c r="BA52" s="124"/>
      <c r="BB52" s="136"/>
    </row>
    <row r="53" customFormat="false" ht="15.6" hidden="false" customHeight="false" outlineLevel="0" collapsed="false">
      <c r="A53" s="111" t="n">
        <f aca="false">IF(ISBLANK(VLOOKUP(D53,#REF!,3)),0,1)</f>
        <v>1</v>
      </c>
      <c r="B53" s="112" t="n">
        <f aca="false">IF(ISBLANK(D53),0,IF(ISBLANK(E53),0,IF(ISBLANK(F53),0,1)))</f>
        <v>0</v>
      </c>
      <c r="C53" s="128" t="n">
        <v>19</v>
      </c>
      <c r="D53" s="151"/>
      <c r="E53" s="151"/>
      <c r="F53" s="152"/>
      <c r="G53" s="156"/>
      <c r="H53" s="151"/>
      <c r="I53" s="151"/>
      <c r="J53" s="132" t="str">
        <f aca="false">IF(ISBLANK(D53),"",IF(VLOOKUP(D53,#REF!,2)=0,"",IF(D53&gt;#REF!,"Mauvais numéro",IF(D53&lt;#REF!,"Mauvais numéro",(VLOOKUP(D53,#REF!,3))))))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57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49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24"/>
      <c r="U53" s="124"/>
      <c r="V53" s="124"/>
      <c r="W53" s="124"/>
      <c r="X53" s="12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24"/>
      <c r="AJ53" s="124"/>
      <c r="AK53" s="124"/>
      <c r="AL53" s="124"/>
      <c r="AM53" s="124"/>
      <c r="AN53" s="124"/>
      <c r="AO53" s="124"/>
      <c r="AP53" s="124"/>
      <c r="AQ53" s="124"/>
      <c r="AR53" s="124"/>
      <c r="AS53" s="124"/>
      <c r="AT53" s="124"/>
      <c r="AU53" s="124"/>
      <c r="AV53" s="124"/>
      <c r="AW53" s="124"/>
      <c r="AX53" s="124"/>
      <c r="AY53" s="124"/>
      <c r="AZ53" s="124"/>
      <c r="BA53" s="124"/>
      <c r="BB53" s="136"/>
    </row>
    <row r="54" customFormat="false" ht="15.6" hidden="false" customHeight="false" outlineLevel="0" collapsed="false">
      <c r="A54" s="111" t="n">
        <f aca="false">IF(ISBLANK(VLOOKUP(D54,#REF!,3)),0,1)</f>
        <v>1</v>
      </c>
      <c r="B54" s="112" t="n">
        <f aca="false">IF(ISBLANK(D54),0,IF(ISBLANK(E54),0,IF(ISBLANK(F54),0,1)))</f>
        <v>0</v>
      </c>
      <c r="C54" s="128" t="n">
        <v>20</v>
      </c>
      <c r="D54" s="151"/>
      <c r="E54" s="151"/>
      <c r="F54" s="152"/>
      <c r="G54" s="156"/>
      <c r="H54" s="151"/>
      <c r="I54" s="151"/>
      <c r="J54" s="132" t="str">
        <f aca="false">IF(ISBLANK(D54),"",IF(VLOOKUP(D54,#REF!,2)=0,"",IF(D54&gt;#REF!,"Mauvais numéro",IF(D54&lt;#REF!,"Mauvais numéro",(VLOOKUP(D54,#REF!,3))))))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57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49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4"/>
      <c r="U54" s="124"/>
      <c r="V54" s="124"/>
      <c r="W54" s="124"/>
      <c r="X54" s="124"/>
      <c r="Y54" s="124"/>
      <c r="Z54" s="124"/>
      <c r="AA54" s="124"/>
      <c r="AB54" s="124"/>
      <c r="AC54" s="124"/>
      <c r="AD54" s="124"/>
      <c r="AE54" s="124"/>
      <c r="AF54" s="124"/>
      <c r="AG54" s="124"/>
      <c r="AH54" s="124"/>
      <c r="AI54" s="124"/>
      <c r="AJ54" s="124"/>
      <c r="AK54" s="124"/>
      <c r="AL54" s="124"/>
      <c r="AM54" s="124"/>
      <c r="AN54" s="124"/>
      <c r="AO54" s="124"/>
      <c r="AP54" s="124"/>
      <c r="AQ54" s="124"/>
      <c r="AR54" s="124"/>
      <c r="AS54" s="124"/>
      <c r="AT54" s="124"/>
      <c r="AU54" s="124"/>
      <c r="AV54" s="124"/>
      <c r="AW54" s="124"/>
      <c r="AX54" s="124"/>
      <c r="AY54" s="124"/>
      <c r="AZ54" s="124"/>
      <c r="BA54" s="124"/>
      <c r="BB54" s="136"/>
    </row>
    <row r="55" customFormat="false" ht="15.6" hidden="false" customHeight="false" outlineLevel="0" collapsed="false">
      <c r="A55" s="111" t="n">
        <f aca="false">IF(ISBLANK(VLOOKUP(D55,#REF!,3)),0,1)</f>
        <v>1</v>
      </c>
      <c r="B55" s="112" t="n">
        <f aca="false">IF(ISBLANK(D55),0,IF(ISBLANK(E55),0,IF(ISBLANK(F55),0,1)))</f>
        <v>0</v>
      </c>
      <c r="C55" s="128" t="n">
        <v>21</v>
      </c>
      <c r="D55" s="151"/>
      <c r="E55" s="151"/>
      <c r="F55" s="152"/>
      <c r="G55" s="156"/>
      <c r="H55" s="151"/>
      <c r="I55" s="151"/>
      <c r="J55" s="132" t="str">
        <f aca="false">IF(ISBLANK(D55),"",IF(VLOOKUP(D55,#REF!,2)=0,"",IF(D55&gt;#REF!,"Mauvais numéro",IF(D55&lt;#REF!,"Mauvais numéro",(VLOOKUP(D55,#REF!,3))))))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57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49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24"/>
      <c r="U55" s="124"/>
      <c r="V55" s="124"/>
      <c r="W55" s="124"/>
      <c r="X55" s="124"/>
      <c r="Y55" s="124"/>
      <c r="Z55" s="124"/>
      <c r="AA55" s="124"/>
      <c r="AB55" s="124"/>
      <c r="AC55" s="124"/>
      <c r="AD55" s="124"/>
      <c r="AE55" s="124"/>
      <c r="AF55" s="124"/>
      <c r="AG55" s="124"/>
      <c r="AH55" s="124"/>
      <c r="AI55" s="124"/>
      <c r="AJ55" s="124"/>
      <c r="AK55" s="124"/>
      <c r="AL55" s="124"/>
      <c r="AM55" s="124"/>
      <c r="AN55" s="124"/>
      <c r="AO55" s="124"/>
      <c r="AP55" s="124"/>
      <c r="AQ55" s="124"/>
      <c r="AR55" s="124"/>
      <c r="AS55" s="124"/>
      <c r="AT55" s="124"/>
      <c r="AU55" s="124"/>
      <c r="AV55" s="124"/>
      <c r="AW55" s="124"/>
      <c r="AX55" s="124"/>
      <c r="AY55" s="124"/>
      <c r="AZ55" s="124"/>
      <c r="BA55" s="124"/>
      <c r="BB55" s="136"/>
    </row>
    <row r="56" customFormat="false" ht="15.6" hidden="false" customHeight="false" outlineLevel="0" collapsed="false">
      <c r="A56" s="111" t="n">
        <f aca="false">IF(ISBLANK(VLOOKUP(D56,#REF!,3)),0,1)</f>
        <v>1</v>
      </c>
      <c r="B56" s="112" t="n">
        <f aca="false">IF(ISBLANK(D56),0,IF(ISBLANK(E56),0,IF(ISBLANK(F56),0,1)))</f>
        <v>0</v>
      </c>
      <c r="C56" s="128" t="n">
        <v>22</v>
      </c>
      <c r="D56" s="151"/>
      <c r="E56" s="151"/>
      <c r="F56" s="152"/>
      <c r="G56" s="156"/>
      <c r="H56" s="151"/>
      <c r="I56" s="151"/>
      <c r="J56" s="132" t="str">
        <f aca="false">IF(ISBLANK(D56),"",IF(VLOOKUP(D56,#REF!,2)=0,"",IF(D56&gt;#REF!,"Mauvais numéro",IF(D56&lt;#REF!,"Mauvais numéro",(VLOOKUP(D56,#REF!,3))))))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57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49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24"/>
      <c r="AE56" s="124"/>
      <c r="AF56" s="124"/>
      <c r="AG56" s="124"/>
      <c r="AH56" s="124"/>
      <c r="AI56" s="124"/>
      <c r="AJ56" s="124"/>
      <c r="AK56" s="124"/>
      <c r="AL56" s="124"/>
      <c r="AM56" s="124"/>
      <c r="AN56" s="124"/>
      <c r="AO56" s="124"/>
      <c r="AP56" s="124"/>
      <c r="AQ56" s="124"/>
      <c r="AR56" s="124"/>
      <c r="AS56" s="124"/>
      <c r="AT56" s="124"/>
      <c r="AU56" s="124"/>
      <c r="AV56" s="124"/>
      <c r="AW56" s="124"/>
      <c r="AX56" s="124"/>
      <c r="AY56" s="124"/>
      <c r="AZ56" s="124"/>
      <c r="BA56" s="124"/>
      <c r="BB56" s="136"/>
    </row>
    <row r="57" customFormat="false" ht="15.6" hidden="false" customHeight="false" outlineLevel="0" collapsed="false">
      <c r="A57" s="111" t="n">
        <f aca="false">IF(ISBLANK(VLOOKUP(D57,#REF!,3)),0,1)</f>
        <v>1</v>
      </c>
      <c r="B57" s="112" t="n">
        <f aca="false">IF(ISBLANK(D57),0,IF(ISBLANK(E57),0,IF(ISBLANK(F57),0,1)))</f>
        <v>0</v>
      </c>
      <c r="C57" s="128" t="n">
        <v>23</v>
      </c>
      <c r="D57" s="151"/>
      <c r="E57" s="151"/>
      <c r="F57" s="152"/>
      <c r="G57" s="156"/>
      <c r="H57" s="151"/>
      <c r="I57" s="151"/>
      <c r="J57" s="132" t="str">
        <f aca="false">IF(ISBLANK(D57),"",IF(VLOOKUP(D57,#REF!,2)=0,"",IF(D57&gt;#REF!,"Mauvais numéro",IF(D57&lt;#REF!,"Mauvais numéro",(VLOOKUP(D57,#REF!,3))))))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57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49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4"/>
      <c r="U57" s="124"/>
      <c r="V57" s="124"/>
      <c r="W57" s="124"/>
      <c r="X57" s="124"/>
      <c r="Y57" s="124"/>
      <c r="Z57" s="124"/>
      <c r="AA57" s="124"/>
      <c r="AB57" s="124"/>
      <c r="AC57" s="124"/>
      <c r="AD57" s="124"/>
      <c r="AE57" s="124"/>
      <c r="AF57" s="124"/>
      <c r="AG57" s="124"/>
      <c r="AH57" s="124"/>
      <c r="AI57" s="124"/>
      <c r="AJ57" s="124"/>
      <c r="AK57" s="124"/>
      <c r="AL57" s="124"/>
      <c r="AM57" s="124"/>
      <c r="AN57" s="124"/>
      <c r="AO57" s="124"/>
      <c r="AP57" s="124"/>
      <c r="AQ57" s="124"/>
      <c r="AR57" s="124"/>
      <c r="AS57" s="124"/>
      <c r="AT57" s="124"/>
      <c r="AU57" s="124"/>
      <c r="AV57" s="124"/>
      <c r="AW57" s="124"/>
      <c r="AX57" s="124"/>
      <c r="AY57" s="124"/>
      <c r="AZ57" s="124"/>
      <c r="BA57" s="124"/>
      <c r="BB57" s="136"/>
    </row>
    <row r="58" customFormat="false" ht="16.2" hidden="false" customHeight="false" outlineLevel="0" collapsed="false">
      <c r="A58" s="111" t="n">
        <f aca="false">IF(ISBLANK(VLOOKUP(D58,#REF!,3)),0,1)</f>
        <v>1</v>
      </c>
      <c r="B58" s="112" t="n">
        <f aca="false">IF(ISBLANK(D58),0,IF(ISBLANK(E58),0,IF(ISBLANK(F58),0,1)))</f>
        <v>0</v>
      </c>
      <c r="C58" s="158" t="n">
        <v>24</v>
      </c>
      <c r="D58" s="159"/>
      <c r="E58" s="159"/>
      <c r="F58" s="160"/>
      <c r="G58" s="161"/>
      <c r="H58" s="159"/>
      <c r="I58" s="159"/>
      <c r="J58" s="162" t="str">
        <f aca="false">IF(ISBLANK(D58),"",IF(VLOOKUP(D58,#REF!,2)=0,"",IF(D58&gt;#REF!,"Mauvais numéro",IF(D58&lt;#REF!,"Mauvais numéro",(VLOOKUP(D58,#REF!,3))))))</f>
        <v/>
      </c>
      <c r="K58" s="163" t="str">
        <f aca="false">IF(ISBLANK(E58),"",(0.000824493-(0.0000040899*E58)+(0.000000076438*E58^2)-(0.00000000082467*E58^3)+(0.0000000000053875*E58^4)))</f>
        <v/>
      </c>
      <c r="L58" s="163" t="str">
        <f aca="false">IF(ISBLANK(E58),"",(-0.00000572466+(0.00000010227*E58)-(0.0000000016546*E58^2)))</f>
        <v/>
      </c>
      <c r="M58" s="163" t="str">
        <f aca="false">IF(ISBLANK(E58),"",IF(ISBLANK(G58),(O58+(K58*35)+(L58*35^1.5)+(0.00000048314*35^2)),(O58+(K58*G58)+(L58*G58^1.5)+(0.00000048314*G58^2))))</f>
        <v/>
      </c>
      <c r="N58" s="164" t="str">
        <f aca="false">IF(ISBLANK(D58),"",IF(ISBLANK(G58),J58*(1+0.00001*(35-20)),J58*(1+0.00001*(G58-20))))</f>
        <v/>
      </c>
      <c r="O58" s="163" t="str">
        <f aca="false">IF(ISBLANK(E58),"",(0.999842594+(0.00006793952*E58)-(0.00000909529*E58^2)+(0.0000001001685*E58^3)-(0.000000001120083*E58^4)+(0.000000000006536332*E58^5)))</f>
        <v/>
      </c>
      <c r="P58" s="165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66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7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7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68"/>
      <c r="U58" s="168"/>
      <c r="V58" s="168"/>
      <c r="W58" s="168"/>
      <c r="X58" s="168"/>
      <c r="Y58" s="168"/>
      <c r="Z58" s="168"/>
      <c r="AA58" s="168"/>
      <c r="AB58" s="168"/>
      <c r="AC58" s="168"/>
      <c r="AD58" s="168"/>
      <c r="AE58" s="168"/>
      <c r="AF58" s="168"/>
      <c r="AG58" s="168"/>
      <c r="AH58" s="168"/>
      <c r="AI58" s="168"/>
      <c r="AJ58" s="168"/>
      <c r="AK58" s="168"/>
      <c r="AL58" s="168"/>
      <c r="AM58" s="168"/>
      <c r="AN58" s="168"/>
      <c r="AO58" s="168"/>
      <c r="AP58" s="168"/>
      <c r="AQ58" s="168"/>
      <c r="AR58" s="168"/>
      <c r="AS58" s="168"/>
      <c r="AT58" s="168"/>
      <c r="AU58" s="168"/>
      <c r="AV58" s="168"/>
      <c r="AW58" s="168"/>
      <c r="AX58" s="168"/>
      <c r="AY58" s="168"/>
      <c r="AZ58" s="168"/>
      <c r="BA58" s="168"/>
      <c r="BB58" s="169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R1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8178137651822"/>
    <col collapsed="false" hidden="false" max="32" min="32" style="0" width="9.10526315789474"/>
    <col collapsed="false" hidden="false" max="33" min="33" style="0" width="26.5668016194332"/>
    <col collapsed="false" hidden="false" max="34" min="34" style="0" width="12.8542510121458"/>
    <col collapsed="false" hidden="false" max="35" min="35" style="0" width="11.1417004048583"/>
    <col collapsed="false" hidden="false" max="36" min="36" style="0" width="14.5668016194332"/>
    <col collapsed="false" hidden="false" max="37" min="37" style="0" width="12.2105263157895"/>
    <col collapsed="false" hidden="false" max="38" min="38" style="0" width="26.995951417004"/>
    <col collapsed="false" hidden="false" max="39" min="39" style="0" width="14.6761133603239"/>
    <col collapsed="false" hidden="false" max="40" min="40" style="0" width="11.3562753036437"/>
    <col collapsed="false" hidden="false" max="41" min="41" style="0" width="12.5344129554656"/>
    <col collapsed="false" hidden="false" max="42" min="42" style="0" width="10.7125506072875"/>
    <col collapsed="false" hidden="false" max="43" min="43" style="0" width="6.31983805668016"/>
    <col collapsed="false" hidden="false" max="44" min="44" style="0" width="19.7085020242915"/>
    <col collapsed="false" hidden="false" max="45" min="45" style="0" width="13.0688259109312"/>
    <col collapsed="false" hidden="false" max="46" min="46" style="0" width="17.7813765182186"/>
    <col collapsed="false" hidden="false" max="47" min="47" style="0" width="14.6761133603239"/>
    <col collapsed="false" hidden="false" max="48" min="48" style="0" width="13.6032388663968"/>
    <col collapsed="false" hidden="false" max="49" min="49" style="0" width="13.7125506072874"/>
    <col collapsed="false" hidden="false" max="50" min="50" style="0" width="19.9230769230769"/>
    <col collapsed="false" hidden="false" max="51" min="51" style="0" width="13.2834008097166"/>
    <col collapsed="false" hidden="false" max="52" min="52" style="0" width="17.6761133603239"/>
    <col collapsed="false" hidden="false" max="53" min="53" style="0" width="13.3886639676113"/>
    <col collapsed="false" hidden="false" max="54" min="54" style="0" width="12.6396761133603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5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38529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0</v>
      </c>
      <c r="J9" s="29" t="n">
        <v>1.57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0°1,57</v>
      </c>
      <c r="P9" s="29" t="s">
        <v>13</v>
      </c>
      <c r="Q9" s="33" t="n">
        <f aca="false">IF(ISBLANK(I9),"",IF(ISBLANK(J9),"",IF(J9&gt;60,"ERREUR !!",O11*(I9+(J9/60)))))</f>
        <v>0.0261666666666667</v>
      </c>
      <c r="R9" s="33"/>
    </row>
    <row r="10" customFormat="false" ht="15" hidden="false" customHeight="true" outlineLevel="0" collapsed="false">
      <c r="C10" s="21"/>
      <c r="D10" s="18"/>
      <c r="G10" s="27" t="s">
        <v>16</v>
      </c>
      <c r="H10" s="27"/>
      <c r="I10" s="28" t="n">
        <v>0</v>
      </c>
      <c r="J10" s="29" t="n">
        <v>1.36</v>
      </c>
      <c r="K10" s="30" t="s">
        <v>12</v>
      </c>
      <c r="L10" s="31" t="str">
        <f aca="false">IF(P10=N9,"+","-")</f>
        <v>-</v>
      </c>
      <c r="M10" s="30" t="s">
        <v>15</v>
      </c>
      <c r="N10" s="30" t="s">
        <v>17</v>
      </c>
      <c r="O10" s="34" t="str">
        <f aca="false">IF(ISBLANK(I10),"",IF(ISBLANK(J10),"",IF(P10=N10,L10&amp;N12,N12)))</f>
        <v>-0°1,36</v>
      </c>
      <c r="P10" s="29" t="s">
        <v>17</v>
      </c>
      <c r="Q10" s="33" t="n">
        <f aca="false">IF(ISBLANK(I10),"",IF(ISBLANK(J10),"",IF(J10&gt;60,"ERREUR !!",O12*(I10+(J10/60)))))</f>
        <v>-0.0226666666666667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38528</v>
      </c>
      <c r="K11" s="38"/>
      <c r="L11" s="38"/>
      <c r="M11" s="38"/>
      <c r="N11" s="39" t="str">
        <f aca="false">I9&amp;"°"&amp;J9</f>
        <v>0°1,57</v>
      </c>
      <c r="O11" s="40" t="n">
        <f aca="false">IF(P9=M10,-1,1)</f>
        <v>1</v>
      </c>
      <c r="P11" s="41" t="str">
        <f aca="false">TEXT(J11,"aaaa-mm-jj")&amp;"T"&amp;TEXT(J12,"hh:mm:ss")&amp;"z"</f>
        <v>2009-06-26T23:00:00z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0.958333333333333</v>
      </c>
      <c r="K12" s="45"/>
      <c r="L12" s="45"/>
      <c r="M12" s="45"/>
      <c r="N12" s="46" t="str">
        <f aca="false">I10&amp;"°"&amp;J10</f>
        <v>0°1,36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e">
        <f aca="false">$P$24*($P$18/#REF!)</f>
        <v>#REF!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e">
        <f aca="false">5+#REF!</f>
        <v>#REF!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e">
        <f aca="false">P20*(1+0.00001*(R14-20))</f>
        <v>#REF!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e">
        <f aca="false">MAX(#REF!)</f>
        <v>#VALUE!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e">
        <f aca="false">2+(#REF!+#REF!)</f>
        <v>#REF!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52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53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IF(ISBLANK(VLOOKUP(D35,#REF!,3)),0,1)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n">
        <v>34.9649</v>
      </c>
      <c r="H35" s="118" t="n">
        <v>2000</v>
      </c>
      <c r="I35" s="119" t="n">
        <v>2021</v>
      </c>
      <c r="J35" s="120"/>
      <c r="K35" s="121"/>
      <c r="L35" s="121"/>
      <c r="M35" s="121"/>
      <c r="N35" s="122"/>
      <c r="O35" s="121"/>
      <c r="P35" s="171" t="n">
        <v>5.679</v>
      </c>
      <c r="Q35" s="120"/>
      <c r="R35" s="120"/>
      <c r="S35" s="172" t="n">
        <v>246.8</v>
      </c>
      <c r="T35" s="32" t="n">
        <v>0.02</v>
      </c>
      <c r="U35" s="32" t="n">
        <v>0.02</v>
      </c>
      <c r="V35" s="32"/>
      <c r="W35" s="32"/>
      <c r="X35" s="125" t="n">
        <v>20.2</v>
      </c>
      <c r="Y35" s="125" t="n">
        <v>19.8</v>
      </c>
      <c r="Z35" s="32" t="n">
        <v>1.08</v>
      </c>
      <c r="AA35" s="32" t="n">
        <v>1.05</v>
      </c>
      <c r="AB35" s="125" t="n">
        <v>21.8</v>
      </c>
      <c r="AC35" s="125" t="n">
        <v>21.3</v>
      </c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7"/>
    </row>
    <row r="36" customFormat="false" ht="15.6" hidden="false" customHeight="false" outlineLevel="0" collapsed="false">
      <c r="A36" s="111" t="n">
        <f aca="false">IF(ISBLANK(VLOOKUP(D36,#REF!,3)),0,1)</f>
        <v>1</v>
      </c>
      <c r="B36" s="112" t="n">
        <f aca="false">IF(ISBLANK(D36),0,IF(ISBLANK(E36),0,IF(ISBLANK(F36),0,1)))</f>
        <v>0</v>
      </c>
      <c r="C36" s="128" t="n">
        <v>2</v>
      </c>
      <c r="D36" s="129"/>
      <c r="E36" s="129"/>
      <c r="F36" s="130"/>
      <c r="G36" s="117" t="n">
        <v>34.6272</v>
      </c>
      <c r="H36" s="131" t="n">
        <v>1000</v>
      </c>
      <c r="I36" s="119" t="n">
        <v>1008</v>
      </c>
      <c r="J36" s="132"/>
      <c r="K36" s="133"/>
      <c r="L36" s="133"/>
      <c r="M36" s="133"/>
      <c r="N36" s="134"/>
      <c r="O36" s="133"/>
      <c r="P36" s="171" t="n">
        <v>3.606</v>
      </c>
      <c r="Q36" s="132"/>
      <c r="R36" s="132"/>
      <c r="S36" s="172" t="n">
        <v>156.8</v>
      </c>
      <c r="T36" s="32" t="n">
        <v>0.02</v>
      </c>
      <c r="U36" s="32" t="n">
        <v>0.02</v>
      </c>
      <c r="V36" s="32"/>
      <c r="W36" s="32"/>
      <c r="X36" s="125" t="n">
        <v>33.3</v>
      </c>
      <c r="Y36" s="125" t="n">
        <v>32.5</v>
      </c>
      <c r="Z36" s="32" t="n">
        <v>2.03</v>
      </c>
      <c r="AA36" s="32" t="n">
        <v>1.98</v>
      </c>
      <c r="AB36" s="125" t="n">
        <v>31.1</v>
      </c>
      <c r="AC36" s="125" t="n">
        <v>30.4</v>
      </c>
      <c r="AD36" s="124"/>
      <c r="AE36" s="124"/>
      <c r="AF36" s="124"/>
      <c r="AG36" s="124"/>
      <c r="AH36" s="124"/>
      <c r="AI36" s="124"/>
      <c r="AJ36" s="124"/>
      <c r="AK36" s="124"/>
      <c r="AL36" s="124"/>
      <c r="AM36" s="124"/>
      <c r="AN36" s="124"/>
      <c r="AO36" s="124"/>
      <c r="AP36" s="124"/>
      <c r="AQ36" s="124"/>
      <c r="AR36" s="124"/>
      <c r="AS36" s="124"/>
      <c r="AT36" s="124"/>
      <c r="AU36" s="124"/>
      <c r="AV36" s="124"/>
      <c r="AW36" s="124"/>
      <c r="AX36" s="124"/>
      <c r="AY36" s="124"/>
      <c r="AZ36" s="124"/>
      <c r="BA36" s="124"/>
      <c r="BB36" s="136"/>
    </row>
    <row r="37" customFormat="false" ht="15.6" hidden="false" customHeight="false" outlineLevel="0" collapsed="false">
      <c r="A37" s="111" t="n">
        <f aca="false">IF(ISBLANK(VLOOKUP(D37,#REF!,3)),0,1)</f>
        <v>1</v>
      </c>
      <c r="B37" s="112" t="n">
        <f aca="false">IF(ISBLANK(D37),0,IF(ISBLANK(E37),0,IF(ISBLANK(F37),0,1)))</f>
        <v>0</v>
      </c>
      <c r="C37" s="128" t="n">
        <v>3</v>
      </c>
      <c r="D37" s="129"/>
      <c r="E37" s="129"/>
      <c r="F37" s="137"/>
      <c r="G37" s="117" t="n">
        <v>34.5288</v>
      </c>
      <c r="H37" s="131" t="n">
        <v>800</v>
      </c>
      <c r="I37" s="119" t="n">
        <v>807</v>
      </c>
      <c r="J37" s="132"/>
      <c r="K37" s="133"/>
      <c r="L37" s="133"/>
      <c r="M37" s="133"/>
      <c r="N37" s="134"/>
      <c r="O37" s="133"/>
      <c r="P37" s="171" t="n">
        <v>3.303</v>
      </c>
      <c r="Q37" s="132"/>
      <c r="R37" s="132"/>
      <c r="S37" s="172" t="n">
        <v>143.6</v>
      </c>
      <c r="T37" s="32" t="n">
        <v>0.02</v>
      </c>
      <c r="U37" s="32" t="n">
        <v>0.02</v>
      </c>
      <c r="V37" s="32"/>
      <c r="W37" s="32"/>
      <c r="X37" s="125" t="n">
        <v>35.2</v>
      </c>
      <c r="Y37" s="125" t="n">
        <v>34.4</v>
      </c>
      <c r="Z37" s="32" t="n">
        <v>2.09</v>
      </c>
      <c r="AA37" s="32" t="n">
        <v>2.04</v>
      </c>
      <c r="AB37" s="125" t="n">
        <v>30.3</v>
      </c>
      <c r="AC37" s="125" t="n">
        <v>29.6</v>
      </c>
      <c r="AD37" s="124"/>
      <c r="AE37" s="124"/>
      <c r="AF37" s="124"/>
      <c r="AG37" s="124"/>
      <c r="AH37" s="124"/>
      <c r="AI37" s="124"/>
      <c r="AJ37" s="124"/>
      <c r="AK37" s="124"/>
      <c r="AL37" s="124"/>
      <c r="AM37" s="124"/>
      <c r="AN37" s="124"/>
      <c r="AO37" s="124"/>
      <c r="AP37" s="124"/>
      <c r="AQ37" s="124"/>
      <c r="AR37" s="124"/>
      <c r="AS37" s="124"/>
      <c r="AT37" s="124"/>
      <c r="AU37" s="124"/>
      <c r="AV37" s="124"/>
      <c r="AW37" s="124"/>
      <c r="AX37" s="124"/>
      <c r="AY37" s="124"/>
      <c r="AZ37" s="124"/>
      <c r="BA37" s="124"/>
      <c r="BB37" s="136"/>
    </row>
    <row r="38" customFormat="false" ht="16.2" hidden="false" customHeight="false" outlineLevel="0" collapsed="false">
      <c r="A38" s="111" t="n">
        <f aca="false">IF(ISBLANK(VLOOKUP(D38,#REF!,3)),0,1)</f>
        <v>1</v>
      </c>
      <c r="B38" s="112" t="n">
        <f aca="false">IF(ISBLANK(D38),0,IF(ISBLANK(E38),0,IF(ISBLANK(F38),0,1)))</f>
        <v>0</v>
      </c>
      <c r="C38" s="128" t="n">
        <v>4</v>
      </c>
      <c r="D38" s="138"/>
      <c r="E38" s="138"/>
      <c r="F38" s="139"/>
      <c r="G38" s="117" t="n">
        <v>34.5178</v>
      </c>
      <c r="H38" s="131" t="n">
        <v>600</v>
      </c>
      <c r="I38" s="119" t="n">
        <v>603</v>
      </c>
      <c r="J38" s="132"/>
      <c r="K38" s="133"/>
      <c r="L38" s="133"/>
      <c r="M38" s="133"/>
      <c r="N38" s="134"/>
      <c r="O38" s="133"/>
      <c r="P38" s="171" t="n">
        <v>3.195</v>
      </c>
      <c r="Q38" s="132"/>
      <c r="R38" s="132"/>
      <c r="S38" s="172" t="n">
        <v>138.9</v>
      </c>
      <c r="T38" s="32" t="n">
        <v>0.02</v>
      </c>
      <c r="U38" s="32" t="n">
        <v>0.02</v>
      </c>
      <c r="V38" s="32"/>
      <c r="W38" s="32"/>
      <c r="X38" s="125" t="n">
        <v>34.9</v>
      </c>
      <c r="Y38" s="125" t="n">
        <v>34.1</v>
      </c>
      <c r="Z38" s="32" t="n">
        <v>2.05</v>
      </c>
      <c r="AA38" s="32" t="n">
        <v>2</v>
      </c>
      <c r="AB38" s="125" t="n">
        <v>25.8</v>
      </c>
      <c r="AC38" s="125" t="n">
        <v>25.2</v>
      </c>
      <c r="AD38" s="124"/>
      <c r="AE38" s="124"/>
      <c r="AF38" s="124"/>
      <c r="AG38" s="124"/>
      <c r="AH38" s="124"/>
      <c r="AI38" s="124"/>
      <c r="AJ38" s="124"/>
      <c r="AK38" s="124"/>
      <c r="AL38" s="124"/>
      <c r="AM38" s="124"/>
      <c r="AN38" s="124"/>
      <c r="AO38" s="124"/>
      <c r="AP38" s="124"/>
      <c r="AQ38" s="124"/>
      <c r="AR38" s="124"/>
      <c r="AS38" s="124"/>
      <c r="AT38" s="124"/>
      <c r="AU38" s="124"/>
      <c r="AV38" s="124"/>
      <c r="AW38" s="124"/>
      <c r="AX38" s="124"/>
      <c r="AY38" s="124"/>
      <c r="AZ38" s="124"/>
      <c r="BA38" s="124"/>
      <c r="BB38" s="136"/>
    </row>
    <row r="39" customFormat="false" ht="15.6" hidden="false" customHeight="false" outlineLevel="0" collapsed="false">
      <c r="A39" s="111" t="n">
        <f aca="false">IF(ISBLANK(VLOOKUP(D39,#REF!,3)),0,1)</f>
        <v>1</v>
      </c>
      <c r="B39" s="112" t="n">
        <f aca="false">IF(ISBLANK(D39),0,IF(ISBLANK(E39),0,IF(ISBLANK(F39),0,1)))</f>
        <v>0</v>
      </c>
      <c r="C39" s="128" t="n">
        <v>5</v>
      </c>
      <c r="D39" s="129"/>
      <c r="E39" s="129"/>
      <c r="F39" s="137"/>
      <c r="G39" s="117" t="n">
        <v>34.7348</v>
      </c>
      <c r="H39" s="131" t="n">
        <v>400</v>
      </c>
      <c r="I39" s="119" t="n">
        <v>402</v>
      </c>
      <c r="J39" s="132"/>
      <c r="K39" s="133"/>
      <c r="L39" s="133"/>
      <c r="M39" s="133"/>
      <c r="N39" s="134"/>
      <c r="O39" s="133"/>
      <c r="P39" s="171" t="n">
        <v>2.322</v>
      </c>
      <c r="Q39" s="132"/>
      <c r="R39" s="132"/>
      <c r="S39" s="172" t="n">
        <v>101</v>
      </c>
      <c r="T39" s="32" t="n">
        <v>0.03</v>
      </c>
      <c r="U39" s="32" t="n">
        <v>0.03</v>
      </c>
      <c r="V39" s="32"/>
      <c r="W39" s="32"/>
      <c r="X39" s="125" t="n">
        <v>33.2</v>
      </c>
      <c r="Y39" s="125" t="n">
        <v>32.5</v>
      </c>
      <c r="Z39" s="32" t="n">
        <v>1.87</v>
      </c>
      <c r="AA39" s="32" t="n">
        <v>1.83</v>
      </c>
      <c r="AB39" s="125" t="n">
        <v>17.3</v>
      </c>
      <c r="AC39" s="125" t="n">
        <v>16.9</v>
      </c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7"/>
    </row>
    <row r="40" customFormat="false" ht="15.6" hidden="false" customHeight="false" outlineLevel="0" collapsed="false">
      <c r="A40" s="111" t="n">
        <f aca="false">IF(ISBLANK(VLOOKUP(D40,#REF!,3)),0,1)</f>
        <v>1</v>
      </c>
      <c r="B40" s="112" t="n">
        <f aca="false">IF(ISBLANK(D40),0,IF(ISBLANK(E40),0,IF(ISBLANK(F40),0,1)))</f>
        <v>0</v>
      </c>
      <c r="C40" s="128" t="n">
        <v>6</v>
      </c>
      <c r="D40" s="129"/>
      <c r="E40" s="129"/>
      <c r="F40" s="137"/>
      <c r="G40" s="117" t="n">
        <v>34.9146</v>
      </c>
      <c r="H40" s="131" t="n">
        <v>300</v>
      </c>
      <c r="I40" s="119" t="n">
        <v>301</v>
      </c>
      <c r="J40" s="132"/>
      <c r="K40" s="133"/>
      <c r="L40" s="133"/>
      <c r="M40" s="133"/>
      <c r="N40" s="134"/>
      <c r="O40" s="133"/>
      <c r="P40" s="171" t="n">
        <v>1.637</v>
      </c>
      <c r="Q40" s="132"/>
      <c r="R40" s="132"/>
      <c r="S40" s="172" t="n">
        <v>71.2</v>
      </c>
      <c r="T40" s="32" t="n">
        <v>0.02</v>
      </c>
      <c r="U40" s="32" t="n">
        <v>0.02</v>
      </c>
      <c r="V40" s="32"/>
      <c r="W40" s="32"/>
      <c r="X40" s="125" t="n">
        <v>33.1</v>
      </c>
      <c r="Y40" s="125" t="n">
        <v>32.3</v>
      </c>
      <c r="Z40" s="32" t="n">
        <v>1.81</v>
      </c>
      <c r="AA40" s="32" t="n">
        <v>1.77</v>
      </c>
      <c r="AB40" s="125" t="n">
        <v>14.8</v>
      </c>
      <c r="AC40" s="125" t="n">
        <v>14.5</v>
      </c>
      <c r="AD40" s="124"/>
      <c r="AE40" s="124"/>
      <c r="AF40" s="124"/>
      <c r="AG40" s="124"/>
      <c r="AH40" s="124"/>
      <c r="AI40" s="124"/>
      <c r="AJ40" s="124"/>
      <c r="AK40" s="124"/>
      <c r="AL40" s="124"/>
      <c r="AM40" s="124"/>
      <c r="AN40" s="124"/>
      <c r="AO40" s="124"/>
      <c r="AP40" s="124"/>
      <c r="AQ40" s="124"/>
      <c r="AR40" s="124"/>
      <c r="AS40" s="124"/>
      <c r="AT40" s="124"/>
      <c r="AU40" s="124"/>
      <c r="AV40" s="124"/>
      <c r="AW40" s="124"/>
      <c r="AX40" s="124"/>
      <c r="AY40" s="124"/>
      <c r="AZ40" s="124"/>
      <c r="BA40" s="124"/>
      <c r="BB40" s="136"/>
    </row>
    <row r="41" customFormat="false" ht="16.2" hidden="false" customHeight="false" outlineLevel="0" collapsed="false">
      <c r="A41" s="111" t="n">
        <f aca="false">IF(ISBLANK(VLOOKUP(D41,#REF!,3)),0,1)</f>
        <v>1</v>
      </c>
      <c r="B41" s="112" t="n">
        <f aca="false">IF(ISBLANK(D41),0,IF(ISBLANK(E41),0,IF(ISBLANK(F41),0,1)))</f>
        <v>0</v>
      </c>
      <c r="C41" s="128" t="n">
        <v>7</v>
      </c>
      <c r="D41" s="129"/>
      <c r="E41" s="129"/>
      <c r="F41" s="137"/>
      <c r="G41" s="117" t="n">
        <v>35.2273</v>
      </c>
      <c r="H41" s="131" t="n">
        <v>200</v>
      </c>
      <c r="I41" s="119" t="n">
        <v>201</v>
      </c>
      <c r="J41" s="132"/>
      <c r="K41" s="133"/>
      <c r="L41" s="133"/>
      <c r="M41" s="133"/>
      <c r="N41" s="134"/>
      <c r="O41" s="133"/>
      <c r="P41" s="171" t="n">
        <v>1.728</v>
      </c>
      <c r="Q41" s="132"/>
      <c r="R41" s="132"/>
      <c r="S41" s="172" t="n">
        <v>75.2</v>
      </c>
      <c r="T41" s="32" t="n">
        <v>0.02</v>
      </c>
      <c r="U41" s="32" t="n">
        <v>0.02</v>
      </c>
      <c r="V41" s="32"/>
      <c r="W41" s="32"/>
      <c r="X41" s="125" t="n">
        <v>27.4</v>
      </c>
      <c r="Y41" s="125" t="n">
        <v>26.8</v>
      </c>
      <c r="Z41" s="32" t="n">
        <v>1.48</v>
      </c>
      <c r="AA41" s="32" t="n">
        <v>1.44</v>
      </c>
      <c r="AB41" s="125" t="n">
        <v>10.6</v>
      </c>
      <c r="AC41" s="125" t="n">
        <v>10.3</v>
      </c>
      <c r="AD41" s="124"/>
      <c r="AE41" s="124"/>
      <c r="AF41" s="124"/>
      <c r="AG41" s="124"/>
      <c r="AH41" s="124"/>
      <c r="AI41" s="124"/>
      <c r="AJ41" s="124"/>
      <c r="AK41" s="124"/>
      <c r="AL41" s="124"/>
      <c r="AM41" s="124"/>
      <c r="AN41" s="124"/>
      <c r="AO41" s="124"/>
      <c r="AP41" s="124"/>
      <c r="AQ41" s="124"/>
      <c r="AR41" s="124"/>
      <c r="AS41" s="124"/>
      <c r="AT41" s="124"/>
      <c r="AU41" s="124"/>
      <c r="AV41" s="124"/>
      <c r="AW41" s="124"/>
      <c r="AX41" s="124"/>
      <c r="AY41" s="124"/>
      <c r="AZ41" s="124"/>
      <c r="BA41" s="124"/>
      <c r="BB41" s="136"/>
    </row>
    <row r="42" customFormat="false" ht="15.6" hidden="false" customHeight="false" outlineLevel="0" collapsed="false">
      <c r="A42" s="111" t="n">
        <f aca="false">IF(ISBLANK(VLOOKUP(D42,#REF!,3)),0,1)</f>
        <v>1</v>
      </c>
      <c r="B42" s="112" t="n">
        <f aca="false">IF(ISBLANK(D42),0,IF(ISBLANK(E42),0,IF(ISBLANK(F42),0,1)))</f>
        <v>0</v>
      </c>
      <c r="C42" s="128" t="n">
        <v>8</v>
      </c>
      <c r="D42" s="129"/>
      <c r="E42" s="129"/>
      <c r="F42" s="137"/>
      <c r="G42" s="117" t="n">
        <v>35.7014</v>
      </c>
      <c r="H42" s="131" t="n">
        <v>100</v>
      </c>
      <c r="I42" s="119" t="n">
        <v>100</v>
      </c>
      <c r="J42" s="132"/>
      <c r="K42" s="133"/>
      <c r="L42" s="133"/>
      <c r="M42" s="133"/>
      <c r="N42" s="134"/>
      <c r="O42" s="133"/>
      <c r="P42" s="171" t="n">
        <v>3.175</v>
      </c>
      <c r="Q42" s="132"/>
      <c r="R42" s="132"/>
      <c r="S42" s="172" t="n">
        <v>138.2</v>
      </c>
      <c r="T42" s="32" t="n">
        <v>0.06</v>
      </c>
      <c r="U42" s="32" t="n">
        <v>0.06</v>
      </c>
      <c r="V42" s="32"/>
      <c r="W42" s="32"/>
      <c r="X42" s="125" t="n">
        <v>15</v>
      </c>
      <c r="Y42" s="125" t="n">
        <v>14.7</v>
      </c>
      <c r="Z42" s="32" t="n">
        <v>0.77</v>
      </c>
      <c r="AA42" s="32" t="n">
        <v>0.75</v>
      </c>
      <c r="AB42" s="125" t="n">
        <v>5.4</v>
      </c>
      <c r="AC42" s="125" t="n">
        <v>5.2</v>
      </c>
      <c r="AD42" s="126"/>
      <c r="AE42" s="126"/>
      <c r="AF42" s="126"/>
      <c r="AG42" s="126"/>
      <c r="AH42" s="126"/>
      <c r="AI42" s="126"/>
      <c r="AJ42" s="126"/>
      <c r="AK42" s="126"/>
      <c r="AL42" s="126"/>
      <c r="AM42" s="126"/>
      <c r="AN42" s="126"/>
      <c r="AO42" s="126"/>
      <c r="AP42" s="126"/>
      <c r="AQ42" s="126"/>
      <c r="AR42" s="126"/>
      <c r="AS42" s="126"/>
      <c r="AT42" s="126"/>
      <c r="AU42" s="126"/>
      <c r="AV42" s="126"/>
      <c r="AW42" s="126"/>
      <c r="AX42" s="126"/>
      <c r="AY42" s="126"/>
      <c r="AZ42" s="126"/>
      <c r="BA42" s="126"/>
      <c r="BB42" s="127"/>
    </row>
    <row r="43" customFormat="false" ht="15.6" hidden="false" customHeight="false" outlineLevel="0" collapsed="false">
      <c r="A43" s="111" t="n">
        <f aca="false">IF(ISBLANK(VLOOKUP(D43,#REF!,3)),0,1)</f>
        <v>1</v>
      </c>
      <c r="B43" s="112" t="n">
        <f aca="false">IF(ISBLANK(D43),0,IF(ISBLANK(E43),0,IF(ISBLANK(F43),0,1)))</f>
        <v>0</v>
      </c>
      <c r="C43" s="128" t="n">
        <v>9</v>
      </c>
      <c r="D43" s="129"/>
      <c r="E43" s="129"/>
      <c r="F43" s="137"/>
      <c r="G43" s="117" t="n">
        <v>35.8285</v>
      </c>
      <c r="H43" s="131" t="n">
        <v>50</v>
      </c>
      <c r="I43" s="119" t="n">
        <v>51</v>
      </c>
      <c r="J43" s="132"/>
      <c r="K43" s="133"/>
      <c r="L43" s="133"/>
      <c r="M43" s="133"/>
      <c r="N43" s="134"/>
      <c r="O43" s="133"/>
      <c r="P43" s="171" t="n">
        <v>3.793</v>
      </c>
      <c r="Q43" s="132"/>
      <c r="R43" s="132"/>
      <c r="S43" s="172" t="n">
        <v>165.1</v>
      </c>
      <c r="T43" s="32" t="n">
        <v>0.16</v>
      </c>
      <c r="U43" s="32" t="n">
        <v>0.16</v>
      </c>
      <c r="V43" s="32"/>
      <c r="W43" s="32"/>
      <c r="X43" s="125" t="n">
        <v>10.5</v>
      </c>
      <c r="Y43" s="125" t="n">
        <v>10.2</v>
      </c>
      <c r="Z43" s="32" t="n">
        <v>0.55</v>
      </c>
      <c r="AA43" s="32" t="n">
        <v>0.54</v>
      </c>
      <c r="AB43" s="125" t="n">
        <v>4</v>
      </c>
      <c r="AC43" s="125" t="n">
        <v>3.9</v>
      </c>
      <c r="AD43" s="124"/>
      <c r="AE43" s="124"/>
      <c r="AF43" s="124"/>
      <c r="AG43" s="124"/>
      <c r="AH43" s="124"/>
      <c r="AI43" s="124"/>
      <c r="AJ43" s="124"/>
      <c r="AK43" s="124"/>
      <c r="AL43" s="124"/>
      <c r="AM43" s="124"/>
      <c r="AN43" s="124"/>
      <c r="AO43" s="124"/>
      <c r="AP43" s="124"/>
      <c r="AQ43" s="124"/>
      <c r="AR43" s="124"/>
      <c r="AS43" s="124"/>
      <c r="AT43" s="124"/>
      <c r="AU43" s="124"/>
      <c r="AV43" s="124"/>
      <c r="AW43" s="124"/>
      <c r="AX43" s="124"/>
      <c r="AY43" s="124"/>
      <c r="AZ43" s="124"/>
      <c r="BA43" s="124"/>
      <c r="BB43" s="136"/>
    </row>
    <row r="44" customFormat="false" ht="15.6" hidden="false" customHeight="false" outlineLevel="0" collapsed="false">
      <c r="A44" s="111" t="n">
        <f aca="false">IF(ISBLANK(VLOOKUP(D44,#REF!,3)),0,1)</f>
        <v>1</v>
      </c>
      <c r="B44" s="112" t="n">
        <f aca="false">IF(ISBLANK(D44),0,IF(ISBLANK(E44),0,IF(ISBLANK(F44),0,1)))</f>
        <v>0</v>
      </c>
      <c r="C44" s="128" t="n">
        <v>10</v>
      </c>
      <c r="D44" s="129"/>
      <c r="E44" s="129"/>
      <c r="F44" s="137"/>
      <c r="G44" s="117" t="n">
        <v>35.9122</v>
      </c>
      <c r="H44" s="131" t="n">
        <v>20</v>
      </c>
      <c r="I44" s="119" t="n">
        <v>21</v>
      </c>
      <c r="J44" s="132"/>
      <c r="K44" s="133"/>
      <c r="L44" s="133"/>
      <c r="M44" s="133"/>
      <c r="N44" s="134"/>
      <c r="O44" s="133"/>
      <c r="P44" s="171" t="n">
        <v>4.524</v>
      </c>
      <c r="Q44" s="132"/>
      <c r="R44" s="132"/>
      <c r="S44" s="172" t="n">
        <v>197.1</v>
      </c>
      <c r="T44" s="32" t="n">
        <v>0.09</v>
      </c>
      <c r="U44" s="32" t="n">
        <v>0.09</v>
      </c>
      <c r="V44" s="32"/>
      <c r="W44" s="32"/>
      <c r="X44" s="125" t="n">
        <v>3</v>
      </c>
      <c r="Y44" s="125" t="n">
        <v>3</v>
      </c>
      <c r="Z44" s="32" t="n">
        <v>0.09</v>
      </c>
      <c r="AA44" s="32" t="n">
        <v>0.09</v>
      </c>
      <c r="AB44" s="125" t="n">
        <v>2.5</v>
      </c>
      <c r="AC44" s="125" t="n">
        <v>2.4</v>
      </c>
      <c r="AD44" s="124"/>
      <c r="AE44" s="124"/>
      <c r="AF44" s="124"/>
      <c r="AG44" s="124"/>
      <c r="AH44" s="124"/>
      <c r="AI44" s="124"/>
      <c r="AJ44" s="124"/>
      <c r="AK44" s="124"/>
      <c r="AL44" s="124"/>
      <c r="AM44" s="124"/>
      <c r="AN44" s="124"/>
      <c r="AO44" s="124"/>
      <c r="AP44" s="124"/>
      <c r="AQ44" s="124"/>
      <c r="AR44" s="124"/>
      <c r="AS44" s="124"/>
      <c r="AT44" s="124"/>
      <c r="AU44" s="124"/>
      <c r="AV44" s="124"/>
      <c r="AW44" s="124"/>
      <c r="AX44" s="124"/>
      <c r="AY44" s="124"/>
      <c r="AZ44" s="124"/>
      <c r="BA44" s="124"/>
      <c r="BB44" s="136"/>
    </row>
    <row r="45" customFormat="false" ht="15.6" hidden="false" customHeight="false" outlineLevel="0" collapsed="false">
      <c r="A45" s="111" t="n">
        <f aca="false">IF(ISBLANK(VLOOKUP(D45,#REF!,3)),0,1)</f>
        <v>1</v>
      </c>
      <c r="B45" s="112" t="n">
        <f aca="false">IF(ISBLANK(D45),0,IF(ISBLANK(E45),0,IF(ISBLANK(F45),0,1)))</f>
        <v>0</v>
      </c>
      <c r="C45" s="128" t="n">
        <v>11</v>
      </c>
      <c r="D45" s="129"/>
      <c r="E45" s="129"/>
      <c r="F45" s="137"/>
      <c r="G45" s="117" t="n">
        <v>35.9246</v>
      </c>
      <c r="H45" s="131" t="n">
        <v>0</v>
      </c>
      <c r="I45" s="119" t="n">
        <v>1.5</v>
      </c>
      <c r="J45" s="132"/>
      <c r="K45" s="133"/>
      <c r="L45" s="133"/>
      <c r="M45" s="133"/>
      <c r="N45" s="134"/>
      <c r="O45" s="133"/>
      <c r="P45" s="171" t="n">
        <v>4.816</v>
      </c>
      <c r="Q45" s="132"/>
      <c r="R45" s="132"/>
      <c r="S45" s="172" t="n">
        <v>210</v>
      </c>
      <c r="T45" s="32" t="n">
        <v>0.06</v>
      </c>
      <c r="U45" s="32" t="n">
        <v>0.06</v>
      </c>
      <c r="V45" s="32"/>
      <c r="W45" s="32"/>
      <c r="X45" s="125" t="n">
        <v>0.7</v>
      </c>
      <c r="Y45" s="125" t="n">
        <v>0.7</v>
      </c>
      <c r="Z45" s="32" t="n">
        <v>0</v>
      </c>
      <c r="AA45" s="32" t="n">
        <v>0</v>
      </c>
      <c r="AB45" s="125" t="n">
        <v>1.7</v>
      </c>
      <c r="AC45" s="125" t="n">
        <v>1.7</v>
      </c>
      <c r="AD45" s="124"/>
      <c r="AE45" s="124"/>
      <c r="AF45" s="124"/>
      <c r="AG45" s="124"/>
      <c r="AH45" s="124"/>
      <c r="AI45" s="124"/>
      <c r="AJ45" s="124"/>
      <c r="AK45" s="124"/>
      <c r="AL45" s="124"/>
      <c r="AM45" s="124"/>
      <c r="AN45" s="124"/>
      <c r="AO45" s="124"/>
      <c r="AP45" s="124"/>
      <c r="AQ45" s="124"/>
      <c r="AR45" s="124"/>
      <c r="AS45" s="124"/>
      <c r="AT45" s="124"/>
      <c r="AU45" s="124"/>
      <c r="AV45" s="124"/>
      <c r="AW45" s="124"/>
      <c r="AX45" s="124"/>
      <c r="AY45" s="124"/>
      <c r="AZ45" s="124"/>
      <c r="BA45" s="124"/>
      <c r="BB45" s="136"/>
    </row>
    <row r="46" customFormat="false" ht="15.6" hidden="false" customHeight="false" outlineLevel="0" collapsed="false">
      <c r="A46" s="111" t="n">
        <f aca="false">IF(ISBLANK(VLOOKUP(D46,#REF!,3)),0,1)</f>
        <v>1</v>
      </c>
      <c r="B46" s="112" t="n">
        <f aca="false">IF(ISBLANK(D46),0,IF(ISBLANK(E46),0,IF(ISBLANK(F46),0,1)))</f>
        <v>0</v>
      </c>
      <c r="C46" s="128" t="n">
        <v>12</v>
      </c>
      <c r="D46" s="142"/>
      <c r="E46" s="142"/>
      <c r="F46" s="143"/>
      <c r="G46" s="144"/>
      <c r="H46" s="142"/>
      <c r="I46" s="145"/>
      <c r="J46" s="132" t="str">
        <f aca="false">IF(ISBLANK(D46),"",IF(VLOOKUP(D46,#REF!,2)=0,"",IF(D46&gt;#REF!,"Mauvais numéro",IF(D46&lt;#REF!,"Mauvais numéro",(VLOOKUP(D46,#REF!,3))))))</f>
        <v/>
      </c>
      <c r="K46" s="146" t="str">
        <f aca="false">IF(ISBLANK(E46),"",(0.000824493-(0.0000040899*E46)+(0.000000076438*E46^2)-(0.00000000082467*E46^3)+(0.0000000000053875*E46^4)))</f>
        <v/>
      </c>
      <c r="L46" s="146" t="str">
        <f aca="false">IF(ISBLANK(E46),"",(-0.00000572466+(0.00000010227*E46)-(0.0000000016546*E46^2)))</f>
        <v/>
      </c>
      <c r="M46" s="146" t="str">
        <f aca="false">IF(ISBLANK(E46),"",IF(ISBLANK(G46),(O46+(K46*35)+(L46*35^1.5)+(0.00000048314*35^2)),(O46+(K46*G46)+(L46*G46^1.5)+(0.00000048314*G46^2))))</f>
        <v/>
      </c>
      <c r="N46" s="147" t="str">
        <f aca="false">IF(ISBLANK(D46),"",IF(ISBLANK(G46),J46*(1+0.00001*(35-20)),J46*(1+0.00001*(G46-20))))</f>
        <v/>
      </c>
      <c r="O46" s="146" t="str">
        <f aca="false">IF(ISBLANK(E46),"",(0.999842594+(0.00006793952*E46)-(0.00000909529*E46^2)+(0.0000001001685*E46^3)-(0.000000001120083*E46^4)+(0.000000000006536332*E46^5)))</f>
        <v/>
      </c>
      <c r="P46" s="148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49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0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0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24"/>
      <c r="U46" s="124"/>
      <c r="V46" s="124"/>
      <c r="W46" s="124"/>
      <c r="X46" s="124"/>
      <c r="Y46" s="124"/>
      <c r="Z46" s="124"/>
      <c r="AA46" s="124"/>
      <c r="AB46" s="124"/>
      <c r="AC46" s="124"/>
      <c r="AD46" s="124"/>
      <c r="AE46" s="124"/>
      <c r="AF46" s="124"/>
      <c r="AG46" s="124"/>
      <c r="AH46" s="124"/>
      <c r="AI46" s="124"/>
      <c r="AJ46" s="124"/>
      <c r="AK46" s="124"/>
      <c r="AL46" s="124"/>
      <c r="AM46" s="124"/>
      <c r="AN46" s="124"/>
      <c r="AO46" s="124"/>
      <c r="AP46" s="124"/>
      <c r="AQ46" s="124"/>
      <c r="AR46" s="124"/>
      <c r="AS46" s="124"/>
      <c r="AT46" s="124"/>
      <c r="AU46" s="124"/>
      <c r="AV46" s="124"/>
      <c r="AW46" s="124"/>
      <c r="AX46" s="124"/>
      <c r="AY46" s="124"/>
      <c r="AZ46" s="124"/>
      <c r="BA46" s="124"/>
      <c r="BB46" s="136"/>
    </row>
    <row r="47" customFormat="false" ht="15.6" hidden="false" customHeight="false" outlineLevel="0" collapsed="false">
      <c r="A47" s="111" t="n">
        <f aca="false">IF(ISBLANK(VLOOKUP(D47,#REF!,3)),0,1)</f>
        <v>1</v>
      </c>
      <c r="B47" s="112" t="n">
        <f aca="false">IF(ISBLANK(D47),0,IF(ISBLANK(E47),0,IF(ISBLANK(F47),0,1)))</f>
        <v>0</v>
      </c>
      <c r="C47" s="128" t="n">
        <v>13</v>
      </c>
      <c r="D47" s="151"/>
      <c r="E47" s="151"/>
      <c r="F47" s="152"/>
      <c r="G47" s="153"/>
      <c r="H47" s="151"/>
      <c r="I47" s="151"/>
      <c r="J47" s="132" t="str">
        <f aca="false">IF(ISBLANK(D47),"",IF(VLOOKUP(D47,#REF!,2)=0,"",IF(D47&gt;#REF!,"Mauvais numéro",IF(D47&lt;#REF!,"Mauvais numéro",(VLOOKUP(D47,#REF!,3))))))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54"/>
      <c r="Q47" s="149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5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4"/>
      <c r="T47" s="124"/>
      <c r="U47" s="124"/>
      <c r="V47" s="124"/>
      <c r="W47" s="124"/>
      <c r="X47" s="12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24"/>
      <c r="AJ47" s="124"/>
      <c r="AK47" s="124"/>
      <c r="AL47" s="124"/>
      <c r="AM47" s="124"/>
      <c r="AN47" s="124"/>
      <c r="AO47" s="124"/>
      <c r="AP47" s="124"/>
      <c r="AQ47" s="124"/>
      <c r="AR47" s="124"/>
      <c r="AS47" s="124"/>
      <c r="AT47" s="124"/>
      <c r="AU47" s="124"/>
      <c r="AV47" s="124"/>
      <c r="AW47" s="124"/>
      <c r="AX47" s="124"/>
      <c r="AY47" s="124"/>
      <c r="AZ47" s="124"/>
      <c r="BA47" s="124"/>
      <c r="BB47" s="136"/>
    </row>
    <row r="48" customFormat="false" ht="15.6" hidden="false" customHeight="false" outlineLevel="0" collapsed="false">
      <c r="A48" s="111" t="n">
        <f aca="false">IF(ISBLANK(VLOOKUP(D48,#REF!,3)),0,1)</f>
        <v>1</v>
      </c>
      <c r="B48" s="112" t="n">
        <f aca="false">IF(ISBLANK(D48),0,IF(ISBLANK(E48),0,IF(ISBLANK(F48),0,1)))</f>
        <v>0</v>
      </c>
      <c r="C48" s="128" t="n">
        <v>14</v>
      </c>
      <c r="D48" s="151"/>
      <c r="E48" s="151"/>
      <c r="F48" s="152"/>
      <c r="G48" s="153"/>
      <c r="H48" s="151"/>
      <c r="I48" s="151"/>
      <c r="J48" s="132" t="str">
        <f aca="false">IF(ISBLANK(D48),"",IF(VLOOKUP(D48,#REF!,2)=0,"",IF(D48&gt;#REF!,"Mauvais numéro",IF(D48&lt;#REF!,"Mauvais numéro",(VLOOKUP(D48,#REF!,3))))))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54"/>
      <c r="Q48" s="149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5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4"/>
      <c r="T48" s="124"/>
      <c r="U48" s="124"/>
      <c r="V48" s="124"/>
      <c r="W48" s="124"/>
      <c r="X48" s="124"/>
      <c r="Y48" s="124"/>
      <c r="Z48" s="124"/>
      <c r="AA48" s="124"/>
      <c r="AB48" s="124"/>
      <c r="AC48" s="124"/>
      <c r="AD48" s="124"/>
      <c r="AE48" s="124"/>
      <c r="AF48" s="124"/>
      <c r="AG48" s="124"/>
      <c r="AH48" s="124"/>
      <c r="AI48" s="124"/>
      <c r="AJ48" s="124"/>
      <c r="AK48" s="124"/>
      <c r="AL48" s="124"/>
      <c r="AM48" s="124"/>
      <c r="AN48" s="124"/>
      <c r="AO48" s="124"/>
      <c r="AP48" s="124"/>
      <c r="AQ48" s="124"/>
      <c r="AR48" s="124"/>
      <c r="AS48" s="124"/>
      <c r="AT48" s="124"/>
      <c r="AU48" s="124"/>
      <c r="AV48" s="124"/>
      <c r="AW48" s="124"/>
      <c r="AX48" s="124"/>
      <c r="AY48" s="124"/>
      <c r="AZ48" s="124"/>
      <c r="BA48" s="124"/>
      <c r="BB48" s="136"/>
    </row>
    <row r="49" customFormat="false" ht="15.6" hidden="false" customHeight="false" outlineLevel="0" collapsed="false">
      <c r="A49" s="111" t="n">
        <f aca="false">IF(ISBLANK(VLOOKUP(D49,#REF!,3)),0,1)</f>
        <v>1</v>
      </c>
      <c r="B49" s="112" t="n">
        <f aca="false">IF(ISBLANK(D49),0,IF(ISBLANK(E49),0,IF(ISBLANK(F49),0,1)))</f>
        <v>0</v>
      </c>
      <c r="C49" s="128" t="n">
        <v>15</v>
      </c>
      <c r="D49" s="151"/>
      <c r="E49" s="151"/>
      <c r="F49" s="152"/>
      <c r="G49" s="156"/>
      <c r="H49" s="151"/>
      <c r="I49" s="151"/>
      <c r="J49" s="132" t="str">
        <f aca="false">IF(ISBLANK(D49),"",IF(VLOOKUP(D49,#REF!,2)=0,"",IF(D49&gt;#REF!,"Mauvais numéro",IF(D49&lt;#REF!,"Mauvais numéro",(VLOOKUP(D49,#REF!,3))))))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57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49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24"/>
      <c r="AE49" s="124"/>
      <c r="AF49" s="124"/>
      <c r="AG49" s="124"/>
      <c r="AH49" s="124"/>
      <c r="AI49" s="124"/>
      <c r="AJ49" s="124"/>
      <c r="AK49" s="124"/>
      <c r="AL49" s="124"/>
      <c r="AM49" s="124"/>
      <c r="AN49" s="124"/>
      <c r="AO49" s="124"/>
      <c r="AP49" s="124"/>
      <c r="AQ49" s="124"/>
      <c r="AR49" s="124"/>
      <c r="AS49" s="124"/>
      <c r="AT49" s="124"/>
      <c r="AU49" s="124"/>
      <c r="AV49" s="124"/>
      <c r="AW49" s="124"/>
      <c r="AX49" s="124"/>
      <c r="AY49" s="124"/>
      <c r="AZ49" s="124"/>
      <c r="BA49" s="124"/>
      <c r="BB49" s="136"/>
    </row>
    <row r="50" customFormat="false" ht="15.6" hidden="false" customHeight="false" outlineLevel="0" collapsed="false">
      <c r="A50" s="111" t="n">
        <f aca="false">IF(ISBLANK(VLOOKUP(D50,#REF!,3)),0,1)</f>
        <v>1</v>
      </c>
      <c r="B50" s="112" t="n">
        <f aca="false">IF(ISBLANK(D50),0,IF(ISBLANK(E50),0,IF(ISBLANK(F50),0,1)))</f>
        <v>0</v>
      </c>
      <c r="C50" s="128" t="n">
        <v>16</v>
      </c>
      <c r="D50" s="151"/>
      <c r="E50" s="151"/>
      <c r="F50" s="152"/>
      <c r="G50" s="156"/>
      <c r="H50" s="151"/>
      <c r="I50" s="151"/>
      <c r="J50" s="132" t="str">
        <f aca="false">IF(ISBLANK(D50),"",IF(VLOOKUP(D50,#REF!,2)=0,"",IF(D50&gt;#REF!,"Mauvais numéro",IF(D50&lt;#REF!,"Mauvais numéro",(VLOOKUP(D50,#REF!,3))))))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57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49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24"/>
      <c r="U50" s="124"/>
      <c r="V50" s="124"/>
      <c r="W50" s="124"/>
      <c r="X50" s="124"/>
      <c r="Y50" s="124"/>
      <c r="Z50" s="124"/>
      <c r="AA50" s="124"/>
      <c r="AB50" s="124"/>
      <c r="AC50" s="124"/>
      <c r="AD50" s="124"/>
      <c r="AE50" s="124"/>
      <c r="AF50" s="124"/>
      <c r="AG50" s="124"/>
      <c r="AH50" s="124"/>
      <c r="AI50" s="124"/>
      <c r="AJ50" s="124"/>
      <c r="AK50" s="124"/>
      <c r="AL50" s="124"/>
      <c r="AM50" s="124"/>
      <c r="AN50" s="124"/>
      <c r="AO50" s="124"/>
      <c r="AP50" s="124"/>
      <c r="AQ50" s="124"/>
      <c r="AR50" s="124"/>
      <c r="AS50" s="124"/>
      <c r="AT50" s="124"/>
      <c r="AU50" s="124"/>
      <c r="AV50" s="124"/>
      <c r="AW50" s="124"/>
      <c r="AX50" s="124"/>
      <c r="AY50" s="124"/>
      <c r="AZ50" s="124"/>
      <c r="BA50" s="124"/>
      <c r="BB50" s="136"/>
    </row>
    <row r="51" customFormat="false" ht="15.6" hidden="false" customHeight="false" outlineLevel="0" collapsed="false">
      <c r="A51" s="111" t="n">
        <f aca="false">IF(ISBLANK(VLOOKUP(D51,#REF!,3)),0,1)</f>
        <v>1</v>
      </c>
      <c r="B51" s="112" t="n">
        <f aca="false">IF(ISBLANK(D51),0,IF(ISBLANK(E51),0,IF(ISBLANK(F51),0,1)))</f>
        <v>0</v>
      </c>
      <c r="C51" s="128" t="n">
        <v>17</v>
      </c>
      <c r="D51" s="151"/>
      <c r="E51" s="151"/>
      <c r="F51" s="152"/>
      <c r="G51" s="156"/>
      <c r="H51" s="151"/>
      <c r="I51" s="151"/>
      <c r="J51" s="132" t="str">
        <f aca="false">IF(ISBLANK(D51),"",IF(VLOOKUP(D51,#REF!,2)=0,"",IF(D51&gt;#REF!,"Mauvais numéro",IF(D51&lt;#REF!,"Mauvais numéro",(VLOOKUP(D51,#REF!,3))))))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57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49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24"/>
      <c r="AE51" s="124"/>
      <c r="AF51" s="124"/>
      <c r="AG51" s="124"/>
      <c r="AH51" s="124"/>
      <c r="AI51" s="124"/>
      <c r="AJ51" s="124"/>
      <c r="AK51" s="124"/>
      <c r="AL51" s="124"/>
      <c r="AM51" s="124"/>
      <c r="AN51" s="124"/>
      <c r="AO51" s="124"/>
      <c r="AP51" s="124"/>
      <c r="AQ51" s="124"/>
      <c r="AR51" s="124"/>
      <c r="AS51" s="124"/>
      <c r="AT51" s="124"/>
      <c r="AU51" s="124"/>
      <c r="AV51" s="124"/>
      <c r="AW51" s="124"/>
      <c r="AX51" s="124"/>
      <c r="AY51" s="124"/>
      <c r="AZ51" s="124"/>
      <c r="BA51" s="124"/>
      <c r="BB51" s="136"/>
    </row>
    <row r="52" customFormat="false" ht="15.6" hidden="false" customHeight="false" outlineLevel="0" collapsed="false">
      <c r="A52" s="111" t="n">
        <f aca="false">IF(ISBLANK(VLOOKUP(D52,#REF!,3)),0,1)</f>
        <v>1</v>
      </c>
      <c r="B52" s="112" t="n">
        <f aca="false">IF(ISBLANK(D52),0,IF(ISBLANK(E52),0,IF(ISBLANK(F52),0,1)))</f>
        <v>0</v>
      </c>
      <c r="C52" s="128" t="n">
        <v>18</v>
      </c>
      <c r="D52" s="151"/>
      <c r="E52" s="151"/>
      <c r="F52" s="152"/>
      <c r="G52" s="156"/>
      <c r="H52" s="151"/>
      <c r="I52" s="151"/>
      <c r="J52" s="132" t="str">
        <f aca="false">IF(ISBLANK(D52),"",IF(VLOOKUP(D52,#REF!,2)=0,"",IF(D52&gt;#REF!,"Mauvais numéro",IF(D52&lt;#REF!,"Mauvais numéro",(VLOOKUP(D52,#REF!,3))))))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57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49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24"/>
      <c r="U52" s="124"/>
      <c r="V52" s="124"/>
      <c r="W52" s="124"/>
      <c r="X52" s="124"/>
      <c r="Y52" s="124"/>
      <c r="Z52" s="124"/>
      <c r="AA52" s="124"/>
      <c r="AB52" s="124"/>
      <c r="AC52" s="124"/>
      <c r="AD52" s="124"/>
      <c r="AE52" s="124"/>
      <c r="AF52" s="124"/>
      <c r="AG52" s="124"/>
      <c r="AH52" s="124"/>
      <c r="AI52" s="124"/>
      <c r="AJ52" s="124"/>
      <c r="AK52" s="124"/>
      <c r="AL52" s="124"/>
      <c r="AM52" s="124"/>
      <c r="AN52" s="124"/>
      <c r="AO52" s="124"/>
      <c r="AP52" s="124"/>
      <c r="AQ52" s="124"/>
      <c r="AR52" s="124"/>
      <c r="AS52" s="124"/>
      <c r="AT52" s="124"/>
      <c r="AU52" s="124"/>
      <c r="AV52" s="124"/>
      <c r="AW52" s="124"/>
      <c r="AX52" s="124"/>
      <c r="AY52" s="124"/>
      <c r="AZ52" s="124"/>
      <c r="BA52" s="124"/>
      <c r="BB52" s="136"/>
    </row>
    <row r="53" customFormat="false" ht="15.6" hidden="false" customHeight="false" outlineLevel="0" collapsed="false">
      <c r="A53" s="111" t="n">
        <f aca="false">IF(ISBLANK(VLOOKUP(D53,#REF!,3)),0,1)</f>
        <v>1</v>
      </c>
      <c r="B53" s="112" t="n">
        <f aca="false">IF(ISBLANK(D53),0,IF(ISBLANK(E53),0,IF(ISBLANK(F53),0,1)))</f>
        <v>0</v>
      </c>
      <c r="C53" s="128" t="n">
        <v>19</v>
      </c>
      <c r="D53" s="151"/>
      <c r="E53" s="151"/>
      <c r="F53" s="152"/>
      <c r="G53" s="156"/>
      <c r="H53" s="151"/>
      <c r="I53" s="151"/>
      <c r="J53" s="132" t="str">
        <f aca="false">IF(ISBLANK(D53),"",IF(VLOOKUP(D53,#REF!,2)=0,"",IF(D53&gt;#REF!,"Mauvais numéro",IF(D53&lt;#REF!,"Mauvais numéro",(VLOOKUP(D53,#REF!,3))))))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57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49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24"/>
      <c r="U53" s="124"/>
      <c r="V53" s="124"/>
      <c r="W53" s="124"/>
      <c r="X53" s="12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24"/>
      <c r="AJ53" s="124"/>
      <c r="AK53" s="124"/>
      <c r="AL53" s="124"/>
      <c r="AM53" s="124"/>
      <c r="AN53" s="124"/>
      <c r="AO53" s="124"/>
      <c r="AP53" s="124"/>
      <c r="AQ53" s="124"/>
      <c r="AR53" s="124"/>
      <c r="AS53" s="124"/>
      <c r="AT53" s="124"/>
      <c r="AU53" s="124"/>
      <c r="AV53" s="124"/>
      <c r="AW53" s="124"/>
      <c r="AX53" s="124"/>
      <c r="AY53" s="124"/>
      <c r="AZ53" s="124"/>
      <c r="BA53" s="124"/>
      <c r="BB53" s="136"/>
    </row>
    <row r="54" customFormat="false" ht="15.6" hidden="false" customHeight="false" outlineLevel="0" collapsed="false">
      <c r="A54" s="111" t="n">
        <f aca="false">IF(ISBLANK(VLOOKUP(D54,#REF!,3)),0,1)</f>
        <v>1</v>
      </c>
      <c r="B54" s="112" t="n">
        <f aca="false">IF(ISBLANK(D54),0,IF(ISBLANK(E54),0,IF(ISBLANK(F54),0,1)))</f>
        <v>0</v>
      </c>
      <c r="C54" s="128" t="n">
        <v>20</v>
      </c>
      <c r="D54" s="151"/>
      <c r="E54" s="151"/>
      <c r="F54" s="152"/>
      <c r="G54" s="156"/>
      <c r="H54" s="151"/>
      <c r="I54" s="151"/>
      <c r="J54" s="132" t="str">
        <f aca="false">IF(ISBLANK(D54),"",IF(VLOOKUP(D54,#REF!,2)=0,"",IF(D54&gt;#REF!,"Mauvais numéro",IF(D54&lt;#REF!,"Mauvais numéro",(VLOOKUP(D54,#REF!,3))))))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57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49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4"/>
      <c r="U54" s="124"/>
      <c r="V54" s="124"/>
      <c r="W54" s="124"/>
      <c r="X54" s="124"/>
      <c r="Y54" s="124"/>
      <c r="Z54" s="124"/>
      <c r="AA54" s="124"/>
      <c r="AB54" s="124"/>
      <c r="AC54" s="124"/>
      <c r="AD54" s="124"/>
      <c r="AE54" s="124"/>
      <c r="AF54" s="124"/>
      <c r="AG54" s="124"/>
      <c r="AH54" s="124"/>
      <c r="AI54" s="124"/>
      <c r="AJ54" s="124"/>
      <c r="AK54" s="124"/>
      <c r="AL54" s="124"/>
      <c r="AM54" s="124"/>
      <c r="AN54" s="124"/>
      <c r="AO54" s="124"/>
      <c r="AP54" s="124"/>
      <c r="AQ54" s="124"/>
      <c r="AR54" s="124"/>
      <c r="AS54" s="124"/>
      <c r="AT54" s="124"/>
      <c r="AU54" s="124"/>
      <c r="AV54" s="124"/>
      <c r="AW54" s="124"/>
      <c r="AX54" s="124"/>
      <c r="AY54" s="124"/>
      <c r="AZ54" s="124"/>
      <c r="BA54" s="124"/>
      <c r="BB54" s="136"/>
    </row>
    <row r="55" customFormat="false" ht="15.6" hidden="false" customHeight="false" outlineLevel="0" collapsed="false">
      <c r="A55" s="111" t="n">
        <f aca="false">IF(ISBLANK(VLOOKUP(D55,#REF!,3)),0,1)</f>
        <v>1</v>
      </c>
      <c r="B55" s="112" t="n">
        <f aca="false">IF(ISBLANK(D55),0,IF(ISBLANK(E55),0,IF(ISBLANK(F55),0,1)))</f>
        <v>0</v>
      </c>
      <c r="C55" s="128" t="n">
        <v>21</v>
      </c>
      <c r="D55" s="151"/>
      <c r="E55" s="151"/>
      <c r="F55" s="152"/>
      <c r="G55" s="156"/>
      <c r="H55" s="151"/>
      <c r="I55" s="151"/>
      <c r="J55" s="132" t="str">
        <f aca="false">IF(ISBLANK(D55),"",IF(VLOOKUP(D55,#REF!,2)=0,"",IF(D55&gt;#REF!,"Mauvais numéro",IF(D55&lt;#REF!,"Mauvais numéro",(VLOOKUP(D55,#REF!,3))))))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57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49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24"/>
      <c r="U55" s="124"/>
      <c r="V55" s="124"/>
      <c r="W55" s="124"/>
      <c r="X55" s="124"/>
      <c r="Y55" s="124"/>
      <c r="Z55" s="124"/>
      <c r="AA55" s="124"/>
      <c r="AB55" s="124"/>
      <c r="AC55" s="124"/>
      <c r="AD55" s="124"/>
      <c r="AE55" s="124"/>
      <c r="AF55" s="124"/>
      <c r="AG55" s="124"/>
      <c r="AH55" s="124"/>
      <c r="AI55" s="124"/>
      <c r="AJ55" s="124"/>
      <c r="AK55" s="124"/>
      <c r="AL55" s="124"/>
      <c r="AM55" s="124"/>
      <c r="AN55" s="124"/>
      <c r="AO55" s="124"/>
      <c r="AP55" s="124"/>
      <c r="AQ55" s="124"/>
      <c r="AR55" s="124"/>
      <c r="AS55" s="124"/>
      <c r="AT55" s="124"/>
      <c r="AU55" s="124"/>
      <c r="AV55" s="124"/>
      <c r="AW55" s="124"/>
      <c r="AX55" s="124"/>
      <c r="AY55" s="124"/>
      <c r="AZ55" s="124"/>
      <c r="BA55" s="124"/>
      <c r="BB55" s="136"/>
    </row>
    <row r="56" customFormat="false" ht="15.6" hidden="false" customHeight="false" outlineLevel="0" collapsed="false">
      <c r="A56" s="111" t="n">
        <f aca="false">IF(ISBLANK(VLOOKUP(D56,#REF!,3)),0,1)</f>
        <v>1</v>
      </c>
      <c r="B56" s="112" t="n">
        <f aca="false">IF(ISBLANK(D56),0,IF(ISBLANK(E56),0,IF(ISBLANK(F56),0,1)))</f>
        <v>0</v>
      </c>
      <c r="C56" s="128" t="n">
        <v>22</v>
      </c>
      <c r="D56" s="151"/>
      <c r="E56" s="151"/>
      <c r="F56" s="152"/>
      <c r="G56" s="156"/>
      <c r="H56" s="151"/>
      <c r="I56" s="151"/>
      <c r="J56" s="132" t="str">
        <f aca="false">IF(ISBLANK(D56),"",IF(VLOOKUP(D56,#REF!,2)=0,"",IF(D56&gt;#REF!,"Mauvais numéro",IF(D56&lt;#REF!,"Mauvais numéro",(VLOOKUP(D56,#REF!,3))))))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57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49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24"/>
      <c r="AE56" s="124"/>
      <c r="AF56" s="124"/>
      <c r="AG56" s="124"/>
      <c r="AH56" s="124"/>
      <c r="AI56" s="124"/>
      <c r="AJ56" s="124"/>
      <c r="AK56" s="124"/>
      <c r="AL56" s="124"/>
      <c r="AM56" s="124"/>
      <c r="AN56" s="124"/>
      <c r="AO56" s="124"/>
      <c r="AP56" s="124"/>
      <c r="AQ56" s="124"/>
      <c r="AR56" s="124"/>
      <c r="AS56" s="124"/>
      <c r="AT56" s="124"/>
      <c r="AU56" s="124"/>
      <c r="AV56" s="124"/>
      <c r="AW56" s="124"/>
      <c r="AX56" s="124"/>
      <c r="AY56" s="124"/>
      <c r="AZ56" s="124"/>
      <c r="BA56" s="124"/>
      <c r="BB56" s="136"/>
    </row>
    <row r="57" customFormat="false" ht="15.6" hidden="false" customHeight="false" outlineLevel="0" collapsed="false">
      <c r="A57" s="111" t="n">
        <f aca="false">IF(ISBLANK(VLOOKUP(D57,#REF!,3)),0,1)</f>
        <v>1</v>
      </c>
      <c r="B57" s="112" t="n">
        <f aca="false">IF(ISBLANK(D57),0,IF(ISBLANK(E57),0,IF(ISBLANK(F57),0,1)))</f>
        <v>0</v>
      </c>
      <c r="C57" s="128" t="n">
        <v>23</v>
      </c>
      <c r="D57" s="151"/>
      <c r="E57" s="151"/>
      <c r="F57" s="152"/>
      <c r="G57" s="156"/>
      <c r="H57" s="151"/>
      <c r="I57" s="151"/>
      <c r="J57" s="132" t="str">
        <f aca="false">IF(ISBLANK(D57),"",IF(VLOOKUP(D57,#REF!,2)=0,"",IF(D57&gt;#REF!,"Mauvais numéro",IF(D57&lt;#REF!,"Mauvais numéro",(VLOOKUP(D57,#REF!,3))))))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57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49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4"/>
      <c r="U57" s="124"/>
      <c r="V57" s="124"/>
      <c r="W57" s="124"/>
      <c r="X57" s="124"/>
      <c r="Y57" s="124"/>
      <c r="Z57" s="124"/>
      <c r="AA57" s="124"/>
      <c r="AB57" s="124"/>
      <c r="AC57" s="124"/>
      <c r="AD57" s="124"/>
      <c r="AE57" s="124"/>
      <c r="AF57" s="124"/>
      <c r="AG57" s="124"/>
      <c r="AH57" s="124"/>
      <c r="AI57" s="124"/>
      <c r="AJ57" s="124"/>
      <c r="AK57" s="124"/>
      <c r="AL57" s="124"/>
      <c r="AM57" s="124"/>
      <c r="AN57" s="124"/>
      <c r="AO57" s="124"/>
      <c r="AP57" s="124"/>
      <c r="AQ57" s="124"/>
      <c r="AR57" s="124"/>
      <c r="AS57" s="124"/>
      <c r="AT57" s="124"/>
      <c r="AU57" s="124"/>
      <c r="AV57" s="124"/>
      <c r="AW57" s="124"/>
      <c r="AX57" s="124"/>
      <c r="AY57" s="124"/>
      <c r="AZ57" s="124"/>
      <c r="BA57" s="124"/>
      <c r="BB57" s="136"/>
    </row>
    <row r="58" customFormat="false" ht="16.2" hidden="false" customHeight="false" outlineLevel="0" collapsed="false">
      <c r="A58" s="111" t="n">
        <f aca="false">IF(ISBLANK(VLOOKUP(D58,#REF!,3)),0,1)</f>
        <v>1</v>
      </c>
      <c r="B58" s="112" t="n">
        <f aca="false">IF(ISBLANK(D58),0,IF(ISBLANK(E58),0,IF(ISBLANK(F58),0,1)))</f>
        <v>0</v>
      </c>
      <c r="C58" s="158" t="n">
        <v>24</v>
      </c>
      <c r="D58" s="159"/>
      <c r="E58" s="159"/>
      <c r="F58" s="160"/>
      <c r="G58" s="161"/>
      <c r="H58" s="159"/>
      <c r="I58" s="159"/>
      <c r="J58" s="162" t="str">
        <f aca="false">IF(ISBLANK(D58),"",IF(VLOOKUP(D58,#REF!,2)=0,"",IF(D58&gt;#REF!,"Mauvais numéro",IF(D58&lt;#REF!,"Mauvais numéro",(VLOOKUP(D58,#REF!,3))))))</f>
        <v/>
      </c>
      <c r="K58" s="163" t="str">
        <f aca="false">IF(ISBLANK(E58),"",(0.000824493-(0.0000040899*E58)+(0.000000076438*E58^2)-(0.00000000082467*E58^3)+(0.0000000000053875*E58^4)))</f>
        <v/>
      </c>
      <c r="L58" s="163" t="str">
        <f aca="false">IF(ISBLANK(E58),"",(-0.00000572466+(0.00000010227*E58)-(0.0000000016546*E58^2)))</f>
        <v/>
      </c>
      <c r="M58" s="163" t="str">
        <f aca="false">IF(ISBLANK(E58),"",IF(ISBLANK(G58),(O58+(K58*35)+(L58*35^1.5)+(0.00000048314*35^2)),(O58+(K58*G58)+(L58*G58^1.5)+(0.00000048314*G58^2))))</f>
        <v/>
      </c>
      <c r="N58" s="164" t="str">
        <f aca="false">IF(ISBLANK(D58),"",IF(ISBLANK(G58),J58*(1+0.00001*(35-20)),J58*(1+0.00001*(G58-20))))</f>
        <v/>
      </c>
      <c r="O58" s="163" t="str">
        <f aca="false">IF(ISBLANK(E58),"",(0.999842594+(0.00006793952*E58)-(0.00000909529*E58^2)+(0.0000001001685*E58^3)-(0.000000001120083*E58^4)+(0.000000000006536332*E58^5)))</f>
        <v/>
      </c>
      <c r="P58" s="165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66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7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7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68"/>
      <c r="U58" s="168"/>
      <c r="V58" s="168"/>
      <c r="W58" s="168"/>
      <c r="X58" s="168"/>
      <c r="Y58" s="168"/>
      <c r="Z58" s="168"/>
      <c r="AA58" s="168"/>
      <c r="AB58" s="168"/>
      <c r="AC58" s="168"/>
      <c r="AD58" s="168"/>
      <c r="AE58" s="168"/>
      <c r="AF58" s="168"/>
      <c r="AG58" s="168"/>
      <c r="AH58" s="168"/>
      <c r="AI58" s="168"/>
      <c r="AJ58" s="168"/>
      <c r="AK58" s="168"/>
      <c r="AL58" s="168"/>
      <c r="AM58" s="168"/>
      <c r="AN58" s="168"/>
      <c r="AO58" s="168"/>
      <c r="AP58" s="168"/>
      <c r="AQ58" s="168"/>
      <c r="AR58" s="168"/>
      <c r="AS58" s="168"/>
      <c r="AT58" s="168"/>
      <c r="AU58" s="168"/>
      <c r="AV58" s="168"/>
      <c r="AW58" s="168"/>
      <c r="AX58" s="168"/>
      <c r="AY58" s="168"/>
      <c r="AZ58" s="168"/>
      <c r="BA58" s="168"/>
      <c r="BB58" s="169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Q1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8178137651822"/>
    <col collapsed="false" hidden="false" max="32" min="32" style="0" width="9.10526315789474"/>
    <col collapsed="false" hidden="false" max="33" min="33" style="0" width="26.5668016194332"/>
    <col collapsed="false" hidden="false" max="34" min="34" style="0" width="12.8542510121458"/>
    <col collapsed="false" hidden="false" max="35" min="35" style="0" width="11.3562753036437"/>
    <col collapsed="false" hidden="false" max="36" min="36" style="0" width="14.5668016194332"/>
    <col collapsed="false" hidden="false" max="37" min="37" style="0" width="12.2105263157895"/>
    <col collapsed="false" hidden="false" max="38" min="38" style="0" width="26.995951417004"/>
    <col collapsed="false" hidden="false" max="39" min="39" style="0" width="14.6761133603239"/>
    <col collapsed="false" hidden="false" max="40" min="40" style="0" width="11.3562753036437"/>
    <col collapsed="false" hidden="false" max="41" min="41" style="0" width="12.5344129554656"/>
    <col collapsed="false" hidden="false" max="42" min="42" style="0" width="10.7125506072875"/>
    <col collapsed="false" hidden="false" max="43" min="43" style="0" width="6.31983805668016"/>
    <col collapsed="false" hidden="false" max="44" min="44" style="0" width="19.7085020242915"/>
    <col collapsed="false" hidden="false" max="45" min="45" style="0" width="13.0688259109312"/>
    <col collapsed="false" hidden="false" max="46" min="46" style="0" width="17.7813765182186"/>
    <col collapsed="false" hidden="false" max="47" min="47" style="0" width="14.6761133603239"/>
    <col collapsed="false" hidden="false" max="48" min="48" style="0" width="13.6032388663968"/>
    <col collapsed="false" hidden="false" max="49" min="49" style="0" width="13.7125506072874"/>
    <col collapsed="false" hidden="false" max="50" min="50" style="0" width="19.9230769230769"/>
    <col collapsed="false" hidden="false" max="51" min="51" style="0" width="13.2834008097166"/>
    <col collapsed="false" hidden="false" max="52" min="52" style="0" width="17.6761133603239"/>
    <col collapsed="false" hidden="false" max="53" min="53" style="0" width="13.3886639676113"/>
    <col collapsed="false" hidden="false" max="54" min="54" style="0" width="12.6396761133603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6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38537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0</v>
      </c>
      <c r="J9" s="29" t="n">
        <v>3.76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0°3,76</v>
      </c>
      <c r="P9" s="29" t="s">
        <v>13</v>
      </c>
      <c r="Q9" s="33" t="n">
        <f aca="false">IF(ISBLANK(I9),"",IF(ISBLANK(J9),"",IF(J9&gt;60,"ERREUR !!",O11*(I9+(J9/60)))))</f>
        <v>0.0626666666666667</v>
      </c>
      <c r="R9" s="33"/>
    </row>
    <row r="10" customFormat="false" ht="15" hidden="false" customHeight="true" outlineLevel="0" collapsed="false">
      <c r="C10" s="21"/>
      <c r="D10" s="18"/>
      <c r="G10" s="27" t="s">
        <v>16</v>
      </c>
      <c r="H10" s="27"/>
      <c r="I10" s="28" t="n">
        <v>0</v>
      </c>
      <c r="J10" s="29" t="n">
        <v>3.79</v>
      </c>
      <c r="K10" s="30" t="s">
        <v>12</v>
      </c>
      <c r="L10" s="31" t="str">
        <f aca="false">IF(P10=N9,"+","-")</f>
        <v>-</v>
      </c>
      <c r="M10" s="30" t="s">
        <v>15</v>
      </c>
      <c r="N10" s="30" t="s">
        <v>17</v>
      </c>
      <c r="O10" s="34" t="str">
        <f aca="false">IF(ISBLANK(I10),"",IF(ISBLANK(J10),"",IF(P10=N10,L10&amp;N12,N12)))</f>
        <v>-0°3,79</v>
      </c>
      <c r="P10" s="29" t="s">
        <v>17</v>
      </c>
      <c r="Q10" s="33" t="n">
        <f aca="false">IF(ISBLANK(I10),"",IF(ISBLANK(J10),"",IF(J10&gt;60,"ERREUR !!",O12*(I10+(J10/60)))))</f>
        <v>-0.0631666666666667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38536</v>
      </c>
      <c r="K11" s="38"/>
      <c r="L11" s="38"/>
      <c r="M11" s="38"/>
      <c r="N11" s="39" t="str">
        <f aca="false">I9&amp;"°"&amp;J9</f>
        <v>0°3,76</v>
      </c>
      <c r="O11" s="40" t="n">
        <f aca="false">IF(P9=M10,-1,1)</f>
        <v>1</v>
      </c>
      <c r="P11" s="41" t="str">
        <f aca="false">TEXT(J11,"aaaa-mm-jj")&amp;"T"&amp;TEXT(J12,"hh:mm:ss")&amp;"z"</f>
        <v>2009-07-04T14:40:00z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0.611111111111111</v>
      </c>
      <c r="K12" s="45"/>
      <c r="L12" s="45"/>
      <c r="M12" s="45"/>
      <c r="N12" s="46" t="str">
        <f aca="false">I10&amp;"°"&amp;J10</f>
        <v>0°3,79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e">
        <f aca="false">$P$24*($P$18/#REF!)</f>
        <v>#REF!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e">
        <f aca="false">5+#REF!</f>
        <v>#REF!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e">
        <f aca="false">P20*(1+0.00001*(R14-20))</f>
        <v>#REF!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e">
        <f aca="false">MAX(#REF!)</f>
        <v>#VALUE!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e">
        <f aca="false">2+(#REF!+#REF!)</f>
        <v>#REF!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52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53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6.2" hidden="false" customHeight="false" outlineLevel="0" collapsed="false">
      <c r="A35" s="111" t="n">
        <f aca="false">IF(ISBLANK(VLOOKUP(D35,#REF!,3)),0,1)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n">
        <v>34.9663</v>
      </c>
      <c r="H35" s="118" t="n">
        <v>2000</v>
      </c>
      <c r="I35" s="119" t="n">
        <v>2000.1</v>
      </c>
      <c r="J35" s="120"/>
      <c r="K35" s="121"/>
      <c r="L35" s="121"/>
      <c r="M35" s="121"/>
      <c r="N35" s="122"/>
      <c r="O35" s="121"/>
      <c r="P35" s="171" t="n">
        <v>5.684</v>
      </c>
      <c r="Q35" s="120"/>
      <c r="R35" s="120"/>
      <c r="S35" s="172" t="n">
        <v>247</v>
      </c>
      <c r="T35" s="32" t="n">
        <v>0</v>
      </c>
      <c r="U35" s="32" t="n">
        <v>0</v>
      </c>
      <c r="V35" s="32"/>
      <c r="W35" s="32"/>
      <c r="X35" s="125" t="n">
        <v>20.2</v>
      </c>
      <c r="Y35" s="125" t="n">
        <v>19.7</v>
      </c>
      <c r="Z35" s="32" t="n">
        <v>1.3</v>
      </c>
      <c r="AA35" s="32" t="n">
        <v>1.27</v>
      </c>
      <c r="AB35" s="125" t="n">
        <v>21.5</v>
      </c>
      <c r="AC35" s="125" t="n">
        <v>21</v>
      </c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7"/>
    </row>
    <row r="36" customFormat="false" ht="15.6" hidden="false" customHeight="false" outlineLevel="0" collapsed="false">
      <c r="A36" s="111" t="n">
        <f aca="false">IF(ISBLANK(VLOOKUP(D36,#REF!,3)),0,1)</f>
        <v>1</v>
      </c>
      <c r="B36" s="112" t="n">
        <f aca="false">IF(ISBLANK(D36),0,IF(ISBLANK(E36),0,IF(ISBLANK(F36),0,1)))</f>
        <v>0</v>
      </c>
      <c r="C36" s="128" t="n">
        <v>2</v>
      </c>
      <c r="D36" s="129"/>
      <c r="E36" s="129"/>
      <c r="F36" s="130"/>
      <c r="G36" s="117" t="n">
        <v>34.9661</v>
      </c>
      <c r="H36" s="118" t="n">
        <v>2000</v>
      </c>
      <c r="I36" s="119" t="n">
        <v>2000.1</v>
      </c>
      <c r="J36" s="132"/>
      <c r="K36" s="133"/>
      <c r="L36" s="133"/>
      <c r="M36" s="133"/>
      <c r="N36" s="134"/>
      <c r="O36" s="133"/>
      <c r="P36" s="171" t="n">
        <v>5.68</v>
      </c>
      <c r="Q36" s="132"/>
      <c r="R36" s="132"/>
      <c r="S36" s="172" t="n">
        <v>246.9</v>
      </c>
      <c r="T36" s="32" t="n">
        <v>0.01</v>
      </c>
      <c r="U36" s="32" t="n">
        <v>0.01</v>
      </c>
      <c r="V36" s="32"/>
      <c r="W36" s="32"/>
      <c r="X36" s="125" t="n">
        <v>20.2</v>
      </c>
      <c r="Y36" s="125" t="n">
        <v>19.7</v>
      </c>
      <c r="Z36" s="32" t="n">
        <v>1.31</v>
      </c>
      <c r="AA36" s="32" t="n">
        <v>1.28</v>
      </c>
      <c r="AB36" s="125" t="n">
        <v>21.6</v>
      </c>
      <c r="AC36" s="125" t="n">
        <v>21.1</v>
      </c>
      <c r="AD36" s="124"/>
      <c r="AE36" s="124"/>
      <c r="AF36" s="124"/>
      <c r="AG36" s="124"/>
      <c r="AH36" s="124"/>
      <c r="AI36" s="124"/>
      <c r="AJ36" s="124"/>
      <c r="AK36" s="124"/>
      <c r="AL36" s="124"/>
      <c r="AM36" s="124"/>
      <c r="AN36" s="124"/>
      <c r="AO36" s="124"/>
      <c r="AP36" s="124"/>
      <c r="AQ36" s="124"/>
      <c r="AR36" s="124"/>
      <c r="AS36" s="124"/>
      <c r="AT36" s="124"/>
      <c r="AU36" s="124"/>
      <c r="AV36" s="124"/>
      <c r="AW36" s="124"/>
      <c r="AX36" s="124"/>
      <c r="AY36" s="124"/>
      <c r="AZ36" s="124"/>
      <c r="BA36" s="124"/>
      <c r="BB36" s="136"/>
    </row>
    <row r="37" customFormat="false" ht="16.2" hidden="false" customHeight="false" outlineLevel="0" collapsed="false">
      <c r="A37" s="111" t="n">
        <f aca="false">IF(ISBLANK(VLOOKUP(D37,#REF!,3)),0,1)</f>
        <v>1</v>
      </c>
      <c r="B37" s="112" t="n">
        <f aca="false">IF(ISBLANK(D37),0,IF(ISBLANK(E37),0,IF(ISBLANK(F37),0,1)))</f>
        <v>0</v>
      </c>
      <c r="C37" s="128" t="n">
        <v>3</v>
      </c>
      <c r="D37" s="129"/>
      <c r="E37" s="129"/>
      <c r="F37" s="137"/>
      <c r="G37" s="117" t="n">
        <v>34.6393</v>
      </c>
      <c r="H37" s="131" t="n">
        <v>1000</v>
      </c>
      <c r="I37" s="119" t="n">
        <v>1000.2</v>
      </c>
      <c r="J37" s="132"/>
      <c r="K37" s="133"/>
      <c r="L37" s="133"/>
      <c r="M37" s="133"/>
      <c r="N37" s="134"/>
      <c r="O37" s="133"/>
      <c r="P37" s="171" t="n">
        <v>3.56</v>
      </c>
      <c r="Q37" s="132"/>
      <c r="R37" s="132"/>
      <c r="S37" s="172" t="n">
        <v>154.8</v>
      </c>
      <c r="T37" s="32" t="n">
        <v>0</v>
      </c>
      <c r="U37" s="32" t="n">
        <v>0</v>
      </c>
      <c r="V37" s="32"/>
      <c r="W37" s="32"/>
      <c r="X37" s="125" t="n">
        <v>33.3</v>
      </c>
      <c r="Y37" s="125" t="n">
        <v>32.6</v>
      </c>
      <c r="Z37" s="32" t="n">
        <v>2.09</v>
      </c>
      <c r="AA37" s="32" t="n">
        <v>2.04</v>
      </c>
      <c r="AB37" s="125" t="n">
        <v>30.7</v>
      </c>
      <c r="AC37" s="125" t="n">
        <v>30</v>
      </c>
      <c r="AD37" s="124"/>
      <c r="AE37" s="124"/>
      <c r="AF37" s="124"/>
      <c r="AG37" s="124"/>
      <c r="AH37" s="124"/>
      <c r="AI37" s="124"/>
      <c r="AJ37" s="124"/>
      <c r="AK37" s="124"/>
      <c r="AL37" s="124"/>
      <c r="AM37" s="124"/>
      <c r="AN37" s="124"/>
      <c r="AO37" s="124"/>
      <c r="AP37" s="124"/>
      <c r="AQ37" s="124"/>
      <c r="AR37" s="124"/>
      <c r="AS37" s="124"/>
      <c r="AT37" s="124"/>
      <c r="AU37" s="124"/>
      <c r="AV37" s="124"/>
      <c r="AW37" s="124"/>
      <c r="AX37" s="124"/>
      <c r="AY37" s="124"/>
      <c r="AZ37" s="124"/>
      <c r="BA37" s="124"/>
      <c r="BB37" s="136"/>
    </row>
    <row r="38" customFormat="false" ht="15.6" hidden="false" customHeight="false" outlineLevel="0" collapsed="false">
      <c r="A38" s="111" t="n">
        <f aca="false">IF(ISBLANK(VLOOKUP(D38,#REF!,3)),0,1)</f>
        <v>1</v>
      </c>
      <c r="B38" s="112" t="n">
        <f aca="false">IF(ISBLANK(D38),0,IF(ISBLANK(E38),0,IF(ISBLANK(F38),0,1)))</f>
        <v>0</v>
      </c>
      <c r="C38" s="128" t="n">
        <v>4</v>
      </c>
      <c r="D38" s="138"/>
      <c r="E38" s="138"/>
      <c r="F38" s="139"/>
      <c r="G38" s="117" t="n">
        <v>34.6396</v>
      </c>
      <c r="H38" s="131" t="n">
        <v>500</v>
      </c>
      <c r="I38" s="119" t="n">
        <v>498.2</v>
      </c>
      <c r="J38" s="132"/>
      <c r="K38" s="133"/>
      <c r="L38" s="133"/>
      <c r="M38" s="133"/>
      <c r="N38" s="134"/>
      <c r="O38" s="133"/>
      <c r="P38" s="171" t="n">
        <v>2.564</v>
      </c>
      <c r="Q38" s="132"/>
      <c r="R38" s="132"/>
      <c r="S38" s="172" t="n">
        <v>111.6</v>
      </c>
      <c r="T38" s="32" t="n">
        <v>0.01</v>
      </c>
      <c r="U38" s="32" t="n">
        <v>0.01</v>
      </c>
      <c r="V38" s="32"/>
      <c r="W38" s="32"/>
      <c r="X38" s="125" t="n">
        <v>34.4</v>
      </c>
      <c r="Y38" s="125" t="n">
        <v>33.7</v>
      </c>
      <c r="Z38" s="32" t="n">
        <v>2.29</v>
      </c>
      <c r="AA38" s="32" t="n">
        <v>2.24</v>
      </c>
      <c r="AB38" s="125" t="n">
        <v>20.6</v>
      </c>
      <c r="AC38" s="125" t="n">
        <v>20.2</v>
      </c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7"/>
    </row>
    <row r="39" customFormat="false" ht="16.2" hidden="false" customHeight="false" outlineLevel="0" collapsed="false">
      <c r="A39" s="111" t="n">
        <f aca="false">IF(ISBLANK(VLOOKUP(D39,#REF!,3)),0,1)</f>
        <v>1</v>
      </c>
      <c r="B39" s="112" t="n">
        <f aca="false">IF(ISBLANK(D39),0,IF(ISBLANK(E39),0,IF(ISBLANK(F39),0,1)))</f>
        <v>0</v>
      </c>
      <c r="C39" s="128" t="n">
        <v>5</v>
      </c>
      <c r="D39" s="129"/>
      <c r="E39" s="129"/>
      <c r="F39" s="137"/>
      <c r="G39" s="117" t="n">
        <v>35.6837</v>
      </c>
      <c r="H39" s="131" t="n">
        <v>100</v>
      </c>
      <c r="I39" s="119" t="n">
        <v>99.6</v>
      </c>
      <c r="J39" s="132"/>
      <c r="K39" s="133"/>
      <c r="L39" s="133"/>
      <c r="M39" s="133"/>
      <c r="N39" s="134"/>
      <c r="O39" s="133"/>
      <c r="P39" s="171" t="n">
        <v>3.335</v>
      </c>
      <c r="Q39" s="132"/>
      <c r="R39" s="132"/>
      <c r="S39" s="172" t="n">
        <v>145.2</v>
      </c>
      <c r="T39" s="32" t="n">
        <v>0.06</v>
      </c>
      <c r="U39" s="32" t="n">
        <v>0.05</v>
      </c>
      <c r="V39" s="32"/>
      <c r="W39" s="32"/>
      <c r="X39" s="125" t="n">
        <v>14.5</v>
      </c>
      <c r="Y39" s="125" t="n">
        <v>14.2</v>
      </c>
      <c r="Z39" s="32" t="n">
        <v>0.99</v>
      </c>
      <c r="AA39" s="32" t="n">
        <v>0.97</v>
      </c>
      <c r="AB39" s="125" t="n">
        <v>5.3</v>
      </c>
      <c r="AC39" s="125" t="n">
        <v>5.2</v>
      </c>
      <c r="AD39" s="124"/>
      <c r="AE39" s="124"/>
      <c r="AF39" s="124"/>
      <c r="AG39" s="124"/>
      <c r="AH39" s="124"/>
      <c r="AI39" s="124"/>
      <c r="AJ39" s="124"/>
      <c r="AK39" s="124"/>
      <c r="AL39" s="124"/>
      <c r="AM39" s="124"/>
      <c r="AN39" s="124"/>
      <c r="AO39" s="124"/>
      <c r="AP39" s="124"/>
      <c r="AQ39" s="124"/>
      <c r="AR39" s="124"/>
      <c r="AS39" s="124"/>
      <c r="AT39" s="124"/>
      <c r="AU39" s="124"/>
      <c r="AV39" s="124"/>
      <c r="AW39" s="124"/>
      <c r="AX39" s="124"/>
      <c r="AY39" s="124"/>
      <c r="AZ39" s="124"/>
      <c r="BA39" s="124"/>
      <c r="BB39" s="136"/>
    </row>
    <row r="40" customFormat="false" ht="15.6" hidden="false" customHeight="false" outlineLevel="0" collapsed="false">
      <c r="A40" s="111" t="n">
        <f aca="false">IF(ISBLANK(VLOOKUP(D40,#REF!,3)),0,1)</f>
        <v>1</v>
      </c>
      <c r="B40" s="112" t="n">
        <f aca="false">IF(ISBLANK(D40),0,IF(ISBLANK(E40),0,IF(ISBLANK(F40),0,1)))</f>
        <v>0</v>
      </c>
      <c r="C40" s="128" t="n">
        <v>6</v>
      </c>
      <c r="D40" s="129"/>
      <c r="E40" s="129"/>
      <c r="F40" s="137"/>
      <c r="G40" s="117" t="n">
        <v>35.6991</v>
      </c>
      <c r="H40" s="131" t="n">
        <v>80</v>
      </c>
      <c r="I40" s="119" t="n">
        <v>80.7</v>
      </c>
      <c r="J40" s="132"/>
      <c r="K40" s="133"/>
      <c r="L40" s="133"/>
      <c r="M40" s="133"/>
      <c r="N40" s="134"/>
      <c r="O40" s="133"/>
      <c r="P40" s="171" t="n">
        <v>3.413</v>
      </c>
      <c r="Q40" s="132"/>
      <c r="R40" s="132"/>
      <c r="S40" s="172" t="n">
        <v>148.6</v>
      </c>
      <c r="T40" s="32" t="n">
        <v>0.09</v>
      </c>
      <c r="U40" s="32" t="n">
        <v>0.08</v>
      </c>
      <c r="V40" s="32"/>
      <c r="W40" s="32"/>
      <c r="X40" s="125" t="n">
        <v>13.9</v>
      </c>
      <c r="Y40" s="125" t="n">
        <v>13.6</v>
      </c>
      <c r="Z40" s="32" t="n">
        <v>0.96</v>
      </c>
      <c r="AA40" s="32" t="n">
        <v>0.94</v>
      </c>
      <c r="AB40" s="125" t="n">
        <v>5.3</v>
      </c>
      <c r="AC40" s="125" t="n">
        <v>5.1</v>
      </c>
      <c r="AD40" s="126"/>
      <c r="AE40" s="126"/>
      <c r="AF40" s="126"/>
      <c r="AG40" s="126"/>
      <c r="AH40" s="126"/>
      <c r="AI40" s="126"/>
      <c r="AJ40" s="126"/>
      <c r="AK40" s="126"/>
      <c r="AL40" s="126"/>
      <c r="AM40" s="126"/>
      <c r="AN40" s="126"/>
      <c r="AO40" s="126"/>
      <c r="AP40" s="126"/>
      <c r="AQ40" s="126"/>
      <c r="AR40" s="126"/>
      <c r="AS40" s="126"/>
      <c r="AT40" s="126"/>
      <c r="AU40" s="126"/>
      <c r="AV40" s="126"/>
      <c r="AW40" s="126"/>
      <c r="AX40" s="126"/>
      <c r="AY40" s="126"/>
      <c r="AZ40" s="126"/>
      <c r="BA40" s="126"/>
      <c r="BB40" s="127"/>
    </row>
    <row r="41" customFormat="false" ht="15.6" hidden="false" customHeight="false" outlineLevel="0" collapsed="false">
      <c r="A41" s="111" t="n">
        <f aca="false">IF(ISBLANK(VLOOKUP(D41,#REF!,3)),0,1)</f>
        <v>1</v>
      </c>
      <c r="B41" s="112" t="n">
        <f aca="false">IF(ISBLANK(D41),0,IF(ISBLANK(E41),0,IF(ISBLANK(F41),0,1)))</f>
        <v>0</v>
      </c>
      <c r="C41" s="128" t="n">
        <v>7</v>
      </c>
      <c r="D41" s="129"/>
      <c r="E41" s="129"/>
      <c r="F41" s="137"/>
      <c r="G41" s="117" t="n">
        <v>35.7377</v>
      </c>
      <c r="H41" s="131" t="n">
        <v>60</v>
      </c>
      <c r="I41" s="119" t="n">
        <v>58.9</v>
      </c>
      <c r="J41" s="132"/>
      <c r="K41" s="133"/>
      <c r="L41" s="133"/>
      <c r="M41" s="133"/>
      <c r="N41" s="134"/>
      <c r="O41" s="133"/>
      <c r="P41" s="171" t="n">
        <v>3.548</v>
      </c>
      <c r="Q41" s="132"/>
      <c r="R41" s="132"/>
      <c r="S41" s="172" t="n">
        <v>154.5</v>
      </c>
      <c r="T41" s="32" t="n">
        <v>0.11</v>
      </c>
      <c r="U41" s="32" t="n">
        <v>0.11</v>
      </c>
      <c r="V41" s="32"/>
      <c r="W41" s="32"/>
      <c r="X41" s="125" t="n">
        <v>12.9</v>
      </c>
      <c r="Y41" s="125" t="n">
        <v>12.6</v>
      </c>
      <c r="Z41" s="32" t="n">
        <v>0.88</v>
      </c>
      <c r="AA41" s="32" t="n">
        <v>0.86</v>
      </c>
      <c r="AB41" s="125" t="n">
        <v>4.7</v>
      </c>
      <c r="AC41" s="125" t="n">
        <v>4.6</v>
      </c>
      <c r="AD41" s="124"/>
      <c r="AE41" s="124"/>
      <c r="AF41" s="124"/>
      <c r="AG41" s="124"/>
      <c r="AH41" s="124"/>
      <c r="AI41" s="124"/>
      <c r="AJ41" s="124"/>
      <c r="AK41" s="124"/>
      <c r="AL41" s="124"/>
      <c r="AM41" s="124"/>
      <c r="AN41" s="124"/>
      <c r="AO41" s="124"/>
      <c r="AP41" s="124"/>
      <c r="AQ41" s="124"/>
      <c r="AR41" s="124"/>
      <c r="AS41" s="124"/>
      <c r="AT41" s="124"/>
      <c r="AU41" s="124"/>
      <c r="AV41" s="124"/>
      <c r="AW41" s="124"/>
      <c r="AX41" s="124"/>
      <c r="AY41" s="124"/>
      <c r="AZ41" s="124"/>
      <c r="BA41" s="124"/>
      <c r="BB41" s="136"/>
    </row>
    <row r="42" customFormat="false" ht="16.2" hidden="false" customHeight="false" outlineLevel="0" collapsed="false">
      <c r="A42" s="111" t="n">
        <f aca="false">IF(ISBLANK(VLOOKUP(D42,#REF!,3)),0,1)</f>
        <v>1</v>
      </c>
      <c r="B42" s="112" t="n">
        <f aca="false">IF(ISBLANK(D42),0,IF(ISBLANK(E42),0,IF(ISBLANK(F42),0,1)))</f>
        <v>0</v>
      </c>
      <c r="C42" s="128" t="n">
        <v>8</v>
      </c>
      <c r="D42" s="129"/>
      <c r="E42" s="129"/>
      <c r="F42" s="137"/>
      <c r="G42" s="117" t="n">
        <v>35.8167</v>
      </c>
      <c r="H42" s="131" t="n">
        <v>40</v>
      </c>
      <c r="I42" s="119" t="n">
        <v>40.5</v>
      </c>
      <c r="J42" s="132"/>
      <c r="K42" s="133"/>
      <c r="L42" s="133"/>
      <c r="M42" s="133"/>
      <c r="N42" s="134"/>
      <c r="O42" s="133"/>
      <c r="P42" s="171" t="n">
        <v>3.52</v>
      </c>
      <c r="Q42" s="132"/>
      <c r="R42" s="132"/>
      <c r="S42" s="172" t="n">
        <v>153.3</v>
      </c>
      <c r="T42" s="32" t="n">
        <v>0.26</v>
      </c>
      <c r="U42" s="32" t="n">
        <v>0.26</v>
      </c>
      <c r="V42" s="32"/>
      <c r="W42" s="32"/>
      <c r="X42" s="125" t="n">
        <v>11.7</v>
      </c>
      <c r="Y42" s="125" t="n">
        <v>11.4</v>
      </c>
      <c r="Z42" s="32" t="n">
        <v>0.88</v>
      </c>
      <c r="AA42" s="32" t="n">
        <v>0.86</v>
      </c>
      <c r="AB42" s="125" t="n">
        <v>4.4</v>
      </c>
      <c r="AC42" s="125" t="n">
        <v>4.3</v>
      </c>
      <c r="AD42" s="124"/>
      <c r="AE42" s="124"/>
      <c r="AF42" s="124"/>
      <c r="AG42" s="124"/>
      <c r="AH42" s="124"/>
      <c r="AI42" s="124"/>
      <c r="AJ42" s="124"/>
      <c r="AK42" s="124"/>
      <c r="AL42" s="124"/>
      <c r="AM42" s="124"/>
      <c r="AN42" s="124"/>
      <c r="AO42" s="124"/>
      <c r="AP42" s="124"/>
      <c r="AQ42" s="124"/>
      <c r="AR42" s="124"/>
      <c r="AS42" s="124"/>
      <c r="AT42" s="124"/>
      <c r="AU42" s="124"/>
      <c r="AV42" s="124"/>
      <c r="AW42" s="124"/>
      <c r="AX42" s="124"/>
      <c r="AY42" s="124"/>
      <c r="AZ42" s="124"/>
      <c r="BA42" s="124"/>
      <c r="BB42" s="136"/>
    </row>
    <row r="43" customFormat="false" ht="15.6" hidden="false" customHeight="false" outlineLevel="0" collapsed="false">
      <c r="A43" s="111" t="n">
        <f aca="false">IF(ISBLANK(VLOOKUP(D43,#REF!,3)),0,1)</f>
        <v>1</v>
      </c>
      <c r="B43" s="112" t="n">
        <f aca="false">IF(ISBLANK(D43),0,IF(ISBLANK(E43),0,IF(ISBLANK(F43),0,1)))</f>
        <v>0</v>
      </c>
      <c r="C43" s="128" t="n">
        <v>9</v>
      </c>
      <c r="D43" s="129"/>
      <c r="E43" s="129"/>
      <c r="F43" s="137"/>
      <c r="G43" s="117" t="n">
        <v>35.796</v>
      </c>
      <c r="H43" s="131" t="n">
        <v>20</v>
      </c>
      <c r="I43" s="119" t="n">
        <v>20.1</v>
      </c>
      <c r="J43" s="132"/>
      <c r="K43" s="133"/>
      <c r="L43" s="133"/>
      <c r="M43" s="133"/>
      <c r="N43" s="134"/>
      <c r="O43" s="133"/>
      <c r="P43" s="171" t="n">
        <v>4.389</v>
      </c>
      <c r="Q43" s="132"/>
      <c r="R43" s="132"/>
      <c r="S43" s="172" t="n">
        <v>191.3</v>
      </c>
      <c r="T43" s="32" t="n">
        <v>0.07</v>
      </c>
      <c r="U43" s="32" t="n">
        <v>0.07</v>
      </c>
      <c r="V43" s="32"/>
      <c r="W43" s="32"/>
      <c r="X43" s="125" t="n">
        <v>3.1</v>
      </c>
      <c r="Y43" s="125" t="n">
        <v>3</v>
      </c>
      <c r="Z43" s="32" t="n">
        <v>0.34</v>
      </c>
      <c r="AA43" s="32" t="n">
        <v>0.34</v>
      </c>
      <c r="AB43" s="125" t="n">
        <v>2.2</v>
      </c>
      <c r="AC43" s="125" t="n">
        <v>2.1</v>
      </c>
      <c r="AD43" s="126"/>
      <c r="AE43" s="126"/>
      <c r="AF43" s="126"/>
      <c r="AG43" s="126"/>
      <c r="AH43" s="126"/>
      <c r="AI43" s="126"/>
      <c r="AJ43" s="126"/>
      <c r="AK43" s="126"/>
      <c r="AL43" s="126"/>
      <c r="AM43" s="126"/>
      <c r="AN43" s="126"/>
      <c r="AO43" s="126"/>
      <c r="AP43" s="126"/>
      <c r="AQ43" s="126"/>
      <c r="AR43" s="126"/>
      <c r="AS43" s="126"/>
      <c r="AT43" s="126"/>
      <c r="AU43" s="126"/>
      <c r="AV43" s="126"/>
      <c r="AW43" s="126"/>
      <c r="AX43" s="126"/>
      <c r="AY43" s="126"/>
      <c r="AZ43" s="126"/>
      <c r="BA43" s="126"/>
      <c r="BB43" s="127"/>
    </row>
    <row r="44" customFormat="false" ht="15.6" hidden="false" customHeight="false" outlineLevel="0" collapsed="false">
      <c r="A44" s="111" t="n">
        <f aca="false">IF(ISBLANK(VLOOKUP(D44,#REF!,3)),0,1)</f>
        <v>1</v>
      </c>
      <c r="B44" s="112" t="n">
        <f aca="false">IF(ISBLANK(D44),0,IF(ISBLANK(E44),0,IF(ISBLANK(F44),0,1)))</f>
        <v>0</v>
      </c>
      <c r="C44" s="128" t="n">
        <v>10</v>
      </c>
      <c r="D44" s="129"/>
      <c r="E44" s="129"/>
      <c r="F44" s="137"/>
      <c r="G44" s="117" t="n">
        <v>34.3424</v>
      </c>
      <c r="H44" s="131" t="n">
        <v>10</v>
      </c>
      <c r="I44" s="119" t="n">
        <v>10.2</v>
      </c>
      <c r="J44" s="132"/>
      <c r="K44" s="133"/>
      <c r="L44" s="133"/>
      <c r="M44" s="133"/>
      <c r="N44" s="134"/>
      <c r="O44" s="133"/>
      <c r="P44" s="171" t="n">
        <v>4.676</v>
      </c>
      <c r="Q44" s="132"/>
      <c r="R44" s="132"/>
      <c r="S44" s="172" t="n">
        <v>204.2</v>
      </c>
      <c r="T44" s="32" t="n">
        <v>0</v>
      </c>
      <c r="U44" s="32" t="n">
        <v>0</v>
      </c>
      <c r="V44" s="32"/>
      <c r="W44" s="32"/>
      <c r="X44" s="125" t="n">
        <v>0</v>
      </c>
      <c r="Y44" s="125" t="n">
        <v>0</v>
      </c>
      <c r="Z44" s="32" t="n">
        <v>0.02</v>
      </c>
      <c r="AA44" s="32" t="n">
        <v>0.01</v>
      </c>
      <c r="AB44" s="125" t="n">
        <v>0.8</v>
      </c>
      <c r="AC44" s="125" t="n">
        <v>0.8</v>
      </c>
      <c r="AD44" s="124"/>
      <c r="AE44" s="124"/>
      <c r="AF44" s="124"/>
      <c r="AG44" s="124"/>
      <c r="AH44" s="124"/>
      <c r="AI44" s="124"/>
      <c r="AJ44" s="124"/>
      <c r="AK44" s="124"/>
      <c r="AL44" s="124"/>
      <c r="AM44" s="124"/>
      <c r="AN44" s="124"/>
      <c r="AO44" s="124"/>
      <c r="AP44" s="124"/>
      <c r="AQ44" s="124"/>
      <c r="AR44" s="124"/>
      <c r="AS44" s="124"/>
      <c r="AT44" s="124"/>
      <c r="AU44" s="124"/>
      <c r="AV44" s="124"/>
      <c r="AW44" s="124"/>
      <c r="AX44" s="124"/>
      <c r="AY44" s="124"/>
      <c r="AZ44" s="124"/>
      <c r="BA44" s="124"/>
      <c r="BB44" s="136"/>
    </row>
    <row r="45" customFormat="false" ht="15.6" hidden="false" customHeight="false" outlineLevel="0" collapsed="false">
      <c r="A45" s="111" t="n">
        <f aca="false">IF(ISBLANK(VLOOKUP(D45,#REF!,3)),0,1)</f>
        <v>1</v>
      </c>
      <c r="B45" s="112" t="n">
        <f aca="false">IF(ISBLANK(D45),0,IF(ISBLANK(E45),0,IF(ISBLANK(F45),0,1)))</f>
        <v>0</v>
      </c>
      <c r="C45" s="128" t="n">
        <v>11</v>
      </c>
      <c r="D45" s="129"/>
      <c r="E45" s="129"/>
      <c r="F45" s="137"/>
      <c r="G45" s="117" t="n">
        <v>34.3399</v>
      </c>
      <c r="H45" s="131" t="n">
        <v>0</v>
      </c>
      <c r="I45" s="119" t="n">
        <v>1.9</v>
      </c>
      <c r="J45" s="132"/>
      <c r="K45" s="133"/>
      <c r="L45" s="133"/>
      <c r="M45" s="133"/>
      <c r="N45" s="134"/>
      <c r="O45" s="133"/>
      <c r="P45" s="171" t="n">
        <v>4.682</v>
      </c>
      <c r="Q45" s="132"/>
      <c r="R45" s="132"/>
      <c r="S45" s="172" t="n">
        <v>204.5</v>
      </c>
      <c r="T45" s="32" t="n">
        <v>0</v>
      </c>
      <c r="U45" s="32" t="n">
        <v>0</v>
      </c>
      <c r="V45" s="32"/>
      <c r="W45" s="32"/>
      <c r="X45" s="125" t="n">
        <v>0</v>
      </c>
      <c r="Y45" s="125" t="n">
        <v>0</v>
      </c>
      <c r="Z45" s="32" t="n">
        <v>0</v>
      </c>
      <c r="AA45" s="32" t="n">
        <v>0</v>
      </c>
      <c r="AB45" s="125" t="n">
        <v>0.8</v>
      </c>
      <c r="AC45" s="125" t="n">
        <v>0.8</v>
      </c>
      <c r="AD45" s="124"/>
      <c r="AE45" s="124"/>
      <c r="AF45" s="124"/>
      <c r="AG45" s="124"/>
      <c r="AH45" s="124"/>
      <c r="AI45" s="124"/>
      <c r="AJ45" s="124"/>
      <c r="AK45" s="124"/>
      <c r="AL45" s="124"/>
      <c r="AM45" s="124"/>
      <c r="AN45" s="124"/>
      <c r="AO45" s="124"/>
      <c r="AP45" s="124"/>
      <c r="AQ45" s="124"/>
      <c r="AR45" s="124"/>
      <c r="AS45" s="124"/>
      <c r="AT45" s="124"/>
      <c r="AU45" s="124"/>
      <c r="AV45" s="124"/>
      <c r="AW45" s="124"/>
      <c r="AX45" s="124"/>
      <c r="AY45" s="124"/>
      <c r="AZ45" s="124"/>
      <c r="BA45" s="124"/>
      <c r="BB45" s="136"/>
    </row>
    <row r="46" customFormat="false" ht="15.6" hidden="false" customHeight="false" outlineLevel="0" collapsed="false">
      <c r="A46" s="111" t="n">
        <f aca="false">IF(ISBLANK(VLOOKUP(D46,#REF!,3)),0,1)</f>
        <v>1</v>
      </c>
      <c r="B46" s="112" t="n">
        <f aca="false">IF(ISBLANK(D46),0,IF(ISBLANK(E46),0,IF(ISBLANK(F46),0,1)))</f>
        <v>0</v>
      </c>
      <c r="C46" s="128" t="n">
        <v>12</v>
      </c>
      <c r="D46" s="142"/>
      <c r="E46" s="142"/>
      <c r="F46" s="143"/>
      <c r="G46" s="144"/>
      <c r="H46" s="142"/>
      <c r="I46" s="145"/>
      <c r="J46" s="132" t="str">
        <f aca="false">IF(ISBLANK(D46),"",IF(VLOOKUP(D46,#REF!,2)=0,"",IF(D46&gt;#REF!,"Mauvais numéro",IF(D46&lt;#REF!,"Mauvais numéro",(VLOOKUP(D46,#REF!,3))))))</f>
        <v/>
      </c>
      <c r="K46" s="146" t="str">
        <f aca="false">IF(ISBLANK(E46),"",(0.000824493-(0.0000040899*E46)+(0.000000076438*E46^2)-(0.00000000082467*E46^3)+(0.0000000000053875*E46^4)))</f>
        <v/>
      </c>
      <c r="L46" s="146" t="str">
        <f aca="false">IF(ISBLANK(E46),"",(-0.00000572466+(0.00000010227*E46)-(0.0000000016546*E46^2)))</f>
        <v/>
      </c>
      <c r="M46" s="146" t="str">
        <f aca="false">IF(ISBLANK(E46),"",IF(ISBLANK(G46),(O46+(K46*35)+(L46*35^1.5)+(0.00000048314*35^2)),(O46+(K46*G46)+(L46*G46^1.5)+(0.00000048314*G46^2))))</f>
        <v/>
      </c>
      <c r="N46" s="147" t="str">
        <f aca="false">IF(ISBLANK(D46),"",IF(ISBLANK(G46),J46*(1+0.00001*(35-20)),J46*(1+0.00001*(G46-20))))</f>
        <v/>
      </c>
      <c r="O46" s="146" t="str">
        <f aca="false">IF(ISBLANK(E46),"",(0.999842594+(0.00006793952*E46)-(0.00000909529*E46^2)+(0.0000001001685*E46^3)-(0.000000001120083*E46^4)+(0.000000000006536332*E46^5)))</f>
        <v/>
      </c>
      <c r="P46" s="148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49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0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0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24"/>
      <c r="U46" s="124"/>
      <c r="V46" s="124"/>
      <c r="W46" s="124"/>
      <c r="X46" s="124"/>
      <c r="Y46" s="124"/>
      <c r="Z46" s="124"/>
      <c r="AA46" s="124"/>
      <c r="AB46" s="124"/>
      <c r="AC46" s="124"/>
      <c r="AD46" s="124"/>
      <c r="AE46" s="124"/>
      <c r="AF46" s="124"/>
      <c r="AG46" s="124"/>
      <c r="AH46" s="124"/>
      <c r="AI46" s="124"/>
      <c r="AJ46" s="124"/>
      <c r="AK46" s="124"/>
      <c r="AL46" s="124"/>
      <c r="AM46" s="124"/>
      <c r="AN46" s="124"/>
      <c r="AO46" s="124"/>
      <c r="AP46" s="124"/>
      <c r="AQ46" s="124"/>
      <c r="AR46" s="124"/>
      <c r="AS46" s="124"/>
      <c r="AT46" s="124"/>
      <c r="AU46" s="124"/>
      <c r="AV46" s="124"/>
      <c r="AW46" s="124"/>
      <c r="AX46" s="124"/>
      <c r="AY46" s="124"/>
      <c r="AZ46" s="124"/>
      <c r="BA46" s="124"/>
      <c r="BB46" s="136"/>
    </row>
    <row r="47" customFormat="false" ht="15.6" hidden="false" customHeight="false" outlineLevel="0" collapsed="false">
      <c r="A47" s="111" t="n">
        <f aca="false">IF(ISBLANK(VLOOKUP(D47,#REF!,3)),0,1)</f>
        <v>1</v>
      </c>
      <c r="B47" s="112" t="n">
        <f aca="false">IF(ISBLANK(D47),0,IF(ISBLANK(E47),0,IF(ISBLANK(F47),0,1)))</f>
        <v>0</v>
      </c>
      <c r="C47" s="128" t="n">
        <v>13</v>
      </c>
      <c r="D47" s="151"/>
      <c r="E47" s="151"/>
      <c r="F47" s="152"/>
      <c r="G47" s="153"/>
      <c r="H47" s="151"/>
      <c r="I47" s="151"/>
      <c r="J47" s="132" t="str">
        <f aca="false">IF(ISBLANK(D47),"",IF(VLOOKUP(D47,#REF!,2)=0,"",IF(D47&gt;#REF!,"Mauvais numéro",IF(D47&lt;#REF!,"Mauvais numéro",(VLOOKUP(D47,#REF!,3))))))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54"/>
      <c r="Q47" s="149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5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4"/>
      <c r="T47" s="124"/>
      <c r="U47" s="124"/>
      <c r="V47" s="124"/>
      <c r="W47" s="124"/>
      <c r="X47" s="12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24"/>
      <c r="AJ47" s="124"/>
      <c r="AK47" s="124"/>
      <c r="AL47" s="124"/>
      <c r="AM47" s="124"/>
      <c r="AN47" s="124"/>
      <c r="AO47" s="124"/>
      <c r="AP47" s="124"/>
      <c r="AQ47" s="124"/>
      <c r="AR47" s="124"/>
      <c r="AS47" s="124"/>
      <c r="AT47" s="124"/>
      <c r="AU47" s="124"/>
      <c r="AV47" s="124"/>
      <c r="AW47" s="124"/>
      <c r="AX47" s="124"/>
      <c r="AY47" s="124"/>
      <c r="AZ47" s="124"/>
      <c r="BA47" s="124"/>
      <c r="BB47" s="136"/>
    </row>
    <row r="48" customFormat="false" ht="15.6" hidden="false" customHeight="false" outlineLevel="0" collapsed="false">
      <c r="A48" s="111" t="n">
        <f aca="false">IF(ISBLANK(VLOOKUP(D48,#REF!,3)),0,1)</f>
        <v>1</v>
      </c>
      <c r="B48" s="112" t="n">
        <f aca="false">IF(ISBLANK(D48),0,IF(ISBLANK(E48),0,IF(ISBLANK(F48),0,1)))</f>
        <v>0</v>
      </c>
      <c r="C48" s="128" t="n">
        <v>14</v>
      </c>
      <c r="D48" s="151"/>
      <c r="E48" s="151"/>
      <c r="F48" s="152"/>
      <c r="G48" s="153"/>
      <c r="H48" s="151"/>
      <c r="I48" s="151"/>
      <c r="J48" s="132" t="str">
        <f aca="false">IF(ISBLANK(D48),"",IF(VLOOKUP(D48,#REF!,2)=0,"",IF(D48&gt;#REF!,"Mauvais numéro",IF(D48&lt;#REF!,"Mauvais numéro",(VLOOKUP(D48,#REF!,3))))))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54"/>
      <c r="Q48" s="149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5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4"/>
      <c r="T48" s="124"/>
      <c r="U48" s="124"/>
      <c r="V48" s="124"/>
      <c r="W48" s="124"/>
      <c r="X48" s="124"/>
      <c r="Y48" s="124"/>
      <c r="Z48" s="124"/>
      <c r="AA48" s="124"/>
      <c r="AB48" s="124"/>
      <c r="AC48" s="124"/>
      <c r="AD48" s="124"/>
      <c r="AE48" s="124"/>
      <c r="AF48" s="124"/>
      <c r="AG48" s="124"/>
      <c r="AH48" s="124"/>
      <c r="AI48" s="124"/>
      <c r="AJ48" s="124"/>
      <c r="AK48" s="124"/>
      <c r="AL48" s="124"/>
      <c r="AM48" s="124"/>
      <c r="AN48" s="124"/>
      <c r="AO48" s="124"/>
      <c r="AP48" s="124"/>
      <c r="AQ48" s="124"/>
      <c r="AR48" s="124"/>
      <c r="AS48" s="124"/>
      <c r="AT48" s="124"/>
      <c r="AU48" s="124"/>
      <c r="AV48" s="124"/>
      <c r="AW48" s="124"/>
      <c r="AX48" s="124"/>
      <c r="AY48" s="124"/>
      <c r="AZ48" s="124"/>
      <c r="BA48" s="124"/>
      <c r="BB48" s="136"/>
    </row>
    <row r="49" customFormat="false" ht="15.6" hidden="false" customHeight="false" outlineLevel="0" collapsed="false">
      <c r="A49" s="111" t="n">
        <f aca="false">IF(ISBLANK(VLOOKUP(D49,#REF!,3)),0,1)</f>
        <v>1</v>
      </c>
      <c r="B49" s="112" t="n">
        <f aca="false">IF(ISBLANK(D49),0,IF(ISBLANK(E49),0,IF(ISBLANK(F49),0,1)))</f>
        <v>0</v>
      </c>
      <c r="C49" s="128" t="n">
        <v>15</v>
      </c>
      <c r="D49" s="151"/>
      <c r="E49" s="151"/>
      <c r="F49" s="152"/>
      <c r="G49" s="156"/>
      <c r="H49" s="151"/>
      <c r="I49" s="151"/>
      <c r="J49" s="132" t="str">
        <f aca="false">IF(ISBLANK(D49),"",IF(VLOOKUP(D49,#REF!,2)=0,"",IF(D49&gt;#REF!,"Mauvais numéro",IF(D49&lt;#REF!,"Mauvais numéro",(VLOOKUP(D49,#REF!,3))))))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57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49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24"/>
      <c r="AE49" s="124"/>
      <c r="AF49" s="124"/>
      <c r="AG49" s="124"/>
      <c r="AH49" s="124"/>
      <c r="AI49" s="124"/>
      <c r="AJ49" s="124"/>
      <c r="AK49" s="124"/>
      <c r="AL49" s="124"/>
      <c r="AM49" s="124"/>
      <c r="AN49" s="124"/>
      <c r="AO49" s="124"/>
      <c r="AP49" s="124"/>
      <c r="AQ49" s="124"/>
      <c r="AR49" s="124"/>
      <c r="AS49" s="124"/>
      <c r="AT49" s="124"/>
      <c r="AU49" s="124"/>
      <c r="AV49" s="124"/>
      <c r="AW49" s="124"/>
      <c r="AX49" s="124"/>
      <c r="AY49" s="124"/>
      <c r="AZ49" s="124"/>
      <c r="BA49" s="124"/>
      <c r="BB49" s="136"/>
    </row>
    <row r="50" customFormat="false" ht="15.6" hidden="false" customHeight="false" outlineLevel="0" collapsed="false">
      <c r="A50" s="111" t="n">
        <f aca="false">IF(ISBLANK(VLOOKUP(D50,#REF!,3)),0,1)</f>
        <v>1</v>
      </c>
      <c r="B50" s="112" t="n">
        <f aca="false">IF(ISBLANK(D50),0,IF(ISBLANK(E50),0,IF(ISBLANK(F50),0,1)))</f>
        <v>0</v>
      </c>
      <c r="C50" s="128" t="n">
        <v>16</v>
      </c>
      <c r="D50" s="151"/>
      <c r="E50" s="151"/>
      <c r="F50" s="152"/>
      <c r="G50" s="156"/>
      <c r="H50" s="151"/>
      <c r="I50" s="151"/>
      <c r="J50" s="132" t="str">
        <f aca="false">IF(ISBLANK(D50),"",IF(VLOOKUP(D50,#REF!,2)=0,"",IF(D50&gt;#REF!,"Mauvais numéro",IF(D50&lt;#REF!,"Mauvais numéro",(VLOOKUP(D50,#REF!,3))))))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57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49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24"/>
      <c r="U50" s="124"/>
      <c r="V50" s="124"/>
      <c r="W50" s="124"/>
      <c r="X50" s="124"/>
      <c r="Y50" s="124"/>
      <c r="Z50" s="124"/>
      <c r="AA50" s="124"/>
      <c r="AB50" s="124"/>
      <c r="AC50" s="124"/>
      <c r="AD50" s="124"/>
      <c r="AE50" s="124"/>
      <c r="AF50" s="124"/>
      <c r="AG50" s="124"/>
      <c r="AH50" s="124"/>
      <c r="AI50" s="124"/>
      <c r="AJ50" s="124"/>
      <c r="AK50" s="124"/>
      <c r="AL50" s="124"/>
      <c r="AM50" s="124"/>
      <c r="AN50" s="124"/>
      <c r="AO50" s="124"/>
      <c r="AP50" s="124"/>
      <c r="AQ50" s="124"/>
      <c r="AR50" s="124"/>
      <c r="AS50" s="124"/>
      <c r="AT50" s="124"/>
      <c r="AU50" s="124"/>
      <c r="AV50" s="124"/>
      <c r="AW50" s="124"/>
      <c r="AX50" s="124"/>
      <c r="AY50" s="124"/>
      <c r="AZ50" s="124"/>
      <c r="BA50" s="124"/>
      <c r="BB50" s="136"/>
    </row>
    <row r="51" customFormat="false" ht="15.6" hidden="false" customHeight="false" outlineLevel="0" collapsed="false">
      <c r="A51" s="111" t="n">
        <f aca="false">IF(ISBLANK(VLOOKUP(D51,#REF!,3)),0,1)</f>
        <v>1</v>
      </c>
      <c r="B51" s="112" t="n">
        <f aca="false">IF(ISBLANK(D51),0,IF(ISBLANK(E51),0,IF(ISBLANK(F51),0,1)))</f>
        <v>0</v>
      </c>
      <c r="C51" s="128" t="n">
        <v>17</v>
      </c>
      <c r="D51" s="151"/>
      <c r="E51" s="151"/>
      <c r="F51" s="152"/>
      <c r="G51" s="156"/>
      <c r="H51" s="151"/>
      <c r="I51" s="151"/>
      <c r="J51" s="132" t="str">
        <f aca="false">IF(ISBLANK(D51),"",IF(VLOOKUP(D51,#REF!,2)=0,"",IF(D51&gt;#REF!,"Mauvais numéro",IF(D51&lt;#REF!,"Mauvais numéro",(VLOOKUP(D51,#REF!,3))))))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57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49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24"/>
      <c r="AE51" s="124"/>
      <c r="AF51" s="124"/>
      <c r="AG51" s="124"/>
      <c r="AH51" s="124"/>
      <c r="AI51" s="124"/>
      <c r="AJ51" s="124"/>
      <c r="AK51" s="124"/>
      <c r="AL51" s="124"/>
      <c r="AM51" s="124"/>
      <c r="AN51" s="124"/>
      <c r="AO51" s="124"/>
      <c r="AP51" s="124"/>
      <c r="AQ51" s="124"/>
      <c r="AR51" s="124"/>
      <c r="AS51" s="124"/>
      <c r="AT51" s="124"/>
      <c r="AU51" s="124"/>
      <c r="AV51" s="124"/>
      <c r="AW51" s="124"/>
      <c r="AX51" s="124"/>
      <c r="AY51" s="124"/>
      <c r="AZ51" s="124"/>
      <c r="BA51" s="124"/>
      <c r="BB51" s="136"/>
    </row>
    <row r="52" customFormat="false" ht="15.6" hidden="false" customHeight="false" outlineLevel="0" collapsed="false">
      <c r="A52" s="111" t="n">
        <f aca="false">IF(ISBLANK(VLOOKUP(D52,#REF!,3)),0,1)</f>
        <v>1</v>
      </c>
      <c r="B52" s="112" t="n">
        <f aca="false">IF(ISBLANK(D52),0,IF(ISBLANK(E52),0,IF(ISBLANK(F52),0,1)))</f>
        <v>0</v>
      </c>
      <c r="C52" s="128" t="n">
        <v>18</v>
      </c>
      <c r="D52" s="151"/>
      <c r="E52" s="151"/>
      <c r="F52" s="152"/>
      <c r="G52" s="156"/>
      <c r="H52" s="151"/>
      <c r="I52" s="151"/>
      <c r="J52" s="132" t="str">
        <f aca="false">IF(ISBLANK(D52),"",IF(VLOOKUP(D52,#REF!,2)=0,"",IF(D52&gt;#REF!,"Mauvais numéro",IF(D52&lt;#REF!,"Mauvais numéro",(VLOOKUP(D52,#REF!,3))))))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57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49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24"/>
      <c r="U52" s="124"/>
      <c r="V52" s="124"/>
      <c r="W52" s="124"/>
      <c r="X52" s="124"/>
      <c r="Y52" s="124"/>
      <c r="Z52" s="124"/>
      <c r="AA52" s="124"/>
      <c r="AB52" s="124"/>
      <c r="AC52" s="124"/>
      <c r="AD52" s="124"/>
      <c r="AE52" s="124"/>
      <c r="AF52" s="124"/>
      <c r="AG52" s="124"/>
      <c r="AH52" s="124"/>
      <c r="AI52" s="124"/>
      <c r="AJ52" s="124"/>
      <c r="AK52" s="124"/>
      <c r="AL52" s="124"/>
      <c r="AM52" s="124"/>
      <c r="AN52" s="124"/>
      <c r="AO52" s="124"/>
      <c r="AP52" s="124"/>
      <c r="AQ52" s="124"/>
      <c r="AR52" s="124"/>
      <c r="AS52" s="124"/>
      <c r="AT52" s="124"/>
      <c r="AU52" s="124"/>
      <c r="AV52" s="124"/>
      <c r="AW52" s="124"/>
      <c r="AX52" s="124"/>
      <c r="AY52" s="124"/>
      <c r="AZ52" s="124"/>
      <c r="BA52" s="124"/>
      <c r="BB52" s="136"/>
    </row>
    <row r="53" customFormat="false" ht="15.6" hidden="false" customHeight="false" outlineLevel="0" collapsed="false">
      <c r="A53" s="111" t="n">
        <f aca="false">IF(ISBLANK(VLOOKUP(D53,#REF!,3)),0,1)</f>
        <v>1</v>
      </c>
      <c r="B53" s="112" t="n">
        <f aca="false">IF(ISBLANK(D53),0,IF(ISBLANK(E53),0,IF(ISBLANK(F53),0,1)))</f>
        <v>0</v>
      </c>
      <c r="C53" s="128" t="n">
        <v>19</v>
      </c>
      <c r="D53" s="151"/>
      <c r="E53" s="151"/>
      <c r="F53" s="152"/>
      <c r="G53" s="156"/>
      <c r="H53" s="151"/>
      <c r="I53" s="151"/>
      <c r="J53" s="132" t="str">
        <f aca="false">IF(ISBLANK(D53),"",IF(VLOOKUP(D53,#REF!,2)=0,"",IF(D53&gt;#REF!,"Mauvais numéro",IF(D53&lt;#REF!,"Mauvais numéro",(VLOOKUP(D53,#REF!,3))))))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57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49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24"/>
      <c r="U53" s="124"/>
      <c r="V53" s="124"/>
      <c r="W53" s="124"/>
      <c r="X53" s="12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24"/>
      <c r="AJ53" s="124"/>
      <c r="AK53" s="124"/>
      <c r="AL53" s="124"/>
      <c r="AM53" s="124"/>
      <c r="AN53" s="124"/>
      <c r="AO53" s="124"/>
      <c r="AP53" s="124"/>
      <c r="AQ53" s="124"/>
      <c r="AR53" s="124"/>
      <c r="AS53" s="124"/>
      <c r="AT53" s="124"/>
      <c r="AU53" s="124"/>
      <c r="AV53" s="124"/>
      <c r="AW53" s="124"/>
      <c r="AX53" s="124"/>
      <c r="AY53" s="124"/>
      <c r="AZ53" s="124"/>
      <c r="BA53" s="124"/>
      <c r="BB53" s="136"/>
    </row>
    <row r="54" customFormat="false" ht="15.6" hidden="false" customHeight="false" outlineLevel="0" collapsed="false">
      <c r="A54" s="111" t="n">
        <f aca="false">IF(ISBLANK(VLOOKUP(D54,#REF!,3)),0,1)</f>
        <v>1</v>
      </c>
      <c r="B54" s="112" t="n">
        <f aca="false">IF(ISBLANK(D54),0,IF(ISBLANK(E54),0,IF(ISBLANK(F54),0,1)))</f>
        <v>0</v>
      </c>
      <c r="C54" s="128" t="n">
        <v>20</v>
      </c>
      <c r="D54" s="151"/>
      <c r="E54" s="151"/>
      <c r="F54" s="152"/>
      <c r="G54" s="156"/>
      <c r="H54" s="151"/>
      <c r="I54" s="151"/>
      <c r="J54" s="132" t="str">
        <f aca="false">IF(ISBLANK(D54),"",IF(VLOOKUP(D54,#REF!,2)=0,"",IF(D54&gt;#REF!,"Mauvais numéro",IF(D54&lt;#REF!,"Mauvais numéro",(VLOOKUP(D54,#REF!,3))))))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57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49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4"/>
      <c r="U54" s="124"/>
      <c r="V54" s="124"/>
      <c r="W54" s="124"/>
      <c r="X54" s="124"/>
      <c r="Y54" s="124"/>
      <c r="Z54" s="124"/>
      <c r="AA54" s="124"/>
      <c r="AB54" s="124"/>
      <c r="AC54" s="124"/>
      <c r="AD54" s="124"/>
      <c r="AE54" s="124"/>
      <c r="AF54" s="124"/>
      <c r="AG54" s="124"/>
      <c r="AH54" s="124"/>
      <c r="AI54" s="124"/>
      <c r="AJ54" s="124"/>
      <c r="AK54" s="124"/>
      <c r="AL54" s="124"/>
      <c r="AM54" s="124"/>
      <c r="AN54" s="124"/>
      <c r="AO54" s="124"/>
      <c r="AP54" s="124"/>
      <c r="AQ54" s="124"/>
      <c r="AR54" s="124"/>
      <c r="AS54" s="124"/>
      <c r="AT54" s="124"/>
      <c r="AU54" s="124"/>
      <c r="AV54" s="124"/>
      <c r="AW54" s="124"/>
      <c r="AX54" s="124"/>
      <c r="AY54" s="124"/>
      <c r="AZ54" s="124"/>
      <c r="BA54" s="124"/>
      <c r="BB54" s="136"/>
    </row>
    <row r="55" customFormat="false" ht="15.6" hidden="false" customHeight="false" outlineLevel="0" collapsed="false">
      <c r="A55" s="111" t="n">
        <f aca="false">IF(ISBLANK(VLOOKUP(D55,#REF!,3)),0,1)</f>
        <v>1</v>
      </c>
      <c r="B55" s="112" t="n">
        <f aca="false">IF(ISBLANK(D55),0,IF(ISBLANK(E55),0,IF(ISBLANK(F55),0,1)))</f>
        <v>0</v>
      </c>
      <c r="C55" s="128" t="n">
        <v>21</v>
      </c>
      <c r="D55" s="151"/>
      <c r="E55" s="151"/>
      <c r="F55" s="152"/>
      <c r="G55" s="156"/>
      <c r="H55" s="151"/>
      <c r="I55" s="151"/>
      <c r="J55" s="132" t="str">
        <f aca="false">IF(ISBLANK(D55),"",IF(VLOOKUP(D55,#REF!,2)=0,"",IF(D55&gt;#REF!,"Mauvais numéro",IF(D55&lt;#REF!,"Mauvais numéro",(VLOOKUP(D55,#REF!,3))))))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57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49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24"/>
      <c r="U55" s="124"/>
      <c r="V55" s="124"/>
      <c r="W55" s="124"/>
      <c r="X55" s="124"/>
      <c r="Y55" s="124"/>
      <c r="Z55" s="124"/>
      <c r="AA55" s="124"/>
      <c r="AB55" s="124"/>
      <c r="AC55" s="124"/>
      <c r="AD55" s="124"/>
      <c r="AE55" s="124"/>
      <c r="AF55" s="124"/>
      <c r="AG55" s="124"/>
      <c r="AH55" s="124"/>
      <c r="AI55" s="124"/>
      <c r="AJ55" s="124"/>
      <c r="AK55" s="124"/>
      <c r="AL55" s="124"/>
      <c r="AM55" s="124"/>
      <c r="AN55" s="124"/>
      <c r="AO55" s="124"/>
      <c r="AP55" s="124"/>
      <c r="AQ55" s="124"/>
      <c r="AR55" s="124"/>
      <c r="AS55" s="124"/>
      <c r="AT55" s="124"/>
      <c r="AU55" s="124"/>
      <c r="AV55" s="124"/>
      <c r="AW55" s="124"/>
      <c r="AX55" s="124"/>
      <c r="AY55" s="124"/>
      <c r="AZ55" s="124"/>
      <c r="BA55" s="124"/>
      <c r="BB55" s="136"/>
    </row>
    <row r="56" customFormat="false" ht="15.6" hidden="false" customHeight="false" outlineLevel="0" collapsed="false">
      <c r="A56" s="111" t="n">
        <f aca="false">IF(ISBLANK(VLOOKUP(D56,#REF!,3)),0,1)</f>
        <v>1</v>
      </c>
      <c r="B56" s="112" t="n">
        <f aca="false">IF(ISBLANK(D56),0,IF(ISBLANK(E56),0,IF(ISBLANK(F56),0,1)))</f>
        <v>0</v>
      </c>
      <c r="C56" s="128" t="n">
        <v>22</v>
      </c>
      <c r="D56" s="151"/>
      <c r="E56" s="151"/>
      <c r="F56" s="152"/>
      <c r="G56" s="156"/>
      <c r="H56" s="151"/>
      <c r="I56" s="151"/>
      <c r="J56" s="132" t="str">
        <f aca="false">IF(ISBLANK(D56),"",IF(VLOOKUP(D56,#REF!,2)=0,"",IF(D56&gt;#REF!,"Mauvais numéro",IF(D56&lt;#REF!,"Mauvais numéro",(VLOOKUP(D56,#REF!,3))))))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57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49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24"/>
      <c r="AE56" s="124"/>
      <c r="AF56" s="124"/>
      <c r="AG56" s="124"/>
      <c r="AH56" s="124"/>
      <c r="AI56" s="124"/>
      <c r="AJ56" s="124"/>
      <c r="AK56" s="124"/>
      <c r="AL56" s="124"/>
      <c r="AM56" s="124"/>
      <c r="AN56" s="124"/>
      <c r="AO56" s="124"/>
      <c r="AP56" s="124"/>
      <c r="AQ56" s="124"/>
      <c r="AR56" s="124"/>
      <c r="AS56" s="124"/>
      <c r="AT56" s="124"/>
      <c r="AU56" s="124"/>
      <c r="AV56" s="124"/>
      <c r="AW56" s="124"/>
      <c r="AX56" s="124"/>
      <c r="AY56" s="124"/>
      <c r="AZ56" s="124"/>
      <c r="BA56" s="124"/>
      <c r="BB56" s="136"/>
    </row>
    <row r="57" customFormat="false" ht="15.6" hidden="false" customHeight="false" outlineLevel="0" collapsed="false">
      <c r="A57" s="111" t="n">
        <f aca="false">IF(ISBLANK(VLOOKUP(D57,#REF!,3)),0,1)</f>
        <v>1</v>
      </c>
      <c r="B57" s="112" t="n">
        <f aca="false">IF(ISBLANK(D57),0,IF(ISBLANK(E57),0,IF(ISBLANK(F57),0,1)))</f>
        <v>0</v>
      </c>
      <c r="C57" s="128" t="n">
        <v>23</v>
      </c>
      <c r="D57" s="151"/>
      <c r="E57" s="151"/>
      <c r="F57" s="152"/>
      <c r="G57" s="156"/>
      <c r="H57" s="151"/>
      <c r="I57" s="151"/>
      <c r="J57" s="132" t="str">
        <f aca="false">IF(ISBLANK(D57),"",IF(VLOOKUP(D57,#REF!,2)=0,"",IF(D57&gt;#REF!,"Mauvais numéro",IF(D57&lt;#REF!,"Mauvais numéro",(VLOOKUP(D57,#REF!,3))))))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57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49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4"/>
      <c r="U57" s="124"/>
      <c r="V57" s="124"/>
      <c r="W57" s="124"/>
      <c r="X57" s="124"/>
      <c r="Y57" s="124"/>
      <c r="Z57" s="124"/>
      <c r="AA57" s="124"/>
      <c r="AB57" s="124"/>
      <c r="AC57" s="124"/>
      <c r="AD57" s="124"/>
      <c r="AE57" s="124"/>
      <c r="AF57" s="124"/>
      <c r="AG57" s="124"/>
      <c r="AH57" s="124"/>
      <c r="AI57" s="124"/>
      <c r="AJ57" s="124"/>
      <c r="AK57" s="124"/>
      <c r="AL57" s="124"/>
      <c r="AM57" s="124"/>
      <c r="AN57" s="124"/>
      <c r="AO57" s="124"/>
      <c r="AP57" s="124"/>
      <c r="AQ57" s="124"/>
      <c r="AR57" s="124"/>
      <c r="AS57" s="124"/>
      <c r="AT57" s="124"/>
      <c r="AU57" s="124"/>
      <c r="AV57" s="124"/>
      <c r="AW57" s="124"/>
      <c r="AX57" s="124"/>
      <c r="AY57" s="124"/>
      <c r="AZ57" s="124"/>
      <c r="BA57" s="124"/>
      <c r="BB57" s="136"/>
    </row>
    <row r="58" customFormat="false" ht="16.2" hidden="false" customHeight="false" outlineLevel="0" collapsed="false">
      <c r="A58" s="111" t="n">
        <f aca="false">IF(ISBLANK(VLOOKUP(D58,#REF!,3)),0,1)</f>
        <v>1</v>
      </c>
      <c r="B58" s="112" t="n">
        <f aca="false">IF(ISBLANK(D58),0,IF(ISBLANK(E58),0,IF(ISBLANK(F58),0,1)))</f>
        <v>0</v>
      </c>
      <c r="C58" s="158" t="n">
        <v>24</v>
      </c>
      <c r="D58" s="159"/>
      <c r="E58" s="159"/>
      <c r="F58" s="160"/>
      <c r="G58" s="161"/>
      <c r="H58" s="159"/>
      <c r="I58" s="159"/>
      <c r="J58" s="162" t="str">
        <f aca="false">IF(ISBLANK(D58),"",IF(VLOOKUP(D58,#REF!,2)=0,"",IF(D58&gt;#REF!,"Mauvais numéro",IF(D58&lt;#REF!,"Mauvais numéro",(VLOOKUP(D58,#REF!,3))))))</f>
        <v/>
      </c>
      <c r="K58" s="163" t="str">
        <f aca="false">IF(ISBLANK(E58),"",(0.000824493-(0.0000040899*E58)+(0.000000076438*E58^2)-(0.00000000082467*E58^3)+(0.0000000000053875*E58^4)))</f>
        <v/>
      </c>
      <c r="L58" s="163" t="str">
        <f aca="false">IF(ISBLANK(E58),"",(-0.00000572466+(0.00000010227*E58)-(0.0000000016546*E58^2)))</f>
        <v/>
      </c>
      <c r="M58" s="163" t="str">
        <f aca="false">IF(ISBLANK(E58),"",IF(ISBLANK(G58),(O58+(K58*35)+(L58*35^1.5)+(0.00000048314*35^2)),(O58+(K58*G58)+(L58*G58^1.5)+(0.00000048314*G58^2))))</f>
        <v/>
      </c>
      <c r="N58" s="164" t="str">
        <f aca="false">IF(ISBLANK(D58),"",IF(ISBLANK(G58),J58*(1+0.00001*(35-20)),J58*(1+0.00001*(G58-20))))</f>
        <v/>
      </c>
      <c r="O58" s="163" t="str">
        <f aca="false">IF(ISBLANK(E58),"",(0.999842594+(0.00006793952*E58)-(0.00000909529*E58^2)+(0.0000001001685*E58^3)-(0.000000001120083*E58^4)+(0.000000000006536332*E58^5)))</f>
        <v/>
      </c>
      <c r="P58" s="165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66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7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7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68"/>
      <c r="U58" s="168"/>
      <c r="V58" s="168"/>
      <c r="W58" s="168"/>
      <c r="X58" s="168"/>
      <c r="Y58" s="168"/>
      <c r="Z58" s="168"/>
      <c r="AA58" s="168"/>
      <c r="AB58" s="168"/>
      <c r="AC58" s="168"/>
      <c r="AD58" s="168"/>
      <c r="AE58" s="168"/>
      <c r="AF58" s="168"/>
      <c r="AG58" s="168"/>
      <c r="AH58" s="168"/>
      <c r="AI58" s="168"/>
      <c r="AJ58" s="168"/>
      <c r="AK58" s="168"/>
      <c r="AL58" s="168"/>
      <c r="AM58" s="168"/>
      <c r="AN58" s="168"/>
      <c r="AO58" s="168"/>
      <c r="AP58" s="168"/>
      <c r="AQ58" s="168"/>
      <c r="AR58" s="168"/>
      <c r="AS58" s="168"/>
      <c r="AT58" s="168"/>
      <c r="AU58" s="168"/>
      <c r="AV58" s="168"/>
      <c r="AW58" s="168"/>
      <c r="AX58" s="168"/>
      <c r="AY58" s="168"/>
      <c r="AZ58" s="168"/>
      <c r="BA58" s="168"/>
      <c r="BB58" s="169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R1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8178137651822"/>
    <col collapsed="false" hidden="false" max="32" min="32" style="0" width="9.10526315789474"/>
    <col collapsed="false" hidden="false" max="33" min="33" style="0" width="26.5668016194332"/>
    <col collapsed="false" hidden="false" max="34" min="34" style="0" width="12.8542510121458"/>
    <col collapsed="false" hidden="false" max="35" min="35" style="0" width="11.1417004048583"/>
    <col collapsed="false" hidden="false" max="36" min="36" style="0" width="14.5668016194332"/>
    <col collapsed="false" hidden="false" max="37" min="37" style="0" width="12.2105263157895"/>
    <col collapsed="false" hidden="false" max="38" min="38" style="0" width="26.995951417004"/>
    <col collapsed="false" hidden="false" max="39" min="39" style="0" width="14.6761133603239"/>
    <col collapsed="false" hidden="false" max="40" min="40" style="0" width="11.3562753036437"/>
    <col collapsed="false" hidden="false" max="41" min="41" style="0" width="12.5344129554656"/>
    <col collapsed="false" hidden="false" max="42" min="42" style="0" width="10.7125506072875"/>
    <col collapsed="false" hidden="false" max="43" min="43" style="0" width="6.31983805668016"/>
    <col collapsed="false" hidden="false" max="44" min="44" style="0" width="19.7085020242915"/>
    <col collapsed="false" hidden="false" max="45" min="45" style="0" width="13.0688259109312"/>
    <col collapsed="false" hidden="false" max="46" min="46" style="0" width="17.7813765182186"/>
    <col collapsed="false" hidden="false" max="47" min="47" style="0" width="14.6761133603239"/>
    <col collapsed="false" hidden="false" max="48" min="48" style="0" width="13.6032388663968"/>
    <col collapsed="false" hidden="false" max="49" min="49" style="0" width="13.7125506072874"/>
    <col collapsed="false" hidden="false" max="50" min="50" style="0" width="19.9230769230769"/>
    <col collapsed="false" hidden="false" max="51" min="51" style="0" width="13.2834008097166"/>
    <col collapsed="false" hidden="false" max="52" min="52" style="0" width="17.6761133603239"/>
    <col collapsed="false" hidden="false" max="53" min="53" style="0" width="13.3886639676113"/>
    <col collapsed="false" hidden="false" max="54" min="54" style="0" width="12.6396761133603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7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38541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9</v>
      </c>
      <c r="J9" s="29" t="n">
        <v>56.8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-9°56,8</v>
      </c>
      <c r="P9" s="29" t="s">
        <v>15</v>
      </c>
      <c r="Q9" s="33" t="n">
        <f aca="false">IF(ISBLANK(I9),"",IF(ISBLANK(J9),"",IF(J9&gt;60,"ERREUR !!",O11*(I9+(J9/60)))))</f>
        <v>-9.94666666666667</v>
      </c>
      <c r="R9" s="33"/>
    </row>
    <row r="10" customFormat="false" ht="15" hidden="false" customHeight="true" outlineLevel="0" collapsed="false">
      <c r="C10" s="21"/>
      <c r="D10" s="18"/>
      <c r="G10" s="27" t="s">
        <v>16</v>
      </c>
      <c r="H10" s="27"/>
      <c r="I10" s="28" t="n">
        <v>9</v>
      </c>
      <c r="J10" s="29" t="n">
        <v>57.86</v>
      </c>
      <c r="K10" s="30" t="s">
        <v>12</v>
      </c>
      <c r="L10" s="31" t="str">
        <f aca="false">IF(P10=N9,"+","-")</f>
        <v>-</v>
      </c>
      <c r="M10" s="30" t="s">
        <v>15</v>
      </c>
      <c r="N10" s="30" t="s">
        <v>17</v>
      </c>
      <c r="O10" s="34" t="str">
        <f aca="false">IF(ISBLANK(I10),"",IF(ISBLANK(J10),"",IF(P10=N10,L10&amp;N12,N12)))</f>
        <v>-9°57,86</v>
      </c>
      <c r="P10" s="29" t="s">
        <v>17</v>
      </c>
      <c r="Q10" s="33" t="n">
        <f aca="false">IF(ISBLANK(I10),"",IF(ISBLANK(J10),"",IF(J10&gt;60,"ERREUR !!",O12*(I10+(J10/60)))))</f>
        <v>-9.96433333333333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38540</v>
      </c>
      <c r="K11" s="38"/>
      <c r="L11" s="38"/>
      <c r="M11" s="38"/>
      <c r="N11" s="39" t="str">
        <f aca="false">I9&amp;"°"&amp;J9</f>
        <v>9°56,8</v>
      </c>
      <c r="O11" s="40" t="n">
        <f aca="false">IF(P9=M10,-1,1)</f>
        <v>-1</v>
      </c>
      <c r="P11" s="41" t="str">
        <f aca="false">TEXT(J11,"aaaa-mm-jj")&amp;"T"&amp;TEXT(J12,"hh:mm:ss")&amp;"z"</f>
        <v>2009-07-08T15:00:00z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0.625</v>
      </c>
      <c r="K12" s="45"/>
      <c r="L12" s="45"/>
      <c r="M12" s="45"/>
      <c r="N12" s="46" t="str">
        <f aca="false">I10&amp;"°"&amp;J10</f>
        <v>9°57,86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e">
        <f aca="false">$P$24*($P$18/#REF!)</f>
        <v>#REF!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e">
        <f aca="false">5+#REF!</f>
        <v>#REF!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e">
        <f aca="false">P20*(1+0.00001*(R14-20))</f>
        <v>#REF!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e">
        <f aca="false">MAX(#REF!)</f>
        <v>#VALUE!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e">
        <f aca="false">2+(#REF!+#REF!)</f>
        <v>#REF!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52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53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IF(ISBLANK(VLOOKUP(D35,#REF!,3)),0,1)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n">
        <v>34.9301</v>
      </c>
      <c r="H35" s="118" t="n">
        <v>2000</v>
      </c>
      <c r="I35" s="119" t="n">
        <v>2002.3</v>
      </c>
      <c r="J35" s="120"/>
      <c r="K35" s="121"/>
      <c r="L35" s="121"/>
      <c r="M35" s="121"/>
      <c r="N35" s="122"/>
      <c r="O35" s="121"/>
      <c r="P35" s="173" t="n">
        <v>5.456</v>
      </c>
      <c r="Q35" s="120"/>
      <c r="R35" s="120"/>
      <c r="S35" s="176" t="n">
        <v>237.2</v>
      </c>
      <c r="T35" s="32" t="n">
        <v>0.01</v>
      </c>
      <c r="U35" s="32" t="n">
        <v>0.01</v>
      </c>
      <c r="V35" s="32"/>
      <c r="W35" s="32"/>
      <c r="X35" s="125" t="n">
        <v>22.6</v>
      </c>
      <c r="Y35" s="125" t="n">
        <v>22.1</v>
      </c>
      <c r="Z35" s="32" t="n">
        <v>1.58</v>
      </c>
      <c r="AA35" s="32" t="n">
        <v>1.54</v>
      </c>
      <c r="AB35" s="125" t="n">
        <v>28.3</v>
      </c>
      <c r="AC35" s="125" t="n">
        <v>27.6</v>
      </c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7"/>
    </row>
    <row r="36" customFormat="false" ht="15.6" hidden="false" customHeight="false" outlineLevel="0" collapsed="false">
      <c r="A36" s="111" t="n">
        <f aca="false">IF(ISBLANK(VLOOKUP(D36,#REF!,3)),0,1)</f>
        <v>1</v>
      </c>
      <c r="B36" s="112" t="n">
        <f aca="false">IF(ISBLANK(D36),0,IF(ISBLANK(E36),0,IF(ISBLANK(F36),0,1)))</f>
        <v>0</v>
      </c>
      <c r="C36" s="128" t="n">
        <v>2</v>
      </c>
      <c r="D36" s="129"/>
      <c r="E36" s="129"/>
      <c r="F36" s="130"/>
      <c r="G36" s="117" t="n">
        <v>34.6097</v>
      </c>
      <c r="H36" s="131" t="n">
        <v>1000</v>
      </c>
      <c r="I36" s="119" t="n">
        <v>1001.2</v>
      </c>
      <c r="J36" s="132"/>
      <c r="K36" s="133"/>
      <c r="L36" s="133"/>
      <c r="M36" s="133"/>
      <c r="N36" s="134"/>
      <c r="O36" s="133"/>
      <c r="P36" s="175" t="n">
        <v>3.661</v>
      </c>
      <c r="Q36" s="132"/>
      <c r="R36" s="132"/>
      <c r="S36" s="177" t="n">
        <v>159.2</v>
      </c>
      <c r="T36" s="32" t="n">
        <v>0.01</v>
      </c>
      <c r="U36" s="32" t="n">
        <v>0</v>
      </c>
      <c r="V36" s="32"/>
      <c r="W36" s="32"/>
      <c r="X36" s="125" t="n">
        <v>34.1</v>
      </c>
      <c r="Y36" s="125" t="n">
        <v>33.3</v>
      </c>
      <c r="Z36" s="32" t="n">
        <v>2.35</v>
      </c>
      <c r="AA36" s="32" t="n">
        <v>2.3</v>
      </c>
      <c r="AB36" s="125" t="n">
        <v>33.6</v>
      </c>
      <c r="AC36" s="125" t="n">
        <v>32.8</v>
      </c>
      <c r="AD36" s="124"/>
      <c r="AE36" s="124"/>
      <c r="AF36" s="124"/>
      <c r="AG36" s="124"/>
      <c r="AH36" s="124"/>
      <c r="AI36" s="124"/>
      <c r="AJ36" s="124"/>
      <c r="AK36" s="124"/>
      <c r="AL36" s="124"/>
      <c r="AM36" s="124"/>
      <c r="AN36" s="124"/>
      <c r="AO36" s="124"/>
      <c r="AP36" s="124"/>
      <c r="AQ36" s="124"/>
      <c r="AR36" s="124"/>
      <c r="AS36" s="124"/>
      <c r="AT36" s="124"/>
      <c r="AU36" s="124"/>
      <c r="AV36" s="124"/>
      <c r="AW36" s="124"/>
      <c r="AX36" s="124"/>
      <c r="AY36" s="124"/>
      <c r="AZ36" s="124"/>
      <c r="BA36" s="124"/>
      <c r="BB36" s="136"/>
    </row>
    <row r="37" customFormat="false" ht="16.2" hidden="false" customHeight="false" outlineLevel="0" collapsed="false">
      <c r="A37" s="111" t="n">
        <f aca="false">IF(ISBLANK(VLOOKUP(D37,#REF!,3)),0,1)</f>
        <v>1</v>
      </c>
      <c r="B37" s="112" t="n">
        <f aca="false">IF(ISBLANK(D37),0,IF(ISBLANK(E37),0,IF(ISBLANK(F37),0,1)))</f>
        <v>0</v>
      </c>
      <c r="C37" s="128" t="n">
        <v>3</v>
      </c>
      <c r="D37" s="129"/>
      <c r="E37" s="129"/>
      <c r="F37" s="137"/>
      <c r="G37" s="117" t="n">
        <v>34.6102</v>
      </c>
      <c r="H37" s="131" t="n">
        <v>1000</v>
      </c>
      <c r="I37" s="119" t="n">
        <v>1001.2</v>
      </c>
      <c r="J37" s="132"/>
      <c r="K37" s="133"/>
      <c r="L37" s="133"/>
      <c r="M37" s="133"/>
      <c r="N37" s="134"/>
      <c r="O37" s="133"/>
      <c r="P37" s="175" t="n">
        <v>3.659</v>
      </c>
      <c r="Q37" s="132"/>
      <c r="R37" s="132"/>
      <c r="S37" s="177" t="n">
        <v>159.1</v>
      </c>
      <c r="T37" s="32" t="n">
        <v>0.04</v>
      </c>
      <c r="U37" s="32" t="n">
        <v>0.03</v>
      </c>
      <c r="V37" s="32"/>
      <c r="W37" s="32"/>
      <c r="X37" s="125" t="n">
        <v>33.9</v>
      </c>
      <c r="Y37" s="125" t="n">
        <v>33.1</v>
      </c>
      <c r="Z37" s="32" t="n">
        <v>2.33</v>
      </c>
      <c r="AA37" s="32" t="n">
        <v>2.28</v>
      </c>
      <c r="AB37" s="125" t="n">
        <v>33.7</v>
      </c>
      <c r="AC37" s="125" t="n">
        <v>32.9</v>
      </c>
      <c r="AD37" s="124"/>
      <c r="AE37" s="124"/>
      <c r="AF37" s="124"/>
      <c r="AG37" s="124"/>
      <c r="AH37" s="124"/>
      <c r="AI37" s="124"/>
      <c r="AJ37" s="124"/>
      <c r="AK37" s="124"/>
      <c r="AL37" s="124"/>
      <c r="AM37" s="124"/>
      <c r="AN37" s="124"/>
      <c r="AO37" s="124"/>
      <c r="AP37" s="124"/>
      <c r="AQ37" s="124"/>
      <c r="AR37" s="124"/>
      <c r="AS37" s="124"/>
      <c r="AT37" s="124"/>
      <c r="AU37" s="124"/>
      <c r="AV37" s="124"/>
      <c r="AW37" s="124"/>
      <c r="AX37" s="124"/>
      <c r="AY37" s="124"/>
      <c r="AZ37" s="124"/>
      <c r="BA37" s="124"/>
      <c r="BB37" s="136"/>
    </row>
    <row r="38" customFormat="false" ht="15.6" hidden="false" customHeight="false" outlineLevel="0" collapsed="false">
      <c r="A38" s="111" t="n">
        <f aca="false">IF(ISBLANK(VLOOKUP(D38,#REF!,3)),0,1)</f>
        <v>1</v>
      </c>
      <c r="B38" s="112" t="n">
        <f aca="false">IF(ISBLANK(D38),0,IF(ISBLANK(E38),0,IF(ISBLANK(F38),0,1)))</f>
        <v>0</v>
      </c>
      <c r="C38" s="128" t="n">
        <v>4</v>
      </c>
      <c r="D38" s="138"/>
      <c r="E38" s="138"/>
      <c r="F38" s="139"/>
      <c r="G38" s="117" t="n">
        <v>34.6802</v>
      </c>
      <c r="H38" s="131" t="n">
        <v>500</v>
      </c>
      <c r="I38" s="119" t="n">
        <v>499.8</v>
      </c>
      <c r="J38" s="132"/>
      <c r="K38" s="133"/>
      <c r="L38" s="133"/>
      <c r="M38" s="133"/>
      <c r="N38" s="134"/>
      <c r="O38" s="133"/>
      <c r="P38" s="175" t="n">
        <v>1.785</v>
      </c>
      <c r="Q38" s="132"/>
      <c r="R38" s="132"/>
      <c r="S38" s="177" t="n">
        <v>77.6</v>
      </c>
      <c r="T38" s="32" t="n">
        <v>0.04</v>
      </c>
      <c r="U38" s="32" t="n">
        <v>0.04</v>
      </c>
      <c r="V38" s="32"/>
      <c r="W38" s="32"/>
      <c r="X38" s="125" t="n">
        <v>37.8</v>
      </c>
      <c r="Y38" s="125" t="n">
        <v>37</v>
      </c>
      <c r="Z38" s="32" t="n">
        <v>2.42</v>
      </c>
      <c r="AA38" s="32" t="n">
        <v>2.36</v>
      </c>
      <c r="AB38" s="125" t="n">
        <v>19.5</v>
      </c>
      <c r="AC38" s="125" t="n">
        <v>19.1</v>
      </c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7"/>
      <c r="AY38" s="126"/>
      <c r="AZ38" s="126"/>
      <c r="BA38" s="126"/>
      <c r="BB38" s="127"/>
    </row>
    <row r="39" customFormat="false" ht="16.2" hidden="false" customHeight="false" outlineLevel="0" collapsed="false">
      <c r="A39" s="111" t="n">
        <f aca="false">IF(ISBLANK(VLOOKUP(D39,#REF!,3)),0,1)</f>
        <v>1</v>
      </c>
      <c r="B39" s="112" t="n">
        <f aca="false">IF(ISBLANK(D39),0,IF(ISBLANK(E39),0,IF(ISBLANK(F39),0,1)))</f>
        <v>0</v>
      </c>
      <c r="C39" s="128" t="n">
        <v>5</v>
      </c>
      <c r="D39" s="129"/>
      <c r="E39" s="129"/>
      <c r="F39" s="137"/>
      <c r="G39" s="117" t="n">
        <v>36.194</v>
      </c>
      <c r="H39" s="131" t="n">
        <v>100</v>
      </c>
      <c r="I39" s="119" t="n">
        <v>101.3</v>
      </c>
      <c r="J39" s="132"/>
      <c r="K39" s="133"/>
      <c r="L39" s="133"/>
      <c r="M39" s="133"/>
      <c r="N39" s="134"/>
      <c r="O39" s="133"/>
      <c r="P39" s="175" t="n">
        <v>4.095</v>
      </c>
      <c r="Q39" s="132"/>
      <c r="R39" s="132"/>
      <c r="S39" s="177" t="n">
        <v>178.4</v>
      </c>
      <c r="T39" s="32" t="n">
        <v>0.3</v>
      </c>
      <c r="U39" s="32" t="n">
        <v>0.29</v>
      </c>
      <c r="V39" s="32"/>
      <c r="W39" s="32"/>
      <c r="X39" s="125" t="n">
        <v>4.9</v>
      </c>
      <c r="Y39" s="125" t="n">
        <v>4.8</v>
      </c>
      <c r="Z39" s="32" t="n">
        <v>0.62</v>
      </c>
      <c r="AA39" s="32" t="n">
        <v>0.61</v>
      </c>
      <c r="AB39" s="125" t="n">
        <v>2.1</v>
      </c>
      <c r="AC39" s="125" t="n">
        <v>2.1</v>
      </c>
      <c r="AD39" s="124"/>
      <c r="AE39" s="124"/>
      <c r="AF39" s="124"/>
      <c r="AG39" s="124"/>
      <c r="AH39" s="124"/>
      <c r="AI39" s="124"/>
      <c r="AJ39" s="124"/>
      <c r="AK39" s="124"/>
      <c r="AL39" s="124"/>
      <c r="AM39" s="124"/>
      <c r="AN39" s="124"/>
      <c r="AO39" s="124"/>
      <c r="AP39" s="124"/>
      <c r="AQ39" s="124"/>
      <c r="AR39" s="124"/>
      <c r="AS39" s="124"/>
      <c r="AT39" s="124"/>
      <c r="AU39" s="124"/>
      <c r="AV39" s="124"/>
      <c r="AW39" s="124"/>
      <c r="AX39" s="136"/>
      <c r="AY39" s="124"/>
      <c r="AZ39" s="124"/>
      <c r="BA39" s="124"/>
      <c r="BB39" s="136"/>
    </row>
    <row r="40" customFormat="false" ht="15.6" hidden="false" customHeight="false" outlineLevel="0" collapsed="false">
      <c r="A40" s="111" t="n">
        <f aca="false">IF(ISBLANK(VLOOKUP(D40,#REF!,3)),0,1)</f>
        <v>1</v>
      </c>
      <c r="B40" s="112" t="n">
        <f aca="false">IF(ISBLANK(D40),0,IF(ISBLANK(E40),0,IF(ISBLANK(F40),0,1)))</f>
        <v>0</v>
      </c>
      <c r="C40" s="128" t="n">
        <v>6</v>
      </c>
      <c r="D40" s="129"/>
      <c r="E40" s="129"/>
      <c r="F40" s="137"/>
      <c r="G40" s="117" t="n">
        <v>36.781</v>
      </c>
      <c r="H40" s="131" t="n">
        <v>80</v>
      </c>
      <c r="I40" s="119" t="n">
        <v>80.5</v>
      </c>
      <c r="J40" s="132"/>
      <c r="K40" s="133"/>
      <c r="L40" s="133"/>
      <c r="M40" s="133"/>
      <c r="N40" s="134"/>
      <c r="O40" s="133"/>
      <c r="P40" s="175" t="n">
        <v>4.727</v>
      </c>
      <c r="Q40" s="132"/>
      <c r="R40" s="132"/>
      <c r="S40" s="177" t="n">
        <v>206</v>
      </c>
      <c r="T40" s="32" t="n">
        <v>0.02</v>
      </c>
      <c r="U40" s="32" t="n">
        <v>0.02</v>
      </c>
      <c r="V40" s="32"/>
      <c r="W40" s="32"/>
      <c r="X40" s="125" t="n">
        <v>0.1</v>
      </c>
      <c r="Y40" s="125" t="n">
        <v>0.1</v>
      </c>
      <c r="Z40" s="32" t="n">
        <v>0.19</v>
      </c>
      <c r="AA40" s="32" t="n">
        <v>0.19</v>
      </c>
      <c r="AB40" s="125" t="n">
        <v>0.7</v>
      </c>
      <c r="AC40" s="125" t="n">
        <v>0.7</v>
      </c>
      <c r="AD40" s="126"/>
      <c r="AE40" s="126"/>
      <c r="AF40" s="126"/>
      <c r="AG40" s="126"/>
      <c r="AH40" s="126"/>
      <c r="AI40" s="126"/>
      <c r="AJ40" s="126"/>
      <c r="AK40" s="126"/>
      <c r="AL40" s="126"/>
      <c r="AM40" s="126"/>
      <c r="AN40" s="126"/>
      <c r="AO40" s="126"/>
      <c r="AP40" s="126"/>
      <c r="AQ40" s="126"/>
      <c r="AR40" s="126"/>
      <c r="AS40" s="126"/>
      <c r="AT40" s="126"/>
      <c r="AU40" s="126"/>
      <c r="AV40" s="126"/>
      <c r="AW40" s="126"/>
      <c r="AX40" s="127"/>
      <c r="AY40" s="124"/>
      <c r="AZ40" s="124"/>
      <c r="BA40" s="124"/>
      <c r="BB40" s="136"/>
    </row>
    <row r="41" customFormat="false" ht="15.6" hidden="false" customHeight="false" outlineLevel="0" collapsed="false">
      <c r="A41" s="111" t="n">
        <f aca="false">IF(ISBLANK(VLOOKUP(D41,#REF!,3)),0,1)</f>
        <v>1</v>
      </c>
      <c r="B41" s="112" t="n">
        <f aca="false">IF(ISBLANK(D41),0,IF(ISBLANK(E41),0,IF(ISBLANK(F41),0,1)))</f>
        <v>0</v>
      </c>
      <c r="C41" s="128" t="n">
        <v>7</v>
      </c>
      <c r="D41" s="129"/>
      <c r="E41" s="129"/>
      <c r="F41" s="137"/>
      <c r="G41" s="117" t="n">
        <v>36.5794</v>
      </c>
      <c r="H41" s="131" t="n">
        <v>60</v>
      </c>
      <c r="I41" s="119" t="n">
        <v>60.8</v>
      </c>
      <c r="J41" s="132"/>
      <c r="K41" s="133"/>
      <c r="L41" s="133"/>
      <c r="M41" s="133"/>
      <c r="N41" s="134"/>
      <c r="O41" s="133"/>
      <c r="P41" s="175" t="n">
        <v>4.573</v>
      </c>
      <c r="Q41" s="132"/>
      <c r="R41" s="132"/>
      <c r="S41" s="177" t="n">
        <v>199.4</v>
      </c>
      <c r="T41" s="32" t="n">
        <v>0.01</v>
      </c>
      <c r="U41" s="32" t="n">
        <v>0.01</v>
      </c>
      <c r="V41" s="32"/>
      <c r="W41" s="32"/>
      <c r="X41" s="125" t="n">
        <v>0</v>
      </c>
      <c r="Y41" s="125" t="n">
        <v>0</v>
      </c>
      <c r="Z41" s="32" t="n">
        <v>0.16</v>
      </c>
      <c r="AA41" s="32" t="n">
        <v>0.15</v>
      </c>
      <c r="AB41" s="125" t="n">
        <v>0.7</v>
      </c>
      <c r="AC41" s="125" t="n">
        <v>0.7</v>
      </c>
      <c r="AD41" s="124"/>
      <c r="AE41" s="124"/>
      <c r="AF41" s="124"/>
      <c r="AG41" s="124"/>
      <c r="AH41" s="124"/>
      <c r="AI41" s="124"/>
      <c r="AJ41" s="124"/>
      <c r="AK41" s="124"/>
      <c r="AL41" s="124"/>
      <c r="AM41" s="124"/>
      <c r="AN41" s="124"/>
      <c r="AO41" s="124"/>
      <c r="AP41" s="124"/>
      <c r="AQ41" s="124"/>
      <c r="AR41" s="124"/>
      <c r="AS41" s="124"/>
      <c r="AT41" s="124"/>
      <c r="AU41" s="124"/>
      <c r="AV41" s="124"/>
      <c r="AW41" s="124"/>
      <c r="AX41" s="136"/>
      <c r="AY41" s="124"/>
      <c r="AZ41" s="124"/>
      <c r="BA41" s="124"/>
      <c r="BB41" s="136"/>
    </row>
    <row r="42" customFormat="false" ht="16.2" hidden="false" customHeight="false" outlineLevel="0" collapsed="false">
      <c r="A42" s="111" t="n">
        <f aca="false">IF(ISBLANK(VLOOKUP(D42,#REF!,3)),0,1)</f>
        <v>1</v>
      </c>
      <c r="B42" s="112" t="n">
        <f aca="false">IF(ISBLANK(D42),0,IF(ISBLANK(E42),0,IF(ISBLANK(F42),0,1)))</f>
        <v>0</v>
      </c>
      <c r="C42" s="128" t="n">
        <v>8</v>
      </c>
      <c r="D42" s="129"/>
      <c r="E42" s="129"/>
      <c r="F42" s="137"/>
      <c r="G42" s="117" t="n">
        <v>36.168</v>
      </c>
      <c r="H42" s="131" t="n">
        <v>40</v>
      </c>
      <c r="I42" s="119" t="n">
        <v>39.9</v>
      </c>
      <c r="J42" s="132"/>
      <c r="K42" s="133"/>
      <c r="L42" s="133"/>
      <c r="M42" s="133"/>
      <c r="N42" s="134"/>
      <c r="O42" s="133"/>
      <c r="P42" s="175" t="n">
        <v>4.709</v>
      </c>
      <c r="Q42" s="132"/>
      <c r="R42" s="132"/>
      <c r="S42" s="177" t="n">
        <v>205.4</v>
      </c>
      <c r="T42" s="32" t="n">
        <v>0.01</v>
      </c>
      <c r="U42" s="32" t="n">
        <v>0.01</v>
      </c>
      <c r="V42" s="32"/>
      <c r="W42" s="32"/>
      <c r="X42" s="125" t="n">
        <v>0.1</v>
      </c>
      <c r="Y42" s="125" t="n">
        <v>0.1</v>
      </c>
      <c r="Z42" s="32" t="n">
        <v>0.15</v>
      </c>
      <c r="AA42" s="32" t="n">
        <v>0.14</v>
      </c>
      <c r="AB42" s="125" t="n">
        <v>0.7</v>
      </c>
      <c r="AC42" s="125" t="n">
        <v>0.7</v>
      </c>
      <c r="AD42" s="124"/>
      <c r="AE42" s="124"/>
      <c r="AF42" s="124"/>
      <c r="AG42" s="124"/>
      <c r="AH42" s="124"/>
      <c r="AI42" s="124"/>
      <c r="AJ42" s="124"/>
      <c r="AK42" s="124"/>
      <c r="AL42" s="124"/>
      <c r="AM42" s="124"/>
      <c r="AN42" s="124"/>
      <c r="AO42" s="124"/>
      <c r="AP42" s="124"/>
      <c r="AQ42" s="124"/>
      <c r="AR42" s="124"/>
      <c r="AS42" s="124"/>
      <c r="AT42" s="124"/>
      <c r="AU42" s="124"/>
      <c r="AV42" s="124"/>
      <c r="AW42" s="124"/>
      <c r="AX42" s="136"/>
      <c r="AY42" s="124"/>
      <c r="AZ42" s="124"/>
      <c r="BA42" s="124"/>
      <c r="BB42" s="136"/>
    </row>
    <row r="43" customFormat="false" ht="15.6" hidden="false" customHeight="false" outlineLevel="0" collapsed="false">
      <c r="A43" s="111" t="n">
        <f aca="false">IF(ISBLANK(VLOOKUP(D43,#REF!,3)),0,1)</f>
        <v>1</v>
      </c>
      <c r="B43" s="112" t="n">
        <f aca="false">IF(ISBLANK(D43),0,IF(ISBLANK(E43),0,IF(ISBLANK(F43),0,1)))</f>
        <v>0</v>
      </c>
      <c r="C43" s="128" t="n">
        <v>9</v>
      </c>
      <c r="D43" s="129"/>
      <c r="E43" s="129"/>
      <c r="F43" s="137"/>
      <c r="G43" s="117" t="n">
        <v>35.9678</v>
      </c>
      <c r="H43" s="131" t="n">
        <v>20</v>
      </c>
      <c r="I43" s="119" t="n">
        <v>19.9</v>
      </c>
      <c r="J43" s="132"/>
      <c r="K43" s="133"/>
      <c r="L43" s="133"/>
      <c r="M43" s="133"/>
      <c r="N43" s="134"/>
      <c r="O43" s="133"/>
      <c r="P43" s="175" t="n">
        <v>4.619</v>
      </c>
      <c r="Q43" s="132"/>
      <c r="R43" s="132"/>
      <c r="S43" s="177" t="n">
        <v>201.5</v>
      </c>
      <c r="T43" s="32" t="n">
        <v>0.01</v>
      </c>
      <c r="U43" s="32" t="n">
        <v>0.01</v>
      </c>
      <c r="V43" s="32"/>
      <c r="W43" s="32"/>
      <c r="X43" s="125" t="n">
        <v>0.1</v>
      </c>
      <c r="Y43" s="125" t="n">
        <v>0.1</v>
      </c>
      <c r="Z43" s="32" t="n">
        <v>0.13</v>
      </c>
      <c r="AA43" s="32" t="n">
        <v>0.12</v>
      </c>
      <c r="AB43" s="125" t="n">
        <v>0.8</v>
      </c>
      <c r="AC43" s="125" t="n">
        <v>0.8</v>
      </c>
      <c r="AD43" s="126"/>
      <c r="AE43" s="126"/>
      <c r="AF43" s="126"/>
      <c r="AG43" s="126"/>
      <c r="AH43" s="126"/>
      <c r="AI43" s="126"/>
      <c r="AJ43" s="126"/>
      <c r="AK43" s="126"/>
      <c r="AL43" s="126"/>
      <c r="AM43" s="126"/>
      <c r="AN43" s="126"/>
      <c r="AO43" s="126"/>
      <c r="AP43" s="126"/>
      <c r="AQ43" s="126"/>
      <c r="AR43" s="126"/>
      <c r="AS43" s="126"/>
      <c r="AT43" s="126"/>
      <c r="AU43" s="126"/>
      <c r="AV43" s="126"/>
      <c r="AW43" s="126"/>
      <c r="AX43" s="127"/>
      <c r="AY43" s="126"/>
      <c r="AZ43" s="126"/>
      <c r="BA43" s="126"/>
      <c r="BB43" s="127"/>
    </row>
    <row r="44" customFormat="false" ht="15.6" hidden="false" customHeight="false" outlineLevel="0" collapsed="false">
      <c r="A44" s="111" t="n">
        <f aca="false">IF(ISBLANK(VLOOKUP(D44,#REF!,3)),0,1)</f>
        <v>1</v>
      </c>
      <c r="B44" s="112" t="n">
        <f aca="false">IF(ISBLANK(D44),0,IF(ISBLANK(E44),0,IF(ISBLANK(F44),0,1)))</f>
        <v>0</v>
      </c>
      <c r="C44" s="128" t="n">
        <v>10</v>
      </c>
      <c r="D44" s="129"/>
      <c r="E44" s="129"/>
      <c r="F44" s="137"/>
      <c r="G44" s="117" t="n">
        <v>35.9686</v>
      </c>
      <c r="H44" s="131" t="n">
        <v>10</v>
      </c>
      <c r="I44" s="119" t="n">
        <v>9.9</v>
      </c>
      <c r="J44" s="132"/>
      <c r="K44" s="133"/>
      <c r="L44" s="133"/>
      <c r="M44" s="133"/>
      <c r="N44" s="134"/>
      <c r="O44" s="133"/>
      <c r="P44" s="175" t="n">
        <v>4.619</v>
      </c>
      <c r="Q44" s="132"/>
      <c r="R44" s="132"/>
      <c r="S44" s="177" t="n">
        <v>201.5</v>
      </c>
      <c r="T44" s="32" t="n">
        <v>0.01</v>
      </c>
      <c r="U44" s="32" t="n">
        <v>0.01</v>
      </c>
      <c r="V44" s="32"/>
      <c r="W44" s="32"/>
      <c r="X44" s="125" t="n">
        <v>0.1</v>
      </c>
      <c r="Y44" s="125" t="n">
        <v>0.1</v>
      </c>
      <c r="Z44" s="32" t="n">
        <v>0.12</v>
      </c>
      <c r="AA44" s="32" t="n">
        <v>0.11</v>
      </c>
      <c r="AB44" s="125" t="n">
        <v>0.7</v>
      </c>
      <c r="AC44" s="125" t="n">
        <v>0.7</v>
      </c>
      <c r="AD44" s="124"/>
      <c r="AE44" s="124"/>
      <c r="AF44" s="124"/>
      <c r="AG44" s="124"/>
      <c r="AH44" s="124"/>
      <c r="AI44" s="124"/>
      <c r="AJ44" s="124"/>
      <c r="AK44" s="124"/>
      <c r="AL44" s="124"/>
      <c r="AM44" s="124"/>
      <c r="AN44" s="124"/>
      <c r="AO44" s="124"/>
      <c r="AP44" s="124"/>
      <c r="AQ44" s="124"/>
      <c r="AR44" s="124"/>
      <c r="AS44" s="124"/>
      <c r="AT44" s="124"/>
      <c r="AU44" s="124"/>
      <c r="AV44" s="124"/>
      <c r="AW44" s="124"/>
      <c r="AX44" s="136"/>
      <c r="AY44" s="124"/>
      <c r="AZ44" s="124"/>
      <c r="BA44" s="124"/>
      <c r="BB44" s="136"/>
    </row>
    <row r="45" customFormat="false" ht="15.6" hidden="false" customHeight="false" outlineLevel="0" collapsed="false">
      <c r="A45" s="111" t="n">
        <f aca="false">IF(ISBLANK(VLOOKUP(D45,#REF!,3)),0,1)</f>
        <v>1</v>
      </c>
      <c r="B45" s="112" t="n">
        <f aca="false">IF(ISBLANK(D45),0,IF(ISBLANK(E45),0,IF(ISBLANK(F45),0,1)))</f>
        <v>0</v>
      </c>
      <c r="C45" s="128" t="n">
        <v>11</v>
      </c>
      <c r="D45" s="129"/>
      <c r="E45" s="129"/>
      <c r="F45" s="137"/>
      <c r="G45" s="117" t="n">
        <v>35.9712</v>
      </c>
      <c r="H45" s="131" t="n">
        <v>0</v>
      </c>
      <c r="I45" s="119" t="n">
        <v>2.4</v>
      </c>
      <c r="J45" s="132"/>
      <c r="K45" s="133"/>
      <c r="L45" s="133"/>
      <c r="M45" s="133"/>
      <c r="N45" s="134"/>
      <c r="O45" s="133"/>
      <c r="P45" s="175" t="n">
        <v>4.622</v>
      </c>
      <c r="Q45" s="132"/>
      <c r="R45" s="132"/>
      <c r="S45" s="177" t="n">
        <v>201.6</v>
      </c>
      <c r="T45" s="32" t="n">
        <v>0.01</v>
      </c>
      <c r="U45" s="32" t="n">
        <v>0.01</v>
      </c>
      <c r="V45" s="32"/>
      <c r="W45" s="32"/>
      <c r="X45" s="125" t="n">
        <v>0.1</v>
      </c>
      <c r="Y45" s="125" t="n">
        <v>0.1</v>
      </c>
      <c r="Z45" s="32" t="n">
        <v>0.12</v>
      </c>
      <c r="AA45" s="32" t="n">
        <v>0.11</v>
      </c>
      <c r="AB45" s="125" t="n">
        <v>0.8</v>
      </c>
      <c r="AC45" s="125" t="n">
        <v>0.8</v>
      </c>
      <c r="AD45" s="124"/>
      <c r="AE45" s="124"/>
      <c r="AF45" s="124"/>
      <c r="AG45" s="124"/>
      <c r="AH45" s="124"/>
      <c r="AI45" s="124"/>
      <c r="AJ45" s="124"/>
      <c r="AK45" s="124"/>
      <c r="AL45" s="124"/>
      <c r="AM45" s="124"/>
      <c r="AN45" s="124"/>
      <c r="AO45" s="124"/>
      <c r="AP45" s="124"/>
      <c r="AQ45" s="124"/>
      <c r="AR45" s="124"/>
      <c r="AS45" s="124"/>
      <c r="AT45" s="124"/>
      <c r="AU45" s="124"/>
      <c r="AV45" s="124"/>
      <c r="AW45" s="124"/>
      <c r="AX45" s="136"/>
      <c r="AY45" s="124"/>
      <c r="AZ45" s="124"/>
      <c r="BA45" s="124"/>
      <c r="BB45" s="136"/>
    </row>
    <row r="46" customFormat="false" ht="15.6" hidden="false" customHeight="false" outlineLevel="0" collapsed="false">
      <c r="A46" s="111" t="n">
        <f aca="false">IF(ISBLANK(VLOOKUP(D46,#REF!,3)),0,1)</f>
        <v>1</v>
      </c>
      <c r="B46" s="112" t="n">
        <f aca="false">IF(ISBLANK(D46),0,IF(ISBLANK(E46),0,IF(ISBLANK(F46),0,1)))</f>
        <v>0</v>
      </c>
      <c r="C46" s="128" t="n">
        <v>12</v>
      </c>
      <c r="D46" s="142"/>
      <c r="E46" s="142"/>
      <c r="F46" s="143"/>
      <c r="G46" s="144"/>
      <c r="H46" s="142"/>
      <c r="I46" s="145"/>
      <c r="J46" s="132" t="str">
        <f aca="false">IF(ISBLANK(D46),"",IF(VLOOKUP(D46,#REF!,2)=0,"",IF(D46&gt;#REF!,"Mauvais numéro",IF(D46&lt;#REF!,"Mauvais numéro",(VLOOKUP(D46,#REF!,3))))))</f>
        <v/>
      </c>
      <c r="K46" s="146" t="str">
        <f aca="false">IF(ISBLANK(E46),"",(0.000824493-(0.0000040899*E46)+(0.000000076438*E46^2)-(0.00000000082467*E46^3)+(0.0000000000053875*E46^4)))</f>
        <v/>
      </c>
      <c r="L46" s="146" t="str">
        <f aca="false">IF(ISBLANK(E46),"",(-0.00000572466+(0.00000010227*E46)-(0.0000000016546*E46^2)))</f>
        <v/>
      </c>
      <c r="M46" s="146" t="str">
        <f aca="false">IF(ISBLANK(E46),"",IF(ISBLANK(G46),(O46+(K46*35)+(L46*35^1.5)+(0.00000048314*35^2)),(O46+(K46*G46)+(L46*G46^1.5)+(0.00000048314*G46^2))))</f>
        <v/>
      </c>
      <c r="N46" s="147" t="str">
        <f aca="false">IF(ISBLANK(D46),"",IF(ISBLANK(G46),J46*(1+0.00001*(35-20)),J46*(1+0.00001*(G46-20))))</f>
        <v/>
      </c>
      <c r="O46" s="146" t="str">
        <f aca="false">IF(ISBLANK(E46),"",(0.999842594+(0.00006793952*E46)-(0.00000909529*E46^2)+(0.0000001001685*E46^3)-(0.000000001120083*E46^4)+(0.000000000006536332*E46^5)))</f>
        <v/>
      </c>
      <c r="P46" s="148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49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0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0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24"/>
      <c r="U46" s="124"/>
      <c r="V46" s="124"/>
      <c r="W46" s="124"/>
      <c r="X46" s="124"/>
      <c r="Y46" s="124"/>
      <c r="Z46" s="124"/>
      <c r="AA46" s="124"/>
      <c r="AB46" s="124"/>
      <c r="AC46" s="124"/>
      <c r="AD46" s="124"/>
      <c r="AE46" s="124"/>
      <c r="AF46" s="124"/>
      <c r="AG46" s="124"/>
      <c r="AH46" s="124"/>
      <c r="AI46" s="124"/>
      <c r="AJ46" s="124"/>
      <c r="AK46" s="124"/>
      <c r="AL46" s="124"/>
      <c r="AM46" s="124"/>
      <c r="AN46" s="124"/>
      <c r="AO46" s="124"/>
      <c r="AP46" s="124"/>
      <c r="AQ46" s="124"/>
      <c r="AR46" s="124"/>
      <c r="AS46" s="124"/>
      <c r="AT46" s="124"/>
      <c r="AU46" s="124"/>
      <c r="AV46" s="124"/>
      <c r="AW46" s="124"/>
      <c r="AX46" s="124"/>
      <c r="AY46" s="124"/>
      <c r="AZ46" s="124"/>
      <c r="BA46" s="124"/>
      <c r="BB46" s="136"/>
    </row>
    <row r="47" customFormat="false" ht="15.6" hidden="false" customHeight="false" outlineLevel="0" collapsed="false">
      <c r="A47" s="111" t="n">
        <f aca="false">IF(ISBLANK(VLOOKUP(D47,#REF!,3)),0,1)</f>
        <v>1</v>
      </c>
      <c r="B47" s="112" t="n">
        <f aca="false">IF(ISBLANK(D47),0,IF(ISBLANK(E47),0,IF(ISBLANK(F47),0,1)))</f>
        <v>0</v>
      </c>
      <c r="C47" s="128" t="n">
        <v>13</v>
      </c>
      <c r="D47" s="151"/>
      <c r="E47" s="151"/>
      <c r="F47" s="152"/>
      <c r="G47" s="153"/>
      <c r="H47" s="151"/>
      <c r="I47" s="151"/>
      <c r="J47" s="132" t="str">
        <f aca="false">IF(ISBLANK(D47),"",IF(VLOOKUP(D47,#REF!,2)=0,"",IF(D47&gt;#REF!,"Mauvais numéro",IF(D47&lt;#REF!,"Mauvais numéro",(VLOOKUP(D47,#REF!,3))))))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54"/>
      <c r="Q47" s="149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5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4"/>
      <c r="T47" s="124"/>
      <c r="U47" s="124"/>
      <c r="V47" s="124"/>
      <c r="W47" s="124"/>
      <c r="X47" s="12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24"/>
      <c r="AJ47" s="124"/>
      <c r="AK47" s="124"/>
      <c r="AL47" s="124"/>
      <c r="AM47" s="124"/>
      <c r="AN47" s="124"/>
      <c r="AO47" s="124"/>
      <c r="AP47" s="124"/>
      <c r="AQ47" s="124"/>
      <c r="AR47" s="124"/>
      <c r="AS47" s="124"/>
      <c r="AT47" s="124"/>
      <c r="AU47" s="124"/>
      <c r="AV47" s="124"/>
      <c r="AW47" s="124"/>
      <c r="AX47" s="124"/>
      <c r="AY47" s="124"/>
      <c r="AZ47" s="124"/>
      <c r="BA47" s="124"/>
      <c r="BB47" s="136"/>
    </row>
    <row r="48" customFormat="false" ht="15.6" hidden="false" customHeight="false" outlineLevel="0" collapsed="false">
      <c r="A48" s="111" t="n">
        <f aca="false">IF(ISBLANK(VLOOKUP(D48,#REF!,3)),0,1)</f>
        <v>1</v>
      </c>
      <c r="B48" s="112" t="n">
        <f aca="false">IF(ISBLANK(D48),0,IF(ISBLANK(E48),0,IF(ISBLANK(F48),0,1)))</f>
        <v>0</v>
      </c>
      <c r="C48" s="128" t="n">
        <v>14</v>
      </c>
      <c r="D48" s="151"/>
      <c r="E48" s="151"/>
      <c r="F48" s="152"/>
      <c r="G48" s="153"/>
      <c r="H48" s="151"/>
      <c r="I48" s="151"/>
      <c r="J48" s="132" t="str">
        <f aca="false">IF(ISBLANK(D48),"",IF(VLOOKUP(D48,#REF!,2)=0,"",IF(D48&gt;#REF!,"Mauvais numéro",IF(D48&lt;#REF!,"Mauvais numéro",(VLOOKUP(D48,#REF!,3))))))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54"/>
      <c r="Q48" s="149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5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4"/>
      <c r="T48" s="124"/>
      <c r="U48" s="124"/>
      <c r="V48" s="124"/>
      <c r="W48" s="124"/>
      <c r="X48" s="124"/>
      <c r="Y48" s="124"/>
      <c r="Z48" s="124"/>
      <c r="AA48" s="124"/>
      <c r="AB48" s="124"/>
      <c r="AC48" s="124"/>
      <c r="AD48" s="124"/>
      <c r="AE48" s="124"/>
      <c r="AF48" s="124"/>
      <c r="AG48" s="124"/>
      <c r="AH48" s="124"/>
      <c r="AI48" s="124"/>
      <c r="AJ48" s="124"/>
      <c r="AK48" s="124"/>
      <c r="AL48" s="124"/>
      <c r="AM48" s="124"/>
      <c r="AN48" s="124"/>
      <c r="AO48" s="124"/>
      <c r="AP48" s="124"/>
      <c r="AQ48" s="124"/>
      <c r="AR48" s="124"/>
      <c r="AS48" s="124"/>
      <c r="AT48" s="124"/>
      <c r="AU48" s="124"/>
      <c r="AV48" s="124"/>
      <c r="AW48" s="124"/>
      <c r="AX48" s="124"/>
      <c r="AY48" s="124"/>
      <c r="AZ48" s="124"/>
      <c r="BA48" s="124"/>
      <c r="BB48" s="136"/>
    </row>
    <row r="49" customFormat="false" ht="15.6" hidden="false" customHeight="false" outlineLevel="0" collapsed="false">
      <c r="A49" s="111" t="n">
        <f aca="false">IF(ISBLANK(VLOOKUP(D49,#REF!,3)),0,1)</f>
        <v>1</v>
      </c>
      <c r="B49" s="112" t="n">
        <f aca="false">IF(ISBLANK(D49),0,IF(ISBLANK(E49),0,IF(ISBLANK(F49),0,1)))</f>
        <v>0</v>
      </c>
      <c r="C49" s="128" t="n">
        <v>15</v>
      </c>
      <c r="D49" s="151"/>
      <c r="E49" s="151"/>
      <c r="F49" s="152"/>
      <c r="G49" s="156"/>
      <c r="H49" s="151"/>
      <c r="I49" s="151"/>
      <c r="J49" s="132" t="str">
        <f aca="false">IF(ISBLANK(D49),"",IF(VLOOKUP(D49,#REF!,2)=0,"",IF(D49&gt;#REF!,"Mauvais numéro",IF(D49&lt;#REF!,"Mauvais numéro",(VLOOKUP(D49,#REF!,3))))))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57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49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24"/>
      <c r="AE49" s="124"/>
      <c r="AF49" s="124"/>
      <c r="AG49" s="124"/>
      <c r="AH49" s="124"/>
      <c r="AI49" s="124"/>
      <c r="AJ49" s="124"/>
      <c r="AK49" s="124"/>
      <c r="AL49" s="124"/>
      <c r="AM49" s="124"/>
      <c r="AN49" s="124"/>
      <c r="AO49" s="124"/>
      <c r="AP49" s="124"/>
      <c r="AQ49" s="124"/>
      <c r="AR49" s="124"/>
      <c r="AS49" s="124"/>
      <c r="AT49" s="124"/>
      <c r="AU49" s="124"/>
      <c r="AV49" s="124"/>
      <c r="AW49" s="124"/>
      <c r="AX49" s="124"/>
      <c r="AY49" s="124"/>
      <c r="AZ49" s="124"/>
      <c r="BA49" s="124"/>
      <c r="BB49" s="136"/>
    </row>
    <row r="50" customFormat="false" ht="15.6" hidden="false" customHeight="false" outlineLevel="0" collapsed="false">
      <c r="A50" s="111" t="n">
        <f aca="false">IF(ISBLANK(VLOOKUP(D50,#REF!,3)),0,1)</f>
        <v>1</v>
      </c>
      <c r="B50" s="112" t="n">
        <f aca="false">IF(ISBLANK(D50),0,IF(ISBLANK(E50),0,IF(ISBLANK(F50),0,1)))</f>
        <v>0</v>
      </c>
      <c r="C50" s="128" t="n">
        <v>16</v>
      </c>
      <c r="D50" s="151"/>
      <c r="E50" s="151"/>
      <c r="F50" s="152"/>
      <c r="G50" s="156"/>
      <c r="H50" s="151"/>
      <c r="I50" s="151"/>
      <c r="J50" s="132" t="str">
        <f aca="false">IF(ISBLANK(D50),"",IF(VLOOKUP(D50,#REF!,2)=0,"",IF(D50&gt;#REF!,"Mauvais numéro",IF(D50&lt;#REF!,"Mauvais numéro",(VLOOKUP(D50,#REF!,3))))))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57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49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24"/>
      <c r="U50" s="124"/>
      <c r="V50" s="124"/>
      <c r="W50" s="124"/>
      <c r="X50" s="124"/>
      <c r="Y50" s="124"/>
      <c r="Z50" s="124"/>
      <c r="AA50" s="124"/>
      <c r="AB50" s="124"/>
      <c r="AC50" s="124"/>
      <c r="AD50" s="124"/>
      <c r="AE50" s="124"/>
      <c r="AF50" s="124"/>
      <c r="AG50" s="124"/>
      <c r="AH50" s="124"/>
      <c r="AI50" s="124"/>
      <c r="AJ50" s="124"/>
      <c r="AK50" s="124"/>
      <c r="AL50" s="124"/>
      <c r="AM50" s="124"/>
      <c r="AN50" s="124"/>
      <c r="AO50" s="124"/>
      <c r="AP50" s="124"/>
      <c r="AQ50" s="124"/>
      <c r="AR50" s="124"/>
      <c r="AS50" s="124"/>
      <c r="AT50" s="124"/>
      <c r="AU50" s="124"/>
      <c r="AV50" s="124"/>
      <c r="AW50" s="124"/>
      <c r="AX50" s="124"/>
      <c r="AY50" s="124"/>
      <c r="AZ50" s="124"/>
      <c r="BA50" s="124"/>
      <c r="BB50" s="136"/>
    </row>
    <row r="51" customFormat="false" ht="15.6" hidden="false" customHeight="false" outlineLevel="0" collapsed="false">
      <c r="A51" s="111" t="n">
        <f aca="false">IF(ISBLANK(VLOOKUP(D51,#REF!,3)),0,1)</f>
        <v>1</v>
      </c>
      <c r="B51" s="112" t="n">
        <f aca="false">IF(ISBLANK(D51),0,IF(ISBLANK(E51),0,IF(ISBLANK(F51),0,1)))</f>
        <v>0</v>
      </c>
      <c r="C51" s="128" t="n">
        <v>17</v>
      </c>
      <c r="D51" s="151"/>
      <c r="E51" s="151"/>
      <c r="F51" s="152"/>
      <c r="G51" s="156"/>
      <c r="H51" s="151"/>
      <c r="I51" s="151"/>
      <c r="J51" s="132" t="str">
        <f aca="false">IF(ISBLANK(D51),"",IF(VLOOKUP(D51,#REF!,2)=0,"",IF(D51&gt;#REF!,"Mauvais numéro",IF(D51&lt;#REF!,"Mauvais numéro",(VLOOKUP(D51,#REF!,3))))))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57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49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24"/>
      <c r="AE51" s="124"/>
      <c r="AF51" s="124"/>
      <c r="AG51" s="124"/>
      <c r="AH51" s="124"/>
      <c r="AI51" s="124"/>
      <c r="AJ51" s="124"/>
      <c r="AK51" s="124"/>
      <c r="AL51" s="124"/>
      <c r="AM51" s="124"/>
      <c r="AN51" s="124"/>
      <c r="AO51" s="124"/>
      <c r="AP51" s="124"/>
      <c r="AQ51" s="124"/>
      <c r="AR51" s="124"/>
      <c r="AS51" s="124"/>
      <c r="AT51" s="124"/>
      <c r="AU51" s="124"/>
      <c r="AV51" s="124"/>
      <c r="AW51" s="124"/>
      <c r="AX51" s="124"/>
      <c r="AY51" s="124"/>
      <c r="AZ51" s="124"/>
      <c r="BA51" s="124"/>
      <c r="BB51" s="136"/>
    </row>
    <row r="52" customFormat="false" ht="15.6" hidden="false" customHeight="false" outlineLevel="0" collapsed="false">
      <c r="A52" s="111" t="n">
        <f aca="false">IF(ISBLANK(VLOOKUP(D52,#REF!,3)),0,1)</f>
        <v>1</v>
      </c>
      <c r="B52" s="112" t="n">
        <f aca="false">IF(ISBLANK(D52),0,IF(ISBLANK(E52),0,IF(ISBLANK(F52),0,1)))</f>
        <v>0</v>
      </c>
      <c r="C52" s="128" t="n">
        <v>18</v>
      </c>
      <c r="D52" s="151"/>
      <c r="E52" s="151"/>
      <c r="F52" s="152"/>
      <c r="G52" s="156"/>
      <c r="H52" s="151"/>
      <c r="I52" s="151"/>
      <c r="J52" s="132" t="str">
        <f aca="false">IF(ISBLANK(D52),"",IF(VLOOKUP(D52,#REF!,2)=0,"",IF(D52&gt;#REF!,"Mauvais numéro",IF(D52&lt;#REF!,"Mauvais numéro",(VLOOKUP(D52,#REF!,3))))))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57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49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24"/>
      <c r="U52" s="124"/>
      <c r="V52" s="124"/>
      <c r="W52" s="124"/>
      <c r="X52" s="124"/>
      <c r="Y52" s="124"/>
      <c r="Z52" s="124"/>
      <c r="AA52" s="124"/>
      <c r="AB52" s="124"/>
      <c r="AC52" s="124"/>
      <c r="AD52" s="124"/>
      <c r="AE52" s="124"/>
      <c r="AF52" s="124"/>
      <c r="AG52" s="124"/>
      <c r="AH52" s="124"/>
      <c r="AI52" s="124"/>
      <c r="AJ52" s="124"/>
      <c r="AK52" s="124"/>
      <c r="AL52" s="124"/>
      <c r="AM52" s="124"/>
      <c r="AN52" s="124"/>
      <c r="AO52" s="124"/>
      <c r="AP52" s="124"/>
      <c r="AQ52" s="124"/>
      <c r="AR52" s="124"/>
      <c r="AS52" s="124"/>
      <c r="AT52" s="124"/>
      <c r="AU52" s="124"/>
      <c r="AV52" s="124"/>
      <c r="AW52" s="124"/>
      <c r="AX52" s="124"/>
      <c r="AY52" s="124"/>
      <c r="AZ52" s="124"/>
      <c r="BA52" s="124"/>
      <c r="BB52" s="136"/>
    </row>
    <row r="53" customFormat="false" ht="15.6" hidden="false" customHeight="false" outlineLevel="0" collapsed="false">
      <c r="A53" s="111" t="n">
        <f aca="false">IF(ISBLANK(VLOOKUP(D53,#REF!,3)),0,1)</f>
        <v>1</v>
      </c>
      <c r="B53" s="112" t="n">
        <f aca="false">IF(ISBLANK(D53),0,IF(ISBLANK(E53),0,IF(ISBLANK(F53),0,1)))</f>
        <v>0</v>
      </c>
      <c r="C53" s="128" t="n">
        <v>19</v>
      </c>
      <c r="D53" s="151"/>
      <c r="E53" s="151"/>
      <c r="F53" s="152"/>
      <c r="G53" s="156"/>
      <c r="H53" s="151"/>
      <c r="I53" s="151"/>
      <c r="J53" s="132" t="str">
        <f aca="false">IF(ISBLANK(D53),"",IF(VLOOKUP(D53,#REF!,2)=0,"",IF(D53&gt;#REF!,"Mauvais numéro",IF(D53&lt;#REF!,"Mauvais numéro",(VLOOKUP(D53,#REF!,3))))))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57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49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24"/>
      <c r="U53" s="124"/>
      <c r="V53" s="124"/>
      <c r="W53" s="124"/>
      <c r="X53" s="12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24"/>
      <c r="AJ53" s="124"/>
      <c r="AK53" s="124"/>
      <c r="AL53" s="124"/>
      <c r="AM53" s="124"/>
      <c r="AN53" s="124"/>
      <c r="AO53" s="124"/>
      <c r="AP53" s="124"/>
      <c r="AQ53" s="124"/>
      <c r="AR53" s="124"/>
      <c r="AS53" s="124"/>
      <c r="AT53" s="124"/>
      <c r="AU53" s="124"/>
      <c r="AV53" s="124"/>
      <c r="AW53" s="124"/>
      <c r="AX53" s="124"/>
      <c r="AY53" s="124"/>
      <c r="AZ53" s="124"/>
      <c r="BA53" s="124"/>
      <c r="BB53" s="136"/>
    </row>
    <row r="54" customFormat="false" ht="15.6" hidden="false" customHeight="false" outlineLevel="0" collapsed="false">
      <c r="A54" s="111" t="n">
        <f aca="false">IF(ISBLANK(VLOOKUP(D54,#REF!,3)),0,1)</f>
        <v>1</v>
      </c>
      <c r="B54" s="112" t="n">
        <f aca="false">IF(ISBLANK(D54),0,IF(ISBLANK(E54),0,IF(ISBLANK(F54),0,1)))</f>
        <v>0</v>
      </c>
      <c r="C54" s="128" t="n">
        <v>20</v>
      </c>
      <c r="D54" s="151"/>
      <c r="E54" s="151"/>
      <c r="F54" s="152"/>
      <c r="G54" s="156"/>
      <c r="H54" s="151"/>
      <c r="I54" s="151"/>
      <c r="J54" s="132" t="str">
        <f aca="false">IF(ISBLANK(D54),"",IF(VLOOKUP(D54,#REF!,2)=0,"",IF(D54&gt;#REF!,"Mauvais numéro",IF(D54&lt;#REF!,"Mauvais numéro",(VLOOKUP(D54,#REF!,3))))))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57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49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4"/>
      <c r="U54" s="124"/>
      <c r="V54" s="124"/>
      <c r="W54" s="124"/>
      <c r="X54" s="124"/>
      <c r="Y54" s="124"/>
      <c r="Z54" s="124"/>
      <c r="AA54" s="124"/>
      <c r="AB54" s="124"/>
      <c r="AC54" s="124"/>
      <c r="AD54" s="124"/>
      <c r="AE54" s="124"/>
      <c r="AF54" s="124"/>
      <c r="AG54" s="124"/>
      <c r="AH54" s="124"/>
      <c r="AI54" s="124"/>
      <c r="AJ54" s="124"/>
      <c r="AK54" s="124"/>
      <c r="AL54" s="124"/>
      <c r="AM54" s="124"/>
      <c r="AN54" s="124"/>
      <c r="AO54" s="124"/>
      <c r="AP54" s="124"/>
      <c r="AQ54" s="124"/>
      <c r="AR54" s="124"/>
      <c r="AS54" s="124"/>
      <c r="AT54" s="124"/>
      <c r="AU54" s="124"/>
      <c r="AV54" s="124"/>
      <c r="AW54" s="124"/>
      <c r="AX54" s="124"/>
      <c r="AY54" s="124"/>
      <c r="AZ54" s="124"/>
      <c r="BA54" s="124"/>
      <c r="BB54" s="136"/>
    </row>
    <row r="55" customFormat="false" ht="15.6" hidden="false" customHeight="false" outlineLevel="0" collapsed="false">
      <c r="A55" s="111" t="n">
        <f aca="false">IF(ISBLANK(VLOOKUP(D55,#REF!,3)),0,1)</f>
        <v>1</v>
      </c>
      <c r="B55" s="112" t="n">
        <f aca="false">IF(ISBLANK(D55),0,IF(ISBLANK(E55),0,IF(ISBLANK(F55),0,1)))</f>
        <v>0</v>
      </c>
      <c r="C55" s="128" t="n">
        <v>21</v>
      </c>
      <c r="D55" s="151"/>
      <c r="E55" s="151"/>
      <c r="F55" s="152"/>
      <c r="G55" s="156"/>
      <c r="H55" s="151"/>
      <c r="I55" s="151"/>
      <c r="J55" s="132" t="str">
        <f aca="false">IF(ISBLANK(D55),"",IF(VLOOKUP(D55,#REF!,2)=0,"",IF(D55&gt;#REF!,"Mauvais numéro",IF(D55&lt;#REF!,"Mauvais numéro",(VLOOKUP(D55,#REF!,3))))))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57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49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24"/>
      <c r="U55" s="124"/>
      <c r="V55" s="124"/>
      <c r="W55" s="124"/>
      <c r="X55" s="124"/>
      <c r="Y55" s="124"/>
      <c r="Z55" s="124"/>
      <c r="AA55" s="124"/>
      <c r="AB55" s="124"/>
      <c r="AC55" s="124"/>
      <c r="AD55" s="124"/>
      <c r="AE55" s="124"/>
      <c r="AF55" s="124"/>
      <c r="AG55" s="124"/>
      <c r="AH55" s="124"/>
      <c r="AI55" s="124"/>
      <c r="AJ55" s="124"/>
      <c r="AK55" s="124"/>
      <c r="AL55" s="124"/>
      <c r="AM55" s="124"/>
      <c r="AN55" s="124"/>
      <c r="AO55" s="124"/>
      <c r="AP55" s="124"/>
      <c r="AQ55" s="124"/>
      <c r="AR55" s="124"/>
      <c r="AS55" s="124"/>
      <c r="AT55" s="124"/>
      <c r="AU55" s="124"/>
      <c r="AV55" s="124"/>
      <c r="AW55" s="124"/>
      <c r="AX55" s="124"/>
      <c r="AY55" s="124"/>
      <c r="AZ55" s="124"/>
      <c r="BA55" s="124"/>
      <c r="BB55" s="136"/>
    </row>
    <row r="56" customFormat="false" ht="15.6" hidden="false" customHeight="false" outlineLevel="0" collapsed="false">
      <c r="A56" s="111" t="n">
        <f aca="false">IF(ISBLANK(VLOOKUP(D56,#REF!,3)),0,1)</f>
        <v>1</v>
      </c>
      <c r="B56" s="112" t="n">
        <f aca="false">IF(ISBLANK(D56),0,IF(ISBLANK(E56),0,IF(ISBLANK(F56),0,1)))</f>
        <v>0</v>
      </c>
      <c r="C56" s="128" t="n">
        <v>22</v>
      </c>
      <c r="D56" s="151"/>
      <c r="E56" s="151"/>
      <c r="F56" s="152"/>
      <c r="G56" s="156"/>
      <c r="H56" s="151"/>
      <c r="I56" s="151"/>
      <c r="J56" s="132" t="str">
        <f aca="false">IF(ISBLANK(D56),"",IF(VLOOKUP(D56,#REF!,2)=0,"",IF(D56&gt;#REF!,"Mauvais numéro",IF(D56&lt;#REF!,"Mauvais numéro",(VLOOKUP(D56,#REF!,3))))))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57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49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24"/>
      <c r="AE56" s="124"/>
      <c r="AF56" s="124"/>
      <c r="AG56" s="124"/>
      <c r="AH56" s="124"/>
      <c r="AI56" s="124"/>
      <c r="AJ56" s="124"/>
      <c r="AK56" s="124"/>
      <c r="AL56" s="124"/>
      <c r="AM56" s="124"/>
      <c r="AN56" s="124"/>
      <c r="AO56" s="124"/>
      <c r="AP56" s="124"/>
      <c r="AQ56" s="124"/>
      <c r="AR56" s="124"/>
      <c r="AS56" s="124"/>
      <c r="AT56" s="124"/>
      <c r="AU56" s="124"/>
      <c r="AV56" s="124"/>
      <c r="AW56" s="124"/>
      <c r="AX56" s="124"/>
      <c r="AY56" s="124"/>
      <c r="AZ56" s="124"/>
      <c r="BA56" s="124"/>
      <c r="BB56" s="136"/>
    </row>
    <row r="57" customFormat="false" ht="15.6" hidden="false" customHeight="false" outlineLevel="0" collapsed="false">
      <c r="A57" s="111" t="n">
        <f aca="false">IF(ISBLANK(VLOOKUP(D57,#REF!,3)),0,1)</f>
        <v>1</v>
      </c>
      <c r="B57" s="112" t="n">
        <f aca="false">IF(ISBLANK(D57),0,IF(ISBLANK(E57),0,IF(ISBLANK(F57),0,1)))</f>
        <v>0</v>
      </c>
      <c r="C57" s="128" t="n">
        <v>23</v>
      </c>
      <c r="D57" s="151"/>
      <c r="E57" s="151"/>
      <c r="F57" s="152"/>
      <c r="G57" s="156"/>
      <c r="H57" s="151"/>
      <c r="I57" s="151"/>
      <c r="J57" s="132" t="str">
        <f aca="false">IF(ISBLANK(D57),"",IF(VLOOKUP(D57,#REF!,2)=0,"",IF(D57&gt;#REF!,"Mauvais numéro",IF(D57&lt;#REF!,"Mauvais numéro",(VLOOKUP(D57,#REF!,3))))))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57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49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4"/>
      <c r="U57" s="124"/>
      <c r="V57" s="124"/>
      <c r="W57" s="124"/>
      <c r="X57" s="124"/>
      <c r="Y57" s="124"/>
      <c r="Z57" s="124"/>
      <c r="AA57" s="124"/>
      <c r="AB57" s="124"/>
      <c r="AC57" s="124"/>
      <c r="AD57" s="124"/>
      <c r="AE57" s="124"/>
      <c r="AF57" s="124"/>
      <c r="AG57" s="124"/>
      <c r="AH57" s="124"/>
      <c r="AI57" s="124"/>
      <c r="AJ57" s="124"/>
      <c r="AK57" s="124"/>
      <c r="AL57" s="124"/>
      <c r="AM57" s="124"/>
      <c r="AN57" s="124"/>
      <c r="AO57" s="124"/>
      <c r="AP57" s="124"/>
      <c r="AQ57" s="124"/>
      <c r="AR57" s="124"/>
      <c r="AS57" s="124"/>
      <c r="AT57" s="124"/>
      <c r="AU57" s="124"/>
      <c r="AV57" s="124"/>
      <c r="AW57" s="124"/>
      <c r="AX57" s="124"/>
      <c r="AY57" s="124"/>
      <c r="AZ57" s="124"/>
      <c r="BA57" s="124"/>
      <c r="BB57" s="136"/>
    </row>
    <row r="58" customFormat="false" ht="16.2" hidden="false" customHeight="false" outlineLevel="0" collapsed="false">
      <c r="A58" s="111" t="n">
        <f aca="false">IF(ISBLANK(VLOOKUP(D58,#REF!,3)),0,1)</f>
        <v>1</v>
      </c>
      <c r="B58" s="112" t="n">
        <f aca="false">IF(ISBLANK(D58),0,IF(ISBLANK(E58),0,IF(ISBLANK(F58),0,1)))</f>
        <v>0</v>
      </c>
      <c r="C58" s="158" t="n">
        <v>24</v>
      </c>
      <c r="D58" s="159"/>
      <c r="E58" s="159"/>
      <c r="F58" s="160"/>
      <c r="G58" s="161"/>
      <c r="H58" s="159"/>
      <c r="I58" s="159"/>
      <c r="J58" s="162" t="str">
        <f aca="false">IF(ISBLANK(D58),"",IF(VLOOKUP(D58,#REF!,2)=0,"",IF(D58&gt;#REF!,"Mauvais numéro",IF(D58&lt;#REF!,"Mauvais numéro",(VLOOKUP(D58,#REF!,3))))))</f>
        <v/>
      </c>
      <c r="K58" s="163" t="str">
        <f aca="false">IF(ISBLANK(E58),"",(0.000824493-(0.0000040899*E58)+(0.000000076438*E58^2)-(0.00000000082467*E58^3)+(0.0000000000053875*E58^4)))</f>
        <v/>
      </c>
      <c r="L58" s="163" t="str">
        <f aca="false">IF(ISBLANK(E58),"",(-0.00000572466+(0.00000010227*E58)-(0.0000000016546*E58^2)))</f>
        <v/>
      </c>
      <c r="M58" s="163" t="str">
        <f aca="false">IF(ISBLANK(E58),"",IF(ISBLANK(G58),(O58+(K58*35)+(L58*35^1.5)+(0.00000048314*35^2)),(O58+(K58*G58)+(L58*G58^1.5)+(0.00000048314*G58^2))))</f>
        <v/>
      </c>
      <c r="N58" s="164" t="str">
        <f aca="false">IF(ISBLANK(D58),"",IF(ISBLANK(G58),J58*(1+0.00001*(35-20)),J58*(1+0.00001*(G58-20))))</f>
        <v/>
      </c>
      <c r="O58" s="163" t="str">
        <f aca="false">IF(ISBLANK(E58),"",(0.999842594+(0.00006793952*E58)-(0.00000909529*E58^2)+(0.0000001001685*E58^3)-(0.000000001120083*E58^4)+(0.000000000006536332*E58^5)))</f>
        <v/>
      </c>
      <c r="P58" s="165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66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7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7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68"/>
      <c r="U58" s="168"/>
      <c r="V58" s="168"/>
      <c r="W58" s="168"/>
      <c r="X58" s="168"/>
      <c r="Y58" s="168"/>
      <c r="Z58" s="168"/>
      <c r="AA58" s="168"/>
      <c r="AB58" s="168"/>
      <c r="AC58" s="168"/>
      <c r="AD58" s="168"/>
      <c r="AE58" s="168"/>
      <c r="AF58" s="168"/>
      <c r="AG58" s="168"/>
      <c r="AH58" s="168"/>
      <c r="AI58" s="168"/>
      <c r="AJ58" s="168"/>
      <c r="AK58" s="168"/>
      <c r="AL58" s="168"/>
      <c r="AM58" s="168"/>
      <c r="AN58" s="168"/>
      <c r="AO58" s="168"/>
      <c r="AP58" s="168"/>
      <c r="AQ58" s="168"/>
      <c r="AR58" s="168"/>
      <c r="AS58" s="168"/>
      <c r="AT58" s="168"/>
      <c r="AU58" s="168"/>
      <c r="AV58" s="168"/>
      <c r="AW58" s="168"/>
      <c r="AX58" s="168"/>
      <c r="AY58" s="168"/>
      <c r="AZ58" s="168"/>
      <c r="BA58" s="168"/>
      <c r="BB58" s="169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P1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8178137651822"/>
    <col collapsed="false" hidden="false" max="32" min="32" style="0" width="9.10526315789474"/>
    <col collapsed="false" hidden="false" max="33" min="33" style="0" width="26.5668016194332"/>
    <col collapsed="false" hidden="false" max="34" min="34" style="0" width="12.8542510121458"/>
    <col collapsed="false" hidden="false" max="35" min="35" style="0" width="11.1417004048583"/>
    <col collapsed="false" hidden="false" max="36" min="36" style="0" width="14.5668016194332"/>
    <col collapsed="false" hidden="false" max="37" min="37" style="0" width="12.2105263157895"/>
    <col collapsed="false" hidden="false" max="38" min="38" style="0" width="26.995951417004"/>
    <col collapsed="false" hidden="false" max="39" min="39" style="0" width="14.6761133603239"/>
    <col collapsed="false" hidden="false" max="40" min="40" style="0" width="11.3562753036437"/>
    <col collapsed="false" hidden="false" max="41" min="41" style="0" width="12.5344129554656"/>
    <col collapsed="false" hidden="false" max="42" min="42" style="0" width="10.7125506072875"/>
    <col collapsed="false" hidden="false" max="43" min="43" style="0" width="6.31983805668016"/>
    <col collapsed="false" hidden="false" max="44" min="44" style="0" width="19.7085020242915"/>
    <col collapsed="false" hidden="false" max="45" min="45" style="0" width="13.0688259109312"/>
    <col collapsed="false" hidden="false" max="46" min="46" style="0" width="17.7813765182186"/>
    <col collapsed="false" hidden="false" max="47" min="47" style="0" width="14.6761133603239"/>
    <col collapsed="false" hidden="false" max="48" min="48" style="0" width="13.6032388663968"/>
    <col collapsed="false" hidden="false" max="49" min="49" style="0" width="13.7125506072874"/>
    <col collapsed="false" hidden="false" max="50" min="50" style="0" width="19.9230769230769"/>
    <col collapsed="false" hidden="false" max="51" min="51" style="0" width="13.2834008097166"/>
    <col collapsed="false" hidden="false" max="52" min="52" style="0" width="17.6761133603239"/>
    <col collapsed="false" hidden="false" max="53" min="53" style="0" width="13.3886639676113"/>
    <col collapsed="false" hidden="false" max="54" min="54" style="0" width="12.6396761133603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8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38541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9</v>
      </c>
      <c r="J9" s="29" t="n">
        <v>29.99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-9°29,99</v>
      </c>
      <c r="P9" s="29" t="s">
        <v>15</v>
      </c>
      <c r="Q9" s="33" t="n">
        <f aca="false">IF(ISBLANK(I9),"",IF(ISBLANK(J9),"",IF(J9&gt;60,"ERREUR !!",O11*(I9+(J9/60)))))</f>
        <v>-9.49983333333333</v>
      </c>
      <c r="R9" s="33"/>
    </row>
    <row r="10" customFormat="false" ht="15" hidden="false" customHeight="true" outlineLevel="0" collapsed="false">
      <c r="C10" s="21"/>
      <c r="D10" s="18"/>
      <c r="G10" s="27" t="s">
        <v>16</v>
      </c>
      <c r="H10" s="27"/>
      <c r="I10" s="28" t="n">
        <v>9</v>
      </c>
      <c r="J10" s="29" t="n">
        <v>59.86</v>
      </c>
      <c r="K10" s="30" t="s">
        <v>12</v>
      </c>
      <c r="L10" s="31" t="str">
        <f aca="false">IF(P10=N9,"+","-")</f>
        <v>-</v>
      </c>
      <c r="M10" s="30" t="s">
        <v>15</v>
      </c>
      <c r="N10" s="30" t="s">
        <v>17</v>
      </c>
      <c r="O10" s="34" t="str">
        <f aca="false">IF(ISBLANK(I10),"",IF(ISBLANK(J10),"",IF(P10=N10,L10&amp;N12,N12)))</f>
        <v>-9°59,86</v>
      </c>
      <c r="P10" s="29" t="s">
        <v>17</v>
      </c>
      <c r="Q10" s="33" t="n">
        <f aca="false">IF(ISBLANK(I10),"",IF(ISBLANK(J10),"",IF(J10&gt;60,"ERREUR !!",O12*(I10+(J10/60)))))</f>
        <v>-9.99766666666667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38541</v>
      </c>
      <c r="K11" s="38"/>
      <c r="L11" s="38"/>
      <c r="M11" s="38"/>
      <c r="N11" s="39" t="str">
        <f aca="false">I9&amp;"°"&amp;J9</f>
        <v>9°29,99</v>
      </c>
      <c r="O11" s="40" t="n">
        <f aca="false">IF(P9=M10,-1,1)</f>
        <v>-1</v>
      </c>
      <c r="P11" s="41" t="str">
        <f aca="false">TEXT(J11,"aaaa-mm-jj")&amp;"T"&amp;TEXT(J12,"hh:mm:ss")&amp;"z"</f>
        <v>2009-07-09T06:00:00z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0.25</v>
      </c>
      <c r="K12" s="45"/>
      <c r="L12" s="45"/>
      <c r="M12" s="45"/>
      <c r="N12" s="46" t="str">
        <f aca="false">I10&amp;"°"&amp;J10</f>
        <v>9°59,86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e">
        <f aca="false">$P$24*($P$18/#REF!)</f>
        <v>#REF!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e">
        <f aca="false">5+#REF!</f>
        <v>#REF!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e">
        <f aca="false">P20*(1+0.00001*(R14-20))</f>
        <v>#REF!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e">
        <f aca="false">MAX(#REF!)</f>
        <v>#VALUE!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e">
        <f aca="false">2+(#REF!+#REF!)</f>
        <v>#REF!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52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53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IF(ISBLANK(VLOOKUP(D35,#REF!,3)),0,1)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n">
        <v>34.9337</v>
      </c>
      <c r="H35" s="118" t="n">
        <v>2000</v>
      </c>
      <c r="I35" s="119" t="n">
        <v>2003</v>
      </c>
      <c r="J35" s="120"/>
      <c r="K35" s="121"/>
      <c r="L35" s="121"/>
      <c r="M35" s="121"/>
      <c r="N35" s="122"/>
      <c r="O35" s="121"/>
      <c r="P35" s="171" t="n">
        <v>5.593</v>
      </c>
      <c r="Q35" s="120"/>
      <c r="R35" s="120"/>
      <c r="S35" s="172" t="n">
        <v>243.1</v>
      </c>
      <c r="T35" s="32" t="n">
        <v>0.01</v>
      </c>
      <c r="U35" s="32" t="n">
        <v>0.01</v>
      </c>
      <c r="V35" s="32"/>
      <c r="W35" s="32"/>
      <c r="X35" s="125" t="n">
        <v>22.4</v>
      </c>
      <c r="Y35" s="125" t="n">
        <v>21.9</v>
      </c>
      <c r="Z35" s="32" t="n">
        <v>1.44</v>
      </c>
      <c r="AA35" s="32" t="n">
        <v>1.41</v>
      </c>
      <c r="AB35" s="125" t="n">
        <v>29.2</v>
      </c>
      <c r="AC35" s="125" t="n">
        <v>28.5</v>
      </c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7"/>
      <c r="AY35" s="126"/>
      <c r="AZ35" s="126"/>
      <c r="BA35" s="126"/>
      <c r="BB35" s="127"/>
    </row>
    <row r="36" customFormat="false" ht="15.6" hidden="false" customHeight="false" outlineLevel="0" collapsed="false">
      <c r="A36" s="111" t="n">
        <f aca="false">IF(ISBLANK(VLOOKUP(D36,#REF!,3)),0,1)</f>
        <v>1</v>
      </c>
      <c r="B36" s="112" t="n">
        <f aca="false">IF(ISBLANK(D36),0,IF(ISBLANK(E36),0,IF(ISBLANK(F36),0,1)))</f>
        <v>0</v>
      </c>
      <c r="C36" s="128" t="n">
        <v>2</v>
      </c>
      <c r="D36" s="129"/>
      <c r="E36" s="129"/>
      <c r="F36" s="130"/>
      <c r="G36" s="117" t="n">
        <v>34.5773</v>
      </c>
      <c r="H36" s="131" t="n">
        <v>1000</v>
      </c>
      <c r="I36" s="119" t="n">
        <v>1001</v>
      </c>
      <c r="J36" s="132"/>
      <c r="K36" s="133"/>
      <c r="L36" s="133"/>
      <c r="M36" s="133"/>
      <c r="N36" s="134"/>
      <c r="O36" s="133"/>
      <c r="P36" s="171" t="n">
        <v>3.621</v>
      </c>
      <c r="Q36" s="132"/>
      <c r="R36" s="132"/>
      <c r="S36" s="172" t="n">
        <v>157.4</v>
      </c>
      <c r="T36" s="32" t="n">
        <v>0</v>
      </c>
      <c r="U36" s="32" t="n">
        <v>0</v>
      </c>
      <c r="V36" s="32"/>
      <c r="W36" s="32"/>
      <c r="X36" s="125" t="n">
        <v>34.6</v>
      </c>
      <c r="Y36" s="125" t="n">
        <v>33.9</v>
      </c>
      <c r="Z36" s="32" t="n">
        <v>2.25</v>
      </c>
      <c r="AA36" s="32" t="n">
        <v>2.2</v>
      </c>
      <c r="AB36" s="125" t="n">
        <v>34.3</v>
      </c>
      <c r="AC36" s="125" t="n">
        <v>33.5</v>
      </c>
      <c r="AD36" s="124"/>
      <c r="AE36" s="124"/>
      <c r="AF36" s="124"/>
      <c r="AG36" s="124"/>
      <c r="AH36" s="124"/>
      <c r="AI36" s="124"/>
      <c r="AJ36" s="124"/>
      <c r="AK36" s="124"/>
      <c r="AL36" s="124"/>
      <c r="AM36" s="124"/>
      <c r="AN36" s="124"/>
      <c r="AO36" s="124"/>
      <c r="AP36" s="124"/>
      <c r="AQ36" s="124"/>
      <c r="AR36" s="124"/>
      <c r="AS36" s="124"/>
      <c r="AT36" s="124"/>
      <c r="AU36" s="124"/>
      <c r="AV36" s="124"/>
      <c r="AW36" s="124"/>
      <c r="AX36" s="136"/>
      <c r="AY36" s="124"/>
      <c r="AZ36" s="124"/>
      <c r="BA36" s="124"/>
      <c r="BB36" s="136"/>
    </row>
    <row r="37" customFormat="false" ht="16.2" hidden="false" customHeight="false" outlineLevel="0" collapsed="false">
      <c r="A37" s="111" t="n">
        <f aca="false">IF(ISBLANK(VLOOKUP(D37,#REF!,3)),0,1)</f>
        <v>1</v>
      </c>
      <c r="B37" s="112" t="n">
        <f aca="false">IF(ISBLANK(D37),0,IF(ISBLANK(E37),0,IF(ISBLANK(F37),0,1)))</f>
        <v>0</v>
      </c>
      <c r="C37" s="128" t="n">
        <v>3</v>
      </c>
      <c r="D37" s="129"/>
      <c r="E37" s="129"/>
      <c r="F37" s="137"/>
      <c r="G37" s="117" t="n">
        <v>34.6642</v>
      </c>
      <c r="H37" s="131" t="n">
        <v>500</v>
      </c>
      <c r="I37" s="119" t="n">
        <v>501</v>
      </c>
      <c r="J37" s="132"/>
      <c r="K37" s="133"/>
      <c r="L37" s="133"/>
      <c r="M37" s="133"/>
      <c r="N37" s="134"/>
      <c r="O37" s="133"/>
      <c r="P37" s="171" t="n">
        <v>2.078</v>
      </c>
      <c r="Q37" s="132"/>
      <c r="R37" s="132"/>
      <c r="S37" s="172" t="n">
        <v>90.4</v>
      </c>
      <c r="T37" s="32" t="n">
        <v>0</v>
      </c>
      <c r="U37" s="32" t="n">
        <v>0</v>
      </c>
      <c r="V37" s="32"/>
      <c r="W37" s="32"/>
      <c r="X37" s="125" t="n">
        <v>36.5</v>
      </c>
      <c r="Y37" s="125" t="n">
        <v>35.6</v>
      </c>
      <c r="Z37" s="32" t="n">
        <v>2.21</v>
      </c>
      <c r="AA37" s="32" t="n">
        <v>2.16</v>
      </c>
      <c r="AB37" s="125" t="n">
        <v>20.1</v>
      </c>
      <c r="AC37" s="125" t="n">
        <v>19.7</v>
      </c>
      <c r="AD37" s="124"/>
      <c r="AE37" s="124"/>
      <c r="AF37" s="124"/>
      <c r="AG37" s="124"/>
      <c r="AH37" s="124"/>
      <c r="AI37" s="124"/>
      <c r="AJ37" s="124"/>
      <c r="AK37" s="124"/>
      <c r="AL37" s="124"/>
      <c r="AM37" s="124"/>
      <c r="AN37" s="124"/>
      <c r="AO37" s="124"/>
      <c r="AP37" s="124"/>
      <c r="AQ37" s="124"/>
      <c r="AR37" s="124"/>
      <c r="AS37" s="124"/>
      <c r="AT37" s="124"/>
      <c r="AU37" s="124"/>
      <c r="AV37" s="124"/>
      <c r="AW37" s="124"/>
      <c r="AX37" s="136"/>
      <c r="AY37" s="124"/>
      <c r="AZ37" s="124"/>
      <c r="BA37" s="124"/>
      <c r="BB37" s="136"/>
    </row>
    <row r="38" customFormat="false" ht="15.6" hidden="false" customHeight="false" outlineLevel="0" collapsed="false">
      <c r="A38" s="111" t="n">
        <f aca="false">IF(ISBLANK(VLOOKUP(D38,#REF!,3)),0,1)</f>
        <v>1</v>
      </c>
      <c r="B38" s="112" t="n">
        <f aca="false">IF(ISBLANK(D38),0,IF(ISBLANK(E38),0,IF(ISBLANK(F38),0,1)))</f>
        <v>0</v>
      </c>
      <c r="C38" s="128" t="n">
        <v>4</v>
      </c>
      <c r="D38" s="138"/>
      <c r="E38" s="138"/>
      <c r="F38" s="139"/>
      <c r="G38" s="117" t="n">
        <v>34.6642</v>
      </c>
      <c r="H38" s="131" t="n">
        <v>500</v>
      </c>
      <c r="I38" s="119" t="n">
        <v>501</v>
      </c>
      <c r="J38" s="132"/>
      <c r="K38" s="133"/>
      <c r="L38" s="133"/>
      <c r="M38" s="133"/>
      <c r="N38" s="134"/>
      <c r="O38" s="133"/>
      <c r="P38" s="171" t="n">
        <v>2.089</v>
      </c>
      <c r="Q38" s="132"/>
      <c r="R38" s="132"/>
      <c r="S38" s="172" t="n">
        <v>90.9</v>
      </c>
      <c r="T38" s="32" t="n">
        <v>0</v>
      </c>
      <c r="U38" s="32" t="n">
        <v>0</v>
      </c>
      <c r="V38" s="32"/>
      <c r="W38" s="32"/>
      <c r="X38" s="125" t="n">
        <v>36.6</v>
      </c>
      <c r="Y38" s="125" t="n">
        <v>35.7</v>
      </c>
      <c r="Z38" s="32" t="n">
        <v>2.29</v>
      </c>
      <c r="AA38" s="32" t="n">
        <v>2.23</v>
      </c>
      <c r="AB38" s="125" t="n">
        <v>20</v>
      </c>
      <c r="AC38" s="125" t="n">
        <v>19.6</v>
      </c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7"/>
      <c r="AY38" s="126"/>
      <c r="AZ38" s="126"/>
      <c r="BA38" s="126"/>
      <c r="BB38" s="127"/>
    </row>
    <row r="39" customFormat="false" ht="15.6" hidden="false" customHeight="false" outlineLevel="0" collapsed="false">
      <c r="A39" s="111" t="n">
        <f aca="false">IF(ISBLANK(VLOOKUP(D39,#REF!,3)),0,1)</f>
        <v>1</v>
      </c>
      <c r="B39" s="112" t="n">
        <f aca="false">IF(ISBLANK(D39),0,IF(ISBLANK(E39),0,IF(ISBLANK(F39),0,1)))</f>
        <v>0</v>
      </c>
      <c r="C39" s="128" t="n">
        <v>5</v>
      </c>
      <c r="D39" s="129"/>
      <c r="E39" s="129"/>
      <c r="F39" s="137"/>
      <c r="G39" s="117" t="n">
        <v>36.325</v>
      </c>
      <c r="H39" s="131" t="n">
        <v>100</v>
      </c>
      <c r="I39" s="119" t="n">
        <v>97.8</v>
      </c>
      <c r="J39" s="132"/>
      <c r="K39" s="133"/>
      <c r="L39" s="133"/>
      <c r="M39" s="133"/>
      <c r="N39" s="134"/>
      <c r="O39" s="133"/>
      <c r="P39" s="171" t="n">
        <v>4.711</v>
      </c>
      <c r="Q39" s="132"/>
      <c r="R39" s="132"/>
      <c r="S39" s="172" t="n">
        <v>205.2</v>
      </c>
      <c r="T39" s="32" t="n">
        <v>0.17</v>
      </c>
      <c r="U39" s="32" t="n">
        <v>0.17</v>
      </c>
      <c r="V39" s="32"/>
      <c r="W39" s="32"/>
      <c r="X39" s="125" t="n">
        <v>2</v>
      </c>
      <c r="Y39" s="125" t="n">
        <v>1.9</v>
      </c>
      <c r="Z39" s="32" t="n">
        <v>0.3</v>
      </c>
      <c r="AA39" s="32" t="n">
        <v>0.3</v>
      </c>
      <c r="AB39" s="125" t="n">
        <v>1.6</v>
      </c>
      <c r="AC39" s="125" t="n">
        <v>1.5</v>
      </c>
      <c r="AD39" s="124"/>
      <c r="AE39" s="124"/>
      <c r="AF39" s="124"/>
      <c r="AG39" s="124"/>
      <c r="AH39" s="124"/>
      <c r="AI39" s="124"/>
      <c r="AJ39" s="124"/>
      <c r="AK39" s="124"/>
      <c r="AL39" s="124"/>
      <c r="AM39" s="124"/>
      <c r="AN39" s="124"/>
      <c r="AO39" s="124"/>
      <c r="AP39" s="124"/>
      <c r="AQ39" s="124"/>
      <c r="AR39" s="124"/>
      <c r="AS39" s="124"/>
      <c r="AT39" s="124"/>
      <c r="AU39" s="124"/>
      <c r="AV39" s="124"/>
      <c r="AW39" s="124"/>
      <c r="AX39" s="136"/>
      <c r="AY39" s="124"/>
      <c r="AZ39" s="124"/>
      <c r="BA39" s="124"/>
      <c r="BB39" s="136"/>
    </row>
    <row r="40" customFormat="false" ht="16.2" hidden="false" customHeight="false" outlineLevel="0" collapsed="false">
      <c r="A40" s="111" t="n">
        <f aca="false">IF(ISBLANK(VLOOKUP(D40,#REF!,3)),0,1)</f>
        <v>1</v>
      </c>
      <c r="B40" s="112" t="n">
        <f aca="false">IF(ISBLANK(D40),0,IF(ISBLANK(E40),0,IF(ISBLANK(F40),0,1)))</f>
        <v>0</v>
      </c>
      <c r="C40" s="128" t="n">
        <v>6</v>
      </c>
      <c r="D40" s="129"/>
      <c r="E40" s="129"/>
      <c r="F40" s="137"/>
      <c r="G40" s="117" t="n">
        <v>36.3844</v>
      </c>
      <c r="H40" s="131" t="n">
        <v>80</v>
      </c>
      <c r="I40" s="119" t="n">
        <v>80.7</v>
      </c>
      <c r="J40" s="132"/>
      <c r="K40" s="133"/>
      <c r="L40" s="133"/>
      <c r="M40" s="133"/>
      <c r="N40" s="134"/>
      <c r="O40" s="133"/>
      <c r="P40" s="171" t="n">
        <v>4.905</v>
      </c>
      <c r="Q40" s="132"/>
      <c r="R40" s="132"/>
      <c r="S40" s="172" t="n">
        <v>213.7</v>
      </c>
      <c r="T40" s="32" t="n">
        <v>0.01</v>
      </c>
      <c r="U40" s="32" t="n">
        <v>0.01</v>
      </c>
      <c r="V40" s="32"/>
      <c r="W40" s="32"/>
      <c r="X40" s="125" t="n">
        <v>0.2</v>
      </c>
      <c r="Y40" s="125" t="n">
        <v>0.2</v>
      </c>
      <c r="Z40" s="32" t="n">
        <v>0.13</v>
      </c>
      <c r="AA40" s="32" t="n">
        <v>0.12</v>
      </c>
      <c r="AB40" s="125" t="n">
        <v>1.1</v>
      </c>
      <c r="AC40" s="125" t="n">
        <v>1</v>
      </c>
      <c r="AD40" s="124"/>
      <c r="AE40" s="124"/>
      <c r="AF40" s="124"/>
      <c r="AG40" s="124"/>
      <c r="AH40" s="124"/>
      <c r="AI40" s="124"/>
      <c r="AJ40" s="124"/>
      <c r="AK40" s="124"/>
      <c r="AL40" s="124"/>
      <c r="AM40" s="124"/>
      <c r="AN40" s="124"/>
      <c r="AO40" s="124"/>
      <c r="AP40" s="124"/>
      <c r="AQ40" s="124"/>
      <c r="AR40" s="124"/>
      <c r="AS40" s="124"/>
      <c r="AT40" s="124"/>
      <c r="AU40" s="124"/>
      <c r="AV40" s="124"/>
      <c r="AW40" s="124"/>
      <c r="AX40" s="136"/>
      <c r="AY40" s="124"/>
      <c r="AZ40" s="124"/>
      <c r="BA40" s="124"/>
      <c r="BB40" s="136"/>
    </row>
    <row r="41" customFormat="false" ht="15.6" hidden="false" customHeight="false" outlineLevel="0" collapsed="false">
      <c r="A41" s="111" t="n">
        <f aca="false">IF(ISBLANK(VLOOKUP(D41,#REF!,3)),0,1)</f>
        <v>1</v>
      </c>
      <c r="B41" s="112" t="n">
        <f aca="false">IF(ISBLANK(D41),0,IF(ISBLANK(E41),0,IF(ISBLANK(F41),0,1)))</f>
        <v>0</v>
      </c>
      <c r="C41" s="128" t="n">
        <v>7</v>
      </c>
      <c r="D41" s="129"/>
      <c r="E41" s="129"/>
      <c r="F41" s="137"/>
      <c r="G41" s="117" t="n">
        <v>35.9053</v>
      </c>
      <c r="H41" s="131" t="n">
        <v>60</v>
      </c>
      <c r="I41" s="119" t="n">
        <v>59.8</v>
      </c>
      <c r="J41" s="132"/>
      <c r="K41" s="133"/>
      <c r="L41" s="133"/>
      <c r="M41" s="133"/>
      <c r="N41" s="134"/>
      <c r="O41" s="133"/>
      <c r="P41" s="171" t="n">
        <v>4.663</v>
      </c>
      <c r="Q41" s="132"/>
      <c r="R41" s="132"/>
      <c r="S41" s="172" t="n">
        <v>203.4</v>
      </c>
      <c r="T41" s="32" t="n">
        <v>0</v>
      </c>
      <c r="U41" s="32" t="n">
        <v>0</v>
      </c>
      <c r="V41" s="32"/>
      <c r="W41" s="32"/>
      <c r="X41" s="125" t="n">
        <v>0.2</v>
      </c>
      <c r="Y41" s="125" t="n">
        <v>0.2</v>
      </c>
      <c r="Z41" s="32" t="n">
        <v>0</v>
      </c>
      <c r="AA41" s="32" t="n">
        <v>0</v>
      </c>
      <c r="AB41" s="125" t="n">
        <v>0.8</v>
      </c>
      <c r="AC41" s="125" t="n">
        <v>0.8</v>
      </c>
      <c r="AD41" s="126"/>
      <c r="AE41" s="126"/>
      <c r="AF41" s="126"/>
      <c r="AG41" s="126"/>
      <c r="AH41" s="126"/>
      <c r="AI41" s="126"/>
      <c r="AJ41" s="126"/>
      <c r="AK41" s="126"/>
      <c r="AL41" s="126"/>
      <c r="AM41" s="126"/>
      <c r="AN41" s="126"/>
      <c r="AO41" s="126"/>
      <c r="AP41" s="126"/>
      <c r="AQ41" s="126"/>
      <c r="AR41" s="126"/>
      <c r="AS41" s="126"/>
      <c r="AT41" s="126"/>
      <c r="AU41" s="126"/>
      <c r="AV41" s="126"/>
      <c r="AW41" s="126"/>
      <c r="AX41" s="127"/>
      <c r="AY41" s="126"/>
      <c r="AZ41" s="126"/>
      <c r="BA41" s="126"/>
      <c r="BB41" s="127"/>
    </row>
    <row r="42" customFormat="false" ht="16.2" hidden="false" customHeight="false" outlineLevel="0" collapsed="false">
      <c r="A42" s="111" t="n">
        <f aca="false">IF(ISBLANK(VLOOKUP(D42,#REF!,3)),0,1)</f>
        <v>1</v>
      </c>
      <c r="B42" s="112" t="n">
        <f aca="false">IF(ISBLANK(D42),0,IF(ISBLANK(E42),0,IF(ISBLANK(F42),0,1)))</f>
        <v>0</v>
      </c>
      <c r="C42" s="128" t="n">
        <v>8</v>
      </c>
      <c r="D42" s="129"/>
      <c r="E42" s="129"/>
      <c r="F42" s="137"/>
      <c r="G42" s="117" t="n">
        <v>35.8739</v>
      </c>
      <c r="H42" s="131" t="n">
        <v>40</v>
      </c>
      <c r="I42" s="119" t="n">
        <v>40.1</v>
      </c>
      <c r="J42" s="132"/>
      <c r="K42" s="133"/>
      <c r="L42" s="133"/>
      <c r="M42" s="133"/>
      <c r="N42" s="134"/>
      <c r="O42" s="133"/>
      <c r="P42" s="171" t="n">
        <v>4.4</v>
      </c>
      <c r="Q42" s="132"/>
      <c r="R42" s="132"/>
      <c r="S42" s="172" t="n">
        <v>191.9</v>
      </c>
      <c r="T42" s="32" t="n">
        <v>0</v>
      </c>
      <c r="U42" s="32" t="n">
        <v>0</v>
      </c>
      <c r="V42" s="32"/>
      <c r="W42" s="32"/>
      <c r="X42" s="125" t="n">
        <v>0.2</v>
      </c>
      <c r="Y42" s="125" t="n">
        <v>0.2</v>
      </c>
      <c r="Z42" s="32" t="n">
        <v>0</v>
      </c>
      <c r="AA42" s="32" t="n">
        <v>0</v>
      </c>
      <c r="AB42" s="125" t="n">
        <v>1.4</v>
      </c>
      <c r="AC42" s="125" t="n">
        <v>1.4</v>
      </c>
      <c r="AD42" s="124"/>
      <c r="AE42" s="124"/>
      <c r="AF42" s="124"/>
      <c r="AG42" s="124"/>
      <c r="AH42" s="124"/>
      <c r="AI42" s="124"/>
      <c r="AJ42" s="124"/>
      <c r="AK42" s="124"/>
      <c r="AL42" s="124"/>
      <c r="AM42" s="124"/>
      <c r="AN42" s="124"/>
      <c r="AO42" s="124"/>
      <c r="AP42" s="124"/>
      <c r="AQ42" s="124"/>
      <c r="AR42" s="124"/>
      <c r="AS42" s="124"/>
      <c r="AT42" s="124"/>
      <c r="AU42" s="124"/>
      <c r="AV42" s="124"/>
      <c r="AW42" s="124"/>
      <c r="AX42" s="136"/>
      <c r="AY42" s="124"/>
      <c r="AZ42" s="124"/>
      <c r="BA42" s="124"/>
      <c r="BB42" s="136"/>
    </row>
    <row r="43" customFormat="false" ht="15.6" hidden="false" customHeight="false" outlineLevel="0" collapsed="false">
      <c r="A43" s="111" t="n">
        <f aca="false">IF(ISBLANK(VLOOKUP(D43,#REF!,3)),0,1)</f>
        <v>1</v>
      </c>
      <c r="B43" s="112" t="n">
        <f aca="false">IF(ISBLANK(D43),0,IF(ISBLANK(E43),0,IF(ISBLANK(F43),0,1)))</f>
        <v>0</v>
      </c>
      <c r="C43" s="128" t="n">
        <v>9</v>
      </c>
      <c r="D43" s="129"/>
      <c r="E43" s="129"/>
      <c r="F43" s="137"/>
      <c r="G43" s="117" t="n">
        <v>35.8607</v>
      </c>
      <c r="H43" s="131" t="n">
        <v>20</v>
      </c>
      <c r="I43" s="119" t="n">
        <v>20.5</v>
      </c>
      <c r="J43" s="132"/>
      <c r="K43" s="133"/>
      <c r="L43" s="133"/>
      <c r="M43" s="133"/>
      <c r="N43" s="134"/>
      <c r="O43" s="133"/>
      <c r="P43" s="171" t="n">
        <v>4.591</v>
      </c>
      <c r="Q43" s="132"/>
      <c r="R43" s="132"/>
      <c r="S43" s="172" t="n">
        <v>200.2</v>
      </c>
      <c r="T43" s="32" t="n">
        <v>0.01</v>
      </c>
      <c r="U43" s="32" t="n">
        <v>0.01</v>
      </c>
      <c r="V43" s="32"/>
      <c r="W43" s="32"/>
      <c r="X43" s="125" t="n">
        <v>0.2</v>
      </c>
      <c r="Y43" s="125" t="n">
        <v>0.2</v>
      </c>
      <c r="Z43" s="32" t="n">
        <v>0</v>
      </c>
      <c r="AA43" s="32" t="n">
        <v>0</v>
      </c>
      <c r="AB43" s="125" t="n">
        <v>1</v>
      </c>
      <c r="AC43" s="125" t="n">
        <v>0.9</v>
      </c>
      <c r="AD43" s="126"/>
      <c r="AE43" s="126"/>
      <c r="AF43" s="126"/>
      <c r="AG43" s="126"/>
      <c r="AH43" s="126"/>
      <c r="AI43" s="126"/>
      <c r="AJ43" s="126"/>
      <c r="AK43" s="126"/>
      <c r="AL43" s="126"/>
      <c r="AM43" s="126"/>
      <c r="AN43" s="126"/>
      <c r="AO43" s="126"/>
      <c r="AP43" s="126"/>
      <c r="AQ43" s="126"/>
      <c r="AR43" s="126"/>
      <c r="AS43" s="126"/>
      <c r="AT43" s="126"/>
      <c r="AU43" s="126"/>
      <c r="AV43" s="126"/>
      <c r="AW43" s="126"/>
      <c r="AX43" s="127"/>
      <c r="AY43" s="126"/>
      <c r="AZ43" s="126"/>
      <c r="BA43" s="126"/>
      <c r="BB43" s="127"/>
    </row>
    <row r="44" customFormat="false" ht="15.6" hidden="false" customHeight="false" outlineLevel="0" collapsed="false">
      <c r="A44" s="111" t="n">
        <f aca="false">IF(ISBLANK(VLOOKUP(D44,#REF!,3)),0,1)</f>
        <v>1</v>
      </c>
      <c r="B44" s="112" t="n">
        <f aca="false">IF(ISBLANK(D44),0,IF(ISBLANK(E44),0,IF(ISBLANK(F44),0,1)))</f>
        <v>0</v>
      </c>
      <c r="C44" s="128" t="n">
        <v>10</v>
      </c>
      <c r="D44" s="129"/>
      <c r="E44" s="129"/>
      <c r="F44" s="137"/>
      <c r="G44" s="117" t="n">
        <v>35.8619</v>
      </c>
      <c r="H44" s="131" t="n">
        <v>10</v>
      </c>
      <c r="I44" s="119" t="n">
        <v>9.8</v>
      </c>
      <c r="J44" s="132"/>
      <c r="K44" s="133"/>
      <c r="L44" s="133"/>
      <c r="M44" s="133"/>
      <c r="N44" s="134"/>
      <c r="O44" s="133"/>
      <c r="P44" s="171" t="n">
        <v>4.605</v>
      </c>
      <c r="Q44" s="132"/>
      <c r="R44" s="132"/>
      <c r="S44" s="172" t="n">
        <v>200.9</v>
      </c>
      <c r="T44" s="32" t="n">
        <v>0.01</v>
      </c>
      <c r="U44" s="32" t="n">
        <v>0.01</v>
      </c>
      <c r="V44" s="32"/>
      <c r="W44" s="32"/>
      <c r="X44" s="125" t="n">
        <v>0.2</v>
      </c>
      <c r="Y44" s="125" t="n">
        <v>0.2</v>
      </c>
      <c r="Z44" s="32" t="n">
        <v>0</v>
      </c>
      <c r="AA44" s="32" t="n">
        <v>0</v>
      </c>
      <c r="AB44" s="125" t="n">
        <v>1</v>
      </c>
      <c r="AC44" s="125" t="n">
        <v>1</v>
      </c>
      <c r="AD44" s="124"/>
      <c r="AE44" s="124"/>
      <c r="AF44" s="124"/>
      <c r="AG44" s="124"/>
      <c r="AH44" s="124"/>
      <c r="AI44" s="124"/>
      <c r="AJ44" s="124"/>
      <c r="AK44" s="124"/>
      <c r="AL44" s="124"/>
      <c r="AM44" s="124"/>
      <c r="AN44" s="124"/>
      <c r="AO44" s="124"/>
      <c r="AP44" s="124"/>
      <c r="AQ44" s="124"/>
      <c r="AR44" s="124"/>
      <c r="AS44" s="124"/>
      <c r="AT44" s="124"/>
      <c r="AU44" s="124"/>
      <c r="AV44" s="124"/>
      <c r="AW44" s="124"/>
      <c r="AX44" s="136"/>
      <c r="AY44" s="124"/>
      <c r="AZ44" s="124"/>
      <c r="BA44" s="124"/>
      <c r="BB44" s="136"/>
    </row>
    <row r="45" customFormat="false" ht="15.6" hidden="false" customHeight="false" outlineLevel="0" collapsed="false">
      <c r="A45" s="111" t="n">
        <f aca="false">IF(ISBLANK(VLOOKUP(D45,#REF!,3)),0,1)</f>
        <v>1</v>
      </c>
      <c r="B45" s="112" t="n">
        <f aca="false">IF(ISBLANK(D45),0,IF(ISBLANK(E45),0,IF(ISBLANK(F45),0,1)))</f>
        <v>0</v>
      </c>
      <c r="C45" s="128" t="n">
        <v>11</v>
      </c>
      <c r="D45" s="129"/>
      <c r="E45" s="129"/>
      <c r="F45" s="137"/>
      <c r="G45" s="117" t="n">
        <v>35.8622</v>
      </c>
      <c r="H45" s="131" t="n">
        <v>0</v>
      </c>
      <c r="I45" s="119" t="n">
        <v>3.1</v>
      </c>
      <c r="J45" s="132"/>
      <c r="K45" s="133"/>
      <c r="L45" s="133"/>
      <c r="M45" s="133"/>
      <c r="N45" s="134"/>
      <c r="O45" s="133"/>
      <c r="P45" s="171" t="n">
        <v>4.522</v>
      </c>
      <c r="Q45" s="132"/>
      <c r="R45" s="132"/>
      <c r="S45" s="172" t="n">
        <v>197.3</v>
      </c>
      <c r="T45" s="32" t="n">
        <v>0</v>
      </c>
      <c r="U45" s="32" t="n">
        <v>0</v>
      </c>
      <c r="V45" s="32"/>
      <c r="W45" s="32"/>
      <c r="X45" s="125" t="n">
        <v>0.2</v>
      </c>
      <c r="Y45" s="125" t="n">
        <v>0.2</v>
      </c>
      <c r="Z45" s="32" t="n">
        <v>0</v>
      </c>
      <c r="AA45" s="32" t="n">
        <v>0</v>
      </c>
      <c r="AB45" s="125" t="n">
        <v>1</v>
      </c>
      <c r="AC45" s="125" t="n">
        <v>0.9</v>
      </c>
      <c r="AD45" s="124"/>
      <c r="AE45" s="124"/>
      <c r="AF45" s="124"/>
      <c r="AG45" s="124"/>
      <c r="AH45" s="124"/>
      <c r="AI45" s="124"/>
      <c r="AJ45" s="124"/>
      <c r="AK45" s="124"/>
      <c r="AL45" s="124"/>
      <c r="AM45" s="124"/>
      <c r="AN45" s="124"/>
      <c r="AO45" s="124"/>
      <c r="AP45" s="124"/>
      <c r="AQ45" s="124"/>
      <c r="AR45" s="124"/>
      <c r="AS45" s="124"/>
      <c r="AT45" s="124"/>
      <c r="AU45" s="124"/>
      <c r="AV45" s="124"/>
      <c r="AW45" s="124"/>
      <c r="AX45" s="136"/>
      <c r="AY45" s="124"/>
      <c r="AZ45" s="124"/>
      <c r="BA45" s="124"/>
      <c r="BB45" s="136"/>
    </row>
    <row r="46" customFormat="false" ht="15.6" hidden="false" customHeight="false" outlineLevel="0" collapsed="false">
      <c r="A46" s="111" t="n">
        <f aca="false">IF(ISBLANK(VLOOKUP(D46,#REF!,3)),0,1)</f>
        <v>1</v>
      </c>
      <c r="B46" s="112" t="n">
        <f aca="false">IF(ISBLANK(D46),0,IF(ISBLANK(E46),0,IF(ISBLANK(F46),0,1)))</f>
        <v>0</v>
      </c>
      <c r="C46" s="128" t="n">
        <v>12</v>
      </c>
      <c r="D46" s="142"/>
      <c r="E46" s="142"/>
      <c r="F46" s="143"/>
      <c r="G46" s="144"/>
      <c r="H46" s="142"/>
      <c r="I46" s="145"/>
      <c r="J46" s="132" t="str">
        <f aca="false">IF(ISBLANK(D46),"",IF(VLOOKUP(D46,#REF!,2)=0,"",IF(D46&gt;#REF!,"Mauvais numéro",IF(D46&lt;#REF!,"Mauvais numéro",(VLOOKUP(D46,#REF!,3))))))</f>
        <v/>
      </c>
      <c r="K46" s="146" t="str">
        <f aca="false">IF(ISBLANK(E46),"",(0.000824493-(0.0000040899*E46)+(0.000000076438*E46^2)-(0.00000000082467*E46^3)+(0.0000000000053875*E46^4)))</f>
        <v/>
      </c>
      <c r="L46" s="146" t="str">
        <f aca="false">IF(ISBLANK(E46),"",(-0.00000572466+(0.00000010227*E46)-(0.0000000016546*E46^2)))</f>
        <v/>
      </c>
      <c r="M46" s="146" t="str">
        <f aca="false">IF(ISBLANK(E46),"",IF(ISBLANK(G46),(O46+(K46*35)+(L46*35^1.5)+(0.00000048314*35^2)),(O46+(K46*G46)+(L46*G46^1.5)+(0.00000048314*G46^2))))</f>
        <v/>
      </c>
      <c r="N46" s="147" t="str">
        <f aca="false">IF(ISBLANK(D46),"",IF(ISBLANK(G46),J46*(1+0.00001*(35-20)),J46*(1+0.00001*(G46-20))))</f>
        <v/>
      </c>
      <c r="O46" s="146" t="str">
        <f aca="false">IF(ISBLANK(E46),"",(0.999842594+(0.00006793952*E46)-(0.00000909529*E46^2)+(0.0000001001685*E46^3)-(0.000000001120083*E46^4)+(0.000000000006536332*E46^5)))</f>
        <v/>
      </c>
      <c r="P46" s="148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49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0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0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24"/>
      <c r="U46" s="124"/>
      <c r="V46" s="124"/>
      <c r="W46" s="124"/>
      <c r="X46" s="124"/>
      <c r="Y46" s="124"/>
      <c r="Z46" s="124"/>
      <c r="AA46" s="124"/>
      <c r="AB46" s="124"/>
      <c r="AC46" s="124"/>
      <c r="AD46" s="124"/>
      <c r="AE46" s="124"/>
      <c r="AF46" s="124"/>
      <c r="AG46" s="124"/>
      <c r="AH46" s="124"/>
      <c r="AI46" s="124"/>
      <c r="AJ46" s="124"/>
      <c r="AK46" s="124"/>
      <c r="AL46" s="124"/>
      <c r="AM46" s="124"/>
      <c r="AN46" s="124"/>
      <c r="AO46" s="124"/>
      <c r="AP46" s="124"/>
      <c r="AQ46" s="124"/>
      <c r="AR46" s="124"/>
      <c r="AS46" s="124"/>
      <c r="AT46" s="124"/>
      <c r="AU46" s="124"/>
      <c r="AV46" s="124"/>
      <c r="AW46" s="124"/>
      <c r="AX46" s="124"/>
      <c r="AY46" s="124"/>
      <c r="AZ46" s="124"/>
      <c r="BA46" s="124"/>
      <c r="BB46" s="136"/>
    </row>
    <row r="47" customFormat="false" ht="15.6" hidden="false" customHeight="false" outlineLevel="0" collapsed="false">
      <c r="A47" s="111" t="n">
        <f aca="false">IF(ISBLANK(VLOOKUP(D47,#REF!,3)),0,1)</f>
        <v>1</v>
      </c>
      <c r="B47" s="112" t="n">
        <f aca="false">IF(ISBLANK(D47),0,IF(ISBLANK(E47),0,IF(ISBLANK(F47),0,1)))</f>
        <v>0</v>
      </c>
      <c r="C47" s="128" t="n">
        <v>13</v>
      </c>
      <c r="D47" s="151"/>
      <c r="E47" s="151"/>
      <c r="F47" s="152"/>
      <c r="G47" s="153"/>
      <c r="H47" s="151"/>
      <c r="I47" s="151"/>
      <c r="J47" s="132" t="str">
        <f aca="false">IF(ISBLANK(D47),"",IF(VLOOKUP(D47,#REF!,2)=0,"",IF(D47&gt;#REF!,"Mauvais numéro",IF(D47&lt;#REF!,"Mauvais numéro",(VLOOKUP(D47,#REF!,3))))))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54"/>
      <c r="Q47" s="149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5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4"/>
      <c r="T47" s="124"/>
      <c r="U47" s="124"/>
      <c r="V47" s="124"/>
      <c r="W47" s="124"/>
      <c r="X47" s="12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24"/>
      <c r="AJ47" s="124"/>
      <c r="AK47" s="124"/>
      <c r="AL47" s="124"/>
      <c r="AM47" s="124"/>
      <c r="AN47" s="124"/>
      <c r="AO47" s="124"/>
      <c r="AP47" s="124"/>
      <c r="AQ47" s="124"/>
      <c r="AR47" s="124"/>
      <c r="AS47" s="124"/>
      <c r="AT47" s="124"/>
      <c r="AU47" s="124"/>
      <c r="AV47" s="124"/>
      <c r="AW47" s="124"/>
      <c r="AX47" s="124"/>
      <c r="AY47" s="124"/>
      <c r="AZ47" s="124"/>
      <c r="BA47" s="124"/>
      <c r="BB47" s="136"/>
    </row>
    <row r="48" customFormat="false" ht="15.6" hidden="false" customHeight="false" outlineLevel="0" collapsed="false">
      <c r="A48" s="111" t="n">
        <f aca="false">IF(ISBLANK(VLOOKUP(D48,#REF!,3)),0,1)</f>
        <v>1</v>
      </c>
      <c r="B48" s="112" t="n">
        <f aca="false">IF(ISBLANK(D48),0,IF(ISBLANK(E48),0,IF(ISBLANK(F48),0,1)))</f>
        <v>0</v>
      </c>
      <c r="C48" s="128" t="n">
        <v>14</v>
      </c>
      <c r="D48" s="151"/>
      <c r="E48" s="151"/>
      <c r="F48" s="152"/>
      <c r="G48" s="153"/>
      <c r="H48" s="151"/>
      <c r="I48" s="151"/>
      <c r="J48" s="132" t="str">
        <f aca="false">IF(ISBLANK(D48),"",IF(VLOOKUP(D48,#REF!,2)=0,"",IF(D48&gt;#REF!,"Mauvais numéro",IF(D48&lt;#REF!,"Mauvais numéro",(VLOOKUP(D48,#REF!,3))))))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54"/>
      <c r="Q48" s="149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5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4"/>
      <c r="T48" s="124"/>
      <c r="U48" s="124"/>
      <c r="V48" s="124"/>
      <c r="W48" s="124"/>
      <c r="X48" s="124"/>
      <c r="Y48" s="124"/>
      <c r="Z48" s="124"/>
      <c r="AA48" s="124"/>
      <c r="AB48" s="124"/>
      <c r="AC48" s="124"/>
      <c r="AD48" s="124"/>
      <c r="AE48" s="124"/>
      <c r="AF48" s="124"/>
      <c r="AG48" s="124"/>
      <c r="AH48" s="124"/>
      <c r="AI48" s="124"/>
      <c r="AJ48" s="124"/>
      <c r="AK48" s="124"/>
      <c r="AL48" s="124"/>
      <c r="AM48" s="124"/>
      <c r="AN48" s="124"/>
      <c r="AO48" s="124"/>
      <c r="AP48" s="124"/>
      <c r="AQ48" s="124"/>
      <c r="AR48" s="124"/>
      <c r="AS48" s="124"/>
      <c r="AT48" s="124"/>
      <c r="AU48" s="124"/>
      <c r="AV48" s="124"/>
      <c r="AW48" s="124"/>
      <c r="AX48" s="124"/>
      <c r="AY48" s="124"/>
      <c r="AZ48" s="124"/>
      <c r="BA48" s="124"/>
      <c r="BB48" s="136"/>
    </row>
    <row r="49" customFormat="false" ht="15.6" hidden="false" customHeight="false" outlineLevel="0" collapsed="false">
      <c r="A49" s="111" t="n">
        <f aca="false">IF(ISBLANK(VLOOKUP(D49,#REF!,3)),0,1)</f>
        <v>1</v>
      </c>
      <c r="B49" s="112" t="n">
        <f aca="false">IF(ISBLANK(D49),0,IF(ISBLANK(E49),0,IF(ISBLANK(F49),0,1)))</f>
        <v>0</v>
      </c>
      <c r="C49" s="128" t="n">
        <v>15</v>
      </c>
      <c r="D49" s="151"/>
      <c r="E49" s="151"/>
      <c r="F49" s="152"/>
      <c r="G49" s="156"/>
      <c r="H49" s="151"/>
      <c r="I49" s="151"/>
      <c r="J49" s="132" t="str">
        <f aca="false">IF(ISBLANK(D49),"",IF(VLOOKUP(D49,#REF!,2)=0,"",IF(D49&gt;#REF!,"Mauvais numéro",IF(D49&lt;#REF!,"Mauvais numéro",(VLOOKUP(D49,#REF!,3))))))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57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49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24"/>
      <c r="AE49" s="124"/>
      <c r="AF49" s="124"/>
      <c r="AG49" s="124"/>
      <c r="AH49" s="124"/>
      <c r="AI49" s="124"/>
      <c r="AJ49" s="124"/>
      <c r="AK49" s="124"/>
      <c r="AL49" s="124"/>
      <c r="AM49" s="124"/>
      <c r="AN49" s="124"/>
      <c r="AO49" s="124"/>
      <c r="AP49" s="124"/>
      <c r="AQ49" s="124"/>
      <c r="AR49" s="124"/>
      <c r="AS49" s="124"/>
      <c r="AT49" s="124"/>
      <c r="AU49" s="124"/>
      <c r="AV49" s="124"/>
      <c r="AW49" s="124"/>
      <c r="AX49" s="124"/>
      <c r="AY49" s="124"/>
      <c r="AZ49" s="124"/>
      <c r="BA49" s="124"/>
      <c r="BB49" s="136"/>
    </row>
    <row r="50" customFormat="false" ht="15.6" hidden="false" customHeight="false" outlineLevel="0" collapsed="false">
      <c r="A50" s="111" t="n">
        <f aca="false">IF(ISBLANK(VLOOKUP(D50,#REF!,3)),0,1)</f>
        <v>1</v>
      </c>
      <c r="B50" s="112" t="n">
        <f aca="false">IF(ISBLANK(D50),0,IF(ISBLANK(E50),0,IF(ISBLANK(F50),0,1)))</f>
        <v>0</v>
      </c>
      <c r="C50" s="128" t="n">
        <v>16</v>
      </c>
      <c r="D50" s="151"/>
      <c r="E50" s="151"/>
      <c r="F50" s="152"/>
      <c r="G50" s="156"/>
      <c r="H50" s="151"/>
      <c r="I50" s="151"/>
      <c r="J50" s="132" t="str">
        <f aca="false">IF(ISBLANK(D50),"",IF(VLOOKUP(D50,#REF!,2)=0,"",IF(D50&gt;#REF!,"Mauvais numéro",IF(D50&lt;#REF!,"Mauvais numéro",(VLOOKUP(D50,#REF!,3))))))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57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49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24"/>
      <c r="U50" s="124"/>
      <c r="V50" s="124"/>
      <c r="W50" s="124"/>
      <c r="X50" s="124"/>
      <c r="Y50" s="124"/>
      <c r="Z50" s="124"/>
      <c r="AA50" s="124"/>
      <c r="AB50" s="124"/>
      <c r="AC50" s="124"/>
      <c r="AD50" s="124"/>
      <c r="AE50" s="124"/>
      <c r="AF50" s="124"/>
      <c r="AG50" s="124"/>
      <c r="AH50" s="124"/>
      <c r="AI50" s="124"/>
      <c r="AJ50" s="124"/>
      <c r="AK50" s="124"/>
      <c r="AL50" s="124"/>
      <c r="AM50" s="124"/>
      <c r="AN50" s="124"/>
      <c r="AO50" s="124"/>
      <c r="AP50" s="124"/>
      <c r="AQ50" s="124"/>
      <c r="AR50" s="124"/>
      <c r="AS50" s="124"/>
      <c r="AT50" s="124"/>
      <c r="AU50" s="124"/>
      <c r="AV50" s="124"/>
      <c r="AW50" s="124"/>
      <c r="AX50" s="124"/>
      <c r="AY50" s="124"/>
      <c r="AZ50" s="124"/>
      <c r="BA50" s="124"/>
      <c r="BB50" s="136"/>
    </row>
    <row r="51" customFormat="false" ht="15.6" hidden="false" customHeight="false" outlineLevel="0" collapsed="false">
      <c r="A51" s="111" t="n">
        <f aca="false">IF(ISBLANK(VLOOKUP(D51,#REF!,3)),0,1)</f>
        <v>1</v>
      </c>
      <c r="B51" s="112" t="n">
        <f aca="false">IF(ISBLANK(D51),0,IF(ISBLANK(E51),0,IF(ISBLANK(F51),0,1)))</f>
        <v>0</v>
      </c>
      <c r="C51" s="128" t="n">
        <v>17</v>
      </c>
      <c r="D51" s="151"/>
      <c r="E51" s="151"/>
      <c r="F51" s="152"/>
      <c r="G51" s="156"/>
      <c r="H51" s="151"/>
      <c r="I51" s="151"/>
      <c r="J51" s="132" t="str">
        <f aca="false">IF(ISBLANK(D51),"",IF(VLOOKUP(D51,#REF!,2)=0,"",IF(D51&gt;#REF!,"Mauvais numéro",IF(D51&lt;#REF!,"Mauvais numéro",(VLOOKUP(D51,#REF!,3))))))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57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49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24"/>
      <c r="AE51" s="124"/>
      <c r="AF51" s="124"/>
      <c r="AG51" s="124"/>
      <c r="AH51" s="124"/>
      <c r="AI51" s="124"/>
      <c r="AJ51" s="124"/>
      <c r="AK51" s="124"/>
      <c r="AL51" s="124"/>
      <c r="AM51" s="124"/>
      <c r="AN51" s="124"/>
      <c r="AO51" s="124"/>
      <c r="AP51" s="124"/>
      <c r="AQ51" s="124"/>
      <c r="AR51" s="124"/>
      <c r="AS51" s="124"/>
      <c r="AT51" s="124"/>
      <c r="AU51" s="124"/>
      <c r="AV51" s="124"/>
      <c r="AW51" s="124"/>
      <c r="AX51" s="124"/>
      <c r="AY51" s="124"/>
      <c r="AZ51" s="124"/>
      <c r="BA51" s="124"/>
      <c r="BB51" s="136"/>
    </row>
    <row r="52" customFormat="false" ht="15.6" hidden="false" customHeight="false" outlineLevel="0" collapsed="false">
      <c r="A52" s="111" t="n">
        <f aca="false">IF(ISBLANK(VLOOKUP(D52,#REF!,3)),0,1)</f>
        <v>1</v>
      </c>
      <c r="B52" s="112" t="n">
        <f aca="false">IF(ISBLANK(D52),0,IF(ISBLANK(E52),0,IF(ISBLANK(F52),0,1)))</f>
        <v>0</v>
      </c>
      <c r="C52" s="128" t="n">
        <v>18</v>
      </c>
      <c r="D52" s="151"/>
      <c r="E52" s="151"/>
      <c r="F52" s="152"/>
      <c r="G52" s="156"/>
      <c r="H52" s="151"/>
      <c r="I52" s="151"/>
      <c r="J52" s="132" t="str">
        <f aca="false">IF(ISBLANK(D52),"",IF(VLOOKUP(D52,#REF!,2)=0,"",IF(D52&gt;#REF!,"Mauvais numéro",IF(D52&lt;#REF!,"Mauvais numéro",(VLOOKUP(D52,#REF!,3))))))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57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49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24"/>
      <c r="U52" s="124"/>
      <c r="V52" s="124"/>
      <c r="W52" s="124"/>
      <c r="X52" s="124"/>
      <c r="Y52" s="124"/>
      <c r="Z52" s="124"/>
      <c r="AA52" s="124"/>
      <c r="AB52" s="124"/>
      <c r="AC52" s="124"/>
      <c r="AD52" s="124"/>
      <c r="AE52" s="124"/>
      <c r="AF52" s="124"/>
      <c r="AG52" s="124"/>
      <c r="AH52" s="124"/>
      <c r="AI52" s="124"/>
      <c r="AJ52" s="124"/>
      <c r="AK52" s="124"/>
      <c r="AL52" s="124"/>
      <c r="AM52" s="124"/>
      <c r="AN52" s="124"/>
      <c r="AO52" s="124"/>
      <c r="AP52" s="124"/>
      <c r="AQ52" s="124"/>
      <c r="AR52" s="124"/>
      <c r="AS52" s="124"/>
      <c r="AT52" s="124"/>
      <c r="AU52" s="124"/>
      <c r="AV52" s="124"/>
      <c r="AW52" s="124"/>
      <c r="AX52" s="124"/>
      <c r="AY52" s="124"/>
      <c r="AZ52" s="124"/>
      <c r="BA52" s="124"/>
      <c r="BB52" s="136"/>
    </row>
    <row r="53" customFormat="false" ht="15.6" hidden="false" customHeight="false" outlineLevel="0" collapsed="false">
      <c r="A53" s="111" t="n">
        <f aca="false">IF(ISBLANK(VLOOKUP(D53,#REF!,3)),0,1)</f>
        <v>1</v>
      </c>
      <c r="B53" s="112" t="n">
        <f aca="false">IF(ISBLANK(D53),0,IF(ISBLANK(E53),0,IF(ISBLANK(F53),0,1)))</f>
        <v>0</v>
      </c>
      <c r="C53" s="128" t="n">
        <v>19</v>
      </c>
      <c r="D53" s="151"/>
      <c r="E53" s="151"/>
      <c r="F53" s="152"/>
      <c r="G53" s="156"/>
      <c r="H53" s="151"/>
      <c r="I53" s="151"/>
      <c r="J53" s="132" t="str">
        <f aca="false">IF(ISBLANK(D53),"",IF(VLOOKUP(D53,#REF!,2)=0,"",IF(D53&gt;#REF!,"Mauvais numéro",IF(D53&lt;#REF!,"Mauvais numéro",(VLOOKUP(D53,#REF!,3))))))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57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49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24"/>
      <c r="U53" s="124"/>
      <c r="V53" s="124"/>
      <c r="W53" s="124"/>
      <c r="X53" s="12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24"/>
      <c r="AJ53" s="124"/>
      <c r="AK53" s="124"/>
      <c r="AL53" s="124"/>
      <c r="AM53" s="124"/>
      <c r="AN53" s="124"/>
      <c r="AO53" s="124"/>
      <c r="AP53" s="124"/>
      <c r="AQ53" s="124"/>
      <c r="AR53" s="124"/>
      <c r="AS53" s="124"/>
      <c r="AT53" s="124"/>
      <c r="AU53" s="124"/>
      <c r="AV53" s="124"/>
      <c r="AW53" s="124"/>
      <c r="AX53" s="124"/>
      <c r="AY53" s="124"/>
      <c r="AZ53" s="124"/>
      <c r="BA53" s="124"/>
      <c r="BB53" s="136"/>
    </row>
    <row r="54" customFormat="false" ht="15.6" hidden="false" customHeight="false" outlineLevel="0" collapsed="false">
      <c r="A54" s="111" t="n">
        <f aca="false">IF(ISBLANK(VLOOKUP(D54,#REF!,3)),0,1)</f>
        <v>1</v>
      </c>
      <c r="B54" s="112" t="n">
        <f aca="false">IF(ISBLANK(D54),0,IF(ISBLANK(E54),0,IF(ISBLANK(F54),0,1)))</f>
        <v>0</v>
      </c>
      <c r="C54" s="128" t="n">
        <v>20</v>
      </c>
      <c r="D54" s="151"/>
      <c r="E54" s="151"/>
      <c r="F54" s="152"/>
      <c r="G54" s="156"/>
      <c r="H54" s="151"/>
      <c r="I54" s="151"/>
      <c r="J54" s="132" t="str">
        <f aca="false">IF(ISBLANK(D54),"",IF(VLOOKUP(D54,#REF!,2)=0,"",IF(D54&gt;#REF!,"Mauvais numéro",IF(D54&lt;#REF!,"Mauvais numéro",(VLOOKUP(D54,#REF!,3))))))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57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49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4"/>
      <c r="U54" s="124"/>
      <c r="V54" s="124"/>
      <c r="W54" s="124"/>
      <c r="X54" s="124"/>
      <c r="Y54" s="124"/>
      <c r="Z54" s="124"/>
      <c r="AA54" s="124"/>
      <c r="AB54" s="124"/>
      <c r="AC54" s="124"/>
      <c r="AD54" s="124"/>
      <c r="AE54" s="124"/>
      <c r="AF54" s="124"/>
      <c r="AG54" s="124"/>
      <c r="AH54" s="124"/>
      <c r="AI54" s="124"/>
      <c r="AJ54" s="124"/>
      <c r="AK54" s="124"/>
      <c r="AL54" s="124"/>
      <c r="AM54" s="124"/>
      <c r="AN54" s="124"/>
      <c r="AO54" s="124"/>
      <c r="AP54" s="124"/>
      <c r="AQ54" s="124"/>
      <c r="AR54" s="124"/>
      <c r="AS54" s="124"/>
      <c r="AT54" s="124"/>
      <c r="AU54" s="124"/>
      <c r="AV54" s="124"/>
      <c r="AW54" s="124"/>
      <c r="AX54" s="124"/>
      <c r="AY54" s="124"/>
      <c r="AZ54" s="124"/>
      <c r="BA54" s="124"/>
      <c r="BB54" s="136"/>
    </row>
    <row r="55" customFormat="false" ht="15.6" hidden="false" customHeight="false" outlineLevel="0" collapsed="false">
      <c r="A55" s="111" t="n">
        <f aca="false">IF(ISBLANK(VLOOKUP(D55,#REF!,3)),0,1)</f>
        <v>1</v>
      </c>
      <c r="B55" s="112" t="n">
        <f aca="false">IF(ISBLANK(D55),0,IF(ISBLANK(E55),0,IF(ISBLANK(F55),0,1)))</f>
        <v>0</v>
      </c>
      <c r="C55" s="128" t="n">
        <v>21</v>
      </c>
      <c r="D55" s="151"/>
      <c r="E55" s="151"/>
      <c r="F55" s="152"/>
      <c r="G55" s="156"/>
      <c r="H55" s="151"/>
      <c r="I55" s="151"/>
      <c r="J55" s="132" t="str">
        <f aca="false">IF(ISBLANK(D55),"",IF(VLOOKUP(D55,#REF!,2)=0,"",IF(D55&gt;#REF!,"Mauvais numéro",IF(D55&lt;#REF!,"Mauvais numéro",(VLOOKUP(D55,#REF!,3))))))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57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49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24"/>
      <c r="U55" s="124"/>
      <c r="V55" s="124"/>
      <c r="W55" s="124"/>
      <c r="X55" s="124"/>
      <c r="Y55" s="124"/>
      <c r="Z55" s="124"/>
      <c r="AA55" s="124"/>
      <c r="AB55" s="124"/>
      <c r="AC55" s="124"/>
      <c r="AD55" s="124"/>
      <c r="AE55" s="124"/>
      <c r="AF55" s="124"/>
      <c r="AG55" s="124"/>
      <c r="AH55" s="124"/>
      <c r="AI55" s="124"/>
      <c r="AJ55" s="124"/>
      <c r="AK55" s="124"/>
      <c r="AL55" s="124"/>
      <c r="AM55" s="124"/>
      <c r="AN55" s="124"/>
      <c r="AO55" s="124"/>
      <c r="AP55" s="124"/>
      <c r="AQ55" s="124"/>
      <c r="AR55" s="124"/>
      <c r="AS55" s="124"/>
      <c r="AT55" s="124"/>
      <c r="AU55" s="124"/>
      <c r="AV55" s="124"/>
      <c r="AW55" s="124"/>
      <c r="AX55" s="124"/>
      <c r="AY55" s="124"/>
      <c r="AZ55" s="124"/>
      <c r="BA55" s="124"/>
      <c r="BB55" s="136"/>
    </row>
    <row r="56" customFormat="false" ht="15.6" hidden="false" customHeight="false" outlineLevel="0" collapsed="false">
      <c r="A56" s="111" t="n">
        <f aca="false">IF(ISBLANK(VLOOKUP(D56,#REF!,3)),0,1)</f>
        <v>1</v>
      </c>
      <c r="B56" s="112" t="n">
        <f aca="false">IF(ISBLANK(D56),0,IF(ISBLANK(E56),0,IF(ISBLANK(F56),0,1)))</f>
        <v>0</v>
      </c>
      <c r="C56" s="128" t="n">
        <v>22</v>
      </c>
      <c r="D56" s="151"/>
      <c r="E56" s="151"/>
      <c r="F56" s="152"/>
      <c r="G56" s="156"/>
      <c r="H56" s="151"/>
      <c r="I56" s="151"/>
      <c r="J56" s="132" t="str">
        <f aca="false">IF(ISBLANK(D56),"",IF(VLOOKUP(D56,#REF!,2)=0,"",IF(D56&gt;#REF!,"Mauvais numéro",IF(D56&lt;#REF!,"Mauvais numéro",(VLOOKUP(D56,#REF!,3))))))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57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49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24"/>
      <c r="AE56" s="124"/>
      <c r="AF56" s="124"/>
      <c r="AG56" s="124"/>
      <c r="AH56" s="124"/>
      <c r="AI56" s="124"/>
      <c r="AJ56" s="124"/>
      <c r="AK56" s="124"/>
      <c r="AL56" s="124"/>
      <c r="AM56" s="124"/>
      <c r="AN56" s="124"/>
      <c r="AO56" s="124"/>
      <c r="AP56" s="124"/>
      <c r="AQ56" s="124"/>
      <c r="AR56" s="124"/>
      <c r="AS56" s="124"/>
      <c r="AT56" s="124"/>
      <c r="AU56" s="124"/>
      <c r="AV56" s="124"/>
      <c r="AW56" s="124"/>
      <c r="AX56" s="124"/>
      <c r="AY56" s="124"/>
      <c r="AZ56" s="124"/>
      <c r="BA56" s="124"/>
      <c r="BB56" s="136"/>
    </row>
    <row r="57" customFormat="false" ht="15.6" hidden="false" customHeight="false" outlineLevel="0" collapsed="false">
      <c r="A57" s="111" t="n">
        <f aca="false">IF(ISBLANK(VLOOKUP(D57,#REF!,3)),0,1)</f>
        <v>1</v>
      </c>
      <c r="B57" s="112" t="n">
        <f aca="false">IF(ISBLANK(D57),0,IF(ISBLANK(E57),0,IF(ISBLANK(F57),0,1)))</f>
        <v>0</v>
      </c>
      <c r="C57" s="128" t="n">
        <v>23</v>
      </c>
      <c r="D57" s="151"/>
      <c r="E57" s="151"/>
      <c r="F57" s="152"/>
      <c r="G57" s="156"/>
      <c r="H57" s="151"/>
      <c r="I57" s="151"/>
      <c r="J57" s="132" t="str">
        <f aca="false">IF(ISBLANK(D57),"",IF(VLOOKUP(D57,#REF!,2)=0,"",IF(D57&gt;#REF!,"Mauvais numéro",IF(D57&lt;#REF!,"Mauvais numéro",(VLOOKUP(D57,#REF!,3))))))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57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49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4"/>
      <c r="U57" s="124"/>
      <c r="V57" s="124"/>
      <c r="W57" s="124"/>
      <c r="X57" s="124"/>
      <c r="Y57" s="124"/>
      <c r="Z57" s="124"/>
      <c r="AA57" s="124"/>
      <c r="AB57" s="124"/>
      <c r="AC57" s="124"/>
      <c r="AD57" s="124"/>
      <c r="AE57" s="124"/>
      <c r="AF57" s="124"/>
      <c r="AG57" s="124"/>
      <c r="AH57" s="124"/>
      <c r="AI57" s="124"/>
      <c r="AJ57" s="124"/>
      <c r="AK57" s="124"/>
      <c r="AL57" s="124"/>
      <c r="AM57" s="124"/>
      <c r="AN57" s="124"/>
      <c r="AO57" s="124"/>
      <c r="AP57" s="124"/>
      <c r="AQ57" s="124"/>
      <c r="AR57" s="124"/>
      <c r="AS57" s="124"/>
      <c r="AT57" s="124"/>
      <c r="AU57" s="124"/>
      <c r="AV57" s="124"/>
      <c r="AW57" s="124"/>
      <c r="AX57" s="124"/>
      <c r="AY57" s="124"/>
      <c r="AZ57" s="124"/>
      <c r="BA57" s="124"/>
      <c r="BB57" s="136"/>
    </row>
    <row r="58" customFormat="false" ht="16.2" hidden="false" customHeight="false" outlineLevel="0" collapsed="false">
      <c r="A58" s="111" t="n">
        <f aca="false">IF(ISBLANK(VLOOKUP(D58,#REF!,3)),0,1)</f>
        <v>1</v>
      </c>
      <c r="B58" s="112" t="n">
        <f aca="false">IF(ISBLANK(D58),0,IF(ISBLANK(E58),0,IF(ISBLANK(F58),0,1)))</f>
        <v>0</v>
      </c>
      <c r="C58" s="158" t="n">
        <v>24</v>
      </c>
      <c r="D58" s="159"/>
      <c r="E58" s="159"/>
      <c r="F58" s="160"/>
      <c r="G58" s="161"/>
      <c r="H58" s="159"/>
      <c r="I58" s="159"/>
      <c r="J58" s="162" t="str">
        <f aca="false">IF(ISBLANK(D58),"",IF(VLOOKUP(D58,#REF!,2)=0,"",IF(D58&gt;#REF!,"Mauvais numéro",IF(D58&lt;#REF!,"Mauvais numéro",(VLOOKUP(D58,#REF!,3))))))</f>
        <v/>
      </c>
      <c r="K58" s="163" t="str">
        <f aca="false">IF(ISBLANK(E58),"",(0.000824493-(0.0000040899*E58)+(0.000000076438*E58^2)-(0.00000000082467*E58^3)+(0.0000000000053875*E58^4)))</f>
        <v/>
      </c>
      <c r="L58" s="163" t="str">
        <f aca="false">IF(ISBLANK(E58),"",(-0.00000572466+(0.00000010227*E58)-(0.0000000016546*E58^2)))</f>
        <v/>
      </c>
      <c r="M58" s="163" t="str">
        <f aca="false">IF(ISBLANK(E58),"",IF(ISBLANK(G58),(O58+(K58*35)+(L58*35^1.5)+(0.00000048314*35^2)),(O58+(K58*G58)+(L58*G58^1.5)+(0.00000048314*G58^2))))</f>
        <v/>
      </c>
      <c r="N58" s="164" t="str">
        <f aca="false">IF(ISBLANK(D58),"",IF(ISBLANK(G58),J58*(1+0.00001*(35-20)),J58*(1+0.00001*(G58-20))))</f>
        <v/>
      </c>
      <c r="O58" s="163" t="str">
        <f aca="false">IF(ISBLANK(E58),"",(0.999842594+(0.00006793952*E58)-(0.00000909529*E58^2)+(0.0000001001685*E58^3)-(0.000000001120083*E58^4)+(0.000000000006536332*E58^5)))</f>
        <v/>
      </c>
      <c r="P58" s="165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66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7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7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68"/>
      <c r="U58" s="168"/>
      <c r="V58" s="168"/>
      <c r="W58" s="168"/>
      <c r="X58" s="168"/>
      <c r="Y58" s="168"/>
      <c r="Z58" s="168"/>
      <c r="AA58" s="168"/>
      <c r="AB58" s="168"/>
      <c r="AC58" s="168"/>
      <c r="AD58" s="168"/>
      <c r="AE58" s="168"/>
      <c r="AF58" s="168"/>
      <c r="AG58" s="168"/>
      <c r="AH58" s="168"/>
      <c r="AI58" s="168"/>
      <c r="AJ58" s="168"/>
      <c r="AK58" s="168"/>
      <c r="AL58" s="168"/>
      <c r="AM58" s="168"/>
      <c r="AN58" s="168"/>
      <c r="AO58" s="168"/>
      <c r="AP58" s="168"/>
      <c r="AQ58" s="168"/>
      <c r="AR58" s="168"/>
      <c r="AS58" s="168"/>
      <c r="AT58" s="168"/>
      <c r="AU58" s="168"/>
      <c r="AV58" s="168"/>
      <c r="AW58" s="168"/>
      <c r="AX58" s="168"/>
      <c r="AY58" s="168"/>
      <c r="AZ58" s="168"/>
      <c r="BA58" s="168"/>
      <c r="BB58" s="169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T1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8178137651822"/>
    <col collapsed="false" hidden="false" max="32" min="32" style="0" width="9.10526315789474"/>
    <col collapsed="false" hidden="false" max="33" min="33" style="0" width="26.5668016194332"/>
    <col collapsed="false" hidden="false" max="34" min="34" style="0" width="12.8542510121458"/>
    <col collapsed="false" hidden="false" max="35" min="35" style="0" width="11.3562753036437"/>
    <col collapsed="false" hidden="false" max="36" min="36" style="0" width="14.5668016194332"/>
    <col collapsed="false" hidden="false" max="37" min="37" style="0" width="12.2105263157895"/>
    <col collapsed="false" hidden="false" max="38" min="38" style="0" width="26.995951417004"/>
    <col collapsed="false" hidden="false" max="39" min="39" style="0" width="14.6761133603239"/>
    <col collapsed="false" hidden="false" max="40" min="40" style="0" width="11.3562753036437"/>
    <col collapsed="false" hidden="false" max="41" min="41" style="0" width="12.5344129554656"/>
    <col collapsed="false" hidden="false" max="42" min="42" style="0" width="10.7125506072875"/>
    <col collapsed="false" hidden="false" max="43" min="43" style="0" width="6.31983805668016"/>
    <col collapsed="false" hidden="false" max="44" min="44" style="0" width="19.7085020242915"/>
    <col collapsed="false" hidden="false" max="45" min="45" style="0" width="13.0688259109312"/>
    <col collapsed="false" hidden="false" max="46" min="46" style="0" width="17.7813765182186"/>
    <col collapsed="false" hidden="false" max="47" min="47" style="0" width="14.6761133603239"/>
    <col collapsed="false" hidden="false" max="48" min="48" style="0" width="13.6032388663968"/>
    <col collapsed="false" hidden="false" max="49" min="49" style="0" width="13.7125506072874"/>
    <col collapsed="false" hidden="false" max="50" min="50" style="0" width="19.9230769230769"/>
    <col collapsed="false" hidden="false" max="51" min="51" style="0" width="13.2834008097166"/>
    <col collapsed="false" hidden="false" max="52" min="52" style="0" width="17.6761133603239"/>
    <col collapsed="false" hidden="false" max="53" min="53" style="0" width="13.3886639676113"/>
    <col collapsed="false" hidden="false" max="54" min="54" style="0" width="12.6396761133603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9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38541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9</v>
      </c>
      <c r="J9" s="29" t="n">
        <v>0.15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-9°0,15</v>
      </c>
      <c r="P9" s="29" t="s">
        <v>15</v>
      </c>
      <c r="Q9" s="33" t="n">
        <f aca="false">IF(ISBLANK(I9),"",IF(ISBLANK(J9),"",IF(J9&gt;60,"ERREUR !!",O11*(I9+(J9/60)))))</f>
        <v>-9.0025</v>
      </c>
      <c r="R9" s="33"/>
    </row>
    <row r="10" customFormat="false" ht="15" hidden="false" customHeight="true" outlineLevel="0" collapsed="false">
      <c r="C10" s="21"/>
      <c r="D10" s="18"/>
      <c r="G10" s="27" t="s">
        <v>16</v>
      </c>
      <c r="H10" s="27"/>
      <c r="I10" s="28" t="n">
        <v>10</v>
      </c>
      <c r="J10" s="29" t="n">
        <v>0.09</v>
      </c>
      <c r="K10" s="30" t="s">
        <v>12</v>
      </c>
      <c r="L10" s="31" t="str">
        <f aca="false">IF(P10=N9,"+","-")</f>
        <v>-</v>
      </c>
      <c r="M10" s="30" t="s">
        <v>15</v>
      </c>
      <c r="N10" s="30" t="s">
        <v>17</v>
      </c>
      <c r="O10" s="34" t="str">
        <f aca="false">IF(ISBLANK(I10),"",IF(ISBLANK(J10),"",IF(P10=N10,L10&amp;N12,N12)))</f>
        <v>-10°0,09</v>
      </c>
      <c r="P10" s="29" t="s">
        <v>17</v>
      </c>
      <c r="Q10" s="33" t="n">
        <f aca="false">IF(ISBLANK(I10),"",IF(ISBLANK(J10),"",IF(J10&gt;60,"ERREUR !!",O12*(I10+(J10/60)))))</f>
        <v>-10.0015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38541</v>
      </c>
      <c r="K11" s="38"/>
      <c r="L11" s="38"/>
      <c r="M11" s="38"/>
      <c r="N11" s="39" t="str">
        <f aca="false">I9&amp;"°"&amp;J9</f>
        <v>9°0,15</v>
      </c>
      <c r="O11" s="40" t="n">
        <f aca="false">IF(P9=M10,-1,1)</f>
        <v>-1</v>
      </c>
      <c r="P11" s="41" t="str">
        <f aca="false">TEXT(J11,"aaaa-mm-jj")&amp;"T"&amp;TEXT(J12,"hh:mm:ss")&amp;"z"</f>
        <v>2009-07-09T09:45:00z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0.40625</v>
      </c>
      <c r="K12" s="45"/>
      <c r="L12" s="45"/>
      <c r="M12" s="45"/>
      <c r="N12" s="46" t="str">
        <f aca="false">I10&amp;"°"&amp;J10</f>
        <v>10°0,09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e">
        <f aca="false">$P$24*($P$18/#REF!)</f>
        <v>#REF!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e">
        <f aca="false">5+#REF!</f>
        <v>#REF!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e">
        <f aca="false">P20*(1+0.00001*(R14-20))</f>
        <v>#REF!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e">
        <f aca="false">MAX(#REF!)</f>
        <v>#VALUE!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e">
        <f aca="false">2+(#REF!+#REF!)</f>
        <v>#REF!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52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53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178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178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IF(ISBLANK(VLOOKUP(D35,#REF!,3)),0,1)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n">
        <v>34.9367</v>
      </c>
      <c r="H35" s="118" t="n">
        <v>2000</v>
      </c>
      <c r="I35" s="119" t="n">
        <v>2002.3</v>
      </c>
      <c r="J35" s="120"/>
      <c r="K35" s="121"/>
      <c r="L35" s="121"/>
      <c r="M35" s="121"/>
      <c r="N35" s="122"/>
      <c r="O35" s="121"/>
      <c r="P35" s="120" t="n">
        <v>5.471</v>
      </c>
      <c r="Q35" s="120"/>
      <c r="R35" s="120"/>
      <c r="S35" s="179" t="n">
        <v>237.7</v>
      </c>
      <c r="T35" s="32" t="n">
        <v>0</v>
      </c>
      <c r="U35" s="32" t="n">
        <v>0</v>
      </c>
      <c r="V35" s="32"/>
      <c r="W35" s="32"/>
      <c r="X35" s="125" t="n">
        <v>22.5</v>
      </c>
      <c r="Y35" s="125" t="n">
        <v>22</v>
      </c>
      <c r="Z35" s="32" t="n">
        <v>1.47</v>
      </c>
      <c r="AA35" s="32" t="n">
        <v>1.44</v>
      </c>
      <c r="AB35" s="125" t="n">
        <v>27</v>
      </c>
      <c r="AC35" s="125" t="n">
        <v>26.4</v>
      </c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7"/>
    </row>
    <row r="36" customFormat="false" ht="15.6" hidden="false" customHeight="false" outlineLevel="0" collapsed="false">
      <c r="A36" s="111" t="n">
        <f aca="false">IF(ISBLANK(VLOOKUP(D36,#REF!,3)),0,1)</f>
        <v>1</v>
      </c>
      <c r="B36" s="112" t="n">
        <f aca="false">IF(ISBLANK(D36),0,IF(ISBLANK(E36),0,IF(ISBLANK(F36),0,1)))</f>
        <v>0</v>
      </c>
      <c r="C36" s="128" t="n">
        <v>2</v>
      </c>
      <c r="D36" s="129"/>
      <c r="E36" s="129"/>
      <c r="F36" s="130"/>
      <c r="G36" s="117" t="n">
        <v>34.5897</v>
      </c>
      <c r="H36" s="131" t="n">
        <v>1000</v>
      </c>
      <c r="I36" s="119" t="n">
        <v>998.8</v>
      </c>
      <c r="J36" s="132"/>
      <c r="K36" s="133"/>
      <c r="L36" s="133"/>
      <c r="M36" s="133"/>
      <c r="N36" s="134"/>
      <c r="O36" s="133"/>
      <c r="P36" s="132" t="n">
        <v>3.633</v>
      </c>
      <c r="Q36" s="132"/>
      <c r="R36" s="132"/>
      <c r="S36" s="125" t="n">
        <v>157.9</v>
      </c>
      <c r="T36" s="32" t="n">
        <v>0</v>
      </c>
      <c r="U36" s="32" t="n">
        <v>0</v>
      </c>
      <c r="V36" s="32"/>
      <c r="W36" s="32"/>
      <c r="X36" s="125" t="n">
        <v>34.3</v>
      </c>
      <c r="Y36" s="125" t="n">
        <v>33.5</v>
      </c>
      <c r="Z36" s="32" t="n">
        <v>2.3</v>
      </c>
      <c r="AA36" s="32" t="n">
        <v>2.25</v>
      </c>
      <c r="AB36" s="125" t="n">
        <v>32.8</v>
      </c>
      <c r="AC36" s="125" t="n">
        <v>32</v>
      </c>
      <c r="AD36" s="124"/>
      <c r="AE36" s="124"/>
      <c r="AF36" s="124"/>
      <c r="AG36" s="124"/>
      <c r="AH36" s="124"/>
      <c r="AI36" s="124"/>
      <c r="AJ36" s="124"/>
      <c r="AK36" s="124"/>
      <c r="AL36" s="124"/>
      <c r="AM36" s="124"/>
      <c r="AN36" s="124"/>
      <c r="AO36" s="124"/>
      <c r="AP36" s="124"/>
      <c r="AQ36" s="124"/>
      <c r="AR36" s="124"/>
      <c r="AS36" s="124"/>
      <c r="AT36" s="124"/>
      <c r="AU36" s="124"/>
      <c r="AV36" s="124"/>
      <c r="AW36" s="124"/>
      <c r="AX36" s="124"/>
      <c r="AY36" s="124"/>
      <c r="AZ36" s="124"/>
      <c r="BA36" s="124"/>
      <c r="BB36" s="136"/>
    </row>
    <row r="37" customFormat="false" ht="16.2" hidden="false" customHeight="false" outlineLevel="0" collapsed="false">
      <c r="A37" s="111" t="n">
        <f aca="false">IF(ISBLANK(VLOOKUP(D37,#REF!,3)),0,1)</f>
        <v>1</v>
      </c>
      <c r="B37" s="112" t="n">
        <f aca="false">IF(ISBLANK(D37),0,IF(ISBLANK(E37),0,IF(ISBLANK(F37),0,1)))</f>
        <v>0</v>
      </c>
      <c r="C37" s="128" t="n">
        <v>3</v>
      </c>
      <c r="D37" s="129"/>
      <c r="E37" s="129"/>
      <c r="F37" s="137"/>
      <c r="G37" s="117" t="n">
        <v>34.6752</v>
      </c>
      <c r="H37" s="131" t="n">
        <v>500</v>
      </c>
      <c r="I37" s="119" t="n">
        <v>500</v>
      </c>
      <c r="J37" s="132"/>
      <c r="K37" s="133"/>
      <c r="L37" s="133"/>
      <c r="M37" s="133"/>
      <c r="N37" s="134"/>
      <c r="O37" s="133"/>
      <c r="P37" s="132" t="n">
        <v>2.129</v>
      </c>
      <c r="Q37" s="132"/>
      <c r="R37" s="132"/>
      <c r="S37" s="125" t="n">
        <v>92.6</v>
      </c>
      <c r="T37" s="32" t="n">
        <v>0</v>
      </c>
      <c r="U37" s="32" t="n">
        <v>0</v>
      </c>
      <c r="V37" s="32"/>
      <c r="W37" s="32"/>
      <c r="X37" s="125" t="n">
        <v>35.9</v>
      </c>
      <c r="Y37" s="125" t="n">
        <v>35</v>
      </c>
      <c r="Z37" s="32" t="n">
        <v>2.27</v>
      </c>
      <c r="AA37" s="32" t="n">
        <v>2.21</v>
      </c>
      <c r="AB37" s="125" t="n">
        <v>18.6</v>
      </c>
      <c r="AC37" s="125" t="n">
        <v>18.2</v>
      </c>
      <c r="AD37" s="124"/>
      <c r="AE37" s="124"/>
      <c r="AF37" s="124"/>
      <c r="AG37" s="124"/>
      <c r="AH37" s="124"/>
      <c r="AI37" s="124"/>
      <c r="AJ37" s="124"/>
      <c r="AK37" s="124"/>
      <c r="AL37" s="124"/>
      <c r="AM37" s="124"/>
      <c r="AN37" s="124"/>
      <c r="AO37" s="124"/>
      <c r="AP37" s="124"/>
      <c r="AQ37" s="124"/>
      <c r="AR37" s="124"/>
      <c r="AS37" s="124"/>
      <c r="AT37" s="124"/>
      <c r="AU37" s="124"/>
      <c r="AV37" s="124"/>
      <c r="AW37" s="124"/>
      <c r="AX37" s="124"/>
      <c r="AY37" s="124"/>
      <c r="AZ37" s="124"/>
      <c r="BA37" s="124"/>
      <c r="BB37" s="136"/>
    </row>
    <row r="38" customFormat="false" ht="15.6" hidden="false" customHeight="false" outlineLevel="0" collapsed="false">
      <c r="A38" s="111" t="n">
        <f aca="false">IF(ISBLANK(VLOOKUP(D38,#REF!,3)),0,1)</f>
        <v>1</v>
      </c>
      <c r="B38" s="112" t="n">
        <f aca="false">IF(ISBLANK(D38),0,IF(ISBLANK(E38),0,IF(ISBLANK(F38),0,1)))</f>
        <v>0</v>
      </c>
      <c r="C38" s="128" t="n">
        <v>4</v>
      </c>
      <c r="D38" s="138"/>
      <c r="E38" s="138"/>
      <c r="F38" s="139"/>
      <c r="G38" s="117" t="n">
        <v>36.2149</v>
      </c>
      <c r="H38" s="131" t="n">
        <v>100</v>
      </c>
      <c r="I38" s="119" t="n">
        <v>101.4</v>
      </c>
      <c r="J38" s="132"/>
      <c r="K38" s="133"/>
      <c r="L38" s="133"/>
      <c r="M38" s="133"/>
      <c r="N38" s="134"/>
      <c r="O38" s="133"/>
      <c r="P38" s="132" t="n">
        <v>4.257</v>
      </c>
      <c r="Q38" s="132"/>
      <c r="R38" s="132"/>
      <c r="S38" s="125" t="n">
        <v>185.4</v>
      </c>
      <c r="T38" s="32" t="n">
        <v>0.27</v>
      </c>
      <c r="U38" s="32" t="n">
        <v>0.26</v>
      </c>
      <c r="V38" s="32"/>
      <c r="W38" s="32"/>
      <c r="X38" s="125" t="n">
        <v>3.5</v>
      </c>
      <c r="Y38" s="125" t="n">
        <v>3.5</v>
      </c>
      <c r="Z38" s="32" t="n">
        <v>0.45</v>
      </c>
      <c r="AA38" s="32" t="n">
        <v>0.44</v>
      </c>
      <c r="AB38" s="125" t="n">
        <v>1.7</v>
      </c>
      <c r="AC38" s="125" t="n">
        <v>1.7</v>
      </c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7"/>
    </row>
    <row r="39" customFormat="false" ht="15.6" hidden="false" customHeight="false" outlineLevel="0" collapsed="false">
      <c r="A39" s="111" t="n">
        <f aca="false">IF(ISBLANK(VLOOKUP(D39,#REF!,3)),0,1)</f>
        <v>1</v>
      </c>
      <c r="B39" s="112" t="n">
        <f aca="false">IF(ISBLANK(D39),0,IF(ISBLANK(E39),0,IF(ISBLANK(F39),0,1)))</f>
        <v>0</v>
      </c>
      <c r="C39" s="128" t="n">
        <v>5</v>
      </c>
      <c r="D39" s="129"/>
      <c r="E39" s="129"/>
      <c r="F39" s="137"/>
      <c r="G39" s="117" t="n">
        <v>36.2335</v>
      </c>
      <c r="H39" s="131" t="n">
        <v>100</v>
      </c>
      <c r="I39" s="119" t="n">
        <v>101.4</v>
      </c>
      <c r="J39" s="132"/>
      <c r="K39" s="133"/>
      <c r="L39" s="133"/>
      <c r="M39" s="133"/>
      <c r="N39" s="134"/>
      <c r="O39" s="133"/>
      <c r="P39" s="132" t="n">
        <v>4.367</v>
      </c>
      <c r="Q39" s="132"/>
      <c r="R39" s="132"/>
      <c r="S39" s="125" t="n">
        <v>190.2</v>
      </c>
      <c r="T39" s="32" t="n">
        <v>0.21</v>
      </c>
      <c r="U39" s="32" t="n">
        <v>0.21</v>
      </c>
      <c r="V39" s="32"/>
      <c r="W39" s="32"/>
      <c r="X39" s="125" t="n">
        <v>2.7</v>
      </c>
      <c r="Y39" s="125" t="n">
        <v>2.7</v>
      </c>
      <c r="Z39" s="32" t="n">
        <v>0.38</v>
      </c>
      <c r="AA39" s="32" t="n">
        <v>0.37</v>
      </c>
      <c r="AB39" s="125" t="n">
        <v>1.6</v>
      </c>
      <c r="AC39" s="125" t="n">
        <v>1.5</v>
      </c>
      <c r="AD39" s="124"/>
      <c r="AE39" s="124"/>
      <c r="AF39" s="124"/>
      <c r="AG39" s="124"/>
      <c r="AH39" s="124"/>
      <c r="AI39" s="124"/>
      <c r="AJ39" s="124"/>
      <c r="AK39" s="124"/>
      <c r="AL39" s="124"/>
      <c r="AM39" s="124"/>
      <c r="AN39" s="124"/>
      <c r="AO39" s="124"/>
      <c r="AP39" s="124"/>
      <c r="AQ39" s="124"/>
      <c r="AR39" s="124"/>
      <c r="AS39" s="124"/>
      <c r="AT39" s="124"/>
      <c r="AU39" s="124"/>
      <c r="AV39" s="124"/>
      <c r="AW39" s="124"/>
      <c r="AX39" s="124"/>
      <c r="AY39" s="124"/>
      <c r="AZ39" s="124"/>
      <c r="BA39" s="124"/>
      <c r="BB39" s="136"/>
    </row>
    <row r="40" customFormat="false" ht="16.2" hidden="false" customHeight="false" outlineLevel="0" collapsed="false">
      <c r="A40" s="111" t="n">
        <f aca="false">IF(ISBLANK(VLOOKUP(D40,#REF!,3)),0,1)</f>
        <v>1</v>
      </c>
      <c r="B40" s="112" t="n">
        <f aca="false">IF(ISBLANK(D40),0,IF(ISBLANK(E40),0,IF(ISBLANK(F40),0,1)))</f>
        <v>0</v>
      </c>
      <c r="C40" s="128" t="n">
        <v>6</v>
      </c>
      <c r="D40" s="129"/>
      <c r="E40" s="129"/>
      <c r="F40" s="137"/>
      <c r="G40" s="117" t="s">
        <v>99</v>
      </c>
      <c r="H40" s="131" t="n">
        <v>80</v>
      </c>
      <c r="I40" s="119" t="n">
        <v>80.5</v>
      </c>
      <c r="J40" s="132"/>
      <c r="K40" s="133"/>
      <c r="L40" s="133"/>
      <c r="M40" s="133"/>
      <c r="N40" s="134"/>
      <c r="O40" s="133"/>
      <c r="P40" s="132" t="n">
        <v>4.649</v>
      </c>
      <c r="Q40" s="132"/>
      <c r="R40" s="132"/>
      <c r="S40" s="125" t="n">
        <v>202.9</v>
      </c>
      <c r="T40" s="32" t="n">
        <v>0</v>
      </c>
      <c r="U40" s="32" t="n">
        <v>0</v>
      </c>
      <c r="V40" s="32"/>
      <c r="W40" s="32"/>
      <c r="X40" s="125" t="n">
        <v>0.2</v>
      </c>
      <c r="Y40" s="125" t="n">
        <v>0.2</v>
      </c>
      <c r="Z40" s="32" t="n">
        <v>0.05</v>
      </c>
      <c r="AA40" s="32" t="n">
        <v>0.05</v>
      </c>
      <c r="AB40" s="125" t="n">
        <v>0.5</v>
      </c>
      <c r="AC40" s="125" t="n">
        <v>0.5</v>
      </c>
      <c r="AD40" s="124"/>
      <c r="AE40" s="124"/>
      <c r="AF40" s="124"/>
      <c r="AG40" s="124"/>
      <c r="AH40" s="124"/>
      <c r="AI40" s="124"/>
      <c r="AJ40" s="124"/>
      <c r="AK40" s="124"/>
      <c r="AL40" s="124"/>
      <c r="AM40" s="124"/>
      <c r="AN40" s="124"/>
      <c r="AO40" s="124"/>
      <c r="AP40" s="124"/>
      <c r="AQ40" s="124"/>
      <c r="AR40" s="124"/>
      <c r="AS40" s="124"/>
      <c r="AT40" s="124"/>
      <c r="AU40" s="124"/>
      <c r="AV40" s="124"/>
      <c r="AW40" s="124"/>
      <c r="AX40" s="124"/>
      <c r="AY40" s="124"/>
      <c r="AZ40" s="124"/>
      <c r="BA40" s="124"/>
      <c r="BB40" s="136"/>
    </row>
    <row r="41" customFormat="false" ht="15.6" hidden="false" customHeight="false" outlineLevel="0" collapsed="false">
      <c r="A41" s="111" t="n">
        <f aca="false">IF(ISBLANK(VLOOKUP(D41,#REF!,3)),0,1)</f>
        <v>1</v>
      </c>
      <c r="B41" s="112" t="n">
        <f aca="false">IF(ISBLANK(D41),0,IF(ISBLANK(E41),0,IF(ISBLANK(F41),0,1)))</f>
        <v>0</v>
      </c>
      <c r="C41" s="128" t="n">
        <v>7</v>
      </c>
      <c r="D41" s="129"/>
      <c r="E41" s="129"/>
      <c r="F41" s="137"/>
      <c r="G41" s="117" t="s">
        <v>99</v>
      </c>
      <c r="H41" s="131" t="n">
        <v>60</v>
      </c>
      <c r="I41" s="119" t="n">
        <v>61.6</v>
      </c>
      <c r="J41" s="132"/>
      <c r="K41" s="133"/>
      <c r="L41" s="133"/>
      <c r="M41" s="133"/>
      <c r="N41" s="134"/>
      <c r="O41" s="133"/>
      <c r="P41" s="132" t="n">
        <v>4.626</v>
      </c>
      <c r="Q41" s="132"/>
      <c r="R41" s="132"/>
      <c r="S41" s="125" t="n">
        <v>201.9</v>
      </c>
      <c r="T41" s="32" t="n">
        <v>0.01</v>
      </c>
      <c r="U41" s="32" t="n">
        <v>0</v>
      </c>
      <c r="V41" s="32"/>
      <c r="W41" s="32"/>
      <c r="X41" s="125" t="n">
        <v>0.2</v>
      </c>
      <c r="Y41" s="125" t="n">
        <v>0.2</v>
      </c>
      <c r="Z41" s="32" t="n">
        <v>0.04</v>
      </c>
      <c r="AA41" s="32" t="n">
        <v>0.04</v>
      </c>
      <c r="AB41" s="125" t="n">
        <v>0.5</v>
      </c>
      <c r="AC41" s="125" t="n">
        <v>0.5</v>
      </c>
      <c r="AD41" s="126"/>
      <c r="AE41" s="126"/>
      <c r="AF41" s="126"/>
      <c r="AG41" s="126"/>
      <c r="AH41" s="126"/>
      <c r="AI41" s="126"/>
      <c r="AJ41" s="126"/>
      <c r="AK41" s="126"/>
      <c r="AL41" s="126"/>
      <c r="AM41" s="126"/>
      <c r="AN41" s="126"/>
      <c r="AO41" s="126"/>
      <c r="AP41" s="126"/>
      <c r="AQ41" s="126"/>
      <c r="AR41" s="126"/>
      <c r="AS41" s="126"/>
      <c r="AT41" s="126"/>
      <c r="AU41" s="126"/>
      <c r="AV41" s="126"/>
      <c r="AW41" s="126"/>
      <c r="AX41" s="126"/>
      <c r="AY41" s="126"/>
      <c r="AZ41" s="126"/>
      <c r="BA41" s="126"/>
      <c r="BB41" s="127"/>
    </row>
    <row r="42" customFormat="false" ht="16.2" hidden="false" customHeight="false" outlineLevel="0" collapsed="false">
      <c r="A42" s="111" t="n">
        <f aca="false">IF(ISBLANK(VLOOKUP(D42,#REF!,3)),0,1)</f>
        <v>1</v>
      </c>
      <c r="B42" s="112" t="n">
        <f aca="false">IF(ISBLANK(D42),0,IF(ISBLANK(E42),0,IF(ISBLANK(F42),0,1)))</f>
        <v>0</v>
      </c>
      <c r="C42" s="128" t="n">
        <v>8</v>
      </c>
      <c r="D42" s="129"/>
      <c r="E42" s="129"/>
      <c r="F42" s="137"/>
      <c r="G42" s="117" t="s">
        <v>99</v>
      </c>
      <c r="H42" s="131" t="n">
        <v>40</v>
      </c>
      <c r="I42" s="119" t="n">
        <v>40.5</v>
      </c>
      <c r="J42" s="132"/>
      <c r="K42" s="133"/>
      <c r="L42" s="133"/>
      <c r="M42" s="133"/>
      <c r="N42" s="134"/>
      <c r="O42" s="133"/>
      <c r="P42" s="132" t="n">
        <v>4.64</v>
      </c>
      <c r="Q42" s="132"/>
      <c r="R42" s="132"/>
      <c r="S42" s="125" t="n">
        <v>202.5</v>
      </c>
      <c r="T42" s="32" t="n">
        <v>0</v>
      </c>
      <c r="U42" s="32" t="n">
        <v>0</v>
      </c>
      <c r="V42" s="32"/>
      <c r="W42" s="32"/>
      <c r="X42" s="125" t="n">
        <v>0.2</v>
      </c>
      <c r="Y42" s="125" t="n">
        <v>0.2</v>
      </c>
      <c r="Z42" s="32" t="n">
        <v>0.05</v>
      </c>
      <c r="AA42" s="32" t="n">
        <v>0.05</v>
      </c>
      <c r="AB42" s="125" t="n">
        <v>0.5</v>
      </c>
      <c r="AC42" s="125" t="n">
        <v>0.5</v>
      </c>
      <c r="AD42" s="124"/>
      <c r="AE42" s="124"/>
      <c r="AF42" s="124"/>
      <c r="AG42" s="124"/>
      <c r="AH42" s="124"/>
      <c r="AI42" s="124"/>
      <c r="AJ42" s="124"/>
      <c r="AK42" s="124"/>
      <c r="AL42" s="124"/>
      <c r="AM42" s="124"/>
      <c r="AN42" s="124"/>
      <c r="AO42" s="124"/>
      <c r="AP42" s="124"/>
      <c r="AQ42" s="124"/>
      <c r="AR42" s="124"/>
      <c r="AS42" s="124"/>
      <c r="AT42" s="124"/>
      <c r="AU42" s="124"/>
      <c r="AV42" s="124"/>
      <c r="AW42" s="124"/>
      <c r="AX42" s="124"/>
      <c r="AY42" s="124"/>
      <c r="AZ42" s="124"/>
      <c r="BA42" s="124"/>
      <c r="BB42" s="136"/>
    </row>
    <row r="43" customFormat="false" ht="15.6" hidden="false" customHeight="false" outlineLevel="0" collapsed="false">
      <c r="A43" s="111" t="n">
        <f aca="false">IF(ISBLANK(VLOOKUP(D43,#REF!,3)),0,1)</f>
        <v>1</v>
      </c>
      <c r="B43" s="112" t="n">
        <f aca="false">IF(ISBLANK(D43),0,IF(ISBLANK(E43),0,IF(ISBLANK(F43),0,1)))</f>
        <v>0</v>
      </c>
      <c r="C43" s="128" t="n">
        <v>9</v>
      </c>
      <c r="D43" s="129"/>
      <c r="E43" s="129"/>
      <c r="F43" s="137"/>
      <c r="G43" s="117" t="s">
        <v>99</v>
      </c>
      <c r="H43" s="131" t="n">
        <v>20</v>
      </c>
      <c r="I43" s="119" t="n">
        <v>19.7</v>
      </c>
      <c r="J43" s="132"/>
      <c r="K43" s="133"/>
      <c r="L43" s="133"/>
      <c r="M43" s="133"/>
      <c r="N43" s="134"/>
      <c r="O43" s="133"/>
      <c r="P43" s="132" t="n">
        <v>4.63</v>
      </c>
      <c r="Q43" s="132"/>
      <c r="R43" s="132"/>
      <c r="S43" s="125" t="n">
        <v>202.1</v>
      </c>
      <c r="T43" s="32" t="n">
        <v>0</v>
      </c>
      <c r="U43" s="32" t="n">
        <v>0</v>
      </c>
      <c r="V43" s="32"/>
      <c r="W43" s="32"/>
      <c r="X43" s="125" t="n">
        <v>0.1</v>
      </c>
      <c r="Y43" s="125" t="n">
        <v>0.1</v>
      </c>
      <c r="Z43" s="32" t="n">
        <v>0.03</v>
      </c>
      <c r="AA43" s="32" t="n">
        <v>0.03</v>
      </c>
      <c r="AB43" s="125" t="n">
        <v>0.5</v>
      </c>
      <c r="AC43" s="125" t="n">
        <v>0.5</v>
      </c>
      <c r="AD43" s="126"/>
      <c r="AE43" s="126"/>
      <c r="AF43" s="126"/>
      <c r="AG43" s="126"/>
      <c r="AH43" s="126"/>
      <c r="AI43" s="126"/>
      <c r="AJ43" s="126"/>
      <c r="AK43" s="126"/>
      <c r="AL43" s="126"/>
      <c r="AM43" s="126"/>
      <c r="AN43" s="126"/>
      <c r="AO43" s="126"/>
      <c r="AP43" s="126"/>
      <c r="AQ43" s="126"/>
      <c r="AR43" s="126"/>
      <c r="AS43" s="126"/>
      <c r="AT43" s="126"/>
      <c r="AU43" s="126"/>
      <c r="AV43" s="126"/>
      <c r="AW43" s="126"/>
      <c r="AX43" s="126"/>
      <c r="AY43" s="126"/>
      <c r="AZ43" s="126"/>
      <c r="BA43" s="126"/>
      <c r="BB43" s="127"/>
    </row>
    <row r="44" customFormat="false" ht="15.6" hidden="false" customHeight="false" outlineLevel="0" collapsed="false">
      <c r="A44" s="111" t="n">
        <f aca="false">IF(ISBLANK(VLOOKUP(D44,#REF!,3)),0,1)</f>
        <v>1</v>
      </c>
      <c r="B44" s="112" t="n">
        <f aca="false">IF(ISBLANK(D44),0,IF(ISBLANK(E44),0,IF(ISBLANK(F44),0,1)))</f>
        <v>0</v>
      </c>
      <c r="C44" s="128" t="n">
        <v>10</v>
      </c>
      <c r="D44" s="129"/>
      <c r="E44" s="129"/>
      <c r="F44" s="137"/>
      <c r="G44" s="117" t="s">
        <v>99</v>
      </c>
      <c r="H44" s="131" t="n">
        <v>10</v>
      </c>
      <c r="I44" s="119" t="n">
        <v>10</v>
      </c>
      <c r="J44" s="132"/>
      <c r="K44" s="133"/>
      <c r="L44" s="133"/>
      <c r="M44" s="133"/>
      <c r="N44" s="134"/>
      <c r="O44" s="133"/>
      <c r="P44" s="132" t="n">
        <v>4.628</v>
      </c>
      <c r="Q44" s="132"/>
      <c r="R44" s="132"/>
      <c r="S44" s="125" t="n">
        <v>202</v>
      </c>
      <c r="T44" s="32" t="n">
        <v>0.01</v>
      </c>
      <c r="U44" s="32" t="n">
        <v>0.01</v>
      </c>
      <c r="V44" s="32"/>
      <c r="W44" s="32"/>
      <c r="X44" s="125" t="n">
        <v>0.1</v>
      </c>
      <c r="Y44" s="125" t="n">
        <v>0.1</v>
      </c>
      <c r="Z44" s="32" t="n">
        <v>0.04</v>
      </c>
      <c r="AA44" s="32" t="n">
        <v>0.04</v>
      </c>
      <c r="AB44" s="125" t="n">
        <v>0.5</v>
      </c>
      <c r="AC44" s="125" t="n">
        <v>0.5</v>
      </c>
      <c r="AD44" s="124"/>
      <c r="AE44" s="124"/>
      <c r="AF44" s="124"/>
      <c r="AG44" s="124"/>
      <c r="AH44" s="124"/>
      <c r="AI44" s="124"/>
      <c r="AJ44" s="124"/>
      <c r="AK44" s="124"/>
      <c r="AL44" s="124"/>
      <c r="AM44" s="124"/>
      <c r="AN44" s="124"/>
      <c r="AO44" s="124"/>
      <c r="AP44" s="124"/>
      <c r="AQ44" s="124"/>
      <c r="AR44" s="124"/>
      <c r="AS44" s="124"/>
      <c r="AT44" s="124"/>
      <c r="AU44" s="124"/>
      <c r="AV44" s="124"/>
      <c r="AW44" s="124"/>
      <c r="AX44" s="124"/>
      <c r="AY44" s="124"/>
      <c r="AZ44" s="124"/>
      <c r="BA44" s="124"/>
      <c r="BB44" s="136"/>
    </row>
    <row r="45" customFormat="false" ht="15.6" hidden="false" customHeight="false" outlineLevel="0" collapsed="false">
      <c r="A45" s="111" t="n">
        <f aca="false">IF(ISBLANK(VLOOKUP(D45,#REF!,3)),0,1)</f>
        <v>1</v>
      </c>
      <c r="B45" s="112" t="n">
        <f aca="false">IF(ISBLANK(D45),0,IF(ISBLANK(E45),0,IF(ISBLANK(F45),0,1)))</f>
        <v>0</v>
      </c>
      <c r="C45" s="128" t="n">
        <v>11</v>
      </c>
      <c r="D45" s="129"/>
      <c r="E45" s="129"/>
      <c r="F45" s="137"/>
      <c r="G45" s="117" t="n">
        <v>35.9706</v>
      </c>
      <c r="H45" s="131" t="n">
        <v>0</v>
      </c>
      <c r="I45" s="119" t="n">
        <v>2.4</v>
      </c>
      <c r="J45" s="132"/>
      <c r="K45" s="133"/>
      <c r="L45" s="133"/>
      <c r="M45" s="133"/>
      <c r="N45" s="134"/>
      <c r="O45" s="133"/>
      <c r="P45" s="132" t="n">
        <v>4.629</v>
      </c>
      <c r="Q45" s="132"/>
      <c r="R45" s="132"/>
      <c r="S45" s="125" t="n">
        <v>201.9</v>
      </c>
      <c r="T45" s="32" t="n">
        <v>0.01</v>
      </c>
      <c r="U45" s="32" t="n">
        <v>0.01</v>
      </c>
      <c r="V45" s="32"/>
      <c r="W45" s="32"/>
      <c r="X45" s="125" t="n">
        <v>0.2</v>
      </c>
      <c r="Y45" s="125" t="n">
        <v>0.2</v>
      </c>
      <c r="Z45" s="32" t="n">
        <v>0.04</v>
      </c>
      <c r="AA45" s="32" t="n">
        <v>0.04</v>
      </c>
      <c r="AB45" s="125" t="n">
        <v>0.5</v>
      </c>
      <c r="AC45" s="125" t="n">
        <v>0.5</v>
      </c>
      <c r="AD45" s="124"/>
      <c r="AE45" s="124"/>
      <c r="AF45" s="124"/>
      <c r="AG45" s="124"/>
      <c r="AH45" s="124"/>
      <c r="AI45" s="124"/>
      <c r="AJ45" s="124"/>
      <c r="AK45" s="124"/>
      <c r="AL45" s="124"/>
      <c r="AM45" s="124"/>
      <c r="AN45" s="124"/>
      <c r="AO45" s="124"/>
      <c r="AP45" s="124"/>
      <c r="AQ45" s="124"/>
      <c r="AR45" s="124"/>
      <c r="AS45" s="124"/>
      <c r="AT45" s="124"/>
      <c r="AU45" s="124"/>
      <c r="AV45" s="124"/>
      <c r="AW45" s="124"/>
      <c r="AX45" s="124"/>
      <c r="AY45" s="124"/>
      <c r="AZ45" s="124"/>
      <c r="BA45" s="124"/>
      <c r="BB45" s="136"/>
    </row>
    <row r="46" customFormat="false" ht="15.6" hidden="false" customHeight="false" outlineLevel="0" collapsed="false">
      <c r="A46" s="111" t="n">
        <f aca="false">IF(ISBLANK(VLOOKUP(D46,#REF!,3)),0,1)</f>
        <v>1</v>
      </c>
      <c r="B46" s="112" t="n">
        <f aca="false">IF(ISBLANK(D46),0,IF(ISBLANK(E46),0,IF(ISBLANK(F46),0,1)))</f>
        <v>0</v>
      </c>
      <c r="C46" s="128" t="n">
        <v>12</v>
      </c>
      <c r="D46" s="142"/>
      <c r="E46" s="142"/>
      <c r="F46" s="143"/>
      <c r="G46" s="144"/>
      <c r="H46" s="142"/>
      <c r="I46" s="145"/>
      <c r="J46" s="132" t="str">
        <f aca="false">IF(ISBLANK(D46),"",IF(VLOOKUP(D46,#REF!,2)=0,"",IF(D46&gt;#REF!,"Mauvais numéro",IF(D46&lt;#REF!,"Mauvais numéro",(VLOOKUP(D46,#REF!,3))))))</f>
        <v/>
      </c>
      <c r="K46" s="146" t="str">
        <f aca="false">IF(ISBLANK(E46),"",(0.000824493-(0.0000040899*E46)+(0.000000076438*E46^2)-(0.00000000082467*E46^3)+(0.0000000000053875*E46^4)))</f>
        <v/>
      </c>
      <c r="L46" s="146" t="str">
        <f aca="false">IF(ISBLANK(E46),"",(-0.00000572466+(0.00000010227*E46)-(0.0000000016546*E46^2)))</f>
        <v/>
      </c>
      <c r="M46" s="146" t="str">
        <f aca="false">IF(ISBLANK(E46),"",IF(ISBLANK(G46),(O46+(K46*35)+(L46*35^1.5)+(0.00000048314*35^2)),(O46+(K46*G46)+(L46*G46^1.5)+(0.00000048314*G46^2))))</f>
        <v/>
      </c>
      <c r="N46" s="147" t="str">
        <f aca="false">IF(ISBLANK(D46),"",IF(ISBLANK(G46),J46*(1+0.00001*(35-20)),J46*(1+0.00001*(G46-20))))</f>
        <v/>
      </c>
      <c r="O46" s="146" t="str">
        <f aca="false">IF(ISBLANK(E46),"",(0.999842594+(0.00006793952*E46)-(0.00000909529*E46^2)+(0.0000001001685*E46^3)-(0.000000001120083*E46^4)+(0.000000000006536332*E46^5)))</f>
        <v/>
      </c>
      <c r="P46" s="148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49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0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0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24"/>
      <c r="U46" s="124"/>
      <c r="V46" s="124"/>
      <c r="W46" s="124"/>
      <c r="X46" s="124"/>
      <c r="Y46" s="124"/>
      <c r="Z46" s="124"/>
      <c r="AA46" s="124"/>
      <c r="AB46" s="124"/>
      <c r="AC46" s="124"/>
      <c r="AD46" s="124"/>
      <c r="AE46" s="124"/>
      <c r="AF46" s="124"/>
      <c r="AG46" s="124"/>
      <c r="AH46" s="124"/>
      <c r="AI46" s="124"/>
      <c r="AJ46" s="124"/>
      <c r="AK46" s="124"/>
      <c r="AL46" s="124"/>
      <c r="AM46" s="124"/>
      <c r="AN46" s="124"/>
      <c r="AO46" s="124"/>
      <c r="AP46" s="124"/>
      <c r="AQ46" s="124"/>
      <c r="AR46" s="124"/>
      <c r="AS46" s="124"/>
      <c r="AT46" s="124"/>
      <c r="AU46" s="124"/>
      <c r="AV46" s="124"/>
      <c r="AW46" s="124"/>
      <c r="AX46" s="124"/>
      <c r="AY46" s="124"/>
      <c r="AZ46" s="124"/>
      <c r="BA46" s="124"/>
      <c r="BB46" s="136"/>
    </row>
    <row r="47" customFormat="false" ht="15.6" hidden="false" customHeight="false" outlineLevel="0" collapsed="false">
      <c r="A47" s="111" t="n">
        <f aca="false">IF(ISBLANK(VLOOKUP(D47,#REF!,3)),0,1)</f>
        <v>1</v>
      </c>
      <c r="B47" s="112" t="n">
        <f aca="false">IF(ISBLANK(D47),0,IF(ISBLANK(E47),0,IF(ISBLANK(F47),0,1)))</f>
        <v>0</v>
      </c>
      <c r="C47" s="128" t="n">
        <v>13</v>
      </c>
      <c r="D47" s="151"/>
      <c r="E47" s="151"/>
      <c r="F47" s="152"/>
      <c r="G47" s="153"/>
      <c r="H47" s="151"/>
      <c r="I47" s="151"/>
      <c r="J47" s="132" t="str">
        <f aca="false">IF(ISBLANK(D47),"",IF(VLOOKUP(D47,#REF!,2)=0,"",IF(D47&gt;#REF!,"Mauvais numéro",IF(D47&lt;#REF!,"Mauvais numéro",(VLOOKUP(D47,#REF!,3))))))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54"/>
      <c r="Q47" s="149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5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4"/>
      <c r="T47" s="124"/>
      <c r="U47" s="124"/>
      <c r="V47" s="124"/>
      <c r="W47" s="124"/>
      <c r="X47" s="12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24"/>
      <c r="AJ47" s="124"/>
      <c r="AK47" s="124"/>
      <c r="AL47" s="124"/>
      <c r="AM47" s="124"/>
      <c r="AN47" s="124"/>
      <c r="AO47" s="124"/>
      <c r="AP47" s="124"/>
      <c r="AQ47" s="124"/>
      <c r="AR47" s="124"/>
      <c r="AS47" s="124"/>
      <c r="AT47" s="124"/>
      <c r="AU47" s="124"/>
      <c r="AV47" s="124"/>
      <c r="AW47" s="124"/>
      <c r="AX47" s="124"/>
      <c r="AY47" s="124"/>
      <c r="AZ47" s="124"/>
      <c r="BA47" s="124"/>
      <c r="BB47" s="136"/>
    </row>
    <row r="48" customFormat="false" ht="15.6" hidden="false" customHeight="false" outlineLevel="0" collapsed="false">
      <c r="A48" s="111" t="n">
        <f aca="false">IF(ISBLANK(VLOOKUP(D48,#REF!,3)),0,1)</f>
        <v>1</v>
      </c>
      <c r="B48" s="112" t="n">
        <f aca="false">IF(ISBLANK(D48),0,IF(ISBLANK(E48),0,IF(ISBLANK(F48),0,1)))</f>
        <v>0</v>
      </c>
      <c r="C48" s="128" t="n">
        <v>14</v>
      </c>
      <c r="D48" s="151"/>
      <c r="E48" s="151"/>
      <c r="F48" s="152"/>
      <c r="G48" s="153"/>
      <c r="H48" s="151"/>
      <c r="I48" s="151"/>
      <c r="J48" s="132" t="str">
        <f aca="false">IF(ISBLANK(D48),"",IF(VLOOKUP(D48,#REF!,2)=0,"",IF(D48&gt;#REF!,"Mauvais numéro",IF(D48&lt;#REF!,"Mauvais numéro",(VLOOKUP(D48,#REF!,3))))))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54"/>
      <c r="Q48" s="149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5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4"/>
      <c r="T48" s="124"/>
      <c r="U48" s="124"/>
      <c r="V48" s="124"/>
      <c r="W48" s="124"/>
      <c r="X48" s="124"/>
      <c r="Y48" s="124"/>
      <c r="Z48" s="124"/>
      <c r="AA48" s="124"/>
      <c r="AB48" s="124"/>
      <c r="AC48" s="124"/>
      <c r="AD48" s="124"/>
      <c r="AE48" s="124"/>
      <c r="AF48" s="124"/>
      <c r="AG48" s="124"/>
      <c r="AH48" s="124"/>
      <c r="AI48" s="124"/>
      <c r="AJ48" s="124"/>
      <c r="AK48" s="124"/>
      <c r="AL48" s="124"/>
      <c r="AM48" s="124"/>
      <c r="AN48" s="124"/>
      <c r="AO48" s="124"/>
      <c r="AP48" s="124"/>
      <c r="AQ48" s="124"/>
      <c r="AR48" s="124"/>
      <c r="AS48" s="124"/>
      <c r="AT48" s="124"/>
      <c r="AU48" s="124"/>
      <c r="AV48" s="124"/>
      <c r="AW48" s="124"/>
      <c r="AX48" s="124"/>
      <c r="AY48" s="124"/>
      <c r="AZ48" s="124"/>
      <c r="BA48" s="124"/>
      <c r="BB48" s="136"/>
    </row>
    <row r="49" customFormat="false" ht="15.6" hidden="false" customHeight="false" outlineLevel="0" collapsed="false">
      <c r="A49" s="111" t="n">
        <f aca="false">IF(ISBLANK(VLOOKUP(D49,#REF!,3)),0,1)</f>
        <v>1</v>
      </c>
      <c r="B49" s="112" t="n">
        <f aca="false">IF(ISBLANK(D49),0,IF(ISBLANK(E49),0,IF(ISBLANK(F49),0,1)))</f>
        <v>0</v>
      </c>
      <c r="C49" s="128" t="n">
        <v>15</v>
      </c>
      <c r="D49" s="151"/>
      <c r="E49" s="151"/>
      <c r="F49" s="152"/>
      <c r="G49" s="156"/>
      <c r="H49" s="151"/>
      <c r="I49" s="151"/>
      <c r="J49" s="132" t="str">
        <f aca="false">IF(ISBLANK(D49),"",IF(VLOOKUP(D49,#REF!,2)=0,"",IF(D49&gt;#REF!,"Mauvais numéro",IF(D49&lt;#REF!,"Mauvais numéro",(VLOOKUP(D49,#REF!,3))))))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57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49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24"/>
      <c r="AE49" s="124"/>
      <c r="AF49" s="124"/>
      <c r="AG49" s="124"/>
      <c r="AH49" s="124"/>
      <c r="AI49" s="124"/>
      <c r="AJ49" s="124"/>
      <c r="AK49" s="124"/>
      <c r="AL49" s="124"/>
      <c r="AM49" s="124"/>
      <c r="AN49" s="124"/>
      <c r="AO49" s="124"/>
      <c r="AP49" s="124"/>
      <c r="AQ49" s="124"/>
      <c r="AR49" s="124"/>
      <c r="AS49" s="124"/>
      <c r="AT49" s="124"/>
      <c r="AU49" s="124"/>
      <c r="AV49" s="124"/>
      <c r="AW49" s="124"/>
      <c r="AX49" s="124"/>
      <c r="AY49" s="124"/>
      <c r="AZ49" s="124"/>
      <c r="BA49" s="124"/>
      <c r="BB49" s="136"/>
    </row>
    <row r="50" customFormat="false" ht="15.6" hidden="false" customHeight="false" outlineLevel="0" collapsed="false">
      <c r="A50" s="111" t="n">
        <f aca="false">IF(ISBLANK(VLOOKUP(D50,#REF!,3)),0,1)</f>
        <v>1</v>
      </c>
      <c r="B50" s="112" t="n">
        <f aca="false">IF(ISBLANK(D50),0,IF(ISBLANK(E50),0,IF(ISBLANK(F50),0,1)))</f>
        <v>0</v>
      </c>
      <c r="C50" s="128" t="n">
        <v>16</v>
      </c>
      <c r="D50" s="151"/>
      <c r="E50" s="151"/>
      <c r="F50" s="152"/>
      <c r="G50" s="156"/>
      <c r="H50" s="151"/>
      <c r="I50" s="151"/>
      <c r="J50" s="132" t="str">
        <f aca="false">IF(ISBLANK(D50),"",IF(VLOOKUP(D50,#REF!,2)=0,"",IF(D50&gt;#REF!,"Mauvais numéro",IF(D50&lt;#REF!,"Mauvais numéro",(VLOOKUP(D50,#REF!,3))))))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57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49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24"/>
      <c r="U50" s="124"/>
      <c r="V50" s="124"/>
      <c r="W50" s="124"/>
      <c r="X50" s="124"/>
      <c r="Y50" s="124"/>
      <c r="Z50" s="124"/>
      <c r="AA50" s="124"/>
      <c r="AB50" s="124"/>
      <c r="AC50" s="124"/>
      <c r="AD50" s="124"/>
      <c r="AE50" s="124"/>
      <c r="AF50" s="124"/>
      <c r="AG50" s="124"/>
      <c r="AH50" s="124"/>
      <c r="AI50" s="124"/>
      <c r="AJ50" s="124"/>
      <c r="AK50" s="124"/>
      <c r="AL50" s="124"/>
      <c r="AM50" s="124"/>
      <c r="AN50" s="124"/>
      <c r="AO50" s="124"/>
      <c r="AP50" s="124"/>
      <c r="AQ50" s="124"/>
      <c r="AR50" s="124"/>
      <c r="AS50" s="124"/>
      <c r="AT50" s="124"/>
      <c r="AU50" s="124"/>
      <c r="AV50" s="124"/>
      <c r="AW50" s="124"/>
      <c r="AX50" s="124"/>
      <c r="AY50" s="124"/>
      <c r="AZ50" s="124"/>
      <c r="BA50" s="124"/>
      <c r="BB50" s="136"/>
    </row>
    <row r="51" customFormat="false" ht="15.6" hidden="false" customHeight="false" outlineLevel="0" collapsed="false">
      <c r="A51" s="111" t="n">
        <f aca="false">IF(ISBLANK(VLOOKUP(D51,#REF!,3)),0,1)</f>
        <v>1</v>
      </c>
      <c r="B51" s="112" t="n">
        <f aca="false">IF(ISBLANK(D51),0,IF(ISBLANK(E51),0,IF(ISBLANK(F51),0,1)))</f>
        <v>0</v>
      </c>
      <c r="C51" s="128" t="n">
        <v>17</v>
      </c>
      <c r="D51" s="151"/>
      <c r="E51" s="151"/>
      <c r="F51" s="152"/>
      <c r="G51" s="156"/>
      <c r="H51" s="151"/>
      <c r="I51" s="151"/>
      <c r="J51" s="132" t="str">
        <f aca="false">IF(ISBLANK(D51),"",IF(VLOOKUP(D51,#REF!,2)=0,"",IF(D51&gt;#REF!,"Mauvais numéro",IF(D51&lt;#REF!,"Mauvais numéro",(VLOOKUP(D51,#REF!,3))))))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57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49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24"/>
      <c r="AE51" s="124"/>
      <c r="AF51" s="124"/>
      <c r="AG51" s="124"/>
      <c r="AH51" s="124"/>
      <c r="AI51" s="124"/>
      <c r="AJ51" s="124"/>
      <c r="AK51" s="124"/>
      <c r="AL51" s="124"/>
      <c r="AM51" s="124"/>
      <c r="AN51" s="124"/>
      <c r="AO51" s="124"/>
      <c r="AP51" s="124"/>
      <c r="AQ51" s="124"/>
      <c r="AR51" s="124"/>
      <c r="AS51" s="124"/>
      <c r="AT51" s="124"/>
      <c r="AU51" s="124"/>
      <c r="AV51" s="124"/>
      <c r="AW51" s="124"/>
      <c r="AX51" s="124"/>
      <c r="AY51" s="124"/>
      <c r="AZ51" s="124"/>
      <c r="BA51" s="124"/>
      <c r="BB51" s="136"/>
    </row>
    <row r="52" customFormat="false" ht="15.6" hidden="false" customHeight="false" outlineLevel="0" collapsed="false">
      <c r="A52" s="111" t="n">
        <f aca="false">IF(ISBLANK(VLOOKUP(D52,#REF!,3)),0,1)</f>
        <v>1</v>
      </c>
      <c r="B52" s="112" t="n">
        <f aca="false">IF(ISBLANK(D52),0,IF(ISBLANK(E52),0,IF(ISBLANK(F52),0,1)))</f>
        <v>0</v>
      </c>
      <c r="C52" s="128" t="n">
        <v>18</v>
      </c>
      <c r="D52" s="151"/>
      <c r="E52" s="151"/>
      <c r="F52" s="152"/>
      <c r="G52" s="156"/>
      <c r="H52" s="151"/>
      <c r="I52" s="151"/>
      <c r="J52" s="132" t="str">
        <f aca="false">IF(ISBLANK(D52),"",IF(VLOOKUP(D52,#REF!,2)=0,"",IF(D52&gt;#REF!,"Mauvais numéro",IF(D52&lt;#REF!,"Mauvais numéro",(VLOOKUP(D52,#REF!,3))))))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57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49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24"/>
      <c r="U52" s="124"/>
      <c r="V52" s="124"/>
      <c r="W52" s="124"/>
      <c r="X52" s="124"/>
      <c r="Y52" s="124"/>
      <c r="Z52" s="124"/>
      <c r="AA52" s="124"/>
      <c r="AB52" s="124"/>
      <c r="AC52" s="124"/>
      <c r="AD52" s="124"/>
      <c r="AE52" s="124"/>
      <c r="AF52" s="124"/>
      <c r="AG52" s="124"/>
      <c r="AH52" s="124"/>
      <c r="AI52" s="124"/>
      <c r="AJ52" s="124"/>
      <c r="AK52" s="124"/>
      <c r="AL52" s="124"/>
      <c r="AM52" s="124"/>
      <c r="AN52" s="124"/>
      <c r="AO52" s="124"/>
      <c r="AP52" s="124"/>
      <c r="AQ52" s="124"/>
      <c r="AR52" s="124"/>
      <c r="AS52" s="124"/>
      <c r="AT52" s="124"/>
      <c r="AU52" s="124"/>
      <c r="AV52" s="124"/>
      <c r="AW52" s="124"/>
      <c r="AX52" s="124"/>
      <c r="AY52" s="124"/>
      <c r="AZ52" s="124"/>
      <c r="BA52" s="124"/>
      <c r="BB52" s="136"/>
    </row>
    <row r="53" customFormat="false" ht="15.6" hidden="false" customHeight="false" outlineLevel="0" collapsed="false">
      <c r="A53" s="111" t="n">
        <f aca="false">IF(ISBLANK(VLOOKUP(D53,#REF!,3)),0,1)</f>
        <v>1</v>
      </c>
      <c r="B53" s="112" t="n">
        <f aca="false">IF(ISBLANK(D53),0,IF(ISBLANK(E53),0,IF(ISBLANK(F53),0,1)))</f>
        <v>0</v>
      </c>
      <c r="C53" s="128" t="n">
        <v>19</v>
      </c>
      <c r="D53" s="151"/>
      <c r="E53" s="151"/>
      <c r="F53" s="152"/>
      <c r="G53" s="156"/>
      <c r="H53" s="151"/>
      <c r="I53" s="151"/>
      <c r="J53" s="132" t="str">
        <f aca="false">IF(ISBLANK(D53),"",IF(VLOOKUP(D53,#REF!,2)=0,"",IF(D53&gt;#REF!,"Mauvais numéro",IF(D53&lt;#REF!,"Mauvais numéro",(VLOOKUP(D53,#REF!,3))))))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57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49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24"/>
      <c r="U53" s="124"/>
      <c r="V53" s="124"/>
      <c r="W53" s="124"/>
      <c r="X53" s="12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24"/>
      <c r="AJ53" s="124"/>
      <c r="AK53" s="124"/>
      <c r="AL53" s="124"/>
      <c r="AM53" s="124"/>
      <c r="AN53" s="124"/>
      <c r="AO53" s="124"/>
      <c r="AP53" s="124"/>
      <c r="AQ53" s="124"/>
      <c r="AR53" s="124"/>
      <c r="AS53" s="124"/>
      <c r="AT53" s="124"/>
      <c r="AU53" s="124"/>
      <c r="AV53" s="124"/>
      <c r="AW53" s="124"/>
      <c r="AX53" s="124"/>
      <c r="AY53" s="124"/>
      <c r="AZ53" s="124"/>
      <c r="BA53" s="124"/>
      <c r="BB53" s="136"/>
    </row>
    <row r="54" customFormat="false" ht="15.6" hidden="false" customHeight="false" outlineLevel="0" collapsed="false">
      <c r="A54" s="111" t="n">
        <f aca="false">IF(ISBLANK(VLOOKUP(D54,#REF!,3)),0,1)</f>
        <v>1</v>
      </c>
      <c r="B54" s="112" t="n">
        <f aca="false">IF(ISBLANK(D54),0,IF(ISBLANK(E54),0,IF(ISBLANK(F54),0,1)))</f>
        <v>0</v>
      </c>
      <c r="C54" s="128" t="n">
        <v>20</v>
      </c>
      <c r="D54" s="151"/>
      <c r="E54" s="151"/>
      <c r="F54" s="152"/>
      <c r="G54" s="156"/>
      <c r="H54" s="151"/>
      <c r="I54" s="151"/>
      <c r="J54" s="132" t="str">
        <f aca="false">IF(ISBLANK(D54),"",IF(VLOOKUP(D54,#REF!,2)=0,"",IF(D54&gt;#REF!,"Mauvais numéro",IF(D54&lt;#REF!,"Mauvais numéro",(VLOOKUP(D54,#REF!,3))))))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57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49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4"/>
      <c r="U54" s="124"/>
      <c r="V54" s="124"/>
      <c r="W54" s="124"/>
      <c r="X54" s="124"/>
      <c r="Y54" s="124"/>
      <c r="Z54" s="124"/>
      <c r="AA54" s="124"/>
      <c r="AB54" s="124"/>
      <c r="AC54" s="124"/>
      <c r="AD54" s="124"/>
      <c r="AE54" s="124"/>
      <c r="AF54" s="124"/>
      <c r="AG54" s="124"/>
      <c r="AH54" s="124"/>
      <c r="AI54" s="124"/>
      <c r="AJ54" s="124"/>
      <c r="AK54" s="124"/>
      <c r="AL54" s="124"/>
      <c r="AM54" s="124"/>
      <c r="AN54" s="124"/>
      <c r="AO54" s="124"/>
      <c r="AP54" s="124"/>
      <c r="AQ54" s="124"/>
      <c r="AR54" s="124"/>
      <c r="AS54" s="124"/>
      <c r="AT54" s="124"/>
      <c r="AU54" s="124"/>
      <c r="AV54" s="124"/>
      <c r="AW54" s="124"/>
      <c r="AX54" s="124"/>
      <c r="AY54" s="124"/>
      <c r="AZ54" s="124"/>
      <c r="BA54" s="124"/>
      <c r="BB54" s="136"/>
    </row>
    <row r="55" customFormat="false" ht="15.6" hidden="false" customHeight="false" outlineLevel="0" collapsed="false">
      <c r="A55" s="111" t="n">
        <f aca="false">IF(ISBLANK(VLOOKUP(D55,#REF!,3)),0,1)</f>
        <v>1</v>
      </c>
      <c r="B55" s="112" t="n">
        <f aca="false">IF(ISBLANK(D55),0,IF(ISBLANK(E55),0,IF(ISBLANK(F55),0,1)))</f>
        <v>0</v>
      </c>
      <c r="C55" s="128" t="n">
        <v>21</v>
      </c>
      <c r="D55" s="151"/>
      <c r="E55" s="151"/>
      <c r="F55" s="152"/>
      <c r="G55" s="156"/>
      <c r="H55" s="151"/>
      <c r="I55" s="151"/>
      <c r="J55" s="132" t="str">
        <f aca="false">IF(ISBLANK(D55),"",IF(VLOOKUP(D55,#REF!,2)=0,"",IF(D55&gt;#REF!,"Mauvais numéro",IF(D55&lt;#REF!,"Mauvais numéro",(VLOOKUP(D55,#REF!,3))))))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57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49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24"/>
      <c r="U55" s="124"/>
      <c r="V55" s="124"/>
      <c r="W55" s="124"/>
      <c r="X55" s="124"/>
      <c r="Y55" s="124"/>
      <c r="Z55" s="124"/>
      <c r="AA55" s="124"/>
      <c r="AB55" s="124"/>
      <c r="AC55" s="124"/>
      <c r="AD55" s="124"/>
      <c r="AE55" s="124"/>
      <c r="AF55" s="124"/>
      <c r="AG55" s="124"/>
      <c r="AH55" s="124"/>
      <c r="AI55" s="124"/>
      <c r="AJ55" s="124"/>
      <c r="AK55" s="124"/>
      <c r="AL55" s="124"/>
      <c r="AM55" s="124"/>
      <c r="AN55" s="124"/>
      <c r="AO55" s="124"/>
      <c r="AP55" s="124"/>
      <c r="AQ55" s="124"/>
      <c r="AR55" s="124"/>
      <c r="AS55" s="124"/>
      <c r="AT55" s="124"/>
      <c r="AU55" s="124"/>
      <c r="AV55" s="124"/>
      <c r="AW55" s="124"/>
      <c r="AX55" s="124"/>
      <c r="AY55" s="124"/>
      <c r="AZ55" s="124"/>
      <c r="BA55" s="124"/>
      <c r="BB55" s="136"/>
    </row>
    <row r="56" customFormat="false" ht="15.6" hidden="false" customHeight="false" outlineLevel="0" collapsed="false">
      <c r="A56" s="111" t="n">
        <f aca="false">IF(ISBLANK(VLOOKUP(D56,#REF!,3)),0,1)</f>
        <v>1</v>
      </c>
      <c r="B56" s="112" t="n">
        <f aca="false">IF(ISBLANK(D56),0,IF(ISBLANK(E56),0,IF(ISBLANK(F56),0,1)))</f>
        <v>0</v>
      </c>
      <c r="C56" s="128" t="n">
        <v>22</v>
      </c>
      <c r="D56" s="151"/>
      <c r="E56" s="151"/>
      <c r="F56" s="152"/>
      <c r="G56" s="156"/>
      <c r="H56" s="151"/>
      <c r="I56" s="151"/>
      <c r="J56" s="132" t="str">
        <f aca="false">IF(ISBLANK(D56),"",IF(VLOOKUP(D56,#REF!,2)=0,"",IF(D56&gt;#REF!,"Mauvais numéro",IF(D56&lt;#REF!,"Mauvais numéro",(VLOOKUP(D56,#REF!,3))))))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57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49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24"/>
      <c r="AE56" s="124"/>
      <c r="AF56" s="124"/>
      <c r="AG56" s="124"/>
      <c r="AH56" s="124"/>
      <c r="AI56" s="124"/>
      <c r="AJ56" s="124"/>
      <c r="AK56" s="124"/>
      <c r="AL56" s="124"/>
      <c r="AM56" s="124"/>
      <c r="AN56" s="124"/>
      <c r="AO56" s="124"/>
      <c r="AP56" s="124"/>
      <c r="AQ56" s="124"/>
      <c r="AR56" s="124"/>
      <c r="AS56" s="124"/>
      <c r="AT56" s="124"/>
      <c r="AU56" s="124"/>
      <c r="AV56" s="124"/>
      <c r="AW56" s="124"/>
      <c r="AX56" s="124"/>
      <c r="AY56" s="124"/>
      <c r="AZ56" s="124"/>
      <c r="BA56" s="124"/>
      <c r="BB56" s="136"/>
    </row>
    <row r="57" customFormat="false" ht="15.6" hidden="false" customHeight="false" outlineLevel="0" collapsed="false">
      <c r="A57" s="111" t="n">
        <f aca="false">IF(ISBLANK(VLOOKUP(D57,#REF!,3)),0,1)</f>
        <v>1</v>
      </c>
      <c r="B57" s="112" t="n">
        <f aca="false">IF(ISBLANK(D57),0,IF(ISBLANK(E57),0,IF(ISBLANK(F57),0,1)))</f>
        <v>0</v>
      </c>
      <c r="C57" s="128" t="n">
        <v>23</v>
      </c>
      <c r="D57" s="151"/>
      <c r="E57" s="151"/>
      <c r="F57" s="152"/>
      <c r="G57" s="156"/>
      <c r="H57" s="151"/>
      <c r="I57" s="151"/>
      <c r="J57" s="132" t="str">
        <f aca="false">IF(ISBLANK(D57),"",IF(VLOOKUP(D57,#REF!,2)=0,"",IF(D57&gt;#REF!,"Mauvais numéro",IF(D57&lt;#REF!,"Mauvais numéro",(VLOOKUP(D57,#REF!,3))))))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57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49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4"/>
      <c r="U57" s="124"/>
      <c r="V57" s="124"/>
      <c r="W57" s="124"/>
      <c r="X57" s="124"/>
      <c r="Y57" s="124"/>
      <c r="Z57" s="124"/>
      <c r="AA57" s="124"/>
      <c r="AB57" s="124"/>
      <c r="AC57" s="124"/>
      <c r="AD57" s="124"/>
      <c r="AE57" s="124"/>
      <c r="AF57" s="124"/>
      <c r="AG57" s="124"/>
      <c r="AH57" s="124"/>
      <c r="AI57" s="124"/>
      <c r="AJ57" s="124"/>
      <c r="AK57" s="124"/>
      <c r="AL57" s="124"/>
      <c r="AM57" s="124"/>
      <c r="AN57" s="124"/>
      <c r="AO57" s="124"/>
      <c r="AP57" s="124"/>
      <c r="AQ57" s="124"/>
      <c r="AR57" s="124"/>
      <c r="AS57" s="124"/>
      <c r="AT57" s="124"/>
      <c r="AU57" s="124"/>
      <c r="AV57" s="124"/>
      <c r="AW57" s="124"/>
      <c r="AX57" s="124"/>
      <c r="AY57" s="124"/>
      <c r="AZ57" s="124"/>
      <c r="BA57" s="124"/>
      <c r="BB57" s="136"/>
    </row>
    <row r="58" customFormat="false" ht="16.2" hidden="false" customHeight="false" outlineLevel="0" collapsed="false">
      <c r="A58" s="111" t="n">
        <f aca="false">IF(ISBLANK(VLOOKUP(D58,#REF!,3)),0,1)</f>
        <v>1</v>
      </c>
      <c r="B58" s="112" t="n">
        <f aca="false">IF(ISBLANK(D58),0,IF(ISBLANK(E58),0,IF(ISBLANK(F58),0,1)))</f>
        <v>0</v>
      </c>
      <c r="C58" s="158" t="n">
        <v>24</v>
      </c>
      <c r="D58" s="159"/>
      <c r="E58" s="159"/>
      <c r="F58" s="160"/>
      <c r="G58" s="161"/>
      <c r="H58" s="159"/>
      <c r="I58" s="159"/>
      <c r="J58" s="162" t="str">
        <f aca="false">IF(ISBLANK(D58),"",IF(VLOOKUP(D58,#REF!,2)=0,"",IF(D58&gt;#REF!,"Mauvais numéro",IF(D58&lt;#REF!,"Mauvais numéro",(VLOOKUP(D58,#REF!,3))))))</f>
        <v/>
      </c>
      <c r="K58" s="163" t="str">
        <f aca="false">IF(ISBLANK(E58),"",(0.000824493-(0.0000040899*E58)+(0.000000076438*E58^2)-(0.00000000082467*E58^3)+(0.0000000000053875*E58^4)))</f>
        <v/>
      </c>
      <c r="L58" s="163" t="str">
        <f aca="false">IF(ISBLANK(E58),"",(-0.00000572466+(0.00000010227*E58)-(0.0000000016546*E58^2)))</f>
        <v/>
      </c>
      <c r="M58" s="163" t="str">
        <f aca="false">IF(ISBLANK(E58),"",IF(ISBLANK(G58),(O58+(K58*35)+(L58*35^1.5)+(0.00000048314*35^2)),(O58+(K58*G58)+(L58*G58^1.5)+(0.00000048314*G58^2))))</f>
        <v/>
      </c>
      <c r="N58" s="164" t="str">
        <f aca="false">IF(ISBLANK(D58),"",IF(ISBLANK(G58),J58*(1+0.00001*(35-20)),J58*(1+0.00001*(G58-20))))</f>
        <v/>
      </c>
      <c r="O58" s="163" t="str">
        <f aca="false">IF(ISBLANK(E58),"",(0.999842594+(0.00006793952*E58)-(0.00000909529*E58^2)+(0.0000001001685*E58^3)-(0.000000001120083*E58^4)+(0.000000000006536332*E58^5)))</f>
        <v/>
      </c>
      <c r="P58" s="165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66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7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7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68"/>
      <c r="U58" s="168"/>
      <c r="V58" s="168"/>
      <c r="W58" s="168"/>
      <c r="X58" s="168"/>
      <c r="Y58" s="168"/>
      <c r="Z58" s="168"/>
      <c r="AA58" s="168"/>
      <c r="AB58" s="168"/>
      <c r="AC58" s="168"/>
      <c r="AD58" s="168"/>
      <c r="AE58" s="168"/>
      <c r="AF58" s="168"/>
      <c r="AG58" s="168"/>
      <c r="AH58" s="168"/>
      <c r="AI58" s="168"/>
      <c r="AJ58" s="168"/>
      <c r="AK58" s="168"/>
      <c r="AL58" s="168"/>
      <c r="AM58" s="168"/>
      <c r="AN58" s="168"/>
      <c r="AO58" s="168"/>
      <c r="AP58" s="168"/>
      <c r="AQ58" s="168"/>
      <c r="AR58" s="168"/>
      <c r="AS58" s="168"/>
      <c r="AT58" s="168"/>
      <c r="AU58" s="168"/>
      <c r="AV58" s="168"/>
      <c r="AW58" s="168"/>
      <c r="AX58" s="168"/>
      <c r="AY58" s="168"/>
      <c r="AZ58" s="168"/>
      <c r="BA58" s="168"/>
      <c r="BB58" s="169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R1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8178137651822"/>
    <col collapsed="false" hidden="false" max="32" min="32" style="0" width="9.10526315789474"/>
    <col collapsed="false" hidden="false" max="33" min="33" style="0" width="26.5668016194332"/>
    <col collapsed="false" hidden="false" max="34" min="34" style="0" width="12.8542510121458"/>
    <col collapsed="false" hidden="false" max="35" min="35" style="0" width="11.1417004048583"/>
    <col collapsed="false" hidden="false" max="36" min="36" style="0" width="14.5668016194332"/>
    <col collapsed="false" hidden="false" max="37" min="37" style="0" width="12.2105263157895"/>
    <col collapsed="false" hidden="false" max="38" min="38" style="0" width="26.995951417004"/>
    <col collapsed="false" hidden="false" max="39" min="39" style="0" width="14.6761133603239"/>
    <col collapsed="false" hidden="false" max="40" min="40" style="0" width="11.3562753036437"/>
    <col collapsed="false" hidden="false" max="41" min="41" style="0" width="12.5344129554656"/>
    <col collapsed="false" hidden="false" max="42" min="42" style="0" width="10.7125506072875"/>
    <col collapsed="false" hidden="false" max="43" min="43" style="0" width="6.31983805668016"/>
    <col collapsed="false" hidden="false" max="44" min="44" style="0" width="19.7085020242915"/>
    <col collapsed="false" hidden="false" max="45" min="45" style="0" width="13.0688259109312"/>
    <col collapsed="false" hidden="false" max="46" min="46" style="0" width="17.7813765182186"/>
    <col collapsed="false" hidden="false" max="47" min="47" style="0" width="14.6761133603239"/>
    <col collapsed="false" hidden="false" max="48" min="48" style="0" width="13.6032388663968"/>
    <col collapsed="false" hidden="false" max="49" min="49" style="0" width="13.7125506072874"/>
    <col collapsed="false" hidden="false" max="50" min="50" style="0" width="19.9230769230769"/>
    <col collapsed="false" hidden="false" max="51" min="51" style="0" width="13.2834008097166"/>
    <col collapsed="false" hidden="false" max="52" min="52" style="0" width="17.6761133603239"/>
    <col collapsed="false" hidden="false" max="53" min="53" style="0" width="13.3886639676113"/>
    <col collapsed="false" hidden="false" max="54" min="54" style="0" width="12.6396761133603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10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38541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8</v>
      </c>
      <c r="J9" s="29" t="n">
        <v>30.05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-8°30,05</v>
      </c>
      <c r="P9" s="29" t="s">
        <v>15</v>
      </c>
      <c r="Q9" s="33" t="n">
        <f aca="false">IF(ISBLANK(I9),"",IF(ISBLANK(J9),"",IF(J9&gt;60,"ERREUR !!",O11*(I9+(J9/60)))))</f>
        <v>-8.50083333333333</v>
      </c>
      <c r="R9" s="33"/>
    </row>
    <row r="10" customFormat="false" ht="15" hidden="false" customHeight="true" outlineLevel="0" collapsed="false">
      <c r="C10" s="21"/>
      <c r="D10" s="18"/>
      <c r="G10" s="27" t="s">
        <v>16</v>
      </c>
      <c r="H10" s="27"/>
      <c r="I10" s="28" t="n">
        <v>9</v>
      </c>
      <c r="J10" s="29" t="n">
        <v>59.95</v>
      </c>
      <c r="K10" s="30" t="s">
        <v>12</v>
      </c>
      <c r="L10" s="31" t="str">
        <f aca="false">IF(P10=N9,"+","-")</f>
        <v>-</v>
      </c>
      <c r="M10" s="30" t="s">
        <v>15</v>
      </c>
      <c r="N10" s="30" t="s">
        <v>17</v>
      </c>
      <c r="O10" s="34" t="str">
        <f aca="false">IF(ISBLANK(I10),"",IF(ISBLANK(J10),"",IF(P10=N10,L10&amp;N12,N12)))</f>
        <v>-9°59,95</v>
      </c>
      <c r="P10" s="29" t="s">
        <v>17</v>
      </c>
      <c r="Q10" s="33" t="n">
        <f aca="false">IF(ISBLANK(I10),"",IF(ISBLANK(J10),"",IF(J10&gt;60,"ERREUR !!",O12*(I10+(J10/60)))))</f>
        <v>-9.99916666666667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38541</v>
      </c>
      <c r="K11" s="38"/>
      <c r="L11" s="38"/>
      <c r="M11" s="38"/>
      <c r="N11" s="39" t="str">
        <f aca="false">I9&amp;"°"&amp;J9</f>
        <v>8°30,05</v>
      </c>
      <c r="O11" s="40" t="n">
        <f aca="false">IF(P9=M10,-1,1)</f>
        <v>-1</v>
      </c>
      <c r="P11" s="41" t="str">
        <f aca="false">TEXT(J11,"aaaa-mm-jj")&amp;"T"&amp;TEXT(J12,"hh:mm:ss")&amp;"z"</f>
        <v>2009-07-09T16:00:00z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180" t="n">
        <v>0.666666666666667</v>
      </c>
      <c r="K12" s="45"/>
      <c r="L12" s="45"/>
      <c r="M12" s="45"/>
      <c r="N12" s="46" t="str">
        <f aca="false">I10&amp;"°"&amp;J10</f>
        <v>9°59,95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e">
        <f aca="false">$P$24*($P$18/#REF!)</f>
        <v>#REF!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e">
        <f aca="false">5+#REF!</f>
        <v>#REF!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e">
        <f aca="false">P20*(1+0.00001*(R14-20))</f>
        <v>#REF!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e">
        <f aca="false">MAX(#REF!)</f>
        <v>#VALUE!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e">
        <f aca="false">2+(#REF!+#REF!)</f>
        <v>#REF!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52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53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IF(ISBLANK(VLOOKUP(D35,#REF!,3)),0,1)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n">
        <v>34.937</v>
      </c>
      <c r="H35" s="118" t="n">
        <v>2000</v>
      </c>
      <c r="I35" s="119" t="n">
        <v>2004.3</v>
      </c>
      <c r="J35" s="120"/>
      <c r="K35" s="121"/>
      <c r="L35" s="121"/>
      <c r="M35" s="121"/>
      <c r="N35" s="122"/>
      <c r="O35" s="121"/>
      <c r="P35" s="171" t="n">
        <v>5.455</v>
      </c>
      <c r="Q35" s="120"/>
      <c r="R35" s="120"/>
      <c r="S35" s="172" t="n">
        <v>237.1</v>
      </c>
      <c r="T35" s="32" t="n">
        <v>0</v>
      </c>
      <c r="U35" s="32" t="n">
        <v>0</v>
      </c>
      <c r="V35" s="32"/>
      <c r="W35" s="32"/>
      <c r="X35" s="125" t="n">
        <v>22.1</v>
      </c>
      <c r="Y35" s="125" t="n">
        <v>21.6</v>
      </c>
      <c r="Z35" s="32" t="n">
        <v>1.42</v>
      </c>
      <c r="AA35" s="32" t="n">
        <v>1.38</v>
      </c>
      <c r="AB35" s="125" t="n">
        <v>26.4</v>
      </c>
      <c r="AC35" s="125" t="n">
        <v>25.8</v>
      </c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7"/>
    </row>
    <row r="36" customFormat="false" ht="15.6" hidden="false" customHeight="false" outlineLevel="0" collapsed="false">
      <c r="A36" s="111" t="n">
        <f aca="false">IF(ISBLANK(VLOOKUP(D36,#REF!,3)),0,1)</f>
        <v>1</v>
      </c>
      <c r="B36" s="112" t="n">
        <f aca="false">IF(ISBLANK(D36),0,IF(ISBLANK(E36),0,IF(ISBLANK(F36),0,1)))</f>
        <v>0</v>
      </c>
      <c r="C36" s="128" t="n">
        <v>2</v>
      </c>
      <c r="D36" s="129"/>
      <c r="E36" s="129"/>
      <c r="F36" s="130"/>
      <c r="G36" s="117" t="n">
        <v>34.5797</v>
      </c>
      <c r="H36" s="131" t="n">
        <v>1000</v>
      </c>
      <c r="I36" s="119" t="n">
        <v>1000.6</v>
      </c>
      <c r="J36" s="132"/>
      <c r="K36" s="133"/>
      <c r="L36" s="133"/>
      <c r="M36" s="133"/>
      <c r="N36" s="134"/>
      <c r="O36" s="133"/>
      <c r="P36" s="171" t="n">
        <v>3.608</v>
      </c>
      <c r="Q36" s="132"/>
      <c r="R36" s="132"/>
      <c r="S36" s="172" t="n">
        <v>156.9</v>
      </c>
      <c r="T36" s="32" t="n">
        <v>0</v>
      </c>
      <c r="U36" s="32" t="n">
        <v>0</v>
      </c>
      <c r="V36" s="32"/>
      <c r="W36" s="32"/>
      <c r="X36" s="125" t="n">
        <v>34.1</v>
      </c>
      <c r="Y36" s="125" t="n">
        <v>33.3</v>
      </c>
      <c r="Z36" s="32" t="n">
        <v>1.99</v>
      </c>
      <c r="AA36" s="32" t="n">
        <v>1.94</v>
      </c>
      <c r="AB36" s="125" t="n">
        <v>32.4</v>
      </c>
      <c r="AC36" s="125" t="n">
        <v>31.7</v>
      </c>
      <c r="AD36" s="124"/>
      <c r="AE36" s="124"/>
      <c r="AF36" s="124"/>
      <c r="AG36" s="124"/>
      <c r="AH36" s="124"/>
      <c r="AI36" s="124"/>
      <c r="AJ36" s="124"/>
      <c r="AK36" s="124"/>
      <c r="AL36" s="124"/>
      <c r="AM36" s="124"/>
      <c r="AN36" s="124"/>
      <c r="AO36" s="124"/>
      <c r="AP36" s="124"/>
      <c r="AQ36" s="124"/>
      <c r="AR36" s="124"/>
      <c r="AS36" s="124"/>
      <c r="AT36" s="124"/>
      <c r="AU36" s="124"/>
      <c r="AV36" s="124"/>
      <c r="AW36" s="124"/>
      <c r="AX36" s="124"/>
      <c r="AY36" s="124"/>
      <c r="AZ36" s="124"/>
      <c r="BA36" s="124"/>
      <c r="BB36" s="136"/>
    </row>
    <row r="37" customFormat="false" ht="16.2" hidden="false" customHeight="false" outlineLevel="0" collapsed="false">
      <c r="A37" s="111" t="n">
        <f aca="false">IF(ISBLANK(VLOOKUP(D37,#REF!,3)),0,1)</f>
        <v>1</v>
      </c>
      <c r="B37" s="112" t="n">
        <f aca="false">IF(ISBLANK(D37),0,IF(ISBLANK(E37),0,IF(ISBLANK(F37),0,1)))</f>
        <v>0</v>
      </c>
      <c r="C37" s="128" t="n">
        <v>3</v>
      </c>
      <c r="D37" s="129"/>
      <c r="E37" s="129"/>
      <c r="F37" s="137"/>
      <c r="G37" s="117" t="n">
        <v>34.689</v>
      </c>
      <c r="H37" s="131" t="n">
        <v>500</v>
      </c>
      <c r="I37" s="119" t="n">
        <v>500.9</v>
      </c>
      <c r="J37" s="132"/>
      <c r="K37" s="133"/>
      <c r="L37" s="133"/>
      <c r="M37" s="133"/>
      <c r="N37" s="134"/>
      <c r="O37" s="133"/>
      <c r="P37" s="171" t="n">
        <v>1.842</v>
      </c>
      <c r="Q37" s="132"/>
      <c r="R37" s="132"/>
      <c r="S37" s="172" t="n">
        <v>80.1</v>
      </c>
      <c r="T37" s="32" t="n">
        <v>0</v>
      </c>
      <c r="U37" s="32" t="n">
        <v>0</v>
      </c>
      <c r="V37" s="32"/>
      <c r="W37" s="32"/>
      <c r="X37" s="125" t="n">
        <v>36.4</v>
      </c>
      <c r="Y37" s="125" t="n">
        <v>35.5</v>
      </c>
      <c r="Z37" s="32" t="n">
        <v>2.28</v>
      </c>
      <c r="AA37" s="32" t="n">
        <v>2.22</v>
      </c>
      <c r="AB37" s="125" t="n">
        <v>18.7</v>
      </c>
      <c r="AC37" s="125" t="n">
        <v>18.3</v>
      </c>
      <c r="AD37" s="124"/>
      <c r="AE37" s="124"/>
      <c r="AF37" s="124"/>
      <c r="AG37" s="124"/>
      <c r="AH37" s="124"/>
      <c r="AI37" s="124"/>
      <c r="AJ37" s="124"/>
      <c r="AK37" s="124"/>
      <c r="AL37" s="124"/>
      <c r="AM37" s="124"/>
      <c r="AN37" s="124"/>
      <c r="AO37" s="124"/>
      <c r="AP37" s="124"/>
      <c r="AQ37" s="124"/>
      <c r="AR37" s="124"/>
      <c r="AS37" s="124"/>
      <c r="AT37" s="124"/>
      <c r="AU37" s="124"/>
      <c r="AV37" s="124"/>
      <c r="AW37" s="124"/>
      <c r="AX37" s="124"/>
      <c r="AY37" s="124"/>
      <c r="AZ37" s="124"/>
      <c r="BA37" s="124"/>
      <c r="BB37" s="136"/>
    </row>
    <row r="38" customFormat="false" ht="15.6" hidden="false" customHeight="false" outlineLevel="0" collapsed="false">
      <c r="A38" s="111" t="n">
        <f aca="false">IF(ISBLANK(VLOOKUP(D38,#REF!,3)),0,1)</f>
        <v>1</v>
      </c>
      <c r="B38" s="112" t="n">
        <f aca="false">IF(ISBLANK(D38),0,IF(ISBLANK(E38),0,IF(ISBLANK(F38),0,1)))</f>
        <v>0</v>
      </c>
      <c r="C38" s="128" t="n">
        <v>4</v>
      </c>
      <c r="D38" s="138"/>
      <c r="E38" s="138"/>
      <c r="F38" s="139"/>
      <c r="G38" s="117" t="n">
        <v>36.1095</v>
      </c>
      <c r="H38" s="131" t="n">
        <v>100</v>
      </c>
      <c r="I38" s="119" t="n">
        <v>99.9</v>
      </c>
      <c r="J38" s="132"/>
      <c r="K38" s="133"/>
      <c r="L38" s="133"/>
      <c r="M38" s="133"/>
      <c r="N38" s="134"/>
      <c r="O38" s="133"/>
      <c r="P38" s="171" t="n">
        <v>3.772</v>
      </c>
      <c r="Q38" s="132"/>
      <c r="R38" s="132"/>
      <c r="S38" s="172" t="n">
        <v>164.3</v>
      </c>
      <c r="T38" s="32" t="n">
        <v>0.59</v>
      </c>
      <c r="U38" s="32" t="n">
        <v>0.57</v>
      </c>
      <c r="V38" s="32"/>
      <c r="W38" s="32"/>
      <c r="X38" s="125" t="n">
        <v>6.6</v>
      </c>
      <c r="Y38" s="125" t="n">
        <v>6.5</v>
      </c>
      <c r="Z38" s="32" t="n">
        <v>0.62</v>
      </c>
      <c r="AA38" s="32" t="n">
        <v>0.61</v>
      </c>
      <c r="AB38" s="125" t="n">
        <v>2.3</v>
      </c>
      <c r="AC38" s="125" t="n">
        <v>2.3</v>
      </c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7"/>
    </row>
    <row r="39" customFormat="false" ht="15.6" hidden="false" customHeight="false" outlineLevel="0" collapsed="false">
      <c r="A39" s="111" t="n">
        <f aca="false">IF(ISBLANK(VLOOKUP(D39,#REF!,3)),0,1)</f>
        <v>1</v>
      </c>
      <c r="B39" s="112" t="n">
        <f aca="false">IF(ISBLANK(D39),0,IF(ISBLANK(E39),0,IF(ISBLANK(F39),0,1)))</f>
        <v>0</v>
      </c>
      <c r="C39" s="128" t="n">
        <v>5</v>
      </c>
      <c r="D39" s="129"/>
      <c r="E39" s="129"/>
      <c r="F39" s="137"/>
      <c r="G39" s="117" t="s">
        <v>99</v>
      </c>
      <c r="H39" s="131" t="n">
        <v>80</v>
      </c>
      <c r="I39" s="119" t="n">
        <v>80.5</v>
      </c>
      <c r="J39" s="132"/>
      <c r="K39" s="133"/>
      <c r="L39" s="133"/>
      <c r="M39" s="133"/>
      <c r="N39" s="134"/>
      <c r="O39" s="133"/>
      <c r="P39" s="171" t="n">
        <v>4.647</v>
      </c>
      <c r="Q39" s="132"/>
      <c r="R39" s="132"/>
      <c r="S39" s="172" t="n">
        <v>202.7</v>
      </c>
      <c r="T39" s="32" t="n">
        <v>0.04</v>
      </c>
      <c r="U39" s="32" t="n">
        <v>0.04</v>
      </c>
      <c r="V39" s="32"/>
      <c r="W39" s="32"/>
      <c r="X39" s="125" t="n">
        <v>0.9</v>
      </c>
      <c r="Y39" s="125" t="n">
        <v>0.8</v>
      </c>
      <c r="Z39" s="32" t="n">
        <v>0.21</v>
      </c>
      <c r="AA39" s="32" t="n">
        <v>0.2</v>
      </c>
      <c r="AB39" s="125" t="n">
        <v>1.2</v>
      </c>
      <c r="AC39" s="125" t="n">
        <v>1.2</v>
      </c>
      <c r="AD39" s="124"/>
      <c r="AE39" s="124"/>
      <c r="AF39" s="124"/>
      <c r="AG39" s="124"/>
      <c r="AH39" s="124"/>
      <c r="AI39" s="124"/>
      <c r="AJ39" s="124"/>
      <c r="AK39" s="124"/>
      <c r="AL39" s="124"/>
      <c r="AM39" s="124"/>
      <c r="AN39" s="124"/>
      <c r="AO39" s="124"/>
      <c r="AP39" s="124"/>
      <c r="AQ39" s="124"/>
      <c r="AR39" s="124"/>
      <c r="AS39" s="124"/>
      <c r="AT39" s="124"/>
      <c r="AU39" s="124"/>
      <c r="AV39" s="124"/>
      <c r="AW39" s="124"/>
      <c r="AX39" s="124"/>
      <c r="AY39" s="124"/>
      <c r="AZ39" s="124"/>
      <c r="BA39" s="124"/>
      <c r="BB39" s="136"/>
    </row>
    <row r="40" customFormat="false" ht="16.2" hidden="false" customHeight="false" outlineLevel="0" collapsed="false">
      <c r="A40" s="111" t="n">
        <f aca="false">IF(ISBLANK(VLOOKUP(D40,#REF!,3)),0,1)</f>
        <v>1</v>
      </c>
      <c r="B40" s="112" t="n">
        <f aca="false">IF(ISBLANK(D40),0,IF(ISBLANK(E40),0,IF(ISBLANK(F40),0,1)))</f>
        <v>0</v>
      </c>
      <c r="C40" s="128" t="n">
        <v>6</v>
      </c>
      <c r="D40" s="129"/>
      <c r="E40" s="129"/>
      <c r="F40" s="137"/>
      <c r="G40" s="117" t="s">
        <v>99</v>
      </c>
      <c r="H40" s="131" t="n">
        <v>80</v>
      </c>
      <c r="I40" s="119" t="n">
        <v>80.5</v>
      </c>
      <c r="J40" s="132"/>
      <c r="K40" s="133"/>
      <c r="L40" s="133"/>
      <c r="M40" s="133"/>
      <c r="N40" s="134"/>
      <c r="O40" s="133"/>
      <c r="P40" s="171" t="n">
        <v>4.714</v>
      </c>
      <c r="Q40" s="132"/>
      <c r="R40" s="132"/>
      <c r="S40" s="172" t="n">
        <v>205.7</v>
      </c>
      <c r="T40" s="32" t="n">
        <v>0.01</v>
      </c>
      <c r="U40" s="32" t="n">
        <v>0.01</v>
      </c>
      <c r="V40" s="32"/>
      <c r="W40" s="32"/>
      <c r="X40" s="125" t="n">
        <v>0.5</v>
      </c>
      <c r="Y40" s="125" t="n">
        <v>0.5</v>
      </c>
      <c r="Z40" s="32" t="n">
        <v>0.16</v>
      </c>
      <c r="AA40" s="32" t="n">
        <v>0.16</v>
      </c>
      <c r="AB40" s="125" t="n">
        <v>1.2</v>
      </c>
      <c r="AC40" s="125" t="n">
        <v>1.2</v>
      </c>
      <c r="AD40" s="124"/>
      <c r="AE40" s="124"/>
      <c r="AF40" s="124"/>
      <c r="AG40" s="124"/>
      <c r="AH40" s="124"/>
      <c r="AI40" s="124"/>
      <c r="AJ40" s="124"/>
      <c r="AK40" s="124"/>
      <c r="AL40" s="124"/>
      <c r="AM40" s="124"/>
      <c r="AN40" s="124"/>
      <c r="AO40" s="124"/>
      <c r="AP40" s="124"/>
      <c r="AQ40" s="124"/>
      <c r="AR40" s="124"/>
      <c r="AS40" s="124"/>
      <c r="AT40" s="124"/>
      <c r="AU40" s="124"/>
      <c r="AV40" s="124"/>
      <c r="AW40" s="124"/>
      <c r="AX40" s="124"/>
      <c r="AY40" s="124"/>
      <c r="AZ40" s="124"/>
      <c r="BA40" s="124"/>
      <c r="BB40" s="136"/>
    </row>
    <row r="41" customFormat="false" ht="15.6" hidden="false" customHeight="false" outlineLevel="0" collapsed="false">
      <c r="A41" s="111" t="n">
        <f aca="false">IF(ISBLANK(VLOOKUP(D41,#REF!,3)),0,1)</f>
        <v>1</v>
      </c>
      <c r="B41" s="112" t="n">
        <f aca="false">IF(ISBLANK(D41),0,IF(ISBLANK(E41),0,IF(ISBLANK(F41),0,1)))</f>
        <v>0</v>
      </c>
      <c r="C41" s="128" t="n">
        <v>7</v>
      </c>
      <c r="D41" s="129"/>
      <c r="E41" s="129"/>
      <c r="F41" s="137"/>
      <c r="G41" s="117" t="s">
        <v>99</v>
      </c>
      <c r="H41" s="131" t="n">
        <v>60</v>
      </c>
      <c r="I41" s="119" t="n">
        <v>60.8</v>
      </c>
      <c r="J41" s="132"/>
      <c r="K41" s="133"/>
      <c r="L41" s="133"/>
      <c r="M41" s="133"/>
      <c r="N41" s="134"/>
      <c r="O41" s="133"/>
      <c r="P41" s="171" t="n">
        <v>4.637</v>
      </c>
      <c r="Q41" s="132"/>
      <c r="R41" s="132"/>
      <c r="S41" s="172" t="n">
        <v>202.4</v>
      </c>
      <c r="T41" s="32" t="n">
        <v>0</v>
      </c>
      <c r="U41" s="32" t="n">
        <v>0</v>
      </c>
      <c r="V41" s="32"/>
      <c r="W41" s="32"/>
      <c r="X41" s="125" t="n">
        <v>0.3</v>
      </c>
      <c r="Y41" s="125" t="n">
        <v>0.3</v>
      </c>
      <c r="Z41" s="32" t="n">
        <v>0.03</v>
      </c>
      <c r="AA41" s="32" t="n">
        <v>0.03</v>
      </c>
      <c r="AB41" s="125" t="n">
        <v>1</v>
      </c>
      <c r="AC41" s="125" t="n">
        <v>1</v>
      </c>
      <c r="AD41" s="126"/>
      <c r="AE41" s="126"/>
      <c r="AF41" s="126"/>
      <c r="AG41" s="126"/>
      <c r="AH41" s="126"/>
      <c r="AI41" s="126"/>
      <c r="AJ41" s="126"/>
      <c r="AK41" s="126"/>
      <c r="AL41" s="126"/>
      <c r="AM41" s="126"/>
      <c r="AN41" s="126"/>
      <c r="AO41" s="126"/>
      <c r="AP41" s="126"/>
      <c r="AQ41" s="126"/>
      <c r="AR41" s="126"/>
      <c r="AS41" s="126"/>
      <c r="AT41" s="126"/>
      <c r="AU41" s="126"/>
      <c r="AV41" s="126"/>
      <c r="AW41" s="126"/>
      <c r="AX41" s="126"/>
      <c r="AY41" s="126"/>
      <c r="AZ41" s="126"/>
      <c r="BA41" s="126"/>
      <c r="BB41" s="127"/>
    </row>
    <row r="42" customFormat="false" ht="16.2" hidden="false" customHeight="false" outlineLevel="0" collapsed="false">
      <c r="A42" s="111" t="n">
        <f aca="false">IF(ISBLANK(VLOOKUP(D42,#REF!,3)),0,1)</f>
        <v>1</v>
      </c>
      <c r="B42" s="112" t="n">
        <f aca="false">IF(ISBLANK(D42),0,IF(ISBLANK(E42),0,IF(ISBLANK(F42),0,1)))</f>
        <v>0</v>
      </c>
      <c r="C42" s="128" t="n">
        <v>8</v>
      </c>
      <c r="D42" s="129"/>
      <c r="E42" s="129"/>
      <c r="F42" s="137"/>
      <c r="G42" s="117" t="s">
        <v>99</v>
      </c>
      <c r="H42" s="131" t="n">
        <v>40</v>
      </c>
      <c r="I42" s="119" t="n">
        <v>40.2</v>
      </c>
      <c r="J42" s="132"/>
      <c r="K42" s="133"/>
      <c r="L42" s="133"/>
      <c r="M42" s="133"/>
      <c r="N42" s="134"/>
      <c r="O42" s="133"/>
      <c r="P42" s="171" t="n">
        <v>4.64</v>
      </c>
      <c r="Q42" s="132"/>
      <c r="R42" s="132"/>
      <c r="S42" s="172" t="n">
        <v>202.5</v>
      </c>
      <c r="T42" s="32" t="n">
        <v>0</v>
      </c>
      <c r="U42" s="32" t="n">
        <v>0</v>
      </c>
      <c r="V42" s="32"/>
      <c r="W42" s="32"/>
      <c r="X42" s="125" t="n">
        <v>0.1</v>
      </c>
      <c r="Y42" s="125" t="n">
        <v>0.1</v>
      </c>
      <c r="Z42" s="32" t="n">
        <v>0.04</v>
      </c>
      <c r="AA42" s="32" t="n">
        <v>0.04</v>
      </c>
      <c r="AB42" s="125" t="n">
        <v>0.7</v>
      </c>
      <c r="AC42" s="125" t="n">
        <v>0.7</v>
      </c>
      <c r="AD42" s="124"/>
      <c r="AE42" s="124"/>
      <c r="AF42" s="124"/>
      <c r="AG42" s="124"/>
      <c r="AH42" s="124"/>
      <c r="AI42" s="124"/>
      <c r="AJ42" s="124"/>
      <c r="AK42" s="124"/>
      <c r="AL42" s="124"/>
      <c r="AM42" s="124"/>
      <c r="AN42" s="124"/>
      <c r="AO42" s="124"/>
      <c r="AP42" s="124"/>
      <c r="AQ42" s="124"/>
      <c r="AR42" s="124"/>
      <c r="AS42" s="124"/>
      <c r="AT42" s="124"/>
      <c r="AU42" s="124"/>
      <c r="AV42" s="124"/>
      <c r="AW42" s="124"/>
      <c r="AX42" s="124"/>
      <c r="AY42" s="124"/>
      <c r="AZ42" s="124"/>
      <c r="BA42" s="124"/>
      <c r="BB42" s="136"/>
    </row>
    <row r="43" customFormat="false" ht="15.6" hidden="false" customHeight="false" outlineLevel="0" collapsed="false">
      <c r="A43" s="111" t="n">
        <f aca="false">IF(ISBLANK(VLOOKUP(D43,#REF!,3)),0,1)</f>
        <v>1</v>
      </c>
      <c r="B43" s="112" t="n">
        <f aca="false">IF(ISBLANK(D43),0,IF(ISBLANK(E43),0,IF(ISBLANK(F43),0,1)))</f>
        <v>0</v>
      </c>
      <c r="C43" s="128" t="n">
        <v>9</v>
      </c>
      <c r="D43" s="129"/>
      <c r="E43" s="129"/>
      <c r="F43" s="137"/>
      <c r="G43" s="117" t="s">
        <v>99</v>
      </c>
      <c r="H43" s="131" t="n">
        <v>20</v>
      </c>
      <c r="I43" s="119" t="n">
        <v>20.9</v>
      </c>
      <c r="J43" s="132"/>
      <c r="K43" s="133"/>
      <c r="L43" s="133"/>
      <c r="M43" s="133"/>
      <c r="N43" s="134"/>
      <c r="O43" s="133"/>
      <c r="P43" s="171" t="n">
        <v>4.64</v>
      </c>
      <c r="Q43" s="132"/>
      <c r="R43" s="132"/>
      <c r="S43" s="172" t="n">
        <v>202.6</v>
      </c>
      <c r="T43" s="32" t="n">
        <v>0</v>
      </c>
      <c r="U43" s="32" t="n">
        <v>0</v>
      </c>
      <c r="V43" s="32"/>
      <c r="W43" s="32"/>
      <c r="X43" s="125" t="n">
        <v>0.1</v>
      </c>
      <c r="Y43" s="125" t="n">
        <v>0.1</v>
      </c>
      <c r="Z43" s="32" t="n">
        <v>0.03</v>
      </c>
      <c r="AA43" s="32" t="n">
        <v>0.03</v>
      </c>
      <c r="AB43" s="125" t="n">
        <v>0.5</v>
      </c>
      <c r="AC43" s="125" t="n">
        <v>0.5</v>
      </c>
      <c r="AD43" s="126"/>
      <c r="AE43" s="126"/>
      <c r="AF43" s="126"/>
      <c r="AG43" s="126"/>
      <c r="AH43" s="126"/>
      <c r="AI43" s="126"/>
      <c r="AJ43" s="126"/>
      <c r="AK43" s="126"/>
      <c r="AL43" s="126"/>
      <c r="AM43" s="126"/>
      <c r="AN43" s="126"/>
      <c r="AO43" s="126"/>
      <c r="AP43" s="126"/>
      <c r="AQ43" s="126"/>
      <c r="AR43" s="126"/>
      <c r="AS43" s="126"/>
      <c r="AT43" s="126"/>
      <c r="AU43" s="126"/>
      <c r="AV43" s="126"/>
      <c r="AW43" s="126"/>
      <c r="AX43" s="126"/>
      <c r="AY43" s="126"/>
      <c r="AZ43" s="126"/>
      <c r="BA43" s="126"/>
      <c r="BB43" s="127"/>
    </row>
    <row r="44" customFormat="false" ht="15.6" hidden="false" customHeight="false" outlineLevel="0" collapsed="false">
      <c r="A44" s="111" t="n">
        <f aca="false">IF(ISBLANK(VLOOKUP(D44,#REF!,3)),0,1)</f>
        <v>1</v>
      </c>
      <c r="B44" s="112" t="n">
        <f aca="false">IF(ISBLANK(D44),0,IF(ISBLANK(E44),0,IF(ISBLANK(F44),0,1)))</f>
        <v>0</v>
      </c>
      <c r="C44" s="128" t="n">
        <v>10</v>
      </c>
      <c r="D44" s="129"/>
      <c r="E44" s="129"/>
      <c r="F44" s="137"/>
      <c r="G44" s="117" t="s">
        <v>99</v>
      </c>
      <c r="H44" s="131" t="n">
        <v>10</v>
      </c>
      <c r="I44" s="119" t="n">
        <v>10.3</v>
      </c>
      <c r="J44" s="132"/>
      <c r="K44" s="133"/>
      <c r="L44" s="133"/>
      <c r="M44" s="133"/>
      <c r="N44" s="134"/>
      <c r="O44" s="133"/>
      <c r="P44" s="171" t="n">
        <v>4.635</v>
      </c>
      <c r="Q44" s="132"/>
      <c r="R44" s="132"/>
      <c r="S44" s="172" t="n">
        <v>202.3</v>
      </c>
      <c r="T44" s="32" t="n">
        <v>0</v>
      </c>
      <c r="U44" s="32" t="n">
        <v>0</v>
      </c>
      <c r="V44" s="32"/>
      <c r="W44" s="32"/>
      <c r="X44" s="125" t="n">
        <v>0</v>
      </c>
      <c r="Y44" s="125" t="n">
        <v>0</v>
      </c>
      <c r="Z44" s="32" t="n">
        <v>0.03</v>
      </c>
      <c r="AA44" s="32" t="n">
        <v>0.03</v>
      </c>
      <c r="AB44" s="125" t="n">
        <v>0.6</v>
      </c>
      <c r="AC44" s="125" t="n">
        <v>0.6</v>
      </c>
      <c r="AD44" s="124"/>
      <c r="AE44" s="124"/>
      <c r="AF44" s="124"/>
      <c r="AG44" s="124"/>
      <c r="AH44" s="124"/>
      <c r="AI44" s="124"/>
      <c r="AJ44" s="124"/>
      <c r="AK44" s="124"/>
      <c r="AL44" s="124"/>
      <c r="AM44" s="124"/>
      <c r="AN44" s="124"/>
      <c r="AO44" s="124"/>
      <c r="AP44" s="124"/>
      <c r="AQ44" s="124"/>
      <c r="AR44" s="124"/>
      <c r="AS44" s="124"/>
      <c r="AT44" s="124"/>
      <c r="AU44" s="124"/>
      <c r="AV44" s="124"/>
      <c r="AW44" s="124"/>
      <c r="AX44" s="124"/>
      <c r="AY44" s="124"/>
      <c r="AZ44" s="124"/>
      <c r="BA44" s="124"/>
      <c r="BB44" s="136"/>
    </row>
    <row r="45" customFormat="false" ht="15.6" hidden="false" customHeight="false" outlineLevel="0" collapsed="false">
      <c r="A45" s="111" t="n">
        <f aca="false">IF(ISBLANK(VLOOKUP(D45,#REF!,3)),0,1)</f>
        <v>1</v>
      </c>
      <c r="B45" s="112" t="n">
        <f aca="false">IF(ISBLANK(D45),0,IF(ISBLANK(E45),0,IF(ISBLANK(F45),0,1)))</f>
        <v>0</v>
      </c>
      <c r="C45" s="128" t="n">
        <v>11</v>
      </c>
      <c r="D45" s="129"/>
      <c r="E45" s="129"/>
      <c r="F45" s="137"/>
      <c r="G45" s="117" t="n">
        <v>35.5926</v>
      </c>
      <c r="H45" s="131" t="n">
        <v>0</v>
      </c>
      <c r="I45" s="119" t="n">
        <v>1.8</v>
      </c>
      <c r="J45" s="132"/>
      <c r="K45" s="133"/>
      <c r="L45" s="133"/>
      <c r="M45" s="133"/>
      <c r="N45" s="134"/>
      <c r="O45" s="133"/>
      <c r="P45" s="171" t="n">
        <v>4.637</v>
      </c>
      <c r="Q45" s="132"/>
      <c r="R45" s="132"/>
      <c r="S45" s="172" t="n">
        <v>202.3</v>
      </c>
      <c r="T45" s="32" t="n">
        <v>0</v>
      </c>
      <c r="U45" s="32" t="n">
        <v>0</v>
      </c>
      <c r="V45" s="32"/>
      <c r="W45" s="32"/>
      <c r="X45" s="125" t="n">
        <v>0</v>
      </c>
      <c r="Y45" s="125" t="n">
        <v>0</v>
      </c>
      <c r="Z45" s="32" t="n">
        <v>0.03</v>
      </c>
      <c r="AA45" s="32" t="n">
        <v>0.03</v>
      </c>
      <c r="AB45" s="125" t="n">
        <v>0.6</v>
      </c>
      <c r="AC45" s="125" t="n">
        <v>0.5</v>
      </c>
      <c r="AD45" s="124"/>
      <c r="AE45" s="124"/>
      <c r="AF45" s="124"/>
      <c r="AG45" s="124"/>
      <c r="AH45" s="124"/>
      <c r="AI45" s="124"/>
      <c r="AJ45" s="124"/>
      <c r="AK45" s="124"/>
      <c r="AL45" s="124"/>
      <c r="AM45" s="124"/>
      <c r="AN45" s="124"/>
      <c r="AO45" s="124"/>
      <c r="AP45" s="124"/>
      <c r="AQ45" s="124"/>
      <c r="AR45" s="124"/>
      <c r="AS45" s="124"/>
      <c r="AT45" s="124"/>
      <c r="AU45" s="124"/>
      <c r="AV45" s="124"/>
      <c r="AW45" s="124"/>
      <c r="AX45" s="124"/>
      <c r="AY45" s="124"/>
      <c r="AZ45" s="124"/>
      <c r="BA45" s="124"/>
      <c r="BB45" s="136"/>
    </row>
    <row r="46" customFormat="false" ht="15.6" hidden="false" customHeight="false" outlineLevel="0" collapsed="false">
      <c r="A46" s="111" t="n">
        <f aca="false">IF(ISBLANK(VLOOKUP(D46,#REF!,3)),0,1)</f>
        <v>1</v>
      </c>
      <c r="B46" s="112" t="n">
        <f aca="false">IF(ISBLANK(D46),0,IF(ISBLANK(E46),0,IF(ISBLANK(F46),0,1)))</f>
        <v>0</v>
      </c>
      <c r="C46" s="128" t="n">
        <v>12</v>
      </c>
      <c r="D46" s="142"/>
      <c r="E46" s="142"/>
      <c r="F46" s="143"/>
      <c r="G46" s="144"/>
      <c r="H46" s="142"/>
      <c r="I46" s="145"/>
      <c r="J46" s="132" t="str">
        <f aca="false">IF(ISBLANK(D46),"",IF(VLOOKUP(D46,#REF!,2)=0,"",IF(D46&gt;#REF!,"Mauvais numéro",IF(D46&lt;#REF!,"Mauvais numéro",(VLOOKUP(D46,#REF!,3))))))</f>
        <v/>
      </c>
      <c r="K46" s="146" t="str">
        <f aca="false">IF(ISBLANK(E46),"",(0.000824493-(0.0000040899*E46)+(0.000000076438*E46^2)-(0.00000000082467*E46^3)+(0.0000000000053875*E46^4)))</f>
        <v/>
      </c>
      <c r="L46" s="146" t="str">
        <f aca="false">IF(ISBLANK(E46),"",(-0.00000572466+(0.00000010227*E46)-(0.0000000016546*E46^2)))</f>
        <v/>
      </c>
      <c r="M46" s="146" t="str">
        <f aca="false">IF(ISBLANK(E46),"",IF(ISBLANK(G46),(O46+(K46*35)+(L46*35^1.5)+(0.00000048314*35^2)),(O46+(K46*G46)+(L46*G46^1.5)+(0.00000048314*G46^2))))</f>
        <v/>
      </c>
      <c r="N46" s="147" t="str">
        <f aca="false">IF(ISBLANK(D46),"",IF(ISBLANK(G46),J46*(1+0.00001*(35-20)),J46*(1+0.00001*(G46-20))))</f>
        <v/>
      </c>
      <c r="O46" s="146" t="str">
        <f aca="false">IF(ISBLANK(E46),"",(0.999842594+(0.00006793952*E46)-(0.00000909529*E46^2)+(0.0000001001685*E46^3)-(0.000000001120083*E46^4)+(0.000000000006536332*E46^5)))</f>
        <v/>
      </c>
      <c r="P46" s="148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49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0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0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24"/>
      <c r="U46" s="124"/>
      <c r="V46" s="124"/>
      <c r="W46" s="124"/>
      <c r="X46" s="124"/>
      <c r="Y46" s="124"/>
      <c r="Z46" s="124"/>
      <c r="AA46" s="124"/>
      <c r="AB46" s="124"/>
      <c r="AC46" s="124"/>
      <c r="AD46" s="124"/>
      <c r="AE46" s="124"/>
      <c r="AF46" s="124"/>
      <c r="AG46" s="124"/>
      <c r="AH46" s="124"/>
      <c r="AI46" s="124"/>
      <c r="AJ46" s="124"/>
      <c r="AK46" s="124"/>
      <c r="AL46" s="124"/>
      <c r="AM46" s="124"/>
      <c r="AN46" s="124"/>
      <c r="AO46" s="124"/>
      <c r="AP46" s="124"/>
      <c r="AQ46" s="124"/>
      <c r="AR46" s="124"/>
      <c r="AS46" s="124"/>
      <c r="AT46" s="124"/>
      <c r="AU46" s="124"/>
      <c r="AV46" s="124"/>
      <c r="AW46" s="124"/>
      <c r="AX46" s="124"/>
      <c r="AY46" s="124"/>
      <c r="AZ46" s="124"/>
      <c r="BA46" s="124"/>
      <c r="BB46" s="136"/>
    </row>
    <row r="47" customFormat="false" ht="15.6" hidden="false" customHeight="false" outlineLevel="0" collapsed="false">
      <c r="A47" s="111" t="n">
        <f aca="false">IF(ISBLANK(VLOOKUP(D47,#REF!,3)),0,1)</f>
        <v>1</v>
      </c>
      <c r="B47" s="112" t="n">
        <f aca="false">IF(ISBLANK(D47),0,IF(ISBLANK(E47),0,IF(ISBLANK(F47),0,1)))</f>
        <v>0</v>
      </c>
      <c r="C47" s="128" t="n">
        <v>13</v>
      </c>
      <c r="D47" s="151"/>
      <c r="E47" s="151"/>
      <c r="F47" s="152"/>
      <c r="G47" s="153"/>
      <c r="H47" s="151"/>
      <c r="I47" s="151"/>
      <c r="J47" s="132" t="str">
        <f aca="false">IF(ISBLANK(D47),"",IF(VLOOKUP(D47,#REF!,2)=0,"",IF(D47&gt;#REF!,"Mauvais numéro",IF(D47&lt;#REF!,"Mauvais numéro",(VLOOKUP(D47,#REF!,3))))))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54"/>
      <c r="Q47" s="149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5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4"/>
      <c r="T47" s="124"/>
      <c r="U47" s="124"/>
      <c r="V47" s="124"/>
      <c r="W47" s="124"/>
      <c r="X47" s="12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24"/>
      <c r="AJ47" s="124"/>
      <c r="AK47" s="124"/>
      <c r="AL47" s="124"/>
      <c r="AM47" s="124"/>
      <c r="AN47" s="124"/>
      <c r="AO47" s="124"/>
      <c r="AP47" s="124"/>
      <c r="AQ47" s="124"/>
      <c r="AR47" s="124"/>
      <c r="AS47" s="124"/>
      <c r="AT47" s="124"/>
      <c r="AU47" s="124"/>
      <c r="AV47" s="124"/>
      <c r="AW47" s="124"/>
      <c r="AX47" s="124"/>
      <c r="AY47" s="124"/>
      <c r="AZ47" s="124"/>
      <c r="BA47" s="124"/>
      <c r="BB47" s="136"/>
    </row>
    <row r="48" customFormat="false" ht="15.6" hidden="false" customHeight="false" outlineLevel="0" collapsed="false">
      <c r="A48" s="111" t="n">
        <f aca="false">IF(ISBLANK(VLOOKUP(D48,#REF!,3)),0,1)</f>
        <v>1</v>
      </c>
      <c r="B48" s="112" t="n">
        <f aca="false">IF(ISBLANK(D48),0,IF(ISBLANK(E48),0,IF(ISBLANK(F48),0,1)))</f>
        <v>0</v>
      </c>
      <c r="C48" s="128" t="n">
        <v>14</v>
      </c>
      <c r="D48" s="151"/>
      <c r="E48" s="151"/>
      <c r="F48" s="152"/>
      <c r="G48" s="153"/>
      <c r="H48" s="151"/>
      <c r="I48" s="151"/>
      <c r="J48" s="132" t="str">
        <f aca="false">IF(ISBLANK(D48),"",IF(VLOOKUP(D48,#REF!,2)=0,"",IF(D48&gt;#REF!,"Mauvais numéro",IF(D48&lt;#REF!,"Mauvais numéro",(VLOOKUP(D48,#REF!,3))))))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54"/>
      <c r="Q48" s="149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5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4"/>
      <c r="T48" s="124"/>
      <c r="U48" s="124"/>
      <c r="V48" s="124"/>
      <c r="W48" s="124"/>
      <c r="X48" s="124"/>
      <c r="Y48" s="124"/>
      <c r="Z48" s="124"/>
      <c r="AA48" s="124"/>
      <c r="AB48" s="124"/>
      <c r="AC48" s="124"/>
      <c r="AD48" s="124"/>
      <c r="AE48" s="124"/>
      <c r="AF48" s="124"/>
      <c r="AG48" s="124"/>
      <c r="AH48" s="124"/>
      <c r="AI48" s="124"/>
      <c r="AJ48" s="124"/>
      <c r="AK48" s="124"/>
      <c r="AL48" s="124"/>
      <c r="AM48" s="124"/>
      <c r="AN48" s="124"/>
      <c r="AO48" s="124"/>
      <c r="AP48" s="124"/>
      <c r="AQ48" s="124"/>
      <c r="AR48" s="124"/>
      <c r="AS48" s="124"/>
      <c r="AT48" s="124"/>
      <c r="AU48" s="124"/>
      <c r="AV48" s="124"/>
      <c r="AW48" s="124"/>
      <c r="AX48" s="124"/>
      <c r="AY48" s="124"/>
      <c r="AZ48" s="124"/>
      <c r="BA48" s="124"/>
      <c r="BB48" s="136"/>
    </row>
    <row r="49" customFormat="false" ht="15.6" hidden="false" customHeight="false" outlineLevel="0" collapsed="false">
      <c r="A49" s="111" t="n">
        <f aca="false">IF(ISBLANK(VLOOKUP(D49,#REF!,3)),0,1)</f>
        <v>1</v>
      </c>
      <c r="B49" s="112" t="n">
        <f aca="false">IF(ISBLANK(D49),0,IF(ISBLANK(E49),0,IF(ISBLANK(F49),0,1)))</f>
        <v>0</v>
      </c>
      <c r="C49" s="128" t="n">
        <v>15</v>
      </c>
      <c r="D49" s="151"/>
      <c r="E49" s="151"/>
      <c r="F49" s="152"/>
      <c r="G49" s="156"/>
      <c r="H49" s="151"/>
      <c r="I49" s="151"/>
      <c r="J49" s="132" t="str">
        <f aca="false">IF(ISBLANK(D49),"",IF(VLOOKUP(D49,#REF!,2)=0,"",IF(D49&gt;#REF!,"Mauvais numéro",IF(D49&lt;#REF!,"Mauvais numéro",(VLOOKUP(D49,#REF!,3))))))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57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49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24"/>
      <c r="AE49" s="124"/>
      <c r="AF49" s="124"/>
      <c r="AG49" s="124"/>
      <c r="AH49" s="124"/>
      <c r="AI49" s="124"/>
      <c r="AJ49" s="124"/>
      <c r="AK49" s="124"/>
      <c r="AL49" s="124"/>
      <c r="AM49" s="124"/>
      <c r="AN49" s="124"/>
      <c r="AO49" s="124"/>
      <c r="AP49" s="124"/>
      <c r="AQ49" s="124"/>
      <c r="AR49" s="124"/>
      <c r="AS49" s="124"/>
      <c r="AT49" s="124"/>
      <c r="AU49" s="124"/>
      <c r="AV49" s="124"/>
      <c r="AW49" s="124"/>
      <c r="AX49" s="124"/>
      <c r="AY49" s="124"/>
      <c r="AZ49" s="124"/>
      <c r="BA49" s="124"/>
      <c r="BB49" s="136"/>
    </row>
    <row r="50" customFormat="false" ht="15.6" hidden="false" customHeight="false" outlineLevel="0" collapsed="false">
      <c r="A50" s="111" t="n">
        <f aca="false">IF(ISBLANK(VLOOKUP(D50,#REF!,3)),0,1)</f>
        <v>1</v>
      </c>
      <c r="B50" s="112" t="n">
        <f aca="false">IF(ISBLANK(D50),0,IF(ISBLANK(E50),0,IF(ISBLANK(F50),0,1)))</f>
        <v>0</v>
      </c>
      <c r="C50" s="128" t="n">
        <v>16</v>
      </c>
      <c r="D50" s="151"/>
      <c r="E50" s="151"/>
      <c r="F50" s="152"/>
      <c r="G50" s="156"/>
      <c r="H50" s="151"/>
      <c r="I50" s="151"/>
      <c r="J50" s="132" t="str">
        <f aca="false">IF(ISBLANK(D50),"",IF(VLOOKUP(D50,#REF!,2)=0,"",IF(D50&gt;#REF!,"Mauvais numéro",IF(D50&lt;#REF!,"Mauvais numéro",(VLOOKUP(D50,#REF!,3))))))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57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49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24"/>
      <c r="U50" s="124"/>
      <c r="V50" s="124"/>
      <c r="W50" s="124"/>
      <c r="X50" s="124"/>
      <c r="Y50" s="124"/>
      <c r="Z50" s="124"/>
      <c r="AA50" s="124"/>
      <c r="AB50" s="124"/>
      <c r="AC50" s="124"/>
      <c r="AD50" s="124"/>
      <c r="AE50" s="124"/>
      <c r="AF50" s="124"/>
      <c r="AG50" s="124"/>
      <c r="AH50" s="124"/>
      <c r="AI50" s="124"/>
      <c r="AJ50" s="124"/>
      <c r="AK50" s="124"/>
      <c r="AL50" s="124"/>
      <c r="AM50" s="124"/>
      <c r="AN50" s="124"/>
      <c r="AO50" s="124"/>
      <c r="AP50" s="124"/>
      <c r="AQ50" s="124"/>
      <c r="AR50" s="124"/>
      <c r="AS50" s="124"/>
      <c r="AT50" s="124"/>
      <c r="AU50" s="124"/>
      <c r="AV50" s="124"/>
      <c r="AW50" s="124"/>
      <c r="AX50" s="124"/>
      <c r="AY50" s="124"/>
      <c r="AZ50" s="124"/>
      <c r="BA50" s="124"/>
      <c r="BB50" s="136"/>
    </row>
    <row r="51" customFormat="false" ht="15.6" hidden="false" customHeight="false" outlineLevel="0" collapsed="false">
      <c r="A51" s="111" t="n">
        <f aca="false">IF(ISBLANK(VLOOKUP(D51,#REF!,3)),0,1)</f>
        <v>1</v>
      </c>
      <c r="B51" s="112" t="n">
        <f aca="false">IF(ISBLANK(D51),0,IF(ISBLANK(E51),0,IF(ISBLANK(F51),0,1)))</f>
        <v>0</v>
      </c>
      <c r="C51" s="128" t="n">
        <v>17</v>
      </c>
      <c r="D51" s="151"/>
      <c r="E51" s="151"/>
      <c r="F51" s="152"/>
      <c r="G51" s="156"/>
      <c r="H51" s="151"/>
      <c r="I51" s="151"/>
      <c r="J51" s="132" t="str">
        <f aca="false">IF(ISBLANK(D51),"",IF(VLOOKUP(D51,#REF!,2)=0,"",IF(D51&gt;#REF!,"Mauvais numéro",IF(D51&lt;#REF!,"Mauvais numéro",(VLOOKUP(D51,#REF!,3))))))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57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49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24"/>
      <c r="AE51" s="124"/>
      <c r="AF51" s="124"/>
      <c r="AG51" s="124"/>
      <c r="AH51" s="124"/>
      <c r="AI51" s="124"/>
      <c r="AJ51" s="124"/>
      <c r="AK51" s="124"/>
      <c r="AL51" s="124"/>
      <c r="AM51" s="124"/>
      <c r="AN51" s="124"/>
      <c r="AO51" s="124"/>
      <c r="AP51" s="124"/>
      <c r="AQ51" s="124"/>
      <c r="AR51" s="124"/>
      <c r="AS51" s="124"/>
      <c r="AT51" s="124"/>
      <c r="AU51" s="124"/>
      <c r="AV51" s="124"/>
      <c r="AW51" s="124"/>
      <c r="AX51" s="124"/>
      <c r="AY51" s="124"/>
      <c r="AZ51" s="124"/>
      <c r="BA51" s="124"/>
      <c r="BB51" s="136"/>
    </row>
    <row r="52" customFormat="false" ht="15.6" hidden="false" customHeight="false" outlineLevel="0" collapsed="false">
      <c r="A52" s="111" t="n">
        <f aca="false">IF(ISBLANK(VLOOKUP(D52,#REF!,3)),0,1)</f>
        <v>1</v>
      </c>
      <c r="B52" s="112" t="n">
        <f aca="false">IF(ISBLANK(D52),0,IF(ISBLANK(E52),0,IF(ISBLANK(F52),0,1)))</f>
        <v>0</v>
      </c>
      <c r="C52" s="128" t="n">
        <v>18</v>
      </c>
      <c r="D52" s="151"/>
      <c r="E52" s="151"/>
      <c r="F52" s="152"/>
      <c r="G52" s="156"/>
      <c r="H52" s="151"/>
      <c r="I52" s="151"/>
      <c r="J52" s="132" t="str">
        <f aca="false">IF(ISBLANK(D52),"",IF(VLOOKUP(D52,#REF!,2)=0,"",IF(D52&gt;#REF!,"Mauvais numéro",IF(D52&lt;#REF!,"Mauvais numéro",(VLOOKUP(D52,#REF!,3))))))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57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49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24"/>
      <c r="U52" s="124"/>
      <c r="V52" s="124"/>
      <c r="W52" s="124"/>
      <c r="X52" s="124"/>
      <c r="Y52" s="124"/>
      <c r="Z52" s="124"/>
      <c r="AA52" s="124"/>
      <c r="AB52" s="124"/>
      <c r="AC52" s="124"/>
      <c r="AD52" s="124"/>
      <c r="AE52" s="124"/>
      <c r="AF52" s="124"/>
      <c r="AG52" s="124"/>
      <c r="AH52" s="124"/>
      <c r="AI52" s="124"/>
      <c r="AJ52" s="124"/>
      <c r="AK52" s="124"/>
      <c r="AL52" s="124"/>
      <c r="AM52" s="124"/>
      <c r="AN52" s="124"/>
      <c r="AO52" s="124"/>
      <c r="AP52" s="124"/>
      <c r="AQ52" s="124"/>
      <c r="AR52" s="124"/>
      <c r="AS52" s="124"/>
      <c r="AT52" s="124"/>
      <c r="AU52" s="124"/>
      <c r="AV52" s="124"/>
      <c r="AW52" s="124"/>
      <c r="AX52" s="124"/>
      <c r="AY52" s="124"/>
      <c r="AZ52" s="124"/>
      <c r="BA52" s="124"/>
      <c r="BB52" s="136"/>
    </row>
    <row r="53" customFormat="false" ht="15.6" hidden="false" customHeight="false" outlineLevel="0" collapsed="false">
      <c r="A53" s="111" t="n">
        <f aca="false">IF(ISBLANK(VLOOKUP(D53,#REF!,3)),0,1)</f>
        <v>1</v>
      </c>
      <c r="B53" s="112" t="n">
        <f aca="false">IF(ISBLANK(D53),0,IF(ISBLANK(E53),0,IF(ISBLANK(F53),0,1)))</f>
        <v>0</v>
      </c>
      <c r="C53" s="128" t="n">
        <v>19</v>
      </c>
      <c r="D53" s="151"/>
      <c r="E53" s="151"/>
      <c r="F53" s="152"/>
      <c r="G53" s="156"/>
      <c r="H53" s="151"/>
      <c r="I53" s="151"/>
      <c r="J53" s="132" t="str">
        <f aca="false">IF(ISBLANK(D53),"",IF(VLOOKUP(D53,#REF!,2)=0,"",IF(D53&gt;#REF!,"Mauvais numéro",IF(D53&lt;#REF!,"Mauvais numéro",(VLOOKUP(D53,#REF!,3))))))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57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49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24"/>
      <c r="U53" s="124"/>
      <c r="V53" s="124"/>
      <c r="W53" s="124"/>
      <c r="X53" s="12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24"/>
      <c r="AJ53" s="124"/>
      <c r="AK53" s="124"/>
      <c r="AL53" s="124"/>
      <c r="AM53" s="124"/>
      <c r="AN53" s="124"/>
      <c r="AO53" s="124"/>
      <c r="AP53" s="124"/>
      <c r="AQ53" s="124"/>
      <c r="AR53" s="124"/>
      <c r="AS53" s="124"/>
      <c r="AT53" s="124"/>
      <c r="AU53" s="124"/>
      <c r="AV53" s="124"/>
      <c r="AW53" s="124"/>
      <c r="AX53" s="124"/>
      <c r="AY53" s="124"/>
      <c r="AZ53" s="124"/>
      <c r="BA53" s="124"/>
      <c r="BB53" s="136"/>
    </row>
    <row r="54" customFormat="false" ht="15.6" hidden="false" customHeight="false" outlineLevel="0" collapsed="false">
      <c r="A54" s="111" t="n">
        <f aca="false">IF(ISBLANK(VLOOKUP(D54,#REF!,3)),0,1)</f>
        <v>1</v>
      </c>
      <c r="B54" s="112" t="n">
        <f aca="false">IF(ISBLANK(D54),0,IF(ISBLANK(E54),0,IF(ISBLANK(F54),0,1)))</f>
        <v>0</v>
      </c>
      <c r="C54" s="128" t="n">
        <v>20</v>
      </c>
      <c r="D54" s="151"/>
      <c r="E54" s="151"/>
      <c r="F54" s="152"/>
      <c r="G54" s="156"/>
      <c r="H54" s="151"/>
      <c r="I54" s="151"/>
      <c r="J54" s="132" t="str">
        <f aca="false">IF(ISBLANK(D54),"",IF(VLOOKUP(D54,#REF!,2)=0,"",IF(D54&gt;#REF!,"Mauvais numéro",IF(D54&lt;#REF!,"Mauvais numéro",(VLOOKUP(D54,#REF!,3))))))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57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49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4"/>
      <c r="U54" s="124"/>
      <c r="V54" s="124"/>
      <c r="W54" s="124"/>
      <c r="X54" s="124"/>
      <c r="Y54" s="124"/>
      <c r="Z54" s="124"/>
      <c r="AA54" s="124"/>
      <c r="AB54" s="124"/>
      <c r="AC54" s="124"/>
      <c r="AD54" s="124"/>
      <c r="AE54" s="124"/>
      <c r="AF54" s="124"/>
      <c r="AG54" s="124"/>
      <c r="AH54" s="124"/>
      <c r="AI54" s="124"/>
      <c r="AJ54" s="124"/>
      <c r="AK54" s="124"/>
      <c r="AL54" s="124"/>
      <c r="AM54" s="124"/>
      <c r="AN54" s="124"/>
      <c r="AO54" s="124"/>
      <c r="AP54" s="124"/>
      <c r="AQ54" s="124"/>
      <c r="AR54" s="124"/>
      <c r="AS54" s="124"/>
      <c r="AT54" s="124"/>
      <c r="AU54" s="124"/>
      <c r="AV54" s="124"/>
      <c r="AW54" s="124"/>
      <c r="AX54" s="124"/>
      <c r="AY54" s="124"/>
      <c r="AZ54" s="124"/>
      <c r="BA54" s="124"/>
      <c r="BB54" s="136"/>
    </row>
    <row r="55" customFormat="false" ht="15.6" hidden="false" customHeight="false" outlineLevel="0" collapsed="false">
      <c r="A55" s="111" t="n">
        <f aca="false">IF(ISBLANK(VLOOKUP(D55,#REF!,3)),0,1)</f>
        <v>1</v>
      </c>
      <c r="B55" s="112" t="n">
        <f aca="false">IF(ISBLANK(D55),0,IF(ISBLANK(E55),0,IF(ISBLANK(F55),0,1)))</f>
        <v>0</v>
      </c>
      <c r="C55" s="128" t="n">
        <v>21</v>
      </c>
      <c r="D55" s="151"/>
      <c r="E55" s="151"/>
      <c r="F55" s="152"/>
      <c r="G55" s="156"/>
      <c r="H55" s="151"/>
      <c r="I55" s="151"/>
      <c r="J55" s="132" t="str">
        <f aca="false">IF(ISBLANK(D55),"",IF(VLOOKUP(D55,#REF!,2)=0,"",IF(D55&gt;#REF!,"Mauvais numéro",IF(D55&lt;#REF!,"Mauvais numéro",(VLOOKUP(D55,#REF!,3))))))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57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49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24"/>
      <c r="U55" s="124"/>
      <c r="V55" s="124"/>
      <c r="W55" s="124"/>
      <c r="X55" s="124"/>
      <c r="Y55" s="124"/>
      <c r="Z55" s="124"/>
      <c r="AA55" s="124"/>
      <c r="AB55" s="124"/>
      <c r="AC55" s="124"/>
      <c r="AD55" s="124"/>
      <c r="AE55" s="124"/>
      <c r="AF55" s="124"/>
      <c r="AG55" s="124"/>
      <c r="AH55" s="124"/>
      <c r="AI55" s="124"/>
      <c r="AJ55" s="124"/>
      <c r="AK55" s="124"/>
      <c r="AL55" s="124"/>
      <c r="AM55" s="124"/>
      <c r="AN55" s="124"/>
      <c r="AO55" s="124"/>
      <c r="AP55" s="124"/>
      <c r="AQ55" s="124"/>
      <c r="AR55" s="124"/>
      <c r="AS55" s="124"/>
      <c r="AT55" s="124"/>
      <c r="AU55" s="124"/>
      <c r="AV55" s="124"/>
      <c r="AW55" s="124"/>
      <c r="AX55" s="124"/>
      <c r="AY55" s="124"/>
      <c r="AZ55" s="124"/>
      <c r="BA55" s="124"/>
      <c r="BB55" s="136"/>
    </row>
    <row r="56" customFormat="false" ht="15.6" hidden="false" customHeight="false" outlineLevel="0" collapsed="false">
      <c r="A56" s="111" t="n">
        <f aca="false">IF(ISBLANK(VLOOKUP(D56,#REF!,3)),0,1)</f>
        <v>1</v>
      </c>
      <c r="B56" s="112" t="n">
        <f aca="false">IF(ISBLANK(D56),0,IF(ISBLANK(E56),0,IF(ISBLANK(F56),0,1)))</f>
        <v>0</v>
      </c>
      <c r="C56" s="128" t="n">
        <v>22</v>
      </c>
      <c r="D56" s="151"/>
      <c r="E56" s="151"/>
      <c r="F56" s="152"/>
      <c r="G56" s="156"/>
      <c r="H56" s="151"/>
      <c r="I56" s="151"/>
      <c r="J56" s="132" t="str">
        <f aca="false">IF(ISBLANK(D56),"",IF(VLOOKUP(D56,#REF!,2)=0,"",IF(D56&gt;#REF!,"Mauvais numéro",IF(D56&lt;#REF!,"Mauvais numéro",(VLOOKUP(D56,#REF!,3))))))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57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49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24"/>
      <c r="AE56" s="124"/>
      <c r="AF56" s="124"/>
      <c r="AG56" s="124"/>
      <c r="AH56" s="124"/>
      <c r="AI56" s="124"/>
      <c r="AJ56" s="124"/>
      <c r="AK56" s="124"/>
      <c r="AL56" s="124"/>
      <c r="AM56" s="124"/>
      <c r="AN56" s="124"/>
      <c r="AO56" s="124"/>
      <c r="AP56" s="124"/>
      <c r="AQ56" s="124"/>
      <c r="AR56" s="124"/>
      <c r="AS56" s="124"/>
      <c r="AT56" s="124"/>
      <c r="AU56" s="124"/>
      <c r="AV56" s="124"/>
      <c r="AW56" s="124"/>
      <c r="AX56" s="124"/>
      <c r="AY56" s="124"/>
      <c r="AZ56" s="124"/>
      <c r="BA56" s="124"/>
      <c r="BB56" s="136"/>
    </row>
    <row r="57" customFormat="false" ht="15.6" hidden="false" customHeight="false" outlineLevel="0" collapsed="false">
      <c r="A57" s="111" t="n">
        <f aca="false">IF(ISBLANK(VLOOKUP(D57,#REF!,3)),0,1)</f>
        <v>1</v>
      </c>
      <c r="B57" s="112" t="n">
        <f aca="false">IF(ISBLANK(D57),0,IF(ISBLANK(E57),0,IF(ISBLANK(F57),0,1)))</f>
        <v>0</v>
      </c>
      <c r="C57" s="128" t="n">
        <v>23</v>
      </c>
      <c r="D57" s="151"/>
      <c r="E57" s="151"/>
      <c r="F57" s="152"/>
      <c r="G57" s="156"/>
      <c r="H57" s="151"/>
      <c r="I57" s="151"/>
      <c r="J57" s="132" t="str">
        <f aca="false">IF(ISBLANK(D57),"",IF(VLOOKUP(D57,#REF!,2)=0,"",IF(D57&gt;#REF!,"Mauvais numéro",IF(D57&lt;#REF!,"Mauvais numéro",(VLOOKUP(D57,#REF!,3))))))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57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49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4"/>
      <c r="U57" s="124"/>
      <c r="V57" s="124"/>
      <c r="W57" s="124"/>
      <c r="X57" s="124"/>
      <c r="Y57" s="124"/>
      <c r="Z57" s="124"/>
      <c r="AA57" s="124"/>
      <c r="AB57" s="124"/>
      <c r="AC57" s="124"/>
      <c r="AD57" s="124"/>
      <c r="AE57" s="124"/>
      <c r="AF57" s="124"/>
      <c r="AG57" s="124"/>
      <c r="AH57" s="124"/>
      <c r="AI57" s="124"/>
      <c r="AJ57" s="124"/>
      <c r="AK57" s="124"/>
      <c r="AL57" s="124"/>
      <c r="AM57" s="124"/>
      <c r="AN57" s="124"/>
      <c r="AO57" s="124"/>
      <c r="AP57" s="124"/>
      <c r="AQ57" s="124"/>
      <c r="AR57" s="124"/>
      <c r="AS57" s="124"/>
      <c r="AT57" s="124"/>
      <c r="AU57" s="124"/>
      <c r="AV57" s="124"/>
      <c r="AW57" s="124"/>
      <c r="AX57" s="124"/>
      <c r="AY57" s="124"/>
      <c r="AZ57" s="124"/>
      <c r="BA57" s="124"/>
      <c r="BB57" s="136"/>
    </row>
    <row r="58" customFormat="false" ht="16.2" hidden="false" customHeight="false" outlineLevel="0" collapsed="false">
      <c r="A58" s="111" t="n">
        <f aca="false">IF(ISBLANK(VLOOKUP(D58,#REF!,3)),0,1)</f>
        <v>1</v>
      </c>
      <c r="B58" s="112" t="n">
        <f aca="false">IF(ISBLANK(D58),0,IF(ISBLANK(E58),0,IF(ISBLANK(F58),0,1)))</f>
        <v>0</v>
      </c>
      <c r="C58" s="158" t="n">
        <v>24</v>
      </c>
      <c r="D58" s="159"/>
      <c r="E58" s="159"/>
      <c r="F58" s="160"/>
      <c r="G58" s="161"/>
      <c r="H58" s="159"/>
      <c r="I58" s="159"/>
      <c r="J58" s="162" t="str">
        <f aca="false">IF(ISBLANK(D58),"",IF(VLOOKUP(D58,#REF!,2)=0,"",IF(D58&gt;#REF!,"Mauvais numéro",IF(D58&lt;#REF!,"Mauvais numéro",(VLOOKUP(D58,#REF!,3))))))</f>
        <v/>
      </c>
      <c r="K58" s="163" t="str">
        <f aca="false">IF(ISBLANK(E58),"",(0.000824493-(0.0000040899*E58)+(0.000000076438*E58^2)-(0.00000000082467*E58^3)+(0.0000000000053875*E58^4)))</f>
        <v/>
      </c>
      <c r="L58" s="163" t="str">
        <f aca="false">IF(ISBLANK(E58),"",(-0.00000572466+(0.00000010227*E58)-(0.0000000016546*E58^2)))</f>
        <v/>
      </c>
      <c r="M58" s="163" t="str">
        <f aca="false">IF(ISBLANK(E58),"",IF(ISBLANK(G58),(O58+(K58*35)+(L58*35^1.5)+(0.00000048314*35^2)),(O58+(K58*G58)+(L58*G58^1.5)+(0.00000048314*G58^2))))</f>
        <v/>
      </c>
      <c r="N58" s="164" t="str">
        <f aca="false">IF(ISBLANK(D58),"",IF(ISBLANK(G58),J58*(1+0.00001*(35-20)),J58*(1+0.00001*(G58-20))))</f>
        <v/>
      </c>
      <c r="O58" s="163" t="str">
        <f aca="false">IF(ISBLANK(E58),"",(0.999842594+(0.00006793952*E58)-(0.00000909529*E58^2)+(0.0000001001685*E58^3)-(0.000000001120083*E58^4)+(0.000000000006536332*E58^5)))</f>
        <v/>
      </c>
      <c r="P58" s="165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66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7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7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68"/>
      <c r="U58" s="168"/>
      <c r="V58" s="168"/>
      <c r="W58" s="168"/>
      <c r="X58" s="168"/>
      <c r="Y58" s="168"/>
      <c r="Z58" s="168"/>
      <c r="AA58" s="168"/>
      <c r="AB58" s="168"/>
      <c r="AC58" s="168"/>
      <c r="AD58" s="168"/>
      <c r="AE58" s="168"/>
      <c r="AF58" s="168"/>
      <c r="AG58" s="168"/>
      <c r="AH58" s="168"/>
      <c r="AI58" s="168"/>
      <c r="AJ58" s="168"/>
      <c r="AK58" s="168"/>
      <c r="AL58" s="168"/>
      <c r="AM58" s="168"/>
      <c r="AN58" s="168"/>
      <c r="AO58" s="168"/>
      <c r="AP58" s="168"/>
      <c r="AQ58" s="168"/>
      <c r="AR58" s="168"/>
      <c r="AS58" s="168"/>
      <c r="AT58" s="168"/>
      <c r="AU58" s="168"/>
      <c r="AV58" s="168"/>
      <c r="AW58" s="168"/>
      <c r="AX58" s="168"/>
      <c r="AY58" s="168"/>
      <c r="AZ58" s="168"/>
      <c r="BA58" s="168"/>
      <c r="BB58" s="169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S1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8178137651822"/>
    <col collapsed="false" hidden="false" max="32" min="32" style="0" width="9.10526315789474"/>
    <col collapsed="false" hidden="false" max="33" min="33" style="0" width="26.5668016194332"/>
    <col collapsed="false" hidden="false" max="34" min="34" style="0" width="12.8542510121458"/>
    <col collapsed="false" hidden="false" max="35" min="35" style="0" width="11.1417004048583"/>
    <col collapsed="false" hidden="false" max="36" min="36" style="0" width="14.5668016194332"/>
    <col collapsed="false" hidden="false" max="37" min="37" style="0" width="12.2105263157895"/>
    <col collapsed="false" hidden="false" max="38" min="38" style="0" width="26.995951417004"/>
    <col collapsed="false" hidden="false" max="39" min="39" style="0" width="14.6761133603239"/>
    <col collapsed="false" hidden="false" max="40" min="40" style="0" width="11.3562753036437"/>
    <col collapsed="false" hidden="false" max="41" min="41" style="0" width="12.5344129554656"/>
    <col collapsed="false" hidden="false" max="42" min="42" style="0" width="10.7125506072875"/>
    <col collapsed="false" hidden="false" max="43" min="43" style="0" width="6.31983805668016"/>
    <col collapsed="false" hidden="false" max="44" min="44" style="0" width="19.7085020242915"/>
    <col collapsed="false" hidden="false" max="45" min="45" style="0" width="13.0688259109312"/>
    <col collapsed="false" hidden="false" max="46" min="46" style="0" width="17.7813765182186"/>
    <col collapsed="false" hidden="false" max="47" min="47" style="0" width="14.6761133603239"/>
    <col collapsed="false" hidden="false" max="48" min="48" style="0" width="13.6032388663968"/>
    <col collapsed="false" hidden="false" max="49" min="49" style="0" width="13.7125506072874"/>
    <col collapsed="false" hidden="false" max="50" min="50" style="0" width="19.9230769230769"/>
    <col collapsed="false" hidden="false" max="51" min="51" style="0" width="13.2834008097166"/>
    <col collapsed="false" hidden="false" max="52" min="52" style="0" width="17.6761133603239"/>
    <col collapsed="false" hidden="false" max="53" min="53" style="0" width="13.3886639676113"/>
    <col collapsed="false" hidden="false" max="54" min="54" style="0" width="12.6396761133603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11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38542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7</v>
      </c>
      <c r="J9" s="29" t="n">
        <v>59.48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-7°59,48</v>
      </c>
      <c r="P9" s="29" t="s">
        <v>15</v>
      </c>
      <c r="Q9" s="33" t="n">
        <f aca="false">IF(ISBLANK(I9),"",IF(ISBLANK(J9),"",IF(J9&gt;60,"ERREUR !!",O11*(I9+(J9/60)))))</f>
        <v>-7.99133333333333</v>
      </c>
      <c r="R9" s="33"/>
    </row>
    <row r="10" customFormat="false" ht="15" hidden="false" customHeight="true" outlineLevel="0" collapsed="false">
      <c r="C10" s="21"/>
      <c r="D10" s="18"/>
      <c r="G10" s="27" t="s">
        <v>16</v>
      </c>
      <c r="H10" s="27"/>
      <c r="I10" s="28" t="n">
        <v>10</v>
      </c>
      <c r="J10" s="29" t="n">
        <v>0.39</v>
      </c>
      <c r="K10" s="30" t="s">
        <v>12</v>
      </c>
      <c r="L10" s="31" t="str">
        <f aca="false">IF(P10=N9,"+","-")</f>
        <v>-</v>
      </c>
      <c r="M10" s="30" t="s">
        <v>15</v>
      </c>
      <c r="N10" s="30" t="s">
        <v>17</v>
      </c>
      <c r="O10" s="34" t="str">
        <f aca="false">IF(ISBLANK(I10),"",IF(ISBLANK(J10),"",IF(P10=N10,L10&amp;N12,N12)))</f>
        <v>-10°0,39</v>
      </c>
      <c r="P10" s="29" t="s">
        <v>17</v>
      </c>
      <c r="Q10" s="33" t="n">
        <f aca="false">IF(ISBLANK(I10),"",IF(ISBLANK(J10),"",IF(J10&gt;60,"ERREUR !!",O12*(I10+(J10/60)))))</f>
        <v>-10.0065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38541</v>
      </c>
      <c r="K11" s="38"/>
      <c r="L11" s="38"/>
      <c r="M11" s="38"/>
      <c r="N11" s="39" t="str">
        <f aca="false">I9&amp;"°"&amp;J9</f>
        <v>7°59,48</v>
      </c>
      <c r="O11" s="40" t="n">
        <f aca="false">IF(P9=M10,-1,1)</f>
        <v>-1</v>
      </c>
      <c r="P11" s="41" t="str">
        <f aca="false">TEXT(J11,"aaaa-mm-jj")&amp;"T"&amp;TEXT(J12,"hh:mm:ss")&amp;"z"</f>
        <v>2009-07-09T19:40:00z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0.819444444444444</v>
      </c>
      <c r="K12" s="45"/>
      <c r="L12" s="45"/>
      <c r="M12" s="45"/>
      <c r="N12" s="46" t="str">
        <f aca="false">I10&amp;"°"&amp;J10</f>
        <v>10°0,39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e">
        <f aca="false">$P$24*($P$18/#REF!)</f>
        <v>#REF!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e">
        <f aca="false">5+#REF!</f>
        <v>#REF!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e">
        <f aca="false">P20*(1+0.00001*(R14-20))</f>
        <v>#REF!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e">
        <f aca="false">MAX(#REF!)</f>
        <v>#VALUE!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e">
        <f aca="false">2+(#REF!+#REF!)</f>
        <v>#REF!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52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53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IF(ISBLANK(VLOOKUP(D35,#REF!,3)),0,1)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n">
        <v>34.9467</v>
      </c>
      <c r="H35" s="118" t="n">
        <v>2000</v>
      </c>
      <c r="I35" s="119" t="n">
        <v>1999.7</v>
      </c>
      <c r="J35" s="120"/>
      <c r="K35" s="121"/>
      <c r="L35" s="121"/>
      <c r="M35" s="121"/>
      <c r="N35" s="122"/>
      <c r="O35" s="121"/>
      <c r="P35" s="171" t="n">
        <v>5.146</v>
      </c>
      <c r="Q35" s="120"/>
      <c r="R35" s="120"/>
      <c r="S35" s="172" t="n">
        <v>223.7</v>
      </c>
      <c r="T35" s="32" t="n">
        <v>0.04</v>
      </c>
      <c r="U35" s="32" t="n">
        <v>0.04</v>
      </c>
      <c r="V35" s="32"/>
      <c r="W35" s="32"/>
      <c r="X35" s="125" t="n">
        <v>22.4</v>
      </c>
      <c r="Y35" s="125" t="n">
        <v>21.9</v>
      </c>
      <c r="Z35" s="32" t="n">
        <v>1.45</v>
      </c>
      <c r="AA35" s="32" t="n">
        <v>1.42</v>
      </c>
      <c r="AB35" s="125" t="n">
        <v>24</v>
      </c>
      <c r="AC35" s="125" t="n">
        <v>23.4</v>
      </c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7"/>
    </row>
    <row r="36" customFormat="false" ht="15.6" hidden="false" customHeight="false" outlineLevel="0" collapsed="false">
      <c r="A36" s="111" t="n">
        <f aca="false">IF(ISBLANK(VLOOKUP(D36,#REF!,3)),0,1)</f>
        <v>1</v>
      </c>
      <c r="B36" s="112" t="n">
        <f aca="false">IF(ISBLANK(D36),0,IF(ISBLANK(E36),0,IF(ISBLANK(F36),0,1)))</f>
        <v>0</v>
      </c>
      <c r="C36" s="128" t="n">
        <v>2</v>
      </c>
      <c r="D36" s="129"/>
      <c r="E36" s="129"/>
      <c r="F36" s="130"/>
      <c r="G36" s="117" t="n">
        <v>34.5653</v>
      </c>
      <c r="H36" s="131" t="n">
        <v>1000</v>
      </c>
      <c r="I36" s="119" t="n">
        <v>1001.7</v>
      </c>
      <c r="J36" s="132"/>
      <c r="K36" s="133"/>
      <c r="L36" s="133"/>
      <c r="M36" s="133"/>
      <c r="N36" s="134"/>
      <c r="O36" s="133"/>
      <c r="P36" s="171" t="n">
        <v>3.481</v>
      </c>
      <c r="Q36" s="132"/>
      <c r="R36" s="132"/>
      <c r="S36" s="172" t="n">
        <v>151.3</v>
      </c>
      <c r="T36" s="32" t="n">
        <v>0.03</v>
      </c>
      <c r="U36" s="32" t="n">
        <v>0.03</v>
      </c>
      <c r="V36" s="32"/>
      <c r="W36" s="32"/>
      <c r="X36" s="125" t="n">
        <v>35.2</v>
      </c>
      <c r="Y36" s="125" t="n">
        <v>34.4</v>
      </c>
      <c r="Z36" s="32" t="n">
        <v>2.27</v>
      </c>
      <c r="AA36" s="32" t="n">
        <v>2.22</v>
      </c>
      <c r="AB36" s="125" t="n">
        <v>33.6</v>
      </c>
      <c r="AC36" s="125" t="n">
        <v>32.9</v>
      </c>
      <c r="AD36" s="124"/>
      <c r="AE36" s="124"/>
      <c r="AF36" s="124"/>
      <c r="AG36" s="124"/>
      <c r="AH36" s="124"/>
      <c r="AI36" s="124"/>
      <c r="AJ36" s="124"/>
      <c r="AK36" s="124"/>
      <c r="AL36" s="124"/>
      <c r="AM36" s="124"/>
      <c r="AN36" s="124"/>
      <c r="AO36" s="124"/>
      <c r="AP36" s="124"/>
      <c r="AQ36" s="124"/>
      <c r="AR36" s="124"/>
      <c r="AS36" s="124"/>
      <c r="AT36" s="124"/>
      <c r="AU36" s="124"/>
      <c r="AV36" s="124"/>
      <c r="AW36" s="124"/>
      <c r="AX36" s="124"/>
      <c r="AY36" s="124"/>
      <c r="AZ36" s="124"/>
      <c r="BA36" s="124"/>
      <c r="BB36" s="136"/>
    </row>
    <row r="37" customFormat="false" ht="16.2" hidden="false" customHeight="false" outlineLevel="0" collapsed="false">
      <c r="A37" s="111" t="n">
        <f aca="false">IF(ISBLANK(VLOOKUP(D37,#REF!,3)),0,1)</f>
        <v>1</v>
      </c>
      <c r="B37" s="112" t="n">
        <f aca="false">IF(ISBLANK(D37),0,IF(ISBLANK(E37),0,IF(ISBLANK(F37),0,1)))</f>
        <v>0</v>
      </c>
      <c r="C37" s="128" t="n">
        <v>3</v>
      </c>
      <c r="D37" s="129"/>
      <c r="E37" s="129"/>
      <c r="F37" s="137"/>
      <c r="G37" s="117" t="n">
        <v>34.6812</v>
      </c>
      <c r="H37" s="131" t="n">
        <v>500</v>
      </c>
      <c r="I37" s="119" t="n">
        <v>500</v>
      </c>
      <c r="J37" s="132"/>
      <c r="K37" s="133"/>
      <c r="L37" s="133"/>
      <c r="M37" s="133"/>
      <c r="N37" s="134"/>
      <c r="O37" s="133"/>
      <c r="P37" s="171" t="n">
        <v>1.818</v>
      </c>
      <c r="Q37" s="132"/>
      <c r="R37" s="132"/>
      <c r="S37" s="172" t="n">
        <v>79.1</v>
      </c>
      <c r="T37" s="32" t="n">
        <v>0.03</v>
      </c>
      <c r="U37" s="32" t="n">
        <v>0.03</v>
      </c>
      <c r="V37" s="32"/>
      <c r="W37" s="32"/>
      <c r="X37" s="125" t="n">
        <v>37.5</v>
      </c>
      <c r="Y37" s="125" t="n">
        <v>36.6</v>
      </c>
      <c r="Z37" s="32" t="n">
        <v>2.19</v>
      </c>
      <c r="AA37" s="32" t="n">
        <v>2.14</v>
      </c>
      <c r="AB37" s="125" t="n">
        <v>19.5</v>
      </c>
      <c r="AC37" s="125" t="n">
        <v>19</v>
      </c>
      <c r="AD37" s="124"/>
      <c r="AE37" s="124"/>
      <c r="AF37" s="124"/>
      <c r="AG37" s="124"/>
      <c r="AH37" s="124"/>
      <c r="AI37" s="124"/>
      <c r="AJ37" s="124"/>
      <c r="AK37" s="124"/>
      <c r="AL37" s="124"/>
      <c r="AM37" s="124"/>
      <c r="AN37" s="124"/>
      <c r="AO37" s="124"/>
      <c r="AP37" s="124"/>
      <c r="AQ37" s="124"/>
      <c r="AR37" s="124"/>
      <c r="AS37" s="124"/>
      <c r="AT37" s="124"/>
      <c r="AU37" s="124"/>
      <c r="AV37" s="124"/>
      <c r="AW37" s="124"/>
      <c r="AX37" s="124"/>
      <c r="AY37" s="124"/>
      <c r="AZ37" s="124"/>
      <c r="BA37" s="124"/>
      <c r="BB37" s="136"/>
    </row>
    <row r="38" customFormat="false" ht="15.6" hidden="false" customHeight="false" outlineLevel="0" collapsed="false">
      <c r="A38" s="111" t="n">
        <f aca="false">IF(ISBLANK(VLOOKUP(D38,#REF!,3)),0,1)</f>
        <v>1</v>
      </c>
      <c r="B38" s="112" t="n">
        <f aca="false">IF(ISBLANK(D38),0,IF(ISBLANK(E38),0,IF(ISBLANK(F38),0,1)))</f>
        <v>0</v>
      </c>
      <c r="C38" s="128" t="n">
        <v>4</v>
      </c>
      <c r="D38" s="138"/>
      <c r="E38" s="138"/>
      <c r="F38" s="139"/>
      <c r="G38" s="117" t="n">
        <v>35.6715</v>
      </c>
      <c r="H38" s="131" t="n">
        <v>100</v>
      </c>
      <c r="I38" s="119" t="n">
        <v>100.9</v>
      </c>
      <c r="J38" s="132"/>
      <c r="K38" s="133"/>
      <c r="L38" s="133"/>
      <c r="M38" s="133"/>
      <c r="N38" s="134"/>
      <c r="O38" s="133"/>
      <c r="P38" s="171" t="n">
        <v>2.529</v>
      </c>
      <c r="Q38" s="132"/>
      <c r="R38" s="132"/>
      <c r="S38" s="172" t="n">
        <v>110.1</v>
      </c>
      <c r="T38" s="32" t="n">
        <v>0.04</v>
      </c>
      <c r="U38" s="32" t="n">
        <v>0.04</v>
      </c>
      <c r="V38" s="32"/>
      <c r="W38" s="32"/>
      <c r="X38" s="125" t="n">
        <v>18.9</v>
      </c>
      <c r="Y38" s="125" t="n">
        <v>18.5</v>
      </c>
      <c r="Z38" s="32" t="n">
        <v>1.13</v>
      </c>
      <c r="AA38" s="32" t="n">
        <v>1.11</v>
      </c>
      <c r="AB38" s="125" t="n">
        <v>5.7</v>
      </c>
      <c r="AC38" s="125" t="n">
        <v>5.6</v>
      </c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7"/>
    </row>
    <row r="39" customFormat="false" ht="15.6" hidden="false" customHeight="false" outlineLevel="0" collapsed="false">
      <c r="A39" s="111" t="n">
        <f aca="false">IF(ISBLANK(VLOOKUP(D39,#REF!,3)),0,1)</f>
        <v>1</v>
      </c>
      <c r="B39" s="112" t="n">
        <f aca="false">IF(ISBLANK(D39),0,IF(ISBLANK(E39),0,IF(ISBLANK(F39),0,1)))</f>
        <v>0</v>
      </c>
      <c r="C39" s="128" t="n">
        <v>5</v>
      </c>
      <c r="D39" s="129"/>
      <c r="E39" s="129"/>
      <c r="F39" s="137"/>
      <c r="G39" s="117"/>
      <c r="H39" s="131" t="n">
        <v>80</v>
      </c>
      <c r="I39" s="119"/>
      <c r="J39" s="132"/>
      <c r="K39" s="133"/>
      <c r="L39" s="133"/>
      <c r="M39" s="133"/>
      <c r="N39" s="134"/>
      <c r="O39" s="133"/>
      <c r="P39" s="171"/>
      <c r="Q39" s="132"/>
      <c r="R39" s="132"/>
      <c r="S39" s="172"/>
      <c r="T39" s="32" t="n">
        <v>0.29</v>
      </c>
      <c r="U39" s="32" t="n">
        <v>0.29</v>
      </c>
      <c r="V39" s="32"/>
      <c r="W39" s="32"/>
      <c r="X39" s="125" t="n">
        <v>4.4</v>
      </c>
      <c r="Y39" s="125" t="n">
        <v>4.3</v>
      </c>
      <c r="Z39" s="32" t="n">
        <v>0.41</v>
      </c>
      <c r="AA39" s="32" t="n">
        <v>0.4</v>
      </c>
      <c r="AB39" s="125" t="n">
        <v>2.5</v>
      </c>
      <c r="AC39" s="125" t="n">
        <v>2.4</v>
      </c>
      <c r="AD39" s="124"/>
      <c r="AE39" s="124"/>
      <c r="AF39" s="124"/>
      <c r="AG39" s="124"/>
      <c r="AH39" s="124"/>
      <c r="AI39" s="124"/>
      <c r="AJ39" s="124"/>
      <c r="AK39" s="124"/>
      <c r="AL39" s="124"/>
      <c r="AM39" s="124"/>
      <c r="AN39" s="124"/>
      <c r="AO39" s="124"/>
      <c r="AP39" s="124"/>
      <c r="AQ39" s="124"/>
      <c r="AR39" s="124"/>
      <c r="AS39" s="124"/>
      <c r="AT39" s="124"/>
      <c r="AU39" s="124"/>
      <c r="AV39" s="124"/>
      <c r="AW39" s="124"/>
      <c r="AX39" s="124"/>
      <c r="AY39" s="124"/>
      <c r="AZ39" s="124"/>
      <c r="BA39" s="124"/>
      <c r="BB39" s="136"/>
    </row>
    <row r="40" customFormat="false" ht="16.2" hidden="false" customHeight="false" outlineLevel="0" collapsed="false">
      <c r="A40" s="111" t="n">
        <f aca="false">IF(ISBLANK(VLOOKUP(D40,#REF!,3)),0,1)</f>
        <v>1</v>
      </c>
      <c r="B40" s="112" t="n">
        <f aca="false">IF(ISBLANK(D40),0,IF(ISBLANK(E40),0,IF(ISBLANK(F40),0,1)))</f>
        <v>0</v>
      </c>
      <c r="C40" s="128" t="n">
        <v>6</v>
      </c>
      <c r="D40" s="129"/>
      <c r="E40" s="129"/>
      <c r="F40" s="137"/>
      <c r="G40" s="117"/>
      <c r="H40" s="131" t="n">
        <v>60</v>
      </c>
      <c r="I40" s="119"/>
      <c r="J40" s="132"/>
      <c r="K40" s="133"/>
      <c r="L40" s="133"/>
      <c r="M40" s="133"/>
      <c r="N40" s="134"/>
      <c r="O40" s="133"/>
      <c r="P40" s="171"/>
      <c r="Q40" s="132"/>
      <c r="R40" s="132"/>
      <c r="S40" s="172"/>
      <c r="T40" s="32" t="n">
        <v>0.02</v>
      </c>
      <c r="U40" s="32" t="n">
        <v>0.02</v>
      </c>
      <c r="V40" s="32"/>
      <c r="W40" s="32"/>
      <c r="X40" s="125" t="n">
        <v>0.1</v>
      </c>
      <c r="Y40" s="125" t="n">
        <v>0.1</v>
      </c>
      <c r="Z40" s="32" t="n">
        <v>0</v>
      </c>
      <c r="AA40" s="32" t="n">
        <v>0</v>
      </c>
      <c r="AB40" s="125" t="n">
        <v>1.1</v>
      </c>
      <c r="AC40" s="125" t="n">
        <v>1</v>
      </c>
      <c r="AD40" s="124"/>
      <c r="AE40" s="124"/>
      <c r="AF40" s="124"/>
      <c r="AG40" s="124"/>
      <c r="AH40" s="124"/>
      <c r="AI40" s="124"/>
      <c r="AJ40" s="124"/>
      <c r="AK40" s="124"/>
      <c r="AL40" s="124"/>
      <c r="AM40" s="124"/>
      <c r="AN40" s="124"/>
      <c r="AO40" s="124"/>
      <c r="AP40" s="124"/>
      <c r="AQ40" s="124"/>
      <c r="AR40" s="124"/>
      <c r="AS40" s="124"/>
      <c r="AT40" s="124"/>
      <c r="AU40" s="124"/>
      <c r="AV40" s="124"/>
      <c r="AW40" s="124"/>
      <c r="AX40" s="124"/>
      <c r="AY40" s="124"/>
      <c r="AZ40" s="124"/>
      <c r="BA40" s="124"/>
      <c r="BB40" s="136"/>
    </row>
    <row r="41" customFormat="false" ht="15.6" hidden="false" customHeight="false" outlineLevel="0" collapsed="false">
      <c r="A41" s="111" t="n">
        <f aca="false">IF(ISBLANK(VLOOKUP(D41,#REF!,3)),0,1)</f>
        <v>1</v>
      </c>
      <c r="B41" s="112" t="n">
        <f aca="false">IF(ISBLANK(D41),0,IF(ISBLANK(E41),0,IF(ISBLANK(F41),0,1)))</f>
        <v>0</v>
      </c>
      <c r="C41" s="128" t="n">
        <v>7</v>
      </c>
      <c r="D41" s="129"/>
      <c r="E41" s="129"/>
      <c r="F41" s="137"/>
      <c r="G41" s="117"/>
      <c r="H41" s="131" t="n">
        <v>60</v>
      </c>
      <c r="I41" s="119"/>
      <c r="J41" s="132"/>
      <c r="K41" s="133"/>
      <c r="L41" s="133"/>
      <c r="M41" s="133"/>
      <c r="N41" s="134"/>
      <c r="O41" s="133"/>
      <c r="P41" s="171"/>
      <c r="Q41" s="132"/>
      <c r="R41" s="132"/>
      <c r="S41" s="172"/>
      <c r="T41" s="32" t="n">
        <v>0.02</v>
      </c>
      <c r="U41" s="32" t="n">
        <v>0.02</v>
      </c>
      <c r="V41" s="32"/>
      <c r="W41" s="32"/>
      <c r="X41" s="125" t="n">
        <v>0.1</v>
      </c>
      <c r="Y41" s="125" t="n">
        <v>0.1</v>
      </c>
      <c r="Z41" s="32" t="n">
        <v>0</v>
      </c>
      <c r="AA41" s="32" t="n">
        <v>0</v>
      </c>
      <c r="AB41" s="125" t="n">
        <v>1.1</v>
      </c>
      <c r="AC41" s="125" t="n">
        <v>1.1</v>
      </c>
      <c r="AD41" s="126"/>
      <c r="AE41" s="126"/>
      <c r="AF41" s="126"/>
      <c r="AG41" s="126"/>
      <c r="AH41" s="126"/>
      <c r="AI41" s="126"/>
      <c r="AJ41" s="126"/>
      <c r="AK41" s="126"/>
      <c r="AL41" s="126"/>
      <c r="AM41" s="126"/>
      <c r="AN41" s="126"/>
      <c r="AO41" s="126"/>
      <c r="AP41" s="126"/>
      <c r="AQ41" s="126"/>
      <c r="AR41" s="126"/>
      <c r="AS41" s="126"/>
      <c r="AT41" s="126"/>
      <c r="AU41" s="126"/>
      <c r="AV41" s="126"/>
      <c r="AW41" s="126"/>
      <c r="AX41" s="126"/>
      <c r="AY41" s="126"/>
      <c r="AZ41" s="126"/>
      <c r="BA41" s="126"/>
      <c r="BB41" s="127"/>
    </row>
    <row r="42" customFormat="false" ht="16.2" hidden="false" customHeight="false" outlineLevel="0" collapsed="false">
      <c r="A42" s="111" t="n">
        <f aca="false">IF(ISBLANK(VLOOKUP(D42,#REF!,3)),0,1)</f>
        <v>1</v>
      </c>
      <c r="B42" s="112" t="n">
        <f aca="false">IF(ISBLANK(D42),0,IF(ISBLANK(E42),0,IF(ISBLANK(F42),0,1)))</f>
        <v>0</v>
      </c>
      <c r="C42" s="128" t="n">
        <v>8</v>
      </c>
      <c r="D42" s="129"/>
      <c r="E42" s="129"/>
      <c r="F42" s="137"/>
      <c r="G42" s="117"/>
      <c r="H42" s="131" t="n">
        <v>40</v>
      </c>
      <c r="I42" s="119"/>
      <c r="J42" s="132"/>
      <c r="K42" s="133"/>
      <c r="L42" s="133"/>
      <c r="M42" s="133"/>
      <c r="N42" s="134"/>
      <c r="O42" s="133"/>
      <c r="P42" s="171"/>
      <c r="Q42" s="132"/>
      <c r="R42" s="132"/>
      <c r="S42" s="172"/>
      <c r="T42" s="32" t="n">
        <v>0.02</v>
      </c>
      <c r="U42" s="32" t="n">
        <v>0.02</v>
      </c>
      <c r="V42" s="32"/>
      <c r="W42" s="32"/>
      <c r="X42" s="125" t="n">
        <v>0.1</v>
      </c>
      <c r="Y42" s="125" t="n">
        <v>0.1</v>
      </c>
      <c r="Z42" s="32" t="n">
        <v>0</v>
      </c>
      <c r="AA42" s="32" t="n">
        <v>0</v>
      </c>
      <c r="AB42" s="125" t="n">
        <v>1.1</v>
      </c>
      <c r="AC42" s="125" t="n">
        <v>1.1</v>
      </c>
      <c r="AD42" s="124"/>
      <c r="AE42" s="124"/>
      <c r="AF42" s="124"/>
      <c r="AG42" s="124"/>
      <c r="AH42" s="124"/>
      <c r="AI42" s="124"/>
      <c r="AJ42" s="124"/>
      <c r="AK42" s="124"/>
      <c r="AL42" s="124"/>
      <c r="AM42" s="124"/>
      <c r="AN42" s="124"/>
      <c r="AO42" s="124"/>
      <c r="AP42" s="124"/>
      <c r="AQ42" s="124"/>
      <c r="AR42" s="124"/>
      <c r="AS42" s="124"/>
      <c r="AT42" s="124"/>
      <c r="AU42" s="124"/>
      <c r="AV42" s="124"/>
      <c r="AW42" s="124"/>
      <c r="AX42" s="124"/>
      <c r="AY42" s="124"/>
      <c r="AZ42" s="124"/>
      <c r="BA42" s="124"/>
      <c r="BB42" s="136"/>
    </row>
    <row r="43" customFormat="false" ht="15.6" hidden="false" customHeight="false" outlineLevel="0" collapsed="false">
      <c r="A43" s="111" t="n">
        <f aca="false">IF(ISBLANK(VLOOKUP(D43,#REF!,3)),0,1)</f>
        <v>1</v>
      </c>
      <c r="B43" s="112" t="n">
        <f aca="false">IF(ISBLANK(D43),0,IF(ISBLANK(E43),0,IF(ISBLANK(F43),0,1)))</f>
        <v>0</v>
      </c>
      <c r="C43" s="128" t="n">
        <v>9</v>
      </c>
      <c r="D43" s="129"/>
      <c r="E43" s="129"/>
      <c r="F43" s="137"/>
      <c r="G43" s="117"/>
      <c r="H43" s="131" t="n">
        <v>20</v>
      </c>
      <c r="I43" s="119"/>
      <c r="J43" s="132"/>
      <c r="K43" s="133"/>
      <c r="L43" s="133"/>
      <c r="M43" s="133"/>
      <c r="N43" s="134"/>
      <c r="O43" s="133"/>
      <c r="P43" s="171"/>
      <c r="Q43" s="132"/>
      <c r="R43" s="132"/>
      <c r="S43" s="172"/>
      <c r="T43" s="32" t="n">
        <v>0.02</v>
      </c>
      <c r="U43" s="32" t="n">
        <v>0.02</v>
      </c>
      <c r="V43" s="32"/>
      <c r="W43" s="32"/>
      <c r="X43" s="125" t="n">
        <v>0.2</v>
      </c>
      <c r="Y43" s="125" t="n">
        <v>0.2</v>
      </c>
      <c r="Z43" s="32" t="n">
        <v>0</v>
      </c>
      <c r="AA43" s="32" t="n">
        <v>0</v>
      </c>
      <c r="AB43" s="125" t="n">
        <v>1.1</v>
      </c>
      <c r="AC43" s="125" t="n">
        <v>1</v>
      </c>
      <c r="AD43" s="126"/>
      <c r="AE43" s="126"/>
      <c r="AF43" s="126"/>
      <c r="AG43" s="126"/>
      <c r="AH43" s="126"/>
      <c r="AI43" s="126"/>
      <c r="AJ43" s="126"/>
      <c r="AK43" s="126"/>
      <c r="AL43" s="126"/>
      <c r="AM43" s="126"/>
      <c r="AN43" s="126"/>
      <c r="AO43" s="126"/>
      <c r="AP43" s="126"/>
      <c r="AQ43" s="126"/>
      <c r="AR43" s="126"/>
      <c r="AS43" s="126"/>
      <c r="AT43" s="126"/>
      <c r="AU43" s="126"/>
      <c r="AV43" s="126"/>
      <c r="AW43" s="126"/>
      <c r="AX43" s="126"/>
      <c r="AY43" s="126"/>
      <c r="AZ43" s="126"/>
      <c r="BA43" s="126"/>
      <c r="BB43" s="127"/>
    </row>
    <row r="44" customFormat="false" ht="15.6" hidden="false" customHeight="false" outlineLevel="0" collapsed="false">
      <c r="A44" s="111" t="n">
        <f aca="false">IF(ISBLANK(VLOOKUP(D44,#REF!,3)),0,1)</f>
        <v>1</v>
      </c>
      <c r="B44" s="112" t="n">
        <f aca="false">IF(ISBLANK(D44),0,IF(ISBLANK(E44),0,IF(ISBLANK(F44),0,1)))</f>
        <v>0</v>
      </c>
      <c r="C44" s="128" t="n">
        <v>10</v>
      </c>
      <c r="D44" s="129"/>
      <c r="E44" s="129"/>
      <c r="F44" s="137"/>
      <c r="G44" s="117"/>
      <c r="H44" s="131" t="n">
        <v>10</v>
      </c>
      <c r="I44" s="119"/>
      <c r="J44" s="132"/>
      <c r="K44" s="133"/>
      <c r="L44" s="133"/>
      <c r="M44" s="133"/>
      <c r="N44" s="134"/>
      <c r="O44" s="133"/>
      <c r="P44" s="171"/>
      <c r="Q44" s="132"/>
      <c r="R44" s="132"/>
      <c r="S44" s="172"/>
      <c r="T44" s="32" t="n">
        <v>0.02</v>
      </c>
      <c r="U44" s="32" t="n">
        <v>0.02</v>
      </c>
      <c r="V44" s="32"/>
      <c r="W44" s="32"/>
      <c r="X44" s="125" t="n">
        <v>0.1</v>
      </c>
      <c r="Y44" s="125" t="n">
        <v>0.1</v>
      </c>
      <c r="Z44" s="32" t="n">
        <v>0</v>
      </c>
      <c r="AA44" s="32" t="n">
        <v>0</v>
      </c>
      <c r="AB44" s="125" t="n">
        <v>1</v>
      </c>
      <c r="AC44" s="125" t="n">
        <v>1</v>
      </c>
      <c r="AD44" s="124"/>
      <c r="AE44" s="124"/>
      <c r="AF44" s="124"/>
      <c r="AG44" s="124"/>
      <c r="AH44" s="124"/>
      <c r="AI44" s="124"/>
      <c r="AJ44" s="124"/>
      <c r="AK44" s="124"/>
      <c r="AL44" s="124"/>
      <c r="AM44" s="124"/>
      <c r="AN44" s="124"/>
      <c r="AO44" s="124"/>
      <c r="AP44" s="124"/>
      <c r="AQ44" s="124"/>
      <c r="AR44" s="124"/>
      <c r="AS44" s="124"/>
      <c r="AT44" s="124"/>
      <c r="AU44" s="124"/>
      <c r="AV44" s="124"/>
      <c r="AW44" s="124"/>
      <c r="AX44" s="124"/>
      <c r="AY44" s="124"/>
      <c r="AZ44" s="124"/>
      <c r="BA44" s="124"/>
      <c r="BB44" s="136"/>
    </row>
    <row r="45" customFormat="false" ht="15.6" hidden="false" customHeight="false" outlineLevel="0" collapsed="false">
      <c r="A45" s="111" t="n">
        <f aca="false">IF(ISBLANK(VLOOKUP(D45,#REF!,3)),0,1)</f>
        <v>1</v>
      </c>
      <c r="B45" s="112" t="n">
        <f aca="false">IF(ISBLANK(D45),0,IF(ISBLANK(E45),0,IF(ISBLANK(F45),0,1)))</f>
        <v>0</v>
      </c>
      <c r="C45" s="128" t="n">
        <v>11</v>
      </c>
      <c r="D45" s="129"/>
      <c r="E45" s="129"/>
      <c r="F45" s="137"/>
      <c r="G45" s="117" t="n">
        <v>35.42</v>
      </c>
      <c r="H45" s="131" t="n">
        <v>0</v>
      </c>
      <c r="I45" s="119" t="n">
        <v>2.4</v>
      </c>
      <c r="J45" s="132"/>
      <c r="K45" s="133"/>
      <c r="L45" s="133"/>
      <c r="M45" s="133"/>
      <c r="N45" s="134"/>
      <c r="O45" s="133"/>
      <c r="P45" s="171" t="n">
        <v>4.657</v>
      </c>
      <c r="Q45" s="132"/>
      <c r="R45" s="132"/>
      <c r="S45" s="172" t="n">
        <v>203.2</v>
      </c>
      <c r="T45" s="32" t="n">
        <v>0.01</v>
      </c>
      <c r="U45" s="32" t="n">
        <v>0.01</v>
      </c>
      <c r="V45" s="32"/>
      <c r="W45" s="32"/>
      <c r="X45" s="125" t="n">
        <v>0.1</v>
      </c>
      <c r="Y45" s="125" t="n">
        <v>0.1</v>
      </c>
      <c r="Z45" s="32" t="n">
        <v>0</v>
      </c>
      <c r="AA45" s="32" t="n">
        <v>0</v>
      </c>
      <c r="AB45" s="125" t="n">
        <v>1</v>
      </c>
      <c r="AC45" s="125" t="n">
        <v>1</v>
      </c>
      <c r="AD45" s="124"/>
      <c r="AE45" s="124"/>
      <c r="AF45" s="124"/>
      <c r="AG45" s="124"/>
      <c r="AH45" s="124"/>
      <c r="AI45" s="124"/>
      <c r="AJ45" s="124"/>
      <c r="AK45" s="124"/>
      <c r="AL45" s="124"/>
      <c r="AM45" s="124"/>
      <c r="AN45" s="124"/>
      <c r="AO45" s="124"/>
      <c r="AP45" s="124"/>
      <c r="AQ45" s="124"/>
      <c r="AR45" s="124"/>
      <c r="AS45" s="124"/>
      <c r="AT45" s="124"/>
      <c r="AU45" s="124"/>
      <c r="AV45" s="124"/>
      <c r="AW45" s="124"/>
      <c r="AX45" s="124"/>
      <c r="AY45" s="124"/>
      <c r="AZ45" s="124"/>
      <c r="BA45" s="124"/>
      <c r="BB45" s="136"/>
    </row>
    <row r="46" customFormat="false" ht="15.6" hidden="false" customHeight="false" outlineLevel="0" collapsed="false">
      <c r="A46" s="111" t="n">
        <f aca="false">IF(ISBLANK(VLOOKUP(D46,#REF!,3)),0,1)</f>
        <v>1</v>
      </c>
      <c r="B46" s="112" t="n">
        <f aca="false">IF(ISBLANK(D46),0,IF(ISBLANK(E46),0,IF(ISBLANK(F46),0,1)))</f>
        <v>0</v>
      </c>
      <c r="C46" s="128" t="n">
        <v>12</v>
      </c>
      <c r="D46" s="142"/>
      <c r="E46" s="142"/>
      <c r="F46" s="143"/>
      <c r="G46" s="144"/>
      <c r="H46" s="142"/>
      <c r="I46" s="145"/>
      <c r="J46" s="132" t="str">
        <f aca="false">IF(ISBLANK(D46),"",IF(VLOOKUP(D46,#REF!,2)=0,"",IF(D46&gt;#REF!,"Mauvais numéro",IF(D46&lt;#REF!,"Mauvais numéro",(VLOOKUP(D46,#REF!,3))))))</f>
        <v/>
      </c>
      <c r="K46" s="146" t="str">
        <f aca="false">IF(ISBLANK(E46),"",(0.000824493-(0.0000040899*E46)+(0.000000076438*E46^2)-(0.00000000082467*E46^3)+(0.0000000000053875*E46^4)))</f>
        <v/>
      </c>
      <c r="L46" s="146" t="str">
        <f aca="false">IF(ISBLANK(E46),"",(-0.00000572466+(0.00000010227*E46)-(0.0000000016546*E46^2)))</f>
        <v/>
      </c>
      <c r="M46" s="146" t="str">
        <f aca="false">IF(ISBLANK(E46),"",IF(ISBLANK(G46),(O46+(K46*35)+(L46*35^1.5)+(0.00000048314*35^2)),(O46+(K46*G46)+(L46*G46^1.5)+(0.00000048314*G46^2))))</f>
        <v/>
      </c>
      <c r="N46" s="147" t="str">
        <f aca="false">IF(ISBLANK(D46),"",IF(ISBLANK(G46),J46*(1+0.00001*(35-20)),J46*(1+0.00001*(G46-20))))</f>
        <v/>
      </c>
      <c r="O46" s="146" t="str">
        <f aca="false">IF(ISBLANK(E46),"",(0.999842594+(0.00006793952*E46)-(0.00000909529*E46^2)+(0.0000001001685*E46^3)-(0.000000001120083*E46^4)+(0.000000000006536332*E46^5)))</f>
        <v/>
      </c>
      <c r="P46" s="148"/>
      <c r="Q46" s="149"/>
      <c r="R46" s="150"/>
      <c r="S46" s="150"/>
      <c r="T46" s="124"/>
      <c r="U46" s="124"/>
      <c r="V46" s="124"/>
      <c r="W46" s="124"/>
      <c r="X46" s="124"/>
      <c r="Y46" s="124"/>
      <c r="Z46" s="124"/>
      <c r="AA46" s="124"/>
      <c r="AB46" s="124"/>
      <c r="AC46" s="124"/>
      <c r="AD46" s="124"/>
      <c r="AE46" s="124"/>
      <c r="AF46" s="124"/>
      <c r="AG46" s="124"/>
      <c r="AH46" s="124"/>
      <c r="AI46" s="124"/>
      <c r="AJ46" s="124"/>
      <c r="AK46" s="124"/>
      <c r="AL46" s="124"/>
      <c r="AM46" s="124"/>
      <c r="AN46" s="124"/>
      <c r="AO46" s="124"/>
      <c r="AP46" s="124"/>
      <c r="AQ46" s="124"/>
      <c r="AR46" s="124"/>
      <c r="AS46" s="124"/>
      <c r="AT46" s="124"/>
      <c r="AU46" s="124"/>
      <c r="AV46" s="124"/>
      <c r="AW46" s="124"/>
      <c r="AX46" s="124"/>
      <c r="AY46" s="124"/>
      <c r="AZ46" s="124"/>
      <c r="BA46" s="124"/>
      <c r="BB46" s="136"/>
    </row>
    <row r="47" customFormat="false" ht="15.6" hidden="false" customHeight="false" outlineLevel="0" collapsed="false">
      <c r="A47" s="111" t="n">
        <f aca="false">IF(ISBLANK(VLOOKUP(D47,#REF!,3)),0,1)</f>
        <v>1</v>
      </c>
      <c r="B47" s="112" t="n">
        <f aca="false">IF(ISBLANK(D47),0,IF(ISBLANK(E47),0,IF(ISBLANK(F47),0,1)))</f>
        <v>0</v>
      </c>
      <c r="C47" s="128" t="n">
        <v>13</v>
      </c>
      <c r="D47" s="151"/>
      <c r="E47" s="151"/>
      <c r="F47" s="152"/>
      <c r="G47" s="153"/>
      <c r="H47" s="151"/>
      <c r="I47" s="151"/>
      <c r="J47" s="132" t="str">
        <f aca="false">IF(ISBLANK(D47),"",IF(VLOOKUP(D47,#REF!,2)=0,"",IF(D47&gt;#REF!,"Mauvais numéro",IF(D47&lt;#REF!,"Mauvais numéro",(VLOOKUP(D47,#REF!,3))))))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54"/>
      <c r="Q47" s="149"/>
      <c r="R47" s="155"/>
      <c r="S47" s="154"/>
      <c r="T47" s="124"/>
      <c r="U47" s="124"/>
      <c r="V47" s="124"/>
      <c r="W47" s="124"/>
      <c r="X47" s="12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24"/>
      <c r="AJ47" s="124"/>
      <c r="AK47" s="124"/>
      <c r="AL47" s="124"/>
      <c r="AM47" s="124"/>
      <c r="AN47" s="124"/>
      <c r="AO47" s="124"/>
      <c r="AP47" s="124"/>
      <c r="AQ47" s="124"/>
      <c r="AR47" s="124"/>
      <c r="AS47" s="124"/>
      <c r="AT47" s="124"/>
      <c r="AU47" s="124"/>
      <c r="AV47" s="124"/>
      <c r="AW47" s="124"/>
      <c r="AX47" s="124"/>
      <c r="AY47" s="124"/>
      <c r="AZ47" s="124"/>
      <c r="BA47" s="124"/>
      <c r="BB47" s="136"/>
    </row>
    <row r="48" customFormat="false" ht="15.6" hidden="false" customHeight="false" outlineLevel="0" collapsed="false">
      <c r="A48" s="111" t="n">
        <f aca="false">IF(ISBLANK(VLOOKUP(D48,#REF!,3)),0,1)</f>
        <v>1</v>
      </c>
      <c r="B48" s="112" t="n">
        <f aca="false">IF(ISBLANK(D48),0,IF(ISBLANK(E48),0,IF(ISBLANK(F48),0,1)))</f>
        <v>0</v>
      </c>
      <c r="C48" s="128" t="n">
        <v>14</v>
      </c>
      <c r="D48" s="151"/>
      <c r="E48" s="151"/>
      <c r="F48" s="152"/>
      <c r="G48" s="153"/>
      <c r="H48" s="151"/>
      <c r="I48" s="151"/>
      <c r="J48" s="132" t="str">
        <f aca="false">IF(ISBLANK(D48),"",IF(VLOOKUP(D48,#REF!,2)=0,"",IF(D48&gt;#REF!,"Mauvais numéro",IF(D48&lt;#REF!,"Mauvais numéro",(VLOOKUP(D48,#REF!,3))))))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54"/>
      <c r="Q48" s="149"/>
      <c r="R48" s="155"/>
      <c r="S48" s="154"/>
      <c r="T48" s="124"/>
      <c r="U48" s="124"/>
      <c r="V48" s="124"/>
      <c r="W48" s="124"/>
      <c r="X48" s="124"/>
      <c r="Y48" s="124"/>
      <c r="Z48" s="124"/>
      <c r="AA48" s="124"/>
      <c r="AB48" s="124"/>
      <c r="AC48" s="124"/>
      <c r="AD48" s="124"/>
      <c r="AE48" s="124"/>
      <c r="AF48" s="124"/>
      <c r="AG48" s="124"/>
      <c r="AH48" s="124"/>
      <c r="AI48" s="124"/>
      <c r="AJ48" s="124"/>
      <c r="AK48" s="124"/>
      <c r="AL48" s="124"/>
      <c r="AM48" s="124"/>
      <c r="AN48" s="124"/>
      <c r="AO48" s="124"/>
      <c r="AP48" s="124"/>
      <c r="AQ48" s="124"/>
      <c r="AR48" s="124"/>
      <c r="AS48" s="124"/>
      <c r="AT48" s="124"/>
      <c r="AU48" s="124"/>
      <c r="AV48" s="124"/>
      <c r="AW48" s="124"/>
      <c r="AX48" s="124"/>
      <c r="AY48" s="124"/>
      <c r="AZ48" s="124"/>
      <c r="BA48" s="124"/>
      <c r="BB48" s="136"/>
    </row>
    <row r="49" customFormat="false" ht="15.6" hidden="false" customHeight="false" outlineLevel="0" collapsed="false">
      <c r="A49" s="111" t="n">
        <f aca="false">IF(ISBLANK(VLOOKUP(D49,#REF!,3)),0,1)</f>
        <v>1</v>
      </c>
      <c r="B49" s="112" t="n">
        <f aca="false">IF(ISBLANK(D49),0,IF(ISBLANK(E49),0,IF(ISBLANK(F49),0,1)))</f>
        <v>0</v>
      </c>
      <c r="C49" s="128" t="n">
        <v>15</v>
      </c>
      <c r="D49" s="151"/>
      <c r="E49" s="151"/>
      <c r="F49" s="152"/>
      <c r="G49" s="156"/>
      <c r="H49" s="151"/>
      <c r="I49" s="151"/>
      <c r="J49" s="132" t="str">
        <f aca="false">IF(ISBLANK(D49),"",IF(VLOOKUP(D49,#REF!,2)=0,"",IF(D49&gt;#REF!,"Mauvais numéro",IF(D49&lt;#REF!,"Mauvais numéro",(VLOOKUP(D49,#REF!,3))))))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57"/>
      <c r="Q49" s="149"/>
      <c r="R49" s="155"/>
      <c r="S49" s="155"/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24"/>
      <c r="AE49" s="124"/>
      <c r="AF49" s="124"/>
      <c r="AG49" s="124"/>
      <c r="AH49" s="124"/>
      <c r="AI49" s="124"/>
      <c r="AJ49" s="124"/>
      <c r="AK49" s="124"/>
      <c r="AL49" s="124"/>
      <c r="AM49" s="124"/>
      <c r="AN49" s="124"/>
      <c r="AO49" s="124"/>
      <c r="AP49" s="124"/>
      <c r="AQ49" s="124"/>
      <c r="AR49" s="124"/>
      <c r="AS49" s="124"/>
      <c r="AT49" s="124"/>
      <c r="AU49" s="124"/>
      <c r="AV49" s="124"/>
      <c r="AW49" s="124"/>
      <c r="AX49" s="124"/>
      <c r="AY49" s="124"/>
      <c r="AZ49" s="124"/>
      <c r="BA49" s="124"/>
      <c r="BB49" s="136"/>
    </row>
    <row r="50" customFormat="false" ht="15.6" hidden="false" customHeight="false" outlineLevel="0" collapsed="false">
      <c r="A50" s="111" t="n">
        <f aca="false">IF(ISBLANK(VLOOKUP(D50,#REF!,3)),0,1)</f>
        <v>1</v>
      </c>
      <c r="B50" s="112" t="n">
        <f aca="false">IF(ISBLANK(D50),0,IF(ISBLANK(E50),0,IF(ISBLANK(F50),0,1)))</f>
        <v>0</v>
      </c>
      <c r="C50" s="128" t="n">
        <v>16</v>
      </c>
      <c r="D50" s="151"/>
      <c r="E50" s="151"/>
      <c r="F50" s="152"/>
      <c r="G50" s="156"/>
      <c r="H50" s="151"/>
      <c r="I50" s="151"/>
      <c r="J50" s="132" t="str">
        <f aca="false">IF(ISBLANK(D50),"",IF(VLOOKUP(D50,#REF!,2)=0,"",IF(D50&gt;#REF!,"Mauvais numéro",IF(D50&lt;#REF!,"Mauvais numéro",(VLOOKUP(D50,#REF!,3))))))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57"/>
      <c r="Q50" s="149"/>
      <c r="R50" s="155"/>
      <c r="S50" s="155"/>
      <c r="T50" s="124"/>
      <c r="U50" s="124"/>
      <c r="V50" s="124"/>
      <c r="W50" s="124"/>
      <c r="X50" s="124"/>
      <c r="Y50" s="124"/>
      <c r="Z50" s="124"/>
      <c r="AA50" s="124"/>
      <c r="AB50" s="124"/>
      <c r="AC50" s="124"/>
      <c r="AD50" s="124"/>
      <c r="AE50" s="124"/>
      <c r="AF50" s="124"/>
      <c r="AG50" s="124"/>
      <c r="AH50" s="124"/>
      <c r="AI50" s="124"/>
      <c r="AJ50" s="124"/>
      <c r="AK50" s="124"/>
      <c r="AL50" s="124"/>
      <c r="AM50" s="124"/>
      <c r="AN50" s="124"/>
      <c r="AO50" s="124"/>
      <c r="AP50" s="124"/>
      <c r="AQ50" s="124"/>
      <c r="AR50" s="124"/>
      <c r="AS50" s="124"/>
      <c r="AT50" s="124"/>
      <c r="AU50" s="124"/>
      <c r="AV50" s="124"/>
      <c r="AW50" s="124"/>
      <c r="AX50" s="124"/>
      <c r="AY50" s="124"/>
      <c r="AZ50" s="124"/>
      <c r="BA50" s="124"/>
      <c r="BB50" s="136"/>
    </row>
    <row r="51" customFormat="false" ht="15.6" hidden="false" customHeight="false" outlineLevel="0" collapsed="false">
      <c r="A51" s="111" t="n">
        <f aca="false">IF(ISBLANK(VLOOKUP(D51,#REF!,3)),0,1)</f>
        <v>1</v>
      </c>
      <c r="B51" s="112" t="n">
        <f aca="false">IF(ISBLANK(D51),0,IF(ISBLANK(E51),0,IF(ISBLANK(F51),0,1)))</f>
        <v>0</v>
      </c>
      <c r="C51" s="128" t="n">
        <v>17</v>
      </c>
      <c r="D51" s="151"/>
      <c r="E51" s="151"/>
      <c r="F51" s="152"/>
      <c r="G51" s="156"/>
      <c r="H51" s="151"/>
      <c r="I51" s="151"/>
      <c r="J51" s="132" t="str">
        <f aca="false">IF(ISBLANK(D51),"",IF(VLOOKUP(D51,#REF!,2)=0,"",IF(D51&gt;#REF!,"Mauvais numéro",IF(D51&lt;#REF!,"Mauvais numéro",(VLOOKUP(D51,#REF!,3))))))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57"/>
      <c r="Q51" s="149"/>
      <c r="R51" s="155"/>
      <c r="S51" s="155"/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24"/>
      <c r="AE51" s="124"/>
      <c r="AF51" s="124"/>
      <c r="AG51" s="124"/>
      <c r="AH51" s="124"/>
      <c r="AI51" s="124"/>
      <c r="AJ51" s="124"/>
      <c r="AK51" s="124"/>
      <c r="AL51" s="124"/>
      <c r="AM51" s="124"/>
      <c r="AN51" s="124"/>
      <c r="AO51" s="124"/>
      <c r="AP51" s="124"/>
      <c r="AQ51" s="124"/>
      <c r="AR51" s="124"/>
      <c r="AS51" s="124"/>
      <c r="AT51" s="124"/>
      <c r="AU51" s="124"/>
      <c r="AV51" s="124"/>
      <c r="AW51" s="124"/>
      <c r="AX51" s="124"/>
      <c r="AY51" s="124"/>
      <c r="AZ51" s="124"/>
      <c r="BA51" s="124"/>
      <c r="BB51" s="136"/>
    </row>
    <row r="52" customFormat="false" ht="15.6" hidden="false" customHeight="false" outlineLevel="0" collapsed="false">
      <c r="A52" s="111" t="n">
        <f aca="false">IF(ISBLANK(VLOOKUP(D52,#REF!,3)),0,1)</f>
        <v>1</v>
      </c>
      <c r="B52" s="112" t="n">
        <f aca="false">IF(ISBLANK(D52),0,IF(ISBLANK(E52),0,IF(ISBLANK(F52),0,1)))</f>
        <v>0</v>
      </c>
      <c r="C52" s="128" t="n">
        <v>18</v>
      </c>
      <c r="D52" s="151"/>
      <c r="E52" s="151"/>
      <c r="F52" s="152"/>
      <c r="G52" s="156"/>
      <c r="H52" s="151"/>
      <c r="I52" s="151"/>
      <c r="J52" s="132" t="str">
        <f aca="false">IF(ISBLANK(D52),"",IF(VLOOKUP(D52,#REF!,2)=0,"",IF(D52&gt;#REF!,"Mauvais numéro",IF(D52&lt;#REF!,"Mauvais numéro",(VLOOKUP(D52,#REF!,3))))))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57"/>
      <c r="Q52" s="149"/>
      <c r="R52" s="155"/>
      <c r="S52" s="155"/>
      <c r="T52" s="124"/>
      <c r="U52" s="124"/>
      <c r="V52" s="124"/>
      <c r="W52" s="124"/>
      <c r="X52" s="124"/>
      <c r="Y52" s="124"/>
      <c r="Z52" s="124"/>
      <c r="AA52" s="124"/>
      <c r="AB52" s="124"/>
      <c r="AC52" s="124"/>
      <c r="AD52" s="124"/>
      <c r="AE52" s="124"/>
      <c r="AF52" s="124"/>
      <c r="AG52" s="124"/>
      <c r="AH52" s="124"/>
      <c r="AI52" s="124"/>
      <c r="AJ52" s="124"/>
      <c r="AK52" s="124"/>
      <c r="AL52" s="124"/>
      <c r="AM52" s="124"/>
      <c r="AN52" s="124"/>
      <c r="AO52" s="124"/>
      <c r="AP52" s="124"/>
      <c r="AQ52" s="124"/>
      <c r="AR52" s="124"/>
      <c r="AS52" s="124"/>
      <c r="AT52" s="124"/>
      <c r="AU52" s="124"/>
      <c r="AV52" s="124"/>
      <c r="AW52" s="124"/>
      <c r="AX52" s="124"/>
      <c r="AY52" s="124"/>
      <c r="AZ52" s="124"/>
      <c r="BA52" s="124"/>
      <c r="BB52" s="136"/>
    </row>
    <row r="53" customFormat="false" ht="15.6" hidden="false" customHeight="false" outlineLevel="0" collapsed="false">
      <c r="A53" s="111" t="n">
        <f aca="false">IF(ISBLANK(VLOOKUP(D53,#REF!,3)),0,1)</f>
        <v>1</v>
      </c>
      <c r="B53" s="112" t="n">
        <f aca="false">IF(ISBLANK(D53),0,IF(ISBLANK(E53),0,IF(ISBLANK(F53),0,1)))</f>
        <v>0</v>
      </c>
      <c r="C53" s="128" t="n">
        <v>19</v>
      </c>
      <c r="D53" s="151"/>
      <c r="E53" s="151"/>
      <c r="F53" s="152"/>
      <c r="G53" s="156"/>
      <c r="H53" s="151"/>
      <c r="I53" s="151"/>
      <c r="J53" s="132" t="str">
        <f aca="false">IF(ISBLANK(D53),"",IF(VLOOKUP(D53,#REF!,2)=0,"",IF(D53&gt;#REF!,"Mauvais numéro",IF(D53&lt;#REF!,"Mauvais numéro",(VLOOKUP(D53,#REF!,3))))))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57"/>
      <c r="Q53" s="149"/>
      <c r="R53" s="155"/>
      <c r="S53" s="155"/>
      <c r="T53" s="124"/>
      <c r="U53" s="124"/>
      <c r="V53" s="124"/>
      <c r="W53" s="124"/>
      <c r="X53" s="12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24"/>
      <c r="AJ53" s="124"/>
      <c r="AK53" s="124"/>
      <c r="AL53" s="124"/>
      <c r="AM53" s="124"/>
      <c r="AN53" s="124"/>
      <c r="AO53" s="124"/>
      <c r="AP53" s="124"/>
      <c r="AQ53" s="124"/>
      <c r="AR53" s="124"/>
      <c r="AS53" s="124"/>
      <c r="AT53" s="124"/>
      <c r="AU53" s="124"/>
      <c r="AV53" s="124"/>
      <c r="AW53" s="124"/>
      <c r="AX53" s="124"/>
      <c r="AY53" s="124"/>
      <c r="AZ53" s="124"/>
      <c r="BA53" s="124"/>
      <c r="BB53" s="136"/>
    </row>
    <row r="54" customFormat="false" ht="15.6" hidden="false" customHeight="false" outlineLevel="0" collapsed="false">
      <c r="A54" s="111" t="n">
        <f aca="false">IF(ISBLANK(VLOOKUP(D54,#REF!,3)),0,1)</f>
        <v>1</v>
      </c>
      <c r="B54" s="112" t="n">
        <f aca="false">IF(ISBLANK(D54),0,IF(ISBLANK(E54),0,IF(ISBLANK(F54),0,1)))</f>
        <v>0</v>
      </c>
      <c r="C54" s="128" t="n">
        <v>20</v>
      </c>
      <c r="D54" s="151"/>
      <c r="E54" s="151"/>
      <c r="F54" s="152"/>
      <c r="G54" s="156"/>
      <c r="H54" s="151"/>
      <c r="I54" s="151"/>
      <c r="J54" s="132" t="str">
        <f aca="false">IF(ISBLANK(D54),"",IF(VLOOKUP(D54,#REF!,2)=0,"",IF(D54&gt;#REF!,"Mauvais numéro",IF(D54&lt;#REF!,"Mauvais numéro",(VLOOKUP(D54,#REF!,3))))))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57"/>
      <c r="Q54" s="149"/>
      <c r="R54" s="155"/>
      <c r="S54" s="155"/>
      <c r="T54" s="124"/>
      <c r="U54" s="124"/>
      <c r="V54" s="124"/>
      <c r="W54" s="124"/>
      <c r="X54" s="124"/>
      <c r="Y54" s="124"/>
      <c r="Z54" s="124"/>
      <c r="AA54" s="124"/>
      <c r="AB54" s="124"/>
      <c r="AC54" s="124"/>
      <c r="AD54" s="124"/>
      <c r="AE54" s="124"/>
      <c r="AF54" s="124"/>
      <c r="AG54" s="124"/>
      <c r="AH54" s="124"/>
      <c r="AI54" s="124"/>
      <c r="AJ54" s="124"/>
      <c r="AK54" s="124"/>
      <c r="AL54" s="124"/>
      <c r="AM54" s="124"/>
      <c r="AN54" s="124"/>
      <c r="AO54" s="124"/>
      <c r="AP54" s="124"/>
      <c r="AQ54" s="124"/>
      <c r="AR54" s="124"/>
      <c r="AS54" s="124"/>
      <c r="AT54" s="124"/>
      <c r="AU54" s="124"/>
      <c r="AV54" s="124"/>
      <c r="AW54" s="124"/>
      <c r="AX54" s="124"/>
      <c r="AY54" s="124"/>
      <c r="AZ54" s="124"/>
      <c r="BA54" s="124"/>
      <c r="BB54" s="136"/>
    </row>
    <row r="55" customFormat="false" ht="15.6" hidden="false" customHeight="false" outlineLevel="0" collapsed="false">
      <c r="A55" s="111" t="n">
        <f aca="false">IF(ISBLANK(VLOOKUP(D55,#REF!,3)),0,1)</f>
        <v>1</v>
      </c>
      <c r="B55" s="112" t="n">
        <f aca="false">IF(ISBLANK(D55),0,IF(ISBLANK(E55),0,IF(ISBLANK(F55),0,1)))</f>
        <v>0</v>
      </c>
      <c r="C55" s="128" t="n">
        <v>21</v>
      </c>
      <c r="D55" s="151"/>
      <c r="E55" s="151"/>
      <c r="F55" s="152"/>
      <c r="G55" s="156"/>
      <c r="H55" s="151"/>
      <c r="I55" s="151"/>
      <c r="J55" s="132" t="str">
        <f aca="false">IF(ISBLANK(D55),"",IF(VLOOKUP(D55,#REF!,2)=0,"",IF(D55&gt;#REF!,"Mauvais numéro",IF(D55&lt;#REF!,"Mauvais numéro",(VLOOKUP(D55,#REF!,3))))))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57"/>
      <c r="Q55" s="149"/>
      <c r="R55" s="155"/>
      <c r="S55" s="155"/>
      <c r="T55" s="124"/>
      <c r="U55" s="124"/>
      <c r="V55" s="124"/>
      <c r="W55" s="124"/>
      <c r="X55" s="124"/>
      <c r="Y55" s="124"/>
      <c r="Z55" s="124"/>
      <c r="AA55" s="124"/>
      <c r="AB55" s="124"/>
      <c r="AC55" s="124"/>
      <c r="AD55" s="124"/>
      <c r="AE55" s="124"/>
      <c r="AF55" s="124"/>
      <c r="AG55" s="124"/>
      <c r="AH55" s="124"/>
      <c r="AI55" s="124"/>
      <c r="AJ55" s="124"/>
      <c r="AK55" s="124"/>
      <c r="AL55" s="124"/>
      <c r="AM55" s="124"/>
      <c r="AN55" s="124"/>
      <c r="AO55" s="124"/>
      <c r="AP55" s="124"/>
      <c r="AQ55" s="124"/>
      <c r="AR55" s="124"/>
      <c r="AS55" s="124"/>
      <c r="AT55" s="124"/>
      <c r="AU55" s="124"/>
      <c r="AV55" s="124"/>
      <c r="AW55" s="124"/>
      <c r="AX55" s="124"/>
      <c r="AY55" s="124"/>
      <c r="AZ55" s="124"/>
      <c r="BA55" s="124"/>
      <c r="BB55" s="136"/>
    </row>
    <row r="56" customFormat="false" ht="15.6" hidden="false" customHeight="false" outlineLevel="0" collapsed="false">
      <c r="A56" s="111" t="n">
        <f aca="false">IF(ISBLANK(VLOOKUP(D56,#REF!,3)),0,1)</f>
        <v>1</v>
      </c>
      <c r="B56" s="112" t="n">
        <f aca="false">IF(ISBLANK(D56),0,IF(ISBLANK(E56),0,IF(ISBLANK(F56),0,1)))</f>
        <v>0</v>
      </c>
      <c r="C56" s="128" t="n">
        <v>22</v>
      </c>
      <c r="D56" s="151"/>
      <c r="E56" s="151"/>
      <c r="F56" s="152"/>
      <c r="G56" s="156"/>
      <c r="H56" s="151"/>
      <c r="I56" s="151"/>
      <c r="J56" s="132" t="str">
        <f aca="false">IF(ISBLANK(D56),"",IF(VLOOKUP(D56,#REF!,2)=0,"",IF(D56&gt;#REF!,"Mauvais numéro",IF(D56&lt;#REF!,"Mauvais numéro",(VLOOKUP(D56,#REF!,3))))))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57"/>
      <c r="Q56" s="149"/>
      <c r="R56" s="155"/>
      <c r="S56" s="155"/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24"/>
      <c r="AE56" s="124"/>
      <c r="AF56" s="124"/>
      <c r="AG56" s="124"/>
      <c r="AH56" s="124"/>
      <c r="AI56" s="124"/>
      <c r="AJ56" s="124"/>
      <c r="AK56" s="124"/>
      <c r="AL56" s="124"/>
      <c r="AM56" s="124"/>
      <c r="AN56" s="124"/>
      <c r="AO56" s="124"/>
      <c r="AP56" s="124"/>
      <c r="AQ56" s="124"/>
      <c r="AR56" s="124"/>
      <c r="AS56" s="124"/>
      <c r="AT56" s="124"/>
      <c r="AU56" s="124"/>
      <c r="AV56" s="124"/>
      <c r="AW56" s="124"/>
      <c r="AX56" s="124"/>
      <c r="AY56" s="124"/>
      <c r="AZ56" s="124"/>
      <c r="BA56" s="124"/>
      <c r="BB56" s="136"/>
    </row>
    <row r="57" customFormat="false" ht="15.6" hidden="false" customHeight="false" outlineLevel="0" collapsed="false">
      <c r="A57" s="111" t="n">
        <f aca="false">IF(ISBLANK(VLOOKUP(D57,#REF!,3)),0,1)</f>
        <v>1</v>
      </c>
      <c r="B57" s="112" t="n">
        <f aca="false">IF(ISBLANK(D57),0,IF(ISBLANK(E57),0,IF(ISBLANK(F57),0,1)))</f>
        <v>0</v>
      </c>
      <c r="C57" s="128" t="n">
        <v>23</v>
      </c>
      <c r="D57" s="151"/>
      <c r="E57" s="151"/>
      <c r="F57" s="152"/>
      <c r="G57" s="156"/>
      <c r="H57" s="151"/>
      <c r="I57" s="151"/>
      <c r="J57" s="132" t="str">
        <f aca="false">IF(ISBLANK(D57),"",IF(VLOOKUP(D57,#REF!,2)=0,"",IF(D57&gt;#REF!,"Mauvais numéro",IF(D57&lt;#REF!,"Mauvais numéro",(VLOOKUP(D57,#REF!,3))))))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57"/>
      <c r="Q57" s="149"/>
      <c r="R57" s="155"/>
      <c r="S57" s="155"/>
      <c r="T57" s="124"/>
      <c r="U57" s="124"/>
      <c r="V57" s="124"/>
      <c r="W57" s="124"/>
      <c r="X57" s="124"/>
      <c r="Y57" s="124"/>
      <c r="Z57" s="124"/>
      <c r="AA57" s="124"/>
      <c r="AB57" s="124"/>
      <c r="AC57" s="124"/>
      <c r="AD57" s="124"/>
      <c r="AE57" s="124"/>
      <c r="AF57" s="124"/>
      <c r="AG57" s="124"/>
      <c r="AH57" s="124"/>
      <c r="AI57" s="124"/>
      <c r="AJ57" s="124"/>
      <c r="AK57" s="124"/>
      <c r="AL57" s="124"/>
      <c r="AM57" s="124"/>
      <c r="AN57" s="124"/>
      <c r="AO57" s="124"/>
      <c r="AP57" s="124"/>
      <c r="AQ57" s="124"/>
      <c r="AR57" s="124"/>
      <c r="AS57" s="124"/>
      <c r="AT57" s="124"/>
      <c r="AU57" s="124"/>
      <c r="AV57" s="124"/>
      <c r="AW57" s="124"/>
      <c r="AX57" s="124"/>
      <c r="AY57" s="124"/>
      <c r="AZ57" s="124"/>
      <c r="BA57" s="124"/>
      <c r="BB57" s="136"/>
    </row>
    <row r="58" customFormat="false" ht="16.2" hidden="false" customHeight="false" outlineLevel="0" collapsed="false">
      <c r="A58" s="111" t="n">
        <f aca="false">IF(ISBLANK(VLOOKUP(D58,#REF!,3)),0,1)</f>
        <v>1</v>
      </c>
      <c r="B58" s="112" t="n">
        <f aca="false">IF(ISBLANK(D58),0,IF(ISBLANK(E58),0,IF(ISBLANK(F58),0,1)))</f>
        <v>0</v>
      </c>
      <c r="C58" s="158" t="n">
        <v>24</v>
      </c>
      <c r="D58" s="159"/>
      <c r="E58" s="159"/>
      <c r="F58" s="160"/>
      <c r="G58" s="161"/>
      <c r="H58" s="159"/>
      <c r="I58" s="159"/>
      <c r="J58" s="162" t="str">
        <f aca="false">IF(ISBLANK(D58),"",IF(VLOOKUP(D58,#REF!,2)=0,"",IF(D58&gt;#REF!,"Mauvais numéro",IF(D58&lt;#REF!,"Mauvais numéro",(VLOOKUP(D58,#REF!,3))))))</f>
        <v/>
      </c>
      <c r="K58" s="163" t="str">
        <f aca="false">IF(ISBLANK(E58),"",(0.000824493-(0.0000040899*E58)+(0.000000076438*E58^2)-(0.00000000082467*E58^3)+(0.0000000000053875*E58^4)))</f>
        <v/>
      </c>
      <c r="L58" s="163" t="str">
        <f aca="false">IF(ISBLANK(E58),"",(-0.00000572466+(0.00000010227*E58)-(0.0000000016546*E58^2)))</f>
        <v/>
      </c>
      <c r="M58" s="163" t="str">
        <f aca="false">IF(ISBLANK(E58),"",IF(ISBLANK(G58),(O58+(K58*35)+(L58*35^1.5)+(0.00000048314*35^2)),(O58+(K58*G58)+(L58*G58^1.5)+(0.00000048314*G58^2))))</f>
        <v/>
      </c>
      <c r="N58" s="164" t="str">
        <f aca="false">IF(ISBLANK(D58),"",IF(ISBLANK(G58),J58*(1+0.00001*(35-20)),J58*(1+0.00001*(G58-20))))</f>
        <v/>
      </c>
      <c r="O58" s="163" t="str">
        <f aca="false">IF(ISBLANK(E58),"",(0.999842594+(0.00006793952*E58)-(0.00000909529*E58^2)+(0.0000001001685*E58^3)-(0.000000001120083*E58^4)+(0.000000000006536332*E58^5)))</f>
        <v/>
      </c>
      <c r="P58" s="165"/>
      <c r="Q58" s="166"/>
      <c r="R58" s="167"/>
      <c r="S58" s="167"/>
      <c r="T58" s="168"/>
      <c r="U58" s="168"/>
      <c r="V58" s="168"/>
      <c r="W58" s="168"/>
      <c r="X58" s="168"/>
      <c r="Y58" s="168"/>
      <c r="Z58" s="168"/>
      <c r="AA58" s="168"/>
      <c r="AB58" s="168"/>
      <c r="AC58" s="168"/>
      <c r="AD58" s="168"/>
      <c r="AE58" s="168"/>
      <c r="AF58" s="168"/>
      <c r="AG58" s="168"/>
      <c r="AH58" s="168"/>
      <c r="AI58" s="168"/>
      <c r="AJ58" s="168"/>
      <c r="AK58" s="168"/>
      <c r="AL58" s="168"/>
      <c r="AM58" s="168"/>
      <c r="AN58" s="168"/>
      <c r="AO58" s="168"/>
      <c r="AP58" s="168"/>
      <c r="AQ58" s="168"/>
      <c r="AR58" s="168"/>
      <c r="AS58" s="168"/>
      <c r="AT58" s="168"/>
      <c r="AU58" s="168"/>
      <c r="AV58" s="168"/>
      <c r="AW58" s="168"/>
      <c r="AX58" s="168"/>
      <c r="AY58" s="168"/>
      <c r="AZ58" s="168"/>
      <c r="BA58" s="168"/>
      <c r="BB58" s="169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P1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8178137651822"/>
    <col collapsed="false" hidden="false" max="32" min="32" style="0" width="9.10526315789474"/>
    <col collapsed="false" hidden="false" max="33" min="33" style="0" width="26.5668016194332"/>
    <col collapsed="false" hidden="false" max="34" min="34" style="0" width="12.8542510121458"/>
    <col collapsed="false" hidden="false" max="35" min="35" style="0" width="11.1417004048583"/>
    <col collapsed="false" hidden="false" max="36" min="36" style="0" width="14.5668016194332"/>
    <col collapsed="false" hidden="false" max="37" min="37" style="0" width="12.2105263157895"/>
    <col collapsed="false" hidden="false" max="38" min="38" style="0" width="26.995951417004"/>
    <col collapsed="false" hidden="false" max="39" min="39" style="0" width="14.6761133603239"/>
    <col collapsed="false" hidden="false" max="40" min="40" style="0" width="11.3562753036437"/>
    <col collapsed="false" hidden="false" max="41" min="41" style="0" width="12.5344129554656"/>
    <col collapsed="false" hidden="false" max="42" min="42" style="0" width="10.7125506072875"/>
    <col collapsed="false" hidden="false" max="43" min="43" style="0" width="6.31983805668016"/>
    <col collapsed="false" hidden="false" max="44" min="44" style="0" width="19.7085020242915"/>
    <col collapsed="false" hidden="false" max="45" min="45" style="0" width="13.0688259109312"/>
    <col collapsed="false" hidden="false" max="46" min="46" style="0" width="17.7813765182186"/>
    <col collapsed="false" hidden="false" max="47" min="47" style="0" width="14.6761133603239"/>
    <col collapsed="false" hidden="false" max="48" min="48" style="0" width="13.6032388663968"/>
    <col collapsed="false" hidden="false" max="49" min="49" style="0" width="13.7125506072874"/>
    <col collapsed="false" hidden="false" max="50" min="50" style="0" width="19.9230769230769"/>
    <col collapsed="false" hidden="false" max="51" min="51" style="0" width="13.2834008097166"/>
    <col collapsed="false" hidden="false" max="52" min="52" style="0" width="17.6761133603239"/>
    <col collapsed="false" hidden="false" max="53" min="53" style="0" width="13.3886639676113"/>
    <col collapsed="false" hidden="false" max="54" min="54" style="0" width="12.6396761133603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12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38542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7</v>
      </c>
      <c r="J9" s="29" t="n">
        <v>30.42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-7°30,42</v>
      </c>
      <c r="P9" s="29" t="s">
        <v>15</v>
      </c>
      <c r="Q9" s="33" t="n">
        <f aca="false">IF(ISBLANK(I9),"",IF(ISBLANK(J9),"",IF(J9&gt;60,"ERREUR !!",O11*(I9+(J9/60)))))</f>
        <v>-7.507</v>
      </c>
      <c r="R9" s="33"/>
    </row>
    <row r="10" customFormat="false" ht="15" hidden="false" customHeight="true" outlineLevel="0" collapsed="false">
      <c r="C10" s="21"/>
      <c r="D10" s="18"/>
      <c r="G10" s="27" t="s">
        <v>16</v>
      </c>
      <c r="H10" s="27"/>
      <c r="I10" s="28" t="n">
        <v>9</v>
      </c>
      <c r="J10" s="29" t="n">
        <v>59.45</v>
      </c>
      <c r="K10" s="30" t="s">
        <v>12</v>
      </c>
      <c r="L10" s="31" t="str">
        <f aca="false">IF(P10=N9,"+","-")</f>
        <v>-</v>
      </c>
      <c r="M10" s="30" t="s">
        <v>15</v>
      </c>
      <c r="N10" s="30" t="s">
        <v>17</v>
      </c>
      <c r="O10" s="34" t="str">
        <f aca="false">IF(ISBLANK(I10),"",IF(ISBLANK(J10),"",IF(P10=N10,L10&amp;N12,N12)))</f>
        <v>-9°59,45</v>
      </c>
      <c r="P10" s="29" t="s">
        <v>17</v>
      </c>
      <c r="Q10" s="33" t="n">
        <f aca="false">IF(ISBLANK(I10),"",IF(ISBLANK(J10),"",IF(J10&gt;60,"ERREUR !!",O12*(I10+(J10/60)))))</f>
        <v>-9.99083333333333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38541</v>
      </c>
      <c r="K11" s="38"/>
      <c r="L11" s="38"/>
      <c r="M11" s="38"/>
      <c r="N11" s="39" t="str">
        <f aca="false">I9&amp;"°"&amp;J9</f>
        <v>7°30,42</v>
      </c>
      <c r="O11" s="40" t="n">
        <f aca="false">IF(P9=M10,-1,1)</f>
        <v>-1</v>
      </c>
      <c r="P11" s="41" t="str">
        <f aca="false">TEXT(J11,"aaaa-mm-jj")&amp;"T"&amp;TEXT(J12,"hh:mm:ss")&amp;"z"</f>
        <v>2009-07-09T23:40:00z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0.986111111111111</v>
      </c>
      <c r="K12" s="45"/>
      <c r="L12" s="45"/>
      <c r="M12" s="45"/>
      <c r="N12" s="46" t="str">
        <f aca="false">I10&amp;"°"&amp;J10</f>
        <v>9°59,45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e">
        <f aca="false">$P$24*($P$18/#REF!)</f>
        <v>#REF!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e">
        <f aca="false">5+#REF!</f>
        <v>#REF!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e">
        <f aca="false">P20*(1+0.00001*(R14-20))</f>
        <v>#REF!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e">
        <f aca="false">MAX(#REF!)</f>
        <v>#VALUE!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e">
        <f aca="false">2+(#REF!+#REF!)</f>
        <v>#REF!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52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53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IF(ISBLANK(VLOOKUP(D35,#REF!,3)),0,1)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n">
        <v>34.9102</v>
      </c>
      <c r="H35" s="118" t="n">
        <v>2000</v>
      </c>
      <c r="I35" s="119" t="n">
        <v>2001.9</v>
      </c>
      <c r="J35" s="120"/>
      <c r="K35" s="121"/>
      <c r="L35" s="121"/>
      <c r="M35" s="121"/>
      <c r="N35" s="122"/>
      <c r="O35" s="121"/>
      <c r="P35" s="120" t="n">
        <v>5.004</v>
      </c>
      <c r="Q35" s="120"/>
      <c r="R35" s="120"/>
      <c r="S35" s="179" t="n">
        <v>217.5</v>
      </c>
      <c r="T35" s="32" t="n">
        <v>0.03</v>
      </c>
      <c r="U35" s="32" t="n">
        <v>0.03</v>
      </c>
      <c r="V35" s="32"/>
      <c r="W35" s="32"/>
      <c r="X35" s="125" t="n">
        <v>23.2</v>
      </c>
      <c r="Y35" s="125" t="n">
        <v>22.7</v>
      </c>
      <c r="Z35" s="32" t="n">
        <v>1.58</v>
      </c>
      <c r="AA35" s="32" t="n">
        <v>1.55</v>
      </c>
      <c r="AB35" s="125" t="n">
        <v>24.8</v>
      </c>
      <c r="AC35" s="125" t="n">
        <v>24.3</v>
      </c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7"/>
    </row>
    <row r="36" customFormat="false" ht="15.6" hidden="false" customHeight="false" outlineLevel="0" collapsed="false">
      <c r="A36" s="111" t="n">
        <f aca="false">IF(ISBLANK(VLOOKUP(D36,#REF!,3)),0,1)</f>
        <v>1</v>
      </c>
      <c r="B36" s="112" t="n">
        <f aca="false">IF(ISBLANK(D36),0,IF(ISBLANK(E36),0,IF(ISBLANK(F36),0,1)))</f>
        <v>0</v>
      </c>
      <c r="C36" s="128" t="n">
        <v>2</v>
      </c>
      <c r="D36" s="129"/>
      <c r="E36" s="129"/>
      <c r="F36" s="130"/>
      <c r="G36" s="117" t="n">
        <v>34.5556</v>
      </c>
      <c r="H36" s="131" t="n">
        <v>1000</v>
      </c>
      <c r="I36" s="119" t="n">
        <v>1000.2</v>
      </c>
      <c r="J36" s="132"/>
      <c r="K36" s="133"/>
      <c r="L36" s="133"/>
      <c r="M36" s="133"/>
      <c r="N36" s="134"/>
      <c r="O36" s="133"/>
      <c r="P36" s="132" t="n">
        <v>3.46</v>
      </c>
      <c r="Q36" s="132"/>
      <c r="R36" s="132"/>
      <c r="S36" s="125" t="n">
        <v>150.4</v>
      </c>
      <c r="T36" s="32" t="n">
        <v>0.03</v>
      </c>
      <c r="U36" s="32" t="n">
        <v>0.03</v>
      </c>
      <c r="V36" s="32"/>
      <c r="W36" s="32"/>
      <c r="X36" s="125" t="n">
        <v>35</v>
      </c>
      <c r="Y36" s="125" t="n">
        <v>34.2</v>
      </c>
      <c r="Z36" s="32" t="n">
        <v>2.34</v>
      </c>
      <c r="AA36" s="32" t="n">
        <v>2.29</v>
      </c>
      <c r="AB36" s="125" t="n">
        <v>33.8</v>
      </c>
      <c r="AC36" s="125" t="n">
        <v>33</v>
      </c>
      <c r="AD36" s="124"/>
      <c r="AE36" s="124"/>
      <c r="AF36" s="124"/>
      <c r="AG36" s="124"/>
      <c r="AH36" s="124"/>
      <c r="AI36" s="124"/>
      <c r="AJ36" s="124"/>
      <c r="AK36" s="124"/>
      <c r="AL36" s="124"/>
      <c r="AM36" s="124"/>
      <c r="AN36" s="124"/>
      <c r="AO36" s="124"/>
      <c r="AP36" s="124"/>
      <c r="AQ36" s="124"/>
      <c r="AR36" s="124"/>
      <c r="AS36" s="124"/>
      <c r="AT36" s="124"/>
      <c r="AU36" s="124"/>
      <c r="AV36" s="124"/>
      <c r="AW36" s="124"/>
      <c r="AX36" s="124"/>
      <c r="AY36" s="124"/>
      <c r="AZ36" s="124"/>
      <c r="BA36" s="124"/>
      <c r="BB36" s="136"/>
    </row>
    <row r="37" customFormat="false" ht="15.6" hidden="false" customHeight="false" outlineLevel="0" collapsed="false">
      <c r="A37" s="111" t="n">
        <f aca="false">IF(ISBLANK(VLOOKUP(D37,#REF!,3)),0,1)</f>
        <v>1</v>
      </c>
      <c r="B37" s="112" t="n">
        <f aca="false">IF(ISBLANK(D37),0,IF(ISBLANK(E37),0,IF(ISBLANK(F37),0,1)))</f>
        <v>0</v>
      </c>
      <c r="C37" s="128" t="n">
        <v>3</v>
      </c>
      <c r="D37" s="129"/>
      <c r="E37" s="129"/>
      <c r="F37" s="137"/>
      <c r="G37" s="117" t="n">
        <v>34.6707</v>
      </c>
      <c r="H37" s="131" t="n">
        <v>500</v>
      </c>
      <c r="I37" s="119" t="n">
        <v>501</v>
      </c>
      <c r="J37" s="132"/>
      <c r="K37" s="133"/>
      <c r="L37" s="133"/>
      <c r="M37" s="133"/>
      <c r="N37" s="134"/>
      <c r="O37" s="133"/>
      <c r="P37" s="132" t="n">
        <v>1.923</v>
      </c>
      <c r="Q37" s="132"/>
      <c r="R37" s="132"/>
      <c r="S37" s="125" t="n">
        <v>83.6</v>
      </c>
      <c r="T37" s="32" t="n">
        <v>0.02</v>
      </c>
      <c r="U37" s="32" t="n">
        <v>0.02</v>
      </c>
      <c r="V37" s="32"/>
      <c r="W37" s="32"/>
      <c r="X37" s="125" t="n">
        <v>36.9</v>
      </c>
      <c r="Y37" s="125" t="n">
        <v>36.1</v>
      </c>
      <c r="Z37" s="32" t="n">
        <v>2.32</v>
      </c>
      <c r="AA37" s="32" t="n">
        <v>2.27</v>
      </c>
      <c r="AB37" s="125" t="n">
        <v>20.5</v>
      </c>
      <c r="AC37" s="125" t="n">
        <v>20</v>
      </c>
      <c r="AD37" s="124"/>
      <c r="AE37" s="124"/>
      <c r="AF37" s="124"/>
      <c r="AG37" s="124"/>
      <c r="AH37" s="124"/>
      <c r="AI37" s="124"/>
      <c r="AJ37" s="124"/>
      <c r="AK37" s="124"/>
      <c r="AL37" s="124"/>
      <c r="AM37" s="124"/>
      <c r="AN37" s="124"/>
      <c r="AO37" s="124"/>
      <c r="AP37" s="124"/>
      <c r="AQ37" s="124"/>
      <c r="AR37" s="124"/>
      <c r="AS37" s="124"/>
      <c r="AT37" s="124"/>
      <c r="AU37" s="124"/>
      <c r="AV37" s="124"/>
      <c r="AW37" s="124"/>
      <c r="AX37" s="124"/>
      <c r="AY37" s="124"/>
      <c r="AZ37" s="124"/>
      <c r="BA37" s="124"/>
      <c r="BB37" s="136"/>
    </row>
    <row r="38" customFormat="false" ht="16.2" hidden="false" customHeight="false" outlineLevel="0" collapsed="false">
      <c r="A38" s="111" t="n">
        <f aca="false">IF(ISBLANK(VLOOKUP(D38,#REF!,3)),0,1)</f>
        <v>1</v>
      </c>
      <c r="B38" s="112" t="n">
        <f aca="false">IF(ISBLANK(D38),0,IF(ISBLANK(E38),0,IF(ISBLANK(F38),0,1)))</f>
        <v>0</v>
      </c>
      <c r="C38" s="128" t="n">
        <v>4</v>
      </c>
      <c r="D38" s="138"/>
      <c r="E38" s="138"/>
      <c r="F38" s="139"/>
      <c r="G38" s="117" t="n">
        <v>35.8392</v>
      </c>
      <c r="H38" s="131" t="n">
        <v>100</v>
      </c>
      <c r="I38" s="119" t="n">
        <v>99.4</v>
      </c>
      <c r="J38" s="132"/>
      <c r="K38" s="133"/>
      <c r="L38" s="133"/>
      <c r="M38" s="133"/>
      <c r="N38" s="134"/>
      <c r="O38" s="133"/>
      <c r="P38" s="132" t="n">
        <v>2.953</v>
      </c>
      <c r="Q38" s="132"/>
      <c r="R38" s="132"/>
      <c r="S38" s="125" t="n">
        <v>128.6</v>
      </c>
      <c r="T38" s="32" t="n">
        <v>0.54</v>
      </c>
      <c r="U38" s="32" t="n">
        <v>0.53</v>
      </c>
      <c r="V38" s="32"/>
      <c r="W38" s="32"/>
      <c r="X38" s="125" t="n">
        <v>12.6</v>
      </c>
      <c r="Y38" s="125" t="n">
        <v>12.3</v>
      </c>
      <c r="Z38" s="32" t="n">
        <v>0.92</v>
      </c>
      <c r="AA38" s="32" t="n">
        <v>0.9</v>
      </c>
      <c r="AB38" s="125" t="n">
        <v>4.4</v>
      </c>
      <c r="AC38" s="125" t="n">
        <v>4.3</v>
      </c>
      <c r="AD38" s="124"/>
      <c r="AE38" s="124"/>
      <c r="AF38" s="124"/>
      <c r="AG38" s="124"/>
      <c r="AH38" s="124"/>
      <c r="AI38" s="124"/>
      <c r="AJ38" s="124"/>
      <c r="AK38" s="124"/>
      <c r="AL38" s="124"/>
      <c r="AM38" s="124"/>
      <c r="AN38" s="124"/>
      <c r="AO38" s="124"/>
      <c r="AP38" s="124"/>
      <c r="AQ38" s="124"/>
      <c r="AR38" s="124"/>
      <c r="AS38" s="124"/>
      <c r="AT38" s="124"/>
      <c r="AU38" s="124"/>
      <c r="AV38" s="124"/>
      <c r="AW38" s="124"/>
      <c r="AX38" s="124"/>
      <c r="AY38" s="124"/>
      <c r="AZ38" s="124"/>
      <c r="BA38" s="124"/>
      <c r="BB38" s="136"/>
    </row>
    <row r="39" customFormat="false" ht="16.2" hidden="false" customHeight="false" outlineLevel="0" collapsed="false">
      <c r="A39" s="111" t="n">
        <f aca="false">IF(ISBLANK(VLOOKUP(D39,#REF!,3)),0,1)</f>
        <v>1</v>
      </c>
      <c r="B39" s="112" t="n">
        <f aca="false">IF(ISBLANK(D39),0,IF(ISBLANK(E39),0,IF(ISBLANK(F39),0,1)))</f>
        <v>0</v>
      </c>
      <c r="C39" s="128" t="n">
        <v>5</v>
      </c>
      <c r="D39" s="129"/>
      <c r="E39" s="129"/>
      <c r="F39" s="137"/>
      <c r="G39" s="117"/>
      <c r="H39" s="131" t="n">
        <v>80</v>
      </c>
      <c r="I39" s="119"/>
      <c r="J39" s="132"/>
      <c r="K39" s="133"/>
      <c r="L39" s="133"/>
      <c r="M39" s="133"/>
      <c r="N39" s="134"/>
      <c r="O39" s="133"/>
      <c r="P39" s="132"/>
      <c r="Q39" s="132"/>
      <c r="R39" s="132"/>
      <c r="S39" s="125"/>
      <c r="T39" s="32" t="n">
        <v>0.07</v>
      </c>
      <c r="U39" s="32" t="n">
        <v>0.07</v>
      </c>
      <c r="V39" s="32"/>
      <c r="W39" s="32"/>
      <c r="X39" s="125" t="n">
        <v>1.1</v>
      </c>
      <c r="Y39" s="125" t="n">
        <v>1</v>
      </c>
      <c r="Z39" s="32" t="n">
        <v>0.25</v>
      </c>
      <c r="AA39" s="32" t="n">
        <v>0.24</v>
      </c>
      <c r="AB39" s="125" t="n">
        <v>2</v>
      </c>
      <c r="AC39" s="125" t="n">
        <v>1.9</v>
      </c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7"/>
    </row>
    <row r="40" customFormat="false" ht="15.6" hidden="false" customHeight="false" outlineLevel="0" collapsed="false">
      <c r="A40" s="111" t="n">
        <f aca="false">IF(ISBLANK(VLOOKUP(D40,#REF!,3)),0,1)</f>
        <v>1</v>
      </c>
      <c r="B40" s="112" t="n">
        <f aca="false">IF(ISBLANK(D40),0,IF(ISBLANK(E40),0,IF(ISBLANK(F40),0,1)))</f>
        <v>0</v>
      </c>
      <c r="C40" s="128" t="n">
        <v>6</v>
      </c>
      <c r="D40" s="129"/>
      <c r="E40" s="129"/>
      <c r="F40" s="137"/>
      <c r="G40" s="117"/>
      <c r="H40" s="131" t="n">
        <v>60</v>
      </c>
      <c r="I40" s="119"/>
      <c r="J40" s="132"/>
      <c r="K40" s="133"/>
      <c r="L40" s="133"/>
      <c r="M40" s="133"/>
      <c r="N40" s="134"/>
      <c r="O40" s="133"/>
      <c r="P40" s="132"/>
      <c r="Q40" s="132"/>
      <c r="R40" s="132"/>
      <c r="S40" s="125"/>
      <c r="T40" s="32" t="n">
        <v>0.03</v>
      </c>
      <c r="U40" s="32" t="n">
        <v>0.03</v>
      </c>
      <c r="V40" s="32"/>
      <c r="W40" s="32"/>
      <c r="X40" s="125" t="n">
        <v>0.1</v>
      </c>
      <c r="Y40" s="125" t="n">
        <v>0.1</v>
      </c>
      <c r="Z40" s="32" t="n">
        <v>0.03</v>
      </c>
      <c r="AA40" s="32" t="n">
        <v>0.03</v>
      </c>
      <c r="AB40" s="125" t="n">
        <v>1.1</v>
      </c>
      <c r="AC40" s="125" t="n">
        <v>1</v>
      </c>
      <c r="AD40" s="126"/>
      <c r="AE40" s="126"/>
      <c r="AF40" s="126"/>
      <c r="AG40" s="126"/>
      <c r="AH40" s="126"/>
      <c r="AI40" s="126"/>
      <c r="AJ40" s="126"/>
      <c r="AK40" s="126"/>
      <c r="AL40" s="126"/>
      <c r="AM40" s="126"/>
      <c r="AN40" s="126"/>
      <c r="AO40" s="126"/>
      <c r="AP40" s="126"/>
      <c r="AQ40" s="126"/>
      <c r="AR40" s="126"/>
      <c r="AS40" s="126"/>
      <c r="AT40" s="126"/>
      <c r="AU40" s="126"/>
      <c r="AV40" s="126"/>
      <c r="AW40" s="126"/>
      <c r="AX40" s="126"/>
      <c r="AY40" s="126"/>
      <c r="AZ40" s="126"/>
      <c r="BA40" s="126"/>
      <c r="BB40" s="127"/>
    </row>
    <row r="41" customFormat="false" ht="15.6" hidden="false" customHeight="false" outlineLevel="0" collapsed="false">
      <c r="A41" s="111" t="n">
        <f aca="false">IF(ISBLANK(VLOOKUP(D41,#REF!,3)),0,1)</f>
        <v>1</v>
      </c>
      <c r="B41" s="112" t="n">
        <f aca="false">IF(ISBLANK(D41),0,IF(ISBLANK(E41),0,IF(ISBLANK(F41),0,1)))</f>
        <v>0</v>
      </c>
      <c r="C41" s="128" t="n">
        <v>7</v>
      </c>
      <c r="D41" s="129"/>
      <c r="E41" s="129"/>
      <c r="F41" s="137"/>
      <c r="G41" s="117"/>
      <c r="H41" s="131" t="n">
        <v>40</v>
      </c>
      <c r="I41" s="119"/>
      <c r="J41" s="132"/>
      <c r="K41" s="133"/>
      <c r="L41" s="133"/>
      <c r="M41" s="133"/>
      <c r="N41" s="134"/>
      <c r="O41" s="133"/>
      <c r="P41" s="132"/>
      <c r="Q41" s="132"/>
      <c r="R41" s="132"/>
      <c r="S41" s="125"/>
      <c r="T41" s="32" t="n">
        <v>0.03</v>
      </c>
      <c r="U41" s="32" t="n">
        <v>0.03</v>
      </c>
      <c r="V41" s="32"/>
      <c r="W41" s="32"/>
      <c r="X41" s="125" t="n">
        <v>0.1</v>
      </c>
      <c r="Y41" s="125" t="n">
        <v>0.1</v>
      </c>
      <c r="Z41" s="32" t="n">
        <v>0.04</v>
      </c>
      <c r="AA41" s="32" t="n">
        <v>0.03</v>
      </c>
      <c r="AB41" s="125" t="n">
        <v>1.1</v>
      </c>
      <c r="AC41" s="125" t="n">
        <v>1</v>
      </c>
      <c r="AD41" s="124"/>
      <c r="AE41" s="124"/>
      <c r="AF41" s="124"/>
      <c r="AG41" s="124"/>
      <c r="AH41" s="124"/>
      <c r="AI41" s="124"/>
      <c r="AJ41" s="124"/>
      <c r="AK41" s="124"/>
      <c r="AL41" s="124"/>
      <c r="AM41" s="124"/>
      <c r="AN41" s="124"/>
      <c r="AO41" s="124"/>
      <c r="AP41" s="124"/>
      <c r="AQ41" s="124"/>
      <c r="AR41" s="124"/>
      <c r="AS41" s="124"/>
      <c r="AT41" s="124"/>
      <c r="AU41" s="124"/>
      <c r="AV41" s="124"/>
      <c r="AW41" s="124"/>
      <c r="AX41" s="124"/>
      <c r="AY41" s="124"/>
      <c r="AZ41" s="124"/>
      <c r="BA41" s="124"/>
      <c r="BB41" s="136"/>
    </row>
    <row r="42" customFormat="false" ht="15.6" hidden="false" customHeight="false" outlineLevel="0" collapsed="false">
      <c r="A42" s="111" t="n">
        <f aca="false">IF(ISBLANK(VLOOKUP(D42,#REF!,3)),0,1)</f>
        <v>1</v>
      </c>
      <c r="B42" s="112" t="n">
        <f aca="false">IF(ISBLANK(D42),0,IF(ISBLANK(E42),0,IF(ISBLANK(F42),0,1)))</f>
        <v>0</v>
      </c>
      <c r="C42" s="128" t="n">
        <v>8</v>
      </c>
      <c r="D42" s="129"/>
      <c r="E42" s="129"/>
      <c r="F42" s="137"/>
      <c r="G42" s="117"/>
      <c r="H42" s="131" t="n">
        <v>40</v>
      </c>
      <c r="I42" s="119"/>
      <c r="J42" s="132"/>
      <c r="K42" s="133"/>
      <c r="L42" s="133"/>
      <c r="M42" s="133"/>
      <c r="N42" s="134"/>
      <c r="O42" s="133"/>
      <c r="P42" s="132"/>
      <c r="Q42" s="132"/>
      <c r="R42" s="132"/>
      <c r="S42" s="125"/>
      <c r="T42" s="32" t="n">
        <v>0.04</v>
      </c>
      <c r="U42" s="32" t="n">
        <v>0.03</v>
      </c>
      <c r="V42" s="32"/>
      <c r="W42" s="32"/>
      <c r="X42" s="125" t="n">
        <v>0.1</v>
      </c>
      <c r="Y42" s="125" t="n">
        <v>0.1</v>
      </c>
      <c r="Z42" s="32" t="n">
        <v>0.05</v>
      </c>
      <c r="AA42" s="32" t="n">
        <v>0.04</v>
      </c>
      <c r="AB42" s="125" t="n">
        <v>1</v>
      </c>
      <c r="AC42" s="125" t="n">
        <v>1</v>
      </c>
      <c r="AD42" s="124"/>
      <c r="AE42" s="124"/>
      <c r="AF42" s="124"/>
      <c r="AG42" s="124"/>
      <c r="AH42" s="124"/>
      <c r="AI42" s="124"/>
      <c r="AJ42" s="124"/>
      <c r="AK42" s="124"/>
      <c r="AL42" s="124"/>
      <c r="AM42" s="124"/>
      <c r="AN42" s="124"/>
      <c r="AO42" s="124"/>
      <c r="AP42" s="124"/>
      <c r="AQ42" s="124"/>
      <c r="AR42" s="124"/>
      <c r="AS42" s="124"/>
      <c r="AT42" s="124"/>
      <c r="AU42" s="124"/>
      <c r="AV42" s="124"/>
      <c r="AW42" s="124"/>
      <c r="AX42" s="124"/>
      <c r="AY42" s="124"/>
      <c r="AZ42" s="124"/>
      <c r="BA42" s="124"/>
      <c r="BB42" s="136"/>
    </row>
    <row r="43" customFormat="false" ht="15.6" hidden="false" customHeight="false" outlineLevel="0" collapsed="false">
      <c r="A43" s="111" t="n">
        <f aca="false">IF(ISBLANK(VLOOKUP(D43,#REF!,3)),0,1)</f>
        <v>1</v>
      </c>
      <c r="B43" s="112" t="n">
        <f aca="false">IF(ISBLANK(D43),0,IF(ISBLANK(E43),0,IF(ISBLANK(F43),0,1)))</f>
        <v>0</v>
      </c>
      <c r="C43" s="128" t="n">
        <v>9</v>
      </c>
      <c r="D43" s="129"/>
      <c r="E43" s="129"/>
      <c r="F43" s="137"/>
      <c r="G43" s="117"/>
      <c r="H43" s="131" t="n">
        <v>20</v>
      </c>
      <c r="I43" s="119"/>
      <c r="J43" s="132"/>
      <c r="K43" s="133"/>
      <c r="L43" s="133"/>
      <c r="M43" s="133"/>
      <c r="N43" s="134"/>
      <c r="O43" s="133"/>
      <c r="P43" s="132"/>
      <c r="Q43" s="132"/>
      <c r="R43" s="132"/>
      <c r="S43" s="125"/>
      <c r="T43" s="32" t="n">
        <v>0.04</v>
      </c>
      <c r="U43" s="32" t="n">
        <v>0.04</v>
      </c>
      <c r="V43" s="32"/>
      <c r="W43" s="32"/>
      <c r="X43" s="125" t="n">
        <v>0.1</v>
      </c>
      <c r="Y43" s="125" t="n">
        <v>0.1</v>
      </c>
      <c r="Z43" s="32" t="n">
        <v>0.04</v>
      </c>
      <c r="AA43" s="32" t="n">
        <v>0.04</v>
      </c>
      <c r="AB43" s="125" t="n">
        <v>1</v>
      </c>
      <c r="AC43" s="125" t="n">
        <v>1</v>
      </c>
      <c r="AD43" s="124"/>
      <c r="AE43" s="124"/>
      <c r="AF43" s="124"/>
      <c r="AG43" s="124"/>
      <c r="AH43" s="124"/>
      <c r="AI43" s="124"/>
      <c r="AJ43" s="124"/>
      <c r="AK43" s="124"/>
      <c r="AL43" s="124"/>
      <c r="AM43" s="124"/>
      <c r="AN43" s="124"/>
      <c r="AO43" s="124"/>
      <c r="AP43" s="124"/>
      <c r="AQ43" s="124"/>
      <c r="AR43" s="124"/>
      <c r="AS43" s="124"/>
      <c r="AT43" s="124"/>
      <c r="AU43" s="124"/>
      <c r="AV43" s="124"/>
      <c r="AW43" s="124"/>
      <c r="AX43" s="124"/>
      <c r="AY43" s="124"/>
      <c r="AZ43" s="124"/>
      <c r="BA43" s="124"/>
      <c r="BB43" s="136"/>
    </row>
    <row r="44" customFormat="false" ht="15.6" hidden="false" customHeight="false" outlineLevel="0" collapsed="false">
      <c r="A44" s="111" t="n">
        <f aca="false">IF(ISBLANK(VLOOKUP(D44,#REF!,3)),0,1)</f>
        <v>1</v>
      </c>
      <c r="B44" s="112" t="n">
        <f aca="false">IF(ISBLANK(D44),0,IF(ISBLANK(E44),0,IF(ISBLANK(F44),0,1)))</f>
        <v>0</v>
      </c>
      <c r="C44" s="128" t="n">
        <v>10</v>
      </c>
      <c r="D44" s="129"/>
      <c r="E44" s="129"/>
      <c r="F44" s="137"/>
      <c r="G44" s="117"/>
      <c r="H44" s="131" t="n">
        <v>10</v>
      </c>
      <c r="I44" s="119"/>
      <c r="J44" s="132"/>
      <c r="K44" s="133"/>
      <c r="L44" s="133"/>
      <c r="M44" s="133"/>
      <c r="N44" s="134"/>
      <c r="O44" s="133"/>
      <c r="P44" s="132"/>
      <c r="Q44" s="132"/>
      <c r="R44" s="132"/>
      <c r="S44" s="125"/>
      <c r="T44" s="32" t="n">
        <v>0.02</v>
      </c>
      <c r="U44" s="32" t="n">
        <v>0.02</v>
      </c>
      <c r="V44" s="32"/>
      <c r="W44" s="32"/>
      <c r="X44" s="125" t="n">
        <v>0.1</v>
      </c>
      <c r="Y44" s="125" t="n">
        <v>0.1</v>
      </c>
      <c r="Z44" s="32" t="n">
        <v>0.05</v>
      </c>
      <c r="AA44" s="32" t="n">
        <v>0.05</v>
      </c>
      <c r="AB44" s="125" t="n">
        <v>1.2</v>
      </c>
      <c r="AC44" s="125" t="n">
        <v>1.1</v>
      </c>
      <c r="AD44" s="124"/>
      <c r="AE44" s="124"/>
      <c r="AF44" s="124"/>
      <c r="AG44" s="124"/>
      <c r="AH44" s="124"/>
      <c r="AI44" s="124"/>
      <c r="AJ44" s="124"/>
      <c r="AK44" s="124"/>
      <c r="AL44" s="124"/>
      <c r="AM44" s="124"/>
      <c r="AN44" s="124"/>
      <c r="AO44" s="124"/>
      <c r="AP44" s="124"/>
      <c r="AQ44" s="124"/>
      <c r="AR44" s="124"/>
      <c r="AS44" s="124"/>
      <c r="AT44" s="124"/>
      <c r="AU44" s="124"/>
      <c r="AV44" s="124"/>
      <c r="AW44" s="124"/>
      <c r="AX44" s="124"/>
      <c r="AY44" s="124"/>
      <c r="AZ44" s="124"/>
      <c r="BA44" s="124"/>
      <c r="BB44" s="136"/>
    </row>
    <row r="45" customFormat="false" ht="15.6" hidden="false" customHeight="false" outlineLevel="0" collapsed="false">
      <c r="A45" s="111" t="n">
        <f aca="false">IF(ISBLANK(VLOOKUP(D45,#REF!,3)),0,1)</f>
        <v>1</v>
      </c>
      <c r="B45" s="112" t="n">
        <f aca="false">IF(ISBLANK(D45),0,IF(ISBLANK(E45),0,IF(ISBLANK(F45),0,1)))</f>
        <v>0</v>
      </c>
      <c r="C45" s="128" t="n">
        <v>11</v>
      </c>
      <c r="D45" s="129"/>
      <c r="E45" s="129"/>
      <c r="F45" s="137"/>
      <c r="G45" s="117" t="n">
        <v>35.4964</v>
      </c>
      <c r="H45" s="131" t="n">
        <v>0</v>
      </c>
      <c r="I45" s="119" t="n">
        <v>2.2</v>
      </c>
      <c r="J45" s="132"/>
      <c r="K45" s="133"/>
      <c r="L45" s="133"/>
      <c r="M45" s="133"/>
      <c r="N45" s="134"/>
      <c r="O45" s="133"/>
      <c r="P45" s="132" t="n">
        <v>4.62</v>
      </c>
      <c r="Q45" s="132"/>
      <c r="R45" s="132"/>
      <c r="S45" s="125" t="n">
        <v>201.6</v>
      </c>
      <c r="T45" s="32" t="n">
        <v>0.01</v>
      </c>
      <c r="U45" s="32" t="n">
        <v>0.01</v>
      </c>
      <c r="V45" s="32"/>
      <c r="W45" s="32"/>
      <c r="X45" s="125" t="n">
        <v>0.1</v>
      </c>
      <c r="Y45" s="125" t="n">
        <v>0.1</v>
      </c>
      <c r="Z45" s="32" t="n">
        <v>0.04</v>
      </c>
      <c r="AA45" s="32" t="n">
        <v>0.04</v>
      </c>
      <c r="AB45" s="125" t="n">
        <v>1.1</v>
      </c>
      <c r="AC45" s="125" t="n">
        <v>1.1</v>
      </c>
      <c r="AD45" s="140"/>
      <c r="AE45" s="140"/>
      <c r="AF45" s="140"/>
      <c r="AG45" s="140"/>
      <c r="AH45" s="140"/>
      <c r="AI45" s="140"/>
      <c r="AJ45" s="140"/>
      <c r="AK45" s="140"/>
      <c r="AL45" s="140"/>
      <c r="AM45" s="140"/>
      <c r="AN45" s="140"/>
      <c r="AO45" s="140"/>
      <c r="AP45" s="140"/>
      <c r="AQ45" s="140"/>
      <c r="AR45" s="140"/>
      <c r="AS45" s="140"/>
      <c r="AT45" s="140"/>
      <c r="AU45" s="140"/>
      <c r="AV45" s="140"/>
      <c r="AW45" s="140"/>
      <c r="AX45" s="140"/>
      <c r="AY45" s="140"/>
      <c r="AZ45" s="140"/>
      <c r="BA45" s="140"/>
      <c r="BB45" s="141"/>
    </row>
    <row r="46" customFormat="false" ht="15.6" hidden="false" customHeight="false" outlineLevel="0" collapsed="false">
      <c r="A46" s="111" t="n">
        <f aca="false">IF(ISBLANK(VLOOKUP(D46,#REF!,3)),0,1)</f>
        <v>1</v>
      </c>
      <c r="B46" s="112" t="n">
        <f aca="false">IF(ISBLANK(D46),0,IF(ISBLANK(E46),0,IF(ISBLANK(F46),0,1)))</f>
        <v>0</v>
      </c>
      <c r="C46" s="128" t="n">
        <v>12</v>
      </c>
      <c r="D46" s="142"/>
      <c r="E46" s="142"/>
      <c r="F46" s="143"/>
      <c r="G46" s="144"/>
      <c r="H46" s="142"/>
      <c r="I46" s="145"/>
      <c r="J46" s="132" t="str">
        <f aca="false">IF(ISBLANK(D46),"",IF(VLOOKUP(D46,#REF!,2)=0,"",IF(D46&gt;#REF!,"Mauvais numéro",IF(D46&lt;#REF!,"Mauvais numéro",(VLOOKUP(D46,#REF!,3))))))</f>
        <v/>
      </c>
      <c r="K46" s="146" t="str">
        <f aca="false">IF(ISBLANK(E46),"",(0.000824493-(0.0000040899*E46)+(0.000000076438*E46^2)-(0.00000000082467*E46^3)+(0.0000000000053875*E46^4)))</f>
        <v/>
      </c>
      <c r="L46" s="146" t="str">
        <f aca="false">IF(ISBLANK(E46),"",(-0.00000572466+(0.00000010227*E46)-(0.0000000016546*E46^2)))</f>
        <v/>
      </c>
      <c r="M46" s="146" t="str">
        <f aca="false">IF(ISBLANK(E46),"",IF(ISBLANK(G46),(O46+(K46*35)+(L46*35^1.5)+(0.00000048314*35^2)),(O46+(K46*G46)+(L46*G46^1.5)+(0.00000048314*G46^2))))</f>
        <v/>
      </c>
      <c r="N46" s="147" t="str">
        <f aca="false">IF(ISBLANK(D46),"",IF(ISBLANK(G46),J46*(1+0.00001*(35-20)),J46*(1+0.00001*(G46-20))))</f>
        <v/>
      </c>
      <c r="O46" s="146" t="str">
        <f aca="false">IF(ISBLANK(E46),"",(0.999842594+(0.00006793952*E46)-(0.00000909529*E46^2)+(0.0000001001685*E46^3)-(0.000000001120083*E46^4)+(0.000000000006536332*E46^5)))</f>
        <v/>
      </c>
      <c r="P46" s="148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49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0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0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24"/>
      <c r="U46" s="124"/>
      <c r="V46" s="124"/>
      <c r="W46" s="124"/>
      <c r="X46" s="124"/>
      <c r="Y46" s="124"/>
      <c r="Z46" s="124"/>
      <c r="AA46" s="124"/>
      <c r="AB46" s="124"/>
      <c r="AC46" s="124"/>
      <c r="AD46" s="124"/>
      <c r="AE46" s="124"/>
      <c r="AF46" s="124"/>
      <c r="AG46" s="124"/>
      <c r="AH46" s="124"/>
      <c r="AI46" s="124"/>
      <c r="AJ46" s="124"/>
      <c r="AK46" s="124"/>
      <c r="AL46" s="124"/>
      <c r="AM46" s="124"/>
      <c r="AN46" s="124"/>
      <c r="AO46" s="124"/>
      <c r="AP46" s="124"/>
      <c r="AQ46" s="124"/>
      <c r="AR46" s="124"/>
      <c r="AS46" s="124"/>
      <c r="AT46" s="124"/>
      <c r="AU46" s="124"/>
      <c r="AV46" s="124"/>
      <c r="AW46" s="124"/>
      <c r="AX46" s="124"/>
      <c r="AY46" s="124"/>
      <c r="AZ46" s="124"/>
      <c r="BA46" s="124"/>
      <c r="BB46" s="136"/>
    </row>
    <row r="47" customFormat="false" ht="15.6" hidden="false" customHeight="false" outlineLevel="0" collapsed="false">
      <c r="A47" s="111" t="n">
        <f aca="false">IF(ISBLANK(VLOOKUP(D47,#REF!,3)),0,1)</f>
        <v>1</v>
      </c>
      <c r="B47" s="112" t="n">
        <f aca="false">IF(ISBLANK(D47),0,IF(ISBLANK(E47),0,IF(ISBLANK(F47),0,1)))</f>
        <v>0</v>
      </c>
      <c r="C47" s="128" t="n">
        <v>13</v>
      </c>
      <c r="D47" s="151"/>
      <c r="E47" s="151"/>
      <c r="F47" s="152"/>
      <c r="G47" s="153"/>
      <c r="H47" s="151"/>
      <c r="I47" s="151"/>
      <c r="J47" s="132" t="str">
        <f aca="false">IF(ISBLANK(D47),"",IF(VLOOKUP(D47,#REF!,2)=0,"",IF(D47&gt;#REF!,"Mauvais numéro",IF(D47&lt;#REF!,"Mauvais numéro",(VLOOKUP(D47,#REF!,3))))))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54"/>
      <c r="Q47" s="149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5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4"/>
      <c r="T47" s="124"/>
      <c r="U47" s="124"/>
      <c r="V47" s="124"/>
      <c r="W47" s="124"/>
      <c r="X47" s="12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24"/>
      <c r="AJ47" s="124"/>
      <c r="AK47" s="124"/>
      <c r="AL47" s="124"/>
      <c r="AM47" s="124"/>
      <c r="AN47" s="124"/>
      <c r="AO47" s="124"/>
      <c r="AP47" s="124"/>
      <c r="AQ47" s="124"/>
      <c r="AR47" s="124"/>
      <c r="AS47" s="124"/>
      <c r="AT47" s="124"/>
      <c r="AU47" s="124"/>
      <c r="AV47" s="124"/>
      <c r="AW47" s="124"/>
      <c r="AX47" s="124"/>
      <c r="AY47" s="124"/>
      <c r="AZ47" s="124"/>
      <c r="BA47" s="124"/>
      <c r="BB47" s="136"/>
    </row>
    <row r="48" customFormat="false" ht="15.6" hidden="false" customHeight="false" outlineLevel="0" collapsed="false">
      <c r="A48" s="111" t="n">
        <f aca="false">IF(ISBLANK(VLOOKUP(D48,#REF!,3)),0,1)</f>
        <v>1</v>
      </c>
      <c r="B48" s="112" t="n">
        <f aca="false">IF(ISBLANK(D48),0,IF(ISBLANK(E48),0,IF(ISBLANK(F48),0,1)))</f>
        <v>0</v>
      </c>
      <c r="C48" s="128" t="n">
        <v>14</v>
      </c>
      <c r="D48" s="151"/>
      <c r="E48" s="151"/>
      <c r="F48" s="152"/>
      <c r="G48" s="153"/>
      <c r="H48" s="151"/>
      <c r="I48" s="151"/>
      <c r="J48" s="132" t="str">
        <f aca="false">IF(ISBLANK(D48),"",IF(VLOOKUP(D48,#REF!,2)=0,"",IF(D48&gt;#REF!,"Mauvais numéro",IF(D48&lt;#REF!,"Mauvais numéro",(VLOOKUP(D48,#REF!,3))))))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54"/>
      <c r="Q48" s="149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5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4"/>
      <c r="T48" s="124"/>
      <c r="U48" s="124"/>
      <c r="V48" s="124"/>
      <c r="W48" s="124"/>
      <c r="X48" s="124"/>
      <c r="Y48" s="124"/>
      <c r="Z48" s="124"/>
      <c r="AA48" s="124"/>
      <c r="AB48" s="124"/>
      <c r="AC48" s="124"/>
      <c r="AD48" s="124"/>
      <c r="AE48" s="124"/>
      <c r="AF48" s="124"/>
      <c r="AG48" s="124"/>
      <c r="AH48" s="124"/>
      <c r="AI48" s="124"/>
      <c r="AJ48" s="124"/>
      <c r="AK48" s="124"/>
      <c r="AL48" s="124"/>
      <c r="AM48" s="124"/>
      <c r="AN48" s="124"/>
      <c r="AO48" s="124"/>
      <c r="AP48" s="124"/>
      <c r="AQ48" s="124"/>
      <c r="AR48" s="124"/>
      <c r="AS48" s="124"/>
      <c r="AT48" s="124"/>
      <c r="AU48" s="124"/>
      <c r="AV48" s="124"/>
      <c r="AW48" s="124"/>
      <c r="AX48" s="124"/>
      <c r="AY48" s="124"/>
      <c r="AZ48" s="124"/>
      <c r="BA48" s="124"/>
      <c r="BB48" s="136"/>
    </row>
    <row r="49" customFormat="false" ht="15.6" hidden="false" customHeight="false" outlineLevel="0" collapsed="false">
      <c r="A49" s="111" t="n">
        <f aca="false">IF(ISBLANK(VLOOKUP(D49,#REF!,3)),0,1)</f>
        <v>1</v>
      </c>
      <c r="B49" s="112" t="n">
        <f aca="false">IF(ISBLANK(D49),0,IF(ISBLANK(E49),0,IF(ISBLANK(F49),0,1)))</f>
        <v>0</v>
      </c>
      <c r="C49" s="128" t="n">
        <v>15</v>
      </c>
      <c r="D49" s="151"/>
      <c r="E49" s="151"/>
      <c r="F49" s="152"/>
      <c r="G49" s="156"/>
      <c r="H49" s="151"/>
      <c r="I49" s="151"/>
      <c r="J49" s="132" t="str">
        <f aca="false">IF(ISBLANK(D49),"",IF(VLOOKUP(D49,#REF!,2)=0,"",IF(D49&gt;#REF!,"Mauvais numéro",IF(D49&lt;#REF!,"Mauvais numéro",(VLOOKUP(D49,#REF!,3))))))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57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49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24"/>
      <c r="AE49" s="124"/>
      <c r="AF49" s="124"/>
      <c r="AG49" s="124"/>
      <c r="AH49" s="124"/>
      <c r="AI49" s="124"/>
      <c r="AJ49" s="124"/>
      <c r="AK49" s="124"/>
      <c r="AL49" s="124"/>
      <c r="AM49" s="124"/>
      <c r="AN49" s="124"/>
      <c r="AO49" s="124"/>
      <c r="AP49" s="124"/>
      <c r="AQ49" s="124"/>
      <c r="AR49" s="124"/>
      <c r="AS49" s="124"/>
      <c r="AT49" s="124"/>
      <c r="AU49" s="124"/>
      <c r="AV49" s="124"/>
      <c r="AW49" s="124"/>
      <c r="AX49" s="124"/>
      <c r="AY49" s="124"/>
      <c r="AZ49" s="124"/>
      <c r="BA49" s="124"/>
      <c r="BB49" s="136"/>
    </row>
    <row r="50" customFormat="false" ht="15.6" hidden="false" customHeight="false" outlineLevel="0" collapsed="false">
      <c r="A50" s="111" t="n">
        <f aca="false">IF(ISBLANK(VLOOKUP(D50,#REF!,3)),0,1)</f>
        <v>1</v>
      </c>
      <c r="B50" s="112" t="n">
        <f aca="false">IF(ISBLANK(D50),0,IF(ISBLANK(E50),0,IF(ISBLANK(F50),0,1)))</f>
        <v>0</v>
      </c>
      <c r="C50" s="128" t="n">
        <v>16</v>
      </c>
      <c r="D50" s="151"/>
      <c r="E50" s="151"/>
      <c r="F50" s="152"/>
      <c r="G50" s="156"/>
      <c r="H50" s="151"/>
      <c r="I50" s="151"/>
      <c r="J50" s="132" t="str">
        <f aca="false">IF(ISBLANK(D50),"",IF(VLOOKUP(D50,#REF!,2)=0,"",IF(D50&gt;#REF!,"Mauvais numéro",IF(D50&lt;#REF!,"Mauvais numéro",(VLOOKUP(D50,#REF!,3))))))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57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49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24"/>
      <c r="U50" s="124"/>
      <c r="V50" s="124"/>
      <c r="W50" s="124"/>
      <c r="X50" s="124"/>
      <c r="Y50" s="124"/>
      <c r="Z50" s="124"/>
      <c r="AA50" s="124"/>
      <c r="AB50" s="124"/>
      <c r="AC50" s="124"/>
      <c r="AD50" s="124"/>
      <c r="AE50" s="124"/>
      <c r="AF50" s="124"/>
      <c r="AG50" s="124"/>
      <c r="AH50" s="124"/>
      <c r="AI50" s="124"/>
      <c r="AJ50" s="124"/>
      <c r="AK50" s="124"/>
      <c r="AL50" s="124"/>
      <c r="AM50" s="124"/>
      <c r="AN50" s="124"/>
      <c r="AO50" s="124"/>
      <c r="AP50" s="124"/>
      <c r="AQ50" s="124"/>
      <c r="AR50" s="124"/>
      <c r="AS50" s="124"/>
      <c r="AT50" s="124"/>
      <c r="AU50" s="124"/>
      <c r="AV50" s="124"/>
      <c r="AW50" s="124"/>
      <c r="AX50" s="124"/>
      <c r="AY50" s="124"/>
      <c r="AZ50" s="124"/>
      <c r="BA50" s="124"/>
      <c r="BB50" s="136"/>
    </row>
    <row r="51" customFormat="false" ht="15.6" hidden="false" customHeight="false" outlineLevel="0" collapsed="false">
      <c r="A51" s="111" t="n">
        <f aca="false">IF(ISBLANK(VLOOKUP(D51,#REF!,3)),0,1)</f>
        <v>1</v>
      </c>
      <c r="B51" s="112" t="n">
        <f aca="false">IF(ISBLANK(D51),0,IF(ISBLANK(E51),0,IF(ISBLANK(F51),0,1)))</f>
        <v>0</v>
      </c>
      <c r="C51" s="128" t="n">
        <v>17</v>
      </c>
      <c r="D51" s="151"/>
      <c r="E51" s="151"/>
      <c r="F51" s="152"/>
      <c r="G51" s="156"/>
      <c r="H51" s="151"/>
      <c r="I51" s="151"/>
      <c r="J51" s="132" t="str">
        <f aca="false">IF(ISBLANK(D51),"",IF(VLOOKUP(D51,#REF!,2)=0,"",IF(D51&gt;#REF!,"Mauvais numéro",IF(D51&lt;#REF!,"Mauvais numéro",(VLOOKUP(D51,#REF!,3))))))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57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49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24"/>
      <c r="AE51" s="124"/>
      <c r="AF51" s="124"/>
      <c r="AG51" s="124"/>
      <c r="AH51" s="124"/>
      <c r="AI51" s="124"/>
      <c r="AJ51" s="124"/>
      <c r="AK51" s="124"/>
      <c r="AL51" s="124"/>
      <c r="AM51" s="124"/>
      <c r="AN51" s="124"/>
      <c r="AO51" s="124"/>
      <c r="AP51" s="124"/>
      <c r="AQ51" s="124"/>
      <c r="AR51" s="124"/>
      <c r="AS51" s="124"/>
      <c r="AT51" s="124"/>
      <c r="AU51" s="124"/>
      <c r="AV51" s="124"/>
      <c r="AW51" s="124"/>
      <c r="AX51" s="124"/>
      <c r="AY51" s="124"/>
      <c r="AZ51" s="124"/>
      <c r="BA51" s="124"/>
      <c r="BB51" s="136"/>
    </row>
    <row r="52" customFormat="false" ht="15.6" hidden="false" customHeight="false" outlineLevel="0" collapsed="false">
      <c r="A52" s="111" t="n">
        <f aca="false">IF(ISBLANK(VLOOKUP(D52,#REF!,3)),0,1)</f>
        <v>1</v>
      </c>
      <c r="B52" s="112" t="n">
        <f aca="false">IF(ISBLANK(D52),0,IF(ISBLANK(E52),0,IF(ISBLANK(F52),0,1)))</f>
        <v>0</v>
      </c>
      <c r="C52" s="128" t="n">
        <v>18</v>
      </c>
      <c r="D52" s="151"/>
      <c r="E52" s="151"/>
      <c r="F52" s="152"/>
      <c r="G52" s="156"/>
      <c r="H52" s="151"/>
      <c r="I52" s="151"/>
      <c r="J52" s="132" t="str">
        <f aca="false">IF(ISBLANK(D52),"",IF(VLOOKUP(D52,#REF!,2)=0,"",IF(D52&gt;#REF!,"Mauvais numéro",IF(D52&lt;#REF!,"Mauvais numéro",(VLOOKUP(D52,#REF!,3))))))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57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49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24"/>
      <c r="U52" s="124"/>
      <c r="V52" s="124"/>
      <c r="W52" s="124"/>
      <c r="X52" s="124"/>
      <c r="Y52" s="124"/>
      <c r="Z52" s="124"/>
      <c r="AA52" s="124"/>
      <c r="AB52" s="124"/>
      <c r="AC52" s="124"/>
      <c r="AD52" s="124"/>
      <c r="AE52" s="124"/>
      <c r="AF52" s="124"/>
      <c r="AG52" s="124"/>
      <c r="AH52" s="124"/>
      <c r="AI52" s="124"/>
      <c r="AJ52" s="124"/>
      <c r="AK52" s="124"/>
      <c r="AL52" s="124"/>
      <c r="AM52" s="124"/>
      <c r="AN52" s="124"/>
      <c r="AO52" s="124"/>
      <c r="AP52" s="124"/>
      <c r="AQ52" s="124"/>
      <c r="AR52" s="124"/>
      <c r="AS52" s="124"/>
      <c r="AT52" s="124"/>
      <c r="AU52" s="124"/>
      <c r="AV52" s="124"/>
      <c r="AW52" s="124"/>
      <c r="AX52" s="124"/>
      <c r="AY52" s="124"/>
      <c r="AZ52" s="124"/>
      <c r="BA52" s="124"/>
      <c r="BB52" s="136"/>
    </row>
    <row r="53" customFormat="false" ht="15.6" hidden="false" customHeight="false" outlineLevel="0" collapsed="false">
      <c r="A53" s="111" t="n">
        <f aca="false">IF(ISBLANK(VLOOKUP(D53,#REF!,3)),0,1)</f>
        <v>1</v>
      </c>
      <c r="B53" s="112" t="n">
        <f aca="false">IF(ISBLANK(D53),0,IF(ISBLANK(E53),0,IF(ISBLANK(F53),0,1)))</f>
        <v>0</v>
      </c>
      <c r="C53" s="128" t="n">
        <v>19</v>
      </c>
      <c r="D53" s="151"/>
      <c r="E53" s="151"/>
      <c r="F53" s="152"/>
      <c r="G53" s="156"/>
      <c r="H53" s="151"/>
      <c r="I53" s="151"/>
      <c r="J53" s="132" t="str">
        <f aca="false">IF(ISBLANK(D53),"",IF(VLOOKUP(D53,#REF!,2)=0,"",IF(D53&gt;#REF!,"Mauvais numéro",IF(D53&lt;#REF!,"Mauvais numéro",(VLOOKUP(D53,#REF!,3))))))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57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49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24"/>
      <c r="U53" s="124"/>
      <c r="V53" s="124"/>
      <c r="W53" s="124"/>
      <c r="X53" s="12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24"/>
      <c r="AJ53" s="124"/>
      <c r="AK53" s="124"/>
      <c r="AL53" s="124"/>
      <c r="AM53" s="124"/>
      <c r="AN53" s="124"/>
      <c r="AO53" s="124"/>
      <c r="AP53" s="124"/>
      <c r="AQ53" s="124"/>
      <c r="AR53" s="124"/>
      <c r="AS53" s="124"/>
      <c r="AT53" s="124"/>
      <c r="AU53" s="124"/>
      <c r="AV53" s="124"/>
      <c r="AW53" s="124"/>
      <c r="AX53" s="124"/>
      <c r="AY53" s="124"/>
      <c r="AZ53" s="124"/>
      <c r="BA53" s="124"/>
      <c r="BB53" s="136"/>
    </row>
    <row r="54" customFormat="false" ht="15.6" hidden="false" customHeight="false" outlineLevel="0" collapsed="false">
      <c r="A54" s="111" t="n">
        <f aca="false">IF(ISBLANK(VLOOKUP(D54,#REF!,3)),0,1)</f>
        <v>1</v>
      </c>
      <c r="B54" s="112" t="n">
        <f aca="false">IF(ISBLANK(D54),0,IF(ISBLANK(E54),0,IF(ISBLANK(F54),0,1)))</f>
        <v>0</v>
      </c>
      <c r="C54" s="128" t="n">
        <v>20</v>
      </c>
      <c r="D54" s="151"/>
      <c r="E54" s="151"/>
      <c r="F54" s="152"/>
      <c r="G54" s="156"/>
      <c r="H54" s="151"/>
      <c r="I54" s="151"/>
      <c r="J54" s="132" t="str">
        <f aca="false">IF(ISBLANK(D54),"",IF(VLOOKUP(D54,#REF!,2)=0,"",IF(D54&gt;#REF!,"Mauvais numéro",IF(D54&lt;#REF!,"Mauvais numéro",(VLOOKUP(D54,#REF!,3))))))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57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49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4"/>
      <c r="U54" s="124"/>
      <c r="V54" s="124"/>
      <c r="W54" s="124"/>
      <c r="X54" s="124"/>
      <c r="Y54" s="124"/>
      <c r="Z54" s="124"/>
      <c r="AA54" s="124"/>
      <c r="AB54" s="124"/>
      <c r="AC54" s="124"/>
      <c r="AD54" s="124"/>
      <c r="AE54" s="124"/>
      <c r="AF54" s="124"/>
      <c r="AG54" s="124"/>
      <c r="AH54" s="124"/>
      <c r="AI54" s="124"/>
      <c r="AJ54" s="124"/>
      <c r="AK54" s="124"/>
      <c r="AL54" s="124"/>
      <c r="AM54" s="124"/>
      <c r="AN54" s="124"/>
      <c r="AO54" s="124"/>
      <c r="AP54" s="124"/>
      <c r="AQ54" s="124"/>
      <c r="AR54" s="124"/>
      <c r="AS54" s="124"/>
      <c r="AT54" s="124"/>
      <c r="AU54" s="124"/>
      <c r="AV54" s="124"/>
      <c r="AW54" s="124"/>
      <c r="AX54" s="124"/>
      <c r="AY54" s="124"/>
      <c r="AZ54" s="124"/>
      <c r="BA54" s="124"/>
      <c r="BB54" s="136"/>
    </row>
    <row r="55" customFormat="false" ht="15.6" hidden="false" customHeight="false" outlineLevel="0" collapsed="false">
      <c r="A55" s="111" t="n">
        <f aca="false">IF(ISBLANK(VLOOKUP(D55,#REF!,3)),0,1)</f>
        <v>1</v>
      </c>
      <c r="B55" s="112" t="n">
        <f aca="false">IF(ISBLANK(D55),0,IF(ISBLANK(E55),0,IF(ISBLANK(F55),0,1)))</f>
        <v>0</v>
      </c>
      <c r="C55" s="128" t="n">
        <v>21</v>
      </c>
      <c r="D55" s="151"/>
      <c r="E55" s="151"/>
      <c r="F55" s="152"/>
      <c r="G55" s="156"/>
      <c r="H55" s="151"/>
      <c r="I55" s="151"/>
      <c r="J55" s="132" t="str">
        <f aca="false">IF(ISBLANK(D55),"",IF(VLOOKUP(D55,#REF!,2)=0,"",IF(D55&gt;#REF!,"Mauvais numéro",IF(D55&lt;#REF!,"Mauvais numéro",(VLOOKUP(D55,#REF!,3))))))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57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49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24"/>
      <c r="U55" s="124"/>
      <c r="V55" s="124"/>
      <c r="W55" s="124"/>
      <c r="X55" s="124"/>
      <c r="Y55" s="124"/>
      <c r="Z55" s="124"/>
      <c r="AA55" s="124"/>
      <c r="AB55" s="124"/>
      <c r="AC55" s="124"/>
      <c r="AD55" s="124"/>
      <c r="AE55" s="124"/>
      <c r="AF55" s="124"/>
      <c r="AG55" s="124"/>
      <c r="AH55" s="124"/>
      <c r="AI55" s="124"/>
      <c r="AJ55" s="124"/>
      <c r="AK55" s="124"/>
      <c r="AL55" s="124"/>
      <c r="AM55" s="124"/>
      <c r="AN55" s="124"/>
      <c r="AO55" s="124"/>
      <c r="AP55" s="124"/>
      <c r="AQ55" s="124"/>
      <c r="AR55" s="124"/>
      <c r="AS55" s="124"/>
      <c r="AT55" s="124"/>
      <c r="AU55" s="124"/>
      <c r="AV55" s="124"/>
      <c r="AW55" s="124"/>
      <c r="AX55" s="124"/>
      <c r="AY55" s="124"/>
      <c r="AZ55" s="124"/>
      <c r="BA55" s="124"/>
      <c r="BB55" s="136"/>
    </row>
    <row r="56" customFormat="false" ht="15.6" hidden="false" customHeight="false" outlineLevel="0" collapsed="false">
      <c r="A56" s="111" t="n">
        <f aca="false">IF(ISBLANK(VLOOKUP(D56,#REF!,3)),0,1)</f>
        <v>1</v>
      </c>
      <c r="B56" s="112" t="n">
        <f aca="false">IF(ISBLANK(D56),0,IF(ISBLANK(E56),0,IF(ISBLANK(F56),0,1)))</f>
        <v>0</v>
      </c>
      <c r="C56" s="128" t="n">
        <v>22</v>
      </c>
      <c r="D56" s="151"/>
      <c r="E56" s="151"/>
      <c r="F56" s="152"/>
      <c r="G56" s="156"/>
      <c r="H56" s="151"/>
      <c r="I56" s="151"/>
      <c r="J56" s="132" t="str">
        <f aca="false">IF(ISBLANK(D56),"",IF(VLOOKUP(D56,#REF!,2)=0,"",IF(D56&gt;#REF!,"Mauvais numéro",IF(D56&lt;#REF!,"Mauvais numéro",(VLOOKUP(D56,#REF!,3))))))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57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49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24"/>
      <c r="AE56" s="124"/>
      <c r="AF56" s="124"/>
      <c r="AG56" s="124"/>
      <c r="AH56" s="124"/>
      <c r="AI56" s="124"/>
      <c r="AJ56" s="124"/>
      <c r="AK56" s="124"/>
      <c r="AL56" s="124"/>
      <c r="AM56" s="124"/>
      <c r="AN56" s="124"/>
      <c r="AO56" s="124"/>
      <c r="AP56" s="124"/>
      <c r="AQ56" s="124"/>
      <c r="AR56" s="124"/>
      <c r="AS56" s="124"/>
      <c r="AT56" s="124"/>
      <c r="AU56" s="124"/>
      <c r="AV56" s="124"/>
      <c r="AW56" s="124"/>
      <c r="AX56" s="124"/>
      <c r="AY56" s="124"/>
      <c r="AZ56" s="124"/>
      <c r="BA56" s="124"/>
      <c r="BB56" s="136"/>
    </row>
    <row r="57" customFormat="false" ht="15.6" hidden="false" customHeight="false" outlineLevel="0" collapsed="false">
      <c r="A57" s="111" t="n">
        <f aca="false">IF(ISBLANK(VLOOKUP(D57,#REF!,3)),0,1)</f>
        <v>1</v>
      </c>
      <c r="B57" s="112" t="n">
        <f aca="false">IF(ISBLANK(D57),0,IF(ISBLANK(E57),0,IF(ISBLANK(F57),0,1)))</f>
        <v>0</v>
      </c>
      <c r="C57" s="128" t="n">
        <v>23</v>
      </c>
      <c r="D57" s="151"/>
      <c r="E57" s="151"/>
      <c r="F57" s="152"/>
      <c r="G57" s="156"/>
      <c r="H57" s="151"/>
      <c r="I57" s="151"/>
      <c r="J57" s="132" t="str">
        <f aca="false">IF(ISBLANK(D57),"",IF(VLOOKUP(D57,#REF!,2)=0,"",IF(D57&gt;#REF!,"Mauvais numéro",IF(D57&lt;#REF!,"Mauvais numéro",(VLOOKUP(D57,#REF!,3))))))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57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49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4"/>
      <c r="U57" s="124"/>
      <c r="V57" s="124"/>
      <c r="W57" s="124"/>
      <c r="X57" s="124"/>
      <c r="Y57" s="124"/>
      <c r="Z57" s="124"/>
      <c r="AA57" s="124"/>
      <c r="AB57" s="124"/>
      <c r="AC57" s="124"/>
      <c r="AD57" s="124"/>
      <c r="AE57" s="124"/>
      <c r="AF57" s="124"/>
      <c r="AG57" s="124"/>
      <c r="AH57" s="124"/>
      <c r="AI57" s="124"/>
      <c r="AJ57" s="124"/>
      <c r="AK57" s="124"/>
      <c r="AL57" s="124"/>
      <c r="AM57" s="124"/>
      <c r="AN57" s="124"/>
      <c r="AO57" s="124"/>
      <c r="AP57" s="124"/>
      <c r="AQ57" s="124"/>
      <c r="AR57" s="124"/>
      <c r="AS57" s="124"/>
      <c r="AT57" s="124"/>
      <c r="AU57" s="124"/>
      <c r="AV57" s="124"/>
      <c r="AW57" s="124"/>
      <c r="AX57" s="124"/>
      <c r="AY57" s="124"/>
      <c r="AZ57" s="124"/>
      <c r="BA57" s="124"/>
      <c r="BB57" s="136"/>
    </row>
    <row r="58" customFormat="false" ht="16.2" hidden="false" customHeight="false" outlineLevel="0" collapsed="false">
      <c r="A58" s="111" t="n">
        <f aca="false">IF(ISBLANK(VLOOKUP(D58,#REF!,3)),0,1)</f>
        <v>1</v>
      </c>
      <c r="B58" s="112" t="n">
        <f aca="false">IF(ISBLANK(D58),0,IF(ISBLANK(E58),0,IF(ISBLANK(F58),0,1)))</f>
        <v>0</v>
      </c>
      <c r="C58" s="158" t="n">
        <v>24</v>
      </c>
      <c r="D58" s="159"/>
      <c r="E58" s="159"/>
      <c r="F58" s="160"/>
      <c r="G58" s="161"/>
      <c r="H58" s="159"/>
      <c r="I58" s="159"/>
      <c r="J58" s="162" t="str">
        <f aca="false">IF(ISBLANK(D58),"",IF(VLOOKUP(D58,#REF!,2)=0,"",IF(D58&gt;#REF!,"Mauvais numéro",IF(D58&lt;#REF!,"Mauvais numéro",(VLOOKUP(D58,#REF!,3))))))</f>
        <v/>
      </c>
      <c r="K58" s="163" t="str">
        <f aca="false">IF(ISBLANK(E58),"",(0.000824493-(0.0000040899*E58)+(0.000000076438*E58^2)-(0.00000000082467*E58^3)+(0.0000000000053875*E58^4)))</f>
        <v/>
      </c>
      <c r="L58" s="163" t="str">
        <f aca="false">IF(ISBLANK(E58),"",(-0.00000572466+(0.00000010227*E58)-(0.0000000016546*E58^2)))</f>
        <v/>
      </c>
      <c r="M58" s="163" t="str">
        <f aca="false">IF(ISBLANK(E58),"",IF(ISBLANK(G58),(O58+(K58*35)+(L58*35^1.5)+(0.00000048314*35^2)),(O58+(K58*G58)+(L58*G58^1.5)+(0.00000048314*G58^2))))</f>
        <v/>
      </c>
      <c r="N58" s="164" t="str">
        <f aca="false">IF(ISBLANK(D58),"",IF(ISBLANK(G58),J58*(1+0.00001*(35-20)),J58*(1+0.00001*(G58-20))))</f>
        <v/>
      </c>
      <c r="O58" s="163" t="str">
        <f aca="false">IF(ISBLANK(E58),"",(0.999842594+(0.00006793952*E58)-(0.00000909529*E58^2)+(0.0000001001685*E58^3)-(0.000000001120083*E58^4)+(0.000000000006536332*E58^5)))</f>
        <v/>
      </c>
      <c r="P58" s="165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66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7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7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68"/>
      <c r="U58" s="168"/>
      <c r="V58" s="168"/>
      <c r="W58" s="168"/>
      <c r="X58" s="168"/>
      <c r="Y58" s="168"/>
      <c r="Z58" s="168"/>
      <c r="AA58" s="168"/>
      <c r="AB58" s="168"/>
      <c r="AC58" s="168"/>
      <c r="AD58" s="168"/>
      <c r="AE58" s="168"/>
      <c r="AF58" s="168"/>
      <c r="AG58" s="168"/>
      <c r="AH58" s="168"/>
      <c r="AI58" s="168"/>
      <c r="AJ58" s="168"/>
      <c r="AK58" s="168"/>
      <c r="AL58" s="168"/>
      <c r="AM58" s="168"/>
      <c r="AN58" s="168"/>
      <c r="AO58" s="168"/>
      <c r="AP58" s="168"/>
      <c r="AQ58" s="168"/>
      <c r="AR58" s="168"/>
      <c r="AS58" s="168"/>
      <c r="AT58" s="168"/>
      <c r="AU58" s="168"/>
      <c r="AV58" s="168"/>
      <c r="AW58" s="168"/>
      <c r="AX58" s="168"/>
      <c r="AY58" s="168"/>
      <c r="AZ58" s="168"/>
      <c r="BA58" s="168"/>
      <c r="BB58" s="169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T1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8178137651822"/>
    <col collapsed="false" hidden="false" max="32" min="32" style="0" width="9.10526315789474"/>
    <col collapsed="false" hidden="false" max="33" min="33" style="0" width="26.5668016194332"/>
    <col collapsed="false" hidden="false" max="34" min="34" style="0" width="12.8542510121458"/>
    <col collapsed="false" hidden="false" max="35" min="35" style="0" width="11.1417004048583"/>
    <col collapsed="false" hidden="false" max="36" min="36" style="0" width="14.5668016194332"/>
    <col collapsed="false" hidden="false" max="37" min="37" style="0" width="12.2105263157895"/>
    <col collapsed="false" hidden="false" max="38" min="38" style="0" width="26.995951417004"/>
    <col collapsed="false" hidden="false" max="39" min="39" style="0" width="14.6761133603239"/>
    <col collapsed="false" hidden="false" max="40" min="40" style="0" width="11.3562753036437"/>
    <col collapsed="false" hidden="false" max="41" min="41" style="0" width="12.5344129554656"/>
    <col collapsed="false" hidden="false" max="42" min="42" style="0" width="10.7125506072875"/>
    <col collapsed="false" hidden="false" max="43" min="43" style="0" width="6.31983805668016"/>
    <col collapsed="false" hidden="false" max="44" min="44" style="0" width="19.7085020242915"/>
    <col collapsed="false" hidden="false" max="45" min="45" style="0" width="13.0688259109312"/>
    <col collapsed="false" hidden="false" max="46" min="46" style="0" width="17.7813765182186"/>
    <col collapsed="false" hidden="false" max="47" min="47" style="0" width="14.6761133603239"/>
    <col collapsed="false" hidden="false" max="48" min="48" style="0" width="13.6032388663968"/>
    <col collapsed="false" hidden="false" max="49" min="49" style="0" width="13.7125506072874"/>
    <col collapsed="false" hidden="false" max="50" min="50" style="0" width="19.9230769230769"/>
    <col collapsed="false" hidden="false" max="51" min="51" style="0" width="13.2834008097166"/>
    <col collapsed="false" hidden="false" max="52" min="52" style="0" width="17.6761133603239"/>
    <col collapsed="false" hidden="false" max="53" min="53" style="0" width="13.3886639676113"/>
    <col collapsed="false" hidden="false" max="54" min="54" style="0" width="12.6396761133603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13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38542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6</v>
      </c>
      <c r="J9" s="29" t="n">
        <v>59.82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-6°59,82</v>
      </c>
      <c r="P9" s="29" t="s">
        <v>15</v>
      </c>
      <c r="Q9" s="33" t="n">
        <f aca="false">IF(ISBLANK(I9),"",IF(ISBLANK(J9),"",IF(J9&gt;60,"ERREUR !!",O11*(I9+(J9/60)))))</f>
        <v>-6.997</v>
      </c>
      <c r="R9" s="33"/>
    </row>
    <row r="10" customFormat="false" ht="15" hidden="false" customHeight="true" outlineLevel="0" collapsed="false">
      <c r="C10" s="21"/>
      <c r="D10" s="18"/>
      <c r="G10" s="27" t="s">
        <v>16</v>
      </c>
      <c r="H10" s="27"/>
      <c r="I10" s="28" t="n">
        <v>10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15</v>
      </c>
      <c r="N10" s="30" t="s">
        <v>17</v>
      </c>
      <c r="O10" s="34" t="str">
        <f aca="false">IF(ISBLANK(I10),"",IF(ISBLANK(J10),"",IF(P10=N10,L10&amp;N12,N12)))</f>
        <v>-10°0</v>
      </c>
      <c r="P10" s="29" t="s">
        <v>17</v>
      </c>
      <c r="Q10" s="33" t="n">
        <f aca="false">IF(ISBLANK(I10),"",IF(ISBLANK(J10),"",IF(J10&gt;60,"ERREUR !!",O12*(I10+(J10/60)))))</f>
        <v>-10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38542</v>
      </c>
      <c r="K11" s="38"/>
      <c r="L11" s="38"/>
      <c r="M11" s="38"/>
      <c r="N11" s="39" t="str">
        <f aca="false">I9&amp;"°"&amp;J9</f>
        <v>6°59,82</v>
      </c>
      <c r="O11" s="40" t="n">
        <f aca="false">IF(P9=M10,-1,1)</f>
        <v>-1</v>
      </c>
      <c r="P11" s="41" t="str">
        <f aca="false">TEXT(J11,"aaaa-mm-jj")&amp;"T"&amp;TEXT(J12,"hh:mm:ss")&amp;"z"</f>
        <v>2009-07-10T05:30:00z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0.229166666666667</v>
      </c>
      <c r="K12" s="45"/>
      <c r="L12" s="45"/>
      <c r="M12" s="45"/>
      <c r="N12" s="46" t="str">
        <f aca="false">I10&amp;"°"&amp;J10</f>
        <v>10°0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e">
        <f aca="false">$P$24*($P$18/#REF!)</f>
        <v>#REF!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e">
        <f aca="false">5+#REF!</f>
        <v>#REF!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e">
        <f aca="false">P20*(1+0.00001*(R14-20))</f>
        <v>#REF!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e">
        <f aca="false">MAX(#REF!)</f>
        <v>#VALUE!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e">
        <f aca="false">2+(#REF!+#REF!)</f>
        <v>#REF!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52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53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IF(ISBLANK(VLOOKUP(D35,#REF!,3)),0,1)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n">
        <v>34.9429</v>
      </c>
      <c r="H35" s="118" t="n">
        <v>2000</v>
      </c>
      <c r="I35" s="119" t="n">
        <v>2004</v>
      </c>
      <c r="J35" s="120"/>
      <c r="K35" s="121"/>
      <c r="L35" s="121"/>
      <c r="M35" s="121"/>
      <c r="N35" s="122"/>
      <c r="O35" s="121"/>
      <c r="P35" s="120" t="n">
        <v>5.469</v>
      </c>
      <c r="Q35" s="120"/>
      <c r="R35" s="120"/>
      <c r="S35" s="179" t="n">
        <v>237.7</v>
      </c>
      <c r="T35" s="32" t="n">
        <v>0.02</v>
      </c>
      <c r="U35" s="32" t="n">
        <v>0.02</v>
      </c>
      <c r="V35" s="32"/>
      <c r="W35" s="32"/>
      <c r="X35" s="125" t="n">
        <v>21.8</v>
      </c>
      <c r="Y35" s="125" t="n">
        <v>21.3</v>
      </c>
      <c r="Z35" s="32" t="n">
        <v>1.49</v>
      </c>
      <c r="AA35" s="32" t="n">
        <v>1.45</v>
      </c>
      <c r="AB35" s="125" t="n">
        <v>26.4</v>
      </c>
      <c r="AC35" s="125" t="n">
        <v>25.8</v>
      </c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7"/>
    </row>
    <row r="36" customFormat="false" ht="15.6" hidden="false" customHeight="false" outlineLevel="0" collapsed="false">
      <c r="A36" s="111" t="n">
        <f aca="false">IF(ISBLANK(VLOOKUP(D36,#REF!,3)),0,1)</f>
        <v>1</v>
      </c>
      <c r="B36" s="112" t="n">
        <f aca="false">IF(ISBLANK(D36),0,IF(ISBLANK(E36),0,IF(ISBLANK(F36),0,1)))</f>
        <v>0</v>
      </c>
      <c r="C36" s="128" t="n">
        <v>2</v>
      </c>
      <c r="D36" s="129"/>
      <c r="E36" s="129"/>
      <c r="F36" s="130"/>
      <c r="G36" s="117" t="n">
        <v>34.5785</v>
      </c>
      <c r="H36" s="131" t="n">
        <v>1000</v>
      </c>
      <c r="I36" s="119" t="n">
        <v>1000</v>
      </c>
      <c r="J36" s="132"/>
      <c r="K36" s="133"/>
      <c r="L36" s="133"/>
      <c r="M36" s="133"/>
      <c r="N36" s="134"/>
      <c r="O36" s="133"/>
      <c r="P36" s="132" t="n">
        <v>3.564</v>
      </c>
      <c r="Q36" s="132"/>
      <c r="R36" s="132"/>
      <c r="S36" s="125" t="n">
        <v>154.9</v>
      </c>
      <c r="T36" s="32" t="n">
        <v>0.02</v>
      </c>
      <c r="U36" s="32" t="n">
        <v>0.02</v>
      </c>
      <c r="V36" s="32"/>
      <c r="W36" s="32"/>
      <c r="X36" s="125" t="n">
        <v>34.5</v>
      </c>
      <c r="Y36" s="125" t="n">
        <v>33.7</v>
      </c>
      <c r="Z36" s="32" t="n">
        <v>2.3</v>
      </c>
      <c r="AA36" s="32" t="n">
        <v>2.25</v>
      </c>
      <c r="AB36" s="125" t="n">
        <v>33.5</v>
      </c>
      <c r="AC36" s="125" t="n">
        <v>32.7</v>
      </c>
      <c r="AD36" s="124"/>
      <c r="AE36" s="124"/>
      <c r="AF36" s="124"/>
      <c r="AG36" s="124"/>
      <c r="AH36" s="124"/>
      <c r="AI36" s="124"/>
      <c r="AJ36" s="124"/>
      <c r="AK36" s="124"/>
      <c r="AL36" s="124"/>
      <c r="AM36" s="124"/>
      <c r="AN36" s="124"/>
      <c r="AO36" s="124"/>
      <c r="AP36" s="124"/>
      <c r="AQ36" s="124"/>
      <c r="AR36" s="124"/>
      <c r="AS36" s="124"/>
      <c r="AT36" s="124"/>
      <c r="AU36" s="124"/>
      <c r="AV36" s="124"/>
      <c r="AW36" s="124"/>
      <c r="AX36" s="124"/>
      <c r="AY36" s="124"/>
      <c r="AZ36" s="124"/>
      <c r="BA36" s="124"/>
      <c r="BB36" s="136"/>
    </row>
    <row r="37" customFormat="false" ht="15.6" hidden="false" customHeight="false" outlineLevel="0" collapsed="false">
      <c r="A37" s="111" t="n">
        <f aca="false">IF(ISBLANK(VLOOKUP(D37,#REF!,3)),0,1)</f>
        <v>1</v>
      </c>
      <c r="B37" s="112" t="n">
        <f aca="false">IF(ISBLANK(D37),0,IF(ISBLANK(E37),0,IF(ISBLANK(F37),0,1)))</f>
        <v>0</v>
      </c>
      <c r="C37" s="128" t="n">
        <v>3</v>
      </c>
      <c r="D37" s="129"/>
      <c r="E37" s="129"/>
      <c r="F37" s="137"/>
      <c r="G37" s="117" t="n">
        <v>34.7058</v>
      </c>
      <c r="H37" s="131" t="n">
        <v>500</v>
      </c>
      <c r="I37" s="119" t="n">
        <v>499</v>
      </c>
      <c r="J37" s="132"/>
      <c r="K37" s="133"/>
      <c r="L37" s="133"/>
      <c r="M37" s="133"/>
      <c r="N37" s="134"/>
      <c r="O37" s="133"/>
      <c r="P37" s="132" t="n">
        <v>1.566</v>
      </c>
      <c r="Q37" s="132"/>
      <c r="R37" s="132"/>
      <c r="S37" s="125" t="n">
        <v>68.1</v>
      </c>
      <c r="T37" s="32" t="n">
        <v>0.02</v>
      </c>
      <c r="U37" s="32" t="n">
        <v>0.02</v>
      </c>
      <c r="V37" s="32"/>
      <c r="W37" s="32"/>
      <c r="X37" s="125" t="n">
        <v>37.9</v>
      </c>
      <c r="Y37" s="125" t="n">
        <v>37.1</v>
      </c>
      <c r="Z37" s="32" t="n">
        <v>2.35</v>
      </c>
      <c r="AA37" s="32" t="n">
        <v>2.3</v>
      </c>
      <c r="AB37" s="125" t="n">
        <v>20</v>
      </c>
      <c r="AC37" s="125" t="n">
        <v>19.5</v>
      </c>
      <c r="AD37" s="124"/>
      <c r="AE37" s="124"/>
      <c r="AF37" s="124"/>
      <c r="AG37" s="124"/>
      <c r="AH37" s="124"/>
      <c r="AI37" s="124"/>
      <c r="AJ37" s="124"/>
      <c r="AK37" s="124"/>
      <c r="AL37" s="124"/>
      <c r="AM37" s="124"/>
      <c r="AN37" s="124"/>
      <c r="AO37" s="124"/>
      <c r="AP37" s="124"/>
      <c r="AQ37" s="124"/>
      <c r="AR37" s="124"/>
      <c r="AS37" s="124"/>
      <c r="AT37" s="124"/>
      <c r="AU37" s="124"/>
      <c r="AV37" s="124"/>
      <c r="AW37" s="124"/>
      <c r="AX37" s="124"/>
      <c r="AY37" s="124"/>
      <c r="AZ37" s="124"/>
      <c r="BA37" s="124"/>
      <c r="BB37" s="136"/>
    </row>
    <row r="38" customFormat="false" ht="16.2" hidden="false" customHeight="false" outlineLevel="0" collapsed="false">
      <c r="A38" s="111" t="n">
        <f aca="false">IF(ISBLANK(VLOOKUP(D38,#REF!,3)),0,1)</f>
        <v>1</v>
      </c>
      <c r="B38" s="112" t="n">
        <f aca="false">IF(ISBLANK(D38),0,IF(ISBLANK(E38),0,IF(ISBLANK(F38),0,1)))</f>
        <v>0</v>
      </c>
      <c r="C38" s="128" t="n">
        <v>4</v>
      </c>
      <c r="D38" s="138"/>
      <c r="E38" s="138"/>
      <c r="F38" s="139"/>
      <c r="G38" s="117" t="n">
        <v>35.7148</v>
      </c>
      <c r="H38" s="131" t="n">
        <v>100</v>
      </c>
      <c r="I38" s="119" t="n">
        <v>98.3</v>
      </c>
      <c r="J38" s="132"/>
      <c r="K38" s="133"/>
      <c r="L38" s="133"/>
      <c r="M38" s="133"/>
      <c r="N38" s="134"/>
      <c r="O38" s="133"/>
      <c r="P38" s="132" t="n">
        <v>2.352</v>
      </c>
      <c r="Q38" s="132"/>
      <c r="R38" s="132"/>
      <c r="S38" s="125" t="n">
        <v>102.4</v>
      </c>
      <c r="T38" s="32" t="n">
        <v>0.05</v>
      </c>
      <c r="U38" s="32" t="n">
        <v>0.05</v>
      </c>
      <c r="V38" s="32"/>
      <c r="W38" s="32"/>
      <c r="X38" s="125" t="n">
        <v>18.5</v>
      </c>
      <c r="Y38" s="125" t="n">
        <v>18.1</v>
      </c>
      <c r="Z38" s="32" t="n">
        <v>1.21</v>
      </c>
      <c r="AA38" s="32" t="n">
        <v>1.18</v>
      </c>
      <c r="AB38" s="125" t="n">
        <v>5.5</v>
      </c>
      <c r="AC38" s="125" t="n">
        <v>5.4</v>
      </c>
      <c r="AD38" s="124"/>
      <c r="AE38" s="124"/>
      <c r="AF38" s="124"/>
      <c r="AG38" s="124"/>
      <c r="AH38" s="124"/>
      <c r="AI38" s="124"/>
      <c r="AJ38" s="124"/>
      <c r="AK38" s="124"/>
      <c r="AL38" s="124"/>
      <c r="AM38" s="124"/>
      <c r="AN38" s="124"/>
      <c r="AO38" s="124"/>
      <c r="AP38" s="124"/>
      <c r="AQ38" s="124"/>
      <c r="AR38" s="124"/>
      <c r="AS38" s="124"/>
      <c r="AT38" s="124"/>
      <c r="AU38" s="124"/>
      <c r="AV38" s="124"/>
      <c r="AW38" s="124"/>
      <c r="AX38" s="124"/>
      <c r="AY38" s="124"/>
      <c r="AZ38" s="124"/>
      <c r="BA38" s="124"/>
      <c r="BB38" s="136"/>
    </row>
    <row r="39" customFormat="false" ht="15.6" hidden="false" customHeight="false" outlineLevel="0" collapsed="false">
      <c r="A39" s="111" t="n">
        <f aca="false">IF(ISBLANK(VLOOKUP(D39,#REF!,3)),0,1)</f>
        <v>1</v>
      </c>
      <c r="B39" s="112" t="n">
        <f aca="false">IF(ISBLANK(D39),0,IF(ISBLANK(E39),0,IF(ISBLANK(F39),0,1)))</f>
        <v>0</v>
      </c>
      <c r="C39" s="128" t="n">
        <v>5</v>
      </c>
      <c r="D39" s="129"/>
      <c r="E39" s="129"/>
      <c r="F39" s="137"/>
      <c r="G39" s="117"/>
      <c r="H39" s="131" t="n">
        <v>80</v>
      </c>
      <c r="I39" s="119"/>
      <c r="J39" s="132"/>
      <c r="K39" s="133"/>
      <c r="L39" s="133"/>
      <c r="M39" s="133"/>
      <c r="N39" s="134"/>
      <c r="O39" s="133"/>
      <c r="P39" s="132"/>
      <c r="Q39" s="132"/>
      <c r="R39" s="132"/>
      <c r="S39" s="125"/>
      <c r="T39" s="32" t="n">
        <v>0.53</v>
      </c>
      <c r="U39" s="32" t="n">
        <v>0.51</v>
      </c>
      <c r="V39" s="32"/>
      <c r="W39" s="32"/>
      <c r="X39" s="125" t="n">
        <v>9.1</v>
      </c>
      <c r="Y39" s="125" t="n">
        <v>8.9</v>
      </c>
      <c r="Z39" s="32" t="n">
        <v>0.74</v>
      </c>
      <c r="AA39" s="32" t="n">
        <v>0.72</v>
      </c>
      <c r="AB39" s="125" t="n">
        <v>3.5</v>
      </c>
      <c r="AC39" s="125" t="n">
        <v>3.4</v>
      </c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7"/>
    </row>
    <row r="40" customFormat="false" ht="15.6" hidden="false" customHeight="false" outlineLevel="0" collapsed="false">
      <c r="A40" s="111" t="n">
        <f aca="false">IF(ISBLANK(VLOOKUP(D40,#REF!,3)),0,1)</f>
        <v>1</v>
      </c>
      <c r="B40" s="112" t="n">
        <f aca="false">IF(ISBLANK(D40),0,IF(ISBLANK(E40),0,IF(ISBLANK(F40),0,1)))</f>
        <v>0</v>
      </c>
      <c r="C40" s="128" t="n">
        <v>6</v>
      </c>
      <c r="D40" s="129"/>
      <c r="E40" s="129"/>
      <c r="F40" s="137"/>
      <c r="G40" s="117"/>
      <c r="H40" s="131" t="n">
        <v>60</v>
      </c>
      <c r="I40" s="119"/>
      <c r="J40" s="132"/>
      <c r="K40" s="133"/>
      <c r="L40" s="133"/>
      <c r="M40" s="133"/>
      <c r="N40" s="134"/>
      <c r="O40" s="133"/>
      <c r="P40" s="132"/>
      <c r="Q40" s="132"/>
      <c r="R40" s="132"/>
      <c r="S40" s="125"/>
      <c r="T40" s="32" t="n">
        <v>0.01</v>
      </c>
      <c r="U40" s="32" t="n">
        <v>0.01</v>
      </c>
      <c r="V40" s="32"/>
      <c r="W40" s="32"/>
      <c r="X40" s="125" t="n">
        <v>0.1</v>
      </c>
      <c r="Y40" s="125" t="n">
        <v>0.1</v>
      </c>
      <c r="Z40" s="32" t="n">
        <v>0.06</v>
      </c>
      <c r="AA40" s="32" t="n">
        <v>0.05</v>
      </c>
      <c r="AB40" s="125" t="n">
        <v>1</v>
      </c>
      <c r="AC40" s="125" t="n">
        <v>0.9</v>
      </c>
      <c r="AD40" s="124"/>
      <c r="AE40" s="124"/>
      <c r="AF40" s="124"/>
      <c r="AG40" s="124"/>
      <c r="AH40" s="124"/>
      <c r="AI40" s="124"/>
      <c r="AJ40" s="124"/>
      <c r="AK40" s="124"/>
      <c r="AL40" s="124"/>
      <c r="AM40" s="124"/>
      <c r="AN40" s="124"/>
      <c r="AO40" s="124"/>
      <c r="AP40" s="124"/>
      <c r="AQ40" s="124"/>
      <c r="AR40" s="124"/>
      <c r="AS40" s="124"/>
      <c r="AT40" s="124"/>
      <c r="AU40" s="124"/>
      <c r="AV40" s="124"/>
      <c r="AW40" s="124"/>
      <c r="AX40" s="124"/>
      <c r="AY40" s="124"/>
      <c r="AZ40" s="124"/>
      <c r="BA40" s="124"/>
      <c r="BB40" s="136"/>
    </row>
    <row r="41" customFormat="false" ht="16.2" hidden="false" customHeight="false" outlineLevel="0" collapsed="false">
      <c r="A41" s="111" t="n">
        <f aca="false">IF(ISBLANK(VLOOKUP(D41,#REF!,3)),0,1)</f>
        <v>1</v>
      </c>
      <c r="B41" s="112" t="n">
        <f aca="false">IF(ISBLANK(D41),0,IF(ISBLANK(E41),0,IF(ISBLANK(F41),0,1)))</f>
        <v>0</v>
      </c>
      <c r="C41" s="128" t="n">
        <v>7</v>
      </c>
      <c r="D41" s="129"/>
      <c r="E41" s="129"/>
      <c r="F41" s="137"/>
      <c r="G41" s="117"/>
      <c r="H41" s="131" t="n">
        <v>40</v>
      </c>
      <c r="I41" s="119"/>
      <c r="J41" s="132"/>
      <c r="K41" s="133"/>
      <c r="L41" s="133"/>
      <c r="M41" s="133"/>
      <c r="N41" s="134"/>
      <c r="O41" s="133"/>
      <c r="P41" s="132"/>
      <c r="Q41" s="132"/>
      <c r="R41" s="132"/>
      <c r="S41" s="125"/>
      <c r="T41" s="32" t="n">
        <v>0.03</v>
      </c>
      <c r="U41" s="32" t="n">
        <v>0.03</v>
      </c>
      <c r="V41" s="32"/>
      <c r="W41" s="32"/>
      <c r="X41" s="125" t="n">
        <v>0.1</v>
      </c>
      <c r="Y41" s="125" t="n">
        <v>0.1</v>
      </c>
      <c r="Z41" s="32" t="n">
        <v>0.06</v>
      </c>
      <c r="AA41" s="32" t="n">
        <v>0.06</v>
      </c>
      <c r="AB41" s="125" t="n">
        <v>1</v>
      </c>
      <c r="AC41" s="125" t="n">
        <v>1</v>
      </c>
      <c r="AD41" s="124"/>
      <c r="AE41" s="124"/>
      <c r="AF41" s="124"/>
      <c r="AG41" s="124"/>
      <c r="AH41" s="124"/>
      <c r="AI41" s="124"/>
      <c r="AJ41" s="124"/>
      <c r="AK41" s="124"/>
      <c r="AL41" s="124"/>
      <c r="AM41" s="124"/>
      <c r="AN41" s="124"/>
      <c r="AO41" s="124"/>
      <c r="AP41" s="124"/>
      <c r="AQ41" s="124"/>
      <c r="AR41" s="124"/>
      <c r="AS41" s="124"/>
      <c r="AT41" s="124"/>
      <c r="AU41" s="124"/>
      <c r="AV41" s="124"/>
      <c r="AW41" s="124"/>
      <c r="AX41" s="124"/>
      <c r="AY41" s="124"/>
      <c r="AZ41" s="124"/>
      <c r="BA41" s="124"/>
      <c r="BB41" s="136"/>
    </row>
    <row r="42" customFormat="false" ht="15.6" hidden="false" customHeight="false" outlineLevel="0" collapsed="false">
      <c r="A42" s="111" t="n">
        <f aca="false">IF(ISBLANK(VLOOKUP(D42,#REF!,3)),0,1)</f>
        <v>1</v>
      </c>
      <c r="B42" s="112" t="n">
        <f aca="false">IF(ISBLANK(D42),0,IF(ISBLANK(E42),0,IF(ISBLANK(F42),0,1)))</f>
        <v>0</v>
      </c>
      <c r="C42" s="128" t="n">
        <v>8</v>
      </c>
      <c r="D42" s="129"/>
      <c r="E42" s="129"/>
      <c r="F42" s="137"/>
      <c r="G42" s="117"/>
      <c r="H42" s="131" t="n">
        <v>20</v>
      </c>
      <c r="I42" s="119"/>
      <c r="J42" s="132"/>
      <c r="K42" s="133"/>
      <c r="L42" s="133"/>
      <c r="M42" s="133"/>
      <c r="N42" s="134"/>
      <c r="O42" s="133"/>
      <c r="P42" s="132"/>
      <c r="Q42" s="132"/>
      <c r="R42" s="132"/>
      <c r="S42" s="125"/>
      <c r="T42" s="32" t="n">
        <v>0.03</v>
      </c>
      <c r="U42" s="32" t="n">
        <v>0.03</v>
      </c>
      <c r="V42" s="32"/>
      <c r="W42" s="32"/>
      <c r="X42" s="125" t="n">
        <v>0</v>
      </c>
      <c r="Y42" s="125" t="n">
        <v>0</v>
      </c>
      <c r="Z42" s="32" t="n">
        <v>0.06</v>
      </c>
      <c r="AA42" s="32" t="n">
        <v>0.06</v>
      </c>
      <c r="AB42" s="125" t="n">
        <v>1.1</v>
      </c>
      <c r="AC42" s="125" t="n">
        <v>1.1</v>
      </c>
      <c r="AD42" s="126"/>
      <c r="AE42" s="126"/>
      <c r="AF42" s="126"/>
      <c r="AG42" s="126"/>
      <c r="AH42" s="126"/>
      <c r="AI42" s="126"/>
      <c r="AJ42" s="126"/>
      <c r="AK42" s="126"/>
      <c r="AL42" s="126"/>
      <c r="AM42" s="126"/>
      <c r="AN42" s="126"/>
      <c r="AO42" s="126"/>
      <c r="AP42" s="126"/>
      <c r="AQ42" s="126"/>
      <c r="AR42" s="126"/>
      <c r="AS42" s="126"/>
      <c r="AT42" s="126"/>
      <c r="AU42" s="126"/>
      <c r="AV42" s="126"/>
      <c r="AW42" s="126"/>
      <c r="AX42" s="126"/>
      <c r="AY42" s="126"/>
      <c r="AZ42" s="126"/>
      <c r="BA42" s="126"/>
      <c r="BB42" s="127"/>
    </row>
    <row r="43" customFormat="false" ht="15.6" hidden="false" customHeight="false" outlineLevel="0" collapsed="false">
      <c r="A43" s="111" t="n">
        <f aca="false">IF(ISBLANK(VLOOKUP(D43,#REF!,3)),0,1)</f>
        <v>1</v>
      </c>
      <c r="B43" s="112" t="n">
        <f aca="false">IF(ISBLANK(D43),0,IF(ISBLANK(E43),0,IF(ISBLANK(F43),0,1)))</f>
        <v>0</v>
      </c>
      <c r="C43" s="128" t="n">
        <v>9</v>
      </c>
      <c r="D43" s="129"/>
      <c r="E43" s="129"/>
      <c r="F43" s="137"/>
      <c r="G43" s="117"/>
      <c r="H43" s="131" t="n">
        <v>20</v>
      </c>
      <c r="I43" s="119"/>
      <c r="J43" s="132"/>
      <c r="K43" s="133"/>
      <c r="L43" s="133"/>
      <c r="M43" s="133"/>
      <c r="N43" s="134"/>
      <c r="O43" s="133"/>
      <c r="P43" s="132"/>
      <c r="Q43" s="132"/>
      <c r="R43" s="132"/>
      <c r="S43" s="125"/>
      <c r="T43" s="32" t="n">
        <v>0.02</v>
      </c>
      <c r="U43" s="32" t="n">
        <v>0.02</v>
      </c>
      <c r="V43" s="32"/>
      <c r="W43" s="32"/>
      <c r="X43" s="125" t="n">
        <v>0.1</v>
      </c>
      <c r="Y43" s="125" t="n">
        <v>0.1</v>
      </c>
      <c r="Z43" s="32" t="n">
        <v>0.07</v>
      </c>
      <c r="AA43" s="32" t="n">
        <v>0.07</v>
      </c>
      <c r="AB43" s="125" t="n">
        <v>1</v>
      </c>
      <c r="AC43" s="125" t="n">
        <v>1</v>
      </c>
      <c r="AD43" s="124"/>
      <c r="AE43" s="124"/>
      <c r="AF43" s="124"/>
      <c r="AG43" s="124"/>
      <c r="AH43" s="124"/>
      <c r="AI43" s="124"/>
      <c r="AJ43" s="124"/>
      <c r="AK43" s="124"/>
      <c r="AL43" s="124"/>
      <c r="AM43" s="124"/>
      <c r="AN43" s="124"/>
      <c r="AO43" s="124"/>
      <c r="AP43" s="124"/>
      <c r="AQ43" s="124"/>
      <c r="AR43" s="124"/>
      <c r="AS43" s="124"/>
      <c r="AT43" s="124"/>
      <c r="AU43" s="124"/>
      <c r="AV43" s="124"/>
      <c r="AW43" s="124"/>
      <c r="AX43" s="124"/>
      <c r="AY43" s="124"/>
      <c r="AZ43" s="124"/>
      <c r="BA43" s="124"/>
      <c r="BB43" s="136"/>
    </row>
    <row r="44" customFormat="false" ht="15.6" hidden="false" customHeight="false" outlineLevel="0" collapsed="false">
      <c r="A44" s="111" t="n">
        <f aca="false">IF(ISBLANK(VLOOKUP(D44,#REF!,3)),0,1)</f>
        <v>1</v>
      </c>
      <c r="B44" s="112" t="n">
        <f aca="false">IF(ISBLANK(D44),0,IF(ISBLANK(E44),0,IF(ISBLANK(F44),0,1)))</f>
        <v>0</v>
      </c>
      <c r="C44" s="128" t="n">
        <v>10</v>
      </c>
      <c r="D44" s="129"/>
      <c r="E44" s="129"/>
      <c r="F44" s="137"/>
      <c r="G44" s="117"/>
      <c r="H44" s="131" t="n">
        <v>10</v>
      </c>
      <c r="I44" s="119"/>
      <c r="J44" s="132"/>
      <c r="K44" s="133"/>
      <c r="L44" s="133"/>
      <c r="M44" s="133"/>
      <c r="N44" s="134"/>
      <c r="O44" s="133"/>
      <c r="P44" s="132"/>
      <c r="Q44" s="132"/>
      <c r="R44" s="132"/>
      <c r="S44" s="125"/>
      <c r="T44" s="32" t="n">
        <v>0.02</v>
      </c>
      <c r="U44" s="32" t="n">
        <v>0.02</v>
      </c>
      <c r="V44" s="32"/>
      <c r="W44" s="32"/>
      <c r="X44" s="125" t="n">
        <v>0.1</v>
      </c>
      <c r="Y44" s="125" t="n">
        <v>0.1</v>
      </c>
      <c r="Z44" s="32" t="n">
        <v>0.07</v>
      </c>
      <c r="AA44" s="32" t="n">
        <v>0.07</v>
      </c>
      <c r="AB44" s="125" t="n">
        <v>0.9</v>
      </c>
      <c r="AC44" s="125" t="n">
        <v>0.9</v>
      </c>
      <c r="AD44" s="124"/>
      <c r="AE44" s="124"/>
      <c r="AF44" s="124"/>
      <c r="AG44" s="124"/>
      <c r="AH44" s="124"/>
      <c r="AI44" s="124"/>
      <c r="AJ44" s="124"/>
      <c r="AK44" s="124"/>
      <c r="AL44" s="124"/>
      <c r="AM44" s="124"/>
      <c r="AN44" s="124"/>
      <c r="AO44" s="124"/>
      <c r="AP44" s="124"/>
      <c r="AQ44" s="124"/>
      <c r="AR44" s="124"/>
      <c r="AS44" s="124"/>
      <c r="AT44" s="124"/>
      <c r="AU44" s="124"/>
      <c r="AV44" s="124"/>
      <c r="AW44" s="124"/>
      <c r="AX44" s="124"/>
      <c r="AY44" s="124"/>
      <c r="AZ44" s="124"/>
      <c r="BA44" s="124"/>
      <c r="BB44" s="136"/>
    </row>
    <row r="45" customFormat="false" ht="15.6" hidden="false" customHeight="false" outlineLevel="0" collapsed="false">
      <c r="A45" s="111" t="n">
        <f aca="false">IF(ISBLANK(VLOOKUP(D45,#REF!,3)),0,1)</f>
        <v>1</v>
      </c>
      <c r="B45" s="112" t="n">
        <f aca="false">IF(ISBLANK(D45),0,IF(ISBLANK(E45),0,IF(ISBLANK(F45),0,1)))</f>
        <v>0</v>
      </c>
      <c r="C45" s="128" t="n">
        <v>11</v>
      </c>
      <c r="D45" s="129"/>
      <c r="E45" s="129"/>
      <c r="F45" s="137"/>
      <c r="G45" s="117" t="n">
        <v>35.4363</v>
      </c>
      <c r="H45" s="131" t="n">
        <v>0</v>
      </c>
      <c r="I45" s="119" t="n">
        <v>2.2</v>
      </c>
      <c r="J45" s="132"/>
      <c r="K45" s="133"/>
      <c r="L45" s="133"/>
      <c r="M45" s="133"/>
      <c r="N45" s="134"/>
      <c r="O45" s="133"/>
      <c r="P45" s="132" t="n">
        <v>4.649</v>
      </c>
      <c r="Q45" s="132"/>
      <c r="R45" s="132"/>
      <c r="S45" s="125" t="n">
        <v>202.9</v>
      </c>
      <c r="T45" s="32" t="n">
        <v>0.01</v>
      </c>
      <c r="U45" s="32" t="n">
        <v>0.01</v>
      </c>
      <c r="V45" s="32"/>
      <c r="W45" s="32"/>
      <c r="X45" s="125" t="n">
        <v>0</v>
      </c>
      <c r="Y45" s="125" t="n">
        <v>0</v>
      </c>
      <c r="Z45" s="32" t="n">
        <v>0.08</v>
      </c>
      <c r="AA45" s="32" t="n">
        <v>0.08</v>
      </c>
      <c r="AB45" s="125" t="n">
        <v>0.9</v>
      </c>
      <c r="AC45" s="125" t="n">
        <v>0.9</v>
      </c>
      <c r="AD45" s="124"/>
      <c r="AE45" s="124"/>
      <c r="AF45" s="124"/>
      <c r="AG45" s="124"/>
      <c r="AH45" s="124"/>
      <c r="AI45" s="124"/>
      <c r="AJ45" s="124"/>
      <c r="AK45" s="124"/>
      <c r="AL45" s="124"/>
      <c r="AM45" s="124"/>
      <c r="AN45" s="124"/>
      <c r="AO45" s="124"/>
      <c r="AP45" s="124"/>
      <c r="AQ45" s="124"/>
      <c r="AR45" s="124"/>
      <c r="AS45" s="124"/>
      <c r="AT45" s="124"/>
      <c r="AU45" s="124"/>
      <c r="AV45" s="124"/>
      <c r="AW45" s="124"/>
      <c r="AX45" s="124"/>
      <c r="AY45" s="124"/>
      <c r="AZ45" s="124"/>
      <c r="BA45" s="124"/>
      <c r="BB45" s="136"/>
    </row>
    <row r="46" customFormat="false" ht="15.6" hidden="false" customHeight="false" outlineLevel="0" collapsed="false">
      <c r="A46" s="111" t="n">
        <f aca="false">IF(ISBLANK(VLOOKUP(D46,#REF!,3)),0,1)</f>
        <v>1</v>
      </c>
      <c r="B46" s="112" t="n">
        <f aca="false">IF(ISBLANK(D46),0,IF(ISBLANK(E46),0,IF(ISBLANK(F46),0,1)))</f>
        <v>0</v>
      </c>
      <c r="C46" s="128" t="n">
        <v>12</v>
      </c>
      <c r="D46" s="142"/>
      <c r="E46" s="142"/>
      <c r="F46" s="143"/>
      <c r="G46" s="144"/>
      <c r="H46" s="142"/>
      <c r="I46" s="145"/>
      <c r="J46" s="132" t="str">
        <f aca="false">IF(ISBLANK(D46),"",IF(VLOOKUP(D46,#REF!,2)=0,"",IF(D46&gt;#REF!,"Mauvais numéro",IF(D46&lt;#REF!,"Mauvais numéro",(VLOOKUP(D46,#REF!,3))))))</f>
        <v/>
      </c>
      <c r="K46" s="146" t="str">
        <f aca="false">IF(ISBLANK(E46),"",(0.000824493-(0.0000040899*E46)+(0.000000076438*E46^2)-(0.00000000082467*E46^3)+(0.0000000000053875*E46^4)))</f>
        <v/>
      </c>
      <c r="L46" s="146" t="str">
        <f aca="false">IF(ISBLANK(E46),"",(-0.00000572466+(0.00000010227*E46)-(0.0000000016546*E46^2)))</f>
        <v/>
      </c>
      <c r="M46" s="146" t="str">
        <f aca="false">IF(ISBLANK(E46),"",IF(ISBLANK(G46),(O46+(K46*35)+(L46*35^1.5)+(0.00000048314*35^2)),(O46+(K46*G46)+(L46*G46^1.5)+(0.00000048314*G46^2))))</f>
        <v/>
      </c>
      <c r="N46" s="147" t="str">
        <f aca="false">IF(ISBLANK(D46),"",IF(ISBLANK(G46),J46*(1+0.00001*(35-20)),J46*(1+0.00001*(G46-20))))</f>
        <v/>
      </c>
      <c r="O46" s="146" t="str">
        <f aca="false">IF(ISBLANK(E46),"",(0.999842594+(0.00006793952*E46)-(0.00000909529*E46^2)+(0.0000001001685*E46^3)-(0.000000001120083*E46^4)+(0.000000000006536332*E46^5)))</f>
        <v/>
      </c>
      <c r="P46" s="148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49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0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0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24"/>
      <c r="U46" s="124"/>
      <c r="V46" s="124"/>
      <c r="W46" s="124"/>
      <c r="X46" s="124"/>
      <c r="Y46" s="124"/>
      <c r="Z46" s="124"/>
      <c r="AA46" s="124"/>
      <c r="AB46" s="124"/>
      <c r="AC46" s="124"/>
      <c r="AD46" s="124"/>
      <c r="AE46" s="124"/>
      <c r="AF46" s="124"/>
      <c r="AG46" s="124"/>
      <c r="AH46" s="124"/>
      <c r="AI46" s="124"/>
      <c r="AJ46" s="124"/>
      <c r="AK46" s="124"/>
      <c r="AL46" s="124"/>
      <c r="AM46" s="124"/>
      <c r="AN46" s="124"/>
      <c r="AO46" s="124"/>
      <c r="AP46" s="124"/>
      <c r="AQ46" s="124"/>
      <c r="AR46" s="124"/>
      <c r="AS46" s="124"/>
      <c r="AT46" s="124"/>
      <c r="AU46" s="124"/>
      <c r="AV46" s="124"/>
      <c r="AW46" s="124"/>
      <c r="AX46" s="124"/>
      <c r="AY46" s="124"/>
      <c r="AZ46" s="124"/>
      <c r="BA46" s="124"/>
      <c r="BB46" s="136"/>
    </row>
    <row r="47" customFormat="false" ht="15.6" hidden="false" customHeight="false" outlineLevel="0" collapsed="false">
      <c r="A47" s="111" t="n">
        <f aca="false">IF(ISBLANK(VLOOKUP(D47,#REF!,3)),0,1)</f>
        <v>1</v>
      </c>
      <c r="B47" s="112" t="n">
        <f aca="false">IF(ISBLANK(D47),0,IF(ISBLANK(E47),0,IF(ISBLANK(F47),0,1)))</f>
        <v>0</v>
      </c>
      <c r="C47" s="128" t="n">
        <v>13</v>
      </c>
      <c r="D47" s="151"/>
      <c r="E47" s="151"/>
      <c r="F47" s="152"/>
      <c r="G47" s="153"/>
      <c r="H47" s="151"/>
      <c r="I47" s="151"/>
      <c r="J47" s="132" t="str">
        <f aca="false">IF(ISBLANK(D47),"",IF(VLOOKUP(D47,#REF!,2)=0,"",IF(D47&gt;#REF!,"Mauvais numéro",IF(D47&lt;#REF!,"Mauvais numéro",(VLOOKUP(D47,#REF!,3))))))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54"/>
      <c r="Q47" s="149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5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4"/>
      <c r="T47" s="124"/>
      <c r="U47" s="124"/>
      <c r="V47" s="124"/>
      <c r="W47" s="124"/>
      <c r="X47" s="12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24"/>
      <c r="AJ47" s="124"/>
      <c r="AK47" s="124"/>
      <c r="AL47" s="124"/>
      <c r="AM47" s="124"/>
      <c r="AN47" s="124"/>
      <c r="AO47" s="124"/>
      <c r="AP47" s="124"/>
      <c r="AQ47" s="124"/>
      <c r="AR47" s="124"/>
      <c r="AS47" s="124"/>
      <c r="AT47" s="124"/>
      <c r="AU47" s="124"/>
      <c r="AV47" s="124"/>
      <c r="AW47" s="124"/>
      <c r="AX47" s="124"/>
      <c r="AY47" s="124"/>
      <c r="AZ47" s="124"/>
      <c r="BA47" s="124"/>
      <c r="BB47" s="136"/>
    </row>
    <row r="48" customFormat="false" ht="15.6" hidden="false" customHeight="false" outlineLevel="0" collapsed="false">
      <c r="A48" s="111" t="n">
        <f aca="false">IF(ISBLANK(VLOOKUP(D48,#REF!,3)),0,1)</f>
        <v>1</v>
      </c>
      <c r="B48" s="112" t="n">
        <f aca="false">IF(ISBLANK(D48),0,IF(ISBLANK(E48),0,IF(ISBLANK(F48),0,1)))</f>
        <v>0</v>
      </c>
      <c r="C48" s="128" t="n">
        <v>14</v>
      </c>
      <c r="D48" s="151"/>
      <c r="E48" s="151"/>
      <c r="F48" s="152"/>
      <c r="G48" s="153"/>
      <c r="H48" s="151"/>
      <c r="I48" s="151"/>
      <c r="J48" s="132" t="str">
        <f aca="false">IF(ISBLANK(D48),"",IF(VLOOKUP(D48,#REF!,2)=0,"",IF(D48&gt;#REF!,"Mauvais numéro",IF(D48&lt;#REF!,"Mauvais numéro",(VLOOKUP(D48,#REF!,3))))))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54"/>
      <c r="Q48" s="149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5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4"/>
      <c r="T48" s="124"/>
      <c r="U48" s="124"/>
      <c r="V48" s="124"/>
      <c r="W48" s="124"/>
      <c r="X48" s="124"/>
      <c r="Y48" s="124"/>
      <c r="Z48" s="124"/>
      <c r="AA48" s="124"/>
      <c r="AB48" s="124"/>
      <c r="AC48" s="124"/>
      <c r="AD48" s="124"/>
      <c r="AE48" s="124"/>
      <c r="AF48" s="124"/>
      <c r="AG48" s="124"/>
      <c r="AH48" s="124"/>
      <c r="AI48" s="124"/>
      <c r="AJ48" s="124"/>
      <c r="AK48" s="124"/>
      <c r="AL48" s="124"/>
      <c r="AM48" s="124"/>
      <c r="AN48" s="124"/>
      <c r="AO48" s="124"/>
      <c r="AP48" s="124"/>
      <c r="AQ48" s="124"/>
      <c r="AR48" s="124"/>
      <c r="AS48" s="124"/>
      <c r="AT48" s="124"/>
      <c r="AU48" s="124"/>
      <c r="AV48" s="124"/>
      <c r="AW48" s="124"/>
      <c r="AX48" s="124"/>
      <c r="AY48" s="124"/>
      <c r="AZ48" s="124"/>
      <c r="BA48" s="124"/>
      <c r="BB48" s="136"/>
    </row>
    <row r="49" customFormat="false" ht="15.6" hidden="false" customHeight="false" outlineLevel="0" collapsed="false">
      <c r="A49" s="111" t="n">
        <f aca="false">IF(ISBLANK(VLOOKUP(D49,#REF!,3)),0,1)</f>
        <v>1</v>
      </c>
      <c r="B49" s="112" t="n">
        <f aca="false">IF(ISBLANK(D49),0,IF(ISBLANK(E49),0,IF(ISBLANK(F49),0,1)))</f>
        <v>0</v>
      </c>
      <c r="C49" s="128" t="n">
        <v>15</v>
      </c>
      <c r="D49" s="151"/>
      <c r="E49" s="151"/>
      <c r="F49" s="152"/>
      <c r="G49" s="156"/>
      <c r="H49" s="151"/>
      <c r="I49" s="151"/>
      <c r="J49" s="132" t="str">
        <f aca="false">IF(ISBLANK(D49),"",IF(VLOOKUP(D49,#REF!,2)=0,"",IF(D49&gt;#REF!,"Mauvais numéro",IF(D49&lt;#REF!,"Mauvais numéro",(VLOOKUP(D49,#REF!,3))))))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57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49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24"/>
      <c r="AE49" s="124"/>
      <c r="AF49" s="124"/>
      <c r="AG49" s="124"/>
      <c r="AH49" s="124"/>
      <c r="AI49" s="124"/>
      <c r="AJ49" s="124"/>
      <c r="AK49" s="124"/>
      <c r="AL49" s="124"/>
      <c r="AM49" s="124"/>
      <c r="AN49" s="124"/>
      <c r="AO49" s="124"/>
      <c r="AP49" s="124"/>
      <c r="AQ49" s="124"/>
      <c r="AR49" s="124"/>
      <c r="AS49" s="124"/>
      <c r="AT49" s="124"/>
      <c r="AU49" s="124"/>
      <c r="AV49" s="124"/>
      <c r="AW49" s="124"/>
      <c r="AX49" s="124"/>
      <c r="AY49" s="124"/>
      <c r="AZ49" s="124"/>
      <c r="BA49" s="124"/>
      <c r="BB49" s="136"/>
    </row>
    <row r="50" customFormat="false" ht="15.6" hidden="false" customHeight="false" outlineLevel="0" collapsed="false">
      <c r="A50" s="111" t="n">
        <f aca="false">IF(ISBLANK(VLOOKUP(D50,#REF!,3)),0,1)</f>
        <v>1</v>
      </c>
      <c r="B50" s="112" t="n">
        <f aca="false">IF(ISBLANK(D50),0,IF(ISBLANK(E50),0,IF(ISBLANK(F50),0,1)))</f>
        <v>0</v>
      </c>
      <c r="C50" s="128" t="n">
        <v>16</v>
      </c>
      <c r="D50" s="151"/>
      <c r="E50" s="151"/>
      <c r="F50" s="152"/>
      <c r="G50" s="156"/>
      <c r="H50" s="151"/>
      <c r="I50" s="151"/>
      <c r="J50" s="132" t="str">
        <f aca="false">IF(ISBLANK(D50),"",IF(VLOOKUP(D50,#REF!,2)=0,"",IF(D50&gt;#REF!,"Mauvais numéro",IF(D50&lt;#REF!,"Mauvais numéro",(VLOOKUP(D50,#REF!,3))))))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57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49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24"/>
      <c r="U50" s="124"/>
      <c r="V50" s="124"/>
      <c r="W50" s="124"/>
      <c r="X50" s="124"/>
      <c r="Y50" s="124"/>
      <c r="Z50" s="124"/>
      <c r="AA50" s="124"/>
      <c r="AB50" s="124"/>
      <c r="AC50" s="124"/>
      <c r="AD50" s="124"/>
      <c r="AE50" s="124"/>
      <c r="AF50" s="124"/>
      <c r="AG50" s="124"/>
      <c r="AH50" s="124"/>
      <c r="AI50" s="124"/>
      <c r="AJ50" s="124"/>
      <c r="AK50" s="124"/>
      <c r="AL50" s="124"/>
      <c r="AM50" s="124"/>
      <c r="AN50" s="124"/>
      <c r="AO50" s="124"/>
      <c r="AP50" s="124"/>
      <c r="AQ50" s="124"/>
      <c r="AR50" s="124"/>
      <c r="AS50" s="124"/>
      <c r="AT50" s="124"/>
      <c r="AU50" s="124"/>
      <c r="AV50" s="124"/>
      <c r="AW50" s="124"/>
      <c r="AX50" s="124"/>
      <c r="AY50" s="124"/>
      <c r="AZ50" s="124"/>
      <c r="BA50" s="124"/>
      <c r="BB50" s="136"/>
    </row>
    <row r="51" customFormat="false" ht="15.6" hidden="false" customHeight="false" outlineLevel="0" collapsed="false">
      <c r="A51" s="111" t="n">
        <f aca="false">IF(ISBLANK(VLOOKUP(D51,#REF!,3)),0,1)</f>
        <v>1</v>
      </c>
      <c r="B51" s="112" t="n">
        <f aca="false">IF(ISBLANK(D51),0,IF(ISBLANK(E51),0,IF(ISBLANK(F51),0,1)))</f>
        <v>0</v>
      </c>
      <c r="C51" s="128" t="n">
        <v>17</v>
      </c>
      <c r="D51" s="151"/>
      <c r="E51" s="151"/>
      <c r="F51" s="152"/>
      <c r="G51" s="156"/>
      <c r="H51" s="151"/>
      <c r="I51" s="151"/>
      <c r="J51" s="132" t="str">
        <f aca="false">IF(ISBLANK(D51),"",IF(VLOOKUP(D51,#REF!,2)=0,"",IF(D51&gt;#REF!,"Mauvais numéro",IF(D51&lt;#REF!,"Mauvais numéro",(VLOOKUP(D51,#REF!,3))))))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57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49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24"/>
      <c r="AE51" s="124"/>
      <c r="AF51" s="124"/>
      <c r="AG51" s="124"/>
      <c r="AH51" s="124"/>
      <c r="AI51" s="124"/>
      <c r="AJ51" s="124"/>
      <c r="AK51" s="124"/>
      <c r="AL51" s="124"/>
      <c r="AM51" s="124"/>
      <c r="AN51" s="124"/>
      <c r="AO51" s="124"/>
      <c r="AP51" s="124"/>
      <c r="AQ51" s="124"/>
      <c r="AR51" s="124"/>
      <c r="AS51" s="124"/>
      <c r="AT51" s="124"/>
      <c r="AU51" s="124"/>
      <c r="AV51" s="124"/>
      <c r="AW51" s="124"/>
      <c r="AX51" s="124"/>
      <c r="AY51" s="124"/>
      <c r="AZ51" s="124"/>
      <c r="BA51" s="124"/>
      <c r="BB51" s="136"/>
    </row>
    <row r="52" customFormat="false" ht="15.6" hidden="false" customHeight="false" outlineLevel="0" collapsed="false">
      <c r="A52" s="111" t="n">
        <f aca="false">IF(ISBLANK(VLOOKUP(D52,#REF!,3)),0,1)</f>
        <v>1</v>
      </c>
      <c r="B52" s="112" t="n">
        <f aca="false">IF(ISBLANK(D52),0,IF(ISBLANK(E52),0,IF(ISBLANK(F52),0,1)))</f>
        <v>0</v>
      </c>
      <c r="C52" s="128" t="n">
        <v>18</v>
      </c>
      <c r="D52" s="151"/>
      <c r="E52" s="151"/>
      <c r="F52" s="152"/>
      <c r="G52" s="156"/>
      <c r="H52" s="151"/>
      <c r="I52" s="151"/>
      <c r="J52" s="132" t="str">
        <f aca="false">IF(ISBLANK(D52),"",IF(VLOOKUP(D52,#REF!,2)=0,"",IF(D52&gt;#REF!,"Mauvais numéro",IF(D52&lt;#REF!,"Mauvais numéro",(VLOOKUP(D52,#REF!,3))))))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57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49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24"/>
      <c r="U52" s="124"/>
      <c r="V52" s="124"/>
      <c r="W52" s="124"/>
      <c r="X52" s="124"/>
      <c r="Y52" s="124"/>
      <c r="Z52" s="124"/>
      <c r="AA52" s="124"/>
      <c r="AB52" s="124"/>
      <c r="AC52" s="124"/>
      <c r="AD52" s="124"/>
      <c r="AE52" s="124"/>
      <c r="AF52" s="124"/>
      <c r="AG52" s="124"/>
      <c r="AH52" s="124"/>
      <c r="AI52" s="124"/>
      <c r="AJ52" s="124"/>
      <c r="AK52" s="124"/>
      <c r="AL52" s="124"/>
      <c r="AM52" s="124"/>
      <c r="AN52" s="124"/>
      <c r="AO52" s="124"/>
      <c r="AP52" s="124"/>
      <c r="AQ52" s="124"/>
      <c r="AR52" s="124"/>
      <c r="AS52" s="124"/>
      <c r="AT52" s="124"/>
      <c r="AU52" s="124"/>
      <c r="AV52" s="124"/>
      <c r="AW52" s="124"/>
      <c r="AX52" s="124"/>
      <c r="AY52" s="124"/>
      <c r="AZ52" s="124"/>
      <c r="BA52" s="124"/>
      <c r="BB52" s="136"/>
    </row>
    <row r="53" customFormat="false" ht="15.6" hidden="false" customHeight="false" outlineLevel="0" collapsed="false">
      <c r="A53" s="111" t="n">
        <f aca="false">IF(ISBLANK(VLOOKUP(D53,#REF!,3)),0,1)</f>
        <v>1</v>
      </c>
      <c r="B53" s="112" t="n">
        <f aca="false">IF(ISBLANK(D53),0,IF(ISBLANK(E53),0,IF(ISBLANK(F53),0,1)))</f>
        <v>0</v>
      </c>
      <c r="C53" s="128" t="n">
        <v>19</v>
      </c>
      <c r="D53" s="151"/>
      <c r="E53" s="151"/>
      <c r="F53" s="152"/>
      <c r="G53" s="156"/>
      <c r="H53" s="151"/>
      <c r="I53" s="151"/>
      <c r="J53" s="132" t="str">
        <f aca="false">IF(ISBLANK(D53),"",IF(VLOOKUP(D53,#REF!,2)=0,"",IF(D53&gt;#REF!,"Mauvais numéro",IF(D53&lt;#REF!,"Mauvais numéro",(VLOOKUP(D53,#REF!,3))))))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57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49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24"/>
      <c r="U53" s="124"/>
      <c r="V53" s="124"/>
      <c r="W53" s="124"/>
      <c r="X53" s="12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24"/>
      <c r="AJ53" s="124"/>
      <c r="AK53" s="124"/>
      <c r="AL53" s="124"/>
      <c r="AM53" s="124"/>
      <c r="AN53" s="124"/>
      <c r="AO53" s="124"/>
      <c r="AP53" s="124"/>
      <c r="AQ53" s="124"/>
      <c r="AR53" s="124"/>
      <c r="AS53" s="124"/>
      <c r="AT53" s="124"/>
      <c r="AU53" s="124"/>
      <c r="AV53" s="124"/>
      <c r="AW53" s="124"/>
      <c r="AX53" s="124"/>
      <c r="AY53" s="124"/>
      <c r="AZ53" s="124"/>
      <c r="BA53" s="124"/>
      <c r="BB53" s="136"/>
    </row>
    <row r="54" customFormat="false" ht="15.6" hidden="false" customHeight="false" outlineLevel="0" collapsed="false">
      <c r="A54" s="111" t="n">
        <f aca="false">IF(ISBLANK(VLOOKUP(D54,#REF!,3)),0,1)</f>
        <v>1</v>
      </c>
      <c r="B54" s="112" t="n">
        <f aca="false">IF(ISBLANK(D54),0,IF(ISBLANK(E54),0,IF(ISBLANK(F54),0,1)))</f>
        <v>0</v>
      </c>
      <c r="C54" s="128" t="n">
        <v>20</v>
      </c>
      <c r="D54" s="151"/>
      <c r="E54" s="151"/>
      <c r="F54" s="152"/>
      <c r="G54" s="156"/>
      <c r="H54" s="151"/>
      <c r="I54" s="151"/>
      <c r="J54" s="132" t="str">
        <f aca="false">IF(ISBLANK(D54),"",IF(VLOOKUP(D54,#REF!,2)=0,"",IF(D54&gt;#REF!,"Mauvais numéro",IF(D54&lt;#REF!,"Mauvais numéro",(VLOOKUP(D54,#REF!,3))))))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57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49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4"/>
      <c r="U54" s="124"/>
      <c r="V54" s="124"/>
      <c r="W54" s="124"/>
      <c r="X54" s="124"/>
      <c r="Y54" s="124"/>
      <c r="Z54" s="124"/>
      <c r="AA54" s="124"/>
      <c r="AB54" s="124"/>
      <c r="AC54" s="124"/>
      <c r="AD54" s="124"/>
      <c r="AE54" s="124"/>
      <c r="AF54" s="124"/>
      <c r="AG54" s="124"/>
      <c r="AH54" s="124"/>
      <c r="AI54" s="124"/>
      <c r="AJ54" s="124"/>
      <c r="AK54" s="124"/>
      <c r="AL54" s="124"/>
      <c r="AM54" s="124"/>
      <c r="AN54" s="124"/>
      <c r="AO54" s="124"/>
      <c r="AP54" s="124"/>
      <c r="AQ54" s="124"/>
      <c r="AR54" s="124"/>
      <c r="AS54" s="124"/>
      <c r="AT54" s="124"/>
      <c r="AU54" s="124"/>
      <c r="AV54" s="124"/>
      <c r="AW54" s="124"/>
      <c r="AX54" s="124"/>
      <c r="AY54" s="124"/>
      <c r="AZ54" s="124"/>
      <c r="BA54" s="124"/>
      <c r="BB54" s="136"/>
    </row>
    <row r="55" customFormat="false" ht="15.6" hidden="false" customHeight="false" outlineLevel="0" collapsed="false">
      <c r="A55" s="111" t="n">
        <f aca="false">IF(ISBLANK(VLOOKUP(D55,#REF!,3)),0,1)</f>
        <v>1</v>
      </c>
      <c r="B55" s="112" t="n">
        <f aca="false">IF(ISBLANK(D55),0,IF(ISBLANK(E55),0,IF(ISBLANK(F55),0,1)))</f>
        <v>0</v>
      </c>
      <c r="C55" s="128" t="n">
        <v>21</v>
      </c>
      <c r="D55" s="151"/>
      <c r="E55" s="151"/>
      <c r="F55" s="152"/>
      <c r="G55" s="156"/>
      <c r="H55" s="151"/>
      <c r="I55" s="151"/>
      <c r="J55" s="132" t="str">
        <f aca="false">IF(ISBLANK(D55),"",IF(VLOOKUP(D55,#REF!,2)=0,"",IF(D55&gt;#REF!,"Mauvais numéro",IF(D55&lt;#REF!,"Mauvais numéro",(VLOOKUP(D55,#REF!,3))))))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57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49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24"/>
      <c r="U55" s="124"/>
      <c r="V55" s="124"/>
      <c r="W55" s="124"/>
      <c r="X55" s="124"/>
      <c r="Y55" s="124"/>
      <c r="Z55" s="124"/>
      <c r="AA55" s="124"/>
      <c r="AB55" s="124"/>
      <c r="AC55" s="124"/>
      <c r="AD55" s="124"/>
      <c r="AE55" s="124"/>
      <c r="AF55" s="124"/>
      <c r="AG55" s="124"/>
      <c r="AH55" s="124"/>
      <c r="AI55" s="124"/>
      <c r="AJ55" s="124"/>
      <c r="AK55" s="124"/>
      <c r="AL55" s="124"/>
      <c r="AM55" s="124"/>
      <c r="AN55" s="124"/>
      <c r="AO55" s="124"/>
      <c r="AP55" s="124"/>
      <c r="AQ55" s="124"/>
      <c r="AR55" s="124"/>
      <c r="AS55" s="124"/>
      <c r="AT55" s="124"/>
      <c r="AU55" s="124"/>
      <c r="AV55" s="124"/>
      <c r="AW55" s="124"/>
      <c r="AX55" s="124"/>
      <c r="AY55" s="124"/>
      <c r="AZ55" s="124"/>
      <c r="BA55" s="124"/>
      <c r="BB55" s="136"/>
    </row>
    <row r="56" customFormat="false" ht="15.6" hidden="false" customHeight="false" outlineLevel="0" collapsed="false">
      <c r="A56" s="111" t="n">
        <f aca="false">IF(ISBLANK(VLOOKUP(D56,#REF!,3)),0,1)</f>
        <v>1</v>
      </c>
      <c r="B56" s="112" t="n">
        <f aca="false">IF(ISBLANK(D56),0,IF(ISBLANK(E56),0,IF(ISBLANK(F56),0,1)))</f>
        <v>0</v>
      </c>
      <c r="C56" s="128" t="n">
        <v>22</v>
      </c>
      <c r="D56" s="151"/>
      <c r="E56" s="151"/>
      <c r="F56" s="152"/>
      <c r="G56" s="156"/>
      <c r="H56" s="151"/>
      <c r="I56" s="151"/>
      <c r="J56" s="132" t="str">
        <f aca="false">IF(ISBLANK(D56),"",IF(VLOOKUP(D56,#REF!,2)=0,"",IF(D56&gt;#REF!,"Mauvais numéro",IF(D56&lt;#REF!,"Mauvais numéro",(VLOOKUP(D56,#REF!,3))))))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57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49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24"/>
      <c r="AE56" s="124"/>
      <c r="AF56" s="124"/>
      <c r="AG56" s="124"/>
      <c r="AH56" s="124"/>
      <c r="AI56" s="124"/>
      <c r="AJ56" s="124"/>
      <c r="AK56" s="124"/>
      <c r="AL56" s="124"/>
      <c r="AM56" s="124"/>
      <c r="AN56" s="124"/>
      <c r="AO56" s="124"/>
      <c r="AP56" s="124"/>
      <c r="AQ56" s="124"/>
      <c r="AR56" s="124"/>
      <c r="AS56" s="124"/>
      <c r="AT56" s="124"/>
      <c r="AU56" s="124"/>
      <c r="AV56" s="124"/>
      <c r="AW56" s="124"/>
      <c r="AX56" s="124"/>
      <c r="AY56" s="124"/>
      <c r="AZ56" s="124"/>
      <c r="BA56" s="124"/>
      <c r="BB56" s="136"/>
    </row>
    <row r="57" customFormat="false" ht="15.6" hidden="false" customHeight="false" outlineLevel="0" collapsed="false">
      <c r="A57" s="111" t="n">
        <f aca="false">IF(ISBLANK(VLOOKUP(D57,#REF!,3)),0,1)</f>
        <v>1</v>
      </c>
      <c r="B57" s="112" t="n">
        <f aca="false">IF(ISBLANK(D57),0,IF(ISBLANK(E57),0,IF(ISBLANK(F57),0,1)))</f>
        <v>0</v>
      </c>
      <c r="C57" s="128" t="n">
        <v>23</v>
      </c>
      <c r="D57" s="151"/>
      <c r="E57" s="151"/>
      <c r="F57" s="152"/>
      <c r="G57" s="156"/>
      <c r="H57" s="151"/>
      <c r="I57" s="151"/>
      <c r="J57" s="132" t="str">
        <f aca="false">IF(ISBLANK(D57),"",IF(VLOOKUP(D57,#REF!,2)=0,"",IF(D57&gt;#REF!,"Mauvais numéro",IF(D57&lt;#REF!,"Mauvais numéro",(VLOOKUP(D57,#REF!,3))))))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57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49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4"/>
      <c r="U57" s="124"/>
      <c r="V57" s="124"/>
      <c r="W57" s="124"/>
      <c r="X57" s="124"/>
      <c r="Y57" s="124"/>
      <c r="Z57" s="124"/>
      <c r="AA57" s="124"/>
      <c r="AB57" s="124"/>
      <c r="AC57" s="124"/>
      <c r="AD57" s="124"/>
      <c r="AE57" s="124"/>
      <c r="AF57" s="124"/>
      <c r="AG57" s="124"/>
      <c r="AH57" s="124"/>
      <c r="AI57" s="124"/>
      <c r="AJ57" s="124"/>
      <c r="AK57" s="124"/>
      <c r="AL57" s="124"/>
      <c r="AM57" s="124"/>
      <c r="AN57" s="124"/>
      <c r="AO57" s="124"/>
      <c r="AP57" s="124"/>
      <c r="AQ57" s="124"/>
      <c r="AR57" s="124"/>
      <c r="AS57" s="124"/>
      <c r="AT57" s="124"/>
      <c r="AU57" s="124"/>
      <c r="AV57" s="124"/>
      <c r="AW57" s="124"/>
      <c r="AX57" s="124"/>
      <c r="AY57" s="124"/>
      <c r="AZ57" s="124"/>
      <c r="BA57" s="124"/>
      <c r="BB57" s="136"/>
    </row>
    <row r="58" customFormat="false" ht="16.2" hidden="false" customHeight="false" outlineLevel="0" collapsed="false">
      <c r="A58" s="111" t="n">
        <f aca="false">IF(ISBLANK(VLOOKUP(D58,#REF!,3)),0,1)</f>
        <v>1</v>
      </c>
      <c r="B58" s="112" t="n">
        <f aca="false">IF(ISBLANK(D58),0,IF(ISBLANK(E58),0,IF(ISBLANK(F58),0,1)))</f>
        <v>0</v>
      </c>
      <c r="C58" s="158" t="n">
        <v>24</v>
      </c>
      <c r="D58" s="159"/>
      <c r="E58" s="159"/>
      <c r="F58" s="160"/>
      <c r="G58" s="161"/>
      <c r="H58" s="159"/>
      <c r="I58" s="159"/>
      <c r="J58" s="162" t="str">
        <f aca="false">IF(ISBLANK(D58),"",IF(VLOOKUP(D58,#REF!,2)=0,"",IF(D58&gt;#REF!,"Mauvais numéro",IF(D58&lt;#REF!,"Mauvais numéro",(VLOOKUP(D58,#REF!,3))))))</f>
        <v/>
      </c>
      <c r="K58" s="163" t="str">
        <f aca="false">IF(ISBLANK(E58),"",(0.000824493-(0.0000040899*E58)+(0.000000076438*E58^2)-(0.00000000082467*E58^3)+(0.0000000000053875*E58^4)))</f>
        <v/>
      </c>
      <c r="L58" s="163" t="str">
        <f aca="false">IF(ISBLANK(E58),"",(-0.00000572466+(0.00000010227*E58)-(0.0000000016546*E58^2)))</f>
        <v/>
      </c>
      <c r="M58" s="163" t="str">
        <f aca="false">IF(ISBLANK(E58),"",IF(ISBLANK(G58),(O58+(K58*35)+(L58*35^1.5)+(0.00000048314*35^2)),(O58+(K58*G58)+(L58*G58^1.5)+(0.00000048314*G58^2))))</f>
        <v/>
      </c>
      <c r="N58" s="164" t="str">
        <f aca="false">IF(ISBLANK(D58),"",IF(ISBLANK(G58),J58*(1+0.00001*(35-20)),J58*(1+0.00001*(G58-20))))</f>
        <v/>
      </c>
      <c r="O58" s="163" t="str">
        <f aca="false">IF(ISBLANK(E58),"",(0.999842594+(0.00006793952*E58)-(0.00000909529*E58^2)+(0.0000001001685*E58^3)-(0.000000001120083*E58^4)+(0.000000000006536332*E58^5)))</f>
        <v/>
      </c>
      <c r="P58" s="165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66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7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7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68"/>
      <c r="U58" s="168"/>
      <c r="V58" s="168"/>
      <c r="W58" s="168"/>
      <c r="X58" s="168"/>
      <c r="Y58" s="168"/>
      <c r="Z58" s="168"/>
      <c r="AA58" s="168"/>
      <c r="AB58" s="168"/>
      <c r="AC58" s="168"/>
      <c r="AD58" s="168"/>
      <c r="AE58" s="168"/>
      <c r="AF58" s="168"/>
      <c r="AG58" s="168"/>
      <c r="AH58" s="168"/>
      <c r="AI58" s="168"/>
      <c r="AJ58" s="168"/>
      <c r="AK58" s="168"/>
      <c r="AL58" s="168"/>
      <c r="AM58" s="168"/>
      <c r="AN58" s="168"/>
      <c r="AO58" s="168"/>
      <c r="AP58" s="168"/>
      <c r="AQ58" s="168"/>
      <c r="AR58" s="168"/>
      <c r="AS58" s="168"/>
      <c r="AT58" s="168"/>
      <c r="AU58" s="168"/>
      <c r="AV58" s="168"/>
      <c r="AW58" s="168"/>
      <c r="AX58" s="168"/>
      <c r="AY58" s="168"/>
      <c r="AZ58" s="168"/>
      <c r="BA58" s="168"/>
      <c r="BB58" s="169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true" showOutlineSymbols="true" defaultGridColor="true" view="normal" topLeftCell="C4" colorId="64" zoomScale="100" zoomScaleNormal="100" zoomScalePageLayoutView="100" workbookViewId="0">
      <selection pane="topLeft" activeCell="I40" activeCellId="0" sqref="I40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8178137651822"/>
    <col collapsed="false" hidden="false" max="32" min="32" style="0" width="9.10526315789474"/>
    <col collapsed="false" hidden="false" max="33" min="33" style="0" width="26.5668016194332"/>
    <col collapsed="false" hidden="false" max="34" min="34" style="0" width="12.8542510121458"/>
    <col collapsed="false" hidden="false" max="35" min="35" style="0" width="11.3562753036437"/>
    <col collapsed="false" hidden="false" max="36" min="36" style="0" width="14.5668016194332"/>
    <col collapsed="false" hidden="false" max="37" min="37" style="0" width="12.2105263157895"/>
    <col collapsed="false" hidden="false" max="38" min="38" style="0" width="26.995951417004"/>
    <col collapsed="false" hidden="false" max="39" min="39" style="0" width="14.6761133603239"/>
    <col collapsed="false" hidden="false" max="40" min="40" style="0" width="11.3562753036437"/>
    <col collapsed="false" hidden="false" max="41" min="41" style="0" width="12.5344129554656"/>
    <col collapsed="false" hidden="false" max="42" min="42" style="0" width="10.7125506072875"/>
    <col collapsed="false" hidden="false" max="43" min="43" style="0" width="6.31983805668016"/>
    <col collapsed="false" hidden="false" max="44" min="44" style="0" width="19.7085020242915"/>
    <col collapsed="false" hidden="false" max="45" min="45" style="0" width="13.0688259109312"/>
    <col collapsed="false" hidden="false" max="46" min="46" style="0" width="17.7813765182186"/>
    <col collapsed="false" hidden="false" max="47" min="47" style="0" width="14.6761133603239"/>
    <col collapsed="false" hidden="false" max="48" min="48" style="0" width="13.6032388663968"/>
    <col collapsed="false" hidden="false" max="49" min="49" style="0" width="13.7125506072874"/>
    <col collapsed="false" hidden="false" max="50" min="50" style="0" width="19.9230769230769"/>
    <col collapsed="false" hidden="false" max="51" min="51" style="0" width="13.2834008097166"/>
    <col collapsed="false" hidden="false" max="52" min="52" style="0" width="17.6761133603239"/>
    <col collapsed="false" hidden="false" max="53" min="53" style="0" width="13.3886639676113"/>
    <col collapsed="false" hidden="false" max="54" min="54" style="0" width="12.6396761133603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14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38542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6</v>
      </c>
      <c r="J9" s="29" t="n">
        <v>30.48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-6°30,48</v>
      </c>
      <c r="P9" s="29" t="s">
        <v>15</v>
      </c>
      <c r="Q9" s="33" t="n">
        <f aca="false">IF(ISBLANK(I9),"",IF(ISBLANK(J9),"",IF(J9&gt;60,"ERREUR !!",O11*(I9+(J9/60)))))</f>
        <v>-6.508</v>
      </c>
      <c r="R9" s="33"/>
    </row>
    <row r="10" customFormat="false" ht="15" hidden="false" customHeight="true" outlineLevel="0" collapsed="false">
      <c r="C10" s="21"/>
      <c r="D10" s="18"/>
      <c r="G10" s="27" t="s">
        <v>16</v>
      </c>
      <c r="H10" s="27"/>
      <c r="I10" s="28" t="n">
        <v>9</v>
      </c>
      <c r="J10" s="29" t="n">
        <v>59.71</v>
      </c>
      <c r="K10" s="30" t="s">
        <v>12</v>
      </c>
      <c r="L10" s="31" t="str">
        <f aca="false">IF(P10=N9,"+","-")</f>
        <v>-</v>
      </c>
      <c r="M10" s="30" t="s">
        <v>15</v>
      </c>
      <c r="N10" s="30" t="s">
        <v>17</v>
      </c>
      <c r="O10" s="34" t="str">
        <f aca="false">IF(ISBLANK(I10),"",IF(ISBLANK(J10),"",IF(P10=N10,L10&amp;N12,N12)))</f>
        <v>-9°59,71</v>
      </c>
      <c r="P10" s="29" t="s">
        <v>17</v>
      </c>
      <c r="Q10" s="33" t="n">
        <f aca="false">IF(ISBLANK(I10),"",IF(ISBLANK(J10),"",IF(J10&gt;60,"ERREUR !!",O12*(I10+(J10/60)))))</f>
        <v>-9.99516666666667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38542</v>
      </c>
      <c r="K11" s="38"/>
      <c r="L11" s="38"/>
      <c r="M11" s="38"/>
      <c r="N11" s="39" t="str">
        <f aca="false">I9&amp;"°"&amp;J9</f>
        <v>6°30,48</v>
      </c>
      <c r="O11" s="40" t="n">
        <f aca="false">IF(P9=M10,-1,1)</f>
        <v>-1</v>
      </c>
      <c r="P11" s="41" t="str">
        <f aca="false">TEXT(J11,"aaaa-mm-jj")&amp;"T"&amp;TEXT(J12,"hh:mm:ss")&amp;"z"</f>
        <v>2009-07-10T09:45:00z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0.40625</v>
      </c>
      <c r="K12" s="45"/>
      <c r="L12" s="45"/>
      <c r="M12" s="45"/>
      <c r="N12" s="46" t="str">
        <f aca="false">I10&amp;"°"&amp;J10</f>
        <v>9°59,71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e">
        <f aca="false">$P$24*($P$18/#REF!)</f>
        <v>#REF!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e">
        <f aca="false">5+#REF!</f>
        <v>#REF!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e">
        <f aca="false">P20*(1+0.00001*(R14-20))</f>
        <v>#REF!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e">
        <f aca="false">MAX(#REF!)</f>
        <v>#VALUE!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e">
        <f aca="false">2+(#REF!+#REF!)</f>
        <v>#REF!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52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53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IF(ISBLANK(VLOOKUP(D35,#REF!,3)),0,1)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n">
        <v>34.944</v>
      </c>
      <c r="H35" s="118" t="n">
        <v>2000</v>
      </c>
      <c r="I35" s="119" t="n">
        <v>2002</v>
      </c>
      <c r="J35" s="120"/>
      <c r="K35" s="121"/>
      <c r="L35" s="121"/>
      <c r="M35" s="121"/>
      <c r="N35" s="122"/>
      <c r="O35" s="121"/>
      <c r="P35" s="120" t="n">
        <v>5.48</v>
      </c>
      <c r="Q35" s="120"/>
      <c r="R35" s="120"/>
      <c r="S35" s="179" t="n">
        <v>238.1</v>
      </c>
      <c r="T35" s="32" t="n">
        <v>0.06</v>
      </c>
      <c r="U35" s="32" t="n">
        <v>0.05</v>
      </c>
      <c r="V35" s="32"/>
      <c r="W35" s="32"/>
      <c r="X35" s="125" t="n">
        <v>21.6</v>
      </c>
      <c r="Y35" s="125" t="n">
        <v>21.1</v>
      </c>
      <c r="Z35" s="32" t="n">
        <v>1.47</v>
      </c>
      <c r="AA35" s="32" t="n">
        <v>1.44</v>
      </c>
      <c r="AB35" s="125" t="n">
        <v>26.9</v>
      </c>
      <c r="AC35" s="125" t="n">
        <v>26.2</v>
      </c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7"/>
    </row>
    <row r="36" customFormat="false" ht="15.6" hidden="false" customHeight="false" outlineLevel="0" collapsed="false">
      <c r="A36" s="111" t="n">
        <f aca="false">IF(ISBLANK(VLOOKUP(D36,#REF!,3)),0,1)</f>
        <v>1</v>
      </c>
      <c r="B36" s="112" t="n">
        <f aca="false">IF(ISBLANK(D36),0,IF(ISBLANK(E36),0,IF(ISBLANK(F36),0,1)))</f>
        <v>0</v>
      </c>
      <c r="C36" s="128" t="n">
        <v>2</v>
      </c>
      <c r="D36" s="129"/>
      <c r="E36" s="129"/>
      <c r="F36" s="130"/>
      <c r="G36" s="117" t="s">
        <v>99</v>
      </c>
      <c r="H36" s="131" t="n">
        <v>1000</v>
      </c>
      <c r="I36" s="119" t="s">
        <v>99</v>
      </c>
      <c r="J36" s="132"/>
      <c r="K36" s="133"/>
      <c r="L36" s="133"/>
      <c r="M36" s="133"/>
      <c r="N36" s="134"/>
      <c r="O36" s="133"/>
      <c r="P36" s="132" t="s">
        <v>99</v>
      </c>
      <c r="Q36" s="132"/>
      <c r="R36" s="132"/>
      <c r="S36" s="125" t="s">
        <v>99</v>
      </c>
      <c r="T36" s="124"/>
      <c r="U36" s="124"/>
      <c r="V36" s="124"/>
      <c r="W36" s="124"/>
      <c r="X36" s="124"/>
      <c r="Y36" s="124"/>
      <c r="Z36" s="124"/>
      <c r="AA36" s="124"/>
      <c r="AB36" s="124"/>
      <c r="AC36" s="124"/>
      <c r="AD36" s="124"/>
      <c r="AE36" s="124"/>
      <c r="AF36" s="124"/>
      <c r="AG36" s="124"/>
      <c r="AH36" s="124"/>
      <c r="AI36" s="124"/>
      <c r="AJ36" s="124"/>
      <c r="AK36" s="124"/>
      <c r="AL36" s="124"/>
      <c r="AM36" s="124"/>
      <c r="AN36" s="124"/>
      <c r="AO36" s="124"/>
      <c r="AP36" s="124"/>
      <c r="AQ36" s="124"/>
      <c r="AR36" s="124"/>
      <c r="AS36" s="124"/>
      <c r="AT36" s="124"/>
      <c r="AU36" s="124"/>
      <c r="AV36" s="124"/>
      <c r="AW36" s="124"/>
      <c r="AX36" s="124"/>
      <c r="AY36" s="124"/>
      <c r="AZ36" s="124"/>
      <c r="BA36" s="124"/>
      <c r="BB36" s="136"/>
    </row>
    <row r="37" customFormat="false" ht="15.6" hidden="false" customHeight="false" outlineLevel="0" collapsed="false">
      <c r="A37" s="111" t="n">
        <f aca="false">IF(ISBLANK(VLOOKUP(D37,#REF!,3)),0,1)</f>
        <v>1</v>
      </c>
      <c r="B37" s="112" t="n">
        <f aca="false">IF(ISBLANK(D37),0,IF(ISBLANK(E37),0,IF(ISBLANK(F37),0,1)))</f>
        <v>0</v>
      </c>
      <c r="C37" s="128" t="n">
        <v>3</v>
      </c>
      <c r="D37" s="129"/>
      <c r="E37" s="129"/>
      <c r="F37" s="137"/>
      <c r="G37" s="117" t="n">
        <v>34.6783</v>
      </c>
      <c r="H37" s="131" t="n">
        <v>500</v>
      </c>
      <c r="I37" s="119" t="n">
        <v>499</v>
      </c>
      <c r="J37" s="132"/>
      <c r="K37" s="133"/>
      <c r="L37" s="133"/>
      <c r="M37" s="133"/>
      <c r="N37" s="134"/>
      <c r="O37" s="133"/>
      <c r="P37" s="132" t="n">
        <v>1.864</v>
      </c>
      <c r="Q37" s="132"/>
      <c r="R37" s="132"/>
      <c r="S37" s="125" t="n">
        <v>81.1</v>
      </c>
      <c r="T37" s="32" t="n">
        <v>0.06</v>
      </c>
      <c r="U37" s="32" t="n">
        <v>0.06</v>
      </c>
      <c r="V37" s="32"/>
      <c r="W37" s="32"/>
      <c r="X37" s="125" t="n">
        <v>37.1</v>
      </c>
      <c r="Y37" s="125" t="n">
        <v>36.3</v>
      </c>
      <c r="Z37" s="32" t="n">
        <v>2.29</v>
      </c>
      <c r="AA37" s="32" t="n">
        <v>2.24</v>
      </c>
      <c r="AB37" s="125" t="n">
        <v>21</v>
      </c>
      <c r="AC37" s="125" t="n">
        <v>20.5</v>
      </c>
      <c r="AD37" s="124"/>
      <c r="AE37" s="124"/>
      <c r="AF37" s="124"/>
      <c r="AG37" s="124"/>
      <c r="AH37" s="124"/>
      <c r="AI37" s="124"/>
      <c r="AJ37" s="124"/>
      <c r="AK37" s="124"/>
      <c r="AL37" s="124"/>
      <c r="AM37" s="124"/>
      <c r="AN37" s="124"/>
      <c r="AO37" s="124"/>
      <c r="AP37" s="124"/>
      <c r="AQ37" s="124"/>
      <c r="AR37" s="124"/>
      <c r="AS37" s="124"/>
      <c r="AT37" s="124"/>
      <c r="AU37" s="124"/>
      <c r="AV37" s="124"/>
      <c r="AW37" s="124"/>
      <c r="AX37" s="124"/>
      <c r="AY37" s="124"/>
      <c r="AZ37" s="124"/>
      <c r="BA37" s="124"/>
      <c r="BB37" s="136"/>
    </row>
    <row r="38" customFormat="false" ht="16.2" hidden="false" customHeight="false" outlineLevel="0" collapsed="false">
      <c r="A38" s="111" t="n">
        <f aca="false">IF(ISBLANK(VLOOKUP(D38,#REF!,3)),0,1)</f>
        <v>1</v>
      </c>
      <c r="B38" s="112" t="n">
        <f aca="false">IF(ISBLANK(D38),0,IF(ISBLANK(E38),0,IF(ISBLANK(F38),0,1)))</f>
        <v>0</v>
      </c>
      <c r="C38" s="128" t="n">
        <v>4</v>
      </c>
      <c r="D38" s="138"/>
      <c r="E38" s="138"/>
      <c r="F38" s="139"/>
      <c r="G38" s="117" t="n">
        <v>34.6784</v>
      </c>
      <c r="H38" s="131" t="n">
        <v>100</v>
      </c>
      <c r="I38" s="119" t="n">
        <v>100</v>
      </c>
      <c r="J38" s="132"/>
      <c r="K38" s="133"/>
      <c r="L38" s="133"/>
      <c r="M38" s="133"/>
      <c r="N38" s="134"/>
      <c r="O38" s="133"/>
      <c r="P38" s="132" t="n">
        <v>1.842</v>
      </c>
      <c r="Q38" s="132"/>
      <c r="R38" s="132"/>
      <c r="S38" s="125" t="n">
        <v>80.1</v>
      </c>
      <c r="T38" s="32" t="n">
        <v>0.07</v>
      </c>
      <c r="U38" s="32" t="n">
        <v>0.07</v>
      </c>
      <c r="V38" s="32"/>
      <c r="W38" s="32"/>
      <c r="X38" s="125" t="n">
        <v>19</v>
      </c>
      <c r="Y38" s="125" t="n">
        <v>18.5</v>
      </c>
      <c r="Z38" s="32" t="n">
        <v>1.21</v>
      </c>
      <c r="AA38" s="32" t="n">
        <v>1.18</v>
      </c>
      <c r="AB38" s="125" t="n">
        <v>6</v>
      </c>
      <c r="AC38" s="125" t="n">
        <v>5.8</v>
      </c>
      <c r="AD38" s="124"/>
      <c r="AE38" s="124"/>
      <c r="AF38" s="124"/>
      <c r="AG38" s="124"/>
      <c r="AH38" s="124"/>
      <c r="AI38" s="124"/>
      <c r="AJ38" s="124"/>
      <c r="AK38" s="124"/>
      <c r="AL38" s="124"/>
      <c r="AM38" s="124"/>
      <c r="AN38" s="124"/>
      <c r="AO38" s="124"/>
      <c r="AP38" s="124"/>
      <c r="AQ38" s="124"/>
      <c r="AR38" s="124"/>
      <c r="AS38" s="124"/>
      <c r="AT38" s="124"/>
      <c r="AU38" s="124"/>
      <c r="AV38" s="124"/>
      <c r="AW38" s="124"/>
      <c r="AX38" s="124"/>
      <c r="AY38" s="124"/>
      <c r="AZ38" s="124"/>
      <c r="BA38" s="124"/>
      <c r="BB38" s="136"/>
    </row>
    <row r="39" customFormat="false" ht="15.6" hidden="false" customHeight="false" outlineLevel="0" collapsed="false">
      <c r="A39" s="111" t="n">
        <f aca="false">IF(ISBLANK(VLOOKUP(D39,#REF!,3)),0,1)</f>
        <v>1</v>
      </c>
      <c r="B39" s="112" t="n">
        <f aca="false">IF(ISBLANK(D39),0,IF(ISBLANK(E39),0,IF(ISBLANK(F39),0,1)))</f>
        <v>0</v>
      </c>
      <c r="C39" s="128" t="n">
        <v>5</v>
      </c>
      <c r="D39" s="129"/>
      <c r="E39" s="129"/>
      <c r="F39" s="137"/>
      <c r="G39" s="117" t="n">
        <v>35.6972</v>
      </c>
      <c r="H39" s="131" t="n">
        <v>80</v>
      </c>
      <c r="I39" s="119" t="n">
        <v>79.8</v>
      </c>
      <c r="J39" s="132"/>
      <c r="K39" s="133"/>
      <c r="L39" s="133"/>
      <c r="M39" s="133"/>
      <c r="N39" s="134"/>
      <c r="O39" s="133"/>
      <c r="P39" s="132" t="n">
        <v>2.29</v>
      </c>
      <c r="Q39" s="132"/>
      <c r="R39" s="132"/>
      <c r="S39" s="125" t="n">
        <v>99.7</v>
      </c>
      <c r="T39" s="32" t="n">
        <v>0.54</v>
      </c>
      <c r="U39" s="32" t="n">
        <v>0.53</v>
      </c>
      <c r="V39" s="32"/>
      <c r="W39" s="32"/>
      <c r="X39" s="125" t="n">
        <v>7.5</v>
      </c>
      <c r="Y39" s="125" t="n">
        <v>7.3</v>
      </c>
      <c r="Z39" s="32" t="n">
        <v>0.66</v>
      </c>
      <c r="AA39" s="32" t="n">
        <v>0.65</v>
      </c>
      <c r="AB39" s="125" t="n">
        <v>3.6</v>
      </c>
      <c r="AC39" s="125" t="n">
        <v>3.5</v>
      </c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7"/>
    </row>
    <row r="40" customFormat="false" ht="15.6" hidden="false" customHeight="false" outlineLevel="0" collapsed="false">
      <c r="A40" s="111" t="n">
        <f aca="false">IF(ISBLANK(VLOOKUP(D40,#REF!,3)),0,1)</f>
        <v>1</v>
      </c>
      <c r="B40" s="112" t="n">
        <f aca="false">IF(ISBLANK(D40),0,IF(ISBLANK(E40),0,IF(ISBLANK(F40),0,1)))</f>
        <v>0</v>
      </c>
      <c r="C40" s="128" t="n">
        <v>6</v>
      </c>
      <c r="D40" s="129"/>
      <c r="E40" s="129"/>
      <c r="F40" s="137"/>
      <c r="G40" s="117"/>
      <c r="H40" s="131" t="n">
        <v>60</v>
      </c>
      <c r="I40" s="119"/>
      <c r="J40" s="132"/>
      <c r="K40" s="133"/>
      <c r="L40" s="133"/>
      <c r="M40" s="133"/>
      <c r="N40" s="134"/>
      <c r="O40" s="133"/>
      <c r="P40" s="132"/>
      <c r="Q40" s="132"/>
      <c r="R40" s="132"/>
      <c r="S40" s="125"/>
      <c r="T40" s="32" t="n">
        <v>0.06</v>
      </c>
      <c r="U40" s="32" t="n">
        <v>0.06</v>
      </c>
      <c r="V40" s="32"/>
      <c r="W40" s="32"/>
      <c r="X40" s="125" t="n">
        <v>0.2</v>
      </c>
      <c r="Y40" s="125" t="n">
        <v>0.2</v>
      </c>
      <c r="Z40" s="32" t="n">
        <v>0.11</v>
      </c>
      <c r="AA40" s="32" t="n">
        <v>0.11</v>
      </c>
      <c r="AB40" s="125" t="n">
        <v>1.8</v>
      </c>
      <c r="AC40" s="125" t="n">
        <v>1.8</v>
      </c>
      <c r="AD40" s="124"/>
      <c r="AE40" s="124"/>
      <c r="AF40" s="124"/>
      <c r="AG40" s="124"/>
      <c r="AH40" s="124"/>
      <c r="AI40" s="124"/>
      <c r="AJ40" s="124"/>
      <c r="AK40" s="124"/>
      <c r="AL40" s="124"/>
      <c r="AM40" s="124"/>
      <c r="AN40" s="124"/>
      <c r="AO40" s="124"/>
      <c r="AP40" s="124"/>
      <c r="AQ40" s="124"/>
      <c r="AR40" s="124"/>
      <c r="AS40" s="124"/>
      <c r="AT40" s="124"/>
      <c r="AU40" s="124"/>
      <c r="AV40" s="124"/>
      <c r="AW40" s="124"/>
      <c r="AX40" s="124"/>
      <c r="AY40" s="124"/>
      <c r="AZ40" s="124"/>
      <c r="BA40" s="124"/>
      <c r="BB40" s="136"/>
    </row>
    <row r="41" customFormat="false" ht="16.2" hidden="false" customHeight="false" outlineLevel="0" collapsed="false">
      <c r="A41" s="111" t="n">
        <f aca="false">IF(ISBLANK(VLOOKUP(D41,#REF!,3)),0,1)</f>
        <v>1</v>
      </c>
      <c r="B41" s="112" t="n">
        <f aca="false">IF(ISBLANK(D41),0,IF(ISBLANK(E41),0,IF(ISBLANK(F41),0,1)))</f>
        <v>0</v>
      </c>
      <c r="C41" s="128" t="n">
        <v>7</v>
      </c>
      <c r="D41" s="129"/>
      <c r="E41" s="129"/>
      <c r="F41" s="137"/>
      <c r="G41" s="117"/>
      <c r="H41" s="131" t="n">
        <v>40</v>
      </c>
      <c r="I41" s="119"/>
      <c r="J41" s="132"/>
      <c r="K41" s="133"/>
      <c r="L41" s="133"/>
      <c r="M41" s="133"/>
      <c r="N41" s="134"/>
      <c r="O41" s="133"/>
      <c r="P41" s="132"/>
      <c r="Q41" s="132"/>
      <c r="R41" s="132"/>
      <c r="S41" s="125"/>
      <c r="T41" s="32" t="n">
        <v>0.04</v>
      </c>
      <c r="U41" s="32" t="n">
        <v>0.04</v>
      </c>
      <c r="V41" s="32"/>
      <c r="W41" s="32"/>
      <c r="X41" s="125" t="n">
        <v>0</v>
      </c>
      <c r="Y41" s="125" t="n">
        <v>0</v>
      </c>
      <c r="Z41" s="32" t="n">
        <v>0.04</v>
      </c>
      <c r="AA41" s="32" t="n">
        <v>0.04</v>
      </c>
      <c r="AB41" s="125" t="n">
        <v>1.4</v>
      </c>
      <c r="AC41" s="125" t="n">
        <v>1.4</v>
      </c>
      <c r="AD41" s="124"/>
      <c r="AE41" s="124"/>
      <c r="AF41" s="124"/>
      <c r="AG41" s="124"/>
      <c r="AH41" s="124"/>
      <c r="AI41" s="124"/>
      <c r="AJ41" s="124"/>
      <c r="AK41" s="124"/>
      <c r="AL41" s="124"/>
      <c r="AM41" s="124"/>
      <c r="AN41" s="124"/>
      <c r="AO41" s="124"/>
      <c r="AP41" s="124"/>
      <c r="AQ41" s="124"/>
      <c r="AR41" s="124"/>
      <c r="AS41" s="124"/>
      <c r="AT41" s="124"/>
      <c r="AU41" s="124"/>
      <c r="AV41" s="124"/>
      <c r="AW41" s="124"/>
      <c r="AX41" s="124"/>
      <c r="AY41" s="124"/>
      <c r="AZ41" s="124"/>
      <c r="BA41" s="124"/>
      <c r="BB41" s="136"/>
    </row>
    <row r="42" customFormat="false" ht="15.6" hidden="false" customHeight="false" outlineLevel="0" collapsed="false">
      <c r="A42" s="111" t="n">
        <f aca="false">IF(ISBLANK(VLOOKUP(D42,#REF!,3)),0,1)</f>
        <v>1</v>
      </c>
      <c r="B42" s="112" t="n">
        <f aca="false">IF(ISBLANK(D42),0,IF(ISBLANK(E42),0,IF(ISBLANK(F42),0,1)))</f>
        <v>0</v>
      </c>
      <c r="C42" s="128" t="n">
        <v>8</v>
      </c>
      <c r="D42" s="129"/>
      <c r="E42" s="129"/>
      <c r="F42" s="137"/>
      <c r="G42" s="117"/>
      <c r="H42" s="131" t="n">
        <v>20</v>
      </c>
      <c r="I42" s="119"/>
      <c r="J42" s="132"/>
      <c r="K42" s="133"/>
      <c r="L42" s="133"/>
      <c r="M42" s="133"/>
      <c r="N42" s="134"/>
      <c r="O42" s="133"/>
      <c r="P42" s="132"/>
      <c r="Q42" s="132"/>
      <c r="R42" s="132"/>
      <c r="S42" s="125"/>
      <c r="T42" s="32" t="n">
        <v>0.04</v>
      </c>
      <c r="U42" s="32" t="n">
        <v>0.04</v>
      </c>
      <c r="V42" s="32"/>
      <c r="W42" s="32"/>
      <c r="X42" s="125" t="n">
        <v>0</v>
      </c>
      <c r="Y42" s="125" t="n">
        <v>0</v>
      </c>
      <c r="Z42" s="32" t="n">
        <v>0.04</v>
      </c>
      <c r="AA42" s="32" t="n">
        <v>0.04</v>
      </c>
      <c r="AB42" s="125" t="n">
        <v>1.6</v>
      </c>
      <c r="AC42" s="125" t="n">
        <v>1.5</v>
      </c>
      <c r="AD42" s="126"/>
      <c r="AE42" s="126"/>
      <c r="AF42" s="126"/>
      <c r="AG42" s="126"/>
      <c r="AH42" s="126"/>
      <c r="AI42" s="126"/>
      <c r="AJ42" s="126"/>
      <c r="AK42" s="126"/>
      <c r="AL42" s="126"/>
      <c r="AM42" s="126"/>
      <c r="AN42" s="126"/>
      <c r="AO42" s="126"/>
      <c r="AP42" s="126"/>
      <c r="AQ42" s="126"/>
      <c r="AR42" s="126"/>
      <c r="AS42" s="126"/>
      <c r="AT42" s="126"/>
      <c r="AU42" s="126"/>
      <c r="AV42" s="126"/>
      <c r="AW42" s="126"/>
      <c r="AX42" s="126"/>
      <c r="AY42" s="126"/>
      <c r="AZ42" s="126"/>
      <c r="BA42" s="126"/>
      <c r="BB42" s="127"/>
    </row>
    <row r="43" customFormat="false" ht="15.6" hidden="false" customHeight="false" outlineLevel="0" collapsed="false">
      <c r="A43" s="111" t="n">
        <f aca="false">IF(ISBLANK(VLOOKUP(D43,#REF!,3)),0,1)</f>
        <v>1</v>
      </c>
      <c r="B43" s="112" t="n">
        <f aca="false">IF(ISBLANK(D43),0,IF(ISBLANK(E43),0,IF(ISBLANK(F43),0,1)))</f>
        <v>0</v>
      </c>
      <c r="C43" s="128" t="n">
        <v>9</v>
      </c>
      <c r="D43" s="129"/>
      <c r="E43" s="129"/>
      <c r="F43" s="137"/>
      <c r="G43" s="117"/>
      <c r="H43" s="131" t="n">
        <v>10</v>
      </c>
      <c r="I43" s="119"/>
      <c r="J43" s="132"/>
      <c r="K43" s="133"/>
      <c r="L43" s="133"/>
      <c r="M43" s="133"/>
      <c r="N43" s="134"/>
      <c r="O43" s="133"/>
      <c r="P43" s="132"/>
      <c r="Q43" s="132"/>
      <c r="R43" s="132"/>
      <c r="S43" s="125"/>
      <c r="T43" s="32" t="n">
        <v>0.03</v>
      </c>
      <c r="U43" s="32" t="n">
        <v>0.03</v>
      </c>
      <c r="V43" s="32"/>
      <c r="W43" s="32"/>
      <c r="X43" s="125" t="n">
        <v>0</v>
      </c>
      <c r="Y43" s="125" t="n">
        <v>0</v>
      </c>
      <c r="Z43" s="32" t="n">
        <v>0.04</v>
      </c>
      <c r="AA43" s="32" t="n">
        <v>0.04</v>
      </c>
      <c r="AB43" s="125" t="n">
        <v>1.4</v>
      </c>
      <c r="AC43" s="125" t="n">
        <v>1.4</v>
      </c>
      <c r="AD43" s="124"/>
      <c r="AE43" s="124"/>
      <c r="AF43" s="124"/>
      <c r="AG43" s="124"/>
      <c r="AH43" s="124"/>
      <c r="AI43" s="124"/>
      <c r="AJ43" s="124"/>
      <c r="AK43" s="124"/>
      <c r="AL43" s="124"/>
      <c r="AM43" s="124"/>
      <c r="AN43" s="124"/>
      <c r="AO43" s="124"/>
      <c r="AP43" s="124"/>
      <c r="AQ43" s="124"/>
      <c r="AR43" s="124"/>
      <c r="AS43" s="124"/>
      <c r="AT43" s="124"/>
      <c r="AU43" s="124"/>
      <c r="AV43" s="124"/>
      <c r="AW43" s="124"/>
      <c r="AX43" s="124"/>
      <c r="AY43" s="124"/>
      <c r="AZ43" s="124"/>
      <c r="BA43" s="124"/>
      <c r="BB43" s="136"/>
    </row>
    <row r="44" customFormat="false" ht="15.6" hidden="false" customHeight="false" outlineLevel="0" collapsed="false">
      <c r="A44" s="111" t="n">
        <f aca="false">IF(ISBLANK(VLOOKUP(D44,#REF!,3)),0,1)</f>
        <v>1</v>
      </c>
      <c r="B44" s="112" t="n">
        <f aca="false">IF(ISBLANK(D44),0,IF(ISBLANK(E44),0,IF(ISBLANK(F44),0,1)))</f>
        <v>0</v>
      </c>
      <c r="C44" s="128" t="n">
        <v>10</v>
      </c>
      <c r="D44" s="129"/>
      <c r="E44" s="129"/>
      <c r="F44" s="137"/>
      <c r="G44" s="117"/>
      <c r="H44" s="131" t="n">
        <v>10</v>
      </c>
      <c r="I44" s="119"/>
      <c r="J44" s="132"/>
      <c r="K44" s="133"/>
      <c r="L44" s="133"/>
      <c r="M44" s="133"/>
      <c r="N44" s="134"/>
      <c r="O44" s="133"/>
      <c r="P44" s="132"/>
      <c r="Q44" s="132"/>
      <c r="R44" s="132"/>
      <c r="S44" s="125"/>
      <c r="T44" s="32" t="n">
        <v>0.03</v>
      </c>
      <c r="U44" s="32" t="n">
        <v>0.03</v>
      </c>
      <c r="V44" s="32"/>
      <c r="W44" s="32"/>
      <c r="X44" s="125" t="n">
        <v>0</v>
      </c>
      <c r="Y44" s="125" t="n">
        <v>0</v>
      </c>
      <c r="Z44" s="32" t="n">
        <v>0.05</v>
      </c>
      <c r="AA44" s="32" t="n">
        <v>0.04</v>
      </c>
      <c r="AB44" s="125" t="n">
        <v>1.6</v>
      </c>
      <c r="AC44" s="125" t="n">
        <v>1.5</v>
      </c>
      <c r="AD44" s="124"/>
      <c r="AE44" s="124"/>
      <c r="AF44" s="124"/>
      <c r="AG44" s="124"/>
      <c r="AH44" s="124"/>
      <c r="AI44" s="124"/>
      <c r="AJ44" s="124"/>
      <c r="AK44" s="124"/>
      <c r="AL44" s="124"/>
      <c r="AM44" s="124"/>
      <c r="AN44" s="124"/>
      <c r="AO44" s="124"/>
      <c r="AP44" s="124"/>
      <c r="AQ44" s="124"/>
      <c r="AR44" s="124"/>
      <c r="AS44" s="124"/>
      <c r="AT44" s="124"/>
      <c r="AU44" s="124"/>
      <c r="AV44" s="124"/>
      <c r="AW44" s="124"/>
      <c r="AX44" s="124"/>
      <c r="AY44" s="124"/>
      <c r="AZ44" s="124"/>
      <c r="BA44" s="124"/>
      <c r="BB44" s="136"/>
    </row>
    <row r="45" customFormat="false" ht="15.6" hidden="false" customHeight="false" outlineLevel="0" collapsed="false">
      <c r="A45" s="111" t="n">
        <f aca="false">IF(ISBLANK(VLOOKUP(D45,#REF!,3)),0,1)</f>
        <v>1</v>
      </c>
      <c r="B45" s="112" t="n">
        <f aca="false">IF(ISBLANK(D45),0,IF(ISBLANK(E45),0,IF(ISBLANK(F45),0,1)))</f>
        <v>0</v>
      </c>
      <c r="C45" s="128" t="n">
        <v>11</v>
      </c>
      <c r="D45" s="129"/>
      <c r="E45" s="129"/>
      <c r="F45" s="137"/>
      <c r="G45" s="117" t="n">
        <v>35.4092</v>
      </c>
      <c r="H45" s="131" t="n">
        <v>0</v>
      </c>
      <c r="I45" s="119" t="n">
        <v>1</v>
      </c>
      <c r="J45" s="132"/>
      <c r="K45" s="133"/>
      <c r="L45" s="133"/>
      <c r="M45" s="133"/>
      <c r="N45" s="134"/>
      <c r="O45" s="133"/>
      <c r="P45" s="132" t="n">
        <v>4.643</v>
      </c>
      <c r="Q45" s="132"/>
      <c r="R45" s="132"/>
      <c r="S45" s="125" t="n">
        <v>202.6</v>
      </c>
      <c r="T45" s="32" t="n">
        <v>0.02</v>
      </c>
      <c r="U45" s="32" t="n">
        <v>0.02</v>
      </c>
      <c r="V45" s="32"/>
      <c r="W45" s="32"/>
      <c r="X45" s="125" t="n">
        <v>0</v>
      </c>
      <c r="Y45" s="125" t="n">
        <v>0</v>
      </c>
      <c r="Z45" s="32" t="n">
        <v>0.04</v>
      </c>
      <c r="AA45" s="32" t="n">
        <v>0.04</v>
      </c>
      <c r="AB45" s="125" t="n">
        <v>1.6</v>
      </c>
      <c r="AC45" s="125" t="n">
        <v>1.5</v>
      </c>
      <c r="AD45" s="124"/>
      <c r="AE45" s="124"/>
      <c r="AF45" s="124"/>
      <c r="AG45" s="124"/>
      <c r="AH45" s="124"/>
      <c r="AI45" s="124"/>
      <c r="AJ45" s="124"/>
      <c r="AK45" s="124"/>
      <c r="AL45" s="124"/>
      <c r="AM45" s="124"/>
      <c r="AN45" s="124"/>
      <c r="AO45" s="124"/>
      <c r="AP45" s="124"/>
      <c r="AQ45" s="124"/>
      <c r="AR45" s="124"/>
      <c r="AS45" s="124"/>
      <c r="AT45" s="124"/>
      <c r="AU45" s="124"/>
      <c r="AV45" s="124"/>
      <c r="AW45" s="124"/>
      <c r="AX45" s="124"/>
      <c r="AY45" s="124"/>
      <c r="AZ45" s="124"/>
      <c r="BA45" s="124"/>
      <c r="BB45" s="136"/>
    </row>
    <row r="46" customFormat="false" ht="15.6" hidden="false" customHeight="false" outlineLevel="0" collapsed="false">
      <c r="A46" s="111" t="n">
        <f aca="false">IF(ISBLANK(VLOOKUP(D46,#REF!,3)),0,1)</f>
        <v>1</v>
      </c>
      <c r="B46" s="112" t="n">
        <f aca="false">IF(ISBLANK(D46),0,IF(ISBLANK(E46),0,IF(ISBLANK(F46),0,1)))</f>
        <v>0</v>
      </c>
      <c r="C46" s="128" t="n">
        <v>12</v>
      </c>
      <c r="D46" s="142"/>
      <c r="E46" s="142"/>
      <c r="F46" s="143"/>
      <c r="G46" s="144"/>
      <c r="H46" s="142"/>
      <c r="I46" s="145"/>
      <c r="J46" s="132" t="str">
        <f aca="false">IF(ISBLANK(D46),"",IF(VLOOKUP(D46,#REF!,2)=0,"",IF(D46&gt;#REF!,"Mauvais numéro",IF(D46&lt;#REF!,"Mauvais numéro",(VLOOKUP(D46,#REF!,3))))))</f>
        <v/>
      </c>
      <c r="K46" s="146" t="str">
        <f aca="false">IF(ISBLANK(E46),"",(0.000824493-(0.0000040899*E46)+(0.000000076438*E46^2)-(0.00000000082467*E46^3)+(0.0000000000053875*E46^4)))</f>
        <v/>
      </c>
      <c r="L46" s="146" t="str">
        <f aca="false">IF(ISBLANK(E46),"",(-0.00000572466+(0.00000010227*E46)-(0.0000000016546*E46^2)))</f>
        <v/>
      </c>
      <c r="M46" s="146" t="str">
        <f aca="false">IF(ISBLANK(E46),"",IF(ISBLANK(G46),(O46+(K46*35)+(L46*35^1.5)+(0.00000048314*35^2)),(O46+(K46*G46)+(L46*G46^1.5)+(0.00000048314*G46^2))))</f>
        <v/>
      </c>
      <c r="N46" s="147" t="str">
        <f aca="false">IF(ISBLANK(D46),"",IF(ISBLANK(G46),J46*(1+0.00001*(35-20)),J46*(1+0.00001*(G46-20))))</f>
        <v/>
      </c>
      <c r="O46" s="146" t="str">
        <f aca="false">IF(ISBLANK(E46),"",(0.999842594+(0.00006793952*E46)-(0.00000909529*E46^2)+(0.0000001001685*E46^3)-(0.000000001120083*E46^4)+(0.000000000006536332*E46^5)))</f>
        <v/>
      </c>
      <c r="P46" s="148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49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0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0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24"/>
      <c r="U46" s="124"/>
      <c r="V46" s="124"/>
      <c r="W46" s="124"/>
      <c r="X46" s="124"/>
      <c r="Y46" s="124"/>
      <c r="Z46" s="124"/>
      <c r="AA46" s="124"/>
      <c r="AB46" s="124"/>
      <c r="AC46" s="124"/>
      <c r="AD46" s="124"/>
      <c r="AE46" s="124"/>
      <c r="AF46" s="124"/>
      <c r="AG46" s="124"/>
      <c r="AH46" s="124"/>
      <c r="AI46" s="124"/>
      <c r="AJ46" s="124"/>
      <c r="AK46" s="124"/>
      <c r="AL46" s="124"/>
      <c r="AM46" s="124"/>
      <c r="AN46" s="124"/>
      <c r="AO46" s="124"/>
      <c r="AP46" s="124"/>
      <c r="AQ46" s="124"/>
      <c r="AR46" s="124"/>
      <c r="AS46" s="124"/>
      <c r="AT46" s="124"/>
      <c r="AU46" s="124"/>
      <c r="AV46" s="124"/>
      <c r="AW46" s="124"/>
      <c r="AX46" s="124"/>
      <c r="AY46" s="124"/>
      <c r="AZ46" s="124"/>
      <c r="BA46" s="124"/>
      <c r="BB46" s="136"/>
    </row>
    <row r="47" customFormat="false" ht="15.6" hidden="false" customHeight="false" outlineLevel="0" collapsed="false">
      <c r="A47" s="111" t="n">
        <f aca="false">IF(ISBLANK(VLOOKUP(D47,#REF!,3)),0,1)</f>
        <v>1</v>
      </c>
      <c r="B47" s="112" t="n">
        <f aca="false">IF(ISBLANK(D47),0,IF(ISBLANK(E47),0,IF(ISBLANK(F47),0,1)))</f>
        <v>0</v>
      </c>
      <c r="C47" s="128" t="n">
        <v>13</v>
      </c>
      <c r="D47" s="151"/>
      <c r="E47" s="151"/>
      <c r="F47" s="152"/>
      <c r="G47" s="153"/>
      <c r="H47" s="151"/>
      <c r="I47" s="151"/>
      <c r="J47" s="132" t="str">
        <f aca="false">IF(ISBLANK(D47),"",IF(VLOOKUP(D47,#REF!,2)=0,"",IF(D47&gt;#REF!,"Mauvais numéro",IF(D47&lt;#REF!,"Mauvais numéro",(VLOOKUP(D47,#REF!,3))))))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54"/>
      <c r="Q47" s="149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5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4"/>
      <c r="T47" s="124"/>
      <c r="U47" s="124"/>
      <c r="V47" s="124"/>
      <c r="W47" s="124"/>
      <c r="X47" s="12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24"/>
      <c r="AJ47" s="124"/>
      <c r="AK47" s="124"/>
      <c r="AL47" s="124"/>
      <c r="AM47" s="124"/>
      <c r="AN47" s="124"/>
      <c r="AO47" s="124"/>
      <c r="AP47" s="124"/>
      <c r="AQ47" s="124"/>
      <c r="AR47" s="124"/>
      <c r="AS47" s="124"/>
      <c r="AT47" s="124"/>
      <c r="AU47" s="124"/>
      <c r="AV47" s="124"/>
      <c r="AW47" s="124"/>
      <c r="AX47" s="124"/>
      <c r="AY47" s="124"/>
      <c r="AZ47" s="124"/>
      <c r="BA47" s="124"/>
      <c r="BB47" s="136"/>
    </row>
    <row r="48" customFormat="false" ht="15.6" hidden="false" customHeight="false" outlineLevel="0" collapsed="false">
      <c r="A48" s="111" t="n">
        <f aca="false">IF(ISBLANK(VLOOKUP(D48,#REF!,3)),0,1)</f>
        <v>1</v>
      </c>
      <c r="B48" s="112" t="n">
        <f aca="false">IF(ISBLANK(D48),0,IF(ISBLANK(E48),0,IF(ISBLANK(F48),0,1)))</f>
        <v>0</v>
      </c>
      <c r="C48" s="128" t="n">
        <v>14</v>
      </c>
      <c r="D48" s="151"/>
      <c r="E48" s="151"/>
      <c r="F48" s="152"/>
      <c r="G48" s="153"/>
      <c r="H48" s="151"/>
      <c r="I48" s="151"/>
      <c r="J48" s="132" t="str">
        <f aca="false">IF(ISBLANK(D48),"",IF(VLOOKUP(D48,#REF!,2)=0,"",IF(D48&gt;#REF!,"Mauvais numéro",IF(D48&lt;#REF!,"Mauvais numéro",(VLOOKUP(D48,#REF!,3))))))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54"/>
      <c r="Q48" s="149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5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4"/>
      <c r="T48" s="124"/>
      <c r="U48" s="124"/>
      <c r="V48" s="124"/>
      <c r="W48" s="124"/>
      <c r="X48" s="124"/>
      <c r="Y48" s="124"/>
      <c r="Z48" s="124"/>
      <c r="AA48" s="124"/>
      <c r="AB48" s="124"/>
      <c r="AC48" s="124"/>
      <c r="AD48" s="124"/>
      <c r="AE48" s="124"/>
      <c r="AF48" s="124"/>
      <c r="AG48" s="124"/>
      <c r="AH48" s="124"/>
      <c r="AI48" s="124"/>
      <c r="AJ48" s="124"/>
      <c r="AK48" s="124"/>
      <c r="AL48" s="124"/>
      <c r="AM48" s="124"/>
      <c r="AN48" s="124"/>
      <c r="AO48" s="124"/>
      <c r="AP48" s="124"/>
      <c r="AQ48" s="124"/>
      <c r="AR48" s="124"/>
      <c r="AS48" s="124"/>
      <c r="AT48" s="124"/>
      <c r="AU48" s="124"/>
      <c r="AV48" s="124"/>
      <c r="AW48" s="124"/>
      <c r="AX48" s="124"/>
      <c r="AY48" s="124"/>
      <c r="AZ48" s="124"/>
      <c r="BA48" s="124"/>
      <c r="BB48" s="136"/>
    </row>
    <row r="49" customFormat="false" ht="15.6" hidden="false" customHeight="false" outlineLevel="0" collapsed="false">
      <c r="A49" s="111" t="n">
        <f aca="false">IF(ISBLANK(VLOOKUP(D49,#REF!,3)),0,1)</f>
        <v>1</v>
      </c>
      <c r="B49" s="112" t="n">
        <f aca="false">IF(ISBLANK(D49),0,IF(ISBLANK(E49),0,IF(ISBLANK(F49),0,1)))</f>
        <v>0</v>
      </c>
      <c r="C49" s="128" t="n">
        <v>15</v>
      </c>
      <c r="D49" s="151"/>
      <c r="E49" s="151"/>
      <c r="F49" s="152"/>
      <c r="G49" s="156"/>
      <c r="H49" s="151"/>
      <c r="I49" s="151"/>
      <c r="J49" s="132" t="str">
        <f aca="false">IF(ISBLANK(D49),"",IF(VLOOKUP(D49,#REF!,2)=0,"",IF(D49&gt;#REF!,"Mauvais numéro",IF(D49&lt;#REF!,"Mauvais numéro",(VLOOKUP(D49,#REF!,3))))))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57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49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24"/>
      <c r="AE49" s="124"/>
      <c r="AF49" s="124"/>
      <c r="AG49" s="124"/>
      <c r="AH49" s="124"/>
      <c r="AI49" s="124"/>
      <c r="AJ49" s="124"/>
      <c r="AK49" s="124"/>
      <c r="AL49" s="124"/>
      <c r="AM49" s="124"/>
      <c r="AN49" s="124"/>
      <c r="AO49" s="124"/>
      <c r="AP49" s="124"/>
      <c r="AQ49" s="124"/>
      <c r="AR49" s="124"/>
      <c r="AS49" s="124"/>
      <c r="AT49" s="124"/>
      <c r="AU49" s="124"/>
      <c r="AV49" s="124"/>
      <c r="AW49" s="124"/>
      <c r="AX49" s="124"/>
      <c r="AY49" s="124"/>
      <c r="AZ49" s="124"/>
      <c r="BA49" s="124"/>
      <c r="BB49" s="136"/>
    </row>
    <row r="50" customFormat="false" ht="15.6" hidden="false" customHeight="false" outlineLevel="0" collapsed="false">
      <c r="A50" s="111" t="n">
        <f aca="false">IF(ISBLANK(VLOOKUP(D50,#REF!,3)),0,1)</f>
        <v>1</v>
      </c>
      <c r="B50" s="112" t="n">
        <f aca="false">IF(ISBLANK(D50),0,IF(ISBLANK(E50),0,IF(ISBLANK(F50),0,1)))</f>
        <v>0</v>
      </c>
      <c r="C50" s="128" t="n">
        <v>16</v>
      </c>
      <c r="D50" s="151"/>
      <c r="E50" s="151"/>
      <c r="F50" s="152"/>
      <c r="G50" s="156"/>
      <c r="H50" s="151"/>
      <c r="I50" s="151"/>
      <c r="J50" s="132" t="str">
        <f aca="false">IF(ISBLANK(D50),"",IF(VLOOKUP(D50,#REF!,2)=0,"",IF(D50&gt;#REF!,"Mauvais numéro",IF(D50&lt;#REF!,"Mauvais numéro",(VLOOKUP(D50,#REF!,3))))))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57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49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24"/>
      <c r="U50" s="124"/>
      <c r="V50" s="124"/>
      <c r="W50" s="124"/>
      <c r="X50" s="124"/>
      <c r="Y50" s="124"/>
      <c r="Z50" s="124"/>
      <c r="AA50" s="124"/>
      <c r="AB50" s="124"/>
      <c r="AC50" s="124"/>
      <c r="AD50" s="124"/>
      <c r="AE50" s="124"/>
      <c r="AF50" s="124"/>
      <c r="AG50" s="124"/>
      <c r="AH50" s="124"/>
      <c r="AI50" s="124"/>
      <c r="AJ50" s="124"/>
      <c r="AK50" s="124"/>
      <c r="AL50" s="124"/>
      <c r="AM50" s="124"/>
      <c r="AN50" s="124"/>
      <c r="AO50" s="124"/>
      <c r="AP50" s="124"/>
      <c r="AQ50" s="124"/>
      <c r="AR50" s="124"/>
      <c r="AS50" s="124"/>
      <c r="AT50" s="124"/>
      <c r="AU50" s="124"/>
      <c r="AV50" s="124"/>
      <c r="AW50" s="124"/>
      <c r="AX50" s="124"/>
      <c r="AY50" s="124"/>
      <c r="AZ50" s="124"/>
      <c r="BA50" s="124"/>
      <c r="BB50" s="136"/>
    </row>
    <row r="51" customFormat="false" ht="15.6" hidden="false" customHeight="false" outlineLevel="0" collapsed="false">
      <c r="A51" s="111" t="n">
        <f aca="false">IF(ISBLANK(VLOOKUP(D51,#REF!,3)),0,1)</f>
        <v>1</v>
      </c>
      <c r="B51" s="112" t="n">
        <f aca="false">IF(ISBLANK(D51),0,IF(ISBLANK(E51),0,IF(ISBLANK(F51),0,1)))</f>
        <v>0</v>
      </c>
      <c r="C51" s="128" t="n">
        <v>17</v>
      </c>
      <c r="D51" s="151"/>
      <c r="E51" s="151"/>
      <c r="F51" s="152"/>
      <c r="G51" s="156"/>
      <c r="H51" s="151"/>
      <c r="I51" s="151"/>
      <c r="J51" s="132" t="str">
        <f aca="false">IF(ISBLANK(D51),"",IF(VLOOKUP(D51,#REF!,2)=0,"",IF(D51&gt;#REF!,"Mauvais numéro",IF(D51&lt;#REF!,"Mauvais numéro",(VLOOKUP(D51,#REF!,3))))))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57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49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24"/>
      <c r="AE51" s="124"/>
      <c r="AF51" s="124"/>
      <c r="AG51" s="124"/>
      <c r="AH51" s="124"/>
      <c r="AI51" s="124"/>
      <c r="AJ51" s="124"/>
      <c r="AK51" s="124"/>
      <c r="AL51" s="124"/>
      <c r="AM51" s="124"/>
      <c r="AN51" s="124"/>
      <c r="AO51" s="124"/>
      <c r="AP51" s="124"/>
      <c r="AQ51" s="124"/>
      <c r="AR51" s="124"/>
      <c r="AS51" s="124"/>
      <c r="AT51" s="124"/>
      <c r="AU51" s="124"/>
      <c r="AV51" s="124"/>
      <c r="AW51" s="124"/>
      <c r="AX51" s="124"/>
      <c r="AY51" s="124"/>
      <c r="AZ51" s="124"/>
      <c r="BA51" s="124"/>
      <c r="BB51" s="136"/>
    </row>
    <row r="52" customFormat="false" ht="15.6" hidden="false" customHeight="false" outlineLevel="0" collapsed="false">
      <c r="A52" s="111" t="n">
        <f aca="false">IF(ISBLANK(VLOOKUP(D52,#REF!,3)),0,1)</f>
        <v>1</v>
      </c>
      <c r="B52" s="112" t="n">
        <f aca="false">IF(ISBLANK(D52),0,IF(ISBLANK(E52),0,IF(ISBLANK(F52),0,1)))</f>
        <v>0</v>
      </c>
      <c r="C52" s="128" t="n">
        <v>18</v>
      </c>
      <c r="D52" s="151"/>
      <c r="E52" s="151"/>
      <c r="F52" s="152"/>
      <c r="G52" s="156"/>
      <c r="H52" s="151"/>
      <c r="I52" s="151"/>
      <c r="J52" s="132" t="str">
        <f aca="false">IF(ISBLANK(D52),"",IF(VLOOKUP(D52,#REF!,2)=0,"",IF(D52&gt;#REF!,"Mauvais numéro",IF(D52&lt;#REF!,"Mauvais numéro",(VLOOKUP(D52,#REF!,3))))))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57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49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24"/>
      <c r="U52" s="124"/>
      <c r="V52" s="124"/>
      <c r="W52" s="124"/>
      <c r="X52" s="124"/>
      <c r="Y52" s="124"/>
      <c r="Z52" s="124"/>
      <c r="AA52" s="124"/>
      <c r="AB52" s="124"/>
      <c r="AC52" s="124"/>
      <c r="AD52" s="124"/>
      <c r="AE52" s="124"/>
      <c r="AF52" s="124"/>
      <c r="AG52" s="124"/>
      <c r="AH52" s="124"/>
      <c r="AI52" s="124"/>
      <c r="AJ52" s="124"/>
      <c r="AK52" s="124"/>
      <c r="AL52" s="124"/>
      <c r="AM52" s="124"/>
      <c r="AN52" s="124"/>
      <c r="AO52" s="124"/>
      <c r="AP52" s="124"/>
      <c r="AQ52" s="124"/>
      <c r="AR52" s="124"/>
      <c r="AS52" s="124"/>
      <c r="AT52" s="124"/>
      <c r="AU52" s="124"/>
      <c r="AV52" s="124"/>
      <c r="AW52" s="124"/>
      <c r="AX52" s="124"/>
      <c r="AY52" s="124"/>
      <c r="AZ52" s="124"/>
      <c r="BA52" s="124"/>
      <c r="BB52" s="136"/>
    </row>
    <row r="53" customFormat="false" ht="15.6" hidden="false" customHeight="false" outlineLevel="0" collapsed="false">
      <c r="A53" s="111" t="n">
        <f aca="false">IF(ISBLANK(VLOOKUP(D53,#REF!,3)),0,1)</f>
        <v>1</v>
      </c>
      <c r="B53" s="112" t="n">
        <f aca="false">IF(ISBLANK(D53),0,IF(ISBLANK(E53),0,IF(ISBLANK(F53),0,1)))</f>
        <v>0</v>
      </c>
      <c r="C53" s="128" t="n">
        <v>19</v>
      </c>
      <c r="D53" s="151"/>
      <c r="E53" s="151"/>
      <c r="F53" s="152"/>
      <c r="G53" s="156"/>
      <c r="H53" s="151"/>
      <c r="I53" s="151"/>
      <c r="J53" s="132" t="str">
        <f aca="false">IF(ISBLANK(D53),"",IF(VLOOKUP(D53,#REF!,2)=0,"",IF(D53&gt;#REF!,"Mauvais numéro",IF(D53&lt;#REF!,"Mauvais numéro",(VLOOKUP(D53,#REF!,3))))))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57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49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24"/>
      <c r="U53" s="124"/>
      <c r="V53" s="124"/>
      <c r="W53" s="124"/>
      <c r="X53" s="12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24"/>
      <c r="AJ53" s="124"/>
      <c r="AK53" s="124"/>
      <c r="AL53" s="124"/>
      <c r="AM53" s="124"/>
      <c r="AN53" s="124"/>
      <c r="AO53" s="124"/>
      <c r="AP53" s="124"/>
      <c r="AQ53" s="124"/>
      <c r="AR53" s="124"/>
      <c r="AS53" s="124"/>
      <c r="AT53" s="124"/>
      <c r="AU53" s="124"/>
      <c r="AV53" s="124"/>
      <c r="AW53" s="124"/>
      <c r="AX53" s="124"/>
      <c r="AY53" s="124"/>
      <c r="AZ53" s="124"/>
      <c r="BA53" s="124"/>
      <c r="BB53" s="136"/>
    </row>
    <row r="54" customFormat="false" ht="15.6" hidden="false" customHeight="false" outlineLevel="0" collapsed="false">
      <c r="A54" s="111" t="n">
        <f aca="false">IF(ISBLANK(VLOOKUP(D54,#REF!,3)),0,1)</f>
        <v>1</v>
      </c>
      <c r="B54" s="112" t="n">
        <f aca="false">IF(ISBLANK(D54),0,IF(ISBLANK(E54),0,IF(ISBLANK(F54),0,1)))</f>
        <v>0</v>
      </c>
      <c r="C54" s="128" t="n">
        <v>20</v>
      </c>
      <c r="D54" s="151"/>
      <c r="E54" s="151"/>
      <c r="F54" s="152"/>
      <c r="G54" s="156"/>
      <c r="H54" s="151"/>
      <c r="I54" s="151"/>
      <c r="J54" s="132" t="str">
        <f aca="false">IF(ISBLANK(D54),"",IF(VLOOKUP(D54,#REF!,2)=0,"",IF(D54&gt;#REF!,"Mauvais numéro",IF(D54&lt;#REF!,"Mauvais numéro",(VLOOKUP(D54,#REF!,3))))))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57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49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4"/>
      <c r="U54" s="124"/>
      <c r="V54" s="124"/>
      <c r="W54" s="124"/>
      <c r="X54" s="124"/>
      <c r="Y54" s="124"/>
      <c r="Z54" s="124"/>
      <c r="AA54" s="124"/>
      <c r="AB54" s="124"/>
      <c r="AC54" s="124"/>
      <c r="AD54" s="124"/>
      <c r="AE54" s="124"/>
      <c r="AF54" s="124"/>
      <c r="AG54" s="124"/>
      <c r="AH54" s="124"/>
      <c r="AI54" s="124"/>
      <c r="AJ54" s="124"/>
      <c r="AK54" s="124"/>
      <c r="AL54" s="124"/>
      <c r="AM54" s="124"/>
      <c r="AN54" s="124"/>
      <c r="AO54" s="124"/>
      <c r="AP54" s="124"/>
      <c r="AQ54" s="124"/>
      <c r="AR54" s="124"/>
      <c r="AS54" s="124"/>
      <c r="AT54" s="124"/>
      <c r="AU54" s="124"/>
      <c r="AV54" s="124"/>
      <c r="AW54" s="124"/>
      <c r="AX54" s="124"/>
      <c r="AY54" s="124"/>
      <c r="AZ54" s="124"/>
      <c r="BA54" s="124"/>
      <c r="BB54" s="136"/>
    </row>
    <row r="55" customFormat="false" ht="15.6" hidden="false" customHeight="false" outlineLevel="0" collapsed="false">
      <c r="A55" s="111" t="n">
        <f aca="false">IF(ISBLANK(VLOOKUP(D55,#REF!,3)),0,1)</f>
        <v>1</v>
      </c>
      <c r="B55" s="112" t="n">
        <f aca="false">IF(ISBLANK(D55),0,IF(ISBLANK(E55),0,IF(ISBLANK(F55),0,1)))</f>
        <v>0</v>
      </c>
      <c r="C55" s="128" t="n">
        <v>21</v>
      </c>
      <c r="D55" s="151"/>
      <c r="E55" s="151"/>
      <c r="F55" s="152"/>
      <c r="G55" s="156"/>
      <c r="H55" s="151"/>
      <c r="I55" s="151"/>
      <c r="J55" s="132" t="str">
        <f aca="false">IF(ISBLANK(D55),"",IF(VLOOKUP(D55,#REF!,2)=0,"",IF(D55&gt;#REF!,"Mauvais numéro",IF(D55&lt;#REF!,"Mauvais numéro",(VLOOKUP(D55,#REF!,3))))))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57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49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24"/>
      <c r="U55" s="124"/>
      <c r="V55" s="124"/>
      <c r="W55" s="124"/>
      <c r="X55" s="124"/>
      <c r="Y55" s="124"/>
      <c r="Z55" s="124"/>
      <c r="AA55" s="124"/>
      <c r="AB55" s="124"/>
      <c r="AC55" s="124"/>
      <c r="AD55" s="124"/>
      <c r="AE55" s="124"/>
      <c r="AF55" s="124"/>
      <c r="AG55" s="124"/>
      <c r="AH55" s="124"/>
      <c r="AI55" s="124"/>
      <c r="AJ55" s="124"/>
      <c r="AK55" s="124"/>
      <c r="AL55" s="124"/>
      <c r="AM55" s="124"/>
      <c r="AN55" s="124"/>
      <c r="AO55" s="124"/>
      <c r="AP55" s="124"/>
      <c r="AQ55" s="124"/>
      <c r="AR55" s="124"/>
      <c r="AS55" s="124"/>
      <c r="AT55" s="124"/>
      <c r="AU55" s="124"/>
      <c r="AV55" s="124"/>
      <c r="AW55" s="124"/>
      <c r="AX55" s="124"/>
      <c r="AY55" s="124"/>
      <c r="AZ55" s="124"/>
      <c r="BA55" s="124"/>
      <c r="BB55" s="136"/>
    </row>
    <row r="56" customFormat="false" ht="15.6" hidden="false" customHeight="false" outlineLevel="0" collapsed="false">
      <c r="A56" s="111" t="n">
        <f aca="false">IF(ISBLANK(VLOOKUP(D56,#REF!,3)),0,1)</f>
        <v>1</v>
      </c>
      <c r="B56" s="112" t="n">
        <f aca="false">IF(ISBLANK(D56),0,IF(ISBLANK(E56),0,IF(ISBLANK(F56),0,1)))</f>
        <v>0</v>
      </c>
      <c r="C56" s="128" t="n">
        <v>22</v>
      </c>
      <c r="D56" s="151"/>
      <c r="E56" s="151"/>
      <c r="F56" s="152"/>
      <c r="G56" s="156"/>
      <c r="H56" s="151"/>
      <c r="I56" s="151"/>
      <c r="J56" s="132" t="str">
        <f aca="false">IF(ISBLANK(D56),"",IF(VLOOKUP(D56,#REF!,2)=0,"",IF(D56&gt;#REF!,"Mauvais numéro",IF(D56&lt;#REF!,"Mauvais numéro",(VLOOKUP(D56,#REF!,3))))))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57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49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24"/>
      <c r="AE56" s="124"/>
      <c r="AF56" s="124"/>
      <c r="AG56" s="124"/>
      <c r="AH56" s="124"/>
      <c r="AI56" s="124"/>
      <c r="AJ56" s="124"/>
      <c r="AK56" s="124"/>
      <c r="AL56" s="124"/>
      <c r="AM56" s="124"/>
      <c r="AN56" s="124"/>
      <c r="AO56" s="124"/>
      <c r="AP56" s="124"/>
      <c r="AQ56" s="124"/>
      <c r="AR56" s="124"/>
      <c r="AS56" s="124"/>
      <c r="AT56" s="124"/>
      <c r="AU56" s="124"/>
      <c r="AV56" s="124"/>
      <c r="AW56" s="124"/>
      <c r="AX56" s="124"/>
      <c r="AY56" s="124"/>
      <c r="AZ56" s="124"/>
      <c r="BA56" s="124"/>
      <c r="BB56" s="136"/>
    </row>
    <row r="57" customFormat="false" ht="15.6" hidden="false" customHeight="false" outlineLevel="0" collapsed="false">
      <c r="A57" s="111" t="n">
        <f aca="false">IF(ISBLANK(VLOOKUP(D57,#REF!,3)),0,1)</f>
        <v>1</v>
      </c>
      <c r="B57" s="112" t="n">
        <f aca="false">IF(ISBLANK(D57),0,IF(ISBLANK(E57),0,IF(ISBLANK(F57),0,1)))</f>
        <v>0</v>
      </c>
      <c r="C57" s="128" t="n">
        <v>23</v>
      </c>
      <c r="D57" s="151"/>
      <c r="E57" s="151"/>
      <c r="F57" s="152"/>
      <c r="G57" s="156"/>
      <c r="H57" s="151"/>
      <c r="I57" s="151"/>
      <c r="J57" s="132" t="str">
        <f aca="false">IF(ISBLANK(D57),"",IF(VLOOKUP(D57,#REF!,2)=0,"",IF(D57&gt;#REF!,"Mauvais numéro",IF(D57&lt;#REF!,"Mauvais numéro",(VLOOKUP(D57,#REF!,3))))))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57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49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4"/>
      <c r="U57" s="124"/>
      <c r="V57" s="124"/>
      <c r="W57" s="124"/>
      <c r="X57" s="124"/>
      <c r="Y57" s="124"/>
      <c r="Z57" s="124"/>
      <c r="AA57" s="124"/>
      <c r="AB57" s="124"/>
      <c r="AC57" s="124"/>
      <c r="AD57" s="124"/>
      <c r="AE57" s="124"/>
      <c r="AF57" s="124"/>
      <c r="AG57" s="124"/>
      <c r="AH57" s="124"/>
      <c r="AI57" s="124"/>
      <c r="AJ57" s="124"/>
      <c r="AK57" s="124"/>
      <c r="AL57" s="124"/>
      <c r="AM57" s="124"/>
      <c r="AN57" s="124"/>
      <c r="AO57" s="124"/>
      <c r="AP57" s="124"/>
      <c r="AQ57" s="124"/>
      <c r="AR57" s="124"/>
      <c r="AS57" s="124"/>
      <c r="AT57" s="124"/>
      <c r="AU57" s="124"/>
      <c r="AV57" s="124"/>
      <c r="AW57" s="124"/>
      <c r="AX57" s="124"/>
      <c r="AY57" s="124"/>
      <c r="AZ57" s="124"/>
      <c r="BA57" s="124"/>
      <c r="BB57" s="136"/>
    </row>
    <row r="58" customFormat="false" ht="16.2" hidden="false" customHeight="false" outlineLevel="0" collapsed="false">
      <c r="A58" s="111" t="n">
        <f aca="false">IF(ISBLANK(VLOOKUP(D58,#REF!,3)),0,1)</f>
        <v>1</v>
      </c>
      <c r="B58" s="112" t="n">
        <f aca="false">IF(ISBLANK(D58),0,IF(ISBLANK(E58),0,IF(ISBLANK(F58),0,1)))</f>
        <v>0</v>
      </c>
      <c r="C58" s="158" t="n">
        <v>24</v>
      </c>
      <c r="D58" s="159"/>
      <c r="E58" s="159"/>
      <c r="F58" s="160"/>
      <c r="G58" s="161"/>
      <c r="H58" s="159"/>
      <c r="I58" s="159"/>
      <c r="J58" s="162" t="str">
        <f aca="false">IF(ISBLANK(D58),"",IF(VLOOKUP(D58,#REF!,2)=0,"",IF(D58&gt;#REF!,"Mauvais numéro",IF(D58&lt;#REF!,"Mauvais numéro",(VLOOKUP(D58,#REF!,3))))))</f>
        <v/>
      </c>
      <c r="K58" s="163" t="str">
        <f aca="false">IF(ISBLANK(E58),"",(0.000824493-(0.0000040899*E58)+(0.000000076438*E58^2)-(0.00000000082467*E58^3)+(0.0000000000053875*E58^4)))</f>
        <v/>
      </c>
      <c r="L58" s="163" t="str">
        <f aca="false">IF(ISBLANK(E58),"",(-0.00000572466+(0.00000010227*E58)-(0.0000000016546*E58^2)))</f>
        <v/>
      </c>
      <c r="M58" s="163" t="str">
        <f aca="false">IF(ISBLANK(E58),"",IF(ISBLANK(G58),(O58+(K58*35)+(L58*35^1.5)+(0.00000048314*35^2)),(O58+(K58*G58)+(L58*G58^1.5)+(0.00000048314*G58^2))))</f>
        <v/>
      </c>
      <c r="N58" s="164" t="str">
        <f aca="false">IF(ISBLANK(D58),"",IF(ISBLANK(G58),J58*(1+0.00001*(35-20)),J58*(1+0.00001*(G58-20))))</f>
        <v/>
      </c>
      <c r="O58" s="163" t="str">
        <f aca="false">IF(ISBLANK(E58),"",(0.999842594+(0.00006793952*E58)-(0.00000909529*E58^2)+(0.0000001001685*E58^3)-(0.000000001120083*E58^4)+(0.000000000006536332*E58^5)))</f>
        <v/>
      </c>
      <c r="P58" s="165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66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7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7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68"/>
      <c r="U58" s="168"/>
      <c r="V58" s="168"/>
      <c r="W58" s="168"/>
      <c r="X58" s="168"/>
      <c r="Y58" s="168"/>
      <c r="Z58" s="168"/>
      <c r="AA58" s="168"/>
      <c r="AB58" s="168"/>
      <c r="AC58" s="168"/>
      <c r="AD58" s="168"/>
      <c r="AE58" s="168"/>
      <c r="AF58" s="168"/>
      <c r="AG58" s="168"/>
      <c r="AH58" s="168"/>
      <c r="AI58" s="168"/>
      <c r="AJ58" s="168"/>
      <c r="AK58" s="168"/>
      <c r="AL58" s="168"/>
      <c r="AM58" s="168"/>
      <c r="AN58" s="168"/>
      <c r="AO58" s="168"/>
      <c r="AP58" s="168"/>
      <c r="AQ58" s="168"/>
      <c r="AR58" s="168"/>
      <c r="AS58" s="168"/>
      <c r="AT58" s="168"/>
      <c r="AU58" s="168"/>
      <c r="AV58" s="168"/>
      <c r="AW58" s="168"/>
      <c r="AX58" s="168"/>
      <c r="AY58" s="168"/>
      <c r="AZ58" s="168"/>
      <c r="BA58" s="168"/>
      <c r="BB58" s="169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7"/>
  <sheetViews>
    <sheetView windowProtection="false" showFormulas="false" showGridLines="true" showRowColHeaders="true" showZeros="true" rightToLeft="false" tabSelected="false" showOutlineSymbols="true" defaultGridColor="true" view="normal" topLeftCell="R1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8178137651822"/>
    <col collapsed="false" hidden="false" max="32" min="32" style="0" width="9.10526315789474"/>
    <col collapsed="false" hidden="false" max="33" min="33" style="0" width="26.5668016194332"/>
    <col collapsed="false" hidden="false" max="34" min="34" style="0" width="12.8542510121458"/>
    <col collapsed="false" hidden="false" max="35" min="35" style="0" width="11.1417004048583"/>
    <col collapsed="false" hidden="false" max="36" min="36" style="0" width="14.5668016194332"/>
    <col collapsed="false" hidden="false" max="37" min="37" style="0" width="12.2105263157895"/>
    <col collapsed="false" hidden="false" max="38" min="38" style="0" width="26.995951417004"/>
    <col collapsed="false" hidden="false" max="39" min="39" style="0" width="14.6761133603239"/>
    <col collapsed="false" hidden="false" max="40" min="40" style="0" width="11.3562753036437"/>
    <col collapsed="false" hidden="false" max="41" min="41" style="0" width="12.5344129554656"/>
    <col collapsed="false" hidden="false" max="42" min="42" style="0" width="10.7125506072875"/>
    <col collapsed="false" hidden="false" max="43" min="43" style="0" width="6.31983805668016"/>
    <col collapsed="false" hidden="false" max="44" min="44" style="0" width="19.7085020242915"/>
    <col collapsed="false" hidden="false" max="45" min="45" style="0" width="13.0688259109312"/>
    <col collapsed="false" hidden="false" max="46" min="46" style="0" width="17.7813765182186"/>
    <col collapsed="false" hidden="false" max="47" min="47" style="0" width="14.6761133603239"/>
    <col collapsed="false" hidden="false" max="48" min="48" style="0" width="13.6032388663968"/>
    <col collapsed="false" hidden="false" max="49" min="49" style="0" width="13.7125506072874"/>
    <col collapsed="false" hidden="false" max="50" min="50" style="0" width="19.9230769230769"/>
    <col collapsed="false" hidden="false" max="51" min="51" style="0" width="13.2834008097166"/>
    <col collapsed="false" hidden="false" max="52" min="52" style="0" width="17.6761133603239"/>
    <col collapsed="false" hidden="false" max="53" min="53" style="0" width="13.3886639676113"/>
    <col collapsed="false" hidden="false" max="54" min="54" style="0" width="12.6396761133603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15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38543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6</v>
      </c>
      <c r="J9" s="29" t="n">
        <v>0.4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-6°0,4</v>
      </c>
      <c r="P9" s="29" t="s">
        <v>15</v>
      </c>
      <c r="Q9" s="33" t="n">
        <f aca="false">IF(ISBLANK(I9),"",IF(ISBLANK(J9),"",IF(J9&gt;60,"ERREUR !!",O11*(I9+(J9/60)))))</f>
        <v>-6.00666666666667</v>
      </c>
      <c r="R9" s="33"/>
    </row>
    <row r="10" customFormat="false" ht="15" hidden="false" customHeight="true" outlineLevel="0" collapsed="false">
      <c r="C10" s="21"/>
      <c r="D10" s="18"/>
      <c r="G10" s="27" t="s">
        <v>16</v>
      </c>
      <c r="H10" s="27"/>
      <c r="I10" s="28" t="n">
        <v>10</v>
      </c>
      <c r="J10" s="29" t="n">
        <v>2.17</v>
      </c>
      <c r="K10" s="30" t="s">
        <v>12</v>
      </c>
      <c r="L10" s="31" t="str">
        <f aca="false">IF(P10=N9,"+","-")</f>
        <v>-</v>
      </c>
      <c r="M10" s="30" t="s">
        <v>15</v>
      </c>
      <c r="N10" s="30" t="s">
        <v>17</v>
      </c>
      <c r="O10" s="34" t="str">
        <f aca="false">IF(ISBLANK(I10),"",IF(ISBLANK(J10),"",IF(P10=N10,L10&amp;N12,N12)))</f>
        <v>-10°2,17</v>
      </c>
      <c r="P10" s="29" t="s">
        <v>17</v>
      </c>
      <c r="Q10" s="33" t="n">
        <f aca="false">IF(ISBLANK(I10),"",IF(ISBLANK(J10),"",IF(J10&gt;60,"ERREUR !!",O12*(I10+(J10/60)))))</f>
        <v>-10.0361666666667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38542</v>
      </c>
      <c r="K11" s="38"/>
      <c r="L11" s="38"/>
      <c r="M11" s="38"/>
      <c r="N11" s="39" t="str">
        <f aca="false">I9&amp;"°"&amp;J9</f>
        <v>6°0,4</v>
      </c>
      <c r="O11" s="40" t="n">
        <f aca="false">IF(P9=M10,-1,1)</f>
        <v>-1</v>
      </c>
      <c r="P11" s="41" t="str">
        <f aca="false">TEXT(J11,"aaaa-mm-jj")&amp;"T"&amp;TEXT(J12,"hh:mm:ss")&amp;"z"</f>
        <v>2009-07-10T21:00:00z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0.875</v>
      </c>
      <c r="K12" s="45"/>
      <c r="L12" s="45"/>
      <c r="M12" s="45"/>
      <c r="N12" s="46" t="str">
        <f aca="false">I10&amp;"°"&amp;J10</f>
        <v>10°2,17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e">
        <f aca="false">$P$24*($P$18/#REF!)</f>
        <v>#REF!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e">
        <f aca="false">5+#REF!</f>
        <v>#REF!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e">
        <f aca="false">P20*(1+0.00001*(R14-20))</f>
        <v>#REF!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e">
        <f aca="false">MAX(#REF!)</f>
        <v>#VALUE!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e">
        <f aca="false">2+(#REF!+#REF!)</f>
        <v>#REF!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52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53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IF(ISBLANK(VLOOKUP(D35,#REF!,3)),0,1)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n">
        <v>34.9435</v>
      </c>
      <c r="H35" s="118" t="n">
        <v>2000</v>
      </c>
      <c r="I35" s="119" t="n">
        <v>2004.1</v>
      </c>
      <c r="J35" s="120"/>
      <c r="K35" s="121"/>
      <c r="L35" s="121"/>
      <c r="M35" s="121"/>
      <c r="N35" s="122"/>
      <c r="O35" s="121"/>
      <c r="P35" s="171" t="n">
        <v>5.42</v>
      </c>
      <c r="Q35" s="120"/>
      <c r="R35" s="120"/>
      <c r="S35" s="172" t="n">
        <v>235.6</v>
      </c>
      <c r="T35" s="32" t="n">
        <v>0.02</v>
      </c>
      <c r="U35" s="32" t="n">
        <v>0.02</v>
      </c>
      <c r="V35" s="32"/>
      <c r="W35" s="32"/>
      <c r="X35" s="125" t="n">
        <v>21.6</v>
      </c>
      <c r="Y35" s="125" t="n">
        <v>21.1</v>
      </c>
      <c r="Z35" s="32" t="n">
        <v>1.58</v>
      </c>
      <c r="AA35" s="32" t="n">
        <v>1.54</v>
      </c>
      <c r="AB35" s="125" t="n">
        <v>26.5</v>
      </c>
      <c r="AC35" s="125" t="n">
        <v>25.9</v>
      </c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7"/>
    </row>
    <row r="36" customFormat="false" ht="15.6" hidden="false" customHeight="false" outlineLevel="0" collapsed="false">
      <c r="A36" s="111" t="n">
        <f aca="false">IF(ISBLANK(VLOOKUP(D36,#REF!,3)),0,1)</f>
        <v>1</v>
      </c>
      <c r="B36" s="112" t="n">
        <f aca="false">IF(ISBLANK(D36),0,IF(ISBLANK(E36),0,IF(ISBLANK(F36),0,1)))</f>
        <v>0</v>
      </c>
      <c r="C36" s="128" t="n">
        <v>2</v>
      </c>
      <c r="D36" s="129"/>
      <c r="E36" s="129"/>
      <c r="F36" s="130"/>
      <c r="G36" s="117" t="n">
        <v>34.5725</v>
      </c>
      <c r="H36" s="131" t="n">
        <v>1000</v>
      </c>
      <c r="I36" s="119" t="n">
        <v>992.2</v>
      </c>
      <c r="J36" s="132"/>
      <c r="K36" s="133"/>
      <c r="L36" s="133"/>
      <c r="M36" s="133"/>
      <c r="N36" s="134"/>
      <c r="O36" s="133"/>
      <c r="P36" s="171" t="n">
        <v>3.489</v>
      </c>
      <c r="Q36" s="132"/>
      <c r="R36" s="132"/>
      <c r="S36" s="172" t="n">
        <v>151.7</v>
      </c>
      <c r="T36" s="32" t="n">
        <v>0.02</v>
      </c>
      <c r="U36" s="32" t="n">
        <v>0.02</v>
      </c>
      <c r="V36" s="32"/>
      <c r="W36" s="32"/>
      <c r="X36" s="125" t="n">
        <v>34.4</v>
      </c>
      <c r="Y36" s="125" t="n">
        <v>33.6</v>
      </c>
      <c r="Z36" s="32" t="n">
        <v>2.29</v>
      </c>
      <c r="AA36" s="32" t="n">
        <v>2.24</v>
      </c>
      <c r="AB36" s="125" t="n">
        <v>33.9</v>
      </c>
      <c r="AC36" s="125" t="n">
        <v>33.2</v>
      </c>
      <c r="AD36" s="124"/>
      <c r="AE36" s="124"/>
      <c r="AF36" s="124"/>
      <c r="AG36" s="124"/>
      <c r="AH36" s="124"/>
      <c r="AI36" s="124"/>
      <c r="AJ36" s="124"/>
      <c r="AK36" s="124"/>
      <c r="AL36" s="124"/>
      <c r="AM36" s="124"/>
      <c r="AN36" s="124"/>
      <c r="AO36" s="124"/>
      <c r="AP36" s="124"/>
      <c r="AQ36" s="124"/>
      <c r="AR36" s="124"/>
      <c r="AS36" s="124"/>
      <c r="AT36" s="124"/>
      <c r="AU36" s="124"/>
      <c r="AV36" s="124"/>
      <c r="AW36" s="124"/>
      <c r="AX36" s="124"/>
      <c r="AY36" s="124"/>
      <c r="AZ36" s="124"/>
      <c r="BA36" s="124"/>
      <c r="BB36" s="136"/>
    </row>
    <row r="37" customFormat="false" ht="15.6" hidden="false" customHeight="false" outlineLevel="0" collapsed="false">
      <c r="A37" s="111" t="n">
        <f aca="false">IF(ISBLANK(VLOOKUP(D37,#REF!,3)),0,1)</f>
        <v>1</v>
      </c>
      <c r="B37" s="112" t="n">
        <f aca="false">IF(ISBLANK(D37),0,IF(ISBLANK(E37),0,IF(ISBLANK(F37),0,1)))</f>
        <v>0</v>
      </c>
      <c r="C37" s="128" t="n">
        <v>3</v>
      </c>
      <c r="D37" s="129"/>
      <c r="E37" s="129"/>
      <c r="F37" s="137"/>
      <c r="G37" s="117" t="n">
        <v>34.6615</v>
      </c>
      <c r="H37" s="131" t="n">
        <v>500</v>
      </c>
      <c r="I37" s="119" t="n">
        <v>500.1</v>
      </c>
      <c r="J37" s="132"/>
      <c r="K37" s="133"/>
      <c r="L37" s="133"/>
      <c r="M37" s="133"/>
      <c r="N37" s="134"/>
      <c r="O37" s="133"/>
      <c r="P37" s="171" t="n">
        <v>1.605</v>
      </c>
      <c r="Q37" s="132"/>
      <c r="R37" s="132"/>
      <c r="S37" s="172" t="n">
        <v>69.8</v>
      </c>
      <c r="T37" s="32" t="n">
        <v>0.02</v>
      </c>
      <c r="U37" s="32" t="n">
        <v>0.02</v>
      </c>
      <c r="V37" s="32"/>
      <c r="W37" s="32"/>
      <c r="X37" s="125" t="n">
        <v>38.6</v>
      </c>
      <c r="Y37" s="125" t="n">
        <v>37.7</v>
      </c>
      <c r="Z37" s="32" t="n">
        <v>2.34</v>
      </c>
      <c r="AA37" s="32" t="n">
        <v>2.29</v>
      </c>
      <c r="AB37" s="125" t="n">
        <v>21.4</v>
      </c>
      <c r="AC37" s="125" t="n">
        <v>21</v>
      </c>
      <c r="AD37" s="124"/>
      <c r="AE37" s="124"/>
      <c r="AF37" s="124"/>
      <c r="AG37" s="124"/>
      <c r="AH37" s="124"/>
      <c r="AI37" s="124"/>
      <c r="AJ37" s="124"/>
      <c r="AK37" s="124"/>
      <c r="AL37" s="124"/>
      <c r="AM37" s="124"/>
      <c r="AN37" s="124"/>
      <c r="AO37" s="124"/>
      <c r="AP37" s="124"/>
      <c r="AQ37" s="124"/>
      <c r="AR37" s="124"/>
      <c r="AS37" s="124"/>
      <c r="AT37" s="124"/>
      <c r="AU37" s="124"/>
      <c r="AV37" s="124"/>
      <c r="AW37" s="124"/>
      <c r="AX37" s="124"/>
      <c r="AY37" s="124"/>
      <c r="AZ37" s="124"/>
      <c r="BA37" s="124"/>
      <c r="BB37" s="136"/>
    </row>
    <row r="38" customFormat="false" ht="16.2" hidden="false" customHeight="false" outlineLevel="0" collapsed="false">
      <c r="A38" s="111" t="n">
        <f aca="false">IF(ISBLANK(VLOOKUP(D38,#REF!,3)),0,1)</f>
        <v>1</v>
      </c>
      <c r="B38" s="112" t="n">
        <f aca="false">IF(ISBLANK(D38),0,IF(ISBLANK(E38),0,IF(ISBLANK(F38),0,1)))</f>
        <v>0</v>
      </c>
      <c r="C38" s="128" t="n">
        <v>4</v>
      </c>
      <c r="D38" s="138"/>
      <c r="E38" s="138"/>
      <c r="F38" s="139"/>
      <c r="G38" s="117" t="n">
        <v>35.7181</v>
      </c>
      <c r="H38" s="131" t="n">
        <v>100</v>
      </c>
      <c r="I38" s="119" t="n">
        <v>101.9</v>
      </c>
      <c r="J38" s="132"/>
      <c r="K38" s="133"/>
      <c r="L38" s="133"/>
      <c r="M38" s="133"/>
      <c r="N38" s="134"/>
      <c r="O38" s="133"/>
      <c r="P38" s="171" t="n">
        <v>2.392</v>
      </c>
      <c r="Q38" s="132"/>
      <c r="R38" s="132"/>
      <c r="S38" s="172" t="n">
        <v>104.1</v>
      </c>
      <c r="T38" s="32" t="n">
        <v>0.07</v>
      </c>
      <c r="U38" s="32" t="n">
        <v>0.07</v>
      </c>
      <c r="V38" s="32"/>
      <c r="W38" s="32"/>
      <c r="X38" s="125" t="n">
        <v>17.8</v>
      </c>
      <c r="Y38" s="125" t="n">
        <v>17.4</v>
      </c>
      <c r="Z38" s="32" t="n">
        <v>1.16</v>
      </c>
      <c r="AA38" s="32" t="n">
        <v>1.13</v>
      </c>
      <c r="AB38" s="125" t="n">
        <v>5.5</v>
      </c>
      <c r="AC38" s="125" t="n">
        <v>5.4</v>
      </c>
      <c r="AD38" s="124"/>
      <c r="AE38" s="124"/>
      <c r="AF38" s="124"/>
      <c r="AG38" s="124"/>
      <c r="AH38" s="124"/>
      <c r="AI38" s="124"/>
      <c r="AJ38" s="124"/>
      <c r="AK38" s="124"/>
      <c r="AL38" s="124"/>
      <c r="AM38" s="124"/>
      <c r="AN38" s="124"/>
      <c r="AO38" s="124"/>
      <c r="AP38" s="124"/>
      <c r="AQ38" s="124"/>
      <c r="AR38" s="124"/>
      <c r="AS38" s="124"/>
      <c r="AT38" s="124"/>
      <c r="AU38" s="124"/>
      <c r="AV38" s="124"/>
      <c r="AW38" s="124"/>
      <c r="AX38" s="124"/>
      <c r="AY38" s="124"/>
      <c r="AZ38" s="124"/>
      <c r="BA38" s="124"/>
      <c r="BB38" s="136"/>
    </row>
    <row r="39" customFormat="false" ht="15.6" hidden="false" customHeight="false" outlineLevel="0" collapsed="false">
      <c r="A39" s="111" t="n">
        <f aca="false">IF(ISBLANK(VLOOKUP(D39,#REF!,3)),0,1)</f>
        <v>1</v>
      </c>
      <c r="B39" s="112" t="n">
        <f aca="false">IF(ISBLANK(D39),0,IF(ISBLANK(E39),0,IF(ISBLANK(F39),0,1)))</f>
        <v>0</v>
      </c>
      <c r="C39" s="128" t="n">
        <v>5</v>
      </c>
      <c r="D39" s="129"/>
      <c r="E39" s="129"/>
      <c r="F39" s="137"/>
      <c r="G39" s="117" t="n">
        <v>35.8721</v>
      </c>
      <c r="H39" s="131" t="n">
        <v>80</v>
      </c>
      <c r="I39" s="119" t="n">
        <v>81.7</v>
      </c>
      <c r="J39" s="132"/>
      <c r="K39" s="133"/>
      <c r="L39" s="133"/>
      <c r="M39" s="133"/>
      <c r="N39" s="134"/>
      <c r="O39" s="133"/>
      <c r="P39" s="171" t="n">
        <v>4.334</v>
      </c>
      <c r="Q39" s="132"/>
      <c r="R39" s="132"/>
      <c r="S39" s="172" t="n">
        <v>188.9</v>
      </c>
      <c r="T39" s="32" t="n">
        <v>0.13</v>
      </c>
      <c r="U39" s="32" t="n">
        <v>0.13</v>
      </c>
      <c r="V39" s="32"/>
      <c r="W39" s="32"/>
      <c r="X39" s="125" t="n">
        <v>1.4</v>
      </c>
      <c r="Y39" s="125" t="n">
        <v>1.4</v>
      </c>
      <c r="Z39" s="32" t="n">
        <v>0.28</v>
      </c>
      <c r="AA39" s="32" t="n">
        <v>0.28</v>
      </c>
      <c r="AB39" s="125" t="n">
        <v>2.1</v>
      </c>
      <c r="AC39" s="125" t="n">
        <v>2.1</v>
      </c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7"/>
    </row>
    <row r="40" customFormat="false" ht="15.6" hidden="false" customHeight="false" outlineLevel="0" collapsed="false">
      <c r="A40" s="111" t="n">
        <f aca="false">IF(ISBLANK(VLOOKUP(D40,#REF!,3)),0,1)</f>
        <v>1</v>
      </c>
      <c r="B40" s="112" t="n">
        <f aca="false">IF(ISBLANK(D40),0,IF(ISBLANK(E40),0,IF(ISBLANK(F40),0,1)))</f>
        <v>0</v>
      </c>
      <c r="C40" s="128" t="n">
        <v>6</v>
      </c>
      <c r="D40" s="129"/>
      <c r="E40" s="129"/>
      <c r="F40" s="137"/>
      <c r="G40" s="117" t="n">
        <v>35.7457</v>
      </c>
      <c r="H40" s="131" t="n">
        <v>60</v>
      </c>
      <c r="I40" s="119" t="n">
        <v>59</v>
      </c>
      <c r="J40" s="132"/>
      <c r="K40" s="133"/>
      <c r="L40" s="133"/>
      <c r="M40" s="133"/>
      <c r="N40" s="134"/>
      <c r="O40" s="133"/>
      <c r="P40" s="171" t="n">
        <v>4.682</v>
      </c>
      <c r="Q40" s="132"/>
      <c r="R40" s="132"/>
      <c r="S40" s="172" t="n">
        <v>204.2</v>
      </c>
      <c r="T40" s="32" t="n">
        <v>0.02</v>
      </c>
      <c r="U40" s="32" t="n">
        <v>0.02</v>
      </c>
      <c r="V40" s="32"/>
      <c r="W40" s="32"/>
      <c r="X40" s="125" t="n">
        <v>0</v>
      </c>
      <c r="Y40" s="125" t="n">
        <v>0</v>
      </c>
      <c r="Z40" s="32" t="n">
        <v>0.15</v>
      </c>
      <c r="AA40" s="32" t="n">
        <v>0.15</v>
      </c>
      <c r="AB40" s="125" t="n">
        <v>1.4</v>
      </c>
      <c r="AC40" s="125" t="n">
        <v>1.3</v>
      </c>
      <c r="AD40" s="124"/>
      <c r="AE40" s="124"/>
      <c r="AF40" s="124"/>
      <c r="AG40" s="124"/>
      <c r="AH40" s="124"/>
      <c r="AI40" s="124"/>
      <c r="AJ40" s="124"/>
      <c r="AK40" s="124"/>
      <c r="AL40" s="124"/>
      <c r="AM40" s="124"/>
      <c r="AN40" s="124"/>
      <c r="AO40" s="124"/>
      <c r="AP40" s="124"/>
      <c r="AQ40" s="124"/>
      <c r="AR40" s="124"/>
      <c r="AS40" s="124"/>
      <c r="AT40" s="124"/>
      <c r="AU40" s="124"/>
      <c r="AV40" s="124"/>
      <c r="AW40" s="124"/>
      <c r="AX40" s="124"/>
      <c r="AY40" s="124"/>
      <c r="AZ40" s="124"/>
      <c r="BA40" s="124"/>
      <c r="BB40" s="136"/>
    </row>
    <row r="41" customFormat="false" ht="15.6" hidden="false" customHeight="false" outlineLevel="0" collapsed="false">
      <c r="A41" s="111" t="n">
        <f aca="false">IF(ISBLANK(VLOOKUP(D41,#REF!,3)),0,1)</f>
        <v>1</v>
      </c>
      <c r="B41" s="112" t="n">
        <f aca="false">IF(ISBLANK(D41),0,IF(ISBLANK(E41),0,IF(ISBLANK(F41),0,1)))</f>
        <v>0</v>
      </c>
      <c r="C41" s="128" t="n">
        <v>7</v>
      </c>
      <c r="D41" s="129"/>
      <c r="E41" s="129"/>
      <c r="F41" s="137"/>
      <c r="G41" s="117" t="n">
        <v>35.6691</v>
      </c>
      <c r="H41" s="131" t="n">
        <v>40</v>
      </c>
      <c r="I41" s="119" t="n">
        <v>40.2</v>
      </c>
      <c r="J41" s="132"/>
      <c r="K41" s="133"/>
      <c r="L41" s="133"/>
      <c r="M41" s="133"/>
      <c r="N41" s="134"/>
      <c r="O41" s="133"/>
      <c r="P41" s="171" t="n">
        <v>4.651</v>
      </c>
      <c r="Q41" s="132"/>
      <c r="R41" s="132"/>
      <c r="S41" s="172" t="n">
        <v>202.9</v>
      </c>
      <c r="T41" s="32" t="n">
        <v>0.04</v>
      </c>
      <c r="U41" s="32" t="n">
        <v>0.03</v>
      </c>
      <c r="V41" s="32"/>
      <c r="W41" s="32"/>
      <c r="X41" s="125" t="n">
        <v>0</v>
      </c>
      <c r="Y41" s="125" t="n">
        <v>0</v>
      </c>
      <c r="Z41" s="32" t="n">
        <v>0.13</v>
      </c>
      <c r="AA41" s="32" t="n">
        <v>0.13</v>
      </c>
      <c r="AB41" s="125" t="n">
        <v>1.4</v>
      </c>
      <c r="AC41" s="125" t="n">
        <v>1.3</v>
      </c>
      <c r="AD41" s="124"/>
      <c r="AE41" s="124"/>
      <c r="AF41" s="124"/>
      <c r="AG41" s="124"/>
      <c r="AH41" s="124"/>
      <c r="AI41" s="124"/>
      <c r="AJ41" s="124"/>
      <c r="AK41" s="124"/>
      <c r="AL41" s="124"/>
      <c r="AM41" s="124"/>
      <c r="AN41" s="124"/>
      <c r="AO41" s="124"/>
      <c r="AP41" s="124"/>
      <c r="AQ41" s="124"/>
      <c r="AR41" s="124"/>
      <c r="AS41" s="124"/>
      <c r="AT41" s="124"/>
      <c r="AU41" s="124"/>
      <c r="AV41" s="124"/>
      <c r="AW41" s="124"/>
      <c r="AX41" s="124"/>
      <c r="AY41" s="124"/>
      <c r="AZ41" s="124"/>
      <c r="BA41" s="124"/>
      <c r="BB41" s="136"/>
    </row>
    <row r="42" customFormat="false" ht="16.2" hidden="false" customHeight="false" outlineLevel="0" collapsed="false">
      <c r="A42" s="111" t="n">
        <f aca="false">IF(ISBLANK(VLOOKUP(D42,#REF!,3)),0,1)</f>
        <v>1</v>
      </c>
      <c r="B42" s="112" t="n">
        <f aca="false">IF(ISBLANK(D42),0,IF(ISBLANK(E42),0,IF(ISBLANK(F42),0,1)))</f>
        <v>0</v>
      </c>
      <c r="C42" s="128" t="n">
        <v>8</v>
      </c>
      <c r="D42" s="129"/>
      <c r="E42" s="129"/>
      <c r="F42" s="137"/>
      <c r="G42" s="117" t="n">
        <v>35.4371</v>
      </c>
      <c r="H42" s="131" t="n">
        <v>20</v>
      </c>
      <c r="I42" s="119" t="n">
        <v>20.2</v>
      </c>
      <c r="J42" s="132"/>
      <c r="K42" s="133"/>
      <c r="L42" s="133"/>
      <c r="M42" s="133"/>
      <c r="N42" s="134"/>
      <c r="O42" s="133"/>
      <c r="P42" s="171" t="n">
        <v>4.594</v>
      </c>
      <c r="Q42" s="132"/>
      <c r="R42" s="132"/>
      <c r="S42" s="172" t="n">
        <v>200.5</v>
      </c>
      <c r="T42" s="32" t="n">
        <v>0.03</v>
      </c>
      <c r="U42" s="32" t="n">
        <v>0.03</v>
      </c>
      <c r="V42" s="32"/>
      <c r="W42" s="32"/>
      <c r="X42" s="125" t="n">
        <v>0</v>
      </c>
      <c r="Y42" s="125" t="n">
        <v>0</v>
      </c>
      <c r="Z42" s="32" t="n">
        <v>0.06</v>
      </c>
      <c r="AA42" s="32" t="n">
        <v>0.06</v>
      </c>
      <c r="AB42" s="125" t="n">
        <v>1.3</v>
      </c>
      <c r="AC42" s="125" t="n">
        <v>1.3</v>
      </c>
      <c r="AD42" s="124"/>
      <c r="AE42" s="124"/>
      <c r="AF42" s="124"/>
      <c r="AG42" s="124"/>
      <c r="AH42" s="124"/>
      <c r="AI42" s="124"/>
      <c r="AJ42" s="124"/>
      <c r="AK42" s="124"/>
      <c r="AL42" s="124"/>
      <c r="AM42" s="124"/>
      <c r="AN42" s="124"/>
      <c r="AO42" s="124"/>
      <c r="AP42" s="124"/>
      <c r="AQ42" s="124"/>
      <c r="AR42" s="124"/>
      <c r="AS42" s="124"/>
      <c r="AT42" s="124"/>
      <c r="AU42" s="124"/>
      <c r="AV42" s="124"/>
      <c r="AW42" s="124"/>
      <c r="AX42" s="124"/>
      <c r="AY42" s="124"/>
      <c r="AZ42" s="124"/>
      <c r="BA42" s="124"/>
      <c r="BB42" s="136"/>
    </row>
    <row r="43" customFormat="false" ht="15.6" hidden="false" customHeight="false" outlineLevel="0" collapsed="false">
      <c r="A43" s="111" t="n">
        <f aca="false">IF(ISBLANK(VLOOKUP(D43,#REF!,3)),0,1)</f>
        <v>1</v>
      </c>
      <c r="B43" s="112" t="n">
        <f aca="false">IF(ISBLANK(D43),0,IF(ISBLANK(E43),0,IF(ISBLANK(F43),0,1)))</f>
        <v>0</v>
      </c>
      <c r="C43" s="128" t="n">
        <v>9</v>
      </c>
      <c r="D43" s="129"/>
      <c r="E43" s="129"/>
      <c r="F43" s="137"/>
      <c r="G43" s="117" t="n">
        <v>35.4237</v>
      </c>
      <c r="H43" s="131" t="n">
        <v>10</v>
      </c>
      <c r="I43" s="119" t="n">
        <v>10.7</v>
      </c>
      <c r="J43" s="132"/>
      <c r="K43" s="133"/>
      <c r="L43" s="133"/>
      <c r="M43" s="133"/>
      <c r="N43" s="134"/>
      <c r="O43" s="133"/>
      <c r="P43" s="171" t="n">
        <v>4.612</v>
      </c>
      <c r="Q43" s="132"/>
      <c r="R43" s="132"/>
      <c r="S43" s="172" t="n">
        <v>201.2</v>
      </c>
      <c r="T43" s="32" t="n">
        <v>0.02</v>
      </c>
      <c r="U43" s="32" t="n">
        <v>0.02</v>
      </c>
      <c r="V43" s="32"/>
      <c r="W43" s="32"/>
      <c r="X43" s="125" t="n">
        <v>0</v>
      </c>
      <c r="Y43" s="125" t="n">
        <v>0</v>
      </c>
      <c r="Z43" s="32" t="n">
        <v>0.1</v>
      </c>
      <c r="AA43" s="32" t="n">
        <v>0.1</v>
      </c>
      <c r="AB43" s="125" t="n">
        <v>1.4</v>
      </c>
      <c r="AC43" s="125" t="n">
        <v>1.3</v>
      </c>
      <c r="AD43" s="126"/>
      <c r="AE43" s="126"/>
      <c r="AF43" s="126"/>
      <c r="AG43" s="126"/>
      <c r="AH43" s="126"/>
      <c r="AI43" s="126"/>
      <c r="AJ43" s="126"/>
      <c r="AK43" s="126"/>
      <c r="AL43" s="126"/>
      <c r="AM43" s="126"/>
      <c r="AN43" s="126"/>
      <c r="AO43" s="126"/>
      <c r="AP43" s="126"/>
      <c r="AQ43" s="126"/>
      <c r="AR43" s="126"/>
      <c r="AS43" s="126"/>
      <c r="AT43" s="126"/>
      <c r="AU43" s="126"/>
      <c r="AV43" s="126"/>
      <c r="AW43" s="126"/>
      <c r="AX43" s="126"/>
      <c r="AY43" s="126"/>
      <c r="AZ43" s="126"/>
      <c r="BA43" s="126"/>
      <c r="BB43" s="127"/>
    </row>
    <row r="44" customFormat="false" ht="15.6" hidden="false" customHeight="false" outlineLevel="0" collapsed="false">
      <c r="A44" s="111" t="n">
        <f aca="false">IF(ISBLANK(VLOOKUP(D44,#REF!,3)),0,1)</f>
        <v>1</v>
      </c>
      <c r="B44" s="112" t="n">
        <f aca="false">IF(ISBLANK(D44),0,IF(ISBLANK(E44),0,IF(ISBLANK(F44),0,1)))</f>
        <v>0</v>
      </c>
      <c r="C44" s="128" t="n">
        <v>10</v>
      </c>
      <c r="D44" s="129"/>
      <c r="E44" s="129"/>
      <c r="F44" s="137"/>
      <c r="G44" s="117" t="n">
        <v>35.4234</v>
      </c>
      <c r="H44" s="131" t="n">
        <v>0</v>
      </c>
      <c r="I44" s="119" t="n">
        <v>2.1</v>
      </c>
      <c r="J44" s="132"/>
      <c r="K44" s="133"/>
      <c r="L44" s="133"/>
      <c r="M44" s="133"/>
      <c r="N44" s="134"/>
      <c r="O44" s="133"/>
      <c r="P44" s="171" t="n">
        <v>4.631</v>
      </c>
      <c r="Q44" s="132"/>
      <c r="R44" s="132"/>
      <c r="S44" s="172" t="n">
        <v>202</v>
      </c>
      <c r="T44" s="32" t="n">
        <v>0.02</v>
      </c>
      <c r="U44" s="32" t="n">
        <v>0.02</v>
      </c>
      <c r="V44" s="32"/>
      <c r="W44" s="32"/>
      <c r="X44" s="125" t="n">
        <v>0</v>
      </c>
      <c r="Y44" s="125" t="n">
        <v>0</v>
      </c>
      <c r="Z44" s="32" t="n">
        <v>0.06</v>
      </c>
      <c r="AA44" s="32" t="n">
        <v>0.06</v>
      </c>
      <c r="AB44" s="125" t="n">
        <v>1.2</v>
      </c>
      <c r="AC44" s="125" t="n">
        <v>1.2</v>
      </c>
      <c r="AD44" s="124"/>
      <c r="AE44" s="124"/>
      <c r="AF44" s="124"/>
      <c r="AG44" s="124"/>
      <c r="AH44" s="124"/>
      <c r="AI44" s="124"/>
      <c r="AJ44" s="124"/>
      <c r="AK44" s="124"/>
      <c r="AL44" s="124"/>
      <c r="AM44" s="124"/>
      <c r="AN44" s="124"/>
      <c r="AO44" s="124"/>
      <c r="AP44" s="124"/>
      <c r="AQ44" s="124"/>
      <c r="AR44" s="124"/>
      <c r="AS44" s="124"/>
      <c r="AT44" s="124"/>
      <c r="AU44" s="124"/>
      <c r="AV44" s="124"/>
      <c r="AW44" s="124"/>
      <c r="AX44" s="124"/>
      <c r="AY44" s="124"/>
      <c r="AZ44" s="124"/>
      <c r="BA44" s="124"/>
      <c r="BB44" s="136"/>
    </row>
    <row r="45" customFormat="false" ht="15.6" hidden="false" customHeight="false" outlineLevel="0" collapsed="false">
      <c r="A45" s="111" t="n">
        <f aca="false">IF(ISBLANK(VLOOKUP(D45,#REF!,3)),0,1)</f>
        <v>1</v>
      </c>
      <c r="B45" s="112" t="n">
        <f aca="false">IF(ISBLANK(D45),0,IF(ISBLANK(E45),0,IF(ISBLANK(F45),0,1)))</f>
        <v>0</v>
      </c>
      <c r="C45" s="128" t="n">
        <v>11</v>
      </c>
      <c r="D45" s="129"/>
      <c r="E45" s="129"/>
      <c r="F45" s="137"/>
      <c r="G45" s="117" t="n">
        <v>35.4218</v>
      </c>
      <c r="H45" s="131" t="n">
        <v>0</v>
      </c>
      <c r="I45" s="119" t="n">
        <v>2.1</v>
      </c>
      <c r="J45" s="132"/>
      <c r="K45" s="133"/>
      <c r="L45" s="133"/>
      <c r="M45" s="133"/>
      <c r="N45" s="134"/>
      <c r="O45" s="133"/>
      <c r="P45" s="171" t="n">
        <v>4.628</v>
      </c>
      <c r="Q45" s="132"/>
      <c r="R45" s="132"/>
      <c r="S45" s="172" t="n">
        <v>201.9</v>
      </c>
      <c r="T45" s="32" t="n">
        <v>0.02</v>
      </c>
      <c r="U45" s="32" t="n">
        <v>0.02</v>
      </c>
      <c r="V45" s="32"/>
      <c r="W45" s="32"/>
      <c r="X45" s="125" t="n">
        <v>0</v>
      </c>
      <c r="Y45" s="125" t="n">
        <v>0</v>
      </c>
      <c r="Z45" s="32" t="n">
        <v>0.13</v>
      </c>
      <c r="AA45" s="32" t="n">
        <v>0.13</v>
      </c>
      <c r="AB45" s="125" t="n">
        <v>1.4</v>
      </c>
      <c r="AC45" s="125" t="n">
        <v>1.4</v>
      </c>
      <c r="AD45" s="124"/>
      <c r="AE45" s="124"/>
      <c r="AF45" s="124"/>
      <c r="AG45" s="124"/>
      <c r="AH45" s="124"/>
      <c r="AI45" s="124"/>
      <c r="AJ45" s="124"/>
      <c r="AK45" s="124"/>
      <c r="AL45" s="124"/>
      <c r="AM45" s="124"/>
      <c r="AN45" s="124"/>
      <c r="AO45" s="124"/>
      <c r="AP45" s="124"/>
      <c r="AQ45" s="124"/>
      <c r="AR45" s="124"/>
      <c r="AS45" s="124"/>
      <c r="AT45" s="124"/>
      <c r="AU45" s="124"/>
      <c r="AV45" s="124"/>
      <c r="AW45" s="124"/>
      <c r="AX45" s="124"/>
      <c r="AY45" s="124"/>
      <c r="AZ45" s="124"/>
      <c r="BA45" s="124"/>
      <c r="BB45" s="136"/>
    </row>
    <row r="46" customFormat="false" ht="15.6" hidden="false" customHeight="false" outlineLevel="0" collapsed="false">
      <c r="A46" s="111" t="n">
        <f aca="false">IF(ISBLANK(VLOOKUP(D46,#REF!,3)),0,1)</f>
        <v>1</v>
      </c>
      <c r="B46" s="112" t="n">
        <f aca="false">IF(ISBLANK(D46),0,IF(ISBLANK(E46),0,IF(ISBLANK(F46),0,1)))</f>
        <v>0</v>
      </c>
      <c r="C46" s="128" t="n">
        <v>13</v>
      </c>
      <c r="D46" s="151"/>
      <c r="E46" s="151"/>
      <c r="F46" s="152"/>
      <c r="G46" s="153"/>
      <c r="H46" s="151"/>
      <c r="I46" s="151"/>
      <c r="J46" s="132" t="str">
        <f aca="false">IF(ISBLANK(D46),"",IF(VLOOKUP(D46,#REF!,2)=0,"",IF(D46&gt;#REF!,"Mauvais numéro",IF(D46&lt;#REF!,"Mauvais numéro",(VLOOKUP(D46,#REF!,3))))))</f>
        <v/>
      </c>
      <c r="K46" s="133" t="str">
        <f aca="false">IF(ISBLANK(E46),"",(0.000824493-(0.0000040899*E46)+(0.000000076438*E46^2)-(0.00000000082467*E46^3)+(0.0000000000053875*E46^4)))</f>
        <v/>
      </c>
      <c r="L46" s="133" t="str">
        <f aca="false">IF(ISBLANK(E46),"",(-0.00000572466+(0.00000010227*E46)-(0.0000000016546*E46^2)))</f>
        <v/>
      </c>
      <c r="M46" s="133" t="str">
        <f aca="false">IF(ISBLANK(E46),"",IF(ISBLANK(G46),(O46+(K46*35)+(L46*35^1.5)+(0.00000048314*35^2)),(O46+(K46*G46)+(L46*G46^1.5)+(0.00000048314*G46^2))))</f>
        <v/>
      </c>
      <c r="N46" s="134" t="str">
        <f aca="false">IF(ISBLANK(D46),"",IF(ISBLANK(G46),J46*(1+0.00001*(35-20)),J46*(1+0.00001*(G46-20))))</f>
        <v/>
      </c>
      <c r="O46" s="133" t="str">
        <f aca="false">IF(ISBLANK(E46),"",(0.999842594+(0.00006793952*E46)-(0.00000909529*E46^2)+(0.0000001001685*E46^3)-(0.000000001120083*E46^4)+(0.000000000006536332*E46^5)))</f>
        <v/>
      </c>
      <c r="P46" s="154"/>
      <c r="Q46" s="149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5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4"/>
      <c r="T46" s="124"/>
      <c r="U46" s="124"/>
      <c r="V46" s="124"/>
      <c r="W46" s="124"/>
      <c r="X46" s="124"/>
      <c r="Y46" s="124"/>
      <c r="Z46" s="124"/>
      <c r="AA46" s="124"/>
      <c r="AB46" s="124"/>
      <c r="AC46" s="124"/>
      <c r="AD46" s="124"/>
      <c r="AE46" s="124"/>
      <c r="AF46" s="124"/>
      <c r="AG46" s="124"/>
      <c r="AH46" s="124"/>
      <c r="AI46" s="124"/>
      <c r="AJ46" s="124"/>
      <c r="AK46" s="124"/>
      <c r="AL46" s="124"/>
      <c r="AM46" s="124"/>
      <c r="AN46" s="124"/>
      <c r="AO46" s="124"/>
      <c r="AP46" s="124"/>
      <c r="AQ46" s="124"/>
      <c r="AR46" s="124"/>
      <c r="AS46" s="124"/>
      <c r="AT46" s="124"/>
      <c r="AU46" s="124"/>
      <c r="AV46" s="124"/>
      <c r="AW46" s="124"/>
      <c r="AX46" s="124"/>
      <c r="AY46" s="124"/>
      <c r="AZ46" s="124"/>
      <c r="BA46" s="124"/>
      <c r="BB46" s="136"/>
    </row>
    <row r="47" customFormat="false" ht="15.6" hidden="false" customHeight="false" outlineLevel="0" collapsed="false">
      <c r="A47" s="111" t="n">
        <f aca="false">IF(ISBLANK(VLOOKUP(D47,#REF!,3)),0,1)</f>
        <v>1</v>
      </c>
      <c r="B47" s="112" t="n">
        <f aca="false">IF(ISBLANK(D47),0,IF(ISBLANK(E47),0,IF(ISBLANK(F47),0,1)))</f>
        <v>0</v>
      </c>
      <c r="C47" s="128" t="n">
        <v>14</v>
      </c>
      <c r="D47" s="151"/>
      <c r="E47" s="151"/>
      <c r="F47" s="152"/>
      <c r="G47" s="153"/>
      <c r="H47" s="151"/>
      <c r="I47" s="151"/>
      <c r="J47" s="132" t="str">
        <f aca="false">IF(ISBLANK(D47),"",IF(VLOOKUP(D47,#REF!,2)=0,"",IF(D47&gt;#REF!,"Mauvais numéro",IF(D47&lt;#REF!,"Mauvais numéro",(VLOOKUP(D47,#REF!,3))))))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54"/>
      <c r="Q47" s="149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5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4"/>
      <c r="T47" s="124"/>
      <c r="U47" s="124"/>
      <c r="V47" s="124"/>
      <c r="W47" s="124"/>
      <c r="X47" s="12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24"/>
      <c r="AJ47" s="124"/>
      <c r="AK47" s="124"/>
      <c r="AL47" s="124"/>
      <c r="AM47" s="124"/>
      <c r="AN47" s="124"/>
      <c r="AO47" s="124"/>
      <c r="AP47" s="124"/>
      <c r="AQ47" s="124"/>
      <c r="AR47" s="124"/>
      <c r="AS47" s="124"/>
      <c r="AT47" s="124"/>
      <c r="AU47" s="124"/>
      <c r="AV47" s="124"/>
      <c r="AW47" s="124"/>
      <c r="AX47" s="124"/>
      <c r="AY47" s="124"/>
      <c r="AZ47" s="124"/>
      <c r="BA47" s="124"/>
      <c r="BB47" s="136"/>
    </row>
    <row r="48" customFormat="false" ht="15.6" hidden="false" customHeight="false" outlineLevel="0" collapsed="false">
      <c r="A48" s="111" t="n">
        <f aca="false">IF(ISBLANK(VLOOKUP(D48,#REF!,3)),0,1)</f>
        <v>1</v>
      </c>
      <c r="B48" s="112" t="n">
        <f aca="false">IF(ISBLANK(D48),0,IF(ISBLANK(E48),0,IF(ISBLANK(F48),0,1)))</f>
        <v>0</v>
      </c>
      <c r="C48" s="128" t="n">
        <v>15</v>
      </c>
      <c r="D48" s="151"/>
      <c r="E48" s="151"/>
      <c r="F48" s="152"/>
      <c r="G48" s="156"/>
      <c r="H48" s="151"/>
      <c r="I48" s="151"/>
      <c r="J48" s="132" t="str">
        <f aca="false">IF(ISBLANK(D48),"",IF(VLOOKUP(D48,#REF!,2)=0,"",IF(D48&gt;#REF!,"Mauvais numéro",IF(D48&lt;#REF!,"Mauvais numéro",(VLOOKUP(D48,#REF!,3))))))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57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N°",IF(AND(D48&gt;499,D48&lt;1141),"Err.N°",(((((F48)+#REF!)*(($P$21)*($P$19)*5598)/(($R$16)-($R$17)))-(($P$27)*1000))/((N48)-($P$26))))))))))))</f>
        <v/>
      </c>
      <c r="Q48" s="149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5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5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32"/>
      <c r="U48" s="32"/>
      <c r="V48" s="125"/>
      <c r="W48" s="125"/>
      <c r="X48" s="125"/>
      <c r="Y48" s="125"/>
      <c r="Z48" s="32"/>
      <c r="AA48" s="32"/>
      <c r="AB48" s="125"/>
      <c r="AC48" s="125"/>
      <c r="AD48" s="124"/>
      <c r="AE48" s="124"/>
      <c r="AF48" s="124"/>
      <c r="AG48" s="124"/>
      <c r="AH48" s="124"/>
      <c r="AI48" s="124"/>
      <c r="AJ48" s="124"/>
      <c r="AK48" s="124"/>
      <c r="AL48" s="124"/>
      <c r="AM48" s="124"/>
      <c r="AN48" s="124"/>
      <c r="AO48" s="124"/>
      <c r="AP48" s="124"/>
      <c r="AQ48" s="124"/>
      <c r="AR48" s="124"/>
      <c r="AS48" s="124"/>
      <c r="AT48" s="124"/>
      <c r="AU48" s="124"/>
      <c r="AV48" s="124"/>
      <c r="AW48" s="124"/>
      <c r="AX48" s="124"/>
      <c r="AY48" s="124"/>
      <c r="AZ48" s="124"/>
      <c r="BA48" s="124"/>
      <c r="BB48" s="136"/>
    </row>
    <row r="49" customFormat="false" ht="15.6" hidden="false" customHeight="false" outlineLevel="0" collapsed="false">
      <c r="A49" s="111" t="n">
        <f aca="false">IF(ISBLANK(VLOOKUP(D49,#REF!,3)),0,1)</f>
        <v>1</v>
      </c>
      <c r="B49" s="112" t="n">
        <f aca="false">IF(ISBLANK(D49),0,IF(ISBLANK(E49),0,IF(ISBLANK(F49),0,1)))</f>
        <v>0</v>
      </c>
      <c r="C49" s="128" t="n">
        <v>16</v>
      </c>
      <c r="D49" s="151"/>
      <c r="E49" s="151"/>
      <c r="F49" s="152"/>
      <c r="G49" s="156"/>
      <c r="H49" s="151"/>
      <c r="I49" s="151"/>
      <c r="J49" s="132" t="str">
        <f aca="false">IF(ISBLANK(D49),"",IF(VLOOKUP(D49,#REF!,2)=0,"",IF(D49&gt;#REF!,"Mauvais numéro",IF(D49&lt;#REF!,"Mauvais numéro",(VLOOKUP(D49,#REF!,3))))))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57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49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124"/>
      <c r="U49" s="124"/>
      <c r="V49" s="124"/>
      <c r="W49" s="124"/>
      <c r="X49" s="124"/>
      <c r="Y49" s="124"/>
      <c r="Z49" s="124"/>
      <c r="AA49" s="124"/>
      <c r="AB49" s="124"/>
      <c r="AC49" s="124"/>
      <c r="AD49" s="124"/>
      <c r="AE49" s="124"/>
      <c r="AF49" s="124"/>
      <c r="AG49" s="124"/>
      <c r="AH49" s="124"/>
      <c r="AI49" s="124"/>
      <c r="AJ49" s="124"/>
      <c r="AK49" s="124"/>
      <c r="AL49" s="124"/>
      <c r="AM49" s="124"/>
      <c r="AN49" s="124"/>
      <c r="AO49" s="124"/>
      <c r="AP49" s="124"/>
      <c r="AQ49" s="124"/>
      <c r="AR49" s="124"/>
      <c r="AS49" s="124"/>
      <c r="AT49" s="124"/>
      <c r="AU49" s="124"/>
      <c r="AV49" s="124"/>
      <c r="AW49" s="124"/>
      <c r="AX49" s="124"/>
      <c r="AY49" s="124"/>
      <c r="AZ49" s="124"/>
      <c r="BA49" s="124"/>
      <c r="BB49" s="136"/>
    </row>
    <row r="50" customFormat="false" ht="15.6" hidden="false" customHeight="false" outlineLevel="0" collapsed="false">
      <c r="A50" s="111" t="n">
        <f aca="false">IF(ISBLANK(VLOOKUP(D50,#REF!,3)),0,1)</f>
        <v>1</v>
      </c>
      <c r="B50" s="112" t="n">
        <f aca="false">IF(ISBLANK(D50),0,IF(ISBLANK(E50),0,IF(ISBLANK(F50),0,1)))</f>
        <v>0</v>
      </c>
      <c r="C50" s="128" t="n">
        <v>17</v>
      </c>
      <c r="D50" s="151"/>
      <c r="E50" s="151"/>
      <c r="F50" s="152"/>
      <c r="G50" s="156"/>
      <c r="H50" s="151"/>
      <c r="I50" s="151"/>
      <c r="J50" s="132" t="str">
        <f aca="false">IF(ISBLANK(D50),"",IF(VLOOKUP(D50,#REF!,2)=0,"",IF(D50&gt;#REF!,"Mauvais numéro",IF(D50&lt;#REF!,"Mauvais numéro",(VLOOKUP(D50,#REF!,3))))))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57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49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32"/>
      <c r="U50" s="32"/>
      <c r="V50" s="125"/>
      <c r="W50" s="125"/>
      <c r="X50" s="125"/>
      <c r="Y50" s="125"/>
      <c r="Z50" s="32"/>
      <c r="AA50" s="32"/>
      <c r="AB50" s="125"/>
      <c r="AC50" s="125"/>
      <c r="AD50" s="124"/>
      <c r="AE50" s="124"/>
      <c r="AF50" s="124"/>
      <c r="AG50" s="124"/>
      <c r="AH50" s="124"/>
      <c r="AI50" s="124"/>
      <c r="AJ50" s="124"/>
      <c r="AK50" s="124"/>
      <c r="AL50" s="124"/>
      <c r="AM50" s="124"/>
      <c r="AN50" s="124"/>
      <c r="AO50" s="124"/>
      <c r="AP50" s="124"/>
      <c r="AQ50" s="124"/>
      <c r="AR50" s="124"/>
      <c r="AS50" s="124"/>
      <c r="AT50" s="124"/>
      <c r="AU50" s="124"/>
      <c r="AV50" s="124"/>
      <c r="AW50" s="124"/>
      <c r="AX50" s="124"/>
      <c r="AY50" s="124"/>
      <c r="AZ50" s="124"/>
      <c r="BA50" s="124"/>
      <c r="BB50" s="136"/>
    </row>
    <row r="51" customFormat="false" ht="15.6" hidden="false" customHeight="false" outlineLevel="0" collapsed="false">
      <c r="A51" s="111" t="n">
        <f aca="false">IF(ISBLANK(VLOOKUP(D51,#REF!,3)),0,1)</f>
        <v>1</v>
      </c>
      <c r="B51" s="112" t="n">
        <f aca="false">IF(ISBLANK(D51),0,IF(ISBLANK(E51),0,IF(ISBLANK(F51),0,1)))</f>
        <v>0</v>
      </c>
      <c r="C51" s="128" t="n">
        <v>18</v>
      </c>
      <c r="D51" s="151"/>
      <c r="E51" s="151"/>
      <c r="F51" s="152"/>
      <c r="G51" s="156"/>
      <c r="H51" s="151"/>
      <c r="I51" s="151"/>
      <c r="J51" s="132" t="str">
        <f aca="false">IF(ISBLANK(D51),"",IF(VLOOKUP(D51,#REF!,2)=0,"",IF(D51&gt;#REF!,"Mauvais numéro",IF(D51&lt;#REF!,"Mauvais numéro",(VLOOKUP(D51,#REF!,3))))))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57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49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124"/>
      <c r="U51" s="124"/>
      <c r="V51" s="124"/>
      <c r="W51" s="124"/>
      <c r="X51" s="124"/>
      <c r="Y51" s="124"/>
      <c r="Z51" s="124"/>
      <c r="AA51" s="124"/>
      <c r="AB51" s="124"/>
      <c r="AC51" s="124"/>
      <c r="AD51" s="124"/>
      <c r="AE51" s="124"/>
      <c r="AF51" s="124"/>
      <c r="AG51" s="124"/>
      <c r="AH51" s="124"/>
      <c r="AI51" s="124"/>
      <c r="AJ51" s="124"/>
      <c r="AK51" s="124"/>
      <c r="AL51" s="124"/>
      <c r="AM51" s="124"/>
      <c r="AN51" s="124"/>
      <c r="AO51" s="124"/>
      <c r="AP51" s="124"/>
      <c r="AQ51" s="124"/>
      <c r="AR51" s="124"/>
      <c r="AS51" s="124"/>
      <c r="AT51" s="124"/>
      <c r="AU51" s="124"/>
      <c r="AV51" s="124"/>
      <c r="AW51" s="124"/>
      <c r="AX51" s="124"/>
      <c r="AY51" s="124"/>
      <c r="AZ51" s="124"/>
      <c r="BA51" s="124"/>
      <c r="BB51" s="136"/>
    </row>
    <row r="52" customFormat="false" ht="15.6" hidden="false" customHeight="false" outlineLevel="0" collapsed="false">
      <c r="A52" s="111" t="n">
        <f aca="false">IF(ISBLANK(VLOOKUP(D52,#REF!,3)),0,1)</f>
        <v>1</v>
      </c>
      <c r="B52" s="112" t="n">
        <f aca="false">IF(ISBLANK(D52),0,IF(ISBLANK(E52),0,IF(ISBLANK(F52),0,1)))</f>
        <v>0</v>
      </c>
      <c r="C52" s="128" t="n">
        <v>19</v>
      </c>
      <c r="D52" s="151"/>
      <c r="E52" s="151"/>
      <c r="F52" s="152"/>
      <c r="G52" s="156"/>
      <c r="H52" s="151"/>
      <c r="I52" s="151"/>
      <c r="J52" s="132" t="str">
        <f aca="false">IF(ISBLANK(D52),"",IF(VLOOKUP(D52,#REF!,2)=0,"",IF(D52&gt;#REF!,"Mauvais numéro",IF(D52&lt;#REF!,"Mauvais numéro",(VLOOKUP(D52,#REF!,3))))))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57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49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24"/>
      <c r="U52" s="124"/>
      <c r="V52" s="124"/>
      <c r="W52" s="124"/>
      <c r="X52" s="124"/>
      <c r="Y52" s="124"/>
      <c r="Z52" s="124"/>
      <c r="AA52" s="124"/>
      <c r="AB52" s="124"/>
      <c r="AC52" s="124"/>
      <c r="AD52" s="124"/>
      <c r="AE52" s="124"/>
      <c r="AF52" s="124"/>
      <c r="AG52" s="124"/>
      <c r="AH52" s="124"/>
      <c r="AI52" s="124"/>
      <c r="AJ52" s="124"/>
      <c r="AK52" s="124"/>
      <c r="AL52" s="124"/>
      <c r="AM52" s="124"/>
      <c r="AN52" s="124"/>
      <c r="AO52" s="124"/>
      <c r="AP52" s="124"/>
      <c r="AQ52" s="124"/>
      <c r="AR52" s="124"/>
      <c r="AS52" s="124"/>
      <c r="AT52" s="124"/>
      <c r="AU52" s="124"/>
      <c r="AV52" s="124"/>
      <c r="AW52" s="124"/>
      <c r="AX52" s="124"/>
      <c r="AY52" s="124"/>
      <c r="AZ52" s="124"/>
      <c r="BA52" s="124"/>
      <c r="BB52" s="136"/>
    </row>
    <row r="53" customFormat="false" ht="15.6" hidden="false" customHeight="false" outlineLevel="0" collapsed="false">
      <c r="A53" s="111" t="n">
        <f aca="false">IF(ISBLANK(VLOOKUP(D53,#REF!,3)),0,1)</f>
        <v>1</v>
      </c>
      <c r="B53" s="112" t="n">
        <f aca="false">IF(ISBLANK(D53),0,IF(ISBLANK(E53),0,IF(ISBLANK(F53),0,1)))</f>
        <v>0</v>
      </c>
      <c r="C53" s="128" t="n">
        <v>20</v>
      </c>
      <c r="D53" s="151"/>
      <c r="E53" s="151"/>
      <c r="F53" s="152"/>
      <c r="G53" s="156"/>
      <c r="H53" s="151"/>
      <c r="I53" s="151"/>
      <c r="J53" s="132" t="str">
        <f aca="false">IF(ISBLANK(D53),"",IF(VLOOKUP(D53,#REF!,2)=0,"",IF(D53&gt;#REF!,"Mauvais numéro",IF(D53&lt;#REF!,"Mauvais numéro",(VLOOKUP(D53,#REF!,3))))))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57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49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24"/>
      <c r="U53" s="124"/>
      <c r="V53" s="124"/>
      <c r="W53" s="124"/>
      <c r="X53" s="12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24"/>
      <c r="AJ53" s="124"/>
      <c r="AK53" s="124"/>
      <c r="AL53" s="124"/>
      <c r="AM53" s="124"/>
      <c r="AN53" s="124"/>
      <c r="AO53" s="124"/>
      <c r="AP53" s="124"/>
      <c r="AQ53" s="124"/>
      <c r="AR53" s="124"/>
      <c r="AS53" s="124"/>
      <c r="AT53" s="124"/>
      <c r="AU53" s="124"/>
      <c r="AV53" s="124"/>
      <c r="AW53" s="124"/>
      <c r="AX53" s="124"/>
      <c r="AY53" s="124"/>
      <c r="AZ53" s="124"/>
      <c r="BA53" s="124"/>
      <c r="BB53" s="136"/>
    </row>
    <row r="54" customFormat="false" ht="15.6" hidden="false" customHeight="false" outlineLevel="0" collapsed="false">
      <c r="A54" s="111" t="n">
        <f aca="false">IF(ISBLANK(VLOOKUP(D54,#REF!,3)),0,1)</f>
        <v>1</v>
      </c>
      <c r="B54" s="112" t="n">
        <f aca="false">IF(ISBLANK(D54),0,IF(ISBLANK(E54),0,IF(ISBLANK(F54),0,1)))</f>
        <v>0</v>
      </c>
      <c r="C54" s="128" t="n">
        <v>21</v>
      </c>
      <c r="D54" s="151"/>
      <c r="E54" s="151"/>
      <c r="F54" s="152"/>
      <c r="G54" s="156"/>
      <c r="H54" s="151"/>
      <c r="I54" s="151"/>
      <c r="J54" s="132" t="str">
        <f aca="false">IF(ISBLANK(D54),"",IF(VLOOKUP(D54,#REF!,2)=0,"",IF(D54&gt;#REF!,"Mauvais numéro",IF(D54&lt;#REF!,"Mauvais numéro",(VLOOKUP(D54,#REF!,3))))))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57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49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4"/>
      <c r="U54" s="124"/>
      <c r="V54" s="124"/>
      <c r="W54" s="124"/>
      <c r="X54" s="124"/>
      <c r="Y54" s="124"/>
      <c r="Z54" s="124"/>
      <c r="AA54" s="124"/>
      <c r="AB54" s="124"/>
      <c r="AC54" s="124"/>
      <c r="AD54" s="124"/>
      <c r="AE54" s="124"/>
      <c r="AF54" s="124"/>
      <c r="AG54" s="124"/>
      <c r="AH54" s="124"/>
      <c r="AI54" s="124"/>
      <c r="AJ54" s="124"/>
      <c r="AK54" s="124"/>
      <c r="AL54" s="124"/>
      <c r="AM54" s="124"/>
      <c r="AN54" s="124"/>
      <c r="AO54" s="124"/>
      <c r="AP54" s="124"/>
      <c r="AQ54" s="124"/>
      <c r="AR54" s="124"/>
      <c r="AS54" s="124"/>
      <c r="AT54" s="124"/>
      <c r="AU54" s="124"/>
      <c r="AV54" s="124"/>
      <c r="AW54" s="124"/>
      <c r="AX54" s="124"/>
      <c r="AY54" s="124"/>
      <c r="AZ54" s="124"/>
      <c r="BA54" s="124"/>
      <c r="BB54" s="136"/>
    </row>
    <row r="55" customFormat="false" ht="15.6" hidden="false" customHeight="false" outlineLevel="0" collapsed="false">
      <c r="A55" s="111" t="n">
        <f aca="false">IF(ISBLANK(VLOOKUP(D55,#REF!,3)),0,1)</f>
        <v>1</v>
      </c>
      <c r="B55" s="112" t="n">
        <f aca="false">IF(ISBLANK(D55),0,IF(ISBLANK(E55),0,IF(ISBLANK(F55),0,1)))</f>
        <v>0</v>
      </c>
      <c r="C55" s="128" t="n">
        <v>22</v>
      </c>
      <c r="D55" s="151"/>
      <c r="E55" s="151"/>
      <c r="F55" s="152"/>
      <c r="G55" s="156"/>
      <c r="H55" s="151"/>
      <c r="I55" s="151"/>
      <c r="J55" s="132" t="str">
        <f aca="false">IF(ISBLANK(D55),"",IF(VLOOKUP(D55,#REF!,2)=0,"",IF(D55&gt;#REF!,"Mauvais numéro",IF(D55&lt;#REF!,"Mauvais numéro",(VLOOKUP(D55,#REF!,3))))))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57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49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32"/>
      <c r="U55" s="32"/>
      <c r="V55" s="125"/>
      <c r="W55" s="125"/>
      <c r="X55" s="125"/>
      <c r="Y55" s="125"/>
      <c r="Z55" s="32"/>
      <c r="AA55" s="32"/>
      <c r="AB55" s="125"/>
      <c r="AC55" s="125"/>
      <c r="AD55" s="124"/>
      <c r="AE55" s="124"/>
      <c r="AF55" s="124"/>
      <c r="AG55" s="124"/>
      <c r="AH55" s="124"/>
      <c r="AI55" s="124"/>
      <c r="AJ55" s="124"/>
      <c r="AK55" s="124"/>
      <c r="AL55" s="124"/>
      <c r="AM55" s="124"/>
      <c r="AN55" s="124"/>
      <c r="AO55" s="124"/>
      <c r="AP55" s="124"/>
      <c r="AQ55" s="124"/>
      <c r="AR55" s="124"/>
      <c r="AS55" s="124"/>
      <c r="AT55" s="124"/>
      <c r="AU55" s="124"/>
      <c r="AV55" s="124"/>
      <c r="AW55" s="124"/>
      <c r="AX55" s="124"/>
      <c r="AY55" s="124"/>
      <c r="AZ55" s="124"/>
      <c r="BA55" s="124"/>
      <c r="BB55" s="136"/>
    </row>
    <row r="56" customFormat="false" ht="15.6" hidden="false" customHeight="false" outlineLevel="0" collapsed="false">
      <c r="A56" s="111" t="n">
        <f aca="false">IF(ISBLANK(VLOOKUP(D56,#REF!,3)),0,1)</f>
        <v>1</v>
      </c>
      <c r="B56" s="112" t="n">
        <f aca="false">IF(ISBLANK(D56),0,IF(ISBLANK(E56),0,IF(ISBLANK(F56),0,1)))</f>
        <v>0</v>
      </c>
      <c r="C56" s="128" t="n">
        <v>23</v>
      </c>
      <c r="D56" s="151"/>
      <c r="E56" s="151"/>
      <c r="F56" s="152"/>
      <c r="G56" s="156"/>
      <c r="H56" s="151"/>
      <c r="I56" s="151"/>
      <c r="J56" s="132" t="str">
        <f aca="false">IF(ISBLANK(D56),"",IF(VLOOKUP(D56,#REF!,2)=0,"",IF(D56&gt;#REF!,"Mauvais numéro",IF(D56&lt;#REF!,"Mauvais numéro",(VLOOKUP(D56,#REF!,3))))))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57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49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124"/>
      <c r="U56" s="124"/>
      <c r="V56" s="124"/>
      <c r="W56" s="124"/>
      <c r="X56" s="124"/>
      <c r="Y56" s="124"/>
      <c r="Z56" s="124"/>
      <c r="AA56" s="124"/>
      <c r="AB56" s="124"/>
      <c r="AC56" s="124"/>
      <c r="AD56" s="124"/>
      <c r="AE56" s="124"/>
      <c r="AF56" s="124"/>
      <c r="AG56" s="124"/>
      <c r="AH56" s="124"/>
      <c r="AI56" s="124"/>
      <c r="AJ56" s="124"/>
      <c r="AK56" s="124"/>
      <c r="AL56" s="124"/>
      <c r="AM56" s="124"/>
      <c r="AN56" s="124"/>
      <c r="AO56" s="124"/>
      <c r="AP56" s="124"/>
      <c r="AQ56" s="124"/>
      <c r="AR56" s="124"/>
      <c r="AS56" s="124"/>
      <c r="AT56" s="124"/>
      <c r="AU56" s="124"/>
      <c r="AV56" s="124"/>
      <c r="AW56" s="124"/>
      <c r="AX56" s="124"/>
      <c r="AY56" s="124"/>
      <c r="AZ56" s="124"/>
      <c r="BA56" s="124"/>
      <c r="BB56" s="136"/>
    </row>
    <row r="57" customFormat="false" ht="16.2" hidden="false" customHeight="false" outlineLevel="0" collapsed="false">
      <c r="A57" s="111" t="n">
        <f aca="false">IF(ISBLANK(VLOOKUP(D57,#REF!,3)),0,1)</f>
        <v>1</v>
      </c>
      <c r="B57" s="112" t="n">
        <f aca="false">IF(ISBLANK(D57),0,IF(ISBLANK(E57),0,IF(ISBLANK(F57),0,1)))</f>
        <v>0</v>
      </c>
      <c r="C57" s="158" t="n">
        <v>24</v>
      </c>
      <c r="D57" s="159"/>
      <c r="E57" s="159"/>
      <c r="F57" s="160"/>
      <c r="G57" s="161"/>
      <c r="H57" s="159"/>
      <c r="I57" s="159"/>
      <c r="J57" s="162" t="str">
        <f aca="false">IF(ISBLANK(D57),"",IF(VLOOKUP(D57,#REF!,2)=0,"",IF(D57&gt;#REF!,"Mauvais numéro",IF(D57&lt;#REF!,"Mauvais numéro",(VLOOKUP(D57,#REF!,3))))))</f>
        <v/>
      </c>
      <c r="K57" s="163" t="str">
        <f aca="false">IF(ISBLANK(E57),"",(0.000824493-(0.0000040899*E57)+(0.000000076438*E57^2)-(0.00000000082467*E57^3)+(0.0000000000053875*E57^4)))</f>
        <v/>
      </c>
      <c r="L57" s="163" t="str">
        <f aca="false">IF(ISBLANK(E57),"",(-0.00000572466+(0.00000010227*E57)-(0.0000000016546*E57^2)))</f>
        <v/>
      </c>
      <c r="M57" s="163" t="str">
        <f aca="false">IF(ISBLANK(E57),"",IF(ISBLANK(G57),(O57+(K57*35)+(L57*35^1.5)+(0.00000048314*35^2)),(O57+(K57*G57)+(L57*G57^1.5)+(0.00000048314*G57^2))))</f>
        <v/>
      </c>
      <c r="N57" s="164" t="str">
        <f aca="false">IF(ISBLANK(D57),"",IF(ISBLANK(G57),J57*(1+0.00001*(35-20)),J57*(1+0.00001*(G57-20))))</f>
        <v/>
      </c>
      <c r="O57" s="163" t="str">
        <f aca="false">IF(ISBLANK(E57),"",(0.999842594+(0.00006793952*E57)-(0.00000909529*E57^2)+(0.0000001001685*E57^3)-(0.000000001120083*E57^4)+(0.000000000006536332*E57^5)))</f>
        <v/>
      </c>
      <c r="P57" s="165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66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7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7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68"/>
      <c r="U57" s="168"/>
      <c r="V57" s="168"/>
      <c r="W57" s="168"/>
      <c r="X57" s="168"/>
      <c r="Y57" s="168"/>
      <c r="Z57" s="168"/>
      <c r="AA57" s="168"/>
      <c r="AB57" s="168"/>
      <c r="AC57" s="168"/>
      <c r="AD57" s="168"/>
      <c r="AE57" s="168"/>
      <c r="AF57" s="168"/>
      <c r="AG57" s="168"/>
      <c r="AH57" s="168"/>
      <c r="AI57" s="168"/>
      <c r="AJ57" s="168"/>
      <c r="AK57" s="168"/>
      <c r="AL57" s="168"/>
      <c r="AM57" s="168"/>
      <c r="AN57" s="168"/>
      <c r="AO57" s="168"/>
      <c r="AP57" s="168"/>
      <c r="AQ57" s="168"/>
      <c r="AR57" s="168"/>
      <c r="AS57" s="168"/>
      <c r="AT57" s="168"/>
      <c r="AU57" s="168"/>
      <c r="AV57" s="168"/>
      <c r="AW57" s="168"/>
      <c r="AX57" s="168"/>
      <c r="AY57" s="168"/>
      <c r="AZ57" s="168"/>
      <c r="BA57" s="168"/>
      <c r="BB57" s="169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S1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8178137651822"/>
    <col collapsed="false" hidden="false" max="32" min="32" style="0" width="9.10526315789474"/>
    <col collapsed="false" hidden="false" max="33" min="33" style="0" width="26.5668016194332"/>
    <col collapsed="false" hidden="false" max="34" min="34" style="0" width="12.8542510121458"/>
    <col collapsed="false" hidden="false" max="35" min="35" style="0" width="11.1417004048583"/>
    <col collapsed="false" hidden="false" max="36" min="36" style="0" width="14.5668016194332"/>
    <col collapsed="false" hidden="false" max="37" min="37" style="0" width="12.2105263157895"/>
    <col collapsed="false" hidden="false" max="38" min="38" style="0" width="26.995951417004"/>
    <col collapsed="false" hidden="false" max="39" min="39" style="0" width="14.6761133603239"/>
    <col collapsed="false" hidden="false" max="40" min="40" style="0" width="11.3562753036437"/>
    <col collapsed="false" hidden="false" max="41" min="41" style="0" width="12.5344129554656"/>
    <col collapsed="false" hidden="false" max="42" min="42" style="0" width="10.7125506072875"/>
    <col collapsed="false" hidden="false" max="43" min="43" style="0" width="6.31983805668016"/>
    <col collapsed="false" hidden="false" max="44" min="44" style="0" width="19.7085020242915"/>
    <col collapsed="false" hidden="false" max="45" min="45" style="0" width="13.0688259109312"/>
    <col collapsed="false" hidden="false" max="46" min="46" style="0" width="17.7813765182186"/>
    <col collapsed="false" hidden="false" max="47" min="47" style="0" width="14.6761133603239"/>
    <col collapsed="false" hidden="false" max="48" min="48" style="0" width="13.6032388663968"/>
    <col collapsed="false" hidden="false" max="49" min="49" style="0" width="13.7125506072874"/>
    <col collapsed="false" hidden="false" max="50" min="50" style="0" width="19.9230769230769"/>
    <col collapsed="false" hidden="false" max="51" min="51" style="0" width="13.2834008097166"/>
    <col collapsed="false" hidden="false" max="52" min="52" style="0" width="17.6761133603239"/>
    <col collapsed="false" hidden="false" max="53" min="53" style="0" width="13.3886639676113"/>
    <col collapsed="false" hidden="false" max="54" min="54" style="0" width="12.6396761133603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16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38543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6</v>
      </c>
      <c r="J9" s="29" t="n">
        <v>3.73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-6°3,73</v>
      </c>
      <c r="P9" s="29" t="s">
        <v>15</v>
      </c>
      <c r="Q9" s="33" t="n">
        <f aca="false">IF(ISBLANK(I9),"",IF(ISBLANK(J9),"",IF(J9&gt;60,"ERREUR !!",O11*(I9+(J9/60)))))</f>
        <v>-6.06216666666667</v>
      </c>
      <c r="R9" s="33"/>
    </row>
    <row r="10" customFormat="false" ht="15" hidden="false" customHeight="true" outlineLevel="0" collapsed="false">
      <c r="C10" s="21"/>
      <c r="D10" s="18"/>
      <c r="G10" s="27" t="s">
        <v>16</v>
      </c>
      <c r="H10" s="27"/>
      <c r="I10" s="28" t="n">
        <v>10</v>
      </c>
      <c r="J10" s="29" t="n">
        <v>0.21</v>
      </c>
      <c r="K10" s="30" t="s">
        <v>12</v>
      </c>
      <c r="L10" s="31" t="str">
        <f aca="false">IF(P10=N9,"+","-")</f>
        <v>-</v>
      </c>
      <c r="M10" s="30" t="s">
        <v>15</v>
      </c>
      <c r="N10" s="30" t="s">
        <v>17</v>
      </c>
      <c r="O10" s="34" t="str">
        <f aca="false">IF(ISBLANK(I10),"",IF(ISBLANK(J10),"",IF(P10=N10,L10&amp;N12,N12)))</f>
        <v>-10°0,21</v>
      </c>
      <c r="P10" s="29" t="s">
        <v>17</v>
      </c>
      <c r="Q10" s="33" t="n">
        <f aca="false">IF(ISBLANK(I10),"",IF(ISBLANK(J10),"",IF(J10&gt;60,"ERREUR !!",O12*(I10+(J10/60)))))</f>
        <v>-10.0035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38542</v>
      </c>
      <c r="K11" s="38"/>
      <c r="L11" s="38"/>
      <c r="M11" s="38"/>
      <c r="N11" s="39" t="str">
        <f aca="false">I9&amp;"°"&amp;J9</f>
        <v>6°3,73</v>
      </c>
      <c r="O11" s="40" t="n">
        <f aca="false">IF(P9=M10,-1,1)</f>
        <v>-1</v>
      </c>
      <c r="P11" s="41" t="str">
        <f aca="false">TEXT(J11,"aaaa-mm-jj")&amp;"T"&amp;TEXT(J12,"hh:mm:ss")&amp;"z"</f>
        <v>2009-07-10T23:00:00z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0.958333333333333</v>
      </c>
      <c r="K12" s="45"/>
      <c r="L12" s="45"/>
      <c r="M12" s="45"/>
      <c r="N12" s="46" t="str">
        <f aca="false">I10&amp;"°"&amp;J10</f>
        <v>10°0,21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e">
        <f aca="false">$P$24*($P$18/#REF!)</f>
        <v>#REF!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e">
        <f aca="false">5+#REF!</f>
        <v>#REF!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e">
        <f aca="false">P20*(1+0.00001*(R14-20))</f>
        <v>#REF!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e">
        <f aca="false">MAX(#REF!)</f>
        <v>#VALUE!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e">
        <f aca="false">2+(#REF!+#REF!)</f>
        <v>#REF!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52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53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6.2" hidden="false" customHeight="false" outlineLevel="0" collapsed="false">
      <c r="A35" s="111" t="n">
        <f aca="false">IF(ISBLANK(VLOOKUP(D35,#REF!,3)),0,1)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n">
        <v>34.9474</v>
      </c>
      <c r="H35" s="118" t="n">
        <v>2000</v>
      </c>
      <c r="I35" s="119" t="n">
        <v>2001.2</v>
      </c>
      <c r="J35" s="120"/>
      <c r="K35" s="121"/>
      <c r="L35" s="121"/>
      <c r="M35" s="121"/>
      <c r="N35" s="122"/>
      <c r="O35" s="121"/>
      <c r="P35" s="120" t="n">
        <v>5.51</v>
      </c>
      <c r="Q35" s="120"/>
      <c r="R35" s="120"/>
      <c r="S35" s="181" t="n">
        <v>239.5</v>
      </c>
      <c r="T35" s="32" t="n">
        <v>0.02</v>
      </c>
      <c r="U35" s="32" t="n">
        <v>0.02</v>
      </c>
      <c r="V35" s="32"/>
      <c r="W35" s="32"/>
      <c r="X35" s="125" t="n">
        <v>21.3</v>
      </c>
      <c r="Y35" s="125" t="n">
        <v>20.8</v>
      </c>
      <c r="Z35" s="32" t="n">
        <v>1.54</v>
      </c>
      <c r="AA35" s="32" t="n">
        <v>1.5</v>
      </c>
      <c r="AB35" s="125" t="n">
        <v>26.1</v>
      </c>
      <c r="AC35" s="125" t="n">
        <v>25.5</v>
      </c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7"/>
    </row>
    <row r="36" customFormat="false" ht="16.2" hidden="false" customHeight="false" outlineLevel="0" collapsed="false">
      <c r="A36" s="111" t="n">
        <f aca="false">IF(ISBLANK(VLOOKUP(D36,#REF!,3)),0,1)</f>
        <v>1</v>
      </c>
      <c r="B36" s="112" t="n">
        <f aca="false">IF(ISBLANK(D36),0,IF(ISBLANK(E36),0,IF(ISBLANK(F36),0,1)))</f>
        <v>0</v>
      </c>
      <c r="C36" s="128" t="n">
        <v>2</v>
      </c>
      <c r="D36" s="129"/>
      <c r="E36" s="129"/>
      <c r="F36" s="130"/>
      <c r="G36" s="117" t="n">
        <v>34.9453</v>
      </c>
      <c r="H36" s="118" t="n">
        <v>2000</v>
      </c>
      <c r="I36" s="119" t="n">
        <v>2002.1</v>
      </c>
      <c r="J36" s="132"/>
      <c r="K36" s="133"/>
      <c r="L36" s="133"/>
      <c r="M36" s="133"/>
      <c r="N36" s="134"/>
      <c r="O36" s="133"/>
      <c r="P36" s="132" t="n">
        <v>5.514</v>
      </c>
      <c r="Q36" s="132"/>
      <c r="R36" s="132"/>
      <c r="S36" s="181" t="n">
        <v>239.6</v>
      </c>
      <c r="T36" s="32" t="n">
        <v>0.02</v>
      </c>
      <c r="U36" s="32" t="n">
        <v>0.02</v>
      </c>
      <c r="V36" s="32"/>
      <c r="W36" s="32"/>
      <c r="X36" s="125" t="n">
        <v>21.2</v>
      </c>
      <c r="Y36" s="125" t="n">
        <v>20.8</v>
      </c>
      <c r="Z36" s="32" t="n">
        <v>1.52</v>
      </c>
      <c r="AA36" s="32" t="n">
        <v>1.48</v>
      </c>
      <c r="AB36" s="125" t="n">
        <v>25.4</v>
      </c>
      <c r="AC36" s="125" t="n">
        <v>24.8</v>
      </c>
      <c r="AD36" s="124"/>
      <c r="AE36" s="124"/>
      <c r="AF36" s="124"/>
      <c r="AG36" s="124"/>
      <c r="AH36" s="124"/>
      <c r="AI36" s="124"/>
      <c r="AJ36" s="124"/>
      <c r="AK36" s="124"/>
      <c r="AL36" s="124"/>
      <c r="AM36" s="124"/>
      <c r="AN36" s="124"/>
      <c r="AO36" s="124"/>
      <c r="AP36" s="124"/>
      <c r="AQ36" s="124"/>
      <c r="AR36" s="124"/>
      <c r="AS36" s="124"/>
      <c r="AT36" s="124"/>
      <c r="AU36" s="124"/>
      <c r="AV36" s="124"/>
      <c r="AW36" s="124"/>
      <c r="AX36" s="124"/>
      <c r="AY36" s="124"/>
      <c r="AZ36" s="124"/>
      <c r="BA36" s="124"/>
      <c r="BB36" s="136"/>
    </row>
    <row r="37" customFormat="false" ht="16.2" hidden="false" customHeight="false" outlineLevel="0" collapsed="false">
      <c r="A37" s="111" t="n">
        <f aca="false">IF(ISBLANK(VLOOKUP(D37,#REF!,3)),0,1)</f>
        <v>1</v>
      </c>
      <c r="B37" s="112" t="n">
        <f aca="false">IF(ISBLANK(D37),0,IF(ISBLANK(E37),0,IF(ISBLANK(F37),0,1)))</f>
        <v>0</v>
      </c>
      <c r="C37" s="128" t="n">
        <v>3</v>
      </c>
      <c r="D37" s="129"/>
      <c r="E37" s="129"/>
      <c r="F37" s="137"/>
      <c r="G37" s="117" t="n">
        <v>34.9466</v>
      </c>
      <c r="H37" s="118" t="n">
        <v>2000</v>
      </c>
      <c r="I37" s="119" t="n">
        <v>2002.1</v>
      </c>
      <c r="J37" s="132"/>
      <c r="K37" s="133"/>
      <c r="L37" s="133"/>
      <c r="M37" s="133"/>
      <c r="N37" s="134"/>
      <c r="O37" s="133"/>
      <c r="P37" s="132" t="n">
        <v>5.522</v>
      </c>
      <c r="Q37" s="132"/>
      <c r="R37" s="132"/>
      <c r="S37" s="181" t="n">
        <v>240</v>
      </c>
      <c r="T37" s="32" t="n">
        <v>0.02</v>
      </c>
      <c r="U37" s="32" t="n">
        <v>0.02</v>
      </c>
      <c r="V37" s="32"/>
      <c r="W37" s="32"/>
      <c r="X37" s="125" t="n">
        <v>21.3</v>
      </c>
      <c r="Y37" s="125" t="n">
        <v>20.8</v>
      </c>
      <c r="Z37" s="32" t="n">
        <v>1.52</v>
      </c>
      <c r="AA37" s="32" t="n">
        <v>1.49</v>
      </c>
      <c r="AB37" s="125" t="n">
        <v>26</v>
      </c>
      <c r="AC37" s="125" t="n">
        <v>25.4</v>
      </c>
      <c r="AD37" s="124"/>
      <c r="AE37" s="124"/>
      <c r="AF37" s="124"/>
      <c r="AG37" s="124"/>
      <c r="AH37" s="124"/>
      <c r="AI37" s="124"/>
      <c r="AJ37" s="124"/>
      <c r="AK37" s="124"/>
      <c r="AL37" s="124"/>
      <c r="AM37" s="124"/>
      <c r="AN37" s="124"/>
      <c r="AO37" s="124"/>
      <c r="AP37" s="124"/>
      <c r="AQ37" s="124"/>
      <c r="AR37" s="124"/>
      <c r="AS37" s="124"/>
      <c r="AT37" s="124"/>
      <c r="AU37" s="124"/>
      <c r="AV37" s="124"/>
      <c r="AW37" s="124"/>
      <c r="AX37" s="124"/>
      <c r="AY37" s="124"/>
      <c r="AZ37" s="124"/>
      <c r="BA37" s="124"/>
      <c r="BB37" s="136"/>
    </row>
    <row r="38" customFormat="false" ht="16.2" hidden="false" customHeight="false" outlineLevel="0" collapsed="false">
      <c r="A38" s="111" t="n">
        <f aca="false">IF(ISBLANK(VLOOKUP(D38,#REF!,3)),0,1)</f>
        <v>1</v>
      </c>
      <c r="B38" s="112" t="n">
        <f aca="false">IF(ISBLANK(D38),0,IF(ISBLANK(E38),0,IF(ISBLANK(F38),0,1)))</f>
        <v>0</v>
      </c>
      <c r="C38" s="128" t="n">
        <v>4</v>
      </c>
      <c r="D38" s="138"/>
      <c r="E38" s="138"/>
      <c r="F38" s="139"/>
      <c r="G38" s="117" t="n">
        <v>34.9476</v>
      </c>
      <c r="H38" s="118" t="n">
        <v>2000</v>
      </c>
      <c r="I38" s="119" t="n">
        <v>2002.3</v>
      </c>
      <c r="J38" s="132"/>
      <c r="K38" s="133"/>
      <c r="L38" s="133"/>
      <c r="M38" s="133"/>
      <c r="N38" s="134"/>
      <c r="O38" s="133"/>
      <c r="P38" s="132" t="n">
        <v>5.532</v>
      </c>
      <c r="Q38" s="132"/>
      <c r="R38" s="132"/>
      <c r="S38" s="181" t="n">
        <v>240.4</v>
      </c>
      <c r="T38" s="32" t="n">
        <v>0.02</v>
      </c>
      <c r="U38" s="32" t="n">
        <v>0.02</v>
      </c>
      <c r="V38" s="32"/>
      <c r="W38" s="32"/>
      <c r="X38" s="125" t="n">
        <v>21.3</v>
      </c>
      <c r="Y38" s="125" t="n">
        <v>20.8</v>
      </c>
      <c r="Z38" s="32" t="n">
        <v>1.51</v>
      </c>
      <c r="AA38" s="32" t="n">
        <v>1.48</v>
      </c>
      <c r="AB38" s="125" t="n">
        <v>25.8</v>
      </c>
      <c r="AC38" s="125" t="n">
        <v>25.2</v>
      </c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7"/>
    </row>
    <row r="39" customFormat="false" ht="16.2" hidden="false" customHeight="false" outlineLevel="0" collapsed="false">
      <c r="A39" s="111" t="n">
        <f aca="false">IF(ISBLANK(VLOOKUP(D39,#REF!,3)),0,1)</f>
        <v>1</v>
      </c>
      <c r="B39" s="112" t="n">
        <f aca="false">IF(ISBLANK(D39),0,IF(ISBLANK(E39),0,IF(ISBLANK(F39),0,1)))</f>
        <v>0</v>
      </c>
      <c r="C39" s="128" t="n">
        <v>5</v>
      </c>
      <c r="D39" s="129"/>
      <c r="E39" s="129"/>
      <c r="F39" s="137"/>
      <c r="G39" s="117" t="n">
        <v>34.9465</v>
      </c>
      <c r="H39" s="118" t="n">
        <v>2000</v>
      </c>
      <c r="I39" s="119" t="n">
        <v>2002.5</v>
      </c>
      <c r="J39" s="132"/>
      <c r="K39" s="133"/>
      <c r="L39" s="133"/>
      <c r="M39" s="133"/>
      <c r="N39" s="134"/>
      <c r="O39" s="133"/>
      <c r="P39" s="132" t="n">
        <v>5.535</v>
      </c>
      <c r="Q39" s="132"/>
      <c r="R39" s="132"/>
      <c r="S39" s="182" t="n">
        <v>240.5</v>
      </c>
      <c r="T39" s="32" t="n">
        <v>0.02</v>
      </c>
      <c r="U39" s="32" t="n">
        <v>0.02</v>
      </c>
      <c r="V39" s="32"/>
      <c r="W39" s="32"/>
      <c r="X39" s="125" t="n">
        <v>21.3</v>
      </c>
      <c r="Y39" s="125" t="n">
        <v>20.8</v>
      </c>
      <c r="Z39" s="32" t="n">
        <v>1.52</v>
      </c>
      <c r="AA39" s="32" t="n">
        <v>1.49</v>
      </c>
      <c r="AB39" s="125" t="n">
        <v>25.5</v>
      </c>
      <c r="AC39" s="125" t="n">
        <v>24.9</v>
      </c>
      <c r="AD39" s="124"/>
      <c r="AE39" s="124"/>
      <c r="AF39" s="124"/>
      <c r="AG39" s="124"/>
      <c r="AH39" s="124"/>
      <c r="AI39" s="124"/>
      <c r="AJ39" s="124"/>
      <c r="AK39" s="124"/>
      <c r="AL39" s="124"/>
      <c r="AM39" s="124"/>
      <c r="AN39" s="124"/>
      <c r="AO39" s="124"/>
      <c r="AP39" s="124"/>
      <c r="AQ39" s="124"/>
      <c r="AR39" s="124"/>
      <c r="AS39" s="124"/>
      <c r="AT39" s="124"/>
      <c r="AU39" s="124"/>
      <c r="AV39" s="124"/>
      <c r="AW39" s="124"/>
      <c r="AX39" s="124"/>
      <c r="AY39" s="124"/>
      <c r="AZ39" s="124"/>
      <c r="BA39" s="124"/>
      <c r="BB39" s="136"/>
    </row>
    <row r="40" customFormat="false" ht="16.2" hidden="false" customHeight="false" outlineLevel="0" collapsed="false">
      <c r="A40" s="111" t="n">
        <f aca="false">IF(ISBLANK(VLOOKUP(D40,#REF!,3)),0,1)</f>
        <v>1</v>
      </c>
      <c r="B40" s="112" t="n">
        <f aca="false">IF(ISBLANK(D40),0,IF(ISBLANK(E40),0,IF(ISBLANK(F40),0,1)))</f>
        <v>0</v>
      </c>
      <c r="C40" s="128" t="n">
        <v>6</v>
      </c>
      <c r="D40" s="129"/>
      <c r="E40" s="129"/>
      <c r="F40" s="137"/>
      <c r="G40" s="117" t="n">
        <v>34.9463</v>
      </c>
      <c r="H40" s="118" t="n">
        <v>2000</v>
      </c>
      <c r="I40" s="119" t="n">
        <v>2001.5</v>
      </c>
      <c r="J40" s="132"/>
      <c r="K40" s="133"/>
      <c r="L40" s="133"/>
      <c r="M40" s="133"/>
      <c r="N40" s="134"/>
      <c r="O40" s="133"/>
      <c r="P40" s="132" t="n">
        <v>5.536</v>
      </c>
      <c r="Q40" s="132"/>
      <c r="R40" s="132"/>
      <c r="S40" s="182" t="n">
        <v>240.6</v>
      </c>
      <c r="T40" s="32" t="n">
        <v>0.02</v>
      </c>
      <c r="U40" s="32" t="n">
        <v>0.02</v>
      </c>
      <c r="V40" s="32"/>
      <c r="W40" s="32"/>
      <c r="X40" s="125" t="n">
        <v>21.3</v>
      </c>
      <c r="Y40" s="125" t="n">
        <v>20.8</v>
      </c>
      <c r="Z40" s="32" t="n">
        <v>1.5</v>
      </c>
      <c r="AA40" s="32" t="n">
        <v>1.46</v>
      </c>
      <c r="AB40" s="125" t="n">
        <v>25.1</v>
      </c>
      <c r="AC40" s="125" t="n">
        <v>24.6</v>
      </c>
      <c r="AD40" s="124"/>
      <c r="AE40" s="124"/>
      <c r="AF40" s="124"/>
      <c r="AG40" s="124"/>
      <c r="AH40" s="124"/>
      <c r="AI40" s="124"/>
      <c r="AJ40" s="124"/>
      <c r="AK40" s="124"/>
      <c r="AL40" s="124"/>
      <c r="AM40" s="124"/>
      <c r="AN40" s="124"/>
      <c r="AO40" s="124"/>
      <c r="AP40" s="124"/>
      <c r="AQ40" s="124"/>
      <c r="AR40" s="124"/>
      <c r="AS40" s="124"/>
      <c r="AT40" s="124"/>
      <c r="AU40" s="124"/>
      <c r="AV40" s="124"/>
      <c r="AW40" s="124"/>
      <c r="AX40" s="124"/>
      <c r="AY40" s="124"/>
      <c r="AZ40" s="124"/>
      <c r="BA40" s="124"/>
      <c r="BB40" s="136"/>
    </row>
    <row r="41" customFormat="false" ht="16.2" hidden="false" customHeight="false" outlineLevel="0" collapsed="false">
      <c r="A41" s="111" t="n">
        <f aca="false">IF(ISBLANK(VLOOKUP(D41,#REF!,3)),0,1)</f>
        <v>1</v>
      </c>
      <c r="B41" s="112" t="n">
        <f aca="false">IF(ISBLANK(D41),0,IF(ISBLANK(E41),0,IF(ISBLANK(F41),0,1)))</f>
        <v>0</v>
      </c>
      <c r="C41" s="128" t="n">
        <v>7</v>
      </c>
      <c r="D41" s="129"/>
      <c r="E41" s="129"/>
      <c r="F41" s="137"/>
      <c r="G41" s="117" t="n">
        <v>34.9443</v>
      </c>
      <c r="H41" s="118" t="n">
        <v>2000</v>
      </c>
      <c r="I41" s="119" t="n">
        <v>2001.8</v>
      </c>
      <c r="J41" s="132"/>
      <c r="K41" s="133"/>
      <c r="L41" s="133"/>
      <c r="M41" s="133"/>
      <c r="N41" s="134"/>
      <c r="O41" s="133"/>
      <c r="P41" s="132" t="n">
        <v>5.545</v>
      </c>
      <c r="Q41" s="132"/>
      <c r="R41" s="132"/>
      <c r="S41" s="181" t="n">
        <v>241</v>
      </c>
      <c r="T41" s="32" t="n">
        <v>0.02</v>
      </c>
      <c r="U41" s="32" t="n">
        <v>0.01</v>
      </c>
      <c r="V41" s="32"/>
      <c r="W41" s="32"/>
      <c r="X41" s="125" t="n">
        <v>21.3</v>
      </c>
      <c r="Y41" s="125" t="n">
        <v>20.8</v>
      </c>
      <c r="Z41" s="32" t="n">
        <v>1.5</v>
      </c>
      <c r="AA41" s="32" t="n">
        <v>1.47</v>
      </c>
      <c r="AB41" s="125" t="n">
        <v>26.4</v>
      </c>
      <c r="AC41" s="125" t="n">
        <v>25.8</v>
      </c>
      <c r="AD41" s="126"/>
      <c r="AE41" s="126"/>
      <c r="AF41" s="126"/>
      <c r="AG41" s="126"/>
      <c r="AH41" s="126"/>
      <c r="AI41" s="126"/>
      <c r="AJ41" s="126"/>
      <c r="AK41" s="126"/>
      <c r="AL41" s="126"/>
      <c r="AM41" s="126"/>
      <c r="AN41" s="126"/>
      <c r="AO41" s="126"/>
      <c r="AP41" s="126"/>
      <c r="AQ41" s="126"/>
      <c r="AR41" s="126"/>
      <c r="AS41" s="126"/>
      <c r="AT41" s="126"/>
      <c r="AU41" s="126"/>
      <c r="AV41" s="126"/>
      <c r="AW41" s="126"/>
      <c r="AX41" s="126"/>
      <c r="AY41" s="126"/>
      <c r="AZ41" s="126"/>
      <c r="BA41" s="126"/>
      <c r="BB41" s="127"/>
    </row>
    <row r="42" customFormat="false" ht="16.2" hidden="false" customHeight="false" outlineLevel="0" collapsed="false">
      <c r="A42" s="111" t="n">
        <f aca="false">IF(ISBLANK(VLOOKUP(D42,#REF!,3)),0,1)</f>
        <v>1</v>
      </c>
      <c r="B42" s="112" t="n">
        <f aca="false">IF(ISBLANK(D42),0,IF(ISBLANK(E42),0,IF(ISBLANK(F42),0,1)))</f>
        <v>0</v>
      </c>
      <c r="C42" s="128" t="n">
        <v>8</v>
      </c>
      <c r="D42" s="129"/>
      <c r="E42" s="129"/>
      <c r="F42" s="137"/>
      <c r="G42" s="117" t="n">
        <v>34.9471</v>
      </c>
      <c r="H42" s="118" t="n">
        <v>2000</v>
      </c>
      <c r="I42" s="119" t="n">
        <v>2001.9</v>
      </c>
      <c r="J42" s="132"/>
      <c r="K42" s="133"/>
      <c r="L42" s="133"/>
      <c r="M42" s="133"/>
      <c r="N42" s="134"/>
      <c r="O42" s="133"/>
      <c r="P42" s="132" t="n">
        <v>5.539</v>
      </c>
      <c r="Q42" s="132"/>
      <c r="R42" s="132"/>
      <c r="S42" s="181" t="n">
        <v>240.7</v>
      </c>
      <c r="T42" s="32" t="n">
        <v>0.02</v>
      </c>
      <c r="U42" s="32" t="n">
        <v>0.02</v>
      </c>
      <c r="V42" s="32"/>
      <c r="W42" s="32"/>
      <c r="X42" s="125" t="n">
        <v>21.1</v>
      </c>
      <c r="Y42" s="125" t="n">
        <v>20.6</v>
      </c>
      <c r="Z42" s="32" t="n">
        <v>1.47</v>
      </c>
      <c r="AA42" s="32" t="n">
        <v>1.44</v>
      </c>
      <c r="AB42" s="125" t="n">
        <v>24.9</v>
      </c>
      <c r="AC42" s="125" t="n">
        <v>24.3</v>
      </c>
      <c r="AD42" s="124"/>
      <c r="AE42" s="124"/>
      <c r="AF42" s="124"/>
      <c r="AG42" s="124"/>
      <c r="AH42" s="124"/>
      <c r="AI42" s="124"/>
      <c r="AJ42" s="124"/>
      <c r="AK42" s="124"/>
      <c r="AL42" s="124"/>
      <c r="AM42" s="124"/>
      <c r="AN42" s="124"/>
      <c r="AO42" s="124"/>
      <c r="AP42" s="124"/>
      <c r="AQ42" s="124"/>
      <c r="AR42" s="124"/>
      <c r="AS42" s="124"/>
      <c r="AT42" s="124"/>
      <c r="AU42" s="124"/>
      <c r="AV42" s="124"/>
      <c r="AW42" s="124"/>
      <c r="AX42" s="124"/>
      <c r="AY42" s="124"/>
      <c r="AZ42" s="124"/>
      <c r="BA42" s="124"/>
      <c r="BB42" s="136"/>
    </row>
    <row r="43" customFormat="false" ht="16.2" hidden="false" customHeight="false" outlineLevel="0" collapsed="false">
      <c r="A43" s="111" t="n">
        <f aca="false">IF(ISBLANK(VLOOKUP(D43,#REF!,3)),0,1)</f>
        <v>1</v>
      </c>
      <c r="B43" s="112" t="n">
        <f aca="false">IF(ISBLANK(D43),0,IF(ISBLANK(E43),0,IF(ISBLANK(F43),0,1)))</f>
        <v>0</v>
      </c>
      <c r="C43" s="128" t="n">
        <v>9</v>
      </c>
      <c r="D43" s="129"/>
      <c r="E43" s="129"/>
      <c r="F43" s="137"/>
      <c r="G43" s="117" t="n">
        <v>34.9457</v>
      </c>
      <c r="H43" s="118" t="n">
        <v>2000</v>
      </c>
      <c r="I43" s="119" t="n">
        <v>2002.9</v>
      </c>
      <c r="J43" s="132"/>
      <c r="K43" s="133"/>
      <c r="L43" s="133"/>
      <c r="M43" s="133"/>
      <c r="N43" s="134"/>
      <c r="O43" s="133"/>
      <c r="P43" s="132" t="n">
        <v>5.542</v>
      </c>
      <c r="Q43" s="132"/>
      <c r="R43" s="132"/>
      <c r="S43" s="181" t="n">
        <v>240.9</v>
      </c>
      <c r="T43" s="32" t="n">
        <v>0.02</v>
      </c>
      <c r="U43" s="32" t="n">
        <v>0.02</v>
      </c>
      <c r="V43" s="32"/>
      <c r="W43" s="32"/>
      <c r="X43" s="125" t="n">
        <v>21.4</v>
      </c>
      <c r="Y43" s="125" t="n">
        <v>20.9</v>
      </c>
      <c r="Z43" s="32" t="n">
        <v>1.48</v>
      </c>
      <c r="AA43" s="32" t="n">
        <v>1.45</v>
      </c>
      <c r="AB43" s="125" t="n">
        <v>25.6</v>
      </c>
      <c r="AC43" s="125" t="n">
        <v>25</v>
      </c>
      <c r="AD43" s="126"/>
      <c r="AE43" s="126"/>
      <c r="AF43" s="126"/>
      <c r="AG43" s="126"/>
      <c r="AH43" s="126"/>
      <c r="AI43" s="126"/>
      <c r="AJ43" s="126"/>
      <c r="AK43" s="126"/>
      <c r="AL43" s="126"/>
      <c r="AM43" s="126"/>
      <c r="AN43" s="126"/>
      <c r="AO43" s="126"/>
      <c r="AP43" s="126"/>
      <c r="AQ43" s="126"/>
      <c r="AR43" s="126"/>
      <c r="AS43" s="126"/>
      <c r="AT43" s="126"/>
      <c r="AU43" s="126"/>
      <c r="AV43" s="126"/>
      <c r="AW43" s="126"/>
      <c r="AX43" s="126"/>
      <c r="AY43" s="126"/>
      <c r="AZ43" s="126"/>
      <c r="BA43" s="126"/>
      <c r="BB43" s="127"/>
    </row>
    <row r="44" customFormat="false" ht="16.2" hidden="false" customHeight="false" outlineLevel="0" collapsed="false">
      <c r="A44" s="111" t="n">
        <f aca="false">IF(ISBLANK(VLOOKUP(D44,#REF!,3)),0,1)</f>
        <v>1</v>
      </c>
      <c r="B44" s="112" t="n">
        <f aca="false">IF(ISBLANK(D44),0,IF(ISBLANK(E44),0,IF(ISBLANK(F44),0,1)))</f>
        <v>0</v>
      </c>
      <c r="C44" s="128" t="n">
        <v>10</v>
      </c>
      <c r="D44" s="129"/>
      <c r="E44" s="129"/>
      <c r="F44" s="137"/>
      <c r="G44" s="117" t="n">
        <v>34.9465</v>
      </c>
      <c r="H44" s="118" t="n">
        <v>2000</v>
      </c>
      <c r="I44" s="119" t="n">
        <v>1999.3</v>
      </c>
      <c r="J44" s="132"/>
      <c r="K44" s="133"/>
      <c r="L44" s="133"/>
      <c r="M44" s="133"/>
      <c r="N44" s="134"/>
      <c r="O44" s="133"/>
      <c r="P44" s="132" t="n">
        <v>5.534</v>
      </c>
      <c r="Q44" s="132"/>
      <c r="R44" s="132"/>
      <c r="S44" s="181" t="n">
        <v>240.5</v>
      </c>
      <c r="T44" s="32" t="n">
        <v>0.02</v>
      </c>
      <c r="U44" s="32" t="n">
        <v>0.02</v>
      </c>
      <c r="V44" s="32"/>
      <c r="W44" s="32"/>
      <c r="X44" s="125" t="n">
        <v>21.3</v>
      </c>
      <c r="Y44" s="125" t="n">
        <v>20.8</v>
      </c>
      <c r="Z44" s="32" t="n">
        <v>1.46</v>
      </c>
      <c r="AA44" s="32" t="n">
        <v>1.43</v>
      </c>
      <c r="AB44" s="125" t="n">
        <v>25</v>
      </c>
      <c r="AC44" s="125" t="n">
        <v>24.4</v>
      </c>
      <c r="AD44" s="124"/>
      <c r="AE44" s="124"/>
      <c r="AF44" s="124"/>
      <c r="AG44" s="124"/>
      <c r="AH44" s="124"/>
      <c r="AI44" s="124"/>
      <c r="AJ44" s="124"/>
      <c r="AK44" s="124"/>
      <c r="AL44" s="124"/>
      <c r="AM44" s="124"/>
      <c r="AN44" s="124"/>
      <c r="AO44" s="124"/>
      <c r="AP44" s="124"/>
      <c r="AQ44" s="124"/>
      <c r="AR44" s="124"/>
      <c r="AS44" s="124"/>
      <c r="AT44" s="124"/>
      <c r="AU44" s="124"/>
      <c r="AV44" s="124"/>
      <c r="AW44" s="124"/>
      <c r="AX44" s="124"/>
      <c r="AY44" s="124"/>
      <c r="AZ44" s="124"/>
      <c r="BA44" s="124"/>
      <c r="BB44" s="136"/>
    </row>
    <row r="45" customFormat="false" ht="15.6" hidden="false" customHeight="false" outlineLevel="0" collapsed="false">
      <c r="A45" s="111" t="n">
        <f aca="false">IF(ISBLANK(VLOOKUP(D45,#REF!,3)),0,1)</f>
        <v>1</v>
      </c>
      <c r="B45" s="112" t="n">
        <f aca="false">IF(ISBLANK(D45),0,IF(ISBLANK(E45),0,IF(ISBLANK(F45),0,1)))</f>
        <v>0</v>
      </c>
      <c r="C45" s="128" t="n">
        <v>11</v>
      </c>
      <c r="D45" s="129"/>
      <c r="E45" s="129"/>
      <c r="F45" s="137"/>
      <c r="G45" s="117" t="n">
        <v>34.9457</v>
      </c>
      <c r="H45" s="118" t="n">
        <v>2000</v>
      </c>
      <c r="I45" s="119" t="n">
        <v>2001</v>
      </c>
      <c r="J45" s="132"/>
      <c r="K45" s="133"/>
      <c r="L45" s="133"/>
      <c r="M45" s="133"/>
      <c r="N45" s="134"/>
      <c r="O45" s="133"/>
      <c r="P45" s="132" t="n">
        <v>5.471</v>
      </c>
      <c r="Q45" s="132"/>
      <c r="R45" s="132"/>
      <c r="S45" s="181" t="n">
        <v>237.8</v>
      </c>
      <c r="T45" s="32" t="n">
        <v>0.03</v>
      </c>
      <c r="U45" s="32" t="n">
        <v>0.03</v>
      </c>
      <c r="V45" s="32"/>
      <c r="W45" s="32"/>
      <c r="X45" s="125" t="n">
        <v>21.1</v>
      </c>
      <c r="Y45" s="125" t="n">
        <v>20.6</v>
      </c>
      <c r="Z45" s="32" t="n">
        <v>1.43</v>
      </c>
      <c r="AA45" s="32" t="n">
        <v>1.4</v>
      </c>
      <c r="AB45" s="125" t="n">
        <v>25.1</v>
      </c>
      <c r="AC45" s="125" t="n">
        <v>24.5</v>
      </c>
      <c r="AD45" s="124"/>
      <c r="AE45" s="124"/>
      <c r="AF45" s="124"/>
      <c r="AG45" s="124"/>
      <c r="AH45" s="124"/>
      <c r="AI45" s="124"/>
      <c r="AJ45" s="124"/>
      <c r="AK45" s="124"/>
      <c r="AL45" s="124"/>
      <c r="AM45" s="124"/>
      <c r="AN45" s="124"/>
      <c r="AO45" s="124"/>
      <c r="AP45" s="124"/>
      <c r="AQ45" s="124"/>
      <c r="AR45" s="124"/>
      <c r="AS45" s="124"/>
      <c r="AT45" s="124"/>
      <c r="AU45" s="124"/>
      <c r="AV45" s="124"/>
      <c r="AW45" s="124"/>
      <c r="AX45" s="124"/>
      <c r="AY45" s="124"/>
      <c r="AZ45" s="124"/>
      <c r="BA45" s="124"/>
      <c r="BB45" s="136"/>
    </row>
    <row r="46" customFormat="false" ht="15.6" hidden="false" customHeight="false" outlineLevel="0" collapsed="false">
      <c r="A46" s="111" t="n">
        <f aca="false">IF(ISBLANK(VLOOKUP(D46,#REF!,3)),0,1)</f>
        <v>1</v>
      </c>
      <c r="B46" s="112" t="n">
        <f aca="false">IF(ISBLANK(D46),0,IF(ISBLANK(E46),0,IF(ISBLANK(F46),0,1)))</f>
        <v>0</v>
      </c>
      <c r="C46" s="128" t="n">
        <v>12</v>
      </c>
      <c r="D46" s="142"/>
      <c r="E46" s="142"/>
      <c r="F46" s="143"/>
      <c r="G46" s="144"/>
      <c r="H46" s="142"/>
      <c r="I46" s="145"/>
      <c r="J46" s="132" t="str">
        <f aca="false">IF(ISBLANK(D46),"",IF(VLOOKUP(D46,#REF!,2)=0,"",IF(D46&gt;#REF!,"Mauvais numéro",IF(D46&lt;#REF!,"Mauvais numéro",(VLOOKUP(D46,#REF!,3))))))</f>
        <v/>
      </c>
      <c r="K46" s="146" t="str">
        <f aca="false">IF(ISBLANK(E46),"",(0.000824493-(0.0000040899*E46)+(0.000000076438*E46^2)-(0.00000000082467*E46^3)+(0.0000000000053875*E46^4)))</f>
        <v/>
      </c>
      <c r="L46" s="146" t="str">
        <f aca="false">IF(ISBLANK(E46),"",(-0.00000572466+(0.00000010227*E46)-(0.0000000016546*E46^2)))</f>
        <v/>
      </c>
      <c r="M46" s="146" t="str">
        <f aca="false">IF(ISBLANK(E46),"",IF(ISBLANK(G46),(O46+(K46*35)+(L46*35^1.5)+(0.00000048314*35^2)),(O46+(K46*G46)+(L46*G46^1.5)+(0.00000048314*G46^2))))</f>
        <v/>
      </c>
      <c r="N46" s="147" t="str">
        <f aca="false">IF(ISBLANK(D46),"",IF(ISBLANK(G46),J46*(1+0.00001*(35-20)),J46*(1+0.00001*(G46-20))))</f>
        <v/>
      </c>
      <c r="O46" s="146" t="str">
        <f aca="false">IF(ISBLANK(E46),"",(0.999842594+(0.00006793952*E46)-(0.00000909529*E46^2)+(0.0000001001685*E46^3)-(0.000000001120083*E46^4)+(0.000000000006536332*E46^5)))</f>
        <v/>
      </c>
      <c r="P46" s="148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49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0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0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24"/>
      <c r="U46" s="124"/>
      <c r="V46" s="124"/>
      <c r="W46" s="124"/>
      <c r="X46" s="124"/>
      <c r="Y46" s="124"/>
      <c r="Z46" s="124"/>
      <c r="AA46" s="124"/>
      <c r="AB46" s="124"/>
      <c r="AC46" s="124"/>
      <c r="AD46" s="124"/>
      <c r="AE46" s="124"/>
      <c r="AF46" s="124"/>
      <c r="AG46" s="124"/>
      <c r="AH46" s="124"/>
      <c r="AI46" s="124"/>
      <c r="AJ46" s="124"/>
      <c r="AK46" s="124"/>
      <c r="AL46" s="124"/>
      <c r="AM46" s="124"/>
      <c r="AN46" s="124"/>
      <c r="AO46" s="124"/>
      <c r="AP46" s="124"/>
      <c r="AQ46" s="124"/>
      <c r="AR46" s="124"/>
      <c r="AS46" s="124"/>
      <c r="AT46" s="124"/>
      <c r="AU46" s="124"/>
      <c r="AV46" s="124"/>
      <c r="AW46" s="124"/>
      <c r="AX46" s="124"/>
      <c r="AY46" s="124"/>
      <c r="AZ46" s="124"/>
      <c r="BA46" s="124"/>
      <c r="BB46" s="136"/>
    </row>
    <row r="47" customFormat="false" ht="15.6" hidden="false" customHeight="false" outlineLevel="0" collapsed="false">
      <c r="A47" s="111" t="n">
        <f aca="false">IF(ISBLANK(VLOOKUP(D47,#REF!,3)),0,1)</f>
        <v>1</v>
      </c>
      <c r="B47" s="112" t="n">
        <f aca="false">IF(ISBLANK(D47),0,IF(ISBLANK(E47),0,IF(ISBLANK(F47),0,1)))</f>
        <v>0</v>
      </c>
      <c r="C47" s="128" t="n">
        <v>13</v>
      </c>
      <c r="D47" s="151"/>
      <c r="E47" s="151"/>
      <c r="F47" s="152"/>
      <c r="G47" s="153"/>
      <c r="H47" s="151"/>
      <c r="I47" s="151"/>
      <c r="J47" s="132" t="str">
        <f aca="false">IF(ISBLANK(D47),"",IF(VLOOKUP(D47,#REF!,2)=0,"",IF(D47&gt;#REF!,"Mauvais numéro",IF(D47&lt;#REF!,"Mauvais numéro",(VLOOKUP(D47,#REF!,3))))))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54"/>
      <c r="Q47" s="149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5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4"/>
      <c r="T47" s="124"/>
      <c r="U47" s="124"/>
      <c r="V47" s="124"/>
      <c r="W47" s="124"/>
      <c r="X47" s="12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24"/>
      <c r="AJ47" s="124"/>
      <c r="AK47" s="124"/>
      <c r="AL47" s="124"/>
      <c r="AM47" s="124"/>
      <c r="AN47" s="124"/>
      <c r="AO47" s="124"/>
      <c r="AP47" s="124"/>
      <c r="AQ47" s="124"/>
      <c r="AR47" s="124"/>
      <c r="AS47" s="124"/>
      <c r="AT47" s="124"/>
      <c r="AU47" s="124"/>
      <c r="AV47" s="124"/>
      <c r="AW47" s="124"/>
      <c r="AX47" s="124"/>
      <c r="AY47" s="124"/>
      <c r="AZ47" s="124"/>
      <c r="BA47" s="124"/>
      <c r="BB47" s="136"/>
    </row>
    <row r="48" customFormat="false" ht="15.6" hidden="false" customHeight="false" outlineLevel="0" collapsed="false">
      <c r="A48" s="111" t="n">
        <f aca="false">IF(ISBLANK(VLOOKUP(D48,#REF!,3)),0,1)</f>
        <v>1</v>
      </c>
      <c r="B48" s="112" t="n">
        <f aca="false">IF(ISBLANK(D48),0,IF(ISBLANK(E48),0,IF(ISBLANK(F48),0,1)))</f>
        <v>0</v>
      </c>
      <c r="C48" s="128" t="n">
        <v>14</v>
      </c>
      <c r="D48" s="151"/>
      <c r="E48" s="151"/>
      <c r="F48" s="152"/>
      <c r="G48" s="153"/>
      <c r="H48" s="151"/>
      <c r="I48" s="151"/>
      <c r="J48" s="132" t="str">
        <f aca="false">IF(ISBLANK(D48),"",IF(VLOOKUP(D48,#REF!,2)=0,"",IF(D48&gt;#REF!,"Mauvais numéro",IF(D48&lt;#REF!,"Mauvais numéro",(VLOOKUP(D48,#REF!,3))))))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54"/>
      <c r="Q48" s="149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5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4"/>
      <c r="T48" s="124"/>
      <c r="U48" s="124"/>
      <c r="V48" s="124"/>
      <c r="W48" s="124"/>
      <c r="X48" s="124"/>
      <c r="Y48" s="124"/>
      <c r="Z48" s="124"/>
      <c r="AA48" s="124"/>
      <c r="AB48" s="124"/>
      <c r="AC48" s="124"/>
      <c r="AD48" s="124"/>
      <c r="AE48" s="124"/>
      <c r="AF48" s="124"/>
      <c r="AG48" s="124"/>
      <c r="AH48" s="124"/>
      <c r="AI48" s="124"/>
      <c r="AJ48" s="124"/>
      <c r="AK48" s="124"/>
      <c r="AL48" s="124"/>
      <c r="AM48" s="124"/>
      <c r="AN48" s="124"/>
      <c r="AO48" s="124"/>
      <c r="AP48" s="124"/>
      <c r="AQ48" s="124"/>
      <c r="AR48" s="124"/>
      <c r="AS48" s="124"/>
      <c r="AT48" s="124"/>
      <c r="AU48" s="124"/>
      <c r="AV48" s="124"/>
      <c r="AW48" s="124"/>
      <c r="AX48" s="124"/>
      <c r="AY48" s="124"/>
      <c r="AZ48" s="124"/>
      <c r="BA48" s="124"/>
      <c r="BB48" s="136"/>
    </row>
    <row r="49" customFormat="false" ht="15.6" hidden="false" customHeight="false" outlineLevel="0" collapsed="false">
      <c r="A49" s="111" t="n">
        <f aca="false">IF(ISBLANK(VLOOKUP(D49,#REF!,3)),0,1)</f>
        <v>1</v>
      </c>
      <c r="B49" s="112" t="n">
        <f aca="false">IF(ISBLANK(D49),0,IF(ISBLANK(E49),0,IF(ISBLANK(F49),0,1)))</f>
        <v>0</v>
      </c>
      <c r="C49" s="128" t="n">
        <v>15</v>
      </c>
      <c r="D49" s="151"/>
      <c r="E49" s="151"/>
      <c r="F49" s="152"/>
      <c r="G49" s="156"/>
      <c r="H49" s="151"/>
      <c r="I49" s="151"/>
      <c r="J49" s="132" t="str">
        <f aca="false">IF(ISBLANK(D49),"",IF(VLOOKUP(D49,#REF!,2)=0,"",IF(D49&gt;#REF!,"Mauvais numéro",IF(D49&lt;#REF!,"Mauvais numéro",(VLOOKUP(D49,#REF!,3))))))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57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49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24"/>
      <c r="AE49" s="124"/>
      <c r="AF49" s="124"/>
      <c r="AG49" s="124"/>
      <c r="AH49" s="124"/>
      <c r="AI49" s="124"/>
      <c r="AJ49" s="124"/>
      <c r="AK49" s="124"/>
      <c r="AL49" s="124"/>
      <c r="AM49" s="124"/>
      <c r="AN49" s="124"/>
      <c r="AO49" s="124"/>
      <c r="AP49" s="124"/>
      <c r="AQ49" s="124"/>
      <c r="AR49" s="124"/>
      <c r="AS49" s="124"/>
      <c r="AT49" s="124"/>
      <c r="AU49" s="124"/>
      <c r="AV49" s="124"/>
      <c r="AW49" s="124"/>
      <c r="AX49" s="124"/>
      <c r="AY49" s="124"/>
      <c r="AZ49" s="124"/>
      <c r="BA49" s="124"/>
      <c r="BB49" s="136"/>
    </row>
    <row r="50" customFormat="false" ht="15.6" hidden="false" customHeight="false" outlineLevel="0" collapsed="false">
      <c r="A50" s="111" t="n">
        <f aca="false">IF(ISBLANK(VLOOKUP(D50,#REF!,3)),0,1)</f>
        <v>1</v>
      </c>
      <c r="B50" s="112" t="n">
        <f aca="false">IF(ISBLANK(D50),0,IF(ISBLANK(E50),0,IF(ISBLANK(F50),0,1)))</f>
        <v>0</v>
      </c>
      <c r="C50" s="128" t="n">
        <v>16</v>
      </c>
      <c r="D50" s="151"/>
      <c r="E50" s="151"/>
      <c r="F50" s="152"/>
      <c r="G50" s="156"/>
      <c r="H50" s="151"/>
      <c r="I50" s="151"/>
      <c r="J50" s="132" t="str">
        <f aca="false">IF(ISBLANK(D50),"",IF(VLOOKUP(D50,#REF!,2)=0,"",IF(D50&gt;#REF!,"Mauvais numéro",IF(D50&lt;#REF!,"Mauvais numéro",(VLOOKUP(D50,#REF!,3))))))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57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49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24"/>
      <c r="U50" s="124"/>
      <c r="V50" s="124"/>
      <c r="W50" s="124"/>
      <c r="X50" s="124"/>
      <c r="Y50" s="124"/>
      <c r="Z50" s="124"/>
      <c r="AA50" s="124"/>
      <c r="AB50" s="124"/>
      <c r="AC50" s="124"/>
      <c r="AD50" s="124"/>
      <c r="AE50" s="124"/>
      <c r="AF50" s="124"/>
      <c r="AG50" s="124"/>
      <c r="AH50" s="124"/>
      <c r="AI50" s="124"/>
      <c r="AJ50" s="124"/>
      <c r="AK50" s="124"/>
      <c r="AL50" s="124"/>
      <c r="AM50" s="124"/>
      <c r="AN50" s="124"/>
      <c r="AO50" s="124"/>
      <c r="AP50" s="124"/>
      <c r="AQ50" s="124"/>
      <c r="AR50" s="124"/>
      <c r="AS50" s="124"/>
      <c r="AT50" s="124"/>
      <c r="AU50" s="124"/>
      <c r="AV50" s="124"/>
      <c r="AW50" s="124"/>
      <c r="AX50" s="124"/>
      <c r="AY50" s="124"/>
      <c r="AZ50" s="124"/>
      <c r="BA50" s="124"/>
      <c r="BB50" s="136"/>
    </row>
    <row r="51" customFormat="false" ht="15.6" hidden="false" customHeight="false" outlineLevel="0" collapsed="false">
      <c r="A51" s="111" t="n">
        <f aca="false">IF(ISBLANK(VLOOKUP(D51,#REF!,3)),0,1)</f>
        <v>1</v>
      </c>
      <c r="B51" s="112" t="n">
        <f aca="false">IF(ISBLANK(D51),0,IF(ISBLANK(E51),0,IF(ISBLANK(F51),0,1)))</f>
        <v>0</v>
      </c>
      <c r="C51" s="128" t="n">
        <v>17</v>
      </c>
      <c r="D51" s="151"/>
      <c r="E51" s="151"/>
      <c r="F51" s="152"/>
      <c r="G51" s="156"/>
      <c r="H51" s="151"/>
      <c r="I51" s="151"/>
      <c r="J51" s="132" t="str">
        <f aca="false">IF(ISBLANK(D51),"",IF(VLOOKUP(D51,#REF!,2)=0,"",IF(D51&gt;#REF!,"Mauvais numéro",IF(D51&lt;#REF!,"Mauvais numéro",(VLOOKUP(D51,#REF!,3))))))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57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49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24"/>
      <c r="AE51" s="124"/>
      <c r="AF51" s="124"/>
      <c r="AG51" s="124"/>
      <c r="AH51" s="124"/>
      <c r="AI51" s="124"/>
      <c r="AJ51" s="124"/>
      <c r="AK51" s="124"/>
      <c r="AL51" s="124"/>
      <c r="AM51" s="124"/>
      <c r="AN51" s="124"/>
      <c r="AO51" s="124"/>
      <c r="AP51" s="124"/>
      <c r="AQ51" s="124"/>
      <c r="AR51" s="124"/>
      <c r="AS51" s="124"/>
      <c r="AT51" s="124"/>
      <c r="AU51" s="124"/>
      <c r="AV51" s="124"/>
      <c r="AW51" s="124"/>
      <c r="AX51" s="124"/>
      <c r="AY51" s="124"/>
      <c r="AZ51" s="124"/>
      <c r="BA51" s="124"/>
      <c r="BB51" s="136"/>
    </row>
    <row r="52" customFormat="false" ht="15.6" hidden="false" customHeight="false" outlineLevel="0" collapsed="false">
      <c r="A52" s="111" t="n">
        <f aca="false">IF(ISBLANK(VLOOKUP(D52,#REF!,3)),0,1)</f>
        <v>1</v>
      </c>
      <c r="B52" s="112" t="n">
        <f aca="false">IF(ISBLANK(D52),0,IF(ISBLANK(E52),0,IF(ISBLANK(F52),0,1)))</f>
        <v>0</v>
      </c>
      <c r="C52" s="128" t="n">
        <v>18</v>
      </c>
      <c r="D52" s="151"/>
      <c r="E52" s="151"/>
      <c r="F52" s="152"/>
      <c r="G52" s="156"/>
      <c r="H52" s="151"/>
      <c r="I52" s="151"/>
      <c r="J52" s="132" t="str">
        <f aca="false">IF(ISBLANK(D52),"",IF(VLOOKUP(D52,#REF!,2)=0,"",IF(D52&gt;#REF!,"Mauvais numéro",IF(D52&lt;#REF!,"Mauvais numéro",(VLOOKUP(D52,#REF!,3))))))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57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49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24"/>
      <c r="U52" s="124"/>
      <c r="V52" s="124"/>
      <c r="W52" s="124"/>
      <c r="X52" s="124"/>
      <c r="Y52" s="124"/>
      <c r="Z52" s="124"/>
      <c r="AA52" s="124"/>
      <c r="AB52" s="124"/>
      <c r="AC52" s="124"/>
      <c r="AD52" s="124"/>
      <c r="AE52" s="124"/>
      <c r="AF52" s="124"/>
      <c r="AG52" s="124"/>
      <c r="AH52" s="124"/>
      <c r="AI52" s="124"/>
      <c r="AJ52" s="124"/>
      <c r="AK52" s="124"/>
      <c r="AL52" s="124"/>
      <c r="AM52" s="124"/>
      <c r="AN52" s="124"/>
      <c r="AO52" s="124"/>
      <c r="AP52" s="124"/>
      <c r="AQ52" s="124"/>
      <c r="AR52" s="124"/>
      <c r="AS52" s="124"/>
      <c r="AT52" s="124"/>
      <c r="AU52" s="124"/>
      <c r="AV52" s="124"/>
      <c r="AW52" s="124"/>
      <c r="AX52" s="124"/>
      <c r="AY52" s="124"/>
      <c r="AZ52" s="124"/>
      <c r="BA52" s="124"/>
      <c r="BB52" s="136"/>
    </row>
    <row r="53" customFormat="false" ht="15.6" hidden="false" customHeight="false" outlineLevel="0" collapsed="false">
      <c r="A53" s="111" t="n">
        <f aca="false">IF(ISBLANK(VLOOKUP(D53,#REF!,3)),0,1)</f>
        <v>1</v>
      </c>
      <c r="B53" s="112" t="n">
        <f aca="false">IF(ISBLANK(D53),0,IF(ISBLANK(E53),0,IF(ISBLANK(F53),0,1)))</f>
        <v>0</v>
      </c>
      <c r="C53" s="128" t="n">
        <v>19</v>
      </c>
      <c r="D53" s="151"/>
      <c r="E53" s="151"/>
      <c r="F53" s="152"/>
      <c r="G53" s="156"/>
      <c r="H53" s="151"/>
      <c r="I53" s="151"/>
      <c r="J53" s="132" t="str">
        <f aca="false">IF(ISBLANK(D53),"",IF(VLOOKUP(D53,#REF!,2)=0,"",IF(D53&gt;#REF!,"Mauvais numéro",IF(D53&lt;#REF!,"Mauvais numéro",(VLOOKUP(D53,#REF!,3))))))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57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49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24"/>
      <c r="U53" s="124"/>
      <c r="V53" s="124"/>
      <c r="W53" s="124"/>
      <c r="X53" s="12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24"/>
      <c r="AJ53" s="124"/>
      <c r="AK53" s="124"/>
      <c r="AL53" s="124"/>
      <c r="AM53" s="124"/>
      <c r="AN53" s="124"/>
      <c r="AO53" s="124"/>
      <c r="AP53" s="124"/>
      <c r="AQ53" s="124"/>
      <c r="AR53" s="124"/>
      <c r="AS53" s="124"/>
      <c r="AT53" s="124"/>
      <c r="AU53" s="124"/>
      <c r="AV53" s="124"/>
      <c r="AW53" s="124"/>
      <c r="AX53" s="124"/>
      <c r="AY53" s="124"/>
      <c r="AZ53" s="124"/>
      <c r="BA53" s="124"/>
      <c r="BB53" s="136"/>
    </row>
    <row r="54" customFormat="false" ht="15.6" hidden="false" customHeight="false" outlineLevel="0" collapsed="false">
      <c r="A54" s="111" t="n">
        <f aca="false">IF(ISBLANK(VLOOKUP(D54,#REF!,3)),0,1)</f>
        <v>1</v>
      </c>
      <c r="B54" s="112" t="n">
        <f aca="false">IF(ISBLANK(D54),0,IF(ISBLANK(E54),0,IF(ISBLANK(F54),0,1)))</f>
        <v>0</v>
      </c>
      <c r="C54" s="128" t="n">
        <v>20</v>
      </c>
      <c r="D54" s="151"/>
      <c r="E54" s="151"/>
      <c r="F54" s="152"/>
      <c r="G54" s="156"/>
      <c r="H54" s="151"/>
      <c r="I54" s="151"/>
      <c r="J54" s="132" t="str">
        <f aca="false">IF(ISBLANK(D54),"",IF(VLOOKUP(D54,#REF!,2)=0,"",IF(D54&gt;#REF!,"Mauvais numéro",IF(D54&lt;#REF!,"Mauvais numéro",(VLOOKUP(D54,#REF!,3))))))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57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49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4"/>
      <c r="U54" s="124"/>
      <c r="V54" s="124"/>
      <c r="W54" s="124"/>
      <c r="X54" s="124"/>
      <c r="Y54" s="124"/>
      <c r="Z54" s="124"/>
      <c r="AA54" s="124"/>
      <c r="AB54" s="124"/>
      <c r="AC54" s="124"/>
      <c r="AD54" s="124"/>
      <c r="AE54" s="124"/>
      <c r="AF54" s="124"/>
      <c r="AG54" s="124"/>
      <c r="AH54" s="124"/>
      <c r="AI54" s="124"/>
      <c r="AJ54" s="124"/>
      <c r="AK54" s="124"/>
      <c r="AL54" s="124"/>
      <c r="AM54" s="124"/>
      <c r="AN54" s="124"/>
      <c r="AO54" s="124"/>
      <c r="AP54" s="124"/>
      <c r="AQ54" s="124"/>
      <c r="AR54" s="124"/>
      <c r="AS54" s="124"/>
      <c r="AT54" s="124"/>
      <c r="AU54" s="124"/>
      <c r="AV54" s="124"/>
      <c r="AW54" s="124"/>
      <c r="AX54" s="124"/>
      <c r="AY54" s="124"/>
      <c r="AZ54" s="124"/>
      <c r="BA54" s="124"/>
      <c r="BB54" s="136"/>
    </row>
    <row r="55" customFormat="false" ht="15.6" hidden="false" customHeight="false" outlineLevel="0" collapsed="false">
      <c r="A55" s="111" t="n">
        <f aca="false">IF(ISBLANK(VLOOKUP(D55,#REF!,3)),0,1)</f>
        <v>1</v>
      </c>
      <c r="B55" s="112" t="n">
        <f aca="false">IF(ISBLANK(D55),0,IF(ISBLANK(E55),0,IF(ISBLANK(F55),0,1)))</f>
        <v>0</v>
      </c>
      <c r="C55" s="128" t="n">
        <v>21</v>
      </c>
      <c r="D55" s="151"/>
      <c r="E55" s="151"/>
      <c r="F55" s="152"/>
      <c r="G55" s="156"/>
      <c r="H55" s="151"/>
      <c r="I55" s="151"/>
      <c r="J55" s="132" t="str">
        <f aca="false">IF(ISBLANK(D55),"",IF(VLOOKUP(D55,#REF!,2)=0,"",IF(D55&gt;#REF!,"Mauvais numéro",IF(D55&lt;#REF!,"Mauvais numéro",(VLOOKUP(D55,#REF!,3))))))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57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49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24"/>
      <c r="U55" s="124"/>
      <c r="V55" s="124"/>
      <c r="W55" s="124"/>
      <c r="X55" s="124"/>
      <c r="Y55" s="124"/>
      <c r="Z55" s="124"/>
      <c r="AA55" s="124"/>
      <c r="AB55" s="124"/>
      <c r="AC55" s="124"/>
      <c r="AD55" s="124"/>
      <c r="AE55" s="124"/>
      <c r="AF55" s="124"/>
      <c r="AG55" s="124"/>
      <c r="AH55" s="124"/>
      <c r="AI55" s="124"/>
      <c r="AJ55" s="124"/>
      <c r="AK55" s="124"/>
      <c r="AL55" s="124"/>
      <c r="AM55" s="124"/>
      <c r="AN55" s="124"/>
      <c r="AO55" s="124"/>
      <c r="AP55" s="124"/>
      <c r="AQ55" s="124"/>
      <c r="AR55" s="124"/>
      <c r="AS55" s="124"/>
      <c r="AT55" s="124"/>
      <c r="AU55" s="124"/>
      <c r="AV55" s="124"/>
      <c r="AW55" s="124"/>
      <c r="AX55" s="124"/>
      <c r="AY55" s="124"/>
      <c r="AZ55" s="124"/>
      <c r="BA55" s="124"/>
      <c r="BB55" s="136"/>
    </row>
    <row r="56" customFormat="false" ht="15.6" hidden="false" customHeight="false" outlineLevel="0" collapsed="false">
      <c r="A56" s="111" t="n">
        <f aca="false">IF(ISBLANK(VLOOKUP(D56,#REF!,3)),0,1)</f>
        <v>1</v>
      </c>
      <c r="B56" s="112" t="n">
        <f aca="false">IF(ISBLANK(D56),0,IF(ISBLANK(E56),0,IF(ISBLANK(F56),0,1)))</f>
        <v>0</v>
      </c>
      <c r="C56" s="128" t="n">
        <v>22</v>
      </c>
      <c r="D56" s="151"/>
      <c r="E56" s="151"/>
      <c r="F56" s="152"/>
      <c r="G56" s="156"/>
      <c r="H56" s="151"/>
      <c r="I56" s="151"/>
      <c r="J56" s="132" t="str">
        <f aca="false">IF(ISBLANK(D56),"",IF(VLOOKUP(D56,#REF!,2)=0,"",IF(D56&gt;#REF!,"Mauvais numéro",IF(D56&lt;#REF!,"Mauvais numéro",(VLOOKUP(D56,#REF!,3))))))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57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49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24"/>
      <c r="AE56" s="124"/>
      <c r="AF56" s="124"/>
      <c r="AG56" s="124"/>
      <c r="AH56" s="124"/>
      <c r="AI56" s="124"/>
      <c r="AJ56" s="124"/>
      <c r="AK56" s="124"/>
      <c r="AL56" s="124"/>
      <c r="AM56" s="124"/>
      <c r="AN56" s="124"/>
      <c r="AO56" s="124"/>
      <c r="AP56" s="124"/>
      <c r="AQ56" s="124"/>
      <c r="AR56" s="124"/>
      <c r="AS56" s="124"/>
      <c r="AT56" s="124"/>
      <c r="AU56" s="124"/>
      <c r="AV56" s="124"/>
      <c r="AW56" s="124"/>
      <c r="AX56" s="124"/>
      <c r="AY56" s="124"/>
      <c r="AZ56" s="124"/>
      <c r="BA56" s="124"/>
      <c r="BB56" s="136"/>
    </row>
    <row r="57" customFormat="false" ht="15.6" hidden="false" customHeight="false" outlineLevel="0" collapsed="false">
      <c r="A57" s="111" t="n">
        <f aca="false">IF(ISBLANK(VLOOKUP(D57,#REF!,3)),0,1)</f>
        <v>1</v>
      </c>
      <c r="B57" s="112" t="n">
        <f aca="false">IF(ISBLANK(D57),0,IF(ISBLANK(E57),0,IF(ISBLANK(F57),0,1)))</f>
        <v>0</v>
      </c>
      <c r="C57" s="128" t="n">
        <v>23</v>
      </c>
      <c r="D57" s="151"/>
      <c r="E57" s="151"/>
      <c r="F57" s="152"/>
      <c r="G57" s="156"/>
      <c r="H57" s="151"/>
      <c r="I57" s="151"/>
      <c r="J57" s="132" t="str">
        <f aca="false">IF(ISBLANK(D57),"",IF(VLOOKUP(D57,#REF!,2)=0,"",IF(D57&gt;#REF!,"Mauvais numéro",IF(D57&lt;#REF!,"Mauvais numéro",(VLOOKUP(D57,#REF!,3))))))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57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49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4"/>
      <c r="U57" s="124"/>
      <c r="V57" s="124"/>
      <c r="W57" s="124"/>
      <c r="X57" s="124"/>
      <c r="Y57" s="124"/>
      <c r="Z57" s="124"/>
      <c r="AA57" s="124"/>
      <c r="AB57" s="124"/>
      <c r="AC57" s="124"/>
      <c r="AD57" s="124"/>
      <c r="AE57" s="124"/>
      <c r="AF57" s="124"/>
      <c r="AG57" s="124"/>
      <c r="AH57" s="124"/>
      <c r="AI57" s="124"/>
      <c r="AJ57" s="124"/>
      <c r="AK57" s="124"/>
      <c r="AL57" s="124"/>
      <c r="AM57" s="124"/>
      <c r="AN57" s="124"/>
      <c r="AO57" s="124"/>
      <c r="AP57" s="124"/>
      <c r="AQ57" s="124"/>
      <c r="AR57" s="124"/>
      <c r="AS57" s="124"/>
      <c r="AT57" s="124"/>
      <c r="AU57" s="124"/>
      <c r="AV57" s="124"/>
      <c r="AW57" s="124"/>
      <c r="AX57" s="124"/>
      <c r="AY57" s="124"/>
      <c r="AZ57" s="124"/>
      <c r="BA57" s="124"/>
      <c r="BB57" s="136"/>
    </row>
    <row r="58" customFormat="false" ht="16.2" hidden="false" customHeight="false" outlineLevel="0" collapsed="false">
      <c r="A58" s="111" t="n">
        <f aca="false">IF(ISBLANK(VLOOKUP(D58,#REF!,3)),0,1)</f>
        <v>1</v>
      </c>
      <c r="B58" s="112" t="n">
        <f aca="false">IF(ISBLANK(D58),0,IF(ISBLANK(E58),0,IF(ISBLANK(F58),0,1)))</f>
        <v>0</v>
      </c>
      <c r="C58" s="158" t="n">
        <v>24</v>
      </c>
      <c r="D58" s="159"/>
      <c r="E58" s="159"/>
      <c r="F58" s="160"/>
      <c r="G58" s="161"/>
      <c r="H58" s="159"/>
      <c r="I58" s="159"/>
      <c r="J58" s="162" t="str">
        <f aca="false">IF(ISBLANK(D58),"",IF(VLOOKUP(D58,#REF!,2)=0,"",IF(D58&gt;#REF!,"Mauvais numéro",IF(D58&lt;#REF!,"Mauvais numéro",(VLOOKUP(D58,#REF!,3))))))</f>
        <v/>
      </c>
      <c r="K58" s="163" t="str">
        <f aca="false">IF(ISBLANK(E58),"",(0.000824493-(0.0000040899*E58)+(0.000000076438*E58^2)-(0.00000000082467*E58^3)+(0.0000000000053875*E58^4)))</f>
        <v/>
      </c>
      <c r="L58" s="163" t="str">
        <f aca="false">IF(ISBLANK(E58),"",(-0.00000572466+(0.00000010227*E58)-(0.0000000016546*E58^2)))</f>
        <v/>
      </c>
      <c r="M58" s="163" t="str">
        <f aca="false">IF(ISBLANK(E58),"",IF(ISBLANK(G58),(O58+(K58*35)+(L58*35^1.5)+(0.00000048314*35^2)),(O58+(K58*G58)+(L58*G58^1.5)+(0.00000048314*G58^2))))</f>
        <v/>
      </c>
      <c r="N58" s="164" t="str">
        <f aca="false">IF(ISBLANK(D58),"",IF(ISBLANK(G58),J58*(1+0.00001*(35-20)),J58*(1+0.00001*(G58-20))))</f>
        <v/>
      </c>
      <c r="O58" s="163" t="str">
        <f aca="false">IF(ISBLANK(E58),"",(0.999842594+(0.00006793952*E58)-(0.00000909529*E58^2)+(0.0000001001685*E58^3)-(0.000000001120083*E58^4)+(0.000000000006536332*E58^5)))</f>
        <v/>
      </c>
      <c r="P58" s="165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66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7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7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68"/>
      <c r="U58" s="168"/>
      <c r="V58" s="168"/>
      <c r="W58" s="168"/>
      <c r="X58" s="168"/>
      <c r="Y58" s="168"/>
      <c r="Z58" s="168"/>
      <c r="AA58" s="168"/>
      <c r="AB58" s="168"/>
      <c r="AC58" s="168"/>
      <c r="AD58" s="168"/>
      <c r="AE58" s="168"/>
      <c r="AF58" s="168"/>
      <c r="AG58" s="168"/>
      <c r="AH58" s="168"/>
      <c r="AI58" s="168"/>
      <c r="AJ58" s="168"/>
      <c r="AK58" s="168"/>
      <c r="AL58" s="168"/>
      <c r="AM58" s="168"/>
      <c r="AN58" s="168"/>
      <c r="AO58" s="168"/>
      <c r="AP58" s="168"/>
      <c r="AQ58" s="168"/>
      <c r="AR58" s="168"/>
      <c r="AS58" s="168"/>
      <c r="AT58" s="168"/>
      <c r="AU58" s="168"/>
      <c r="AV58" s="168"/>
      <c r="AW58" s="168"/>
      <c r="AX58" s="168"/>
      <c r="AY58" s="168"/>
      <c r="AZ58" s="168"/>
      <c r="BA58" s="168"/>
      <c r="BB58" s="169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T1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8178137651822"/>
    <col collapsed="false" hidden="false" max="32" min="32" style="0" width="9.10526315789474"/>
    <col collapsed="false" hidden="false" max="33" min="33" style="0" width="26.5668016194332"/>
    <col collapsed="false" hidden="false" max="34" min="34" style="0" width="12.8542510121458"/>
    <col collapsed="false" hidden="false" max="35" min="35" style="0" width="11.3562753036437"/>
    <col collapsed="false" hidden="false" max="36" min="36" style="0" width="14.5668016194332"/>
    <col collapsed="false" hidden="false" max="37" min="37" style="0" width="12.2105263157895"/>
    <col collapsed="false" hidden="false" max="38" min="38" style="0" width="26.995951417004"/>
    <col collapsed="false" hidden="false" max="39" min="39" style="0" width="14.6761133603239"/>
    <col collapsed="false" hidden="false" max="40" min="40" style="0" width="11.3562753036437"/>
    <col collapsed="false" hidden="false" max="41" min="41" style="0" width="12.5344129554656"/>
    <col collapsed="false" hidden="false" max="42" min="42" style="0" width="10.7125506072875"/>
    <col collapsed="false" hidden="false" max="43" min="43" style="0" width="6.31983805668016"/>
    <col collapsed="false" hidden="false" max="44" min="44" style="0" width="19.7085020242915"/>
    <col collapsed="false" hidden="false" max="45" min="45" style="0" width="13.0688259109312"/>
    <col collapsed="false" hidden="false" max="46" min="46" style="0" width="17.7813765182186"/>
    <col collapsed="false" hidden="false" max="47" min="47" style="0" width="14.6761133603239"/>
    <col collapsed="false" hidden="false" max="48" min="48" style="0" width="13.6032388663968"/>
    <col collapsed="false" hidden="false" max="49" min="49" style="0" width="13.7125506072874"/>
    <col collapsed="false" hidden="false" max="50" min="50" style="0" width="19.9230769230769"/>
    <col collapsed="false" hidden="false" max="51" min="51" style="0" width="13.2834008097166"/>
    <col collapsed="false" hidden="false" max="52" min="52" style="0" width="17.6761133603239"/>
    <col collapsed="false" hidden="false" max="53" min="53" style="0" width="13.3886639676113"/>
    <col collapsed="false" hidden="false" max="54" min="54" style="0" width="12.6396761133603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17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38544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5</v>
      </c>
      <c r="J9" s="29" t="n">
        <v>29.77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-5°29,77</v>
      </c>
      <c r="P9" s="29" t="s">
        <v>15</v>
      </c>
      <c r="Q9" s="33" t="n">
        <f aca="false">IF(ISBLANK(I9),"",IF(ISBLANK(J9),"",IF(J9&gt;60,"ERREUR !!",O11*(I9+(J9/60)))))</f>
        <v>-5.49616666666667</v>
      </c>
      <c r="R9" s="33"/>
    </row>
    <row r="10" customFormat="false" ht="15" hidden="false" customHeight="true" outlineLevel="0" collapsed="false">
      <c r="C10" s="21"/>
      <c r="D10" s="18"/>
      <c r="G10" s="27" t="s">
        <v>16</v>
      </c>
      <c r="H10" s="27"/>
      <c r="I10" s="28" t="n">
        <v>10</v>
      </c>
      <c r="J10" s="29" t="n">
        <v>0.3</v>
      </c>
      <c r="K10" s="30" t="s">
        <v>12</v>
      </c>
      <c r="L10" s="31" t="str">
        <f aca="false">IF(P10=N9,"+","-")</f>
        <v>-</v>
      </c>
      <c r="M10" s="30" t="s">
        <v>15</v>
      </c>
      <c r="N10" s="30" t="s">
        <v>17</v>
      </c>
      <c r="O10" s="34" t="str">
        <f aca="false">IF(ISBLANK(I10),"",IF(ISBLANK(J10),"",IF(P10=N10,L10&amp;N12,N12)))</f>
        <v>-10°0,3</v>
      </c>
      <c r="P10" s="29" t="s">
        <v>17</v>
      </c>
      <c r="Q10" s="33" t="n">
        <f aca="false">IF(ISBLANK(I10),"",IF(ISBLANK(J10),"",IF(J10&gt;60,"ERREUR !!",O12*(I10+(J10/60)))))</f>
        <v>-10.005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38543</v>
      </c>
      <c r="K11" s="38"/>
      <c r="L11" s="38"/>
      <c r="M11" s="38"/>
      <c r="N11" s="39" t="str">
        <f aca="false">I9&amp;"°"&amp;J9</f>
        <v>5°29,77</v>
      </c>
      <c r="O11" s="40" t="n">
        <f aca="false">IF(P9=M10,-1,1)</f>
        <v>-1</v>
      </c>
      <c r="P11" s="41" t="str">
        <f aca="false">TEXT(J11,"aaaa-mm-jj")&amp;"T"&amp;TEXT(J12,"hh:mm:ss")&amp;"z"</f>
        <v>2009-07-11T16:10:00z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0.673611111111111</v>
      </c>
      <c r="K12" s="45"/>
      <c r="L12" s="45"/>
      <c r="M12" s="45"/>
      <c r="N12" s="46" t="str">
        <f aca="false">I10&amp;"°"&amp;J10</f>
        <v>10°0,3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e">
        <f aca="false">$P$24*($P$18/#REF!)</f>
        <v>#REF!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e">
        <f aca="false">5+#REF!</f>
        <v>#REF!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e">
        <f aca="false">P20*(1+0.00001*(R14-20))</f>
        <v>#REF!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e">
        <f aca="false">MAX(#REF!)</f>
        <v>#VALUE!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e">
        <f aca="false">2+(#REF!+#REF!)</f>
        <v>#REF!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52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53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6.2" hidden="false" customHeight="false" outlineLevel="0" collapsed="false">
      <c r="A35" s="111" t="n">
        <f aca="false">IF(ISBLANK(VLOOKUP(D35,#REF!,3)),0,1)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n">
        <v>34.9536</v>
      </c>
      <c r="H35" s="118" t="n">
        <v>2000</v>
      </c>
      <c r="I35" s="119" t="n">
        <v>2002.4</v>
      </c>
      <c r="J35" s="120"/>
      <c r="K35" s="121"/>
      <c r="L35" s="121"/>
      <c r="M35" s="121"/>
      <c r="N35" s="122"/>
      <c r="O35" s="121"/>
      <c r="P35" s="173" t="n">
        <v>5.596</v>
      </c>
      <c r="Q35" s="120" t="s">
        <v>99</v>
      </c>
      <c r="R35" s="120" t="s">
        <v>99</v>
      </c>
      <c r="S35" s="176" t="n">
        <v>243.21</v>
      </c>
      <c r="T35" s="32" t="n">
        <v>0.03</v>
      </c>
      <c r="U35" s="32" t="n">
        <v>0.03</v>
      </c>
      <c r="V35" s="32"/>
      <c r="W35" s="32"/>
      <c r="X35" s="125" t="n">
        <v>20.9</v>
      </c>
      <c r="Y35" s="125" t="n">
        <v>20.4</v>
      </c>
      <c r="Z35" s="32" t="n">
        <v>1.48</v>
      </c>
      <c r="AA35" s="32" t="n">
        <v>1.45</v>
      </c>
      <c r="AB35" s="125" t="n">
        <v>24.7</v>
      </c>
      <c r="AC35" s="125" t="n">
        <v>24.1</v>
      </c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7"/>
    </row>
    <row r="36" customFormat="false" ht="15.6" hidden="false" customHeight="false" outlineLevel="0" collapsed="false">
      <c r="A36" s="111" t="n">
        <f aca="false">IF(ISBLANK(VLOOKUP(D36,#REF!,3)),0,1)</f>
        <v>1</v>
      </c>
      <c r="B36" s="112" t="n">
        <f aca="false">IF(ISBLANK(D36),0,IF(ISBLANK(E36),0,IF(ISBLANK(F36),0,1)))</f>
        <v>0</v>
      </c>
      <c r="C36" s="128" t="n">
        <v>2</v>
      </c>
      <c r="D36" s="129"/>
      <c r="E36" s="129"/>
      <c r="F36" s="130"/>
      <c r="G36" s="117" t="n">
        <v>34.9495</v>
      </c>
      <c r="H36" s="118" t="n">
        <v>2000</v>
      </c>
      <c r="I36" s="119" t="n">
        <v>2002.4</v>
      </c>
      <c r="J36" s="132"/>
      <c r="K36" s="133"/>
      <c r="L36" s="133"/>
      <c r="M36" s="133"/>
      <c r="N36" s="134"/>
      <c r="O36" s="133"/>
      <c r="P36" s="175" t="n">
        <v>5.6</v>
      </c>
      <c r="Q36" s="132"/>
      <c r="R36" s="132"/>
      <c r="S36" s="177" t="n">
        <v>243.375</v>
      </c>
      <c r="T36" s="32" t="n">
        <v>0.03</v>
      </c>
      <c r="U36" s="32" t="n">
        <v>0.03</v>
      </c>
      <c r="V36" s="32"/>
      <c r="W36" s="32"/>
      <c r="X36" s="125" t="n">
        <v>20.9</v>
      </c>
      <c r="Y36" s="125" t="n">
        <v>20.4</v>
      </c>
      <c r="Z36" s="32" t="n">
        <v>1.48</v>
      </c>
      <c r="AA36" s="32" t="n">
        <v>1.45</v>
      </c>
      <c r="AB36" s="125" t="n">
        <v>25</v>
      </c>
      <c r="AC36" s="125" t="n">
        <v>24.4</v>
      </c>
      <c r="AD36" s="124"/>
      <c r="AE36" s="124"/>
      <c r="AF36" s="124"/>
      <c r="AG36" s="124"/>
      <c r="AH36" s="124"/>
      <c r="AI36" s="124"/>
      <c r="AJ36" s="124"/>
      <c r="AK36" s="124"/>
      <c r="AL36" s="124"/>
      <c r="AM36" s="124"/>
      <c r="AN36" s="124"/>
      <c r="AO36" s="124"/>
      <c r="AP36" s="124"/>
      <c r="AQ36" s="124"/>
      <c r="AR36" s="124"/>
      <c r="AS36" s="124"/>
      <c r="AT36" s="124"/>
      <c r="AU36" s="124"/>
      <c r="AV36" s="124"/>
      <c r="AW36" s="124"/>
      <c r="AX36" s="124"/>
      <c r="AY36" s="124"/>
      <c r="AZ36" s="124"/>
      <c r="BA36" s="124"/>
      <c r="BB36" s="136"/>
    </row>
    <row r="37" customFormat="false" ht="16.2" hidden="false" customHeight="false" outlineLevel="0" collapsed="false">
      <c r="A37" s="111" t="n">
        <f aca="false">IF(ISBLANK(VLOOKUP(D37,#REF!,3)),0,1)</f>
        <v>1</v>
      </c>
      <c r="B37" s="112" t="n">
        <f aca="false">IF(ISBLANK(D37),0,IF(ISBLANK(E37),0,IF(ISBLANK(F37),0,1)))</f>
        <v>0</v>
      </c>
      <c r="C37" s="128" t="n">
        <v>3</v>
      </c>
      <c r="D37" s="129"/>
      <c r="E37" s="129"/>
      <c r="F37" s="137"/>
      <c r="G37" s="117" t="n">
        <v>34.5987</v>
      </c>
      <c r="H37" s="131" t="n">
        <v>1000</v>
      </c>
      <c r="I37" s="119" t="n">
        <v>999</v>
      </c>
      <c r="J37" s="132"/>
      <c r="K37" s="133"/>
      <c r="L37" s="133"/>
      <c r="M37" s="133"/>
      <c r="N37" s="134"/>
      <c r="O37" s="133"/>
      <c r="P37" s="175" t="n">
        <v>3.607</v>
      </c>
      <c r="Q37" s="132"/>
      <c r="R37" s="132"/>
      <c r="S37" s="177" t="n">
        <v>156.823</v>
      </c>
      <c r="T37" s="32" t="n">
        <v>0.03</v>
      </c>
      <c r="U37" s="32" t="n">
        <v>0.03</v>
      </c>
      <c r="V37" s="32"/>
      <c r="W37" s="32"/>
      <c r="X37" s="125" t="n">
        <v>33.8</v>
      </c>
      <c r="Y37" s="125" t="n">
        <v>33</v>
      </c>
      <c r="Z37" s="32" t="n">
        <v>2.32</v>
      </c>
      <c r="AA37" s="32" t="n">
        <v>2.27</v>
      </c>
      <c r="AB37" s="125" t="n">
        <v>33.9</v>
      </c>
      <c r="AC37" s="125" t="n">
        <v>33.1</v>
      </c>
      <c r="AD37" s="124"/>
      <c r="AE37" s="124"/>
      <c r="AF37" s="124"/>
      <c r="AG37" s="124"/>
      <c r="AH37" s="124"/>
      <c r="AI37" s="124"/>
      <c r="AJ37" s="124"/>
      <c r="AK37" s="124"/>
      <c r="AL37" s="124"/>
      <c r="AM37" s="124"/>
      <c r="AN37" s="124"/>
      <c r="AO37" s="124"/>
      <c r="AP37" s="124"/>
      <c r="AQ37" s="124"/>
      <c r="AR37" s="124"/>
      <c r="AS37" s="124"/>
      <c r="AT37" s="124"/>
      <c r="AU37" s="124"/>
      <c r="AV37" s="124"/>
      <c r="AW37" s="124"/>
      <c r="AX37" s="124"/>
      <c r="AY37" s="124"/>
      <c r="AZ37" s="124"/>
      <c r="BA37" s="124"/>
      <c r="BB37" s="136"/>
    </row>
    <row r="38" customFormat="false" ht="15.6" hidden="false" customHeight="false" outlineLevel="0" collapsed="false">
      <c r="A38" s="111" t="n">
        <f aca="false">IF(ISBLANK(VLOOKUP(D38,#REF!,3)),0,1)</f>
        <v>1</v>
      </c>
      <c r="B38" s="112" t="n">
        <f aca="false">IF(ISBLANK(D38),0,IF(ISBLANK(E38),0,IF(ISBLANK(F38),0,1)))</f>
        <v>0</v>
      </c>
      <c r="C38" s="128" t="n">
        <v>4</v>
      </c>
      <c r="D38" s="138"/>
      <c r="E38" s="138"/>
      <c r="F38" s="139"/>
      <c r="G38" s="117" t="n">
        <v>34.6274</v>
      </c>
      <c r="H38" s="131" t="n">
        <v>500</v>
      </c>
      <c r="I38" s="119" t="n">
        <v>502.3</v>
      </c>
      <c r="J38" s="132"/>
      <c r="K38" s="133"/>
      <c r="L38" s="133"/>
      <c r="M38" s="133"/>
      <c r="N38" s="134"/>
      <c r="O38" s="133"/>
      <c r="P38" s="175" t="n">
        <v>2.145</v>
      </c>
      <c r="Q38" s="132"/>
      <c r="R38" s="132"/>
      <c r="S38" s="177" t="n">
        <v>93.295</v>
      </c>
      <c r="T38" s="32" t="n">
        <v>0.03</v>
      </c>
      <c r="U38" s="32" t="n">
        <v>0.03</v>
      </c>
      <c r="V38" s="32"/>
      <c r="W38" s="32"/>
      <c r="X38" s="125" t="n">
        <v>36.8</v>
      </c>
      <c r="Y38" s="125" t="n">
        <v>36</v>
      </c>
      <c r="Z38" s="32" t="n">
        <v>2.32</v>
      </c>
      <c r="AA38" s="32" t="n">
        <v>2.27</v>
      </c>
      <c r="AB38" s="125" t="n">
        <v>22</v>
      </c>
      <c r="AC38" s="125" t="n">
        <v>21.5</v>
      </c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7"/>
    </row>
    <row r="39" customFormat="false" ht="15.6" hidden="false" customHeight="false" outlineLevel="0" collapsed="false">
      <c r="A39" s="111" t="n">
        <f aca="false">IF(ISBLANK(VLOOKUP(D39,#REF!,3)),0,1)</f>
        <v>1</v>
      </c>
      <c r="B39" s="112" t="n">
        <f aca="false">IF(ISBLANK(D39),0,IF(ISBLANK(E39),0,IF(ISBLANK(F39),0,1)))</f>
        <v>0</v>
      </c>
      <c r="C39" s="128" t="n">
        <v>5</v>
      </c>
      <c r="D39" s="129"/>
      <c r="E39" s="129"/>
      <c r="F39" s="137"/>
      <c r="G39" s="117" t="n">
        <v>35.6416</v>
      </c>
      <c r="H39" s="131" t="n">
        <v>100</v>
      </c>
      <c r="I39" s="119" t="n">
        <v>97.4</v>
      </c>
      <c r="J39" s="132"/>
      <c r="K39" s="133"/>
      <c r="L39" s="133"/>
      <c r="M39" s="133"/>
      <c r="N39" s="134"/>
      <c r="O39" s="133"/>
      <c r="P39" s="175" t="n">
        <v>2.309</v>
      </c>
      <c r="Q39" s="132"/>
      <c r="R39" s="132"/>
      <c r="S39" s="177" t="n">
        <v>100.491</v>
      </c>
      <c r="T39" s="32" t="n">
        <v>0.07</v>
      </c>
      <c r="U39" s="32" t="n">
        <v>0.07</v>
      </c>
      <c r="V39" s="32"/>
      <c r="W39" s="32"/>
      <c r="X39" s="125" t="n">
        <v>19.5</v>
      </c>
      <c r="Y39" s="125" t="n">
        <v>19.1</v>
      </c>
      <c r="Z39" s="32" t="n">
        <v>1.32</v>
      </c>
      <c r="AA39" s="32" t="n">
        <v>1.29</v>
      </c>
      <c r="AB39" s="125" t="n">
        <v>6.3</v>
      </c>
      <c r="AC39" s="125" t="n">
        <v>6.1</v>
      </c>
      <c r="AD39" s="124"/>
      <c r="AE39" s="124"/>
      <c r="AF39" s="124"/>
      <c r="AG39" s="124"/>
      <c r="AH39" s="124"/>
      <c r="AI39" s="124"/>
      <c r="AJ39" s="124"/>
      <c r="AK39" s="124"/>
      <c r="AL39" s="124"/>
      <c r="AM39" s="124"/>
      <c r="AN39" s="124"/>
      <c r="AO39" s="124"/>
      <c r="AP39" s="124"/>
      <c r="AQ39" s="124"/>
      <c r="AR39" s="124"/>
      <c r="AS39" s="124"/>
      <c r="AT39" s="124"/>
      <c r="AU39" s="124"/>
      <c r="AV39" s="124"/>
      <c r="AW39" s="124"/>
      <c r="AX39" s="124"/>
      <c r="AY39" s="124"/>
      <c r="AZ39" s="124"/>
      <c r="BA39" s="124"/>
      <c r="BB39" s="136"/>
    </row>
    <row r="40" customFormat="false" ht="16.2" hidden="false" customHeight="false" outlineLevel="0" collapsed="false">
      <c r="A40" s="111" t="n">
        <f aca="false">IF(ISBLANK(VLOOKUP(D40,#REF!,3)),0,1)</f>
        <v>1</v>
      </c>
      <c r="B40" s="112" t="n">
        <f aca="false">IF(ISBLANK(D40),0,IF(ISBLANK(E40),0,IF(ISBLANK(F40),0,1)))</f>
        <v>0</v>
      </c>
      <c r="C40" s="128" t="n">
        <v>6</v>
      </c>
      <c r="D40" s="129"/>
      <c r="E40" s="129"/>
      <c r="F40" s="137"/>
      <c r="G40" s="117"/>
      <c r="H40" s="131" t="n">
        <v>80</v>
      </c>
      <c r="I40" s="119"/>
      <c r="J40" s="132"/>
      <c r="K40" s="133"/>
      <c r="L40" s="133"/>
      <c r="M40" s="133"/>
      <c r="N40" s="134"/>
      <c r="O40" s="133"/>
      <c r="P40" s="175"/>
      <c r="Q40" s="132"/>
      <c r="R40" s="132"/>
      <c r="S40" s="177"/>
      <c r="T40" s="32" t="n">
        <v>0.31</v>
      </c>
      <c r="U40" s="32" t="n">
        <v>0.3</v>
      </c>
      <c r="V40" s="32"/>
      <c r="W40" s="32"/>
      <c r="X40" s="125" t="n">
        <v>13.4</v>
      </c>
      <c r="Y40" s="125" t="n">
        <v>13.1</v>
      </c>
      <c r="Z40" s="32" t="n">
        <v>1</v>
      </c>
      <c r="AA40" s="32" t="n">
        <v>0.98</v>
      </c>
      <c r="AB40" s="125" t="n">
        <v>4.5</v>
      </c>
      <c r="AC40" s="125" t="n">
        <v>4.4</v>
      </c>
      <c r="AD40" s="124"/>
      <c r="AE40" s="124"/>
      <c r="AF40" s="124"/>
      <c r="AG40" s="124"/>
      <c r="AH40" s="124"/>
      <c r="AI40" s="124"/>
      <c r="AJ40" s="124"/>
      <c r="AK40" s="124"/>
      <c r="AL40" s="124"/>
      <c r="AM40" s="124"/>
      <c r="AN40" s="124"/>
      <c r="AO40" s="124"/>
      <c r="AP40" s="124"/>
      <c r="AQ40" s="124"/>
      <c r="AR40" s="124"/>
      <c r="AS40" s="124"/>
      <c r="AT40" s="124"/>
      <c r="AU40" s="124"/>
      <c r="AV40" s="124"/>
      <c r="AW40" s="124"/>
      <c r="AX40" s="124"/>
      <c r="AY40" s="124"/>
      <c r="AZ40" s="124"/>
      <c r="BA40" s="124"/>
      <c r="BB40" s="136"/>
    </row>
    <row r="41" customFormat="false" ht="15.6" hidden="false" customHeight="false" outlineLevel="0" collapsed="false">
      <c r="A41" s="111" t="n">
        <f aca="false">IF(ISBLANK(VLOOKUP(D41,#REF!,3)),0,1)</f>
        <v>1</v>
      </c>
      <c r="B41" s="112" t="n">
        <f aca="false">IF(ISBLANK(D41),0,IF(ISBLANK(E41),0,IF(ISBLANK(F41),0,1)))</f>
        <v>0</v>
      </c>
      <c r="C41" s="128" t="n">
        <v>7</v>
      </c>
      <c r="D41" s="129"/>
      <c r="E41" s="129"/>
      <c r="F41" s="137"/>
      <c r="G41" s="117"/>
      <c r="H41" s="131" t="n">
        <v>60</v>
      </c>
      <c r="I41" s="119"/>
      <c r="J41" s="132"/>
      <c r="K41" s="133"/>
      <c r="L41" s="133"/>
      <c r="M41" s="133"/>
      <c r="N41" s="134"/>
      <c r="O41" s="133"/>
      <c r="P41" s="175"/>
      <c r="Q41" s="132"/>
      <c r="R41" s="132"/>
      <c r="S41" s="177"/>
      <c r="T41" s="32" t="n">
        <v>0.39</v>
      </c>
      <c r="U41" s="32" t="n">
        <v>0.38</v>
      </c>
      <c r="V41" s="32"/>
      <c r="W41" s="32"/>
      <c r="X41" s="125" t="n">
        <v>4.2</v>
      </c>
      <c r="Y41" s="125" t="n">
        <v>4.1</v>
      </c>
      <c r="Z41" s="32" t="n">
        <v>0.51</v>
      </c>
      <c r="AA41" s="32" t="n">
        <v>0.5</v>
      </c>
      <c r="AB41" s="125" t="n">
        <v>2.8</v>
      </c>
      <c r="AC41" s="125" t="n">
        <v>2.7</v>
      </c>
      <c r="AD41" s="126"/>
      <c r="AE41" s="126"/>
      <c r="AF41" s="126"/>
      <c r="AG41" s="126"/>
      <c r="AH41" s="126"/>
      <c r="AI41" s="126"/>
      <c r="AJ41" s="126"/>
      <c r="AK41" s="126"/>
      <c r="AL41" s="126"/>
      <c r="AM41" s="126"/>
      <c r="AN41" s="126"/>
      <c r="AO41" s="126"/>
      <c r="AP41" s="126"/>
      <c r="AQ41" s="126"/>
      <c r="AR41" s="126"/>
      <c r="AS41" s="126"/>
      <c r="AT41" s="126"/>
      <c r="AU41" s="126"/>
      <c r="AV41" s="126"/>
      <c r="AW41" s="126"/>
      <c r="AX41" s="126"/>
      <c r="AY41" s="126"/>
      <c r="AZ41" s="126"/>
      <c r="BA41" s="126"/>
      <c r="BB41" s="127"/>
    </row>
    <row r="42" customFormat="false" ht="16.2" hidden="false" customHeight="false" outlineLevel="0" collapsed="false">
      <c r="A42" s="111" t="n">
        <f aca="false">IF(ISBLANK(VLOOKUP(D42,#REF!,3)),0,1)</f>
        <v>1</v>
      </c>
      <c r="B42" s="112" t="n">
        <f aca="false">IF(ISBLANK(D42),0,IF(ISBLANK(E42),0,IF(ISBLANK(F42),0,1)))</f>
        <v>0</v>
      </c>
      <c r="C42" s="128" t="n">
        <v>8</v>
      </c>
      <c r="D42" s="129"/>
      <c r="E42" s="129"/>
      <c r="F42" s="137"/>
      <c r="G42" s="117"/>
      <c r="H42" s="131" t="n">
        <v>40</v>
      </c>
      <c r="I42" s="119"/>
      <c r="J42" s="132"/>
      <c r="K42" s="133"/>
      <c r="L42" s="133"/>
      <c r="M42" s="133"/>
      <c r="N42" s="134"/>
      <c r="O42" s="133"/>
      <c r="P42" s="175"/>
      <c r="Q42" s="132"/>
      <c r="R42" s="132"/>
      <c r="S42" s="177"/>
      <c r="T42" s="32" t="n">
        <v>0.12</v>
      </c>
      <c r="U42" s="32" t="n">
        <v>0.12</v>
      </c>
      <c r="V42" s="32"/>
      <c r="W42" s="32"/>
      <c r="X42" s="125" t="n">
        <v>1.6</v>
      </c>
      <c r="Y42" s="125" t="n">
        <v>1.5</v>
      </c>
      <c r="Z42" s="32" t="n">
        <v>0.31</v>
      </c>
      <c r="AA42" s="32" t="n">
        <v>0.3</v>
      </c>
      <c r="AB42" s="125" t="n">
        <v>2.1</v>
      </c>
      <c r="AC42" s="125" t="n">
        <v>2.1</v>
      </c>
      <c r="AD42" s="124"/>
      <c r="AE42" s="124"/>
      <c r="AF42" s="124"/>
      <c r="AG42" s="124"/>
      <c r="AH42" s="124"/>
      <c r="AI42" s="124"/>
      <c r="AJ42" s="124"/>
      <c r="AK42" s="124"/>
      <c r="AL42" s="124"/>
      <c r="AM42" s="124"/>
      <c r="AN42" s="124"/>
      <c r="AO42" s="124"/>
      <c r="AP42" s="124"/>
      <c r="AQ42" s="124"/>
      <c r="AR42" s="124"/>
      <c r="AS42" s="124"/>
      <c r="AT42" s="124"/>
      <c r="AU42" s="124"/>
      <c r="AV42" s="124"/>
      <c r="AW42" s="124"/>
      <c r="AX42" s="124"/>
      <c r="AY42" s="124"/>
      <c r="AZ42" s="124"/>
      <c r="BA42" s="124"/>
      <c r="BB42" s="136"/>
    </row>
    <row r="43" customFormat="false" ht="15.6" hidden="false" customHeight="false" outlineLevel="0" collapsed="false">
      <c r="A43" s="111" t="n">
        <f aca="false">IF(ISBLANK(VLOOKUP(D43,#REF!,3)),0,1)</f>
        <v>1</v>
      </c>
      <c r="B43" s="112" t="n">
        <f aca="false">IF(ISBLANK(D43),0,IF(ISBLANK(E43),0,IF(ISBLANK(F43),0,1)))</f>
        <v>0</v>
      </c>
      <c r="C43" s="128" t="n">
        <v>9</v>
      </c>
      <c r="D43" s="129"/>
      <c r="E43" s="129"/>
      <c r="F43" s="137"/>
      <c r="G43" s="117"/>
      <c r="H43" s="131" t="n">
        <v>20</v>
      </c>
      <c r="I43" s="119"/>
      <c r="J43" s="132"/>
      <c r="K43" s="133"/>
      <c r="L43" s="133"/>
      <c r="M43" s="133"/>
      <c r="N43" s="134"/>
      <c r="O43" s="133"/>
      <c r="P43" s="175"/>
      <c r="Q43" s="132"/>
      <c r="R43" s="132"/>
      <c r="S43" s="177"/>
      <c r="T43" s="32" t="n">
        <v>0.02</v>
      </c>
      <c r="U43" s="32" t="n">
        <v>0.02</v>
      </c>
      <c r="V43" s="32"/>
      <c r="W43" s="32"/>
      <c r="X43" s="125" t="n">
        <v>0.1</v>
      </c>
      <c r="Y43" s="125" t="n">
        <v>0.1</v>
      </c>
      <c r="Z43" s="32" t="n">
        <v>0.19</v>
      </c>
      <c r="AA43" s="32" t="n">
        <v>0.18</v>
      </c>
      <c r="AB43" s="125" t="n">
        <v>1.6</v>
      </c>
      <c r="AC43" s="125" t="n">
        <v>1.5</v>
      </c>
      <c r="AD43" s="126"/>
      <c r="AE43" s="126"/>
      <c r="AF43" s="126"/>
      <c r="AG43" s="126"/>
      <c r="AH43" s="126"/>
      <c r="AI43" s="126"/>
      <c r="AJ43" s="126"/>
      <c r="AK43" s="126"/>
      <c r="AL43" s="126"/>
      <c r="AM43" s="126"/>
      <c r="AN43" s="126"/>
      <c r="AO43" s="126"/>
      <c r="AP43" s="126"/>
      <c r="AQ43" s="126"/>
      <c r="AR43" s="126"/>
      <c r="AS43" s="126"/>
      <c r="AT43" s="126"/>
      <c r="AU43" s="126"/>
      <c r="AV43" s="126"/>
      <c r="AW43" s="126"/>
      <c r="AX43" s="126"/>
      <c r="AY43" s="126"/>
      <c r="AZ43" s="126"/>
      <c r="BA43" s="126"/>
      <c r="BB43" s="127"/>
    </row>
    <row r="44" customFormat="false" ht="15.6" hidden="false" customHeight="false" outlineLevel="0" collapsed="false">
      <c r="A44" s="111" t="n">
        <f aca="false">IF(ISBLANK(VLOOKUP(D44,#REF!,3)),0,1)</f>
        <v>1</v>
      </c>
      <c r="B44" s="112" t="n">
        <f aca="false">IF(ISBLANK(D44),0,IF(ISBLANK(E44),0,IF(ISBLANK(F44),0,1)))</f>
        <v>0</v>
      </c>
      <c r="C44" s="128" t="n">
        <v>10</v>
      </c>
      <c r="D44" s="129"/>
      <c r="E44" s="129"/>
      <c r="F44" s="137"/>
      <c r="G44" s="117"/>
      <c r="H44" s="131" t="n">
        <v>10</v>
      </c>
      <c r="I44" s="119"/>
      <c r="J44" s="132"/>
      <c r="K44" s="133"/>
      <c r="L44" s="133"/>
      <c r="M44" s="133"/>
      <c r="N44" s="134"/>
      <c r="O44" s="133"/>
      <c r="P44" s="175"/>
      <c r="Q44" s="132"/>
      <c r="R44" s="132"/>
      <c r="S44" s="177"/>
      <c r="T44" s="32" t="n">
        <v>0.02</v>
      </c>
      <c r="U44" s="32" t="n">
        <v>0.02</v>
      </c>
      <c r="V44" s="32"/>
      <c r="W44" s="32"/>
      <c r="X44" s="125" t="n">
        <v>0.1</v>
      </c>
      <c r="Y44" s="125" t="n">
        <v>0.1</v>
      </c>
      <c r="Z44" s="32" t="n">
        <v>0.18</v>
      </c>
      <c r="AA44" s="32" t="n">
        <v>0.18</v>
      </c>
      <c r="AB44" s="125" t="n">
        <v>1.6</v>
      </c>
      <c r="AC44" s="125" t="n">
        <v>1.6</v>
      </c>
      <c r="AD44" s="124"/>
      <c r="AE44" s="124"/>
      <c r="AF44" s="124"/>
      <c r="AG44" s="124"/>
      <c r="AH44" s="124"/>
      <c r="AI44" s="124"/>
      <c r="AJ44" s="124"/>
      <c r="AK44" s="124"/>
      <c r="AL44" s="124"/>
      <c r="AM44" s="124"/>
      <c r="AN44" s="124"/>
      <c r="AO44" s="124"/>
      <c r="AP44" s="124"/>
      <c r="AQ44" s="124"/>
      <c r="AR44" s="124"/>
      <c r="AS44" s="124"/>
      <c r="AT44" s="124"/>
      <c r="AU44" s="124"/>
      <c r="AV44" s="124"/>
      <c r="AW44" s="124"/>
      <c r="AX44" s="124"/>
      <c r="AY44" s="124"/>
      <c r="AZ44" s="124"/>
      <c r="BA44" s="124"/>
      <c r="BB44" s="136"/>
    </row>
    <row r="45" customFormat="false" ht="15.6" hidden="false" customHeight="false" outlineLevel="0" collapsed="false">
      <c r="A45" s="111" t="n">
        <f aca="false">IF(ISBLANK(VLOOKUP(D45,#REF!,3)),0,1)</f>
        <v>1</v>
      </c>
      <c r="B45" s="112" t="n">
        <f aca="false">IF(ISBLANK(D45),0,IF(ISBLANK(E45),0,IF(ISBLANK(F45),0,1)))</f>
        <v>0</v>
      </c>
      <c r="C45" s="128" t="n">
        <v>11</v>
      </c>
      <c r="D45" s="129"/>
      <c r="E45" s="129"/>
      <c r="F45" s="137"/>
      <c r="G45" s="117" t="n">
        <v>35.8354</v>
      </c>
      <c r="H45" s="131" t="n">
        <v>0</v>
      </c>
      <c r="I45" s="119" t="n">
        <v>2</v>
      </c>
      <c r="J45" s="132"/>
      <c r="K45" s="133"/>
      <c r="L45" s="133"/>
      <c r="M45" s="133"/>
      <c r="N45" s="134"/>
      <c r="O45" s="133"/>
      <c r="P45" s="175" t="n">
        <v>4.833</v>
      </c>
      <c r="Q45" s="132"/>
      <c r="R45" s="132"/>
      <c r="S45" s="177" t="n">
        <v>210.702</v>
      </c>
      <c r="T45" s="32" t="n">
        <v>0.02</v>
      </c>
      <c r="U45" s="32" t="n">
        <v>0.02</v>
      </c>
      <c r="V45" s="32"/>
      <c r="W45" s="32"/>
      <c r="X45" s="125" t="n">
        <v>0.1</v>
      </c>
      <c r="Y45" s="125" t="n">
        <v>0.1</v>
      </c>
      <c r="Z45" s="32" t="n">
        <v>0.17</v>
      </c>
      <c r="AA45" s="32" t="n">
        <v>0.16</v>
      </c>
      <c r="AB45" s="125" t="n">
        <v>1.6</v>
      </c>
      <c r="AC45" s="125" t="n">
        <v>1.6</v>
      </c>
      <c r="AD45" s="124"/>
      <c r="AE45" s="124"/>
      <c r="AF45" s="124"/>
      <c r="AG45" s="124"/>
      <c r="AH45" s="124"/>
      <c r="AI45" s="124"/>
      <c r="AJ45" s="124"/>
      <c r="AK45" s="124"/>
      <c r="AL45" s="124"/>
      <c r="AM45" s="124"/>
      <c r="AN45" s="124"/>
      <c r="AO45" s="124"/>
      <c r="AP45" s="124"/>
      <c r="AQ45" s="124"/>
      <c r="AR45" s="124"/>
      <c r="AS45" s="124"/>
      <c r="AT45" s="124"/>
      <c r="AU45" s="124"/>
      <c r="AV45" s="124"/>
      <c r="AW45" s="124"/>
      <c r="AX45" s="124"/>
      <c r="AY45" s="124"/>
      <c r="AZ45" s="124"/>
      <c r="BA45" s="124"/>
      <c r="BB45" s="136"/>
    </row>
    <row r="46" customFormat="false" ht="15.6" hidden="false" customHeight="false" outlineLevel="0" collapsed="false">
      <c r="A46" s="111" t="n">
        <f aca="false">IF(ISBLANK(VLOOKUP(D46,#REF!,3)),0,1)</f>
        <v>1</v>
      </c>
      <c r="B46" s="112" t="n">
        <f aca="false">IF(ISBLANK(D46),0,IF(ISBLANK(E46),0,IF(ISBLANK(F46),0,1)))</f>
        <v>0</v>
      </c>
      <c r="C46" s="128" t="n">
        <v>12</v>
      </c>
      <c r="D46" s="142"/>
      <c r="E46" s="142"/>
      <c r="F46" s="143"/>
      <c r="G46" s="144"/>
      <c r="H46" s="142"/>
      <c r="I46" s="145"/>
      <c r="J46" s="132" t="str">
        <f aca="false">IF(ISBLANK(D46),"",IF(VLOOKUP(D46,#REF!,2)=0,"",IF(D46&gt;#REF!,"Mauvais numéro",IF(D46&lt;#REF!,"Mauvais numéro",(VLOOKUP(D46,#REF!,3))))))</f>
        <v/>
      </c>
      <c r="K46" s="146" t="str">
        <f aca="false">IF(ISBLANK(E46),"",(0.000824493-(0.0000040899*E46)+(0.000000076438*E46^2)-(0.00000000082467*E46^3)+(0.0000000000053875*E46^4)))</f>
        <v/>
      </c>
      <c r="L46" s="146" t="str">
        <f aca="false">IF(ISBLANK(E46),"",(-0.00000572466+(0.00000010227*E46)-(0.0000000016546*E46^2)))</f>
        <v/>
      </c>
      <c r="M46" s="146" t="str">
        <f aca="false">IF(ISBLANK(E46),"",IF(ISBLANK(G46),(O46+(K46*35)+(L46*35^1.5)+(0.00000048314*35^2)),(O46+(K46*G46)+(L46*G46^1.5)+(0.00000048314*G46^2))))</f>
        <v/>
      </c>
      <c r="N46" s="147" t="str">
        <f aca="false">IF(ISBLANK(D46),"",IF(ISBLANK(G46),J46*(1+0.00001*(35-20)),J46*(1+0.00001*(G46-20))))</f>
        <v/>
      </c>
      <c r="O46" s="146" t="str">
        <f aca="false">IF(ISBLANK(E46),"",(0.999842594+(0.00006793952*E46)-(0.00000909529*E46^2)+(0.0000001001685*E46^3)-(0.000000001120083*E46^4)+(0.000000000006536332*E46^5)))</f>
        <v/>
      </c>
      <c r="P46" s="148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49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0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0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24"/>
      <c r="U46" s="124"/>
      <c r="V46" s="124"/>
      <c r="W46" s="124"/>
      <c r="X46" s="124"/>
      <c r="Y46" s="124"/>
      <c r="Z46" s="124"/>
      <c r="AA46" s="124"/>
      <c r="AB46" s="124"/>
      <c r="AC46" s="124"/>
      <c r="AD46" s="124"/>
      <c r="AE46" s="124"/>
      <c r="AF46" s="124"/>
      <c r="AG46" s="124"/>
      <c r="AH46" s="124"/>
      <c r="AI46" s="124"/>
      <c r="AJ46" s="124"/>
      <c r="AK46" s="124"/>
      <c r="AL46" s="124"/>
      <c r="AM46" s="124"/>
      <c r="AN46" s="124"/>
      <c r="AO46" s="124"/>
      <c r="AP46" s="124"/>
      <c r="AQ46" s="124"/>
      <c r="AR46" s="124"/>
      <c r="AS46" s="124"/>
      <c r="AT46" s="124"/>
      <c r="AU46" s="124"/>
      <c r="AV46" s="124"/>
      <c r="AW46" s="124"/>
      <c r="AX46" s="124"/>
      <c r="AY46" s="124"/>
      <c r="AZ46" s="124"/>
      <c r="BA46" s="124"/>
      <c r="BB46" s="136"/>
    </row>
    <row r="47" customFormat="false" ht="15.6" hidden="false" customHeight="false" outlineLevel="0" collapsed="false">
      <c r="A47" s="111" t="n">
        <f aca="false">IF(ISBLANK(VLOOKUP(D47,#REF!,3)),0,1)</f>
        <v>1</v>
      </c>
      <c r="B47" s="112" t="n">
        <f aca="false">IF(ISBLANK(D47),0,IF(ISBLANK(E47),0,IF(ISBLANK(F47),0,1)))</f>
        <v>0</v>
      </c>
      <c r="C47" s="128" t="n">
        <v>13</v>
      </c>
      <c r="D47" s="151"/>
      <c r="E47" s="151"/>
      <c r="F47" s="152"/>
      <c r="G47" s="153"/>
      <c r="H47" s="151"/>
      <c r="I47" s="151"/>
      <c r="J47" s="132" t="str">
        <f aca="false">IF(ISBLANK(D47),"",IF(VLOOKUP(D47,#REF!,2)=0,"",IF(D47&gt;#REF!,"Mauvais numéro",IF(D47&lt;#REF!,"Mauvais numéro",(VLOOKUP(D47,#REF!,3))))))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54"/>
      <c r="Q47" s="149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5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4"/>
      <c r="T47" s="124"/>
      <c r="U47" s="124"/>
      <c r="V47" s="124"/>
      <c r="W47" s="124"/>
      <c r="X47" s="12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24"/>
      <c r="AJ47" s="124"/>
      <c r="AK47" s="124"/>
      <c r="AL47" s="124"/>
      <c r="AM47" s="124"/>
      <c r="AN47" s="124"/>
      <c r="AO47" s="124"/>
      <c r="AP47" s="124"/>
      <c r="AQ47" s="124"/>
      <c r="AR47" s="124"/>
      <c r="AS47" s="124"/>
      <c r="AT47" s="124"/>
      <c r="AU47" s="124"/>
      <c r="AV47" s="124"/>
      <c r="AW47" s="124"/>
      <c r="AX47" s="124"/>
      <c r="AY47" s="124"/>
      <c r="AZ47" s="124"/>
      <c r="BA47" s="124"/>
      <c r="BB47" s="136"/>
    </row>
    <row r="48" customFormat="false" ht="15.6" hidden="false" customHeight="false" outlineLevel="0" collapsed="false">
      <c r="A48" s="111" t="n">
        <f aca="false">IF(ISBLANK(VLOOKUP(D48,#REF!,3)),0,1)</f>
        <v>1</v>
      </c>
      <c r="B48" s="112" t="n">
        <f aca="false">IF(ISBLANK(D48),0,IF(ISBLANK(E48),0,IF(ISBLANK(F48),0,1)))</f>
        <v>0</v>
      </c>
      <c r="C48" s="128" t="n">
        <v>14</v>
      </c>
      <c r="D48" s="151"/>
      <c r="E48" s="151"/>
      <c r="F48" s="152"/>
      <c r="G48" s="153"/>
      <c r="H48" s="151"/>
      <c r="I48" s="151"/>
      <c r="J48" s="132" t="str">
        <f aca="false">IF(ISBLANK(D48),"",IF(VLOOKUP(D48,#REF!,2)=0,"",IF(D48&gt;#REF!,"Mauvais numéro",IF(D48&lt;#REF!,"Mauvais numéro",(VLOOKUP(D48,#REF!,3))))))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54"/>
      <c r="Q48" s="149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5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4"/>
      <c r="T48" s="124"/>
      <c r="U48" s="124"/>
      <c r="V48" s="124"/>
      <c r="W48" s="124"/>
      <c r="X48" s="124"/>
      <c r="Y48" s="124"/>
      <c r="Z48" s="124"/>
      <c r="AA48" s="124"/>
      <c r="AB48" s="124"/>
      <c r="AC48" s="124"/>
      <c r="AD48" s="124"/>
      <c r="AE48" s="124"/>
      <c r="AF48" s="124"/>
      <c r="AG48" s="124"/>
      <c r="AH48" s="124"/>
      <c r="AI48" s="124"/>
      <c r="AJ48" s="124"/>
      <c r="AK48" s="124"/>
      <c r="AL48" s="124"/>
      <c r="AM48" s="124"/>
      <c r="AN48" s="124"/>
      <c r="AO48" s="124"/>
      <c r="AP48" s="124"/>
      <c r="AQ48" s="124"/>
      <c r="AR48" s="124"/>
      <c r="AS48" s="124"/>
      <c r="AT48" s="124"/>
      <c r="AU48" s="124"/>
      <c r="AV48" s="124"/>
      <c r="AW48" s="124"/>
      <c r="AX48" s="124"/>
      <c r="AY48" s="124"/>
      <c r="AZ48" s="124"/>
      <c r="BA48" s="124"/>
      <c r="BB48" s="136"/>
    </row>
    <row r="49" customFormat="false" ht="15.6" hidden="false" customHeight="false" outlineLevel="0" collapsed="false">
      <c r="A49" s="111" t="n">
        <f aca="false">IF(ISBLANK(VLOOKUP(D49,#REF!,3)),0,1)</f>
        <v>1</v>
      </c>
      <c r="B49" s="112" t="n">
        <f aca="false">IF(ISBLANK(D49),0,IF(ISBLANK(E49),0,IF(ISBLANK(F49),0,1)))</f>
        <v>0</v>
      </c>
      <c r="C49" s="128" t="n">
        <v>15</v>
      </c>
      <c r="D49" s="151"/>
      <c r="E49" s="151"/>
      <c r="F49" s="152"/>
      <c r="G49" s="156"/>
      <c r="H49" s="151"/>
      <c r="I49" s="151"/>
      <c r="J49" s="132" t="str">
        <f aca="false">IF(ISBLANK(D49),"",IF(VLOOKUP(D49,#REF!,2)=0,"",IF(D49&gt;#REF!,"Mauvais numéro",IF(D49&lt;#REF!,"Mauvais numéro",(VLOOKUP(D49,#REF!,3))))))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57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49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24"/>
      <c r="AE49" s="124"/>
      <c r="AF49" s="124"/>
      <c r="AG49" s="124"/>
      <c r="AH49" s="124"/>
      <c r="AI49" s="124"/>
      <c r="AJ49" s="124"/>
      <c r="AK49" s="124"/>
      <c r="AL49" s="124"/>
      <c r="AM49" s="124"/>
      <c r="AN49" s="124"/>
      <c r="AO49" s="124"/>
      <c r="AP49" s="124"/>
      <c r="AQ49" s="124"/>
      <c r="AR49" s="124"/>
      <c r="AS49" s="124"/>
      <c r="AT49" s="124"/>
      <c r="AU49" s="124"/>
      <c r="AV49" s="124"/>
      <c r="AW49" s="124"/>
      <c r="AX49" s="124"/>
      <c r="AY49" s="124"/>
      <c r="AZ49" s="124"/>
      <c r="BA49" s="124"/>
      <c r="BB49" s="136"/>
    </row>
    <row r="50" customFormat="false" ht="15.6" hidden="false" customHeight="false" outlineLevel="0" collapsed="false">
      <c r="A50" s="111" t="n">
        <f aca="false">IF(ISBLANK(VLOOKUP(D50,#REF!,3)),0,1)</f>
        <v>1</v>
      </c>
      <c r="B50" s="112" t="n">
        <f aca="false">IF(ISBLANK(D50),0,IF(ISBLANK(E50),0,IF(ISBLANK(F50),0,1)))</f>
        <v>0</v>
      </c>
      <c r="C50" s="128" t="n">
        <v>16</v>
      </c>
      <c r="D50" s="151"/>
      <c r="E50" s="151"/>
      <c r="F50" s="152"/>
      <c r="G50" s="156"/>
      <c r="H50" s="151"/>
      <c r="I50" s="151"/>
      <c r="J50" s="132" t="str">
        <f aca="false">IF(ISBLANK(D50),"",IF(VLOOKUP(D50,#REF!,2)=0,"",IF(D50&gt;#REF!,"Mauvais numéro",IF(D50&lt;#REF!,"Mauvais numéro",(VLOOKUP(D50,#REF!,3))))))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57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49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24"/>
      <c r="U50" s="124"/>
      <c r="V50" s="124"/>
      <c r="W50" s="124"/>
      <c r="X50" s="124"/>
      <c r="Y50" s="124"/>
      <c r="Z50" s="124"/>
      <c r="AA50" s="124"/>
      <c r="AB50" s="124"/>
      <c r="AC50" s="124"/>
      <c r="AD50" s="124"/>
      <c r="AE50" s="124"/>
      <c r="AF50" s="124"/>
      <c r="AG50" s="124"/>
      <c r="AH50" s="124"/>
      <c r="AI50" s="124"/>
      <c r="AJ50" s="124"/>
      <c r="AK50" s="124"/>
      <c r="AL50" s="124"/>
      <c r="AM50" s="124"/>
      <c r="AN50" s="124"/>
      <c r="AO50" s="124"/>
      <c r="AP50" s="124"/>
      <c r="AQ50" s="124"/>
      <c r="AR50" s="124"/>
      <c r="AS50" s="124"/>
      <c r="AT50" s="124"/>
      <c r="AU50" s="124"/>
      <c r="AV50" s="124"/>
      <c r="AW50" s="124"/>
      <c r="AX50" s="124"/>
      <c r="AY50" s="124"/>
      <c r="AZ50" s="124"/>
      <c r="BA50" s="124"/>
      <c r="BB50" s="136"/>
    </row>
    <row r="51" customFormat="false" ht="15.6" hidden="false" customHeight="false" outlineLevel="0" collapsed="false">
      <c r="A51" s="111" t="n">
        <f aca="false">IF(ISBLANK(VLOOKUP(D51,#REF!,3)),0,1)</f>
        <v>1</v>
      </c>
      <c r="B51" s="112" t="n">
        <f aca="false">IF(ISBLANK(D51),0,IF(ISBLANK(E51),0,IF(ISBLANK(F51),0,1)))</f>
        <v>0</v>
      </c>
      <c r="C51" s="128" t="n">
        <v>17</v>
      </c>
      <c r="D51" s="151"/>
      <c r="E51" s="151"/>
      <c r="F51" s="152"/>
      <c r="G51" s="156"/>
      <c r="H51" s="151"/>
      <c r="I51" s="151"/>
      <c r="J51" s="132" t="str">
        <f aca="false">IF(ISBLANK(D51),"",IF(VLOOKUP(D51,#REF!,2)=0,"",IF(D51&gt;#REF!,"Mauvais numéro",IF(D51&lt;#REF!,"Mauvais numéro",(VLOOKUP(D51,#REF!,3))))))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57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49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24"/>
      <c r="AE51" s="124"/>
      <c r="AF51" s="124"/>
      <c r="AG51" s="124"/>
      <c r="AH51" s="124"/>
      <c r="AI51" s="124"/>
      <c r="AJ51" s="124"/>
      <c r="AK51" s="124"/>
      <c r="AL51" s="124"/>
      <c r="AM51" s="124"/>
      <c r="AN51" s="124"/>
      <c r="AO51" s="124"/>
      <c r="AP51" s="124"/>
      <c r="AQ51" s="124"/>
      <c r="AR51" s="124"/>
      <c r="AS51" s="124"/>
      <c r="AT51" s="124"/>
      <c r="AU51" s="124"/>
      <c r="AV51" s="124"/>
      <c r="AW51" s="124"/>
      <c r="AX51" s="124"/>
      <c r="AY51" s="124"/>
      <c r="AZ51" s="124"/>
      <c r="BA51" s="124"/>
      <c r="BB51" s="136"/>
    </row>
    <row r="52" customFormat="false" ht="15.6" hidden="false" customHeight="false" outlineLevel="0" collapsed="false">
      <c r="A52" s="111" t="n">
        <f aca="false">IF(ISBLANK(VLOOKUP(D52,#REF!,3)),0,1)</f>
        <v>1</v>
      </c>
      <c r="B52" s="112" t="n">
        <f aca="false">IF(ISBLANK(D52),0,IF(ISBLANK(E52),0,IF(ISBLANK(F52),0,1)))</f>
        <v>0</v>
      </c>
      <c r="C52" s="128" t="n">
        <v>18</v>
      </c>
      <c r="D52" s="151"/>
      <c r="E52" s="151"/>
      <c r="F52" s="152"/>
      <c r="G52" s="156"/>
      <c r="H52" s="151"/>
      <c r="I52" s="151"/>
      <c r="J52" s="132" t="str">
        <f aca="false">IF(ISBLANK(D52),"",IF(VLOOKUP(D52,#REF!,2)=0,"",IF(D52&gt;#REF!,"Mauvais numéro",IF(D52&lt;#REF!,"Mauvais numéro",(VLOOKUP(D52,#REF!,3))))))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57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49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24"/>
      <c r="U52" s="124"/>
      <c r="V52" s="124"/>
      <c r="W52" s="124"/>
      <c r="X52" s="124"/>
      <c r="Y52" s="124"/>
      <c r="Z52" s="124"/>
      <c r="AA52" s="124"/>
      <c r="AB52" s="124"/>
      <c r="AC52" s="124"/>
      <c r="AD52" s="124"/>
      <c r="AE52" s="124"/>
      <c r="AF52" s="124"/>
      <c r="AG52" s="124"/>
      <c r="AH52" s="124"/>
      <c r="AI52" s="124"/>
      <c r="AJ52" s="124"/>
      <c r="AK52" s="124"/>
      <c r="AL52" s="124"/>
      <c r="AM52" s="124"/>
      <c r="AN52" s="124"/>
      <c r="AO52" s="124"/>
      <c r="AP52" s="124"/>
      <c r="AQ52" s="124"/>
      <c r="AR52" s="124"/>
      <c r="AS52" s="124"/>
      <c r="AT52" s="124"/>
      <c r="AU52" s="124"/>
      <c r="AV52" s="124"/>
      <c r="AW52" s="124"/>
      <c r="AX52" s="124"/>
      <c r="AY52" s="124"/>
      <c r="AZ52" s="124"/>
      <c r="BA52" s="124"/>
      <c r="BB52" s="136"/>
    </row>
    <row r="53" customFormat="false" ht="15.6" hidden="false" customHeight="false" outlineLevel="0" collapsed="false">
      <c r="A53" s="111" t="n">
        <f aca="false">IF(ISBLANK(VLOOKUP(D53,#REF!,3)),0,1)</f>
        <v>1</v>
      </c>
      <c r="B53" s="112" t="n">
        <f aca="false">IF(ISBLANK(D53),0,IF(ISBLANK(E53),0,IF(ISBLANK(F53),0,1)))</f>
        <v>0</v>
      </c>
      <c r="C53" s="128" t="n">
        <v>19</v>
      </c>
      <c r="D53" s="151"/>
      <c r="E53" s="151"/>
      <c r="F53" s="152"/>
      <c r="G53" s="156"/>
      <c r="H53" s="151"/>
      <c r="I53" s="151"/>
      <c r="J53" s="132" t="str">
        <f aca="false">IF(ISBLANK(D53),"",IF(VLOOKUP(D53,#REF!,2)=0,"",IF(D53&gt;#REF!,"Mauvais numéro",IF(D53&lt;#REF!,"Mauvais numéro",(VLOOKUP(D53,#REF!,3))))))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57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49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24"/>
      <c r="U53" s="124"/>
      <c r="V53" s="124"/>
      <c r="W53" s="124"/>
      <c r="X53" s="12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24"/>
      <c r="AJ53" s="124"/>
      <c r="AK53" s="124"/>
      <c r="AL53" s="124"/>
      <c r="AM53" s="124"/>
      <c r="AN53" s="124"/>
      <c r="AO53" s="124"/>
      <c r="AP53" s="124"/>
      <c r="AQ53" s="124"/>
      <c r="AR53" s="124"/>
      <c r="AS53" s="124"/>
      <c r="AT53" s="124"/>
      <c r="AU53" s="124"/>
      <c r="AV53" s="124"/>
      <c r="AW53" s="124"/>
      <c r="AX53" s="124"/>
      <c r="AY53" s="124"/>
      <c r="AZ53" s="124"/>
      <c r="BA53" s="124"/>
      <c r="BB53" s="136"/>
    </row>
    <row r="54" customFormat="false" ht="15.6" hidden="false" customHeight="false" outlineLevel="0" collapsed="false">
      <c r="A54" s="111" t="n">
        <f aca="false">IF(ISBLANK(VLOOKUP(D54,#REF!,3)),0,1)</f>
        <v>1</v>
      </c>
      <c r="B54" s="112" t="n">
        <f aca="false">IF(ISBLANK(D54),0,IF(ISBLANK(E54),0,IF(ISBLANK(F54),0,1)))</f>
        <v>0</v>
      </c>
      <c r="C54" s="128" t="n">
        <v>20</v>
      </c>
      <c r="D54" s="151"/>
      <c r="E54" s="151"/>
      <c r="F54" s="152"/>
      <c r="G54" s="156"/>
      <c r="H54" s="151"/>
      <c r="I54" s="151"/>
      <c r="J54" s="132" t="str">
        <f aca="false">IF(ISBLANK(D54),"",IF(VLOOKUP(D54,#REF!,2)=0,"",IF(D54&gt;#REF!,"Mauvais numéro",IF(D54&lt;#REF!,"Mauvais numéro",(VLOOKUP(D54,#REF!,3))))))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57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49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4"/>
      <c r="U54" s="124"/>
      <c r="V54" s="124"/>
      <c r="W54" s="124"/>
      <c r="X54" s="124"/>
      <c r="Y54" s="124"/>
      <c r="Z54" s="124"/>
      <c r="AA54" s="124"/>
      <c r="AB54" s="124"/>
      <c r="AC54" s="124"/>
      <c r="AD54" s="124"/>
      <c r="AE54" s="124"/>
      <c r="AF54" s="124"/>
      <c r="AG54" s="124"/>
      <c r="AH54" s="124"/>
      <c r="AI54" s="124"/>
      <c r="AJ54" s="124"/>
      <c r="AK54" s="124"/>
      <c r="AL54" s="124"/>
      <c r="AM54" s="124"/>
      <c r="AN54" s="124"/>
      <c r="AO54" s="124"/>
      <c r="AP54" s="124"/>
      <c r="AQ54" s="124"/>
      <c r="AR54" s="124"/>
      <c r="AS54" s="124"/>
      <c r="AT54" s="124"/>
      <c r="AU54" s="124"/>
      <c r="AV54" s="124"/>
      <c r="AW54" s="124"/>
      <c r="AX54" s="124"/>
      <c r="AY54" s="124"/>
      <c r="AZ54" s="124"/>
      <c r="BA54" s="124"/>
      <c r="BB54" s="136"/>
    </row>
    <row r="55" customFormat="false" ht="15.6" hidden="false" customHeight="false" outlineLevel="0" collapsed="false">
      <c r="A55" s="111" t="n">
        <f aca="false">IF(ISBLANK(VLOOKUP(D55,#REF!,3)),0,1)</f>
        <v>1</v>
      </c>
      <c r="B55" s="112" t="n">
        <f aca="false">IF(ISBLANK(D55),0,IF(ISBLANK(E55),0,IF(ISBLANK(F55),0,1)))</f>
        <v>0</v>
      </c>
      <c r="C55" s="128" t="n">
        <v>21</v>
      </c>
      <c r="D55" s="151"/>
      <c r="E55" s="151"/>
      <c r="F55" s="152"/>
      <c r="G55" s="156"/>
      <c r="H55" s="151"/>
      <c r="I55" s="151"/>
      <c r="J55" s="132" t="str">
        <f aca="false">IF(ISBLANK(D55),"",IF(VLOOKUP(D55,#REF!,2)=0,"",IF(D55&gt;#REF!,"Mauvais numéro",IF(D55&lt;#REF!,"Mauvais numéro",(VLOOKUP(D55,#REF!,3))))))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57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49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24"/>
      <c r="U55" s="124"/>
      <c r="V55" s="124"/>
      <c r="W55" s="124"/>
      <c r="X55" s="124"/>
      <c r="Y55" s="124"/>
      <c r="Z55" s="124"/>
      <c r="AA55" s="124"/>
      <c r="AB55" s="124"/>
      <c r="AC55" s="124"/>
      <c r="AD55" s="124"/>
      <c r="AE55" s="124"/>
      <c r="AF55" s="124"/>
      <c r="AG55" s="124"/>
      <c r="AH55" s="124"/>
      <c r="AI55" s="124"/>
      <c r="AJ55" s="124"/>
      <c r="AK55" s="124"/>
      <c r="AL55" s="124"/>
      <c r="AM55" s="124"/>
      <c r="AN55" s="124"/>
      <c r="AO55" s="124"/>
      <c r="AP55" s="124"/>
      <c r="AQ55" s="124"/>
      <c r="AR55" s="124"/>
      <c r="AS55" s="124"/>
      <c r="AT55" s="124"/>
      <c r="AU55" s="124"/>
      <c r="AV55" s="124"/>
      <c r="AW55" s="124"/>
      <c r="AX55" s="124"/>
      <c r="AY55" s="124"/>
      <c r="AZ55" s="124"/>
      <c r="BA55" s="124"/>
      <c r="BB55" s="136"/>
    </row>
    <row r="56" customFormat="false" ht="15.6" hidden="false" customHeight="false" outlineLevel="0" collapsed="false">
      <c r="A56" s="111" t="n">
        <f aca="false">IF(ISBLANK(VLOOKUP(D56,#REF!,3)),0,1)</f>
        <v>1</v>
      </c>
      <c r="B56" s="112" t="n">
        <f aca="false">IF(ISBLANK(D56),0,IF(ISBLANK(E56),0,IF(ISBLANK(F56),0,1)))</f>
        <v>0</v>
      </c>
      <c r="C56" s="128" t="n">
        <v>22</v>
      </c>
      <c r="D56" s="151"/>
      <c r="E56" s="151"/>
      <c r="F56" s="152"/>
      <c r="G56" s="156"/>
      <c r="H56" s="151"/>
      <c r="I56" s="151"/>
      <c r="J56" s="132" t="str">
        <f aca="false">IF(ISBLANK(D56),"",IF(VLOOKUP(D56,#REF!,2)=0,"",IF(D56&gt;#REF!,"Mauvais numéro",IF(D56&lt;#REF!,"Mauvais numéro",(VLOOKUP(D56,#REF!,3))))))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57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49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24"/>
      <c r="AE56" s="124"/>
      <c r="AF56" s="124"/>
      <c r="AG56" s="124"/>
      <c r="AH56" s="124"/>
      <c r="AI56" s="124"/>
      <c r="AJ56" s="124"/>
      <c r="AK56" s="124"/>
      <c r="AL56" s="124"/>
      <c r="AM56" s="124"/>
      <c r="AN56" s="124"/>
      <c r="AO56" s="124"/>
      <c r="AP56" s="124"/>
      <c r="AQ56" s="124"/>
      <c r="AR56" s="124"/>
      <c r="AS56" s="124"/>
      <c r="AT56" s="124"/>
      <c r="AU56" s="124"/>
      <c r="AV56" s="124"/>
      <c r="AW56" s="124"/>
      <c r="AX56" s="124"/>
      <c r="AY56" s="124"/>
      <c r="AZ56" s="124"/>
      <c r="BA56" s="124"/>
      <c r="BB56" s="136"/>
    </row>
    <row r="57" customFormat="false" ht="15.6" hidden="false" customHeight="false" outlineLevel="0" collapsed="false">
      <c r="A57" s="111" t="n">
        <f aca="false">IF(ISBLANK(VLOOKUP(D57,#REF!,3)),0,1)</f>
        <v>1</v>
      </c>
      <c r="B57" s="112" t="n">
        <f aca="false">IF(ISBLANK(D57),0,IF(ISBLANK(E57),0,IF(ISBLANK(F57),0,1)))</f>
        <v>0</v>
      </c>
      <c r="C57" s="128" t="n">
        <v>23</v>
      </c>
      <c r="D57" s="151"/>
      <c r="E57" s="151"/>
      <c r="F57" s="152"/>
      <c r="G57" s="156"/>
      <c r="H57" s="151"/>
      <c r="I57" s="151"/>
      <c r="J57" s="132" t="str">
        <f aca="false">IF(ISBLANK(D57),"",IF(VLOOKUP(D57,#REF!,2)=0,"",IF(D57&gt;#REF!,"Mauvais numéro",IF(D57&lt;#REF!,"Mauvais numéro",(VLOOKUP(D57,#REF!,3))))))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57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49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4"/>
      <c r="U57" s="124"/>
      <c r="V57" s="124"/>
      <c r="W57" s="124"/>
      <c r="X57" s="124"/>
      <c r="Y57" s="124"/>
      <c r="Z57" s="124"/>
      <c r="AA57" s="124"/>
      <c r="AB57" s="124"/>
      <c r="AC57" s="124"/>
      <c r="AD57" s="124"/>
      <c r="AE57" s="124"/>
      <c r="AF57" s="124"/>
      <c r="AG57" s="124"/>
      <c r="AH57" s="124"/>
      <c r="AI57" s="124"/>
      <c r="AJ57" s="124"/>
      <c r="AK57" s="124"/>
      <c r="AL57" s="124"/>
      <c r="AM57" s="124"/>
      <c r="AN57" s="124"/>
      <c r="AO57" s="124"/>
      <c r="AP57" s="124"/>
      <c r="AQ57" s="124"/>
      <c r="AR57" s="124"/>
      <c r="AS57" s="124"/>
      <c r="AT57" s="124"/>
      <c r="AU57" s="124"/>
      <c r="AV57" s="124"/>
      <c r="AW57" s="124"/>
      <c r="AX57" s="124"/>
      <c r="AY57" s="124"/>
      <c r="AZ57" s="124"/>
      <c r="BA57" s="124"/>
      <c r="BB57" s="136"/>
    </row>
    <row r="58" customFormat="false" ht="16.2" hidden="false" customHeight="false" outlineLevel="0" collapsed="false">
      <c r="A58" s="111" t="n">
        <f aca="false">IF(ISBLANK(VLOOKUP(D58,#REF!,3)),0,1)</f>
        <v>1</v>
      </c>
      <c r="B58" s="112" t="n">
        <f aca="false">IF(ISBLANK(D58),0,IF(ISBLANK(E58),0,IF(ISBLANK(F58),0,1)))</f>
        <v>0</v>
      </c>
      <c r="C58" s="158" t="n">
        <v>24</v>
      </c>
      <c r="D58" s="159"/>
      <c r="E58" s="159"/>
      <c r="F58" s="160"/>
      <c r="G58" s="161"/>
      <c r="H58" s="159"/>
      <c r="I58" s="159"/>
      <c r="J58" s="162" t="str">
        <f aca="false">IF(ISBLANK(D58),"",IF(VLOOKUP(D58,#REF!,2)=0,"",IF(D58&gt;#REF!,"Mauvais numéro",IF(D58&lt;#REF!,"Mauvais numéro",(VLOOKUP(D58,#REF!,3))))))</f>
        <v/>
      </c>
      <c r="K58" s="163" t="str">
        <f aca="false">IF(ISBLANK(E58),"",(0.000824493-(0.0000040899*E58)+(0.000000076438*E58^2)-(0.00000000082467*E58^3)+(0.0000000000053875*E58^4)))</f>
        <v/>
      </c>
      <c r="L58" s="163" t="str">
        <f aca="false">IF(ISBLANK(E58),"",(-0.00000572466+(0.00000010227*E58)-(0.0000000016546*E58^2)))</f>
        <v/>
      </c>
      <c r="M58" s="163" t="str">
        <f aca="false">IF(ISBLANK(E58),"",IF(ISBLANK(G58),(O58+(K58*35)+(L58*35^1.5)+(0.00000048314*35^2)),(O58+(K58*G58)+(L58*G58^1.5)+(0.00000048314*G58^2))))</f>
        <v/>
      </c>
      <c r="N58" s="164" t="str">
        <f aca="false">IF(ISBLANK(D58),"",IF(ISBLANK(G58),J58*(1+0.00001*(35-20)),J58*(1+0.00001*(G58-20))))</f>
        <v/>
      </c>
      <c r="O58" s="163" t="str">
        <f aca="false">IF(ISBLANK(E58),"",(0.999842594+(0.00006793952*E58)-(0.00000909529*E58^2)+(0.0000001001685*E58^3)-(0.000000001120083*E58^4)+(0.000000000006536332*E58^5)))</f>
        <v/>
      </c>
      <c r="P58" s="165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66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7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7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68"/>
      <c r="U58" s="168"/>
      <c r="V58" s="168"/>
      <c r="W58" s="168"/>
      <c r="X58" s="168"/>
      <c r="Y58" s="168"/>
      <c r="Z58" s="168"/>
      <c r="AA58" s="168"/>
      <c r="AB58" s="168"/>
      <c r="AC58" s="168"/>
      <c r="AD58" s="168"/>
      <c r="AE58" s="168"/>
      <c r="AF58" s="168"/>
      <c r="AG58" s="168"/>
      <c r="AH58" s="168"/>
      <c r="AI58" s="168"/>
      <c r="AJ58" s="168"/>
      <c r="AK58" s="168"/>
      <c r="AL58" s="168"/>
      <c r="AM58" s="168"/>
      <c r="AN58" s="168"/>
      <c r="AO58" s="168"/>
      <c r="AP58" s="168"/>
      <c r="AQ58" s="168"/>
      <c r="AR58" s="168"/>
      <c r="AS58" s="168"/>
      <c r="AT58" s="168"/>
      <c r="AU58" s="168"/>
      <c r="AV58" s="168"/>
      <c r="AW58" s="168"/>
      <c r="AX58" s="168"/>
      <c r="AY58" s="168"/>
      <c r="AZ58" s="168"/>
      <c r="BA58" s="168"/>
      <c r="BB58" s="169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T1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8178137651822"/>
    <col collapsed="false" hidden="false" max="32" min="32" style="0" width="9.10526315789474"/>
    <col collapsed="false" hidden="false" max="33" min="33" style="0" width="26.5668016194332"/>
    <col collapsed="false" hidden="false" max="34" min="34" style="0" width="12.8542510121458"/>
    <col collapsed="false" hidden="false" max="35" min="35" style="0" width="11.1417004048583"/>
    <col collapsed="false" hidden="false" max="36" min="36" style="0" width="14.5668016194332"/>
    <col collapsed="false" hidden="false" max="37" min="37" style="0" width="12.2105263157895"/>
    <col collapsed="false" hidden="false" max="38" min="38" style="0" width="26.995951417004"/>
    <col collapsed="false" hidden="false" max="39" min="39" style="0" width="14.6761133603239"/>
    <col collapsed="false" hidden="false" max="40" min="40" style="0" width="11.3562753036437"/>
    <col collapsed="false" hidden="false" max="41" min="41" style="0" width="12.5344129554656"/>
    <col collapsed="false" hidden="false" max="42" min="42" style="0" width="10.7125506072875"/>
    <col collapsed="false" hidden="false" max="43" min="43" style="0" width="6.31983805668016"/>
    <col collapsed="false" hidden="false" max="44" min="44" style="0" width="19.7085020242915"/>
    <col collapsed="false" hidden="false" max="45" min="45" style="0" width="13.0688259109312"/>
    <col collapsed="false" hidden="false" max="46" min="46" style="0" width="17.7813765182186"/>
    <col collapsed="false" hidden="false" max="47" min="47" style="0" width="14.6761133603239"/>
    <col collapsed="false" hidden="false" max="48" min="48" style="0" width="13.6032388663968"/>
    <col collapsed="false" hidden="false" max="49" min="49" style="0" width="13.7125506072874"/>
    <col collapsed="false" hidden="false" max="50" min="50" style="0" width="19.9230769230769"/>
    <col collapsed="false" hidden="false" max="51" min="51" style="0" width="13.2834008097166"/>
    <col collapsed="false" hidden="false" max="52" min="52" style="0" width="17.6761133603239"/>
    <col collapsed="false" hidden="false" max="53" min="53" style="0" width="13.3886639676113"/>
    <col collapsed="false" hidden="false" max="54" min="54" style="0" width="12.6396761133603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18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38544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4</v>
      </c>
      <c r="J9" s="29" t="n">
        <v>59.93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-4°59,93</v>
      </c>
      <c r="P9" s="29" t="s">
        <v>15</v>
      </c>
      <c r="Q9" s="33" t="n">
        <f aca="false">IF(ISBLANK(I9),"",IF(ISBLANK(J9),"",IF(J9&gt;60,"ERREUR !!",O11*(I9+(J9/60)))))</f>
        <v>-4.99883333333333</v>
      </c>
      <c r="R9" s="33"/>
    </row>
    <row r="10" customFormat="false" ht="15" hidden="false" customHeight="true" outlineLevel="0" collapsed="false">
      <c r="C10" s="21"/>
      <c r="D10" s="18"/>
      <c r="G10" s="27" t="s">
        <v>16</v>
      </c>
      <c r="H10" s="27"/>
      <c r="I10" s="28" t="n">
        <v>10</v>
      </c>
      <c r="J10" s="29" t="n">
        <v>0.05</v>
      </c>
      <c r="K10" s="30" t="s">
        <v>12</v>
      </c>
      <c r="L10" s="31" t="str">
        <f aca="false">IF(P10=N9,"+","-")</f>
        <v>-</v>
      </c>
      <c r="M10" s="30" t="s">
        <v>15</v>
      </c>
      <c r="N10" s="30" t="s">
        <v>17</v>
      </c>
      <c r="O10" s="34" t="str">
        <f aca="false">IF(ISBLANK(I10),"",IF(ISBLANK(J10),"",IF(P10=N10,L10&amp;N12,N12)))</f>
        <v>-10°0,05</v>
      </c>
      <c r="P10" s="29" t="s">
        <v>17</v>
      </c>
      <c r="Q10" s="33" t="n">
        <f aca="false">IF(ISBLANK(I10),"",IF(ISBLANK(J10),"",IF(J10&gt;60,"ERREUR !!",O12*(I10+(J10/60)))))</f>
        <v>-10.0008333333333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38543</v>
      </c>
      <c r="K11" s="38"/>
      <c r="L11" s="38"/>
      <c r="M11" s="38"/>
      <c r="N11" s="39" t="str">
        <f aca="false">I9&amp;"°"&amp;J9</f>
        <v>4°59,93</v>
      </c>
      <c r="O11" s="40" t="n">
        <f aca="false">IF(P9=M10,-1,1)</f>
        <v>-1</v>
      </c>
      <c r="P11" s="41" t="str">
        <f aca="false">TEXT(J11,"aaaa-mm-jj")&amp;"T"&amp;TEXT(J12,"hh:mm:ss")&amp;"z"</f>
        <v>2009-07-11T21:00:00z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0.875</v>
      </c>
      <c r="K12" s="45"/>
      <c r="L12" s="45"/>
      <c r="M12" s="45"/>
      <c r="N12" s="46" t="str">
        <f aca="false">I10&amp;"°"&amp;J10</f>
        <v>10°0,05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e">
        <f aca="false">$P$24*($P$18/#REF!)</f>
        <v>#REF!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e">
        <f aca="false">5+#REF!</f>
        <v>#REF!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e">
        <f aca="false">P20*(1+0.00001*(R14-20))</f>
        <v>#REF!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e">
        <f aca="false">MAX(#REF!)</f>
        <v>#VALUE!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e">
        <f aca="false">2+(#REF!+#REF!)</f>
        <v>#REF!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52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53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IF(ISBLANK(VLOOKUP(D35,#REF!,3)),0,1)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n">
        <v>34.9502</v>
      </c>
      <c r="H35" s="118" t="n">
        <v>2000</v>
      </c>
      <c r="I35" s="119" t="n">
        <v>2002.7</v>
      </c>
      <c r="J35" s="120"/>
      <c r="K35" s="121"/>
      <c r="L35" s="121"/>
      <c r="M35" s="121"/>
      <c r="N35" s="122"/>
      <c r="O35" s="121"/>
      <c r="P35" s="173" t="n">
        <v>5.529</v>
      </c>
      <c r="Q35" s="120"/>
      <c r="R35" s="120"/>
      <c r="S35" s="176" t="n">
        <v>240.272</v>
      </c>
      <c r="T35" s="32" t="n">
        <v>0.03</v>
      </c>
      <c r="U35" s="32" t="n">
        <v>0.03</v>
      </c>
      <c r="V35" s="32"/>
      <c r="W35" s="32"/>
      <c r="X35" s="125" t="n">
        <v>21.1</v>
      </c>
      <c r="Y35" s="125" t="n">
        <v>20.6</v>
      </c>
      <c r="Z35" s="32" t="n">
        <v>1.5</v>
      </c>
      <c r="AA35" s="32" t="n">
        <v>1.46</v>
      </c>
      <c r="AB35" s="125" t="n">
        <v>23.7</v>
      </c>
      <c r="AC35" s="125" t="n">
        <v>23.1</v>
      </c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7"/>
    </row>
    <row r="36" customFormat="false" ht="15.6" hidden="false" customHeight="false" outlineLevel="0" collapsed="false">
      <c r="A36" s="111" t="n">
        <f aca="false">IF(ISBLANK(VLOOKUP(D36,#REF!,3)),0,1)</f>
        <v>1</v>
      </c>
      <c r="B36" s="112" t="n">
        <f aca="false">IF(ISBLANK(D36),0,IF(ISBLANK(E36),0,IF(ISBLANK(F36),0,1)))</f>
        <v>0</v>
      </c>
      <c r="C36" s="128" t="n">
        <v>2</v>
      </c>
      <c r="D36" s="129"/>
      <c r="E36" s="129"/>
      <c r="F36" s="130"/>
      <c r="G36" s="117" t="n">
        <v>34.642</v>
      </c>
      <c r="H36" s="131" t="n">
        <v>1000</v>
      </c>
      <c r="I36" s="119" t="n">
        <v>999.2</v>
      </c>
      <c r="J36" s="132"/>
      <c r="K36" s="133"/>
      <c r="L36" s="133"/>
      <c r="M36" s="133"/>
      <c r="N36" s="134"/>
      <c r="O36" s="133"/>
      <c r="P36" s="175" t="n">
        <v>3.731</v>
      </c>
      <c r="Q36" s="132"/>
      <c r="R36" s="132"/>
      <c r="S36" s="177" t="n">
        <v>162.175</v>
      </c>
      <c r="T36" s="32" t="n">
        <v>0.03</v>
      </c>
      <c r="U36" s="32" t="n">
        <v>0.03</v>
      </c>
      <c r="V36" s="32"/>
      <c r="W36" s="32"/>
      <c r="X36" s="125" t="n">
        <v>32.4</v>
      </c>
      <c r="Y36" s="125" t="n">
        <v>31.7</v>
      </c>
      <c r="Z36" s="32" t="n">
        <v>2.25</v>
      </c>
      <c r="AA36" s="32" t="n">
        <v>2.2</v>
      </c>
      <c r="AB36" s="125" t="n">
        <v>32.1</v>
      </c>
      <c r="AC36" s="125" t="n">
        <v>31.4</v>
      </c>
      <c r="AD36" s="124"/>
      <c r="AE36" s="124"/>
      <c r="AF36" s="124"/>
      <c r="AG36" s="124"/>
      <c r="AH36" s="124"/>
      <c r="AI36" s="124"/>
      <c r="AJ36" s="124"/>
      <c r="AK36" s="124"/>
      <c r="AL36" s="124"/>
      <c r="AM36" s="124"/>
      <c r="AN36" s="124"/>
      <c r="AO36" s="124"/>
      <c r="AP36" s="124"/>
      <c r="AQ36" s="124"/>
      <c r="AR36" s="124"/>
      <c r="AS36" s="124"/>
      <c r="AT36" s="124"/>
      <c r="AU36" s="124"/>
      <c r="AV36" s="124"/>
      <c r="AW36" s="124"/>
      <c r="AX36" s="124"/>
      <c r="AY36" s="124"/>
      <c r="AZ36" s="124"/>
      <c r="BA36" s="124"/>
      <c r="BB36" s="136"/>
    </row>
    <row r="37" customFormat="false" ht="16.2" hidden="false" customHeight="false" outlineLevel="0" collapsed="false">
      <c r="A37" s="111" t="n">
        <f aca="false">IF(ISBLANK(VLOOKUP(D37,#REF!,3)),0,1)</f>
        <v>1</v>
      </c>
      <c r="B37" s="112" t="n">
        <f aca="false">IF(ISBLANK(D37),0,IF(ISBLANK(E37),0,IF(ISBLANK(F37),0,1)))</f>
        <v>0</v>
      </c>
      <c r="C37" s="128" t="n">
        <v>3</v>
      </c>
      <c r="D37" s="129"/>
      <c r="E37" s="129"/>
      <c r="F37" s="137"/>
      <c r="G37" s="117" t="n">
        <v>34.6405</v>
      </c>
      <c r="H37" s="131" t="n">
        <v>1000</v>
      </c>
      <c r="I37" s="119" t="n">
        <v>999.1</v>
      </c>
      <c r="J37" s="132"/>
      <c r="K37" s="133"/>
      <c r="L37" s="133"/>
      <c r="M37" s="133"/>
      <c r="N37" s="134"/>
      <c r="O37" s="133"/>
      <c r="P37" s="175" t="n">
        <v>3.714</v>
      </c>
      <c r="Q37" s="132"/>
      <c r="R37" s="132"/>
      <c r="S37" s="177" t="n">
        <v>161.451</v>
      </c>
      <c r="T37" s="32" t="n">
        <v>0.03</v>
      </c>
      <c r="U37" s="32" t="n">
        <v>0.03</v>
      </c>
      <c r="V37" s="32"/>
      <c r="W37" s="32"/>
      <c r="X37" s="125" t="n">
        <v>32.5</v>
      </c>
      <c r="Y37" s="125" t="n">
        <v>31.7</v>
      </c>
      <c r="Z37" s="32" t="n">
        <v>2.23</v>
      </c>
      <c r="AA37" s="32" t="n">
        <v>2.18</v>
      </c>
      <c r="AB37" s="125" t="n">
        <v>32.3</v>
      </c>
      <c r="AC37" s="125" t="n">
        <v>31.6</v>
      </c>
      <c r="AD37" s="124"/>
      <c r="AE37" s="124"/>
      <c r="AF37" s="124"/>
      <c r="AG37" s="124"/>
      <c r="AH37" s="124"/>
      <c r="AI37" s="124"/>
      <c r="AJ37" s="124"/>
      <c r="AK37" s="124"/>
      <c r="AL37" s="124"/>
      <c r="AM37" s="124"/>
      <c r="AN37" s="124"/>
      <c r="AO37" s="124"/>
      <c r="AP37" s="124"/>
      <c r="AQ37" s="124"/>
      <c r="AR37" s="124"/>
      <c r="AS37" s="124"/>
      <c r="AT37" s="124"/>
      <c r="AU37" s="124"/>
      <c r="AV37" s="124"/>
      <c r="AW37" s="124"/>
      <c r="AX37" s="124"/>
      <c r="AY37" s="124"/>
      <c r="AZ37" s="124"/>
      <c r="BA37" s="124"/>
      <c r="BB37" s="136"/>
    </row>
    <row r="38" customFormat="false" ht="15.6" hidden="false" customHeight="false" outlineLevel="0" collapsed="false">
      <c r="A38" s="111" t="n">
        <f aca="false">IF(ISBLANK(VLOOKUP(D38,#REF!,3)),0,1)</f>
        <v>1</v>
      </c>
      <c r="B38" s="112" t="n">
        <f aca="false">IF(ISBLANK(D38),0,IF(ISBLANK(E38),0,IF(ISBLANK(F38),0,1)))</f>
        <v>0</v>
      </c>
      <c r="C38" s="128" t="n">
        <v>4</v>
      </c>
      <c r="D38" s="138"/>
      <c r="E38" s="138"/>
      <c r="F38" s="139"/>
      <c r="G38" s="117" t="n">
        <v>34.662</v>
      </c>
      <c r="H38" s="131" t="n">
        <v>500</v>
      </c>
      <c r="I38" s="119" t="n">
        <v>500</v>
      </c>
      <c r="J38" s="132"/>
      <c r="K38" s="133"/>
      <c r="L38" s="133"/>
      <c r="M38" s="133"/>
      <c r="N38" s="134"/>
      <c r="O38" s="133"/>
      <c r="P38" s="175" t="n">
        <v>1.988</v>
      </c>
      <c r="Q38" s="132"/>
      <c r="R38" s="132"/>
      <c r="S38" s="177" t="n">
        <v>86.434</v>
      </c>
      <c r="T38" s="32" t="n">
        <v>0.03</v>
      </c>
      <c r="U38" s="32" t="n">
        <v>0.02</v>
      </c>
      <c r="V38" s="32"/>
      <c r="W38" s="32"/>
      <c r="X38" s="125" t="n">
        <v>36.6</v>
      </c>
      <c r="Y38" s="125" t="n">
        <v>35.7</v>
      </c>
      <c r="Z38" s="32" t="n">
        <v>2.32</v>
      </c>
      <c r="AA38" s="32" t="n">
        <v>2.26</v>
      </c>
      <c r="AB38" s="125" t="n">
        <v>20.5</v>
      </c>
      <c r="AC38" s="125" t="n">
        <v>20.1</v>
      </c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7"/>
    </row>
    <row r="39" customFormat="false" ht="15.6" hidden="false" customHeight="false" outlineLevel="0" collapsed="false">
      <c r="A39" s="111" t="n">
        <f aca="false">IF(ISBLANK(VLOOKUP(D39,#REF!,3)),0,1)</f>
        <v>1</v>
      </c>
      <c r="B39" s="112" t="n">
        <f aca="false">IF(ISBLANK(D39),0,IF(ISBLANK(E39),0,IF(ISBLANK(F39),0,1)))</f>
        <v>0</v>
      </c>
      <c r="C39" s="128" t="n">
        <v>5</v>
      </c>
      <c r="D39" s="129"/>
      <c r="E39" s="129"/>
      <c r="F39" s="137"/>
      <c r="G39" s="117" t="n">
        <v>35.6462</v>
      </c>
      <c r="H39" s="131" t="n">
        <v>100</v>
      </c>
      <c r="I39" s="119" t="n">
        <v>101.5</v>
      </c>
      <c r="J39" s="132"/>
      <c r="K39" s="133"/>
      <c r="L39" s="133"/>
      <c r="M39" s="133"/>
      <c r="N39" s="134"/>
      <c r="O39" s="133"/>
      <c r="P39" s="175" t="n">
        <v>2.507</v>
      </c>
      <c r="Q39" s="132"/>
      <c r="R39" s="132"/>
      <c r="S39" s="177" t="n">
        <v>109.115</v>
      </c>
      <c r="T39" s="32" t="n">
        <v>0.04</v>
      </c>
      <c r="U39" s="32" t="n">
        <v>0.04</v>
      </c>
      <c r="V39" s="32"/>
      <c r="W39" s="32"/>
      <c r="X39" s="125" t="n">
        <v>18.8</v>
      </c>
      <c r="Y39" s="125" t="n">
        <v>18.4</v>
      </c>
      <c r="Z39" s="32" t="n">
        <v>1.28</v>
      </c>
      <c r="AA39" s="32" t="n">
        <v>1.25</v>
      </c>
      <c r="AB39" s="125" t="n">
        <v>6.1</v>
      </c>
      <c r="AC39" s="125" t="n">
        <v>5.9</v>
      </c>
      <c r="AD39" s="124"/>
      <c r="AE39" s="124"/>
      <c r="AF39" s="124"/>
      <c r="AG39" s="124"/>
      <c r="AH39" s="124"/>
      <c r="AI39" s="124"/>
      <c r="AJ39" s="124"/>
      <c r="AK39" s="124"/>
      <c r="AL39" s="124"/>
      <c r="AM39" s="124"/>
      <c r="AN39" s="124"/>
      <c r="AO39" s="124"/>
      <c r="AP39" s="124"/>
      <c r="AQ39" s="124"/>
      <c r="AR39" s="124"/>
      <c r="AS39" s="124"/>
      <c r="AT39" s="124"/>
      <c r="AU39" s="124"/>
      <c r="AV39" s="124"/>
      <c r="AW39" s="124"/>
      <c r="AX39" s="124"/>
      <c r="AY39" s="124"/>
      <c r="AZ39" s="124"/>
      <c r="BA39" s="124"/>
      <c r="BB39" s="136"/>
    </row>
    <row r="40" customFormat="false" ht="16.2" hidden="false" customHeight="false" outlineLevel="0" collapsed="false">
      <c r="A40" s="111" t="n">
        <f aca="false">IF(ISBLANK(VLOOKUP(D40,#REF!,3)),0,1)</f>
        <v>1</v>
      </c>
      <c r="B40" s="112" t="n">
        <f aca="false">IF(ISBLANK(D40),0,IF(ISBLANK(E40),0,IF(ISBLANK(F40),0,1)))</f>
        <v>0</v>
      </c>
      <c r="C40" s="128" t="n">
        <v>6</v>
      </c>
      <c r="D40" s="129"/>
      <c r="E40" s="129"/>
      <c r="F40" s="137"/>
      <c r="G40" s="117"/>
      <c r="H40" s="131" t="n">
        <v>80</v>
      </c>
      <c r="I40" s="119"/>
      <c r="J40" s="132"/>
      <c r="K40" s="133"/>
      <c r="L40" s="133"/>
      <c r="M40" s="133"/>
      <c r="N40" s="134"/>
      <c r="O40" s="133"/>
      <c r="P40" s="175"/>
      <c r="Q40" s="132"/>
      <c r="R40" s="132"/>
      <c r="S40" s="177"/>
      <c r="T40" s="32" t="n">
        <v>0.11</v>
      </c>
      <c r="U40" s="32" t="n">
        <v>0.11</v>
      </c>
      <c r="V40" s="32"/>
      <c r="W40" s="32"/>
      <c r="X40" s="125" t="n">
        <v>15.9</v>
      </c>
      <c r="Y40" s="125" t="n">
        <v>15.5</v>
      </c>
      <c r="Z40" s="32" t="n">
        <v>1.1</v>
      </c>
      <c r="AA40" s="32" t="n">
        <v>1.07</v>
      </c>
      <c r="AB40" s="125" t="n">
        <v>5</v>
      </c>
      <c r="AC40" s="125" t="n">
        <v>4.9</v>
      </c>
      <c r="AD40" s="124"/>
      <c r="AE40" s="124"/>
      <c r="AF40" s="124"/>
      <c r="AG40" s="124"/>
      <c r="AH40" s="124"/>
      <c r="AI40" s="124"/>
      <c r="AJ40" s="124"/>
      <c r="AK40" s="124"/>
      <c r="AL40" s="124"/>
      <c r="AM40" s="124"/>
      <c r="AN40" s="124"/>
      <c r="AO40" s="124"/>
      <c r="AP40" s="124"/>
      <c r="AQ40" s="124"/>
      <c r="AR40" s="124"/>
      <c r="AS40" s="124"/>
      <c r="AT40" s="124"/>
      <c r="AU40" s="124"/>
      <c r="AV40" s="124"/>
      <c r="AW40" s="124"/>
      <c r="AX40" s="124"/>
      <c r="AY40" s="124"/>
      <c r="AZ40" s="124"/>
      <c r="BA40" s="124"/>
      <c r="BB40" s="136"/>
    </row>
    <row r="41" customFormat="false" ht="15.6" hidden="false" customHeight="false" outlineLevel="0" collapsed="false">
      <c r="A41" s="111" t="n">
        <f aca="false">IF(ISBLANK(VLOOKUP(D41,#REF!,3)),0,1)</f>
        <v>1</v>
      </c>
      <c r="B41" s="112" t="n">
        <f aca="false">IF(ISBLANK(D41),0,IF(ISBLANK(E41),0,IF(ISBLANK(F41),0,1)))</f>
        <v>0</v>
      </c>
      <c r="C41" s="128" t="n">
        <v>7</v>
      </c>
      <c r="D41" s="129"/>
      <c r="E41" s="129"/>
      <c r="F41" s="137"/>
      <c r="G41" s="117"/>
      <c r="H41" s="131" t="n">
        <v>60</v>
      </c>
      <c r="I41" s="119"/>
      <c r="J41" s="132"/>
      <c r="K41" s="133"/>
      <c r="L41" s="133"/>
      <c r="M41" s="133"/>
      <c r="N41" s="134"/>
      <c r="O41" s="133"/>
      <c r="P41" s="175"/>
      <c r="Q41" s="132"/>
      <c r="R41" s="132"/>
      <c r="S41" s="177"/>
      <c r="T41" s="32" t="n">
        <v>0.31</v>
      </c>
      <c r="U41" s="32" t="n">
        <v>0.3</v>
      </c>
      <c r="V41" s="32"/>
      <c r="W41" s="32"/>
      <c r="X41" s="125" t="n">
        <v>4.1</v>
      </c>
      <c r="Y41" s="125" t="n">
        <v>4</v>
      </c>
      <c r="Z41" s="32" t="n">
        <v>0.5</v>
      </c>
      <c r="AA41" s="32" t="n">
        <v>0.48</v>
      </c>
      <c r="AB41" s="125" t="n">
        <v>2.6</v>
      </c>
      <c r="AC41" s="125" t="n">
        <v>2.6</v>
      </c>
      <c r="AD41" s="126"/>
      <c r="AE41" s="126"/>
      <c r="AF41" s="126"/>
      <c r="AG41" s="126"/>
      <c r="AH41" s="126"/>
      <c r="AI41" s="126"/>
      <c r="AJ41" s="126"/>
      <c r="AK41" s="126"/>
      <c r="AL41" s="126"/>
      <c r="AM41" s="126"/>
      <c r="AN41" s="126"/>
      <c r="AO41" s="126"/>
      <c r="AP41" s="126"/>
      <c r="AQ41" s="126"/>
      <c r="AR41" s="126"/>
      <c r="AS41" s="126"/>
      <c r="AT41" s="126"/>
      <c r="AU41" s="126"/>
      <c r="AV41" s="126"/>
      <c r="AW41" s="126"/>
      <c r="AX41" s="126"/>
      <c r="AY41" s="126"/>
      <c r="AZ41" s="126"/>
      <c r="BA41" s="126"/>
      <c r="BB41" s="127"/>
    </row>
    <row r="42" customFormat="false" ht="16.2" hidden="false" customHeight="false" outlineLevel="0" collapsed="false">
      <c r="A42" s="111" t="n">
        <f aca="false">IF(ISBLANK(VLOOKUP(D42,#REF!,3)),0,1)</f>
        <v>1</v>
      </c>
      <c r="B42" s="112" t="n">
        <f aca="false">IF(ISBLANK(D42),0,IF(ISBLANK(E42),0,IF(ISBLANK(F42),0,1)))</f>
        <v>0</v>
      </c>
      <c r="C42" s="128" t="n">
        <v>8</v>
      </c>
      <c r="D42" s="129"/>
      <c r="E42" s="129"/>
      <c r="F42" s="137"/>
      <c r="G42" s="117"/>
      <c r="H42" s="131" t="n">
        <v>40</v>
      </c>
      <c r="I42" s="119"/>
      <c r="J42" s="132"/>
      <c r="K42" s="133"/>
      <c r="L42" s="133"/>
      <c r="M42" s="133"/>
      <c r="N42" s="134"/>
      <c r="O42" s="133"/>
      <c r="P42" s="175"/>
      <c r="Q42" s="132"/>
      <c r="R42" s="132"/>
      <c r="S42" s="177"/>
      <c r="T42" s="32" t="n">
        <v>0.02</v>
      </c>
      <c r="U42" s="32" t="n">
        <v>0.02</v>
      </c>
      <c r="V42" s="32"/>
      <c r="W42" s="32"/>
      <c r="X42" s="125" t="n">
        <v>0.1</v>
      </c>
      <c r="Y42" s="125" t="n">
        <v>0.1</v>
      </c>
      <c r="Z42" s="32" t="n">
        <v>0.2</v>
      </c>
      <c r="AA42" s="32" t="n">
        <v>0.2</v>
      </c>
      <c r="AB42" s="125" t="n">
        <v>1.6</v>
      </c>
      <c r="AC42" s="125" t="n">
        <v>1.5</v>
      </c>
      <c r="AD42" s="124"/>
      <c r="AE42" s="124"/>
      <c r="AF42" s="124"/>
      <c r="AG42" s="124"/>
      <c r="AH42" s="124"/>
      <c r="AI42" s="124"/>
      <c r="AJ42" s="124"/>
      <c r="AK42" s="124"/>
      <c r="AL42" s="124"/>
      <c r="AM42" s="124"/>
      <c r="AN42" s="124"/>
      <c r="AO42" s="124"/>
      <c r="AP42" s="124"/>
      <c r="AQ42" s="124"/>
      <c r="AR42" s="124"/>
      <c r="AS42" s="124"/>
      <c r="AT42" s="124"/>
      <c r="AU42" s="124"/>
      <c r="AV42" s="124"/>
      <c r="AW42" s="124"/>
      <c r="AX42" s="124"/>
      <c r="AY42" s="124"/>
      <c r="AZ42" s="124"/>
      <c r="BA42" s="124"/>
      <c r="BB42" s="136"/>
    </row>
    <row r="43" customFormat="false" ht="15.6" hidden="false" customHeight="false" outlineLevel="0" collapsed="false">
      <c r="A43" s="111" t="n">
        <f aca="false">IF(ISBLANK(VLOOKUP(D43,#REF!,3)),0,1)</f>
        <v>1</v>
      </c>
      <c r="B43" s="112" t="n">
        <f aca="false">IF(ISBLANK(D43),0,IF(ISBLANK(E43),0,IF(ISBLANK(F43),0,1)))</f>
        <v>0</v>
      </c>
      <c r="C43" s="128" t="n">
        <v>9</v>
      </c>
      <c r="D43" s="129"/>
      <c r="E43" s="129"/>
      <c r="F43" s="137"/>
      <c r="G43" s="117"/>
      <c r="H43" s="131" t="n">
        <v>20</v>
      </c>
      <c r="I43" s="119"/>
      <c r="J43" s="132"/>
      <c r="K43" s="133"/>
      <c r="L43" s="133"/>
      <c r="M43" s="133"/>
      <c r="N43" s="134"/>
      <c r="O43" s="133"/>
      <c r="P43" s="175"/>
      <c r="Q43" s="132"/>
      <c r="R43" s="132"/>
      <c r="S43" s="177"/>
      <c r="T43" s="32" t="n">
        <v>0.02</v>
      </c>
      <c r="U43" s="32" t="n">
        <v>0.02</v>
      </c>
      <c r="V43" s="32"/>
      <c r="W43" s="32"/>
      <c r="X43" s="125" t="n">
        <v>0.1</v>
      </c>
      <c r="Y43" s="125" t="n">
        <v>0.1</v>
      </c>
      <c r="Z43" s="32" t="n">
        <v>0.19</v>
      </c>
      <c r="AA43" s="32" t="n">
        <v>0.18</v>
      </c>
      <c r="AB43" s="125" t="n">
        <v>1.6</v>
      </c>
      <c r="AC43" s="125" t="n">
        <v>1.5</v>
      </c>
      <c r="AD43" s="126"/>
      <c r="AE43" s="126"/>
      <c r="AF43" s="126"/>
      <c r="AG43" s="126"/>
      <c r="AH43" s="126"/>
      <c r="AI43" s="126"/>
      <c r="AJ43" s="126"/>
      <c r="AK43" s="126"/>
      <c r="AL43" s="126"/>
      <c r="AM43" s="126"/>
      <c r="AN43" s="126"/>
      <c r="AO43" s="126"/>
      <c r="AP43" s="126"/>
      <c r="AQ43" s="126"/>
      <c r="AR43" s="126"/>
      <c r="AS43" s="126"/>
      <c r="AT43" s="126"/>
      <c r="AU43" s="126"/>
      <c r="AV43" s="126"/>
      <c r="AW43" s="126"/>
      <c r="AX43" s="126"/>
      <c r="AY43" s="126"/>
      <c r="AZ43" s="126"/>
      <c r="BA43" s="126"/>
      <c r="BB43" s="127"/>
    </row>
    <row r="44" customFormat="false" ht="15.6" hidden="false" customHeight="false" outlineLevel="0" collapsed="false">
      <c r="A44" s="111" t="n">
        <f aca="false">IF(ISBLANK(VLOOKUP(D44,#REF!,3)),0,1)</f>
        <v>1</v>
      </c>
      <c r="B44" s="112" t="n">
        <f aca="false">IF(ISBLANK(D44),0,IF(ISBLANK(E44),0,IF(ISBLANK(F44),0,1)))</f>
        <v>0</v>
      </c>
      <c r="C44" s="128" t="n">
        <v>10</v>
      </c>
      <c r="D44" s="129"/>
      <c r="E44" s="129"/>
      <c r="F44" s="137"/>
      <c r="G44" s="117"/>
      <c r="H44" s="131" t="n">
        <v>10</v>
      </c>
      <c r="I44" s="119"/>
      <c r="J44" s="132"/>
      <c r="K44" s="133"/>
      <c r="L44" s="133"/>
      <c r="M44" s="133"/>
      <c r="N44" s="134"/>
      <c r="O44" s="133"/>
      <c r="P44" s="175"/>
      <c r="Q44" s="132"/>
      <c r="R44" s="132"/>
      <c r="S44" s="177"/>
      <c r="T44" s="32" t="n">
        <v>0.02</v>
      </c>
      <c r="U44" s="32" t="n">
        <v>0.02</v>
      </c>
      <c r="V44" s="32"/>
      <c r="W44" s="32"/>
      <c r="X44" s="125" t="n">
        <v>0.1</v>
      </c>
      <c r="Y44" s="125" t="n">
        <v>0.1</v>
      </c>
      <c r="Z44" s="32" t="n">
        <v>0.18</v>
      </c>
      <c r="AA44" s="32" t="n">
        <v>0.18</v>
      </c>
      <c r="AB44" s="125" t="n">
        <v>1.5</v>
      </c>
      <c r="AC44" s="125" t="n">
        <v>1.5</v>
      </c>
      <c r="AD44" s="124"/>
      <c r="AE44" s="124"/>
      <c r="AF44" s="124"/>
      <c r="AG44" s="124"/>
      <c r="AH44" s="124"/>
      <c r="AI44" s="124"/>
      <c r="AJ44" s="124"/>
      <c r="AK44" s="124"/>
      <c r="AL44" s="124"/>
      <c r="AM44" s="124"/>
      <c r="AN44" s="124"/>
      <c r="AO44" s="124"/>
      <c r="AP44" s="124"/>
      <c r="AQ44" s="124"/>
      <c r="AR44" s="124"/>
      <c r="AS44" s="124"/>
      <c r="AT44" s="124"/>
      <c r="AU44" s="124"/>
      <c r="AV44" s="124"/>
      <c r="AW44" s="124"/>
      <c r="AX44" s="124"/>
      <c r="AY44" s="124"/>
      <c r="AZ44" s="124"/>
      <c r="BA44" s="124"/>
      <c r="BB44" s="136"/>
    </row>
    <row r="45" customFormat="false" ht="15.6" hidden="false" customHeight="false" outlineLevel="0" collapsed="false">
      <c r="A45" s="111" t="n">
        <f aca="false">IF(ISBLANK(VLOOKUP(D45,#REF!,3)),0,1)</f>
        <v>1</v>
      </c>
      <c r="B45" s="112" t="n">
        <f aca="false">IF(ISBLANK(D45),0,IF(ISBLANK(E45),0,IF(ISBLANK(F45),0,1)))</f>
        <v>0</v>
      </c>
      <c r="C45" s="128" t="n">
        <v>11</v>
      </c>
      <c r="D45" s="129"/>
      <c r="E45" s="129"/>
      <c r="F45" s="137"/>
      <c r="G45" s="117" t="n">
        <v>35.8776</v>
      </c>
      <c r="H45" s="131" t="n">
        <v>0</v>
      </c>
      <c r="I45" s="119" t="n">
        <v>2.1</v>
      </c>
      <c r="J45" s="132"/>
      <c r="K45" s="133"/>
      <c r="L45" s="133"/>
      <c r="M45" s="133"/>
      <c r="N45" s="134"/>
      <c r="O45" s="133"/>
      <c r="P45" s="175" t="n">
        <v>4.806</v>
      </c>
      <c r="Q45" s="132"/>
      <c r="R45" s="132"/>
      <c r="S45" s="177" t="n">
        <v>209.531</v>
      </c>
      <c r="T45" s="32" t="n">
        <v>0.03</v>
      </c>
      <c r="U45" s="32" t="n">
        <v>0.02</v>
      </c>
      <c r="V45" s="32"/>
      <c r="W45" s="32"/>
      <c r="X45" s="125" t="n">
        <v>0.1</v>
      </c>
      <c r="Y45" s="125" t="n">
        <v>0.1</v>
      </c>
      <c r="Z45" s="32" t="n">
        <v>0.19</v>
      </c>
      <c r="AA45" s="32" t="n">
        <v>0.18</v>
      </c>
      <c r="AB45" s="125" t="n">
        <v>1.8</v>
      </c>
      <c r="AC45" s="125" t="n">
        <v>1.8</v>
      </c>
      <c r="AD45" s="124"/>
      <c r="AE45" s="124"/>
      <c r="AF45" s="124"/>
      <c r="AG45" s="124"/>
      <c r="AH45" s="124"/>
      <c r="AI45" s="124"/>
      <c r="AJ45" s="124"/>
      <c r="AK45" s="124"/>
      <c r="AL45" s="124"/>
      <c r="AM45" s="124"/>
      <c r="AN45" s="124"/>
      <c r="AO45" s="124"/>
      <c r="AP45" s="124"/>
      <c r="AQ45" s="124"/>
      <c r="AR45" s="124"/>
      <c r="AS45" s="124"/>
      <c r="AT45" s="124"/>
      <c r="AU45" s="124"/>
      <c r="AV45" s="124"/>
      <c r="AW45" s="124"/>
      <c r="AX45" s="124"/>
      <c r="AY45" s="124"/>
      <c r="AZ45" s="124"/>
      <c r="BA45" s="124"/>
      <c r="BB45" s="136"/>
    </row>
    <row r="46" customFormat="false" ht="15.6" hidden="false" customHeight="false" outlineLevel="0" collapsed="false">
      <c r="A46" s="111" t="n">
        <f aca="false">IF(ISBLANK(VLOOKUP(D46,#REF!,3)),0,1)</f>
        <v>1</v>
      </c>
      <c r="B46" s="112" t="n">
        <f aca="false">IF(ISBLANK(D46),0,IF(ISBLANK(E46),0,IF(ISBLANK(F46),0,1)))</f>
        <v>0</v>
      </c>
      <c r="C46" s="128" t="n">
        <v>12</v>
      </c>
      <c r="D46" s="142"/>
      <c r="E46" s="142"/>
      <c r="F46" s="143"/>
      <c r="G46" s="144"/>
      <c r="H46" s="142"/>
      <c r="I46" s="145"/>
      <c r="J46" s="132" t="str">
        <f aca="false">IF(ISBLANK(D46),"",IF(VLOOKUP(D46,#REF!,2)=0,"",IF(D46&gt;#REF!,"Mauvais numéro",IF(D46&lt;#REF!,"Mauvais numéro",(VLOOKUP(D46,#REF!,3))))))</f>
        <v/>
      </c>
      <c r="K46" s="146" t="str">
        <f aca="false">IF(ISBLANK(E46),"",(0.000824493-(0.0000040899*E46)+(0.000000076438*E46^2)-(0.00000000082467*E46^3)+(0.0000000000053875*E46^4)))</f>
        <v/>
      </c>
      <c r="L46" s="146" t="str">
        <f aca="false">IF(ISBLANK(E46),"",(-0.00000572466+(0.00000010227*E46)-(0.0000000016546*E46^2)))</f>
        <v/>
      </c>
      <c r="M46" s="146" t="str">
        <f aca="false">IF(ISBLANK(E46),"",IF(ISBLANK(G46),(O46+(K46*35)+(L46*35^1.5)+(0.00000048314*35^2)),(O46+(K46*G46)+(L46*G46^1.5)+(0.00000048314*G46^2))))</f>
        <v/>
      </c>
      <c r="N46" s="147" t="str">
        <f aca="false">IF(ISBLANK(D46),"",IF(ISBLANK(G46),J46*(1+0.00001*(35-20)),J46*(1+0.00001*(G46-20))))</f>
        <v/>
      </c>
      <c r="O46" s="146" t="str">
        <f aca="false">IF(ISBLANK(E46),"",(0.999842594+(0.00006793952*E46)-(0.00000909529*E46^2)+(0.0000001001685*E46^3)-(0.000000001120083*E46^4)+(0.000000000006536332*E46^5)))</f>
        <v/>
      </c>
      <c r="P46" s="148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49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0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0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24"/>
      <c r="U46" s="124"/>
      <c r="V46" s="124"/>
      <c r="W46" s="124"/>
      <c r="X46" s="124"/>
      <c r="Y46" s="124"/>
      <c r="Z46" s="124"/>
      <c r="AA46" s="124"/>
      <c r="AB46" s="124"/>
      <c r="AC46" s="124"/>
      <c r="AD46" s="124"/>
      <c r="AE46" s="124"/>
      <c r="AF46" s="124"/>
      <c r="AG46" s="124"/>
      <c r="AH46" s="124"/>
      <c r="AI46" s="124"/>
      <c r="AJ46" s="124"/>
      <c r="AK46" s="124"/>
      <c r="AL46" s="124"/>
      <c r="AM46" s="124"/>
      <c r="AN46" s="124"/>
      <c r="AO46" s="124"/>
      <c r="AP46" s="124"/>
      <c r="AQ46" s="124"/>
      <c r="AR46" s="124"/>
      <c r="AS46" s="124"/>
      <c r="AT46" s="124"/>
      <c r="AU46" s="124"/>
      <c r="AV46" s="124"/>
      <c r="AW46" s="124"/>
      <c r="AX46" s="124"/>
      <c r="AY46" s="124"/>
      <c r="AZ46" s="124"/>
      <c r="BA46" s="124"/>
      <c r="BB46" s="136"/>
    </row>
    <row r="47" customFormat="false" ht="15.6" hidden="false" customHeight="false" outlineLevel="0" collapsed="false">
      <c r="A47" s="111" t="n">
        <f aca="false">IF(ISBLANK(VLOOKUP(D47,#REF!,3)),0,1)</f>
        <v>1</v>
      </c>
      <c r="B47" s="112" t="n">
        <f aca="false">IF(ISBLANK(D47),0,IF(ISBLANK(E47),0,IF(ISBLANK(F47),0,1)))</f>
        <v>0</v>
      </c>
      <c r="C47" s="128" t="n">
        <v>13</v>
      </c>
      <c r="D47" s="151"/>
      <c r="E47" s="151"/>
      <c r="F47" s="152"/>
      <c r="G47" s="153"/>
      <c r="H47" s="151"/>
      <c r="I47" s="151"/>
      <c r="J47" s="132" t="str">
        <f aca="false">IF(ISBLANK(D47),"",IF(VLOOKUP(D47,#REF!,2)=0,"",IF(D47&gt;#REF!,"Mauvais numéro",IF(D47&lt;#REF!,"Mauvais numéro",(VLOOKUP(D47,#REF!,3))))))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54"/>
      <c r="Q47" s="149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5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4"/>
      <c r="T47" s="124"/>
      <c r="U47" s="124"/>
      <c r="V47" s="124"/>
      <c r="W47" s="124"/>
      <c r="X47" s="12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24"/>
      <c r="AJ47" s="124"/>
      <c r="AK47" s="124"/>
      <c r="AL47" s="124"/>
      <c r="AM47" s="124"/>
      <c r="AN47" s="124"/>
      <c r="AO47" s="124"/>
      <c r="AP47" s="124"/>
      <c r="AQ47" s="124"/>
      <c r="AR47" s="124"/>
      <c r="AS47" s="124"/>
      <c r="AT47" s="124"/>
      <c r="AU47" s="124"/>
      <c r="AV47" s="124"/>
      <c r="AW47" s="124"/>
      <c r="AX47" s="124"/>
      <c r="AY47" s="124"/>
      <c r="AZ47" s="124"/>
      <c r="BA47" s="124"/>
      <c r="BB47" s="136"/>
    </row>
    <row r="48" customFormat="false" ht="15.6" hidden="false" customHeight="false" outlineLevel="0" collapsed="false">
      <c r="A48" s="111" t="n">
        <f aca="false">IF(ISBLANK(VLOOKUP(D48,#REF!,3)),0,1)</f>
        <v>1</v>
      </c>
      <c r="B48" s="112" t="n">
        <f aca="false">IF(ISBLANK(D48),0,IF(ISBLANK(E48),0,IF(ISBLANK(F48),0,1)))</f>
        <v>0</v>
      </c>
      <c r="C48" s="128" t="n">
        <v>14</v>
      </c>
      <c r="D48" s="151"/>
      <c r="E48" s="151"/>
      <c r="F48" s="152"/>
      <c r="G48" s="153"/>
      <c r="H48" s="151"/>
      <c r="I48" s="151"/>
      <c r="J48" s="132" t="str">
        <f aca="false">IF(ISBLANK(D48),"",IF(VLOOKUP(D48,#REF!,2)=0,"",IF(D48&gt;#REF!,"Mauvais numéro",IF(D48&lt;#REF!,"Mauvais numéro",(VLOOKUP(D48,#REF!,3))))))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54"/>
      <c r="Q48" s="149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5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4"/>
      <c r="T48" s="124"/>
      <c r="U48" s="124"/>
      <c r="V48" s="124"/>
      <c r="W48" s="124"/>
      <c r="X48" s="124"/>
      <c r="Y48" s="124"/>
      <c r="Z48" s="124"/>
      <c r="AA48" s="124"/>
      <c r="AB48" s="124"/>
      <c r="AC48" s="124"/>
      <c r="AD48" s="124"/>
      <c r="AE48" s="124"/>
      <c r="AF48" s="124"/>
      <c r="AG48" s="124"/>
      <c r="AH48" s="124"/>
      <c r="AI48" s="124"/>
      <c r="AJ48" s="124"/>
      <c r="AK48" s="124"/>
      <c r="AL48" s="124"/>
      <c r="AM48" s="124"/>
      <c r="AN48" s="124"/>
      <c r="AO48" s="124"/>
      <c r="AP48" s="124"/>
      <c r="AQ48" s="124"/>
      <c r="AR48" s="124"/>
      <c r="AS48" s="124"/>
      <c r="AT48" s="124"/>
      <c r="AU48" s="124"/>
      <c r="AV48" s="124"/>
      <c r="AW48" s="124"/>
      <c r="AX48" s="124"/>
      <c r="AY48" s="124"/>
      <c r="AZ48" s="124"/>
      <c r="BA48" s="124"/>
      <c r="BB48" s="136"/>
    </row>
    <row r="49" customFormat="false" ht="15.6" hidden="false" customHeight="false" outlineLevel="0" collapsed="false">
      <c r="A49" s="111" t="n">
        <f aca="false">IF(ISBLANK(VLOOKUP(D49,#REF!,3)),0,1)</f>
        <v>1</v>
      </c>
      <c r="B49" s="112" t="n">
        <f aca="false">IF(ISBLANK(D49),0,IF(ISBLANK(E49),0,IF(ISBLANK(F49),0,1)))</f>
        <v>0</v>
      </c>
      <c r="C49" s="128" t="n">
        <v>15</v>
      </c>
      <c r="D49" s="151"/>
      <c r="E49" s="151"/>
      <c r="F49" s="152"/>
      <c r="G49" s="156"/>
      <c r="H49" s="151"/>
      <c r="I49" s="151"/>
      <c r="J49" s="132" t="str">
        <f aca="false">IF(ISBLANK(D49),"",IF(VLOOKUP(D49,#REF!,2)=0,"",IF(D49&gt;#REF!,"Mauvais numéro",IF(D49&lt;#REF!,"Mauvais numéro",(VLOOKUP(D49,#REF!,3))))))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57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49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24"/>
      <c r="AE49" s="124"/>
      <c r="AF49" s="124"/>
      <c r="AG49" s="124"/>
      <c r="AH49" s="124"/>
      <c r="AI49" s="124"/>
      <c r="AJ49" s="124"/>
      <c r="AK49" s="124"/>
      <c r="AL49" s="124"/>
      <c r="AM49" s="124"/>
      <c r="AN49" s="124"/>
      <c r="AO49" s="124"/>
      <c r="AP49" s="124"/>
      <c r="AQ49" s="124"/>
      <c r="AR49" s="124"/>
      <c r="AS49" s="124"/>
      <c r="AT49" s="124"/>
      <c r="AU49" s="124"/>
      <c r="AV49" s="124"/>
      <c r="AW49" s="124"/>
      <c r="AX49" s="124"/>
      <c r="AY49" s="124"/>
      <c r="AZ49" s="124"/>
      <c r="BA49" s="124"/>
      <c r="BB49" s="136"/>
    </row>
    <row r="50" customFormat="false" ht="15.6" hidden="false" customHeight="false" outlineLevel="0" collapsed="false">
      <c r="A50" s="111" t="n">
        <f aca="false">IF(ISBLANK(VLOOKUP(D50,#REF!,3)),0,1)</f>
        <v>1</v>
      </c>
      <c r="B50" s="112" t="n">
        <f aca="false">IF(ISBLANK(D50),0,IF(ISBLANK(E50),0,IF(ISBLANK(F50),0,1)))</f>
        <v>0</v>
      </c>
      <c r="C50" s="128" t="n">
        <v>16</v>
      </c>
      <c r="D50" s="151"/>
      <c r="E50" s="151"/>
      <c r="F50" s="152"/>
      <c r="G50" s="156"/>
      <c r="H50" s="151"/>
      <c r="I50" s="151"/>
      <c r="J50" s="132" t="str">
        <f aca="false">IF(ISBLANK(D50),"",IF(VLOOKUP(D50,#REF!,2)=0,"",IF(D50&gt;#REF!,"Mauvais numéro",IF(D50&lt;#REF!,"Mauvais numéro",(VLOOKUP(D50,#REF!,3))))))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57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49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24"/>
      <c r="U50" s="124"/>
      <c r="V50" s="124"/>
      <c r="W50" s="124"/>
      <c r="X50" s="124"/>
      <c r="Y50" s="124"/>
      <c r="Z50" s="124"/>
      <c r="AA50" s="124"/>
      <c r="AB50" s="124"/>
      <c r="AC50" s="124"/>
      <c r="AD50" s="124"/>
      <c r="AE50" s="124"/>
      <c r="AF50" s="124"/>
      <c r="AG50" s="124"/>
      <c r="AH50" s="124"/>
      <c r="AI50" s="124"/>
      <c r="AJ50" s="124"/>
      <c r="AK50" s="124"/>
      <c r="AL50" s="124"/>
      <c r="AM50" s="124"/>
      <c r="AN50" s="124"/>
      <c r="AO50" s="124"/>
      <c r="AP50" s="124"/>
      <c r="AQ50" s="124"/>
      <c r="AR50" s="124"/>
      <c r="AS50" s="124"/>
      <c r="AT50" s="124"/>
      <c r="AU50" s="124"/>
      <c r="AV50" s="124"/>
      <c r="AW50" s="124"/>
      <c r="AX50" s="124"/>
      <c r="AY50" s="124"/>
      <c r="AZ50" s="124"/>
      <c r="BA50" s="124"/>
      <c r="BB50" s="136"/>
    </row>
    <row r="51" customFormat="false" ht="15.6" hidden="false" customHeight="false" outlineLevel="0" collapsed="false">
      <c r="A51" s="111" t="n">
        <f aca="false">IF(ISBLANK(VLOOKUP(D51,#REF!,3)),0,1)</f>
        <v>1</v>
      </c>
      <c r="B51" s="112" t="n">
        <f aca="false">IF(ISBLANK(D51),0,IF(ISBLANK(E51),0,IF(ISBLANK(F51),0,1)))</f>
        <v>0</v>
      </c>
      <c r="C51" s="128" t="n">
        <v>17</v>
      </c>
      <c r="D51" s="151"/>
      <c r="E51" s="151"/>
      <c r="F51" s="152"/>
      <c r="G51" s="156"/>
      <c r="H51" s="151"/>
      <c r="I51" s="151"/>
      <c r="J51" s="132" t="str">
        <f aca="false">IF(ISBLANK(D51),"",IF(VLOOKUP(D51,#REF!,2)=0,"",IF(D51&gt;#REF!,"Mauvais numéro",IF(D51&lt;#REF!,"Mauvais numéro",(VLOOKUP(D51,#REF!,3))))))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57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49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24"/>
      <c r="AE51" s="124"/>
      <c r="AF51" s="124"/>
      <c r="AG51" s="124"/>
      <c r="AH51" s="124"/>
      <c r="AI51" s="124"/>
      <c r="AJ51" s="124"/>
      <c r="AK51" s="124"/>
      <c r="AL51" s="124"/>
      <c r="AM51" s="124"/>
      <c r="AN51" s="124"/>
      <c r="AO51" s="124"/>
      <c r="AP51" s="124"/>
      <c r="AQ51" s="124"/>
      <c r="AR51" s="124"/>
      <c r="AS51" s="124"/>
      <c r="AT51" s="124"/>
      <c r="AU51" s="124"/>
      <c r="AV51" s="124"/>
      <c r="AW51" s="124"/>
      <c r="AX51" s="124"/>
      <c r="AY51" s="124"/>
      <c r="AZ51" s="124"/>
      <c r="BA51" s="124"/>
      <c r="BB51" s="136"/>
    </row>
    <row r="52" customFormat="false" ht="15.6" hidden="false" customHeight="false" outlineLevel="0" collapsed="false">
      <c r="A52" s="111" t="n">
        <f aca="false">IF(ISBLANK(VLOOKUP(D52,#REF!,3)),0,1)</f>
        <v>1</v>
      </c>
      <c r="B52" s="112" t="n">
        <f aca="false">IF(ISBLANK(D52),0,IF(ISBLANK(E52),0,IF(ISBLANK(F52),0,1)))</f>
        <v>0</v>
      </c>
      <c r="C52" s="128" t="n">
        <v>18</v>
      </c>
      <c r="D52" s="151"/>
      <c r="E52" s="151"/>
      <c r="F52" s="152"/>
      <c r="G52" s="156"/>
      <c r="H52" s="151"/>
      <c r="I52" s="151"/>
      <c r="J52" s="132" t="str">
        <f aca="false">IF(ISBLANK(D52),"",IF(VLOOKUP(D52,#REF!,2)=0,"",IF(D52&gt;#REF!,"Mauvais numéro",IF(D52&lt;#REF!,"Mauvais numéro",(VLOOKUP(D52,#REF!,3))))))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57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49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24"/>
      <c r="U52" s="124"/>
      <c r="V52" s="124"/>
      <c r="W52" s="124"/>
      <c r="X52" s="124"/>
      <c r="Y52" s="124"/>
      <c r="Z52" s="124"/>
      <c r="AA52" s="124"/>
      <c r="AB52" s="124"/>
      <c r="AC52" s="124"/>
      <c r="AD52" s="124"/>
      <c r="AE52" s="124"/>
      <c r="AF52" s="124"/>
      <c r="AG52" s="124"/>
      <c r="AH52" s="124"/>
      <c r="AI52" s="124"/>
      <c r="AJ52" s="124"/>
      <c r="AK52" s="124"/>
      <c r="AL52" s="124"/>
      <c r="AM52" s="124"/>
      <c r="AN52" s="124"/>
      <c r="AO52" s="124"/>
      <c r="AP52" s="124"/>
      <c r="AQ52" s="124"/>
      <c r="AR52" s="124"/>
      <c r="AS52" s="124"/>
      <c r="AT52" s="124"/>
      <c r="AU52" s="124"/>
      <c r="AV52" s="124"/>
      <c r="AW52" s="124"/>
      <c r="AX52" s="124"/>
      <c r="AY52" s="124"/>
      <c r="AZ52" s="124"/>
      <c r="BA52" s="124"/>
      <c r="BB52" s="136"/>
    </row>
    <row r="53" customFormat="false" ht="15.6" hidden="false" customHeight="false" outlineLevel="0" collapsed="false">
      <c r="A53" s="111" t="n">
        <f aca="false">IF(ISBLANK(VLOOKUP(D53,#REF!,3)),0,1)</f>
        <v>1</v>
      </c>
      <c r="B53" s="112" t="n">
        <f aca="false">IF(ISBLANK(D53),0,IF(ISBLANK(E53),0,IF(ISBLANK(F53),0,1)))</f>
        <v>0</v>
      </c>
      <c r="C53" s="128" t="n">
        <v>19</v>
      </c>
      <c r="D53" s="151"/>
      <c r="E53" s="151"/>
      <c r="F53" s="152"/>
      <c r="G53" s="156"/>
      <c r="H53" s="151"/>
      <c r="I53" s="151"/>
      <c r="J53" s="132" t="str">
        <f aca="false">IF(ISBLANK(D53),"",IF(VLOOKUP(D53,#REF!,2)=0,"",IF(D53&gt;#REF!,"Mauvais numéro",IF(D53&lt;#REF!,"Mauvais numéro",(VLOOKUP(D53,#REF!,3))))))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57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49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24"/>
      <c r="U53" s="124"/>
      <c r="V53" s="124"/>
      <c r="W53" s="124"/>
      <c r="X53" s="12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24"/>
      <c r="AJ53" s="124"/>
      <c r="AK53" s="124"/>
      <c r="AL53" s="124"/>
      <c r="AM53" s="124"/>
      <c r="AN53" s="124"/>
      <c r="AO53" s="124"/>
      <c r="AP53" s="124"/>
      <c r="AQ53" s="124"/>
      <c r="AR53" s="124"/>
      <c r="AS53" s="124"/>
      <c r="AT53" s="124"/>
      <c r="AU53" s="124"/>
      <c r="AV53" s="124"/>
      <c r="AW53" s="124"/>
      <c r="AX53" s="124"/>
      <c r="AY53" s="124"/>
      <c r="AZ53" s="124"/>
      <c r="BA53" s="124"/>
      <c r="BB53" s="136"/>
    </row>
    <row r="54" customFormat="false" ht="15.6" hidden="false" customHeight="false" outlineLevel="0" collapsed="false">
      <c r="A54" s="111" t="n">
        <f aca="false">IF(ISBLANK(VLOOKUP(D54,#REF!,3)),0,1)</f>
        <v>1</v>
      </c>
      <c r="B54" s="112" t="n">
        <f aca="false">IF(ISBLANK(D54),0,IF(ISBLANK(E54),0,IF(ISBLANK(F54),0,1)))</f>
        <v>0</v>
      </c>
      <c r="C54" s="128" t="n">
        <v>20</v>
      </c>
      <c r="D54" s="151"/>
      <c r="E54" s="151"/>
      <c r="F54" s="152"/>
      <c r="G54" s="156"/>
      <c r="H54" s="151"/>
      <c r="I54" s="151"/>
      <c r="J54" s="132" t="str">
        <f aca="false">IF(ISBLANK(D54),"",IF(VLOOKUP(D54,#REF!,2)=0,"",IF(D54&gt;#REF!,"Mauvais numéro",IF(D54&lt;#REF!,"Mauvais numéro",(VLOOKUP(D54,#REF!,3))))))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57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49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4"/>
      <c r="U54" s="124"/>
      <c r="V54" s="124"/>
      <c r="W54" s="124"/>
      <c r="X54" s="124"/>
      <c r="Y54" s="124"/>
      <c r="Z54" s="124"/>
      <c r="AA54" s="124"/>
      <c r="AB54" s="124"/>
      <c r="AC54" s="124"/>
      <c r="AD54" s="124"/>
      <c r="AE54" s="124"/>
      <c r="AF54" s="124"/>
      <c r="AG54" s="124"/>
      <c r="AH54" s="124"/>
      <c r="AI54" s="124"/>
      <c r="AJ54" s="124"/>
      <c r="AK54" s="124"/>
      <c r="AL54" s="124"/>
      <c r="AM54" s="124"/>
      <c r="AN54" s="124"/>
      <c r="AO54" s="124"/>
      <c r="AP54" s="124"/>
      <c r="AQ54" s="124"/>
      <c r="AR54" s="124"/>
      <c r="AS54" s="124"/>
      <c r="AT54" s="124"/>
      <c r="AU54" s="124"/>
      <c r="AV54" s="124"/>
      <c r="AW54" s="124"/>
      <c r="AX54" s="124"/>
      <c r="AY54" s="124"/>
      <c r="AZ54" s="124"/>
      <c r="BA54" s="124"/>
      <c r="BB54" s="136"/>
    </row>
    <row r="55" customFormat="false" ht="15.6" hidden="false" customHeight="false" outlineLevel="0" collapsed="false">
      <c r="A55" s="111" t="n">
        <f aca="false">IF(ISBLANK(VLOOKUP(D55,#REF!,3)),0,1)</f>
        <v>1</v>
      </c>
      <c r="B55" s="112" t="n">
        <f aca="false">IF(ISBLANK(D55),0,IF(ISBLANK(E55),0,IF(ISBLANK(F55),0,1)))</f>
        <v>0</v>
      </c>
      <c r="C55" s="128" t="n">
        <v>21</v>
      </c>
      <c r="D55" s="151"/>
      <c r="E55" s="151"/>
      <c r="F55" s="152"/>
      <c r="G55" s="156"/>
      <c r="H55" s="151"/>
      <c r="I55" s="151"/>
      <c r="J55" s="132" t="str">
        <f aca="false">IF(ISBLANK(D55),"",IF(VLOOKUP(D55,#REF!,2)=0,"",IF(D55&gt;#REF!,"Mauvais numéro",IF(D55&lt;#REF!,"Mauvais numéro",(VLOOKUP(D55,#REF!,3))))))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57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49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24"/>
      <c r="U55" s="124"/>
      <c r="V55" s="124"/>
      <c r="W55" s="124"/>
      <c r="X55" s="124"/>
      <c r="Y55" s="124"/>
      <c r="Z55" s="124"/>
      <c r="AA55" s="124"/>
      <c r="AB55" s="124"/>
      <c r="AC55" s="124"/>
      <c r="AD55" s="124"/>
      <c r="AE55" s="124"/>
      <c r="AF55" s="124"/>
      <c r="AG55" s="124"/>
      <c r="AH55" s="124"/>
      <c r="AI55" s="124"/>
      <c r="AJ55" s="124"/>
      <c r="AK55" s="124"/>
      <c r="AL55" s="124"/>
      <c r="AM55" s="124"/>
      <c r="AN55" s="124"/>
      <c r="AO55" s="124"/>
      <c r="AP55" s="124"/>
      <c r="AQ55" s="124"/>
      <c r="AR55" s="124"/>
      <c r="AS55" s="124"/>
      <c r="AT55" s="124"/>
      <c r="AU55" s="124"/>
      <c r="AV55" s="124"/>
      <c r="AW55" s="124"/>
      <c r="AX55" s="124"/>
      <c r="AY55" s="124"/>
      <c r="AZ55" s="124"/>
      <c r="BA55" s="124"/>
      <c r="BB55" s="136"/>
    </row>
    <row r="56" customFormat="false" ht="15.6" hidden="false" customHeight="false" outlineLevel="0" collapsed="false">
      <c r="A56" s="111" t="n">
        <f aca="false">IF(ISBLANK(VLOOKUP(D56,#REF!,3)),0,1)</f>
        <v>1</v>
      </c>
      <c r="B56" s="112" t="n">
        <f aca="false">IF(ISBLANK(D56),0,IF(ISBLANK(E56),0,IF(ISBLANK(F56),0,1)))</f>
        <v>0</v>
      </c>
      <c r="C56" s="128" t="n">
        <v>22</v>
      </c>
      <c r="D56" s="151"/>
      <c r="E56" s="151"/>
      <c r="F56" s="152"/>
      <c r="G56" s="156"/>
      <c r="H56" s="151"/>
      <c r="I56" s="151"/>
      <c r="J56" s="132" t="str">
        <f aca="false">IF(ISBLANK(D56),"",IF(VLOOKUP(D56,#REF!,2)=0,"",IF(D56&gt;#REF!,"Mauvais numéro",IF(D56&lt;#REF!,"Mauvais numéro",(VLOOKUP(D56,#REF!,3))))))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57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49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24"/>
      <c r="AE56" s="124"/>
      <c r="AF56" s="124"/>
      <c r="AG56" s="124"/>
      <c r="AH56" s="124"/>
      <c r="AI56" s="124"/>
      <c r="AJ56" s="124"/>
      <c r="AK56" s="124"/>
      <c r="AL56" s="124"/>
      <c r="AM56" s="124"/>
      <c r="AN56" s="124"/>
      <c r="AO56" s="124"/>
      <c r="AP56" s="124"/>
      <c r="AQ56" s="124"/>
      <c r="AR56" s="124"/>
      <c r="AS56" s="124"/>
      <c r="AT56" s="124"/>
      <c r="AU56" s="124"/>
      <c r="AV56" s="124"/>
      <c r="AW56" s="124"/>
      <c r="AX56" s="124"/>
      <c r="AY56" s="124"/>
      <c r="AZ56" s="124"/>
      <c r="BA56" s="124"/>
      <c r="BB56" s="136"/>
    </row>
    <row r="57" customFormat="false" ht="15.6" hidden="false" customHeight="false" outlineLevel="0" collapsed="false">
      <c r="A57" s="111" t="n">
        <f aca="false">IF(ISBLANK(VLOOKUP(D57,#REF!,3)),0,1)</f>
        <v>1</v>
      </c>
      <c r="B57" s="112" t="n">
        <f aca="false">IF(ISBLANK(D57),0,IF(ISBLANK(E57),0,IF(ISBLANK(F57),0,1)))</f>
        <v>0</v>
      </c>
      <c r="C57" s="128" t="n">
        <v>23</v>
      </c>
      <c r="D57" s="151"/>
      <c r="E57" s="151"/>
      <c r="F57" s="152"/>
      <c r="G57" s="156"/>
      <c r="H57" s="151"/>
      <c r="I57" s="151"/>
      <c r="J57" s="132" t="str">
        <f aca="false">IF(ISBLANK(D57),"",IF(VLOOKUP(D57,#REF!,2)=0,"",IF(D57&gt;#REF!,"Mauvais numéro",IF(D57&lt;#REF!,"Mauvais numéro",(VLOOKUP(D57,#REF!,3))))))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57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49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4"/>
      <c r="U57" s="124"/>
      <c r="V57" s="124"/>
      <c r="W57" s="124"/>
      <c r="X57" s="124"/>
      <c r="Y57" s="124"/>
      <c r="Z57" s="124"/>
      <c r="AA57" s="124"/>
      <c r="AB57" s="124"/>
      <c r="AC57" s="124"/>
      <c r="AD57" s="124"/>
      <c r="AE57" s="124"/>
      <c r="AF57" s="124"/>
      <c r="AG57" s="124"/>
      <c r="AH57" s="124"/>
      <c r="AI57" s="124"/>
      <c r="AJ57" s="124"/>
      <c r="AK57" s="124"/>
      <c r="AL57" s="124"/>
      <c r="AM57" s="124"/>
      <c r="AN57" s="124"/>
      <c r="AO57" s="124"/>
      <c r="AP57" s="124"/>
      <c r="AQ57" s="124"/>
      <c r="AR57" s="124"/>
      <c r="AS57" s="124"/>
      <c r="AT57" s="124"/>
      <c r="AU57" s="124"/>
      <c r="AV57" s="124"/>
      <c r="AW57" s="124"/>
      <c r="AX57" s="124"/>
      <c r="AY57" s="124"/>
      <c r="AZ57" s="124"/>
      <c r="BA57" s="124"/>
      <c r="BB57" s="136"/>
    </row>
    <row r="58" customFormat="false" ht="16.2" hidden="false" customHeight="false" outlineLevel="0" collapsed="false">
      <c r="A58" s="111" t="n">
        <f aca="false">IF(ISBLANK(VLOOKUP(D58,#REF!,3)),0,1)</f>
        <v>1</v>
      </c>
      <c r="B58" s="112" t="n">
        <f aca="false">IF(ISBLANK(D58),0,IF(ISBLANK(E58),0,IF(ISBLANK(F58),0,1)))</f>
        <v>0</v>
      </c>
      <c r="C58" s="158" t="n">
        <v>24</v>
      </c>
      <c r="D58" s="159"/>
      <c r="E58" s="159"/>
      <c r="F58" s="160"/>
      <c r="G58" s="161"/>
      <c r="H58" s="159"/>
      <c r="I58" s="159"/>
      <c r="J58" s="162" t="str">
        <f aca="false">IF(ISBLANK(D58),"",IF(VLOOKUP(D58,#REF!,2)=0,"",IF(D58&gt;#REF!,"Mauvais numéro",IF(D58&lt;#REF!,"Mauvais numéro",(VLOOKUP(D58,#REF!,3))))))</f>
        <v/>
      </c>
      <c r="K58" s="163" t="str">
        <f aca="false">IF(ISBLANK(E58),"",(0.000824493-(0.0000040899*E58)+(0.000000076438*E58^2)-(0.00000000082467*E58^3)+(0.0000000000053875*E58^4)))</f>
        <v/>
      </c>
      <c r="L58" s="163" t="str">
        <f aca="false">IF(ISBLANK(E58),"",(-0.00000572466+(0.00000010227*E58)-(0.0000000016546*E58^2)))</f>
        <v/>
      </c>
      <c r="M58" s="163" t="str">
        <f aca="false">IF(ISBLANK(E58),"",IF(ISBLANK(G58),(O58+(K58*35)+(L58*35^1.5)+(0.00000048314*35^2)),(O58+(K58*G58)+(L58*G58^1.5)+(0.00000048314*G58^2))))</f>
        <v/>
      </c>
      <c r="N58" s="164" t="str">
        <f aca="false">IF(ISBLANK(D58),"",IF(ISBLANK(G58),J58*(1+0.00001*(35-20)),J58*(1+0.00001*(G58-20))))</f>
        <v/>
      </c>
      <c r="O58" s="163" t="str">
        <f aca="false">IF(ISBLANK(E58),"",(0.999842594+(0.00006793952*E58)-(0.00000909529*E58^2)+(0.0000001001685*E58^3)-(0.000000001120083*E58^4)+(0.000000000006536332*E58^5)))</f>
        <v/>
      </c>
      <c r="P58" s="165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66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7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7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68"/>
      <c r="U58" s="168"/>
      <c r="V58" s="168"/>
      <c r="W58" s="168"/>
      <c r="X58" s="168"/>
      <c r="Y58" s="168"/>
      <c r="Z58" s="168"/>
      <c r="AA58" s="168"/>
      <c r="AB58" s="168"/>
      <c r="AC58" s="168"/>
      <c r="AD58" s="168"/>
      <c r="AE58" s="168"/>
      <c r="AF58" s="168"/>
      <c r="AG58" s="168"/>
      <c r="AH58" s="168"/>
      <c r="AI58" s="168"/>
      <c r="AJ58" s="168"/>
      <c r="AK58" s="168"/>
      <c r="AL58" s="168"/>
      <c r="AM58" s="168"/>
      <c r="AN58" s="168"/>
      <c r="AO58" s="168"/>
      <c r="AP58" s="168"/>
      <c r="AQ58" s="168"/>
      <c r="AR58" s="168"/>
      <c r="AS58" s="168"/>
      <c r="AT58" s="168"/>
      <c r="AU58" s="168"/>
      <c r="AV58" s="168"/>
      <c r="AW58" s="168"/>
      <c r="AX58" s="168"/>
      <c r="AY58" s="168"/>
      <c r="AZ58" s="168"/>
      <c r="BA58" s="168"/>
      <c r="BB58" s="169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S1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8178137651822"/>
    <col collapsed="false" hidden="false" max="32" min="32" style="0" width="9.10526315789474"/>
    <col collapsed="false" hidden="false" max="33" min="33" style="0" width="26.5668016194332"/>
    <col collapsed="false" hidden="false" max="34" min="34" style="0" width="12.8542510121458"/>
    <col collapsed="false" hidden="false" max="35" min="35" style="0" width="11.1417004048583"/>
    <col collapsed="false" hidden="false" max="36" min="36" style="0" width="14.5668016194332"/>
    <col collapsed="false" hidden="false" max="37" min="37" style="0" width="12.2105263157895"/>
    <col collapsed="false" hidden="false" max="38" min="38" style="0" width="26.995951417004"/>
    <col collapsed="false" hidden="false" max="39" min="39" style="0" width="14.6761133603239"/>
    <col collapsed="false" hidden="false" max="40" min="40" style="0" width="11.3562753036437"/>
    <col collapsed="false" hidden="false" max="41" min="41" style="0" width="12.5344129554656"/>
    <col collapsed="false" hidden="false" max="42" min="42" style="0" width="10.7125506072875"/>
    <col collapsed="false" hidden="false" max="43" min="43" style="0" width="6.31983805668016"/>
    <col collapsed="false" hidden="false" max="44" min="44" style="0" width="19.7085020242915"/>
    <col collapsed="false" hidden="false" max="45" min="45" style="0" width="13.0688259109312"/>
    <col collapsed="false" hidden="false" max="46" min="46" style="0" width="17.7813765182186"/>
    <col collapsed="false" hidden="false" max="47" min="47" style="0" width="14.6761133603239"/>
    <col collapsed="false" hidden="false" max="48" min="48" style="0" width="13.6032388663968"/>
    <col collapsed="false" hidden="false" max="49" min="49" style="0" width="13.7125506072874"/>
    <col collapsed="false" hidden="false" max="50" min="50" style="0" width="19.9230769230769"/>
    <col collapsed="false" hidden="false" max="51" min="51" style="0" width="13.2834008097166"/>
    <col collapsed="false" hidden="false" max="52" min="52" style="0" width="17.6761133603239"/>
    <col collapsed="false" hidden="false" max="53" min="53" style="0" width="13.3886639676113"/>
    <col collapsed="false" hidden="false" max="54" min="54" style="0" width="12.6396761133603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19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38544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4</v>
      </c>
      <c r="J9" s="29" t="n">
        <v>30.64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-4°30,64</v>
      </c>
      <c r="P9" s="29" t="s">
        <v>15</v>
      </c>
      <c r="Q9" s="33" t="n">
        <f aca="false">IF(ISBLANK(I9),"",IF(ISBLANK(J9),"",IF(J9&gt;60,"ERREUR !!",O11*(I9+(J9/60)))))</f>
        <v>-4.51066666666667</v>
      </c>
      <c r="R9" s="33"/>
    </row>
    <row r="10" customFormat="false" ht="15" hidden="false" customHeight="true" outlineLevel="0" collapsed="false">
      <c r="C10" s="21"/>
      <c r="D10" s="18"/>
      <c r="G10" s="27" t="s">
        <v>16</v>
      </c>
      <c r="H10" s="27"/>
      <c r="I10" s="28" t="n">
        <v>9</v>
      </c>
      <c r="J10" s="29" t="n">
        <v>59.4</v>
      </c>
      <c r="K10" s="30" t="s">
        <v>12</v>
      </c>
      <c r="L10" s="31" t="str">
        <f aca="false">IF(P10=N9,"+","-")</f>
        <v>-</v>
      </c>
      <c r="M10" s="30" t="s">
        <v>15</v>
      </c>
      <c r="N10" s="30" t="s">
        <v>17</v>
      </c>
      <c r="O10" s="34" t="str">
        <f aca="false">IF(ISBLANK(I10),"",IF(ISBLANK(J10),"",IF(P10=N10,L10&amp;N12,N12)))</f>
        <v>-9°59,4</v>
      </c>
      <c r="P10" s="29" t="s">
        <v>17</v>
      </c>
      <c r="Q10" s="33" t="n">
        <f aca="false">IF(ISBLANK(I10),"",IF(ISBLANK(J10),"",IF(J10&gt;60,"ERREUR !!",O12*(I10+(J10/60)))))</f>
        <v>-9.99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38544</v>
      </c>
      <c r="K11" s="38"/>
      <c r="L11" s="38"/>
      <c r="M11" s="38"/>
      <c r="N11" s="39" t="str">
        <f aca="false">I9&amp;"°"&amp;J9</f>
        <v>4°30,64</v>
      </c>
      <c r="O11" s="40" t="n">
        <f aca="false">IF(P9=M10,-1,1)</f>
        <v>-1</v>
      </c>
      <c r="P11" s="41" t="str">
        <f aca="false">TEXT(J11,"aaaa-mm-jj")&amp;"T"&amp;TEXT(J12,"hh:mm:ss")&amp;"z"</f>
        <v>2009-07-12T01:30:00z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0.0625</v>
      </c>
      <c r="K12" s="45"/>
      <c r="L12" s="45"/>
      <c r="M12" s="45"/>
      <c r="N12" s="46" t="str">
        <f aca="false">I10&amp;"°"&amp;J10</f>
        <v>9°59,4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e">
        <f aca="false">$P$24*($P$18/#REF!)</f>
        <v>#REF!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e">
        <f aca="false">5+#REF!</f>
        <v>#REF!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e">
        <f aca="false">P20*(1+0.00001*(R14-20))</f>
        <v>#REF!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e">
        <f aca="false">MAX(#REF!)</f>
        <v>#VALUE!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e">
        <f aca="false">2+(#REF!+#REF!)</f>
        <v>#REF!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52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53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IF(ISBLANK(VLOOKUP(D35,#REF!,3)),0,1)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n">
        <v>34.9601</v>
      </c>
      <c r="H35" s="118" t="n">
        <v>2000</v>
      </c>
      <c r="I35" s="119" t="n">
        <v>2001.8</v>
      </c>
      <c r="J35" s="120"/>
      <c r="K35" s="121"/>
      <c r="L35" s="121"/>
      <c r="M35" s="121"/>
      <c r="N35" s="122"/>
      <c r="O35" s="121"/>
      <c r="P35" s="183" t="n">
        <v>5.623</v>
      </c>
      <c r="Q35" s="120"/>
      <c r="R35" s="120"/>
      <c r="S35" s="176" t="n">
        <v>244.4</v>
      </c>
      <c r="T35" s="32" t="n">
        <v>0.04</v>
      </c>
      <c r="U35" s="32" t="n">
        <v>0.04</v>
      </c>
      <c r="V35" s="32"/>
      <c r="W35" s="32"/>
      <c r="X35" s="125" t="n">
        <v>20.5</v>
      </c>
      <c r="Y35" s="125" t="n">
        <v>20.1</v>
      </c>
      <c r="Z35" s="32" t="n">
        <v>1.48</v>
      </c>
      <c r="AA35" s="32" t="n">
        <v>1.45</v>
      </c>
      <c r="AB35" s="125" t="n">
        <v>23</v>
      </c>
      <c r="AC35" s="125" t="n">
        <v>22.5</v>
      </c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7"/>
    </row>
    <row r="36" customFormat="false" ht="15.6" hidden="false" customHeight="false" outlineLevel="0" collapsed="false">
      <c r="A36" s="111" t="n">
        <f aca="false">IF(ISBLANK(VLOOKUP(D36,#REF!,3)),0,1)</f>
        <v>1</v>
      </c>
      <c r="B36" s="112" t="n">
        <f aca="false">IF(ISBLANK(D36),0,IF(ISBLANK(E36),0,IF(ISBLANK(F36),0,1)))</f>
        <v>0</v>
      </c>
      <c r="C36" s="128" t="n">
        <v>2</v>
      </c>
      <c r="D36" s="129"/>
      <c r="E36" s="129"/>
      <c r="F36" s="130"/>
      <c r="G36" s="117" t="n">
        <v>34.629</v>
      </c>
      <c r="H36" s="131" t="n">
        <v>1000</v>
      </c>
      <c r="I36" s="119" t="n">
        <v>1000.4</v>
      </c>
      <c r="J36" s="132"/>
      <c r="K36" s="133"/>
      <c r="L36" s="133"/>
      <c r="M36" s="133"/>
      <c r="N36" s="134"/>
      <c r="O36" s="133"/>
      <c r="P36" s="183" t="n">
        <v>3.693</v>
      </c>
      <c r="Q36" s="132"/>
      <c r="R36" s="132"/>
      <c r="S36" s="177" t="n">
        <v>160.5</v>
      </c>
      <c r="T36" s="32" t="n">
        <v>0.04</v>
      </c>
      <c r="U36" s="32" t="n">
        <v>0.04</v>
      </c>
      <c r="V36" s="32"/>
      <c r="W36" s="32"/>
      <c r="X36" s="125" t="n">
        <v>32.8</v>
      </c>
      <c r="Y36" s="125" t="n">
        <v>32</v>
      </c>
      <c r="Z36" s="32" t="n">
        <v>2.29</v>
      </c>
      <c r="AA36" s="32" t="n">
        <v>2.24</v>
      </c>
      <c r="AB36" s="125" t="n">
        <v>32.1</v>
      </c>
      <c r="AC36" s="125" t="n">
        <v>31.3</v>
      </c>
      <c r="AD36" s="124"/>
      <c r="AE36" s="124"/>
      <c r="AF36" s="124"/>
      <c r="AG36" s="124"/>
      <c r="AH36" s="124"/>
      <c r="AI36" s="124"/>
      <c r="AJ36" s="124"/>
      <c r="AK36" s="124"/>
      <c r="AL36" s="124"/>
      <c r="AM36" s="124"/>
      <c r="AN36" s="124"/>
      <c r="AO36" s="124"/>
      <c r="AP36" s="124"/>
      <c r="AQ36" s="124"/>
      <c r="AR36" s="124"/>
      <c r="AS36" s="124"/>
      <c r="AT36" s="124"/>
      <c r="AU36" s="124"/>
      <c r="AV36" s="124"/>
      <c r="AW36" s="124"/>
      <c r="AX36" s="124"/>
      <c r="AY36" s="124"/>
      <c r="AZ36" s="124"/>
      <c r="BA36" s="124"/>
      <c r="BB36" s="136"/>
    </row>
    <row r="37" customFormat="false" ht="16.2" hidden="false" customHeight="false" outlineLevel="0" collapsed="false">
      <c r="A37" s="111" t="n">
        <f aca="false">IF(ISBLANK(VLOOKUP(D37,#REF!,3)),0,1)</f>
        <v>1</v>
      </c>
      <c r="B37" s="112" t="n">
        <f aca="false">IF(ISBLANK(D37),0,IF(ISBLANK(E37),0,IF(ISBLANK(F37),0,1)))</f>
        <v>0</v>
      </c>
      <c r="C37" s="128" t="n">
        <v>3</v>
      </c>
      <c r="D37" s="129"/>
      <c r="E37" s="129"/>
      <c r="F37" s="137"/>
      <c r="G37" s="117" t="n">
        <v>34.6843</v>
      </c>
      <c r="H37" s="131" t="n">
        <v>500</v>
      </c>
      <c r="I37" s="119" t="n">
        <v>500.8</v>
      </c>
      <c r="J37" s="132"/>
      <c r="K37" s="133"/>
      <c r="L37" s="133"/>
      <c r="M37" s="133"/>
      <c r="N37" s="134"/>
      <c r="O37" s="133"/>
      <c r="P37" s="183" t="n">
        <v>1.945</v>
      </c>
      <c r="Q37" s="132"/>
      <c r="R37" s="132"/>
      <c r="S37" s="177" t="n">
        <v>84.6</v>
      </c>
      <c r="T37" s="32" t="n">
        <v>0.04</v>
      </c>
      <c r="U37" s="32" t="n">
        <v>0.04</v>
      </c>
      <c r="V37" s="32"/>
      <c r="W37" s="32"/>
      <c r="X37" s="125" t="n">
        <v>36.2</v>
      </c>
      <c r="Y37" s="125" t="n">
        <v>35.4</v>
      </c>
      <c r="Z37" s="32" t="n">
        <v>2.35</v>
      </c>
      <c r="AA37" s="32" t="n">
        <v>2.29</v>
      </c>
      <c r="AB37" s="125" t="n">
        <v>19.7</v>
      </c>
      <c r="AC37" s="125" t="n">
        <v>19.3</v>
      </c>
      <c r="AD37" s="124"/>
      <c r="AE37" s="124"/>
      <c r="AF37" s="124"/>
      <c r="AG37" s="124"/>
      <c r="AH37" s="124"/>
      <c r="AI37" s="124"/>
      <c r="AJ37" s="124"/>
      <c r="AK37" s="124"/>
      <c r="AL37" s="124"/>
      <c r="AM37" s="124"/>
      <c r="AN37" s="124"/>
      <c r="AO37" s="124"/>
      <c r="AP37" s="124"/>
      <c r="AQ37" s="124"/>
      <c r="AR37" s="124"/>
      <c r="AS37" s="124"/>
      <c r="AT37" s="124"/>
      <c r="AU37" s="124"/>
      <c r="AV37" s="124"/>
      <c r="AW37" s="124"/>
      <c r="AX37" s="124"/>
      <c r="AY37" s="124"/>
      <c r="AZ37" s="124"/>
      <c r="BA37" s="124"/>
      <c r="BB37" s="136"/>
    </row>
    <row r="38" customFormat="false" ht="15.6" hidden="false" customHeight="false" outlineLevel="0" collapsed="false">
      <c r="A38" s="111" t="n">
        <f aca="false">IF(ISBLANK(VLOOKUP(D38,#REF!,3)),0,1)</f>
        <v>1</v>
      </c>
      <c r="B38" s="112" t="n">
        <f aca="false">IF(ISBLANK(D38),0,IF(ISBLANK(E38),0,IF(ISBLANK(F38),0,1)))</f>
        <v>0</v>
      </c>
      <c r="C38" s="128" t="n">
        <v>4</v>
      </c>
      <c r="D38" s="138"/>
      <c r="E38" s="138"/>
      <c r="F38" s="139"/>
      <c r="G38" s="117" t="n">
        <v>34.684</v>
      </c>
      <c r="H38" s="131" t="n">
        <v>500</v>
      </c>
      <c r="I38" s="119" t="n">
        <v>500.3</v>
      </c>
      <c r="J38" s="132"/>
      <c r="K38" s="133"/>
      <c r="L38" s="133"/>
      <c r="M38" s="133"/>
      <c r="N38" s="134"/>
      <c r="O38" s="133"/>
      <c r="P38" s="183" t="n">
        <v>1.947</v>
      </c>
      <c r="Q38" s="132"/>
      <c r="R38" s="132"/>
      <c r="S38" s="177" t="n">
        <v>84.7</v>
      </c>
      <c r="T38" s="32" t="n">
        <v>0.04</v>
      </c>
      <c r="U38" s="32" t="n">
        <v>0.03</v>
      </c>
      <c r="V38" s="32"/>
      <c r="W38" s="32"/>
      <c r="X38" s="125" t="n">
        <v>36.3</v>
      </c>
      <c r="Y38" s="125" t="n">
        <v>35.5</v>
      </c>
      <c r="Z38" s="32" t="n">
        <v>2.3</v>
      </c>
      <c r="AA38" s="32" t="n">
        <v>2.25</v>
      </c>
      <c r="AB38" s="125" t="n">
        <v>19.7</v>
      </c>
      <c r="AC38" s="125" t="n">
        <v>19.3</v>
      </c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7"/>
    </row>
    <row r="39" customFormat="false" ht="15.6" hidden="false" customHeight="false" outlineLevel="0" collapsed="false">
      <c r="A39" s="111" t="n">
        <f aca="false">IF(ISBLANK(VLOOKUP(D39,#REF!,3)),0,1)</f>
        <v>1</v>
      </c>
      <c r="B39" s="112" t="n">
        <f aca="false">IF(ISBLANK(D39),0,IF(ISBLANK(E39),0,IF(ISBLANK(F39),0,1)))</f>
        <v>0</v>
      </c>
      <c r="C39" s="128" t="n">
        <v>5</v>
      </c>
      <c r="D39" s="129"/>
      <c r="E39" s="129"/>
      <c r="F39" s="137"/>
      <c r="G39" s="117" t="n">
        <v>35.4776</v>
      </c>
      <c r="H39" s="131" t="n">
        <v>100</v>
      </c>
      <c r="I39" s="119" t="n">
        <v>102.1</v>
      </c>
      <c r="J39" s="132"/>
      <c r="K39" s="133"/>
      <c r="L39" s="133"/>
      <c r="M39" s="133"/>
      <c r="N39" s="134"/>
      <c r="O39" s="133"/>
      <c r="P39" s="183" t="n">
        <v>2.638</v>
      </c>
      <c r="Q39" s="132"/>
      <c r="R39" s="132"/>
      <c r="S39" s="177" t="n">
        <v>114.8</v>
      </c>
      <c r="T39" s="32" t="n">
        <v>0.04</v>
      </c>
      <c r="U39" s="32" t="n">
        <v>0.04</v>
      </c>
      <c r="V39" s="32"/>
      <c r="W39" s="32"/>
      <c r="X39" s="125" t="n">
        <v>19.9</v>
      </c>
      <c r="Y39" s="125" t="n">
        <v>19.5</v>
      </c>
      <c r="Z39" s="32" t="n">
        <v>1.35</v>
      </c>
      <c r="AA39" s="32" t="n">
        <v>1.32</v>
      </c>
      <c r="AB39" s="125" t="n">
        <v>6.8</v>
      </c>
      <c r="AC39" s="125" t="n">
        <v>6.6</v>
      </c>
      <c r="AD39" s="124"/>
      <c r="AE39" s="124"/>
      <c r="AF39" s="124"/>
      <c r="AG39" s="124"/>
      <c r="AH39" s="124"/>
      <c r="AI39" s="124"/>
      <c r="AJ39" s="124"/>
      <c r="AK39" s="124"/>
      <c r="AL39" s="124"/>
      <c r="AM39" s="124"/>
      <c r="AN39" s="124"/>
      <c r="AO39" s="124"/>
      <c r="AP39" s="124"/>
      <c r="AQ39" s="124"/>
      <c r="AR39" s="124"/>
      <c r="AS39" s="124"/>
      <c r="AT39" s="124"/>
      <c r="AU39" s="124"/>
      <c r="AV39" s="124"/>
      <c r="AW39" s="124"/>
      <c r="AX39" s="124"/>
      <c r="AY39" s="124"/>
      <c r="AZ39" s="124"/>
      <c r="BA39" s="124"/>
      <c r="BB39" s="136"/>
    </row>
    <row r="40" customFormat="false" ht="16.2" hidden="false" customHeight="false" outlineLevel="0" collapsed="false">
      <c r="A40" s="111" t="n">
        <f aca="false">IF(ISBLANK(VLOOKUP(D40,#REF!,3)),0,1)</f>
        <v>1</v>
      </c>
      <c r="B40" s="112" t="n">
        <f aca="false">IF(ISBLANK(D40),0,IF(ISBLANK(E40),0,IF(ISBLANK(F40),0,1)))</f>
        <v>0</v>
      </c>
      <c r="C40" s="128" t="n">
        <v>6</v>
      </c>
      <c r="D40" s="129"/>
      <c r="E40" s="129"/>
      <c r="F40" s="137"/>
      <c r="G40" s="117"/>
      <c r="H40" s="131" t="n">
        <v>80</v>
      </c>
      <c r="I40" s="119"/>
      <c r="J40" s="132"/>
      <c r="K40" s="133"/>
      <c r="L40" s="133"/>
      <c r="M40" s="133"/>
      <c r="N40" s="134"/>
      <c r="O40" s="133"/>
      <c r="P40" s="183"/>
      <c r="Q40" s="132"/>
      <c r="R40" s="132"/>
      <c r="S40" s="177"/>
      <c r="T40" s="32" t="n">
        <v>0.06</v>
      </c>
      <c r="U40" s="32" t="n">
        <v>0.05</v>
      </c>
      <c r="V40" s="32"/>
      <c r="W40" s="32"/>
      <c r="X40" s="125" t="n">
        <v>16.3</v>
      </c>
      <c r="Y40" s="125" t="n">
        <v>15.9</v>
      </c>
      <c r="Z40" s="32" t="n">
        <v>1.14</v>
      </c>
      <c r="AA40" s="32" t="n">
        <v>1.11</v>
      </c>
      <c r="AB40" s="125" t="n">
        <v>4.9</v>
      </c>
      <c r="AC40" s="125" t="n">
        <v>4.8</v>
      </c>
      <c r="AD40" s="124"/>
      <c r="AE40" s="124"/>
      <c r="AF40" s="124"/>
      <c r="AG40" s="124"/>
      <c r="AH40" s="124"/>
      <c r="AI40" s="124"/>
      <c r="AJ40" s="124"/>
      <c r="AK40" s="124"/>
      <c r="AL40" s="124"/>
      <c r="AM40" s="124"/>
      <c r="AN40" s="124"/>
      <c r="AO40" s="124"/>
      <c r="AP40" s="124"/>
      <c r="AQ40" s="124"/>
      <c r="AR40" s="124"/>
      <c r="AS40" s="124"/>
      <c r="AT40" s="124"/>
      <c r="AU40" s="124"/>
      <c r="AV40" s="124"/>
      <c r="AW40" s="124"/>
      <c r="AX40" s="124"/>
      <c r="AY40" s="124"/>
      <c r="AZ40" s="124"/>
      <c r="BA40" s="124"/>
      <c r="BB40" s="136"/>
    </row>
    <row r="41" customFormat="false" ht="15.6" hidden="false" customHeight="false" outlineLevel="0" collapsed="false">
      <c r="A41" s="111" t="n">
        <f aca="false">IF(ISBLANK(VLOOKUP(D41,#REF!,3)),0,1)</f>
        <v>1</v>
      </c>
      <c r="B41" s="112" t="n">
        <f aca="false">IF(ISBLANK(D41),0,IF(ISBLANK(E41),0,IF(ISBLANK(F41),0,1)))</f>
        <v>0</v>
      </c>
      <c r="C41" s="128" t="n">
        <v>7</v>
      </c>
      <c r="D41" s="129"/>
      <c r="E41" s="129"/>
      <c r="F41" s="137"/>
      <c r="G41" s="117"/>
      <c r="H41" s="131" t="n">
        <v>60</v>
      </c>
      <c r="I41" s="119"/>
      <c r="J41" s="132"/>
      <c r="K41" s="133"/>
      <c r="L41" s="133"/>
      <c r="M41" s="133"/>
      <c r="N41" s="134"/>
      <c r="O41" s="133"/>
      <c r="P41" s="183"/>
      <c r="Q41" s="132"/>
      <c r="R41" s="132"/>
      <c r="S41" s="177"/>
      <c r="T41" s="32" t="n">
        <v>0.09</v>
      </c>
      <c r="U41" s="32" t="n">
        <v>0.09</v>
      </c>
      <c r="V41" s="32"/>
      <c r="W41" s="32"/>
      <c r="X41" s="125" t="n">
        <v>11.4</v>
      </c>
      <c r="Y41" s="125" t="n">
        <v>11.2</v>
      </c>
      <c r="Z41" s="32" t="n">
        <v>0.87</v>
      </c>
      <c r="AA41" s="32" t="n">
        <v>0.85</v>
      </c>
      <c r="AB41" s="125" t="n">
        <v>3.7</v>
      </c>
      <c r="AC41" s="125" t="n">
        <v>3.7</v>
      </c>
      <c r="AD41" s="126"/>
      <c r="AE41" s="126"/>
      <c r="AF41" s="126"/>
      <c r="AG41" s="126"/>
      <c r="AH41" s="126"/>
      <c r="AI41" s="126"/>
      <c r="AJ41" s="126"/>
      <c r="AK41" s="126"/>
      <c r="AL41" s="126"/>
      <c r="AM41" s="126"/>
      <c r="AN41" s="126"/>
      <c r="AO41" s="126"/>
      <c r="AP41" s="126"/>
      <c r="AQ41" s="126"/>
      <c r="AR41" s="126"/>
      <c r="AS41" s="126"/>
      <c r="AT41" s="126"/>
      <c r="AU41" s="126"/>
      <c r="AV41" s="126"/>
      <c r="AW41" s="126"/>
      <c r="AX41" s="126"/>
      <c r="AY41" s="126"/>
      <c r="AZ41" s="126"/>
      <c r="BA41" s="126"/>
      <c r="BB41" s="127"/>
    </row>
    <row r="42" customFormat="false" ht="16.2" hidden="false" customHeight="false" outlineLevel="0" collapsed="false">
      <c r="A42" s="111" t="n">
        <f aca="false">IF(ISBLANK(VLOOKUP(D42,#REF!,3)),0,1)</f>
        <v>1</v>
      </c>
      <c r="B42" s="112" t="n">
        <f aca="false">IF(ISBLANK(D42),0,IF(ISBLANK(E42),0,IF(ISBLANK(F42),0,1)))</f>
        <v>0</v>
      </c>
      <c r="C42" s="128" t="n">
        <v>8</v>
      </c>
      <c r="D42" s="129"/>
      <c r="E42" s="129"/>
      <c r="F42" s="137"/>
      <c r="G42" s="117"/>
      <c r="H42" s="131" t="n">
        <v>40</v>
      </c>
      <c r="I42" s="119"/>
      <c r="J42" s="132"/>
      <c r="K42" s="133"/>
      <c r="L42" s="133"/>
      <c r="M42" s="133"/>
      <c r="N42" s="134"/>
      <c r="O42" s="133"/>
      <c r="P42" s="184"/>
      <c r="Q42" s="132"/>
      <c r="R42" s="132"/>
      <c r="S42" s="177"/>
      <c r="T42" s="32" t="n">
        <v>0.11</v>
      </c>
      <c r="U42" s="32" t="n">
        <v>0.11</v>
      </c>
      <c r="V42" s="32"/>
      <c r="W42" s="32"/>
      <c r="X42" s="125" t="n">
        <v>1.6</v>
      </c>
      <c r="Y42" s="125" t="n">
        <v>1.6</v>
      </c>
      <c r="Z42" s="32" t="n">
        <v>0.33</v>
      </c>
      <c r="AA42" s="32" t="n">
        <v>0.32</v>
      </c>
      <c r="AB42" s="125" t="n">
        <v>1.7</v>
      </c>
      <c r="AC42" s="125" t="n">
        <v>1.7</v>
      </c>
      <c r="AD42" s="124"/>
      <c r="AE42" s="124"/>
      <c r="AF42" s="124"/>
      <c r="AG42" s="124"/>
      <c r="AH42" s="124"/>
      <c r="AI42" s="124"/>
      <c r="AJ42" s="124"/>
      <c r="AK42" s="124"/>
      <c r="AL42" s="124"/>
      <c r="AM42" s="124"/>
      <c r="AN42" s="124"/>
      <c r="AO42" s="124"/>
      <c r="AP42" s="124"/>
      <c r="AQ42" s="124"/>
      <c r="AR42" s="124"/>
      <c r="AS42" s="124"/>
      <c r="AT42" s="124"/>
      <c r="AU42" s="124"/>
      <c r="AV42" s="124"/>
      <c r="AW42" s="124"/>
      <c r="AX42" s="124"/>
      <c r="AY42" s="124"/>
      <c r="AZ42" s="124"/>
      <c r="BA42" s="124"/>
      <c r="BB42" s="136"/>
    </row>
    <row r="43" customFormat="false" ht="15.6" hidden="false" customHeight="false" outlineLevel="0" collapsed="false">
      <c r="A43" s="111" t="n">
        <f aca="false">IF(ISBLANK(VLOOKUP(D43,#REF!,3)),0,1)</f>
        <v>1</v>
      </c>
      <c r="B43" s="112" t="n">
        <f aca="false">IF(ISBLANK(D43),0,IF(ISBLANK(E43),0,IF(ISBLANK(F43),0,1)))</f>
        <v>0</v>
      </c>
      <c r="C43" s="128" t="n">
        <v>9</v>
      </c>
      <c r="D43" s="129"/>
      <c r="E43" s="129"/>
      <c r="F43" s="137"/>
      <c r="G43" s="117"/>
      <c r="H43" s="131" t="n">
        <v>20</v>
      </c>
      <c r="I43" s="119"/>
      <c r="J43" s="132"/>
      <c r="K43" s="133"/>
      <c r="L43" s="133"/>
      <c r="M43" s="133"/>
      <c r="N43" s="134"/>
      <c r="O43" s="133"/>
      <c r="P43" s="184"/>
      <c r="Q43" s="132"/>
      <c r="R43" s="132"/>
      <c r="S43" s="177"/>
      <c r="T43" s="32" t="n">
        <v>0.03</v>
      </c>
      <c r="U43" s="32" t="n">
        <v>0.03</v>
      </c>
      <c r="V43" s="32"/>
      <c r="W43" s="32"/>
      <c r="X43" s="125" t="n">
        <v>0.3</v>
      </c>
      <c r="Y43" s="125" t="n">
        <v>0.3</v>
      </c>
      <c r="Z43" s="32" t="n">
        <v>0.21</v>
      </c>
      <c r="AA43" s="32" t="n">
        <v>0.2</v>
      </c>
      <c r="AB43" s="125" t="n">
        <v>1.4</v>
      </c>
      <c r="AC43" s="125" t="n">
        <v>1.4</v>
      </c>
      <c r="AD43" s="126"/>
      <c r="AE43" s="126"/>
      <c r="AF43" s="126"/>
      <c r="AG43" s="126"/>
      <c r="AH43" s="126"/>
      <c r="AI43" s="126"/>
      <c r="AJ43" s="126"/>
      <c r="AK43" s="126"/>
      <c r="AL43" s="126"/>
      <c r="AM43" s="126"/>
      <c r="AN43" s="126"/>
      <c r="AO43" s="126"/>
      <c r="AP43" s="126"/>
      <c r="AQ43" s="126"/>
      <c r="AR43" s="126"/>
      <c r="AS43" s="126"/>
      <c r="AT43" s="126"/>
      <c r="AU43" s="126"/>
      <c r="AV43" s="126"/>
      <c r="AW43" s="126"/>
      <c r="AX43" s="126"/>
      <c r="AY43" s="126"/>
      <c r="AZ43" s="126"/>
      <c r="BA43" s="126"/>
      <c r="BB43" s="127"/>
    </row>
    <row r="44" customFormat="false" ht="15.6" hidden="false" customHeight="false" outlineLevel="0" collapsed="false">
      <c r="A44" s="111" t="n">
        <f aca="false">IF(ISBLANK(VLOOKUP(D44,#REF!,3)),0,1)</f>
        <v>1</v>
      </c>
      <c r="B44" s="112" t="n">
        <f aca="false">IF(ISBLANK(D44),0,IF(ISBLANK(E44),0,IF(ISBLANK(F44),0,1)))</f>
        <v>0</v>
      </c>
      <c r="C44" s="128" t="n">
        <v>10</v>
      </c>
      <c r="D44" s="129"/>
      <c r="E44" s="129"/>
      <c r="F44" s="137"/>
      <c r="G44" s="117"/>
      <c r="H44" s="131" t="n">
        <v>20</v>
      </c>
      <c r="I44" s="119"/>
      <c r="J44" s="132"/>
      <c r="K44" s="133"/>
      <c r="L44" s="133"/>
      <c r="M44" s="133"/>
      <c r="N44" s="134"/>
      <c r="O44" s="133"/>
      <c r="P44" s="183"/>
      <c r="Q44" s="132"/>
      <c r="R44" s="132"/>
      <c r="S44" s="177"/>
      <c r="T44" s="32" t="n">
        <v>0.02</v>
      </c>
      <c r="U44" s="32" t="n">
        <v>0.02</v>
      </c>
      <c r="V44" s="32"/>
      <c r="W44" s="32"/>
      <c r="X44" s="125" t="n">
        <v>0.3</v>
      </c>
      <c r="Y44" s="125" t="n">
        <v>0.3</v>
      </c>
      <c r="Z44" s="32" t="n">
        <v>0.21</v>
      </c>
      <c r="AA44" s="32" t="n">
        <v>0.2</v>
      </c>
      <c r="AB44" s="125" t="n">
        <v>1.4</v>
      </c>
      <c r="AC44" s="125" t="n">
        <v>1.4</v>
      </c>
      <c r="AD44" s="124"/>
      <c r="AE44" s="124"/>
      <c r="AF44" s="124"/>
      <c r="AG44" s="124"/>
      <c r="AH44" s="124"/>
      <c r="AI44" s="124"/>
      <c r="AJ44" s="124"/>
      <c r="AK44" s="124"/>
      <c r="AL44" s="124"/>
      <c r="AM44" s="124"/>
      <c r="AN44" s="124"/>
      <c r="AO44" s="124"/>
      <c r="AP44" s="124"/>
      <c r="AQ44" s="124"/>
      <c r="AR44" s="124"/>
      <c r="AS44" s="124"/>
      <c r="AT44" s="124"/>
      <c r="AU44" s="124"/>
      <c r="AV44" s="124"/>
      <c r="AW44" s="124"/>
      <c r="AX44" s="124"/>
      <c r="AY44" s="124"/>
      <c r="AZ44" s="124"/>
      <c r="BA44" s="124"/>
      <c r="BB44" s="136"/>
    </row>
    <row r="45" customFormat="false" ht="15.6" hidden="false" customHeight="false" outlineLevel="0" collapsed="false">
      <c r="A45" s="111" t="n">
        <f aca="false">IF(ISBLANK(VLOOKUP(D45,#REF!,3)),0,1)</f>
        <v>1</v>
      </c>
      <c r="B45" s="112" t="n">
        <f aca="false">IF(ISBLANK(D45),0,IF(ISBLANK(E45),0,IF(ISBLANK(F45),0,1)))</f>
        <v>0</v>
      </c>
      <c r="C45" s="128" t="n">
        <v>11</v>
      </c>
      <c r="D45" s="129"/>
      <c r="E45" s="129"/>
      <c r="F45" s="137"/>
      <c r="G45" s="117" t="n">
        <v>35.8711</v>
      </c>
      <c r="H45" s="131" t="n">
        <v>0</v>
      </c>
      <c r="I45" s="119" t="n">
        <v>2.5</v>
      </c>
      <c r="J45" s="132"/>
      <c r="K45" s="133"/>
      <c r="L45" s="133"/>
      <c r="M45" s="133"/>
      <c r="N45" s="134"/>
      <c r="O45" s="133"/>
      <c r="P45" s="183" t="n">
        <v>4.772</v>
      </c>
      <c r="Q45" s="132"/>
      <c r="R45" s="132"/>
      <c r="S45" s="177" t="n">
        <v>208.1</v>
      </c>
      <c r="T45" s="32" t="n">
        <v>0.03</v>
      </c>
      <c r="U45" s="32" t="n">
        <v>0.03</v>
      </c>
      <c r="V45" s="32"/>
      <c r="W45" s="32"/>
      <c r="X45" s="125" t="n">
        <v>0.2</v>
      </c>
      <c r="Y45" s="125" t="n">
        <v>0.2</v>
      </c>
      <c r="Z45" s="32" t="n">
        <v>0.22</v>
      </c>
      <c r="AA45" s="32" t="n">
        <v>0.22</v>
      </c>
      <c r="AB45" s="125" t="n">
        <v>1.4</v>
      </c>
      <c r="AC45" s="125" t="n">
        <v>1.4</v>
      </c>
      <c r="AD45" s="124"/>
      <c r="AE45" s="124"/>
      <c r="AF45" s="124"/>
      <c r="AG45" s="124"/>
      <c r="AH45" s="124"/>
      <c r="AI45" s="124"/>
      <c r="AJ45" s="124"/>
      <c r="AK45" s="124"/>
      <c r="AL45" s="124"/>
      <c r="AM45" s="124"/>
      <c r="AN45" s="124"/>
      <c r="AO45" s="124"/>
      <c r="AP45" s="124"/>
      <c r="AQ45" s="124"/>
      <c r="AR45" s="124"/>
      <c r="AS45" s="124"/>
      <c r="AT45" s="124"/>
      <c r="AU45" s="124"/>
      <c r="AV45" s="124"/>
      <c r="AW45" s="124"/>
      <c r="AX45" s="124"/>
      <c r="AY45" s="124"/>
      <c r="AZ45" s="124"/>
      <c r="BA45" s="124"/>
      <c r="BB45" s="136"/>
    </row>
    <row r="46" customFormat="false" ht="15.6" hidden="false" customHeight="false" outlineLevel="0" collapsed="false">
      <c r="A46" s="111" t="n">
        <f aca="false">IF(ISBLANK(VLOOKUP(D46,#REF!,3)),0,1)</f>
        <v>1</v>
      </c>
      <c r="B46" s="112" t="n">
        <f aca="false">IF(ISBLANK(D46),0,IF(ISBLANK(E46),0,IF(ISBLANK(F46),0,1)))</f>
        <v>0</v>
      </c>
      <c r="C46" s="128" t="n">
        <v>12</v>
      </c>
      <c r="D46" s="142"/>
      <c r="E46" s="142"/>
      <c r="F46" s="143"/>
      <c r="G46" s="144"/>
      <c r="H46" s="142"/>
      <c r="I46" s="145"/>
      <c r="J46" s="132" t="str">
        <f aca="false">IF(ISBLANK(D46),"",IF(VLOOKUP(D46,#REF!,2)=0,"",IF(D46&gt;#REF!,"Mauvais numéro",IF(D46&lt;#REF!,"Mauvais numéro",(VLOOKUP(D46,#REF!,3))))))</f>
        <v/>
      </c>
      <c r="K46" s="146" t="str">
        <f aca="false">IF(ISBLANK(E46),"",(0.000824493-(0.0000040899*E46)+(0.000000076438*E46^2)-(0.00000000082467*E46^3)+(0.0000000000053875*E46^4)))</f>
        <v/>
      </c>
      <c r="L46" s="146" t="str">
        <f aca="false">IF(ISBLANK(E46),"",(-0.00000572466+(0.00000010227*E46)-(0.0000000016546*E46^2)))</f>
        <v/>
      </c>
      <c r="M46" s="146" t="str">
        <f aca="false">IF(ISBLANK(E46),"",IF(ISBLANK(G46),(O46+(K46*35)+(L46*35^1.5)+(0.00000048314*35^2)),(O46+(K46*G46)+(L46*G46^1.5)+(0.00000048314*G46^2))))</f>
        <v/>
      </c>
      <c r="N46" s="147" t="str">
        <f aca="false">IF(ISBLANK(D46),"",IF(ISBLANK(G46),J46*(1+0.00001*(35-20)),J46*(1+0.00001*(G46-20))))</f>
        <v/>
      </c>
      <c r="O46" s="146" t="str">
        <f aca="false">IF(ISBLANK(E46),"",(0.999842594+(0.00006793952*E46)-(0.00000909529*E46^2)+(0.0000001001685*E46^3)-(0.000000001120083*E46^4)+(0.000000000006536332*E46^5)))</f>
        <v/>
      </c>
      <c r="P46" s="148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49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0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0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24"/>
      <c r="U46" s="124"/>
      <c r="V46" s="124"/>
      <c r="W46" s="124"/>
      <c r="X46" s="124"/>
      <c r="Y46" s="124"/>
      <c r="Z46" s="124"/>
      <c r="AA46" s="124"/>
      <c r="AB46" s="124"/>
      <c r="AC46" s="124"/>
      <c r="AD46" s="124"/>
      <c r="AE46" s="124"/>
      <c r="AF46" s="124"/>
      <c r="AG46" s="124"/>
      <c r="AH46" s="124"/>
      <c r="AI46" s="124"/>
      <c r="AJ46" s="124"/>
      <c r="AK46" s="124"/>
      <c r="AL46" s="124"/>
      <c r="AM46" s="124"/>
      <c r="AN46" s="124"/>
      <c r="AO46" s="124"/>
      <c r="AP46" s="124"/>
      <c r="AQ46" s="124"/>
      <c r="AR46" s="124"/>
      <c r="AS46" s="124"/>
      <c r="AT46" s="124"/>
      <c r="AU46" s="124"/>
      <c r="AV46" s="124"/>
      <c r="AW46" s="124"/>
      <c r="AX46" s="124"/>
      <c r="AY46" s="124"/>
      <c r="AZ46" s="124"/>
      <c r="BA46" s="124"/>
      <c r="BB46" s="136"/>
    </row>
    <row r="47" customFormat="false" ht="15.6" hidden="false" customHeight="false" outlineLevel="0" collapsed="false">
      <c r="A47" s="111" t="n">
        <f aca="false">IF(ISBLANK(VLOOKUP(D47,#REF!,3)),0,1)</f>
        <v>1</v>
      </c>
      <c r="B47" s="112" t="n">
        <f aca="false">IF(ISBLANK(D47),0,IF(ISBLANK(E47),0,IF(ISBLANK(F47),0,1)))</f>
        <v>0</v>
      </c>
      <c r="C47" s="128" t="n">
        <v>13</v>
      </c>
      <c r="D47" s="151"/>
      <c r="E47" s="151"/>
      <c r="F47" s="152"/>
      <c r="G47" s="153"/>
      <c r="H47" s="151"/>
      <c r="I47" s="151"/>
      <c r="J47" s="132" t="str">
        <f aca="false">IF(ISBLANK(D47),"",IF(VLOOKUP(D47,#REF!,2)=0,"",IF(D47&gt;#REF!,"Mauvais numéro",IF(D47&lt;#REF!,"Mauvais numéro",(VLOOKUP(D47,#REF!,3))))))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54"/>
      <c r="Q47" s="149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5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4"/>
      <c r="T47" s="124"/>
      <c r="U47" s="124"/>
      <c r="V47" s="124"/>
      <c r="W47" s="124"/>
      <c r="X47" s="12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24"/>
      <c r="AJ47" s="124"/>
      <c r="AK47" s="124"/>
      <c r="AL47" s="124"/>
      <c r="AM47" s="124"/>
      <c r="AN47" s="124"/>
      <c r="AO47" s="124"/>
      <c r="AP47" s="124"/>
      <c r="AQ47" s="124"/>
      <c r="AR47" s="124"/>
      <c r="AS47" s="124"/>
      <c r="AT47" s="124"/>
      <c r="AU47" s="124"/>
      <c r="AV47" s="124"/>
      <c r="AW47" s="124"/>
      <c r="AX47" s="124"/>
      <c r="AY47" s="124"/>
      <c r="AZ47" s="124"/>
      <c r="BA47" s="124"/>
      <c r="BB47" s="136"/>
    </row>
    <row r="48" customFormat="false" ht="15.6" hidden="false" customHeight="false" outlineLevel="0" collapsed="false">
      <c r="A48" s="111" t="n">
        <f aca="false">IF(ISBLANK(VLOOKUP(D48,#REF!,3)),0,1)</f>
        <v>1</v>
      </c>
      <c r="B48" s="112" t="n">
        <f aca="false">IF(ISBLANK(D48),0,IF(ISBLANK(E48),0,IF(ISBLANK(F48),0,1)))</f>
        <v>0</v>
      </c>
      <c r="C48" s="128" t="n">
        <v>14</v>
      </c>
      <c r="D48" s="151"/>
      <c r="E48" s="151"/>
      <c r="F48" s="152"/>
      <c r="G48" s="153"/>
      <c r="H48" s="151"/>
      <c r="I48" s="151"/>
      <c r="J48" s="132" t="str">
        <f aca="false">IF(ISBLANK(D48),"",IF(VLOOKUP(D48,#REF!,2)=0,"",IF(D48&gt;#REF!,"Mauvais numéro",IF(D48&lt;#REF!,"Mauvais numéro",(VLOOKUP(D48,#REF!,3))))))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54"/>
      <c r="Q48" s="149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5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4"/>
      <c r="T48" s="124"/>
      <c r="U48" s="124"/>
      <c r="V48" s="124"/>
      <c r="W48" s="124"/>
      <c r="X48" s="124"/>
      <c r="Y48" s="124"/>
      <c r="Z48" s="124"/>
      <c r="AA48" s="124"/>
      <c r="AB48" s="124"/>
      <c r="AC48" s="124"/>
      <c r="AD48" s="124"/>
      <c r="AE48" s="124"/>
      <c r="AF48" s="124"/>
      <c r="AG48" s="124"/>
      <c r="AH48" s="124"/>
      <c r="AI48" s="124"/>
      <c r="AJ48" s="124"/>
      <c r="AK48" s="124"/>
      <c r="AL48" s="124"/>
      <c r="AM48" s="124"/>
      <c r="AN48" s="124"/>
      <c r="AO48" s="124"/>
      <c r="AP48" s="124"/>
      <c r="AQ48" s="124"/>
      <c r="AR48" s="124"/>
      <c r="AS48" s="124"/>
      <c r="AT48" s="124"/>
      <c r="AU48" s="124"/>
      <c r="AV48" s="124"/>
      <c r="AW48" s="124"/>
      <c r="AX48" s="124"/>
      <c r="AY48" s="124"/>
      <c r="AZ48" s="124"/>
      <c r="BA48" s="124"/>
      <c r="BB48" s="136"/>
    </row>
    <row r="49" customFormat="false" ht="15.6" hidden="false" customHeight="false" outlineLevel="0" collapsed="false">
      <c r="A49" s="111" t="n">
        <f aca="false">IF(ISBLANK(VLOOKUP(D49,#REF!,3)),0,1)</f>
        <v>1</v>
      </c>
      <c r="B49" s="112" t="n">
        <f aca="false">IF(ISBLANK(D49),0,IF(ISBLANK(E49),0,IF(ISBLANK(F49),0,1)))</f>
        <v>0</v>
      </c>
      <c r="C49" s="128" t="n">
        <v>15</v>
      </c>
      <c r="D49" s="151"/>
      <c r="E49" s="151"/>
      <c r="F49" s="152"/>
      <c r="G49" s="156"/>
      <c r="H49" s="151"/>
      <c r="I49" s="151"/>
      <c r="J49" s="132" t="str">
        <f aca="false">IF(ISBLANK(D49),"",IF(VLOOKUP(D49,#REF!,2)=0,"",IF(D49&gt;#REF!,"Mauvais numéro",IF(D49&lt;#REF!,"Mauvais numéro",(VLOOKUP(D49,#REF!,3))))))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57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49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24"/>
      <c r="AE49" s="124"/>
      <c r="AF49" s="124"/>
      <c r="AG49" s="124"/>
      <c r="AH49" s="124"/>
      <c r="AI49" s="124"/>
      <c r="AJ49" s="124"/>
      <c r="AK49" s="124"/>
      <c r="AL49" s="124"/>
      <c r="AM49" s="124"/>
      <c r="AN49" s="124"/>
      <c r="AO49" s="124"/>
      <c r="AP49" s="124"/>
      <c r="AQ49" s="124"/>
      <c r="AR49" s="124"/>
      <c r="AS49" s="124"/>
      <c r="AT49" s="124"/>
      <c r="AU49" s="124"/>
      <c r="AV49" s="124"/>
      <c r="AW49" s="124"/>
      <c r="AX49" s="124"/>
      <c r="AY49" s="124"/>
      <c r="AZ49" s="124"/>
      <c r="BA49" s="124"/>
      <c r="BB49" s="136"/>
    </row>
    <row r="50" customFormat="false" ht="15.6" hidden="false" customHeight="false" outlineLevel="0" collapsed="false">
      <c r="A50" s="111" t="n">
        <f aca="false">IF(ISBLANK(VLOOKUP(D50,#REF!,3)),0,1)</f>
        <v>1</v>
      </c>
      <c r="B50" s="112" t="n">
        <f aca="false">IF(ISBLANK(D50),0,IF(ISBLANK(E50),0,IF(ISBLANK(F50),0,1)))</f>
        <v>0</v>
      </c>
      <c r="C50" s="128" t="n">
        <v>16</v>
      </c>
      <c r="D50" s="151"/>
      <c r="E50" s="151"/>
      <c r="F50" s="152"/>
      <c r="G50" s="156"/>
      <c r="H50" s="151"/>
      <c r="I50" s="151"/>
      <c r="J50" s="132" t="str">
        <f aca="false">IF(ISBLANK(D50),"",IF(VLOOKUP(D50,#REF!,2)=0,"",IF(D50&gt;#REF!,"Mauvais numéro",IF(D50&lt;#REF!,"Mauvais numéro",(VLOOKUP(D50,#REF!,3))))))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57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49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24"/>
      <c r="U50" s="124"/>
      <c r="V50" s="124"/>
      <c r="W50" s="124"/>
      <c r="X50" s="124"/>
      <c r="Y50" s="124"/>
      <c r="Z50" s="124"/>
      <c r="AA50" s="124"/>
      <c r="AB50" s="124"/>
      <c r="AC50" s="124"/>
      <c r="AD50" s="124"/>
      <c r="AE50" s="124"/>
      <c r="AF50" s="124"/>
      <c r="AG50" s="124"/>
      <c r="AH50" s="124"/>
      <c r="AI50" s="124"/>
      <c r="AJ50" s="124"/>
      <c r="AK50" s="124"/>
      <c r="AL50" s="124"/>
      <c r="AM50" s="124"/>
      <c r="AN50" s="124"/>
      <c r="AO50" s="124"/>
      <c r="AP50" s="124"/>
      <c r="AQ50" s="124"/>
      <c r="AR50" s="124"/>
      <c r="AS50" s="124"/>
      <c r="AT50" s="124"/>
      <c r="AU50" s="124"/>
      <c r="AV50" s="124"/>
      <c r="AW50" s="124"/>
      <c r="AX50" s="124"/>
      <c r="AY50" s="124"/>
      <c r="AZ50" s="124"/>
      <c r="BA50" s="124"/>
      <c r="BB50" s="136"/>
    </row>
    <row r="51" customFormat="false" ht="15.6" hidden="false" customHeight="false" outlineLevel="0" collapsed="false">
      <c r="A51" s="111" t="n">
        <f aca="false">IF(ISBLANK(VLOOKUP(D51,#REF!,3)),0,1)</f>
        <v>1</v>
      </c>
      <c r="B51" s="112" t="n">
        <f aca="false">IF(ISBLANK(D51),0,IF(ISBLANK(E51),0,IF(ISBLANK(F51),0,1)))</f>
        <v>0</v>
      </c>
      <c r="C51" s="128" t="n">
        <v>17</v>
      </c>
      <c r="D51" s="151"/>
      <c r="E51" s="151"/>
      <c r="F51" s="152"/>
      <c r="G51" s="156"/>
      <c r="H51" s="151"/>
      <c r="I51" s="151"/>
      <c r="J51" s="132" t="str">
        <f aca="false">IF(ISBLANK(D51),"",IF(VLOOKUP(D51,#REF!,2)=0,"",IF(D51&gt;#REF!,"Mauvais numéro",IF(D51&lt;#REF!,"Mauvais numéro",(VLOOKUP(D51,#REF!,3))))))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57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49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24"/>
      <c r="AE51" s="124"/>
      <c r="AF51" s="124"/>
      <c r="AG51" s="124"/>
      <c r="AH51" s="124"/>
      <c r="AI51" s="124"/>
      <c r="AJ51" s="124"/>
      <c r="AK51" s="124"/>
      <c r="AL51" s="124"/>
      <c r="AM51" s="124"/>
      <c r="AN51" s="124"/>
      <c r="AO51" s="124"/>
      <c r="AP51" s="124"/>
      <c r="AQ51" s="124"/>
      <c r="AR51" s="124"/>
      <c r="AS51" s="124"/>
      <c r="AT51" s="124"/>
      <c r="AU51" s="124"/>
      <c r="AV51" s="124"/>
      <c r="AW51" s="124"/>
      <c r="AX51" s="124"/>
      <c r="AY51" s="124"/>
      <c r="AZ51" s="124"/>
      <c r="BA51" s="124"/>
      <c r="BB51" s="136"/>
    </row>
    <row r="52" customFormat="false" ht="15.6" hidden="false" customHeight="false" outlineLevel="0" collapsed="false">
      <c r="A52" s="111" t="n">
        <f aca="false">IF(ISBLANK(VLOOKUP(D52,#REF!,3)),0,1)</f>
        <v>1</v>
      </c>
      <c r="B52" s="112" t="n">
        <f aca="false">IF(ISBLANK(D52),0,IF(ISBLANK(E52),0,IF(ISBLANK(F52),0,1)))</f>
        <v>0</v>
      </c>
      <c r="C52" s="128" t="n">
        <v>18</v>
      </c>
      <c r="D52" s="151"/>
      <c r="E52" s="151"/>
      <c r="F52" s="152"/>
      <c r="G52" s="156"/>
      <c r="H52" s="151"/>
      <c r="I52" s="151"/>
      <c r="J52" s="132" t="str">
        <f aca="false">IF(ISBLANK(D52),"",IF(VLOOKUP(D52,#REF!,2)=0,"",IF(D52&gt;#REF!,"Mauvais numéro",IF(D52&lt;#REF!,"Mauvais numéro",(VLOOKUP(D52,#REF!,3))))))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57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49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24"/>
      <c r="U52" s="124"/>
      <c r="V52" s="124"/>
      <c r="W52" s="124"/>
      <c r="X52" s="124"/>
      <c r="Y52" s="124"/>
      <c r="Z52" s="124"/>
      <c r="AA52" s="124"/>
      <c r="AB52" s="124"/>
      <c r="AC52" s="124"/>
      <c r="AD52" s="124"/>
      <c r="AE52" s="124"/>
      <c r="AF52" s="124"/>
      <c r="AG52" s="124"/>
      <c r="AH52" s="124"/>
      <c r="AI52" s="124"/>
      <c r="AJ52" s="124"/>
      <c r="AK52" s="124"/>
      <c r="AL52" s="124"/>
      <c r="AM52" s="124"/>
      <c r="AN52" s="124"/>
      <c r="AO52" s="124"/>
      <c r="AP52" s="124"/>
      <c r="AQ52" s="124"/>
      <c r="AR52" s="124"/>
      <c r="AS52" s="124"/>
      <c r="AT52" s="124"/>
      <c r="AU52" s="124"/>
      <c r="AV52" s="124"/>
      <c r="AW52" s="124"/>
      <c r="AX52" s="124"/>
      <c r="AY52" s="124"/>
      <c r="AZ52" s="124"/>
      <c r="BA52" s="124"/>
      <c r="BB52" s="136"/>
    </row>
    <row r="53" customFormat="false" ht="15.6" hidden="false" customHeight="false" outlineLevel="0" collapsed="false">
      <c r="A53" s="111" t="n">
        <f aca="false">IF(ISBLANK(VLOOKUP(D53,#REF!,3)),0,1)</f>
        <v>1</v>
      </c>
      <c r="B53" s="112" t="n">
        <f aca="false">IF(ISBLANK(D53),0,IF(ISBLANK(E53),0,IF(ISBLANK(F53),0,1)))</f>
        <v>0</v>
      </c>
      <c r="C53" s="128" t="n">
        <v>19</v>
      </c>
      <c r="D53" s="151"/>
      <c r="E53" s="151"/>
      <c r="F53" s="152"/>
      <c r="G53" s="156"/>
      <c r="H53" s="151"/>
      <c r="I53" s="151"/>
      <c r="J53" s="132" t="str">
        <f aca="false">IF(ISBLANK(D53),"",IF(VLOOKUP(D53,#REF!,2)=0,"",IF(D53&gt;#REF!,"Mauvais numéro",IF(D53&lt;#REF!,"Mauvais numéro",(VLOOKUP(D53,#REF!,3))))))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57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49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24"/>
      <c r="U53" s="124"/>
      <c r="V53" s="124"/>
      <c r="W53" s="124"/>
      <c r="X53" s="12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24"/>
      <c r="AJ53" s="124"/>
      <c r="AK53" s="124"/>
      <c r="AL53" s="124"/>
      <c r="AM53" s="124"/>
      <c r="AN53" s="124"/>
      <c r="AO53" s="124"/>
      <c r="AP53" s="124"/>
      <c r="AQ53" s="124"/>
      <c r="AR53" s="124"/>
      <c r="AS53" s="124"/>
      <c r="AT53" s="124"/>
      <c r="AU53" s="124"/>
      <c r="AV53" s="124"/>
      <c r="AW53" s="124"/>
      <c r="AX53" s="124"/>
      <c r="AY53" s="124"/>
      <c r="AZ53" s="124"/>
      <c r="BA53" s="124"/>
      <c r="BB53" s="136"/>
    </row>
    <row r="54" customFormat="false" ht="15.6" hidden="false" customHeight="false" outlineLevel="0" collapsed="false">
      <c r="A54" s="111" t="n">
        <f aca="false">IF(ISBLANK(VLOOKUP(D54,#REF!,3)),0,1)</f>
        <v>1</v>
      </c>
      <c r="B54" s="112" t="n">
        <f aca="false">IF(ISBLANK(D54),0,IF(ISBLANK(E54),0,IF(ISBLANK(F54),0,1)))</f>
        <v>0</v>
      </c>
      <c r="C54" s="128" t="n">
        <v>20</v>
      </c>
      <c r="D54" s="151"/>
      <c r="E54" s="151"/>
      <c r="F54" s="152"/>
      <c r="G54" s="156"/>
      <c r="H54" s="151"/>
      <c r="I54" s="151"/>
      <c r="J54" s="132" t="str">
        <f aca="false">IF(ISBLANK(D54),"",IF(VLOOKUP(D54,#REF!,2)=0,"",IF(D54&gt;#REF!,"Mauvais numéro",IF(D54&lt;#REF!,"Mauvais numéro",(VLOOKUP(D54,#REF!,3))))))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57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49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4"/>
      <c r="U54" s="124"/>
      <c r="V54" s="124"/>
      <c r="W54" s="124"/>
      <c r="X54" s="124"/>
      <c r="Y54" s="124"/>
      <c r="Z54" s="124"/>
      <c r="AA54" s="124"/>
      <c r="AB54" s="124"/>
      <c r="AC54" s="124"/>
      <c r="AD54" s="124"/>
      <c r="AE54" s="124"/>
      <c r="AF54" s="124"/>
      <c r="AG54" s="124"/>
      <c r="AH54" s="124"/>
      <c r="AI54" s="124"/>
      <c r="AJ54" s="124"/>
      <c r="AK54" s="124"/>
      <c r="AL54" s="124"/>
      <c r="AM54" s="124"/>
      <c r="AN54" s="124"/>
      <c r="AO54" s="124"/>
      <c r="AP54" s="124"/>
      <c r="AQ54" s="124"/>
      <c r="AR54" s="124"/>
      <c r="AS54" s="124"/>
      <c r="AT54" s="124"/>
      <c r="AU54" s="124"/>
      <c r="AV54" s="124"/>
      <c r="AW54" s="124"/>
      <c r="AX54" s="124"/>
      <c r="AY54" s="124"/>
      <c r="AZ54" s="124"/>
      <c r="BA54" s="124"/>
      <c r="BB54" s="136"/>
    </row>
    <row r="55" customFormat="false" ht="15.6" hidden="false" customHeight="false" outlineLevel="0" collapsed="false">
      <c r="A55" s="111" t="n">
        <f aca="false">IF(ISBLANK(VLOOKUP(D55,#REF!,3)),0,1)</f>
        <v>1</v>
      </c>
      <c r="B55" s="112" t="n">
        <f aca="false">IF(ISBLANK(D55),0,IF(ISBLANK(E55),0,IF(ISBLANK(F55),0,1)))</f>
        <v>0</v>
      </c>
      <c r="C55" s="128" t="n">
        <v>21</v>
      </c>
      <c r="D55" s="151"/>
      <c r="E55" s="151"/>
      <c r="F55" s="152"/>
      <c r="G55" s="156"/>
      <c r="H55" s="151"/>
      <c r="I55" s="151"/>
      <c r="J55" s="132" t="str">
        <f aca="false">IF(ISBLANK(D55),"",IF(VLOOKUP(D55,#REF!,2)=0,"",IF(D55&gt;#REF!,"Mauvais numéro",IF(D55&lt;#REF!,"Mauvais numéro",(VLOOKUP(D55,#REF!,3))))))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57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49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24"/>
      <c r="U55" s="124"/>
      <c r="V55" s="124"/>
      <c r="W55" s="124"/>
      <c r="X55" s="124"/>
      <c r="Y55" s="124"/>
      <c r="Z55" s="124"/>
      <c r="AA55" s="124"/>
      <c r="AB55" s="124"/>
      <c r="AC55" s="124"/>
      <c r="AD55" s="124"/>
      <c r="AE55" s="124"/>
      <c r="AF55" s="124"/>
      <c r="AG55" s="124"/>
      <c r="AH55" s="124"/>
      <c r="AI55" s="124"/>
      <c r="AJ55" s="124"/>
      <c r="AK55" s="124"/>
      <c r="AL55" s="124"/>
      <c r="AM55" s="124"/>
      <c r="AN55" s="124"/>
      <c r="AO55" s="124"/>
      <c r="AP55" s="124"/>
      <c r="AQ55" s="124"/>
      <c r="AR55" s="124"/>
      <c r="AS55" s="124"/>
      <c r="AT55" s="124"/>
      <c r="AU55" s="124"/>
      <c r="AV55" s="124"/>
      <c r="AW55" s="124"/>
      <c r="AX55" s="124"/>
      <c r="AY55" s="124"/>
      <c r="AZ55" s="124"/>
      <c r="BA55" s="124"/>
      <c r="BB55" s="136"/>
    </row>
    <row r="56" customFormat="false" ht="15.6" hidden="false" customHeight="false" outlineLevel="0" collapsed="false">
      <c r="A56" s="111" t="n">
        <f aca="false">IF(ISBLANK(VLOOKUP(D56,#REF!,3)),0,1)</f>
        <v>1</v>
      </c>
      <c r="B56" s="112" t="n">
        <f aca="false">IF(ISBLANK(D56),0,IF(ISBLANK(E56),0,IF(ISBLANK(F56),0,1)))</f>
        <v>0</v>
      </c>
      <c r="C56" s="128" t="n">
        <v>22</v>
      </c>
      <c r="D56" s="151"/>
      <c r="E56" s="151"/>
      <c r="F56" s="152"/>
      <c r="G56" s="156"/>
      <c r="H56" s="151"/>
      <c r="I56" s="151"/>
      <c r="J56" s="132" t="str">
        <f aca="false">IF(ISBLANK(D56),"",IF(VLOOKUP(D56,#REF!,2)=0,"",IF(D56&gt;#REF!,"Mauvais numéro",IF(D56&lt;#REF!,"Mauvais numéro",(VLOOKUP(D56,#REF!,3))))))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57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49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24"/>
      <c r="AE56" s="124"/>
      <c r="AF56" s="124"/>
      <c r="AG56" s="124"/>
      <c r="AH56" s="124"/>
      <c r="AI56" s="124"/>
      <c r="AJ56" s="124"/>
      <c r="AK56" s="124"/>
      <c r="AL56" s="124"/>
      <c r="AM56" s="124"/>
      <c r="AN56" s="124"/>
      <c r="AO56" s="124"/>
      <c r="AP56" s="124"/>
      <c r="AQ56" s="124"/>
      <c r="AR56" s="124"/>
      <c r="AS56" s="124"/>
      <c r="AT56" s="124"/>
      <c r="AU56" s="124"/>
      <c r="AV56" s="124"/>
      <c r="AW56" s="124"/>
      <c r="AX56" s="124"/>
      <c r="AY56" s="124"/>
      <c r="AZ56" s="124"/>
      <c r="BA56" s="124"/>
      <c r="BB56" s="136"/>
    </row>
    <row r="57" customFormat="false" ht="15.6" hidden="false" customHeight="false" outlineLevel="0" collapsed="false">
      <c r="A57" s="111" t="n">
        <f aca="false">IF(ISBLANK(VLOOKUP(D57,#REF!,3)),0,1)</f>
        <v>1</v>
      </c>
      <c r="B57" s="112" t="n">
        <f aca="false">IF(ISBLANK(D57),0,IF(ISBLANK(E57),0,IF(ISBLANK(F57),0,1)))</f>
        <v>0</v>
      </c>
      <c r="C57" s="128" t="n">
        <v>23</v>
      </c>
      <c r="D57" s="151"/>
      <c r="E57" s="151"/>
      <c r="F57" s="152"/>
      <c r="G57" s="156"/>
      <c r="H57" s="151"/>
      <c r="I57" s="151"/>
      <c r="J57" s="132" t="str">
        <f aca="false">IF(ISBLANK(D57),"",IF(VLOOKUP(D57,#REF!,2)=0,"",IF(D57&gt;#REF!,"Mauvais numéro",IF(D57&lt;#REF!,"Mauvais numéro",(VLOOKUP(D57,#REF!,3))))))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57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49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4"/>
      <c r="U57" s="124"/>
      <c r="V57" s="124"/>
      <c r="W57" s="124"/>
      <c r="X57" s="124"/>
      <c r="Y57" s="124"/>
      <c r="Z57" s="124"/>
      <c r="AA57" s="124"/>
      <c r="AB57" s="124"/>
      <c r="AC57" s="124"/>
      <c r="AD57" s="124"/>
      <c r="AE57" s="124"/>
      <c r="AF57" s="124"/>
      <c r="AG57" s="124"/>
      <c r="AH57" s="124"/>
      <c r="AI57" s="124"/>
      <c r="AJ57" s="124"/>
      <c r="AK57" s="124"/>
      <c r="AL57" s="124"/>
      <c r="AM57" s="124"/>
      <c r="AN57" s="124"/>
      <c r="AO57" s="124"/>
      <c r="AP57" s="124"/>
      <c r="AQ57" s="124"/>
      <c r="AR57" s="124"/>
      <c r="AS57" s="124"/>
      <c r="AT57" s="124"/>
      <c r="AU57" s="124"/>
      <c r="AV57" s="124"/>
      <c r="AW57" s="124"/>
      <c r="AX57" s="124"/>
      <c r="AY57" s="124"/>
      <c r="AZ57" s="124"/>
      <c r="BA57" s="124"/>
      <c r="BB57" s="136"/>
    </row>
    <row r="58" customFormat="false" ht="16.2" hidden="false" customHeight="false" outlineLevel="0" collapsed="false">
      <c r="A58" s="111" t="n">
        <f aca="false">IF(ISBLANK(VLOOKUP(D58,#REF!,3)),0,1)</f>
        <v>1</v>
      </c>
      <c r="B58" s="112" t="n">
        <f aca="false">IF(ISBLANK(D58),0,IF(ISBLANK(E58),0,IF(ISBLANK(F58),0,1)))</f>
        <v>0</v>
      </c>
      <c r="C58" s="158" t="n">
        <v>24</v>
      </c>
      <c r="D58" s="159"/>
      <c r="E58" s="159"/>
      <c r="F58" s="160"/>
      <c r="G58" s="161"/>
      <c r="H58" s="159"/>
      <c r="I58" s="159"/>
      <c r="J58" s="162" t="str">
        <f aca="false">IF(ISBLANK(D58),"",IF(VLOOKUP(D58,#REF!,2)=0,"",IF(D58&gt;#REF!,"Mauvais numéro",IF(D58&lt;#REF!,"Mauvais numéro",(VLOOKUP(D58,#REF!,3))))))</f>
        <v/>
      </c>
      <c r="K58" s="163" t="str">
        <f aca="false">IF(ISBLANK(E58),"",(0.000824493-(0.0000040899*E58)+(0.000000076438*E58^2)-(0.00000000082467*E58^3)+(0.0000000000053875*E58^4)))</f>
        <v/>
      </c>
      <c r="L58" s="163" t="str">
        <f aca="false">IF(ISBLANK(E58),"",(-0.00000572466+(0.00000010227*E58)-(0.0000000016546*E58^2)))</f>
        <v/>
      </c>
      <c r="M58" s="163" t="str">
        <f aca="false">IF(ISBLANK(E58),"",IF(ISBLANK(G58),(O58+(K58*35)+(L58*35^1.5)+(0.00000048314*35^2)),(O58+(K58*G58)+(L58*G58^1.5)+(0.00000048314*G58^2))))</f>
        <v/>
      </c>
      <c r="N58" s="164" t="str">
        <f aca="false">IF(ISBLANK(D58),"",IF(ISBLANK(G58),J58*(1+0.00001*(35-20)),J58*(1+0.00001*(G58-20))))</f>
        <v/>
      </c>
      <c r="O58" s="163" t="str">
        <f aca="false">IF(ISBLANK(E58),"",(0.999842594+(0.00006793952*E58)-(0.00000909529*E58^2)+(0.0000001001685*E58^3)-(0.000000001120083*E58^4)+(0.000000000006536332*E58^5)))</f>
        <v/>
      </c>
      <c r="P58" s="165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66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7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7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68"/>
      <c r="U58" s="168"/>
      <c r="V58" s="168"/>
      <c r="W58" s="168"/>
      <c r="X58" s="168"/>
      <c r="Y58" s="168"/>
      <c r="Z58" s="168"/>
      <c r="AA58" s="168"/>
      <c r="AB58" s="168"/>
      <c r="AC58" s="168"/>
      <c r="AD58" s="168"/>
      <c r="AE58" s="168"/>
      <c r="AF58" s="168"/>
      <c r="AG58" s="168"/>
      <c r="AH58" s="168"/>
      <c r="AI58" s="168"/>
      <c r="AJ58" s="168"/>
      <c r="AK58" s="168"/>
      <c r="AL58" s="168"/>
      <c r="AM58" s="168"/>
      <c r="AN58" s="168"/>
      <c r="AO58" s="168"/>
      <c r="AP58" s="168"/>
      <c r="AQ58" s="168"/>
      <c r="AR58" s="168"/>
      <c r="AS58" s="168"/>
      <c r="AT58" s="168"/>
      <c r="AU58" s="168"/>
      <c r="AV58" s="168"/>
      <c r="AW58" s="168"/>
      <c r="AX58" s="168"/>
      <c r="AY58" s="168"/>
      <c r="AZ58" s="168"/>
      <c r="BA58" s="168"/>
      <c r="BB58" s="169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W1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8178137651822"/>
    <col collapsed="false" hidden="false" max="32" min="32" style="0" width="9.10526315789474"/>
    <col collapsed="false" hidden="false" max="33" min="33" style="0" width="26.5668016194332"/>
    <col collapsed="false" hidden="false" max="34" min="34" style="0" width="12.8542510121458"/>
    <col collapsed="false" hidden="false" max="35" min="35" style="0" width="11.3562753036437"/>
    <col collapsed="false" hidden="false" max="36" min="36" style="0" width="14.5668016194332"/>
    <col collapsed="false" hidden="false" max="37" min="37" style="0" width="12.2105263157895"/>
    <col collapsed="false" hidden="false" max="38" min="38" style="0" width="26.995951417004"/>
    <col collapsed="false" hidden="false" max="39" min="39" style="0" width="14.6761133603239"/>
    <col collapsed="false" hidden="false" max="40" min="40" style="0" width="11.3562753036437"/>
    <col collapsed="false" hidden="false" max="41" min="41" style="0" width="12.5344129554656"/>
    <col collapsed="false" hidden="false" max="42" min="42" style="0" width="10.7125506072875"/>
    <col collapsed="false" hidden="false" max="43" min="43" style="0" width="6.31983805668016"/>
    <col collapsed="false" hidden="false" max="44" min="44" style="0" width="19.7085020242915"/>
    <col collapsed="false" hidden="false" max="45" min="45" style="0" width="13.0688259109312"/>
    <col collapsed="false" hidden="false" max="46" min="46" style="0" width="17.7813765182186"/>
    <col collapsed="false" hidden="false" max="47" min="47" style="0" width="14.6761133603239"/>
    <col collapsed="false" hidden="false" max="48" min="48" style="0" width="13.6032388663968"/>
    <col collapsed="false" hidden="false" max="49" min="49" style="0" width="13.7125506072874"/>
    <col collapsed="false" hidden="false" max="50" min="50" style="0" width="19.9230769230769"/>
    <col collapsed="false" hidden="false" max="51" min="51" style="0" width="13.2834008097166"/>
    <col collapsed="false" hidden="false" max="52" min="52" style="0" width="17.6761133603239"/>
    <col collapsed="false" hidden="false" max="53" min="53" style="0" width="13.3886639676113"/>
    <col collapsed="false" hidden="false" max="54" min="54" style="0" width="12.6396761133603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20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38544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3</v>
      </c>
      <c r="J9" s="29" t="n">
        <v>59.83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-3°59,83</v>
      </c>
      <c r="P9" s="29" t="s">
        <v>15</v>
      </c>
      <c r="Q9" s="33" t="n">
        <f aca="false">IF(ISBLANK(I9),"",IF(ISBLANK(J9),"",IF(J9&gt;60,"ERREUR !!",O11*(I9+(J9/60)))))</f>
        <v>-3.99716666666667</v>
      </c>
      <c r="R9" s="33"/>
    </row>
    <row r="10" customFormat="false" ht="15" hidden="false" customHeight="true" outlineLevel="0" collapsed="false">
      <c r="C10" s="21"/>
      <c r="D10" s="18"/>
      <c r="G10" s="27" t="s">
        <v>16</v>
      </c>
      <c r="H10" s="27"/>
      <c r="I10" s="28" t="n">
        <v>9</v>
      </c>
      <c r="J10" s="29" t="n">
        <v>59.76</v>
      </c>
      <c r="K10" s="30" t="s">
        <v>12</v>
      </c>
      <c r="L10" s="31" t="str">
        <f aca="false">IF(P10=N9,"+","-")</f>
        <v>-</v>
      </c>
      <c r="M10" s="30" t="s">
        <v>15</v>
      </c>
      <c r="N10" s="30" t="s">
        <v>17</v>
      </c>
      <c r="O10" s="34" t="str">
        <f aca="false">IF(ISBLANK(I10),"",IF(ISBLANK(J10),"",IF(P10=N10,L10&amp;N12,N12)))</f>
        <v>-9°59,76</v>
      </c>
      <c r="P10" s="29" t="s">
        <v>17</v>
      </c>
      <c r="Q10" s="33" t="n">
        <f aca="false">IF(ISBLANK(I10),"",IF(ISBLANK(J10),"",IF(J10&gt;60,"ERREUR !!",O12*(I10+(J10/60)))))</f>
        <v>-9.996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38544</v>
      </c>
      <c r="K11" s="38"/>
      <c r="L11" s="38"/>
      <c r="M11" s="38"/>
      <c r="N11" s="39" t="str">
        <f aca="false">I9&amp;"°"&amp;J9</f>
        <v>3°59,83</v>
      </c>
      <c r="O11" s="40" t="n">
        <f aca="false">IF(P9=M10,-1,1)</f>
        <v>-1</v>
      </c>
      <c r="P11" s="41" t="str">
        <f aca="false">TEXT(J11,"aaaa-mm-jj")&amp;"T"&amp;TEXT(J12,"hh:mm:ss")&amp;"z"</f>
        <v>2009-07-12T05:45:00z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0.239583333333333</v>
      </c>
      <c r="K12" s="45"/>
      <c r="L12" s="45"/>
      <c r="M12" s="45"/>
      <c r="N12" s="46" t="str">
        <f aca="false">I10&amp;"°"&amp;J10</f>
        <v>9°59,76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e">
        <f aca="false">$P$24*($P$18/#REF!)</f>
        <v>#REF!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e">
        <f aca="false">5+#REF!</f>
        <v>#REF!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e">
        <f aca="false">P20*(1+0.00001*(R14-20))</f>
        <v>#REF!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e">
        <f aca="false">MAX(#REF!)</f>
        <v>#VALUE!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e">
        <f aca="false">2+(#REF!+#REF!)</f>
        <v>#REF!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52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53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IF(ISBLANK(VLOOKUP(D35,#REF!,3)),0,1)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n">
        <v>34.9587</v>
      </c>
      <c r="H35" s="118" t="n">
        <v>2000</v>
      </c>
      <c r="I35" s="119" t="n">
        <v>2000.2</v>
      </c>
      <c r="J35" s="120"/>
      <c r="K35" s="121"/>
      <c r="L35" s="121"/>
      <c r="M35" s="121"/>
      <c r="N35" s="122"/>
      <c r="O35" s="121"/>
      <c r="P35" s="185" t="n">
        <v>5.669</v>
      </c>
      <c r="Q35" s="120"/>
      <c r="R35" s="120"/>
      <c r="S35" s="176" t="n">
        <v>246.4</v>
      </c>
      <c r="T35" s="32" t="n">
        <v>0.04</v>
      </c>
      <c r="U35" s="32" t="n">
        <v>0.03</v>
      </c>
      <c r="V35" s="32"/>
      <c r="W35" s="32"/>
      <c r="X35" s="125" t="n">
        <v>20.8</v>
      </c>
      <c r="Y35" s="125" t="n">
        <v>20.3</v>
      </c>
      <c r="Z35" s="32" t="n">
        <v>1.48</v>
      </c>
      <c r="AA35" s="32" t="n">
        <v>1.45</v>
      </c>
      <c r="AB35" s="125" t="n">
        <v>23.3</v>
      </c>
      <c r="AC35" s="125" t="n">
        <v>22.7</v>
      </c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7"/>
    </row>
    <row r="36" customFormat="false" ht="15.6" hidden="false" customHeight="false" outlineLevel="0" collapsed="false">
      <c r="A36" s="111" t="n">
        <f aca="false">IF(ISBLANK(VLOOKUP(D36,#REF!,3)),0,1)</f>
        <v>1</v>
      </c>
      <c r="B36" s="112" t="n">
        <f aca="false">IF(ISBLANK(D36),0,IF(ISBLANK(E36),0,IF(ISBLANK(F36),0,1)))</f>
        <v>0</v>
      </c>
      <c r="C36" s="128" t="n">
        <v>2</v>
      </c>
      <c r="D36" s="129"/>
      <c r="E36" s="129"/>
      <c r="F36" s="130"/>
      <c r="G36" s="117" t="n">
        <v>34.6336</v>
      </c>
      <c r="H36" s="131" t="n">
        <v>1000</v>
      </c>
      <c r="I36" s="119" t="n">
        <v>1001.9</v>
      </c>
      <c r="J36" s="132"/>
      <c r="K36" s="133"/>
      <c r="L36" s="133"/>
      <c r="M36" s="133"/>
      <c r="N36" s="134"/>
      <c r="O36" s="133"/>
      <c r="P36" s="157" t="n">
        <v>3.656</v>
      </c>
      <c r="Q36" s="132"/>
      <c r="R36" s="132"/>
      <c r="S36" s="177" t="n">
        <v>158.9</v>
      </c>
      <c r="T36" s="32" t="n">
        <v>0.04</v>
      </c>
      <c r="U36" s="32" t="n">
        <v>0.04</v>
      </c>
      <c r="V36" s="32"/>
      <c r="W36" s="32"/>
      <c r="X36" s="125" t="n">
        <v>33.1</v>
      </c>
      <c r="Y36" s="125" t="n">
        <v>32.4</v>
      </c>
      <c r="Z36" s="32" t="n">
        <v>2.3</v>
      </c>
      <c r="AA36" s="32" t="n">
        <v>2.25</v>
      </c>
      <c r="AB36" s="125" t="n">
        <v>30.6</v>
      </c>
      <c r="AC36" s="125" t="n">
        <v>29.9</v>
      </c>
      <c r="AD36" s="124"/>
      <c r="AE36" s="124"/>
      <c r="AF36" s="124"/>
      <c r="AG36" s="124"/>
      <c r="AH36" s="124"/>
      <c r="AI36" s="124"/>
      <c r="AJ36" s="124"/>
      <c r="AK36" s="124"/>
      <c r="AL36" s="124"/>
      <c r="AM36" s="124"/>
      <c r="AN36" s="124"/>
      <c r="AO36" s="124"/>
      <c r="AP36" s="124"/>
      <c r="AQ36" s="124"/>
      <c r="AR36" s="124"/>
      <c r="AS36" s="124"/>
      <c r="AT36" s="124"/>
      <c r="AU36" s="124"/>
      <c r="AV36" s="124"/>
      <c r="AW36" s="124"/>
      <c r="AX36" s="124"/>
      <c r="AY36" s="124"/>
      <c r="AZ36" s="124"/>
      <c r="BA36" s="124"/>
      <c r="BB36" s="136"/>
    </row>
    <row r="37" customFormat="false" ht="15.6" hidden="false" customHeight="false" outlineLevel="0" collapsed="false">
      <c r="A37" s="111" t="n">
        <f aca="false">IF(ISBLANK(VLOOKUP(D37,#REF!,3)),0,1)</f>
        <v>1</v>
      </c>
      <c r="B37" s="112" t="n">
        <f aca="false">IF(ISBLANK(D37),0,IF(ISBLANK(E37),0,IF(ISBLANK(F37),0,1)))</f>
        <v>0</v>
      </c>
      <c r="C37" s="128" t="n">
        <v>3</v>
      </c>
      <c r="D37" s="129"/>
      <c r="E37" s="129"/>
      <c r="F37" s="137"/>
      <c r="G37" s="117" t="n">
        <v>34.6498</v>
      </c>
      <c r="H37" s="131" t="n">
        <v>500</v>
      </c>
      <c r="I37" s="119" t="n">
        <v>500.9</v>
      </c>
      <c r="J37" s="132"/>
      <c r="K37" s="133"/>
      <c r="L37" s="133"/>
      <c r="M37" s="133"/>
      <c r="N37" s="134"/>
      <c r="O37" s="133"/>
      <c r="P37" s="157" t="n">
        <v>2.063</v>
      </c>
      <c r="Q37" s="132"/>
      <c r="R37" s="132"/>
      <c r="S37" s="177" t="n">
        <v>89.7</v>
      </c>
      <c r="T37" s="32" t="n">
        <v>0.05</v>
      </c>
      <c r="U37" s="32" t="n">
        <v>0.04</v>
      </c>
      <c r="V37" s="32"/>
      <c r="W37" s="32"/>
      <c r="X37" s="125" t="n">
        <v>36.6</v>
      </c>
      <c r="Y37" s="125" t="n">
        <v>35.8</v>
      </c>
      <c r="Z37" s="32" t="n">
        <v>2.35</v>
      </c>
      <c r="AA37" s="32" t="n">
        <v>2.3</v>
      </c>
      <c r="AB37" s="125" t="n">
        <v>19.7</v>
      </c>
      <c r="AC37" s="125" t="n">
        <v>19.2</v>
      </c>
      <c r="AD37" s="124"/>
      <c r="AE37" s="124"/>
      <c r="AF37" s="124"/>
      <c r="AG37" s="124"/>
      <c r="AH37" s="124"/>
      <c r="AI37" s="124"/>
      <c r="AJ37" s="124"/>
      <c r="AK37" s="124"/>
      <c r="AL37" s="124"/>
      <c r="AM37" s="124"/>
      <c r="AN37" s="124"/>
      <c r="AO37" s="124"/>
      <c r="AP37" s="124"/>
      <c r="AQ37" s="124"/>
      <c r="AR37" s="124"/>
      <c r="AS37" s="124"/>
      <c r="AT37" s="124"/>
      <c r="AU37" s="124"/>
      <c r="AV37" s="124"/>
      <c r="AW37" s="124"/>
      <c r="AX37" s="124"/>
      <c r="AY37" s="124"/>
      <c r="AZ37" s="124"/>
      <c r="BA37" s="124"/>
      <c r="BB37" s="136"/>
    </row>
    <row r="38" customFormat="false" ht="15.6" hidden="false" customHeight="false" outlineLevel="0" collapsed="false">
      <c r="A38" s="111" t="n">
        <f aca="false">IF(ISBLANK(VLOOKUP(D38,#REF!,3)),0,1)</f>
        <v>1</v>
      </c>
      <c r="B38" s="112" t="n">
        <f aca="false">IF(ISBLANK(D38),0,IF(ISBLANK(E38),0,IF(ISBLANK(F38),0,1)))</f>
        <v>0</v>
      </c>
      <c r="C38" s="128" t="n">
        <v>4</v>
      </c>
      <c r="D38" s="138"/>
      <c r="E38" s="138"/>
      <c r="F38" s="139"/>
      <c r="G38" s="117" t="n">
        <v>35.3482</v>
      </c>
      <c r="H38" s="131" t="n">
        <v>100</v>
      </c>
      <c r="I38" s="119" t="n">
        <v>100.4</v>
      </c>
      <c r="J38" s="132"/>
      <c r="K38" s="133"/>
      <c r="L38" s="133"/>
      <c r="M38" s="133"/>
      <c r="N38" s="134"/>
      <c r="O38" s="133"/>
      <c r="P38" s="157" t="n">
        <v>2.055</v>
      </c>
      <c r="Q38" s="132"/>
      <c r="R38" s="132"/>
      <c r="S38" s="177" t="n">
        <v>89.4</v>
      </c>
      <c r="T38" s="32" t="n">
        <v>0.05</v>
      </c>
      <c r="U38" s="32" t="n">
        <v>0.05</v>
      </c>
      <c r="V38" s="32"/>
      <c r="W38" s="32"/>
      <c r="X38" s="125" t="n">
        <v>24.1</v>
      </c>
      <c r="Y38" s="125" t="n">
        <v>23.6</v>
      </c>
      <c r="Z38" s="32" t="n">
        <v>1.59</v>
      </c>
      <c r="AA38" s="32" t="n">
        <v>1.55</v>
      </c>
      <c r="AB38" s="125" t="n">
        <v>8.6</v>
      </c>
      <c r="AC38" s="125" t="n">
        <v>8.4</v>
      </c>
      <c r="AD38" s="124"/>
      <c r="AE38" s="124"/>
      <c r="AF38" s="124"/>
      <c r="AG38" s="124"/>
      <c r="AH38" s="124"/>
      <c r="AI38" s="124"/>
      <c r="AJ38" s="124"/>
      <c r="AK38" s="124"/>
      <c r="AL38" s="124"/>
      <c r="AM38" s="124"/>
      <c r="AN38" s="124"/>
      <c r="AO38" s="124"/>
      <c r="AP38" s="124"/>
      <c r="AQ38" s="124"/>
      <c r="AR38" s="124"/>
      <c r="AS38" s="124"/>
      <c r="AT38" s="124"/>
      <c r="AU38" s="124"/>
      <c r="AV38" s="124"/>
      <c r="AW38" s="124"/>
      <c r="AX38" s="124"/>
      <c r="AY38" s="124"/>
      <c r="AZ38" s="124"/>
      <c r="BA38" s="124"/>
      <c r="BB38" s="136"/>
    </row>
    <row r="39" customFormat="false" ht="15.6" hidden="false" customHeight="false" outlineLevel="0" collapsed="false">
      <c r="A39" s="111" t="n">
        <f aca="false">IF(ISBLANK(VLOOKUP(D39,#REF!,3)),0,1)</f>
        <v>1</v>
      </c>
      <c r="B39" s="112" t="n">
        <f aca="false">IF(ISBLANK(D39),0,IF(ISBLANK(E39),0,IF(ISBLANK(F39),0,1)))</f>
        <v>0</v>
      </c>
      <c r="C39" s="128" t="n">
        <v>5</v>
      </c>
      <c r="D39" s="129"/>
      <c r="E39" s="129"/>
      <c r="F39" s="137"/>
      <c r="G39" s="117" t="n">
        <v>35.359</v>
      </c>
      <c r="H39" s="131" t="n">
        <v>100</v>
      </c>
      <c r="I39" s="119" t="n">
        <v>100</v>
      </c>
      <c r="J39" s="132"/>
      <c r="K39" s="133"/>
      <c r="L39" s="133"/>
      <c r="M39" s="133"/>
      <c r="N39" s="134"/>
      <c r="O39" s="133"/>
      <c r="P39" s="157" t="n">
        <v>2.001</v>
      </c>
      <c r="Q39" s="132"/>
      <c r="R39" s="132"/>
      <c r="S39" s="177" t="n">
        <v>87.1</v>
      </c>
      <c r="T39" s="32" t="n">
        <v>0.04</v>
      </c>
      <c r="U39" s="32" t="n">
        <v>0.04</v>
      </c>
      <c r="V39" s="32"/>
      <c r="W39" s="32"/>
      <c r="X39" s="125" t="n">
        <v>24.3</v>
      </c>
      <c r="Y39" s="125" t="n">
        <v>23.8</v>
      </c>
      <c r="Z39" s="32" t="n">
        <v>1.58</v>
      </c>
      <c r="AA39" s="32" t="n">
        <v>1.54</v>
      </c>
      <c r="AB39" s="125" t="n">
        <v>8.9</v>
      </c>
      <c r="AC39" s="125" t="n">
        <v>8.7</v>
      </c>
      <c r="AD39" s="124"/>
      <c r="AE39" s="124"/>
      <c r="AF39" s="124"/>
      <c r="AG39" s="124"/>
      <c r="AH39" s="124"/>
      <c r="AI39" s="124"/>
      <c r="AJ39" s="124"/>
      <c r="AK39" s="124"/>
      <c r="AL39" s="124"/>
      <c r="AM39" s="124"/>
      <c r="AN39" s="124"/>
      <c r="AO39" s="124"/>
      <c r="AP39" s="124"/>
      <c r="AQ39" s="124"/>
      <c r="AR39" s="124"/>
      <c r="AS39" s="124"/>
      <c r="AT39" s="124"/>
      <c r="AU39" s="124"/>
      <c r="AV39" s="124"/>
      <c r="AW39" s="124"/>
      <c r="AX39" s="124"/>
      <c r="AY39" s="124"/>
      <c r="AZ39" s="124"/>
      <c r="BA39" s="124"/>
      <c r="BB39" s="136"/>
    </row>
    <row r="40" customFormat="false" ht="15.6" hidden="false" customHeight="false" outlineLevel="0" collapsed="false">
      <c r="A40" s="111" t="n">
        <f aca="false">IF(ISBLANK(VLOOKUP(D40,#REF!,3)),0,1)</f>
        <v>1</v>
      </c>
      <c r="B40" s="112" t="n">
        <f aca="false">IF(ISBLANK(D40),0,IF(ISBLANK(E40),0,IF(ISBLANK(F40),0,1)))</f>
        <v>0</v>
      </c>
      <c r="C40" s="128" t="n">
        <v>6</v>
      </c>
      <c r="D40" s="129"/>
      <c r="E40" s="129"/>
      <c r="F40" s="137"/>
      <c r="G40" s="117"/>
      <c r="H40" s="131" t="n">
        <v>80</v>
      </c>
      <c r="I40" s="119"/>
      <c r="J40" s="132"/>
      <c r="K40" s="133"/>
      <c r="L40" s="133"/>
      <c r="M40" s="133"/>
      <c r="N40" s="134"/>
      <c r="O40" s="133"/>
      <c r="P40" s="157"/>
      <c r="Q40" s="132"/>
      <c r="R40" s="132"/>
      <c r="S40" s="177"/>
      <c r="T40" s="32" t="n">
        <v>0.05</v>
      </c>
      <c r="U40" s="32" t="n">
        <v>0.05</v>
      </c>
      <c r="V40" s="32"/>
      <c r="W40" s="32"/>
      <c r="X40" s="125" t="n">
        <v>22.5</v>
      </c>
      <c r="Y40" s="125" t="n">
        <v>22</v>
      </c>
      <c r="Z40" s="32" t="n">
        <v>1.45</v>
      </c>
      <c r="AA40" s="32" t="n">
        <v>1.42</v>
      </c>
      <c r="AB40" s="125" t="n">
        <v>7.8</v>
      </c>
      <c r="AC40" s="125" t="n">
        <v>7.6</v>
      </c>
      <c r="AD40" s="124"/>
      <c r="AE40" s="124"/>
      <c r="AF40" s="124"/>
      <c r="AG40" s="124"/>
      <c r="AH40" s="124"/>
      <c r="AI40" s="124"/>
      <c r="AJ40" s="124"/>
      <c r="AK40" s="124"/>
      <c r="AL40" s="124"/>
      <c r="AM40" s="124"/>
      <c r="AN40" s="124"/>
      <c r="AO40" s="124"/>
      <c r="AP40" s="124"/>
      <c r="AQ40" s="124"/>
      <c r="AR40" s="124"/>
      <c r="AS40" s="124"/>
      <c r="AT40" s="124"/>
      <c r="AU40" s="124"/>
      <c r="AV40" s="124"/>
      <c r="AW40" s="124"/>
      <c r="AX40" s="124"/>
      <c r="AY40" s="124"/>
      <c r="AZ40" s="124"/>
      <c r="BA40" s="124"/>
      <c r="BB40" s="136"/>
    </row>
    <row r="41" customFormat="false" ht="15.6" hidden="false" customHeight="false" outlineLevel="0" collapsed="false">
      <c r="A41" s="111" t="n">
        <f aca="false">IF(ISBLANK(VLOOKUP(D41,#REF!,3)),0,1)</f>
        <v>1</v>
      </c>
      <c r="B41" s="112" t="n">
        <f aca="false">IF(ISBLANK(D41),0,IF(ISBLANK(E41),0,IF(ISBLANK(F41),0,1)))</f>
        <v>0</v>
      </c>
      <c r="C41" s="128" t="n">
        <v>7</v>
      </c>
      <c r="D41" s="129"/>
      <c r="E41" s="129"/>
      <c r="F41" s="137"/>
      <c r="G41" s="117"/>
      <c r="H41" s="131" t="n">
        <v>60</v>
      </c>
      <c r="I41" s="119"/>
      <c r="J41" s="132"/>
      <c r="K41" s="133"/>
      <c r="L41" s="133"/>
      <c r="M41" s="133"/>
      <c r="N41" s="134"/>
      <c r="O41" s="133"/>
      <c r="P41" s="157"/>
      <c r="Q41" s="132"/>
      <c r="R41" s="132"/>
      <c r="S41" s="177"/>
      <c r="T41" s="32" t="n">
        <v>0.07</v>
      </c>
      <c r="U41" s="32" t="n">
        <v>0.07</v>
      </c>
      <c r="V41" s="32"/>
      <c r="W41" s="32"/>
      <c r="X41" s="125" t="n">
        <v>20.2</v>
      </c>
      <c r="Y41" s="125" t="n">
        <v>19.8</v>
      </c>
      <c r="Z41" s="32" t="n">
        <v>1.29</v>
      </c>
      <c r="AA41" s="32" t="n">
        <v>1.26</v>
      </c>
      <c r="AB41" s="125" t="n">
        <v>6.2</v>
      </c>
      <c r="AC41" s="125" t="n">
        <v>6</v>
      </c>
      <c r="AD41" s="124"/>
      <c r="AE41" s="124"/>
      <c r="AF41" s="124"/>
      <c r="AG41" s="124"/>
      <c r="AH41" s="124"/>
      <c r="AI41" s="124"/>
      <c r="AJ41" s="124"/>
      <c r="AK41" s="124"/>
      <c r="AL41" s="124"/>
      <c r="AM41" s="124"/>
      <c r="AN41" s="124"/>
      <c r="AO41" s="124"/>
      <c r="AP41" s="124"/>
      <c r="AQ41" s="124"/>
      <c r="AR41" s="124"/>
      <c r="AS41" s="124"/>
      <c r="AT41" s="124"/>
      <c r="AU41" s="124"/>
      <c r="AV41" s="124"/>
      <c r="AW41" s="124"/>
      <c r="AX41" s="124"/>
      <c r="AY41" s="124"/>
      <c r="AZ41" s="124"/>
      <c r="BA41" s="124"/>
      <c r="BB41" s="136"/>
    </row>
    <row r="42" customFormat="false" ht="15.6" hidden="false" customHeight="false" outlineLevel="0" collapsed="false">
      <c r="A42" s="111" t="n">
        <f aca="false">IF(ISBLANK(VLOOKUP(D42,#REF!,3)),0,1)</f>
        <v>1</v>
      </c>
      <c r="B42" s="112" t="n">
        <f aca="false">IF(ISBLANK(D42),0,IF(ISBLANK(E42),0,IF(ISBLANK(F42),0,1)))</f>
        <v>0</v>
      </c>
      <c r="C42" s="128" t="n">
        <v>8</v>
      </c>
      <c r="D42" s="129"/>
      <c r="E42" s="129"/>
      <c r="F42" s="137"/>
      <c r="G42" s="117"/>
      <c r="H42" s="131" t="n">
        <v>40</v>
      </c>
      <c r="I42" s="119"/>
      <c r="J42" s="132"/>
      <c r="K42" s="133"/>
      <c r="L42" s="133"/>
      <c r="M42" s="133"/>
      <c r="N42" s="134"/>
      <c r="O42" s="133"/>
      <c r="P42" s="157"/>
      <c r="Q42" s="132"/>
      <c r="R42" s="132"/>
      <c r="S42" s="177"/>
      <c r="T42" s="32" t="n">
        <v>0.25</v>
      </c>
      <c r="U42" s="32" t="n">
        <v>0.24</v>
      </c>
      <c r="V42" s="32"/>
      <c r="W42" s="32"/>
      <c r="X42" s="125" t="n">
        <v>4.9</v>
      </c>
      <c r="Y42" s="125" t="n">
        <v>4.8</v>
      </c>
      <c r="Z42" s="32" t="n">
        <v>0.48</v>
      </c>
      <c r="AA42" s="32" t="n">
        <v>0.47</v>
      </c>
      <c r="AB42" s="125" t="n">
        <v>2.6</v>
      </c>
      <c r="AC42" s="125" t="n">
        <v>2.6</v>
      </c>
      <c r="AD42" s="124"/>
      <c r="AE42" s="124"/>
      <c r="AF42" s="124"/>
      <c r="AG42" s="124"/>
      <c r="AH42" s="124"/>
      <c r="AI42" s="124"/>
      <c r="AJ42" s="124"/>
      <c r="AK42" s="124"/>
      <c r="AL42" s="124"/>
      <c r="AM42" s="124"/>
      <c r="AN42" s="124"/>
      <c r="AO42" s="124"/>
      <c r="AP42" s="124"/>
      <c r="AQ42" s="124"/>
      <c r="AR42" s="124"/>
      <c r="AS42" s="124"/>
      <c r="AT42" s="124"/>
      <c r="AU42" s="124"/>
      <c r="AV42" s="124"/>
      <c r="AW42" s="124"/>
      <c r="AX42" s="124"/>
      <c r="AY42" s="124"/>
      <c r="AZ42" s="124"/>
      <c r="BA42" s="124"/>
      <c r="BB42" s="136"/>
    </row>
    <row r="43" customFormat="false" ht="15.6" hidden="false" customHeight="false" outlineLevel="0" collapsed="false">
      <c r="A43" s="111" t="n">
        <f aca="false">IF(ISBLANK(VLOOKUP(D43,#REF!,3)),0,1)</f>
        <v>1</v>
      </c>
      <c r="B43" s="112" t="n">
        <f aca="false">IF(ISBLANK(D43),0,IF(ISBLANK(E43),0,IF(ISBLANK(F43),0,1)))</f>
        <v>0</v>
      </c>
      <c r="C43" s="128" t="n">
        <v>9</v>
      </c>
      <c r="D43" s="129"/>
      <c r="E43" s="129"/>
      <c r="F43" s="137"/>
      <c r="G43" s="117"/>
      <c r="H43" s="131" t="n">
        <v>20</v>
      </c>
      <c r="I43" s="119"/>
      <c r="J43" s="132"/>
      <c r="K43" s="133"/>
      <c r="L43" s="133"/>
      <c r="M43" s="133"/>
      <c r="N43" s="134"/>
      <c r="O43" s="133"/>
      <c r="P43" s="157"/>
      <c r="Q43" s="132"/>
      <c r="R43" s="132"/>
      <c r="S43" s="177"/>
      <c r="T43" s="32" t="n">
        <v>0.04</v>
      </c>
      <c r="U43" s="32" t="n">
        <v>0.03</v>
      </c>
      <c r="V43" s="32"/>
      <c r="W43" s="32"/>
      <c r="X43" s="125" t="n">
        <v>0.1</v>
      </c>
      <c r="Y43" s="125" t="n">
        <v>0.1</v>
      </c>
      <c r="Z43" s="32" t="n">
        <v>0.13</v>
      </c>
      <c r="AA43" s="32" t="n">
        <v>0.13</v>
      </c>
      <c r="AB43" s="125" t="n">
        <v>1.5</v>
      </c>
      <c r="AC43" s="125" t="n">
        <v>1.4</v>
      </c>
      <c r="AD43" s="124"/>
      <c r="AE43" s="124"/>
      <c r="AF43" s="124"/>
      <c r="AG43" s="124"/>
      <c r="AH43" s="124"/>
      <c r="AI43" s="124"/>
      <c r="AJ43" s="124"/>
      <c r="AK43" s="124"/>
      <c r="AL43" s="124"/>
      <c r="AM43" s="124"/>
      <c r="AN43" s="124"/>
      <c r="AO43" s="124"/>
      <c r="AP43" s="124"/>
      <c r="AQ43" s="124"/>
      <c r="AR43" s="124"/>
      <c r="AS43" s="124"/>
      <c r="AT43" s="124"/>
      <c r="AU43" s="124"/>
      <c r="AV43" s="124"/>
      <c r="AW43" s="124"/>
      <c r="AX43" s="124"/>
      <c r="AY43" s="124"/>
      <c r="AZ43" s="124"/>
      <c r="BA43" s="124"/>
      <c r="BB43" s="136"/>
    </row>
    <row r="44" customFormat="false" ht="15.6" hidden="false" customHeight="false" outlineLevel="0" collapsed="false">
      <c r="A44" s="111" t="n">
        <f aca="false">IF(ISBLANK(VLOOKUP(D44,#REF!,3)),0,1)</f>
        <v>1</v>
      </c>
      <c r="B44" s="112" t="n">
        <f aca="false">IF(ISBLANK(D44),0,IF(ISBLANK(E44),0,IF(ISBLANK(F44),0,1)))</f>
        <v>0</v>
      </c>
      <c r="C44" s="128" t="n">
        <v>10</v>
      </c>
      <c r="D44" s="129"/>
      <c r="E44" s="129"/>
      <c r="F44" s="137"/>
      <c r="G44" s="117"/>
      <c r="H44" s="131" t="n">
        <v>10</v>
      </c>
      <c r="I44" s="119"/>
      <c r="J44" s="132"/>
      <c r="K44" s="133"/>
      <c r="L44" s="133"/>
      <c r="M44" s="133"/>
      <c r="N44" s="134"/>
      <c r="O44" s="133"/>
      <c r="P44" s="157"/>
      <c r="Q44" s="132"/>
      <c r="R44" s="132"/>
      <c r="S44" s="177"/>
      <c r="T44" s="32" t="n">
        <v>0.03</v>
      </c>
      <c r="U44" s="32" t="n">
        <v>0.02</v>
      </c>
      <c r="V44" s="32"/>
      <c r="W44" s="32"/>
      <c r="X44" s="125" t="n">
        <v>0</v>
      </c>
      <c r="Y44" s="125" t="n">
        <v>0</v>
      </c>
      <c r="Z44" s="32" t="n">
        <v>0.14</v>
      </c>
      <c r="AA44" s="32" t="n">
        <v>0.14</v>
      </c>
      <c r="AB44" s="125" t="n">
        <v>1.6</v>
      </c>
      <c r="AC44" s="125" t="n">
        <v>1.6</v>
      </c>
      <c r="AD44" s="124"/>
      <c r="AE44" s="124"/>
      <c r="AF44" s="124"/>
      <c r="AG44" s="124"/>
      <c r="AH44" s="124"/>
      <c r="AI44" s="124"/>
      <c r="AJ44" s="124"/>
      <c r="AK44" s="124"/>
      <c r="AL44" s="124"/>
      <c r="AM44" s="124"/>
      <c r="AN44" s="124"/>
      <c r="AO44" s="124"/>
      <c r="AP44" s="124"/>
      <c r="AQ44" s="124"/>
      <c r="AR44" s="124"/>
      <c r="AS44" s="124"/>
      <c r="AT44" s="124"/>
      <c r="AU44" s="124"/>
      <c r="AV44" s="124"/>
      <c r="AW44" s="124"/>
      <c r="AX44" s="124"/>
      <c r="AY44" s="124"/>
      <c r="AZ44" s="124"/>
      <c r="BA44" s="124"/>
      <c r="BB44" s="136"/>
    </row>
    <row r="45" customFormat="false" ht="15.6" hidden="false" customHeight="false" outlineLevel="0" collapsed="false">
      <c r="A45" s="111" t="n">
        <f aca="false">IF(ISBLANK(VLOOKUP(D45,#REF!,3)),0,1)</f>
        <v>1</v>
      </c>
      <c r="B45" s="112" t="n">
        <f aca="false">IF(ISBLANK(D45),0,IF(ISBLANK(E45),0,IF(ISBLANK(F45),0,1)))</f>
        <v>0</v>
      </c>
      <c r="C45" s="128" t="n">
        <v>11</v>
      </c>
      <c r="D45" s="129"/>
      <c r="E45" s="129"/>
      <c r="F45" s="137"/>
      <c r="G45" s="117" t="n">
        <v>35.7325</v>
      </c>
      <c r="H45" s="131" t="n">
        <v>0</v>
      </c>
      <c r="I45" s="119" t="n">
        <v>2.3</v>
      </c>
      <c r="J45" s="132"/>
      <c r="K45" s="133"/>
      <c r="L45" s="133"/>
      <c r="M45" s="133"/>
      <c r="N45" s="134"/>
      <c r="O45" s="133"/>
      <c r="P45" s="157" t="n">
        <v>4.719</v>
      </c>
      <c r="Q45" s="132"/>
      <c r="R45" s="132"/>
      <c r="S45" s="177" t="n">
        <v>205.8</v>
      </c>
      <c r="T45" s="32" t="n">
        <v>0.02</v>
      </c>
      <c r="U45" s="32" t="n">
        <v>0.02</v>
      </c>
      <c r="V45" s="32"/>
      <c r="W45" s="32"/>
      <c r="X45" s="125" t="n">
        <v>0</v>
      </c>
      <c r="Y45" s="125" t="n">
        <v>0</v>
      </c>
      <c r="Z45" s="32" t="n">
        <v>0.14</v>
      </c>
      <c r="AA45" s="32" t="n">
        <v>0.14</v>
      </c>
      <c r="AB45" s="125" t="n">
        <v>1.5</v>
      </c>
      <c r="AC45" s="125" t="n">
        <v>1.4</v>
      </c>
      <c r="AD45" s="124"/>
      <c r="AE45" s="124"/>
      <c r="AF45" s="124"/>
      <c r="AG45" s="124"/>
      <c r="AH45" s="124"/>
      <c r="AI45" s="124"/>
      <c r="AJ45" s="124"/>
      <c r="AK45" s="124"/>
      <c r="AL45" s="124"/>
      <c r="AM45" s="124"/>
      <c r="AN45" s="124"/>
      <c r="AO45" s="124"/>
      <c r="AP45" s="124"/>
      <c r="AQ45" s="124"/>
      <c r="AR45" s="124"/>
      <c r="AS45" s="124"/>
      <c r="AT45" s="124"/>
      <c r="AU45" s="124"/>
      <c r="AV45" s="124"/>
      <c r="AW45" s="124"/>
      <c r="AX45" s="124"/>
      <c r="AY45" s="124"/>
      <c r="AZ45" s="124"/>
      <c r="BA45" s="124"/>
      <c r="BB45" s="136"/>
    </row>
    <row r="46" customFormat="false" ht="15.6" hidden="false" customHeight="false" outlineLevel="0" collapsed="false">
      <c r="A46" s="111" t="n">
        <f aca="false">IF(ISBLANK(VLOOKUP(D46,#REF!,3)),0,1)</f>
        <v>1</v>
      </c>
      <c r="B46" s="112" t="n">
        <f aca="false">IF(ISBLANK(D46),0,IF(ISBLANK(E46),0,IF(ISBLANK(F46),0,1)))</f>
        <v>0</v>
      </c>
      <c r="C46" s="128" t="n">
        <v>12</v>
      </c>
      <c r="D46" s="142"/>
      <c r="E46" s="142"/>
      <c r="F46" s="143"/>
      <c r="G46" s="144"/>
      <c r="H46" s="142"/>
      <c r="I46" s="145"/>
      <c r="J46" s="132" t="str">
        <f aca="false">IF(ISBLANK(D46),"",IF(VLOOKUP(D46,#REF!,2)=0,"",IF(D46&gt;#REF!,"Mauvais numéro",IF(D46&lt;#REF!,"Mauvais numéro",(VLOOKUP(D46,#REF!,3))))))</f>
        <v/>
      </c>
      <c r="K46" s="146" t="str">
        <f aca="false">IF(ISBLANK(E46),"",(0.000824493-(0.0000040899*E46)+(0.000000076438*E46^2)-(0.00000000082467*E46^3)+(0.0000000000053875*E46^4)))</f>
        <v/>
      </c>
      <c r="L46" s="146" t="str">
        <f aca="false">IF(ISBLANK(E46),"",(-0.00000572466+(0.00000010227*E46)-(0.0000000016546*E46^2)))</f>
        <v/>
      </c>
      <c r="M46" s="146" t="str">
        <f aca="false">IF(ISBLANK(E46),"",IF(ISBLANK(G46),(O46+(K46*35)+(L46*35^1.5)+(0.00000048314*35^2)),(O46+(K46*G46)+(L46*G46^1.5)+(0.00000048314*G46^2))))</f>
        <v/>
      </c>
      <c r="N46" s="147" t="str">
        <f aca="false">IF(ISBLANK(D46),"",IF(ISBLANK(G46),J46*(1+0.00001*(35-20)),J46*(1+0.00001*(G46-20))))</f>
        <v/>
      </c>
      <c r="O46" s="146" t="str">
        <f aca="false">IF(ISBLANK(E46),"",(0.999842594+(0.00006793952*E46)-(0.00000909529*E46^2)+(0.0000001001685*E46^3)-(0.000000001120083*E46^4)+(0.000000000006536332*E46^5)))</f>
        <v/>
      </c>
      <c r="P46" s="148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49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0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0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24"/>
      <c r="U46" s="124"/>
      <c r="V46" s="124"/>
      <c r="W46" s="124"/>
      <c r="X46" s="124"/>
      <c r="Y46" s="124"/>
      <c r="Z46" s="124"/>
      <c r="AA46" s="124"/>
      <c r="AB46" s="124"/>
      <c r="AC46" s="124"/>
      <c r="AD46" s="124"/>
      <c r="AE46" s="124"/>
      <c r="AF46" s="124"/>
      <c r="AG46" s="124"/>
      <c r="AH46" s="124"/>
      <c r="AI46" s="124"/>
      <c r="AJ46" s="124"/>
      <c r="AK46" s="124"/>
      <c r="AL46" s="124"/>
      <c r="AM46" s="124"/>
      <c r="AN46" s="124"/>
      <c r="AO46" s="124"/>
      <c r="AP46" s="124"/>
      <c r="AQ46" s="124"/>
      <c r="AR46" s="124"/>
      <c r="AS46" s="124"/>
      <c r="AT46" s="124"/>
      <c r="AU46" s="124"/>
      <c r="AV46" s="124"/>
      <c r="AW46" s="124"/>
      <c r="AX46" s="124"/>
      <c r="AY46" s="124"/>
      <c r="AZ46" s="124"/>
      <c r="BA46" s="124"/>
      <c r="BB46" s="136"/>
    </row>
    <row r="47" customFormat="false" ht="15.6" hidden="false" customHeight="false" outlineLevel="0" collapsed="false">
      <c r="A47" s="111" t="n">
        <f aca="false">IF(ISBLANK(VLOOKUP(D47,#REF!,3)),0,1)</f>
        <v>1</v>
      </c>
      <c r="B47" s="112" t="n">
        <f aca="false">IF(ISBLANK(D47),0,IF(ISBLANK(E47),0,IF(ISBLANK(F47),0,1)))</f>
        <v>0</v>
      </c>
      <c r="C47" s="128" t="n">
        <v>13</v>
      </c>
      <c r="D47" s="151"/>
      <c r="E47" s="151"/>
      <c r="F47" s="152"/>
      <c r="G47" s="153"/>
      <c r="H47" s="151"/>
      <c r="I47" s="151"/>
      <c r="J47" s="132" t="str">
        <f aca="false">IF(ISBLANK(D47),"",IF(VLOOKUP(D47,#REF!,2)=0,"",IF(D47&gt;#REF!,"Mauvais numéro",IF(D47&lt;#REF!,"Mauvais numéro",(VLOOKUP(D47,#REF!,3))))))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54"/>
      <c r="Q47" s="149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5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4"/>
      <c r="T47" s="124"/>
      <c r="U47" s="124"/>
      <c r="V47" s="124"/>
      <c r="W47" s="124"/>
      <c r="X47" s="12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24"/>
      <c r="AJ47" s="124"/>
      <c r="AK47" s="124"/>
      <c r="AL47" s="124"/>
      <c r="AM47" s="124"/>
      <c r="AN47" s="124"/>
      <c r="AO47" s="124"/>
      <c r="AP47" s="124"/>
      <c r="AQ47" s="124"/>
      <c r="AR47" s="124"/>
      <c r="AS47" s="124"/>
      <c r="AT47" s="124"/>
      <c r="AU47" s="124"/>
      <c r="AV47" s="124"/>
      <c r="AW47" s="124"/>
      <c r="AX47" s="124"/>
      <c r="AY47" s="124"/>
      <c r="AZ47" s="124"/>
      <c r="BA47" s="124"/>
      <c r="BB47" s="136"/>
    </row>
    <row r="48" customFormat="false" ht="15.6" hidden="false" customHeight="false" outlineLevel="0" collapsed="false">
      <c r="A48" s="111" t="n">
        <f aca="false">IF(ISBLANK(VLOOKUP(D48,#REF!,3)),0,1)</f>
        <v>1</v>
      </c>
      <c r="B48" s="112" t="n">
        <f aca="false">IF(ISBLANK(D48),0,IF(ISBLANK(E48),0,IF(ISBLANK(F48),0,1)))</f>
        <v>0</v>
      </c>
      <c r="C48" s="128" t="n">
        <v>14</v>
      </c>
      <c r="D48" s="151"/>
      <c r="E48" s="151"/>
      <c r="F48" s="152"/>
      <c r="G48" s="153"/>
      <c r="H48" s="151"/>
      <c r="I48" s="151"/>
      <c r="J48" s="132" t="str">
        <f aca="false">IF(ISBLANK(D48),"",IF(VLOOKUP(D48,#REF!,2)=0,"",IF(D48&gt;#REF!,"Mauvais numéro",IF(D48&lt;#REF!,"Mauvais numéro",(VLOOKUP(D48,#REF!,3))))))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54"/>
      <c r="Q48" s="149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5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4"/>
      <c r="T48" s="124"/>
      <c r="U48" s="124"/>
      <c r="V48" s="124"/>
      <c r="W48" s="124"/>
      <c r="X48" s="124"/>
      <c r="Y48" s="124"/>
      <c r="Z48" s="124"/>
      <c r="AA48" s="124"/>
      <c r="AB48" s="124"/>
      <c r="AC48" s="124"/>
      <c r="AD48" s="124"/>
      <c r="AE48" s="124"/>
      <c r="AF48" s="124"/>
      <c r="AG48" s="124"/>
      <c r="AH48" s="124"/>
      <c r="AI48" s="124"/>
      <c r="AJ48" s="124"/>
      <c r="AK48" s="124"/>
      <c r="AL48" s="124"/>
      <c r="AM48" s="124"/>
      <c r="AN48" s="124"/>
      <c r="AO48" s="124"/>
      <c r="AP48" s="124"/>
      <c r="AQ48" s="124"/>
      <c r="AR48" s="124"/>
      <c r="AS48" s="124"/>
      <c r="AT48" s="124"/>
      <c r="AU48" s="124"/>
      <c r="AV48" s="124"/>
      <c r="AW48" s="124"/>
      <c r="AX48" s="124"/>
      <c r="AY48" s="124"/>
      <c r="AZ48" s="124"/>
      <c r="BA48" s="124"/>
      <c r="BB48" s="136"/>
    </row>
    <row r="49" customFormat="false" ht="15.6" hidden="false" customHeight="false" outlineLevel="0" collapsed="false">
      <c r="A49" s="111" t="n">
        <f aca="false">IF(ISBLANK(VLOOKUP(D49,#REF!,3)),0,1)</f>
        <v>1</v>
      </c>
      <c r="B49" s="112" t="n">
        <f aca="false">IF(ISBLANK(D49),0,IF(ISBLANK(E49),0,IF(ISBLANK(F49),0,1)))</f>
        <v>0</v>
      </c>
      <c r="C49" s="128" t="n">
        <v>15</v>
      </c>
      <c r="D49" s="151"/>
      <c r="E49" s="151"/>
      <c r="F49" s="152"/>
      <c r="G49" s="156"/>
      <c r="H49" s="151"/>
      <c r="I49" s="151"/>
      <c r="J49" s="132" t="str">
        <f aca="false">IF(ISBLANK(D49),"",IF(VLOOKUP(D49,#REF!,2)=0,"",IF(D49&gt;#REF!,"Mauvais numéro",IF(D49&lt;#REF!,"Mauvais numéro",(VLOOKUP(D49,#REF!,3))))))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57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49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24"/>
      <c r="AE49" s="124"/>
      <c r="AF49" s="124"/>
      <c r="AG49" s="124"/>
      <c r="AH49" s="124"/>
      <c r="AI49" s="124"/>
      <c r="AJ49" s="124"/>
      <c r="AK49" s="124"/>
      <c r="AL49" s="124"/>
      <c r="AM49" s="124"/>
      <c r="AN49" s="124"/>
      <c r="AO49" s="124"/>
      <c r="AP49" s="124"/>
      <c r="AQ49" s="124"/>
      <c r="AR49" s="124"/>
      <c r="AS49" s="124"/>
      <c r="AT49" s="124"/>
      <c r="AU49" s="124"/>
      <c r="AV49" s="124"/>
      <c r="AW49" s="124"/>
      <c r="AX49" s="124"/>
      <c r="AY49" s="124"/>
      <c r="AZ49" s="124"/>
      <c r="BA49" s="124"/>
      <c r="BB49" s="136"/>
    </row>
    <row r="50" customFormat="false" ht="15.6" hidden="false" customHeight="false" outlineLevel="0" collapsed="false">
      <c r="A50" s="111" t="n">
        <f aca="false">IF(ISBLANK(VLOOKUP(D50,#REF!,3)),0,1)</f>
        <v>1</v>
      </c>
      <c r="B50" s="112" t="n">
        <f aca="false">IF(ISBLANK(D50),0,IF(ISBLANK(E50),0,IF(ISBLANK(F50),0,1)))</f>
        <v>0</v>
      </c>
      <c r="C50" s="128" t="n">
        <v>16</v>
      </c>
      <c r="D50" s="151"/>
      <c r="E50" s="151"/>
      <c r="F50" s="152"/>
      <c r="G50" s="156"/>
      <c r="H50" s="151"/>
      <c r="I50" s="151"/>
      <c r="J50" s="132" t="str">
        <f aca="false">IF(ISBLANK(D50),"",IF(VLOOKUP(D50,#REF!,2)=0,"",IF(D50&gt;#REF!,"Mauvais numéro",IF(D50&lt;#REF!,"Mauvais numéro",(VLOOKUP(D50,#REF!,3))))))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57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49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24"/>
      <c r="U50" s="124"/>
      <c r="V50" s="124"/>
      <c r="W50" s="124"/>
      <c r="X50" s="124"/>
      <c r="Y50" s="124"/>
      <c r="Z50" s="124"/>
      <c r="AA50" s="124"/>
      <c r="AB50" s="124"/>
      <c r="AC50" s="124"/>
      <c r="AD50" s="124"/>
      <c r="AE50" s="124"/>
      <c r="AF50" s="124"/>
      <c r="AG50" s="124"/>
      <c r="AH50" s="124"/>
      <c r="AI50" s="124"/>
      <c r="AJ50" s="124"/>
      <c r="AK50" s="124"/>
      <c r="AL50" s="124"/>
      <c r="AM50" s="124"/>
      <c r="AN50" s="124"/>
      <c r="AO50" s="124"/>
      <c r="AP50" s="124"/>
      <c r="AQ50" s="124"/>
      <c r="AR50" s="124"/>
      <c r="AS50" s="124"/>
      <c r="AT50" s="124"/>
      <c r="AU50" s="124"/>
      <c r="AV50" s="124"/>
      <c r="AW50" s="124"/>
      <c r="AX50" s="124"/>
      <c r="AY50" s="124"/>
      <c r="AZ50" s="124"/>
      <c r="BA50" s="124"/>
      <c r="BB50" s="136"/>
    </row>
    <row r="51" customFormat="false" ht="15.6" hidden="false" customHeight="false" outlineLevel="0" collapsed="false">
      <c r="A51" s="111" t="n">
        <f aca="false">IF(ISBLANK(VLOOKUP(D51,#REF!,3)),0,1)</f>
        <v>1</v>
      </c>
      <c r="B51" s="112" t="n">
        <f aca="false">IF(ISBLANK(D51),0,IF(ISBLANK(E51),0,IF(ISBLANK(F51),0,1)))</f>
        <v>0</v>
      </c>
      <c r="C51" s="128" t="n">
        <v>17</v>
      </c>
      <c r="D51" s="151"/>
      <c r="E51" s="151"/>
      <c r="F51" s="152"/>
      <c r="G51" s="156"/>
      <c r="H51" s="151"/>
      <c r="I51" s="151"/>
      <c r="J51" s="132" t="str">
        <f aca="false">IF(ISBLANK(D51),"",IF(VLOOKUP(D51,#REF!,2)=0,"",IF(D51&gt;#REF!,"Mauvais numéro",IF(D51&lt;#REF!,"Mauvais numéro",(VLOOKUP(D51,#REF!,3))))))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57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49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24"/>
      <c r="AE51" s="124"/>
      <c r="AF51" s="124"/>
      <c r="AG51" s="124"/>
      <c r="AH51" s="124"/>
      <c r="AI51" s="124"/>
      <c r="AJ51" s="124"/>
      <c r="AK51" s="124"/>
      <c r="AL51" s="124"/>
      <c r="AM51" s="124"/>
      <c r="AN51" s="124"/>
      <c r="AO51" s="124"/>
      <c r="AP51" s="124"/>
      <c r="AQ51" s="124"/>
      <c r="AR51" s="124"/>
      <c r="AS51" s="124"/>
      <c r="AT51" s="124"/>
      <c r="AU51" s="124"/>
      <c r="AV51" s="124"/>
      <c r="AW51" s="124"/>
      <c r="AX51" s="124"/>
      <c r="AY51" s="124"/>
      <c r="AZ51" s="124"/>
      <c r="BA51" s="124"/>
      <c r="BB51" s="136"/>
    </row>
    <row r="52" customFormat="false" ht="15.6" hidden="false" customHeight="false" outlineLevel="0" collapsed="false">
      <c r="A52" s="111" t="n">
        <f aca="false">IF(ISBLANK(VLOOKUP(D52,#REF!,3)),0,1)</f>
        <v>1</v>
      </c>
      <c r="B52" s="112" t="n">
        <f aca="false">IF(ISBLANK(D52),0,IF(ISBLANK(E52),0,IF(ISBLANK(F52),0,1)))</f>
        <v>0</v>
      </c>
      <c r="C52" s="128" t="n">
        <v>18</v>
      </c>
      <c r="D52" s="151"/>
      <c r="E52" s="151"/>
      <c r="F52" s="152"/>
      <c r="G52" s="156"/>
      <c r="H52" s="151"/>
      <c r="I52" s="151"/>
      <c r="J52" s="132" t="str">
        <f aca="false">IF(ISBLANK(D52),"",IF(VLOOKUP(D52,#REF!,2)=0,"",IF(D52&gt;#REF!,"Mauvais numéro",IF(D52&lt;#REF!,"Mauvais numéro",(VLOOKUP(D52,#REF!,3))))))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57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49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24"/>
      <c r="U52" s="124"/>
      <c r="V52" s="124"/>
      <c r="W52" s="124"/>
      <c r="X52" s="124"/>
      <c r="Y52" s="124"/>
      <c r="Z52" s="124"/>
      <c r="AA52" s="124"/>
      <c r="AB52" s="124"/>
      <c r="AC52" s="124"/>
      <c r="AD52" s="124"/>
      <c r="AE52" s="124"/>
      <c r="AF52" s="124"/>
      <c r="AG52" s="124"/>
      <c r="AH52" s="124"/>
      <c r="AI52" s="124"/>
      <c r="AJ52" s="124"/>
      <c r="AK52" s="124"/>
      <c r="AL52" s="124"/>
      <c r="AM52" s="124"/>
      <c r="AN52" s="124"/>
      <c r="AO52" s="124"/>
      <c r="AP52" s="124"/>
      <c r="AQ52" s="124"/>
      <c r="AR52" s="124"/>
      <c r="AS52" s="124"/>
      <c r="AT52" s="124"/>
      <c r="AU52" s="124"/>
      <c r="AV52" s="124"/>
      <c r="AW52" s="124"/>
      <c r="AX52" s="124"/>
      <c r="AY52" s="124"/>
      <c r="AZ52" s="124"/>
      <c r="BA52" s="124"/>
      <c r="BB52" s="136"/>
    </row>
    <row r="53" customFormat="false" ht="15.6" hidden="false" customHeight="false" outlineLevel="0" collapsed="false">
      <c r="A53" s="111" t="n">
        <f aca="false">IF(ISBLANK(VLOOKUP(D53,#REF!,3)),0,1)</f>
        <v>1</v>
      </c>
      <c r="B53" s="112" t="n">
        <f aca="false">IF(ISBLANK(D53),0,IF(ISBLANK(E53),0,IF(ISBLANK(F53),0,1)))</f>
        <v>0</v>
      </c>
      <c r="C53" s="128" t="n">
        <v>19</v>
      </c>
      <c r="D53" s="151"/>
      <c r="E53" s="151"/>
      <c r="F53" s="152"/>
      <c r="G53" s="156"/>
      <c r="H53" s="151"/>
      <c r="I53" s="151"/>
      <c r="J53" s="132" t="str">
        <f aca="false">IF(ISBLANK(D53),"",IF(VLOOKUP(D53,#REF!,2)=0,"",IF(D53&gt;#REF!,"Mauvais numéro",IF(D53&lt;#REF!,"Mauvais numéro",(VLOOKUP(D53,#REF!,3))))))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57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49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24"/>
      <c r="U53" s="124"/>
      <c r="V53" s="124"/>
      <c r="W53" s="124"/>
      <c r="X53" s="12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24"/>
      <c r="AJ53" s="124"/>
      <c r="AK53" s="124"/>
      <c r="AL53" s="124"/>
      <c r="AM53" s="124"/>
      <c r="AN53" s="124"/>
      <c r="AO53" s="124"/>
      <c r="AP53" s="124"/>
      <c r="AQ53" s="124"/>
      <c r="AR53" s="124"/>
      <c r="AS53" s="124"/>
      <c r="AT53" s="124"/>
      <c r="AU53" s="124"/>
      <c r="AV53" s="124"/>
      <c r="AW53" s="124"/>
      <c r="AX53" s="124"/>
      <c r="AY53" s="124"/>
      <c r="AZ53" s="124"/>
      <c r="BA53" s="124"/>
      <c r="BB53" s="136"/>
    </row>
    <row r="54" customFormat="false" ht="15.6" hidden="false" customHeight="false" outlineLevel="0" collapsed="false">
      <c r="A54" s="111" t="n">
        <f aca="false">IF(ISBLANK(VLOOKUP(D54,#REF!,3)),0,1)</f>
        <v>1</v>
      </c>
      <c r="B54" s="112" t="n">
        <f aca="false">IF(ISBLANK(D54),0,IF(ISBLANK(E54),0,IF(ISBLANK(F54),0,1)))</f>
        <v>0</v>
      </c>
      <c r="C54" s="128" t="n">
        <v>20</v>
      </c>
      <c r="D54" s="151"/>
      <c r="E54" s="151"/>
      <c r="F54" s="152"/>
      <c r="G54" s="156"/>
      <c r="H54" s="151"/>
      <c r="I54" s="151"/>
      <c r="J54" s="132" t="str">
        <f aca="false">IF(ISBLANK(D54),"",IF(VLOOKUP(D54,#REF!,2)=0,"",IF(D54&gt;#REF!,"Mauvais numéro",IF(D54&lt;#REF!,"Mauvais numéro",(VLOOKUP(D54,#REF!,3))))))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57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49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4"/>
      <c r="U54" s="124"/>
      <c r="V54" s="124"/>
      <c r="W54" s="124"/>
      <c r="X54" s="124"/>
      <c r="Y54" s="124"/>
      <c r="Z54" s="124"/>
      <c r="AA54" s="124"/>
      <c r="AB54" s="124"/>
      <c r="AC54" s="124"/>
      <c r="AD54" s="124"/>
      <c r="AE54" s="124"/>
      <c r="AF54" s="124"/>
      <c r="AG54" s="124"/>
      <c r="AH54" s="124"/>
      <c r="AI54" s="124"/>
      <c r="AJ54" s="124"/>
      <c r="AK54" s="124"/>
      <c r="AL54" s="124"/>
      <c r="AM54" s="124"/>
      <c r="AN54" s="124"/>
      <c r="AO54" s="124"/>
      <c r="AP54" s="124"/>
      <c r="AQ54" s="124"/>
      <c r="AR54" s="124"/>
      <c r="AS54" s="124"/>
      <c r="AT54" s="124"/>
      <c r="AU54" s="124"/>
      <c r="AV54" s="124"/>
      <c r="AW54" s="124"/>
      <c r="AX54" s="124"/>
      <c r="AY54" s="124"/>
      <c r="AZ54" s="124"/>
      <c r="BA54" s="124"/>
      <c r="BB54" s="136"/>
    </row>
    <row r="55" customFormat="false" ht="15.6" hidden="false" customHeight="false" outlineLevel="0" collapsed="false">
      <c r="A55" s="111" t="n">
        <f aca="false">IF(ISBLANK(VLOOKUP(D55,#REF!,3)),0,1)</f>
        <v>1</v>
      </c>
      <c r="B55" s="112" t="n">
        <f aca="false">IF(ISBLANK(D55),0,IF(ISBLANK(E55),0,IF(ISBLANK(F55),0,1)))</f>
        <v>0</v>
      </c>
      <c r="C55" s="128" t="n">
        <v>21</v>
      </c>
      <c r="D55" s="151"/>
      <c r="E55" s="151"/>
      <c r="F55" s="152"/>
      <c r="G55" s="156"/>
      <c r="H55" s="151"/>
      <c r="I55" s="151"/>
      <c r="J55" s="132" t="str">
        <f aca="false">IF(ISBLANK(D55),"",IF(VLOOKUP(D55,#REF!,2)=0,"",IF(D55&gt;#REF!,"Mauvais numéro",IF(D55&lt;#REF!,"Mauvais numéro",(VLOOKUP(D55,#REF!,3))))))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57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49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24"/>
      <c r="U55" s="124"/>
      <c r="V55" s="124"/>
      <c r="W55" s="124"/>
      <c r="X55" s="124"/>
      <c r="Y55" s="124"/>
      <c r="Z55" s="124"/>
      <c r="AA55" s="124"/>
      <c r="AB55" s="124"/>
      <c r="AC55" s="124"/>
      <c r="AD55" s="124"/>
      <c r="AE55" s="124"/>
      <c r="AF55" s="124"/>
      <c r="AG55" s="124"/>
      <c r="AH55" s="124"/>
      <c r="AI55" s="124"/>
      <c r="AJ55" s="124"/>
      <c r="AK55" s="124"/>
      <c r="AL55" s="124"/>
      <c r="AM55" s="124"/>
      <c r="AN55" s="124"/>
      <c r="AO55" s="124"/>
      <c r="AP55" s="124"/>
      <c r="AQ55" s="124"/>
      <c r="AR55" s="124"/>
      <c r="AS55" s="124"/>
      <c r="AT55" s="124"/>
      <c r="AU55" s="124"/>
      <c r="AV55" s="124"/>
      <c r="AW55" s="124"/>
      <c r="AX55" s="124"/>
      <c r="AY55" s="124"/>
      <c r="AZ55" s="124"/>
      <c r="BA55" s="124"/>
      <c r="BB55" s="136"/>
    </row>
    <row r="56" customFormat="false" ht="15.6" hidden="false" customHeight="false" outlineLevel="0" collapsed="false">
      <c r="A56" s="111" t="n">
        <f aca="false">IF(ISBLANK(VLOOKUP(D56,#REF!,3)),0,1)</f>
        <v>1</v>
      </c>
      <c r="B56" s="112" t="n">
        <f aca="false">IF(ISBLANK(D56),0,IF(ISBLANK(E56),0,IF(ISBLANK(F56),0,1)))</f>
        <v>0</v>
      </c>
      <c r="C56" s="128" t="n">
        <v>22</v>
      </c>
      <c r="D56" s="151"/>
      <c r="E56" s="151"/>
      <c r="F56" s="152"/>
      <c r="G56" s="156"/>
      <c r="H56" s="151"/>
      <c r="I56" s="151"/>
      <c r="J56" s="132" t="str">
        <f aca="false">IF(ISBLANK(D56),"",IF(VLOOKUP(D56,#REF!,2)=0,"",IF(D56&gt;#REF!,"Mauvais numéro",IF(D56&lt;#REF!,"Mauvais numéro",(VLOOKUP(D56,#REF!,3))))))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57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49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24"/>
      <c r="AE56" s="124"/>
      <c r="AF56" s="124"/>
      <c r="AG56" s="124"/>
      <c r="AH56" s="124"/>
      <c r="AI56" s="124"/>
      <c r="AJ56" s="124"/>
      <c r="AK56" s="124"/>
      <c r="AL56" s="124"/>
      <c r="AM56" s="124"/>
      <c r="AN56" s="124"/>
      <c r="AO56" s="124"/>
      <c r="AP56" s="124"/>
      <c r="AQ56" s="124"/>
      <c r="AR56" s="124"/>
      <c r="AS56" s="124"/>
      <c r="AT56" s="124"/>
      <c r="AU56" s="124"/>
      <c r="AV56" s="124"/>
      <c r="AW56" s="124"/>
      <c r="AX56" s="124"/>
      <c r="AY56" s="124"/>
      <c r="AZ56" s="124"/>
      <c r="BA56" s="124"/>
      <c r="BB56" s="136"/>
    </row>
    <row r="57" customFormat="false" ht="15.6" hidden="false" customHeight="false" outlineLevel="0" collapsed="false">
      <c r="A57" s="111" t="n">
        <f aca="false">IF(ISBLANK(VLOOKUP(D57,#REF!,3)),0,1)</f>
        <v>1</v>
      </c>
      <c r="B57" s="112" t="n">
        <f aca="false">IF(ISBLANK(D57),0,IF(ISBLANK(E57),0,IF(ISBLANK(F57),0,1)))</f>
        <v>0</v>
      </c>
      <c r="C57" s="128" t="n">
        <v>23</v>
      </c>
      <c r="D57" s="151"/>
      <c r="E57" s="151"/>
      <c r="F57" s="152"/>
      <c r="G57" s="156"/>
      <c r="H57" s="151"/>
      <c r="I57" s="151"/>
      <c r="J57" s="132" t="str">
        <f aca="false">IF(ISBLANK(D57),"",IF(VLOOKUP(D57,#REF!,2)=0,"",IF(D57&gt;#REF!,"Mauvais numéro",IF(D57&lt;#REF!,"Mauvais numéro",(VLOOKUP(D57,#REF!,3))))))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57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49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4"/>
      <c r="U57" s="124"/>
      <c r="V57" s="124"/>
      <c r="W57" s="124"/>
      <c r="X57" s="124"/>
      <c r="Y57" s="124"/>
      <c r="Z57" s="124"/>
      <c r="AA57" s="124"/>
      <c r="AB57" s="124"/>
      <c r="AC57" s="124"/>
      <c r="AD57" s="124"/>
      <c r="AE57" s="124"/>
      <c r="AF57" s="124"/>
      <c r="AG57" s="124"/>
      <c r="AH57" s="124"/>
      <c r="AI57" s="124"/>
      <c r="AJ57" s="124"/>
      <c r="AK57" s="124"/>
      <c r="AL57" s="124"/>
      <c r="AM57" s="124"/>
      <c r="AN57" s="124"/>
      <c r="AO57" s="124"/>
      <c r="AP57" s="124"/>
      <c r="AQ57" s="124"/>
      <c r="AR57" s="124"/>
      <c r="AS57" s="124"/>
      <c r="AT57" s="124"/>
      <c r="AU57" s="124"/>
      <c r="AV57" s="124"/>
      <c r="AW57" s="124"/>
      <c r="AX57" s="124"/>
      <c r="AY57" s="124"/>
      <c r="AZ57" s="124"/>
      <c r="BA57" s="124"/>
      <c r="BB57" s="136"/>
    </row>
    <row r="58" customFormat="false" ht="16.2" hidden="false" customHeight="false" outlineLevel="0" collapsed="false">
      <c r="A58" s="111" t="n">
        <f aca="false">IF(ISBLANK(VLOOKUP(D58,#REF!,3)),0,1)</f>
        <v>1</v>
      </c>
      <c r="B58" s="112" t="n">
        <f aca="false">IF(ISBLANK(D58),0,IF(ISBLANK(E58),0,IF(ISBLANK(F58),0,1)))</f>
        <v>0</v>
      </c>
      <c r="C58" s="158" t="n">
        <v>24</v>
      </c>
      <c r="D58" s="159"/>
      <c r="E58" s="159"/>
      <c r="F58" s="160"/>
      <c r="G58" s="161"/>
      <c r="H58" s="159"/>
      <c r="I58" s="159"/>
      <c r="J58" s="162" t="str">
        <f aca="false">IF(ISBLANK(D58),"",IF(VLOOKUP(D58,#REF!,2)=0,"",IF(D58&gt;#REF!,"Mauvais numéro",IF(D58&lt;#REF!,"Mauvais numéro",(VLOOKUP(D58,#REF!,3))))))</f>
        <v/>
      </c>
      <c r="K58" s="163" t="str">
        <f aca="false">IF(ISBLANK(E58),"",(0.000824493-(0.0000040899*E58)+(0.000000076438*E58^2)-(0.00000000082467*E58^3)+(0.0000000000053875*E58^4)))</f>
        <v/>
      </c>
      <c r="L58" s="163" t="str">
        <f aca="false">IF(ISBLANK(E58),"",(-0.00000572466+(0.00000010227*E58)-(0.0000000016546*E58^2)))</f>
        <v/>
      </c>
      <c r="M58" s="163" t="str">
        <f aca="false">IF(ISBLANK(E58),"",IF(ISBLANK(G58),(O58+(K58*35)+(L58*35^1.5)+(0.00000048314*35^2)),(O58+(K58*G58)+(L58*G58^1.5)+(0.00000048314*G58^2))))</f>
        <v/>
      </c>
      <c r="N58" s="164" t="str">
        <f aca="false">IF(ISBLANK(D58),"",IF(ISBLANK(G58),J58*(1+0.00001*(35-20)),J58*(1+0.00001*(G58-20))))</f>
        <v/>
      </c>
      <c r="O58" s="163" t="str">
        <f aca="false">IF(ISBLANK(E58),"",(0.999842594+(0.00006793952*E58)-(0.00000909529*E58^2)+(0.0000001001685*E58^3)-(0.000000001120083*E58^4)+(0.000000000006536332*E58^5)))</f>
        <v/>
      </c>
      <c r="P58" s="165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66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7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7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68"/>
      <c r="U58" s="168"/>
      <c r="V58" s="168"/>
      <c r="W58" s="168"/>
      <c r="X58" s="168"/>
      <c r="Y58" s="168"/>
      <c r="Z58" s="168"/>
      <c r="AA58" s="168"/>
      <c r="AB58" s="168"/>
      <c r="AC58" s="168"/>
      <c r="AD58" s="168"/>
      <c r="AE58" s="168"/>
      <c r="AF58" s="168"/>
      <c r="AG58" s="168"/>
      <c r="AH58" s="168"/>
      <c r="AI58" s="168"/>
      <c r="AJ58" s="168"/>
      <c r="AK58" s="168"/>
      <c r="AL58" s="168"/>
      <c r="AM58" s="168"/>
      <c r="AN58" s="168"/>
      <c r="AO58" s="168"/>
      <c r="AP58" s="168"/>
      <c r="AQ58" s="168"/>
      <c r="AR58" s="168"/>
      <c r="AS58" s="168"/>
      <c r="AT58" s="168"/>
      <c r="AU58" s="168"/>
      <c r="AV58" s="168"/>
      <c r="AW58" s="168"/>
      <c r="AX58" s="168"/>
      <c r="AY58" s="168"/>
      <c r="AZ58" s="168"/>
      <c r="BA58" s="168"/>
      <c r="BB58" s="169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P1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8178137651822"/>
    <col collapsed="false" hidden="false" max="32" min="32" style="0" width="9.10526315789474"/>
    <col collapsed="false" hidden="false" max="33" min="33" style="0" width="26.5668016194332"/>
    <col collapsed="false" hidden="false" max="34" min="34" style="0" width="12.8542510121458"/>
    <col collapsed="false" hidden="false" max="35" min="35" style="0" width="11.1417004048583"/>
    <col collapsed="false" hidden="false" max="36" min="36" style="0" width="14.5668016194332"/>
    <col collapsed="false" hidden="false" max="37" min="37" style="0" width="12.2105263157895"/>
    <col collapsed="false" hidden="false" max="38" min="38" style="0" width="26.995951417004"/>
    <col collapsed="false" hidden="false" max="39" min="39" style="0" width="14.6761133603239"/>
    <col collapsed="false" hidden="false" max="40" min="40" style="0" width="11.3562753036437"/>
    <col collapsed="false" hidden="false" max="41" min="41" style="0" width="12.5344129554656"/>
    <col collapsed="false" hidden="false" max="42" min="42" style="0" width="10.7125506072875"/>
    <col collapsed="false" hidden="false" max="43" min="43" style="0" width="6.31983805668016"/>
    <col collapsed="false" hidden="false" max="44" min="44" style="0" width="19.7085020242915"/>
    <col collapsed="false" hidden="false" max="45" min="45" style="0" width="13.0688259109312"/>
    <col collapsed="false" hidden="false" max="46" min="46" style="0" width="17.7813765182186"/>
    <col collapsed="false" hidden="false" max="47" min="47" style="0" width="14.6761133603239"/>
    <col collapsed="false" hidden="false" max="48" min="48" style="0" width="13.6032388663968"/>
    <col collapsed="false" hidden="false" max="49" min="49" style="0" width="13.7125506072874"/>
    <col collapsed="false" hidden="false" max="50" min="50" style="0" width="19.9230769230769"/>
    <col collapsed="false" hidden="false" max="51" min="51" style="0" width="13.2834008097166"/>
    <col collapsed="false" hidden="false" max="52" min="52" style="0" width="17.6761133603239"/>
    <col collapsed="false" hidden="false" max="53" min="53" style="0" width="13.3886639676113"/>
    <col collapsed="false" hidden="false" max="54" min="54" style="0" width="12.6396761133603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21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38544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3</v>
      </c>
      <c r="J9" s="29" t="n">
        <v>30.29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-3°30,29</v>
      </c>
      <c r="P9" s="29" t="s">
        <v>15</v>
      </c>
      <c r="Q9" s="33" t="n">
        <f aca="false">IF(ISBLANK(I9),"",IF(ISBLANK(J9),"",IF(J9&gt;60,"ERREUR !!",O11*(I9+(J9/60)))))</f>
        <v>-3.50483333333333</v>
      </c>
      <c r="R9" s="33"/>
    </row>
    <row r="10" customFormat="false" ht="15" hidden="false" customHeight="true" outlineLevel="0" collapsed="false">
      <c r="C10" s="21"/>
      <c r="D10" s="18"/>
      <c r="G10" s="27" t="s">
        <v>16</v>
      </c>
      <c r="H10" s="27"/>
      <c r="I10" s="28" t="n">
        <v>9</v>
      </c>
      <c r="J10" s="29" t="n">
        <v>59.68</v>
      </c>
      <c r="K10" s="30" t="s">
        <v>12</v>
      </c>
      <c r="L10" s="31" t="str">
        <f aca="false">IF(P10=N9,"+","-")</f>
        <v>-</v>
      </c>
      <c r="M10" s="30" t="s">
        <v>15</v>
      </c>
      <c r="N10" s="30" t="s">
        <v>17</v>
      </c>
      <c r="O10" s="34" t="str">
        <f aca="false">IF(ISBLANK(I10),"",IF(ISBLANK(J10),"",IF(P10=N10,L10&amp;N12,N12)))</f>
        <v>-9°59,68</v>
      </c>
      <c r="P10" s="29" t="s">
        <v>17</v>
      </c>
      <c r="Q10" s="33" t="n">
        <f aca="false">IF(ISBLANK(I10),"",IF(ISBLANK(J10),"",IF(J10&gt;60,"ERREUR !!",O12*(I10+(J10/60)))))</f>
        <v>-9.99466666666667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38544</v>
      </c>
      <c r="K11" s="38"/>
      <c r="L11" s="38"/>
      <c r="M11" s="38"/>
      <c r="N11" s="39" t="str">
        <f aca="false">I9&amp;"°"&amp;J9</f>
        <v>3°30,29</v>
      </c>
      <c r="O11" s="40" t="n">
        <f aca="false">IF(P9=M10,-1,1)</f>
        <v>-1</v>
      </c>
      <c r="P11" s="41" t="str">
        <f aca="false">TEXT(J11,"aaaa-mm-jj")&amp;"T"&amp;TEXT(J12,"hh:mm:ss")&amp;"z"</f>
        <v>2009-07-12T10:20:00z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0.430555555555556</v>
      </c>
      <c r="K12" s="45"/>
      <c r="L12" s="45"/>
      <c r="M12" s="45"/>
      <c r="N12" s="46" t="str">
        <f aca="false">I10&amp;"°"&amp;J10</f>
        <v>9°59,68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e">
        <f aca="false">$P$24*($P$18/#REF!)</f>
        <v>#REF!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e">
        <f aca="false">5+#REF!</f>
        <v>#REF!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e">
        <f aca="false">P20*(1+0.00001*(R14-20))</f>
        <v>#REF!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e">
        <f aca="false">MAX(#REF!)</f>
        <v>#VALUE!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e">
        <f aca="false">2+(#REF!+#REF!)</f>
        <v>#REF!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52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53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IF(ISBLANK(VLOOKUP(D35,#REF!,3)),0,1)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n">
        <v>34.9564</v>
      </c>
      <c r="H35" s="118" t="n">
        <v>2000</v>
      </c>
      <c r="I35" s="119" t="n">
        <v>2000.7</v>
      </c>
      <c r="J35" s="120"/>
      <c r="K35" s="121"/>
      <c r="L35" s="121"/>
      <c r="M35" s="121"/>
      <c r="N35" s="122"/>
      <c r="O35" s="121"/>
      <c r="P35" s="171" t="n">
        <v>5.573</v>
      </c>
      <c r="Q35" s="120"/>
      <c r="R35" s="120"/>
      <c r="S35" s="172" t="n">
        <v>242.2</v>
      </c>
      <c r="T35" s="32" t="n">
        <v>0.02</v>
      </c>
      <c r="U35" s="32" t="n">
        <v>0.02</v>
      </c>
      <c r="V35" s="32"/>
      <c r="W35" s="32"/>
      <c r="X35" s="125" t="n">
        <v>21.2</v>
      </c>
      <c r="Y35" s="125" t="n">
        <v>20.7</v>
      </c>
      <c r="Z35" s="32" t="n">
        <v>1.52</v>
      </c>
      <c r="AA35" s="32" t="n">
        <v>1.49</v>
      </c>
      <c r="AB35" s="125" t="n">
        <v>23</v>
      </c>
      <c r="AC35" s="125" t="n">
        <v>22.5</v>
      </c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7"/>
    </row>
    <row r="36" customFormat="false" ht="15.6" hidden="false" customHeight="false" outlineLevel="0" collapsed="false">
      <c r="A36" s="111" t="n">
        <f aca="false">IF(ISBLANK(VLOOKUP(D36,#REF!,3)),0,1)</f>
        <v>1</v>
      </c>
      <c r="B36" s="112" t="n">
        <f aca="false">IF(ISBLANK(D36),0,IF(ISBLANK(E36),0,IF(ISBLANK(F36),0,1)))</f>
        <v>0</v>
      </c>
      <c r="C36" s="128" t="n">
        <v>2</v>
      </c>
      <c r="D36" s="129"/>
      <c r="E36" s="129"/>
      <c r="F36" s="130"/>
      <c r="G36" s="117" t="n">
        <v>34.6175</v>
      </c>
      <c r="H36" s="131" t="n">
        <v>1000</v>
      </c>
      <c r="I36" s="119" t="n">
        <v>999.9</v>
      </c>
      <c r="J36" s="132"/>
      <c r="K36" s="133"/>
      <c r="L36" s="133"/>
      <c r="M36" s="133"/>
      <c r="N36" s="134"/>
      <c r="O36" s="133"/>
      <c r="P36" s="171" t="n">
        <v>3.633</v>
      </c>
      <c r="Q36" s="132"/>
      <c r="R36" s="132"/>
      <c r="S36" s="172" t="n">
        <v>157.9</v>
      </c>
      <c r="T36" s="32" t="n">
        <v>0.02</v>
      </c>
      <c r="U36" s="32" t="n">
        <v>0.02</v>
      </c>
      <c r="V36" s="32"/>
      <c r="W36" s="32"/>
      <c r="X36" s="125" t="n">
        <v>33.6</v>
      </c>
      <c r="Y36" s="125" t="n">
        <v>32.9</v>
      </c>
      <c r="Z36" s="32" t="n">
        <v>2.34</v>
      </c>
      <c r="AA36" s="32" t="n">
        <v>2.29</v>
      </c>
      <c r="AB36" s="125" t="n">
        <v>31.6</v>
      </c>
      <c r="AC36" s="125" t="n">
        <v>30.9</v>
      </c>
      <c r="AD36" s="124"/>
      <c r="AE36" s="124"/>
      <c r="AF36" s="124"/>
      <c r="AG36" s="124"/>
      <c r="AH36" s="124"/>
      <c r="AI36" s="124"/>
      <c r="AJ36" s="124"/>
      <c r="AK36" s="124"/>
      <c r="AL36" s="124"/>
      <c r="AM36" s="124"/>
      <c r="AN36" s="124"/>
      <c r="AO36" s="124"/>
      <c r="AP36" s="124"/>
      <c r="AQ36" s="124"/>
      <c r="AR36" s="124"/>
      <c r="AS36" s="124"/>
      <c r="AT36" s="124"/>
      <c r="AU36" s="124"/>
      <c r="AV36" s="124"/>
      <c r="AW36" s="124"/>
      <c r="AX36" s="124"/>
      <c r="AY36" s="124"/>
      <c r="AZ36" s="124"/>
      <c r="BA36" s="124"/>
      <c r="BB36" s="136"/>
    </row>
    <row r="37" customFormat="false" ht="15.6" hidden="false" customHeight="false" outlineLevel="0" collapsed="false">
      <c r="A37" s="111" t="n">
        <f aca="false">IF(ISBLANK(VLOOKUP(D37,#REF!,3)),0,1)</f>
        <v>1</v>
      </c>
      <c r="B37" s="112" t="n">
        <f aca="false">IF(ISBLANK(D37),0,IF(ISBLANK(E37),0,IF(ISBLANK(F37),0,1)))</f>
        <v>0</v>
      </c>
      <c r="C37" s="128" t="n">
        <v>3</v>
      </c>
      <c r="D37" s="129"/>
      <c r="E37" s="129"/>
      <c r="F37" s="137"/>
      <c r="G37" s="117" t="n">
        <v>34.6304</v>
      </c>
      <c r="H37" s="131" t="n">
        <v>500</v>
      </c>
      <c r="I37" s="119" t="n">
        <v>497.4</v>
      </c>
      <c r="J37" s="132"/>
      <c r="K37" s="133"/>
      <c r="L37" s="133"/>
      <c r="M37" s="133"/>
      <c r="N37" s="134"/>
      <c r="O37" s="133"/>
      <c r="P37" s="171" t="n">
        <v>2.206</v>
      </c>
      <c r="Q37" s="132"/>
      <c r="R37" s="132"/>
      <c r="S37" s="172" t="n">
        <v>95.9</v>
      </c>
      <c r="T37" s="32" t="n">
        <v>0.03</v>
      </c>
      <c r="U37" s="32" t="n">
        <v>0.03</v>
      </c>
      <c r="V37" s="32"/>
      <c r="W37" s="32"/>
      <c r="X37" s="125" t="n">
        <v>36.7</v>
      </c>
      <c r="Y37" s="125" t="n">
        <v>35.9</v>
      </c>
      <c r="Z37" s="32" t="n">
        <v>2.36</v>
      </c>
      <c r="AA37" s="32" t="n">
        <v>2.31</v>
      </c>
      <c r="AB37" s="125" t="n">
        <v>20.8</v>
      </c>
      <c r="AC37" s="125" t="n">
        <v>20.3</v>
      </c>
      <c r="AD37" s="124"/>
      <c r="AE37" s="124"/>
      <c r="AF37" s="124"/>
      <c r="AG37" s="124"/>
      <c r="AH37" s="124"/>
      <c r="AI37" s="124"/>
      <c r="AJ37" s="124"/>
      <c r="AK37" s="124"/>
      <c r="AL37" s="124"/>
      <c r="AM37" s="124"/>
      <c r="AN37" s="124"/>
      <c r="AO37" s="124"/>
      <c r="AP37" s="124"/>
      <c r="AQ37" s="124"/>
      <c r="AR37" s="124"/>
      <c r="AS37" s="124"/>
      <c r="AT37" s="124"/>
      <c r="AU37" s="124"/>
      <c r="AV37" s="124"/>
      <c r="AW37" s="124"/>
      <c r="AX37" s="124"/>
      <c r="AY37" s="124"/>
      <c r="AZ37" s="124"/>
      <c r="BA37" s="124"/>
      <c r="BB37" s="136"/>
    </row>
    <row r="38" customFormat="false" ht="15.6" hidden="false" customHeight="false" outlineLevel="0" collapsed="false">
      <c r="A38" s="111" t="n">
        <f aca="false">IF(ISBLANK(VLOOKUP(D38,#REF!,3)),0,1)</f>
        <v>1</v>
      </c>
      <c r="B38" s="112" t="n">
        <f aca="false">IF(ISBLANK(D38),0,IF(ISBLANK(E38),0,IF(ISBLANK(F38),0,1)))</f>
        <v>0</v>
      </c>
      <c r="C38" s="128" t="n">
        <v>4</v>
      </c>
      <c r="D38" s="138"/>
      <c r="E38" s="138"/>
      <c r="F38" s="139"/>
      <c r="G38" s="117" t="n">
        <v>35.4485</v>
      </c>
      <c r="H38" s="131" t="n">
        <v>100</v>
      </c>
      <c r="I38" s="119" t="n">
        <v>100.2</v>
      </c>
      <c r="J38" s="132"/>
      <c r="K38" s="133"/>
      <c r="L38" s="133"/>
      <c r="M38" s="133"/>
      <c r="N38" s="134"/>
      <c r="O38" s="133"/>
      <c r="P38" s="171" t="n">
        <v>2.236</v>
      </c>
      <c r="Q38" s="132"/>
      <c r="R38" s="132"/>
      <c r="S38" s="172" t="n">
        <v>97.3</v>
      </c>
      <c r="T38" s="32" t="n">
        <v>0.05</v>
      </c>
      <c r="U38" s="32" t="n">
        <v>0.05</v>
      </c>
      <c r="V38" s="32"/>
      <c r="W38" s="32"/>
      <c r="X38" s="125" t="n">
        <v>22.5</v>
      </c>
      <c r="Y38" s="125" t="n">
        <v>21.9</v>
      </c>
      <c r="Z38" s="32" t="n">
        <v>1.54</v>
      </c>
      <c r="AA38" s="32" t="n">
        <v>1.51</v>
      </c>
      <c r="AB38" s="125" t="n">
        <v>7.7</v>
      </c>
      <c r="AC38" s="125" t="n">
        <v>7.5</v>
      </c>
      <c r="AD38" s="124"/>
      <c r="AE38" s="124"/>
      <c r="AF38" s="124"/>
      <c r="AG38" s="124"/>
      <c r="AH38" s="124"/>
      <c r="AI38" s="124"/>
      <c r="AJ38" s="124"/>
      <c r="AK38" s="124"/>
      <c r="AL38" s="124"/>
      <c r="AM38" s="124"/>
      <c r="AN38" s="124"/>
      <c r="AO38" s="124"/>
      <c r="AP38" s="124"/>
      <c r="AQ38" s="124"/>
      <c r="AR38" s="124"/>
      <c r="AS38" s="124"/>
      <c r="AT38" s="124"/>
      <c r="AU38" s="124"/>
      <c r="AV38" s="124"/>
      <c r="AW38" s="124"/>
      <c r="AX38" s="124"/>
      <c r="AY38" s="124"/>
      <c r="AZ38" s="124"/>
      <c r="BA38" s="124"/>
      <c r="BB38" s="136"/>
    </row>
    <row r="39" customFormat="false" ht="15.6" hidden="false" customHeight="false" outlineLevel="0" collapsed="false">
      <c r="A39" s="111" t="n">
        <f aca="false">IF(ISBLANK(VLOOKUP(D39,#REF!,3)),0,1)</f>
        <v>1</v>
      </c>
      <c r="B39" s="112" t="n">
        <f aca="false">IF(ISBLANK(D39),0,IF(ISBLANK(E39),0,IF(ISBLANK(F39),0,1)))</f>
        <v>0</v>
      </c>
      <c r="C39" s="128" t="n">
        <v>5</v>
      </c>
      <c r="D39" s="129"/>
      <c r="E39" s="129"/>
      <c r="F39" s="137"/>
      <c r="G39" s="117"/>
      <c r="H39" s="131" t="n">
        <v>80</v>
      </c>
      <c r="I39" s="119"/>
      <c r="J39" s="132"/>
      <c r="K39" s="133"/>
      <c r="L39" s="133"/>
      <c r="M39" s="133"/>
      <c r="N39" s="134"/>
      <c r="O39" s="133"/>
      <c r="P39" s="171"/>
      <c r="Q39" s="132"/>
      <c r="R39" s="132"/>
      <c r="S39" s="172"/>
      <c r="T39" s="32" t="n">
        <v>0.06</v>
      </c>
      <c r="U39" s="32" t="n">
        <v>0.06</v>
      </c>
      <c r="V39" s="32"/>
      <c r="W39" s="32"/>
      <c r="X39" s="125" t="n">
        <v>21.3</v>
      </c>
      <c r="Y39" s="125" t="n">
        <v>20.8</v>
      </c>
      <c r="Z39" s="32" t="n">
        <v>1.47</v>
      </c>
      <c r="AA39" s="32" t="n">
        <v>1.44</v>
      </c>
      <c r="AB39" s="125" t="n">
        <v>7.1</v>
      </c>
      <c r="AC39" s="125" t="n">
        <v>6.9</v>
      </c>
      <c r="AD39" s="124"/>
      <c r="AE39" s="124"/>
      <c r="AF39" s="124"/>
      <c r="AG39" s="124"/>
      <c r="AH39" s="124"/>
      <c r="AI39" s="124"/>
      <c r="AJ39" s="124"/>
      <c r="AK39" s="124"/>
      <c r="AL39" s="124"/>
      <c r="AM39" s="124"/>
      <c r="AN39" s="124"/>
      <c r="AO39" s="124"/>
      <c r="AP39" s="124"/>
      <c r="AQ39" s="124"/>
      <c r="AR39" s="124"/>
      <c r="AS39" s="124"/>
      <c r="AT39" s="124"/>
      <c r="AU39" s="124"/>
      <c r="AV39" s="124"/>
      <c r="AW39" s="124"/>
      <c r="AX39" s="124"/>
      <c r="AY39" s="124"/>
      <c r="AZ39" s="124"/>
      <c r="BA39" s="124"/>
      <c r="BB39" s="136"/>
    </row>
    <row r="40" customFormat="false" ht="15.6" hidden="false" customHeight="false" outlineLevel="0" collapsed="false">
      <c r="A40" s="111" t="n">
        <f aca="false">IF(ISBLANK(VLOOKUP(D40,#REF!,3)),0,1)</f>
        <v>1</v>
      </c>
      <c r="B40" s="112" t="n">
        <f aca="false">IF(ISBLANK(D40),0,IF(ISBLANK(E40),0,IF(ISBLANK(F40),0,1)))</f>
        <v>0</v>
      </c>
      <c r="C40" s="128" t="n">
        <v>6</v>
      </c>
      <c r="D40" s="129"/>
      <c r="E40" s="129"/>
      <c r="F40" s="137"/>
      <c r="G40" s="117"/>
      <c r="H40" s="131" t="n">
        <v>80</v>
      </c>
      <c r="I40" s="119"/>
      <c r="J40" s="132"/>
      <c r="K40" s="133"/>
      <c r="L40" s="133"/>
      <c r="M40" s="133"/>
      <c r="N40" s="134"/>
      <c r="O40" s="133"/>
      <c r="P40" s="171"/>
      <c r="Q40" s="132"/>
      <c r="R40" s="132"/>
      <c r="S40" s="172"/>
      <c r="T40" s="32" t="n">
        <v>0.06</v>
      </c>
      <c r="U40" s="32" t="n">
        <v>0.06</v>
      </c>
      <c r="V40" s="32"/>
      <c r="W40" s="32"/>
      <c r="X40" s="125" t="n">
        <v>21.1</v>
      </c>
      <c r="Y40" s="125" t="n">
        <v>20.7</v>
      </c>
      <c r="Z40" s="32" t="n">
        <v>1.44</v>
      </c>
      <c r="AA40" s="32" t="n">
        <v>1.41</v>
      </c>
      <c r="AB40" s="125" t="n">
        <v>6.8</v>
      </c>
      <c r="AC40" s="125" t="n">
        <v>6.6</v>
      </c>
      <c r="AD40" s="124"/>
      <c r="AE40" s="124"/>
      <c r="AF40" s="124"/>
      <c r="AG40" s="124"/>
      <c r="AH40" s="124"/>
      <c r="AI40" s="124"/>
      <c r="AJ40" s="124"/>
      <c r="AK40" s="124"/>
      <c r="AL40" s="124"/>
      <c r="AM40" s="124"/>
      <c r="AN40" s="124"/>
      <c r="AO40" s="124"/>
      <c r="AP40" s="124"/>
      <c r="AQ40" s="124"/>
      <c r="AR40" s="124"/>
      <c r="AS40" s="124"/>
      <c r="AT40" s="124"/>
      <c r="AU40" s="124"/>
      <c r="AV40" s="124"/>
      <c r="AW40" s="124"/>
      <c r="AX40" s="124"/>
      <c r="AY40" s="124"/>
      <c r="AZ40" s="124"/>
      <c r="BA40" s="124"/>
      <c r="BB40" s="136"/>
    </row>
    <row r="41" customFormat="false" ht="15.6" hidden="false" customHeight="false" outlineLevel="0" collapsed="false">
      <c r="A41" s="111" t="n">
        <f aca="false">IF(ISBLANK(VLOOKUP(D41,#REF!,3)),0,1)</f>
        <v>1</v>
      </c>
      <c r="B41" s="112" t="n">
        <f aca="false">IF(ISBLANK(D41),0,IF(ISBLANK(E41),0,IF(ISBLANK(F41),0,1)))</f>
        <v>0</v>
      </c>
      <c r="C41" s="128" t="n">
        <v>7</v>
      </c>
      <c r="D41" s="129"/>
      <c r="E41" s="129"/>
      <c r="F41" s="137"/>
      <c r="G41" s="117"/>
      <c r="H41" s="131" t="n">
        <v>60</v>
      </c>
      <c r="I41" s="119"/>
      <c r="J41" s="132"/>
      <c r="K41" s="133"/>
      <c r="L41" s="133"/>
      <c r="M41" s="133"/>
      <c r="N41" s="134"/>
      <c r="O41" s="133"/>
      <c r="P41" s="171"/>
      <c r="Q41" s="132"/>
      <c r="R41" s="132"/>
      <c r="S41" s="172"/>
      <c r="T41" s="32" t="n">
        <v>0.14</v>
      </c>
      <c r="U41" s="32" t="n">
        <v>0.14</v>
      </c>
      <c r="V41" s="32"/>
      <c r="W41" s="32"/>
      <c r="X41" s="125" t="n">
        <v>18.3</v>
      </c>
      <c r="Y41" s="125" t="n">
        <v>17.8</v>
      </c>
      <c r="Z41" s="32" t="n">
        <v>1.27</v>
      </c>
      <c r="AA41" s="32" t="n">
        <v>1.24</v>
      </c>
      <c r="AB41" s="125" t="n">
        <v>6.3</v>
      </c>
      <c r="AC41" s="125" t="n">
        <v>6.2</v>
      </c>
      <c r="AD41" s="124"/>
      <c r="AE41" s="124"/>
      <c r="AF41" s="124"/>
      <c r="AG41" s="124"/>
      <c r="AH41" s="124"/>
      <c r="AI41" s="124"/>
      <c r="AJ41" s="124"/>
      <c r="AK41" s="124"/>
      <c r="AL41" s="124"/>
      <c r="AM41" s="124"/>
      <c r="AN41" s="124"/>
      <c r="AO41" s="124"/>
      <c r="AP41" s="124"/>
      <c r="AQ41" s="124"/>
      <c r="AR41" s="124"/>
      <c r="AS41" s="124"/>
      <c r="AT41" s="124"/>
      <c r="AU41" s="124"/>
      <c r="AV41" s="124"/>
      <c r="AW41" s="124"/>
      <c r="AX41" s="124"/>
      <c r="AY41" s="124"/>
      <c r="AZ41" s="124"/>
      <c r="BA41" s="124"/>
      <c r="BB41" s="136"/>
    </row>
    <row r="42" customFormat="false" ht="15.6" hidden="false" customHeight="false" outlineLevel="0" collapsed="false">
      <c r="A42" s="111" t="n">
        <f aca="false">IF(ISBLANK(VLOOKUP(D42,#REF!,3)),0,1)</f>
        <v>1</v>
      </c>
      <c r="B42" s="112" t="n">
        <f aca="false">IF(ISBLANK(D42),0,IF(ISBLANK(E42),0,IF(ISBLANK(F42),0,1)))</f>
        <v>0</v>
      </c>
      <c r="C42" s="128" t="n">
        <v>8</v>
      </c>
      <c r="D42" s="129"/>
      <c r="E42" s="129"/>
      <c r="F42" s="137"/>
      <c r="G42" s="117"/>
      <c r="H42" s="131" t="n">
        <v>40</v>
      </c>
      <c r="I42" s="119"/>
      <c r="J42" s="132"/>
      <c r="K42" s="133"/>
      <c r="L42" s="133"/>
      <c r="M42" s="133"/>
      <c r="N42" s="134"/>
      <c r="O42" s="133"/>
      <c r="P42" s="171"/>
      <c r="Q42" s="132"/>
      <c r="R42" s="132"/>
      <c r="S42" s="172"/>
      <c r="T42" s="32" t="n">
        <v>0.17</v>
      </c>
      <c r="U42" s="32" t="n">
        <v>0.17</v>
      </c>
      <c r="V42" s="32"/>
      <c r="W42" s="32"/>
      <c r="X42" s="125" t="n">
        <v>17.7</v>
      </c>
      <c r="Y42" s="125" t="n">
        <v>17.3</v>
      </c>
      <c r="Z42" s="32" t="n">
        <v>1.23</v>
      </c>
      <c r="AA42" s="32" t="n">
        <v>1.2</v>
      </c>
      <c r="AB42" s="125" t="n">
        <v>5.5</v>
      </c>
      <c r="AC42" s="125" t="n">
        <v>5.4</v>
      </c>
      <c r="AD42" s="124"/>
      <c r="AE42" s="124"/>
      <c r="AF42" s="124"/>
      <c r="AG42" s="124"/>
      <c r="AH42" s="124"/>
      <c r="AI42" s="124"/>
      <c r="AJ42" s="124"/>
      <c r="AK42" s="124"/>
      <c r="AL42" s="124"/>
      <c r="AM42" s="124"/>
      <c r="AN42" s="124"/>
      <c r="AO42" s="124"/>
      <c r="AP42" s="124"/>
      <c r="AQ42" s="124"/>
      <c r="AR42" s="124"/>
      <c r="AS42" s="124"/>
      <c r="AT42" s="124"/>
      <c r="AU42" s="124"/>
      <c r="AV42" s="124"/>
      <c r="AW42" s="124"/>
      <c r="AX42" s="124"/>
      <c r="AY42" s="124"/>
      <c r="AZ42" s="124"/>
      <c r="BA42" s="124"/>
      <c r="BB42" s="136"/>
    </row>
    <row r="43" customFormat="false" ht="15.6" hidden="false" customHeight="false" outlineLevel="0" collapsed="false">
      <c r="A43" s="111" t="n">
        <f aca="false">IF(ISBLANK(VLOOKUP(D43,#REF!,3)),0,1)</f>
        <v>1</v>
      </c>
      <c r="B43" s="112" t="n">
        <f aca="false">IF(ISBLANK(D43),0,IF(ISBLANK(E43),0,IF(ISBLANK(F43),0,1)))</f>
        <v>0</v>
      </c>
      <c r="C43" s="128" t="n">
        <v>9</v>
      </c>
      <c r="D43" s="129"/>
      <c r="E43" s="129"/>
      <c r="F43" s="137"/>
      <c r="G43" s="117"/>
      <c r="H43" s="131" t="n">
        <v>20</v>
      </c>
      <c r="I43" s="119"/>
      <c r="J43" s="132"/>
      <c r="K43" s="133"/>
      <c r="L43" s="133"/>
      <c r="M43" s="133"/>
      <c r="N43" s="134"/>
      <c r="O43" s="133"/>
      <c r="P43" s="171"/>
      <c r="Q43" s="132"/>
      <c r="R43" s="132"/>
      <c r="S43" s="172"/>
      <c r="T43" s="32" t="n">
        <v>0.07</v>
      </c>
      <c r="U43" s="32" t="n">
        <v>0.07</v>
      </c>
      <c r="V43" s="32"/>
      <c r="W43" s="32"/>
      <c r="X43" s="125" t="n">
        <v>0.6</v>
      </c>
      <c r="Y43" s="125" t="n">
        <v>0.6</v>
      </c>
      <c r="Z43" s="32" t="n">
        <v>0.26</v>
      </c>
      <c r="AA43" s="32" t="n">
        <v>0.26</v>
      </c>
      <c r="AB43" s="125" t="n">
        <v>1.6</v>
      </c>
      <c r="AC43" s="125" t="n">
        <v>1.6</v>
      </c>
      <c r="AD43" s="124"/>
      <c r="AE43" s="124"/>
      <c r="AF43" s="124"/>
      <c r="AG43" s="124"/>
      <c r="AH43" s="124"/>
      <c r="AI43" s="124"/>
      <c r="AJ43" s="124"/>
      <c r="AK43" s="124"/>
      <c r="AL43" s="124"/>
      <c r="AM43" s="124"/>
      <c r="AN43" s="124"/>
      <c r="AO43" s="124"/>
      <c r="AP43" s="124"/>
      <c r="AQ43" s="124"/>
      <c r="AR43" s="124"/>
      <c r="AS43" s="124"/>
      <c r="AT43" s="124"/>
      <c r="AU43" s="124"/>
      <c r="AV43" s="124"/>
      <c r="AW43" s="124"/>
      <c r="AX43" s="124"/>
      <c r="AY43" s="124"/>
      <c r="AZ43" s="124"/>
      <c r="BA43" s="124"/>
      <c r="BB43" s="136"/>
    </row>
    <row r="44" customFormat="false" ht="15.6" hidden="false" customHeight="false" outlineLevel="0" collapsed="false">
      <c r="A44" s="111" t="n">
        <f aca="false">IF(ISBLANK(VLOOKUP(D44,#REF!,3)),0,1)</f>
        <v>1</v>
      </c>
      <c r="B44" s="112" t="n">
        <f aca="false">IF(ISBLANK(D44),0,IF(ISBLANK(E44),0,IF(ISBLANK(F44),0,1)))</f>
        <v>0</v>
      </c>
      <c r="C44" s="128" t="n">
        <v>10</v>
      </c>
      <c r="D44" s="129"/>
      <c r="E44" s="129"/>
      <c r="F44" s="137"/>
      <c r="G44" s="117"/>
      <c r="H44" s="131" t="n">
        <v>10</v>
      </c>
      <c r="I44" s="119"/>
      <c r="J44" s="132"/>
      <c r="K44" s="133"/>
      <c r="L44" s="133"/>
      <c r="M44" s="133"/>
      <c r="N44" s="134"/>
      <c r="O44" s="133"/>
      <c r="P44" s="171"/>
      <c r="Q44" s="132"/>
      <c r="R44" s="132"/>
      <c r="S44" s="172"/>
      <c r="T44" s="32" t="n">
        <v>0.04</v>
      </c>
      <c r="U44" s="32" t="n">
        <v>0.04</v>
      </c>
      <c r="V44" s="32"/>
      <c r="W44" s="32"/>
      <c r="X44" s="125" t="n">
        <v>0</v>
      </c>
      <c r="Y44" s="125" t="n">
        <v>0</v>
      </c>
      <c r="Z44" s="32" t="n">
        <v>0.2</v>
      </c>
      <c r="AA44" s="32" t="n">
        <v>0.19</v>
      </c>
      <c r="AB44" s="125" t="n">
        <v>1.4</v>
      </c>
      <c r="AC44" s="125" t="n">
        <v>1.3</v>
      </c>
      <c r="AD44" s="124"/>
      <c r="AE44" s="124"/>
      <c r="AF44" s="124"/>
      <c r="AG44" s="124"/>
      <c r="AH44" s="124"/>
      <c r="AI44" s="124"/>
      <c r="AJ44" s="124"/>
      <c r="AK44" s="124"/>
      <c r="AL44" s="124"/>
      <c r="AM44" s="124"/>
      <c r="AN44" s="124"/>
      <c r="AO44" s="124"/>
      <c r="AP44" s="124"/>
      <c r="AQ44" s="124"/>
      <c r="AR44" s="124"/>
      <c r="AS44" s="124"/>
      <c r="AT44" s="124"/>
      <c r="AU44" s="124"/>
      <c r="AV44" s="124"/>
      <c r="AW44" s="124"/>
      <c r="AX44" s="124"/>
      <c r="AY44" s="124"/>
      <c r="AZ44" s="124"/>
      <c r="BA44" s="124"/>
      <c r="BB44" s="136"/>
    </row>
    <row r="45" customFormat="false" ht="15.6" hidden="false" customHeight="false" outlineLevel="0" collapsed="false">
      <c r="A45" s="111" t="n">
        <f aca="false">IF(ISBLANK(VLOOKUP(D45,#REF!,3)),0,1)</f>
        <v>1</v>
      </c>
      <c r="B45" s="112" t="n">
        <f aca="false">IF(ISBLANK(D45),0,IF(ISBLANK(E45),0,IF(ISBLANK(F45),0,1)))</f>
        <v>0</v>
      </c>
      <c r="C45" s="128" t="n">
        <v>11</v>
      </c>
      <c r="D45" s="129"/>
      <c r="E45" s="129"/>
      <c r="F45" s="137"/>
      <c r="G45" s="117" t="n">
        <v>35.6604</v>
      </c>
      <c r="H45" s="131" t="n">
        <v>0</v>
      </c>
      <c r="I45" s="119" t="n">
        <v>2.7</v>
      </c>
      <c r="J45" s="132"/>
      <c r="K45" s="133"/>
      <c r="L45" s="133"/>
      <c r="M45" s="133"/>
      <c r="N45" s="134"/>
      <c r="O45" s="133"/>
      <c r="P45" s="171" t="n">
        <v>4.686</v>
      </c>
      <c r="Q45" s="132"/>
      <c r="R45" s="132"/>
      <c r="S45" s="172" t="n">
        <v>204.4</v>
      </c>
      <c r="T45" s="32" t="n">
        <v>0.04</v>
      </c>
      <c r="U45" s="32" t="n">
        <v>0.04</v>
      </c>
      <c r="V45" s="32"/>
      <c r="W45" s="32"/>
      <c r="X45" s="125" t="n">
        <v>0</v>
      </c>
      <c r="Y45" s="125" t="n">
        <v>0</v>
      </c>
      <c r="Z45" s="32" t="n">
        <v>0.21</v>
      </c>
      <c r="AA45" s="32" t="n">
        <v>0.2</v>
      </c>
      <c r="AB45" s="125" t="n">
        <v>1.3</v>
      </c>
      <c r="AC45" s="125" t="n">
        <v>1.3</v>
      </c>
      <c r="AD45" s="124"/>
      <c r="AE45" s="124"/>
      <c r="AF45" s="124"/>
      <c r="AG45" s="124"/>
      <c r="AH45" s="124"/>
      <c r="AI45" s="124"/>
      <c r="AJ45" s="124"/>
      <c r="AK45" s="124"/>
      <c r="AL45" s="124"/>
      <c r="AM45" s="124"/>
      <c r="AN45" s="124"/>
      <c r="AO45" s="124"/>
      <c r="AP45" s="124"/>
      <c r="AQ45" s="124"/>
      <c r="AR45" s="124"/>
      <c r="AS45" s="124"/>
      <c r="AT45" s="124"/>
      <c r="AU45" s="124"/>
      <c r="AV45" s="124"/>
      <c r="AW45" s="124"/>
      <c r="AX45" s="124"/>
      <c r="AY45" s="124"/>
      <c r="AZ45" s="124"/>
      <c r="BA45" s="124"/>
      <c r="BB45" s="136"/>
    </row>
    <row r="46" customFormat="false" ht="15.6" hidden="false" customHeight="false" outlineLevel="0" collapsed="false">
      <c r="A46" s="111" t="n">
        <f aca="false">IF(ISBLANK(VLOOKUP(D46,#REF!,3)),0,1)</f>
        <v>1</v>
      </c>
      <c r="B46" s="112" t="n">
        <f aca="false">IF(ISBLANK(D46),0,IF(ISBLANK(E46),0,IF(ISBLANK(F46),0,1)))</f>
        <v>0</v>
      </c>
      <c r="C46" s="128" t="n">
        <v>12</v>
      </c>
      <c r="D46" s="142"/>
      <c r="E46" s="142"/>
      <c r="F46" s="143"/>
      <c r="G46" s="144"/>
      <c r="H46" s="142"/>
      <c r="I46" s="145"/>
      <c r="J46" s="132" t="str">
        <f aca="false">IF(ISBLANK(D46),"",IF(VLOOKUP(D46,#REF!,2)=0,"",IF(D46&gt;#REF!,"Mauvais numéro",IF(D46&lt;#REF!,"Mauvais numéro",(VLOOKUP(D46,#REF!,3))))))</f>
        <v/>
      </c>
      <c r="K46" s="146" t="str">
        <f aca="false">IF(ISBLANK(E46),"",(0.000824493-(0.0000040899*E46)+(0.000000076438*E46^2)-(0.00000000082467*E46^3)+(0.0000000000053875*E46^4)))</f>
        <v/>
      </c>
      <c r="L46" s="146" t="str">
        <f aca="false">IF(ISBLANK(E46),"",(-0.00000572466+(0.00000010227*E46)-(0.0000000016546*E46^2)))</f>
        <v/>
      </c>
      <c r="M46" s="146" t="str">
        <f aca="false">IF(ISBLANK(E46),"",IF(ISBLANK(G46),(O46+(K46*35)+(L46*35^1.5)+(0.00000048314*35^2)),(O46+(K46*G46)+(L46*G46^1.5)+(0.00000048314*G46^2))))</f>
        <v/>
      </c>
      <c r="N46" s="147" t="str">
        <f aca="false">IF(ISBLANK(D46),"",IF(ISBLANK(G46),J46*(1+0.00001*(35-20)),J46*(1+0.00001*(G46-20))))</f>
        <v/>
      </c>
      <c r="O46" s="146" t="str">
        <f aca="false">IF(ISBLANK(E46),"",(0.999842594+(0.00006793952*E46)-(0.00000909529*E46^2)+(0.0000001001685*E46^3)-(0.000000001120083*E46^4)+(0.000000000006536332*E46^5)))</f>
        <v/>
      </c>
      <c r="P46" s="148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49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0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0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24"/>
      <c r="U46" s="124"/>
      <c r="V46" s="124"/>
      <c r="W46" s="124"/>
      <c r="X46" s="124"/>
      <c r="Y46" s="124"/>
      <c r="Z46" s="124"/>
      <c r="AA46" s="124"/>
      <c r="AB46" s="124"/>
      <c r="AC46" s="124"/>
      <c r="AD46" s="124"/>
      <c r="AE46" s="124"/>
      <c r="AF46" s="124"/>
      <c r="AG46" s="124"/>
      <c r="AH46" s="124"/>
      <c r="AI46" s="124"/>
      <c r="AJ46" s="124"/>
      <c r="AK46" s="124"/>
      <c r="AL46" s="124"/>
      <c r="AM46" s="124"/>
      <c r="AN46" s="124"/>
      <c r="AO46" s="124"/>
      <c r="AP46" s="124"/>
      <c r="AQ46" s="124"/>
      <c r="AR46" s="124"/>
      <c r="AS46" s="124"/>
      <c r="AT46" s="124"/>
      <c r="AU46" s="124"/>
      <c r="AV46" s="124"/>
      <c r="AW46" s="124"/>
      <c r="AX46" s="124"/>
      <c r="AY46" s="124"/>
      <c r="AZ46" s="124"/>
      <c r="BA46" s="124"/>
      <c r="BB46" s="136"/>
    </row>
    <row r="47" customFormat="false" ht="15.6" hidden="false" customHeight="false" outlineLevel="0" collapsed="false">
      <c r="A47" s="111" t="n">
        <f aca="false">IF(ISBLANK(VLOOKUP(D47,#REF!,3)),0,1)</f>
        <v>1</v>
      </c>
      <c r="B47" s="112" t="n">
        <f aca="false">IF(ISBLANK(D47),0,IF(ISBLANK(E47),0,IF(ISBLANK(F47),0,1)))</f>
        <v>0</v>
      </c>
      <c r="C47" s="128" t="n">
        <v>13</v>
      </c>
      <c r="D47" s="151"/>
      <c r="E47" s="151"/>
      <c r="F47" s="152"/>
      <c r="G47" s="153"/>
      <c r="H47" s="151"/>
      <c r="I47" s="151"/>
      <c r="J47" s="132" t="str">
        <f aca="false">IF(ISBLANK(D47),"",IF(VLOOKUP(D47,#REF!,2)=0,"",IF(D47&gt;#REF!,"Mauvais numéro",IF(D47&lt;#REF!,"Mauvais numéro",(VLOOKUP(D47,#REF!,3))))))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54"/>
      <c r="Q47" s="149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5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4"/>
      <c r="T47" s="124"/>
      <c r="U47" s="124"/>
      <c r="V47" s="124"/>
      <c r="W47" s="124"/>
      <c r="X47" s="12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24"/>
      <c r="AJ47" s="124"/>
      <c r="AK47" s="124"/>
      <c r="AL47" s="124"/>
      <c r="AM47" s="124"/>
      <c r="AN47" s="124"/>
      <c r="AO47" s="124"/>
      <c r="AP47" s="124"/>
      <c r="AQ47" s="124"/>
      <c r="AR47" s="124"/>
      <c r="AS47" s="124"/>
      <c r="AT47" s="124"/>
      <c r="AU47" s="124"/>
      <c r="AV47" s="124"/>
      <c r="AW47" s="124"/>
      <c r="AX47" s="124"/>
      <c r="AY47" s="124"/>
      <c r="AZ47" s="124"/>
      <c r="BA47" s="124"/>
      <c r="BB47" s="136"/>
    </row>
    <row r="48" customFormat="false" ht="15.6" hidden="false" customHeight="false" outlineLevel="0" collapsed="false">
      <c r="A48" s="111" t="n">
        <f aca="false">IF(ISBLANK(VLOOKUP(D48,#REF!,3)),0,1)</f>
        <v>1</v>
      </c>
      <c r="B48" s="112" t="n">
        <f aca="false">IF(ISBLANK(D48),0,IF(ISBLANK(E48),0,IF(ISBLANK(F48),0,1)))</f>
        <v>0</v>
      </c>
      <c r="C48" s="128" t="n">
        <v>14</v>
      </c>
      <c r="D48" s="151"/>
      <c r="E48" s="151"/>
      <c r="F48" s="152"/>
      <c r="G48" s="153"/>
      <c r="H48" s="151"/>
      <c r="I48" s="151"/>
      <c r="J48" s="132" t="str">
        <f aca="false">IF(ISBLANK(D48),"",IF(VLOOKUP(D48,#REF!,2)=0,"",IF(D48&gt;#REF!,"Mauvais numéro",IF(D48&lt;#REF!,"Mauvais numéro",(VLOOKUP(D48,#REF!,3))))))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54"/>
      <c r="Q48" s="149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5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4"/>
      <c r="T48" s="124"/>
      <c r="U48" s="124"/>
      <c r="V48" s="124"/>
      <c r="W48" s="124"/>
      <c r="X48" s="124"/>
      <c r="Y48" s="124"/>
      <c r="Z48" s="124"/>
      <c r="AA48" s="124"/>
      <c r="AB48" s="124"/>
      <c r="AC48" s="124"/>
      <c r="AD48" s="124"/>
      <c r="AE48" s="124"/>
      <c r="AF48" s="124"/>
      <c r="AG48" s="124"/>
      <c r="AH48" s="124"/>
      <c r="AI48" s="124"/>
      <c r="AJ48" s="124"/>
      <c r="AK48" s="124"/>
      <c r="AL48" s="124"/>
      <c r="AM48" s="124"/>
      <c r="AN48" s="124"/>
      <c r="AO48" s="124"/>
      <c r="AP48" s="124"/>
      <c r="AQ48" s="124"/>
      <c r="AR48" s="124"/>
      <c r="AS48" s="124"/>
      <c r="AT48" s="124"/>
      <c r="AU48" s="124"/>
      <c r="AV48" s="124"/>
      <c r="AW48" s="124"/>
      <c r="AX48" s="124"/>
      <c r="AY48" s="124"/>
      <c r="AZ48" s="124"/>
      <c r="BA48" s="124"/>
      <c r="BB48" s="136"/>
    </row>
    <row r="49" customFormat="false" ht="15.6" hidden="false" customHeight="false" outlineLevel="0" collapsed="false">
      <c r="A49" s="111" t="n">
        <f aca="false">IF(ISBLANK(VLOOKUP(D49,#REF!,3)),0,1)</f>
        <v>1</v>
      </c>
      <c r="B49" s="112" t="n">
        <f aca="false">IF(ISBLANK(D49),0,IF(ISBLANK(E49),0,IF(ISBLANK(F49),0,1)))</f>
        <v>0</v>
      </c>
      <c r="C49" s="128" t="n">
        <v>15</v>
      </c>
      <c r="D49" s="151"/>
      <c r="E49" s="151"/>
      <c r="F49" s="152"/>
      <c r="G49" s="156"/>
      <c r="H49" s="151"/>
      <c r="I49" s="151"/>
      <c r="J49" s="132" t="str">
        <f aca="false">IF(ISBLANK(D49),"",IF(VLOOKUP(D49,#REF!,2)=0,"",IF(D49&gt;#REF!,"Mauvais numéro",IF(D49&lt;#REF!,"Mauvais numéro",(VLOOKUP(D49,#REF!,3))))))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57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49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24"/>
      <c r="AE49" s="124"/>
      <c r="AF49" s="124"/>
      <c r="AG49" s="124"/>
      <c r="AH49" s="124"/>
      <c r="AI49" s="124"/>
      <c r="AJ49" s="124"/>
      <c r="AK49" s="124"/>
      <c r="AL49" s="124"/>
      <c r="AM49" s="124"/>
      <c r="AN49" s="124"/>
      <c r="AO49" s="124"/>
      <c r="AP49" s="124"/>
      <c r="AQ49" s="124"/>
      <c r="AR49" s="124"/>
      <c r="AS49" s="124"/>
      <c r="AT49" s="124"/>
      <c r="AU49" s="124"/>
      <c r="AV49" s="124"/>
      <c r="AW49" s="124"/>
      <c r="AX49" s="124"/>
      <c r="AY49" s="124"/>
      <c r="AZ49" s="124"/>
      <c r="BA49" s="124"/>
      <c r="BB49" s="136"/>
    </row>
    <row r="50" customFormat="false" ht="15.6" hidden="false" customHeight="false" outlineLevel="0" collapsed="false">
      <c r="A50" s="111" t="n">
        <f aca="false">IF(ISBLANK(VLOOKUP(D50,#REF!,3)),0,1)</f>
        <v>1</v>
      </c>
      <c r="B50" s="112" t="n">
        <f aca="false">IF(ISBLANK(D50),0,IF(ISBLANK(E50),0,IF(ISBLANK(F50),0,1)))</f>
        <v>0</v>
      </c>
      <c r="C50" s="128" t="n">
        <v>16</v>
      </c>
      <c r="D50" s="151"/>
      <c r="E50" s="151"/>
      <c r="F50" s="152"/>
      <c r="G50" s="156"/>
      <c r="H50" s="151"/>
      <c r="I50" s="151"/>
      <c r="J50" s="132" t="str">
        <f aca="false">IF(ISBLANK(D50),"",IF(VLOOKUP(D50,#REF!,2)=0,"",IF(D50&gt;#REF!,"Mauvais numéro",IF(D50&lt;#REF!,"Mauvais numéro",(VLOOKUP(D50,#REF!,3))))))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57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49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24"/>
      <c r="U50" s="124"/>
      <c r="V50" s="124"/>
      <c r="W50" s="124"/>
      <c r="X50" s="124"/>
      <c r="Y50" s="124"/>
      <c r="Z50" s="124"/>
      <c r="AA50" s="124"/>
      <c r="AB50" s="124"/>
      <c r="AC50" s="124"/>
      <c r="AD50" s="124"/>
      <c r="AE50" s="124"/>
      <c r="AF50" s="124"/>
      <c r="AG50" s="124"/>
      <c r="AH50" s="124"/>
      <c r="AI50" s="124"/>
      <c r="AJ50" s="124"/>
      <c r="AK50" s="124"/>
      <c r="AL50" s="124"/>
      <c r="AM50" s="124"/>
      <c r="AN50" s="124"/>
      <c r="AO50" s="124"/>
      <c r="AP50" s="124"/>
      <c r="AQ50" s="124"/>
      <c r="AR50" s="124"/>
      <c r="AS50" s="124"/>
      <c r="AT50" s="124"/>
      <c r="AU50" s="124"/>
      <c r="AV50" s="124"/>
      <c r="AW50" s="124"/>
      <c r="AX50" s="124"/>
      <c r="AY50" s="124"/>
      <c r="AZ50" s="124"/>
      <c r="BA50" s="124"/>
      <c r="BB50" s="136"/>
    </row>
    <row r="51" customFormat="false" ht="15.6" hidden="false" customHeight="false" outlineLevel="0" collapsed="false">
      <c r="A51" s="111" t="n">
        <f aca="false">IF(ISBLANK(VLOOKUP(D51,#REF!,3)),0,1)</f>
        <v>1</v>
      </c>
      <c r="B51" s="112" t="n">
        <f aca="false">IF(ISBLANK(D51),0,IF(ISBLANK(E51),0,IF(ISBLANK(F51),0,1)))</f>
        <v>0</v>
      </c>
      <c r="C51" s="128" t="n">
        <v>17</v>
      </c>
      <c r="D51" s="151"/>
      <c r="E51" s="151"/>
      <c r="F51" s="152"/>
      <c r="G51" s="156"/>
      <c r="H51" s="151"/>
      <c r="I51" s="151"/>
      <c r="J51" s="132" t="str">
        <f aca="false">IF(ISBLANK(D51),"",IF(VLOOKUP(D51,#REF!,2)=0,"",IF(D51&gt;#REF!,"Mauvais numéro",IF(D51&lt;#REF!,"Mauvais numéro",(VLOOKUP(D51,#REF!,3))))))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57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49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24"/>
      <c r="AE51" s="124"/>
      <c r="AF51" s="124"/>
      <c r="AG51" s="124"/>
      <c r="AH51" s="124"/>
      <c r="AI51" s="124"/>
      <c r="AJ51" s="124"/>
      <c r="AK51" s="124"/>
      <c r="AL51" s="124"/>
      <c r="AM51" s="124"/>
      <c r="AN51" s="124"/>
      <c r="AO51" s="124"/>
      <c r="AP51" s="124"/>
      <c r="AQ51" s="124"/>
      <c r="AR51" s="124"/>
      <c r="AS51" s="124"/>
      <c r="AT51" s="124"/>
      <c r="AU51" s="124"/>
      <c r="AV51" s="124"/>
      <c r="AW51" s="124"/>
      <c r="AX51" s="124"/>
      <c r="AY51" s="124"/>
      <c r="AZ51" s="124"/>
      <c r="BA51" s="124"/>
      <c r="BB51" s="136"/>
    </row>
    <row r="52" customFormat="false" ht="15.6" hidden="false" customHeight="false" outlineLevel="0" collapsed="false">
      <c r="A52" s="111" t="n">
        <f aca="false">IF(ISBLANK(VLOOKUP(D52,#REF!,3)),0,1)</f>
        <v>1</v>
      </c>
      <c r="B52" s="112" t="n">
        <f aca="false">IF(ISBLANK(D52),0,IF(ISBLANK(E52),0,IF(ISBLANK(F52),0,1)))</f>
        <v>0</v>
      </c>
      <c r="C52" s="128" t="n">
        <v>18</v>
      </c>
      <c r="D52" s="151"/>
      <c r="E52" s="151"/>
      <c r="F52" s="152"/>
      <c r="G52" s="156"/>
      <c r="H52" s="151"/>
      <c r="I52" s="151"/>
      <c r="J52" s="132" t="str">
        <f aca="false">IF(ISBLANK(D52),"",IF(VLOOKUP(D52,#REF!,2)=0,"",IF(D52&gt;#REF!,"Mauvais numéro",IF(D52&lt;#REF!,"Mauvais numéro",(VLOOKUP(D52,#REF!,3))))))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57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49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24"/>
      <c r="U52" s="124"/>
      <c r="V52" s="124"/>
      <c r="W52" s="124"/>
      <c r="X52" s="124"/>
      <c r="Y52" s="124"/>
      <c r="Z52" s="124"/>
      <c r="AA52" s="124"/>
      <c r="AB52" s="124"/>
      <c r="AC52" s="124"/>
      <c r="AD52" s="124"/>
      <c r="AE52" s="124"/>
      <c r="AF52" s="124"/>
      <c r="AG52" s="124"/>
      <c r="AH52" s="124"/>
      <c r="AI52" s="124"/>
      <c r="AJ52" s="124"/>
      <c r="AK52" s="124"/>
      <c r="AL52" s="124"/>
      <c r="AM52" s="124"/>
      <c r="AN52" s="124"/>
      <c r="AO52" s="124"/>
      <c r="AP52" s="124"/>
      <c r="AQ52" s="124"/>
      <c r="AR52" s="124"/>
      <c r="AS52" s="124"/>
      <c r="AT52" s="124"/>
      <c r="AU52" s="124"/>
      <c r="AV52" s="124"/>
      <c r="AW52" s="124"/>
      <c r="AX52" s="124"/>
      <c r="AY52" s="124"/>
      <c r="AZ52" s="124"/>
      <c r="BA52" s="124"/>
      <c r="BB52" s="136"/>
    </row>
    <row r="53" customFormat="false" ht="15.6" hidden="false" customHeight="false" outlineLevel="0" collapsed="false">
      <c r="A53" s="111" t="n">
        <f aca="false">IF(ISBLANK(VLOOKUP(D53,#REF!,3)),0,1)</f>
        <v>1</v>
      </c>
      <c r="B53" s="112" t="n">
        <f aca="false">IF(ISBLANK(D53),0,IF(ISBLANK(E53),0,IF(ISBLANK(F53),0,1)))</f>
        <v>0</v>
      </c>
      <c r="C53" s="128" t="n">
        <v>19</v>
      </c>
      <c r="D53" s="151"/>
      <c r="E53" s="151"/>
      <c r="F53" s="152"/>
      <c r="G53" s="156"/>
      <c r="H53" s="151"/>
      <c r="I53" s="151"/>
      <c r="J53" s="132" t="str">
        <f aca="false">IF(ISBLANK(D53),"",IF(VLOOKUP(D53,#REF!,2)=0,"",IF(D53&gt;#REF!,"Mauvais numéro",IF(D53&lt;#REF!,"Mauvais numéro",(VLOOKUP(D53,#REF!,3))))))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57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49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24"/>
      <c r="U53" s="124"/>
      <c r="V53" s="124"/>
      <c r="W53" s="124"/>
      <c r="X53" s="12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24"/>
      <c r="AJ53" s="124"/>
      <c r="AK53" s="124"/>
      <c r="AL53" s="124"/>
      <c r="AM53" s="124"/>
      <c r="AN53" s="124"/>
      <c r="AO53" s="124"/>
      <c r="AP53" s="124"/>
      <c r="AQ53" s="124"/>
      <c r="AR53" s="124"/>
      <c r="AS53" s="124"/>
      <c r="AT53" s="124"/>
      <c r="AU53" s="124"/>
      <c r="AV53" s="124"/>
      <c r="AW53" s="124"/>
      <c r="AX53" s="124"/>
      <c r="AY53" s="124"/>
      <c r="AZ53" s="124"/>
      <c r="BA53" s="124"/>
      <c r="BB53" s="136"/>
    </row>
    <row r="54" customFormat="false" ht="15.6" hidden="false" customHeight="false" outlineLevel="0" collapsed="false">
      <c r="A54" s="111" t="n">
        <f aca="false">IF(ISBLANK(VLOOKUP(D54,#REF!,3)),0,1)</f>
        <v>1</v>
      </c>
      <c r="B54" s="112" t="n">
        <f aca="false">IF(ISBLANK(D54),0,IF(ISBLANK(E54),0,IF(ISBLANK(F54),0,1)))</f>
        <v>0</v>
      </c>
      <c r="C54" s="128" t="n">
        <v>20</v>
      </c>
      <c r="D54" s="151"/>
      <c r="E54" s="151"/>
      <c r="F54" s="152"/>
      <c r="G54" s="156"/>
      <c r="H54" s="151"/>
      <c r="I54" s="151"/>
      <c r="J54" s="132" t="str">
        <f aca="false">IF(ISBLANK(D54),"",IF(VLOOKUP(D54,#REF!,2)=0,"",IF(D54&gt;#REF!,"Mauvais numéro",IF(D54&lt;#REF!,"Mauvais numéro",(VLOOKUP(D54,#REF!,3))))))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57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49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4"/>
      <c r="U54" s="124"/>
      <c r="V54" s="124"/>
      <c r="W54" s="124"/>
      <c r="X54" s="124"/>
      <c r="Y54" s="124"/>
      <c r="Z54" s="124"/>
      <c r="AA54" s="124"/>
      <c r="AB54" s="124"/>
      <c r="AC54" s="124"/>
      <c r="AD54" s="124"/>
      <c r="AE54" s="124"/>
      <c r="AF54" s="124"/>
      <c r="AG54" s="124"/>
      <c r="AH54" s="124"/>
      <c r="AI54" s="124"/>
      <c r="AJ54" s="124"/>
      <c r="AK54" s="124"/>
      <c r="AL54" s="124"/>
      <c r="AM54" s="124"/>
      <c r="AN54" s="124"/>
      <c r="AO54" s="124"/>
      <c r="AP54" s="124"/>
      <c r="AQ54" s="124"/>
      <c r="AR54" s="124"/>
      <c r="AS54" s="124"/>
      <c r="AT54" s="124"/>
      <c r="AU54" s="124"/>
      <c r="AV54" s="124"/>
      <c r="AW54" s="124"/>
      <c r="AX54" s="124"/>
      <c r="AY54" s="124"/>
      <c r="AZ54" s="124"/>
      <c r="BA54" s="124"/>
      <c r="BB54" s="136"/>
    </row>
    <row r="55" customFormat="false" ht="15.6" hidden="false" customHeight="false" outlineLevel="0" collapsed="false">
      <c r="A55" s="111" t="n">
        <f aca="false">IF(ISBLANK(VLOOKUP(D55,#REF!,3)),0,1)</f>
        <v>1</v>
      </c>
      <c r="B55" s="112" t="n">
        <f aca="false">IF(ISBLANK(D55),0,IF(ISBLANK(E55),0,IF(ISBLANK(F55),0,1)))</f>
        <v>0</v>
      </c>
      <c r="C55" s="128" t="n">
        <v>21</v>
      </c>
      <c r="D55" s="151"/>
      <c r="E55" s="151"/>
      <c r="F55" s="152"/>
      <c r="G55" s="156"/>
      <c r="H55" s="151"/>
      <c r="I55" s="151"/>
      <c r="J55" s="132" t="str">
        <f aca="false">IF(ISBLANK(D55),"",IF(VLOOKUP(D55,#REF!,2)=0,"",IF(D55&gt;#REF!,"Mauvais numéro",IF(D55&lt;#REF!,"Mauvais numéro",(VLOOKUP(D55,#REF!,3))))))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57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49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24"/>
      <c r="U55" s="124"/>
      <c r="V55" s="124"/>
      <c r="W55" s="124"/>
      <c r="X55" s="124"/>
      <c r="Y55" s="124"/>
      <c r="Z55" s="124"/>
      <c r="AA55" s="124"/>
      <c r="AB55" s="124"/>
      <c r="AC55" s="124"/>
      <c r="AD55" s="124"/>
      <c r="AE55" s="124"/>
      <c r="AF55" s="124"/>
      <c r="AG55" s="124"/>
      <c r="AH55" s="124"/>
      <c r="AI55" s="124"/>
      <c r="AJ55" s="124"/>
      <c r="AK55" s="124"/>
      <c r="AL55" s="124"/>
      <c r="AM55" s="124"/>
      <c r="AN55" s="124"/>
      <c r="AO55" s="124"/>
      <c r="AP55" s="124"/>
      <c r="AQ55" s="124"/>
      <c r="AR55" s="124"/>
      <c r="AS55" s="124"/>
      <c r="AT55" s="124"/>
      <c r="AU55" s="124"/>
      <c r="AV55" s="124"/>
      <c r="AW55" s="124"/>
      <c r="AX55" s="124"/>
      <c r="AY55" s="124"/>
      <c r="AZ55" s="124"/>
      <c r="BA55" s="124"/>
      <c r="BB55" s="136"/>
    </row>
    <row r="56" customFormat="false" ht="15.6" hidden="false" customHeight="false" outlineLevel="0" collapsed="false">
      <c r="A56" s="111" t="n">
        <f aca="false">IF(ISBLANK(VLOOKUP(D56,#REF!,3)),0,1)</f>
        <v>1</v>
      </c>
      <c r="B56" s="112" t="n">
        <f aca="false">IF(ISBLANK(D56),0,IF(ISBLANK(E56),0,IF(ISBLANK(F56),0,1)))</f>
        <v>0</v>
      </c>
      <c r="C56" s="128" t="n">
        <v>22</v>
      </c>
      <c r="D56" s="151"/>
      <c r="E56" s="151"/>
      <c r="F56" s="152"/>
      <c r="G56" s="156"/>
      <c r="H56" s="151"/>
      <c r="I56" s="151"/>
      <c r="J56" s="132" t="str">
        <f aca="false">IF(ISBLANK(D56),"",IF(VLOOKUP(D56,#REF!,2)=0,"",IF(D56&gt;#REF!,"Mauvais numéro",IF(D56&lt;#REF!,"Mauvais numéro",(VLOOKUP(D56,#REF!,3))))))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57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49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24"/>
      <c r="AE56" s="124"/>
      <c r="AF56" s="124"/>
      <c r="AG56" s="124"/>
      <c r="AH56" s="124"/>
      <c r="AI56" s="124"/>
      <c r="AJ56" s="124"/>
      <c r="AK56" s="124"/>
      <c r="AL56" s="124"/>
      <c r="AM56" s="124"/>
      <c r="AN56" s="124"/>
      <c r="AO56" s="124"/>
      <c r="AP56" s="124"/>
      <c r="AQ56" s="124"/>
      <c r="AR56" s="124"/>
      <c r="AS56" s="124"/>
      <c r="AT56" s="124"/>
      <c r="AU56" s="124"/>
      <c r="AV56" s="124"/>
      <c r="AW56" s="124"/>
      <c r="AX56" s="124"/>
      <c r="AY56" s="124"/>
      <c r="AZ56" s="124"/>
      <c r="BA56" s="124"/>
      <c r="BB56" s="136"/>
    </row>
    <row r="57" customFormat="false" ht="15.6" hidden="false" customHeight="false" outlineLevel="0" collapsed="false">
      <c r="A57" s="111" t="n">
        <f aca="false">IF(ISBLANK(VLOOKUP(D57,#REF!,3)),0,1)</f>
        <v>1</v>
      </c>
      <c r="B57" s="112" t="n">
        <f aca="false">IF(ISBLANK(D57),0,IF(ISBLANK(E57),0,IF(ISBLANK(F57),0,1)))</f>
        <v>0</v>
      </c>
      <c r="C57" s="128" t="n">
        <v>23</v>
      </c>
      <c r="D57" s="151"/>
      <c r="E57" s="151"/>
      <c r="F57" s="152"/>
      <c r="G57" s="156"/>
      <c r="H57" s="151"/>
      <c r="I57" s="151"/>
      <c r="J57" s="132" t="str">
        <f aca="false">IF(ISBLANK(D57),"",IF(VLOOKUP(D57,#REF!,2)=0,"",IF(D57&gt;#REF!,"Mauvais numéro",IF(D57&lt;#REF!,"Mauvais numéro",(VLOOKUP(D57,#REF!,3))))))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57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49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4"/>
      <c r="U57" s="124"/>
      <c r="V57" s="124"/>
      <c r="W57" s="124"/>
      <c r="X57" s="124"/>
      <c r="Y57" s="124"/>
      <c r="Z57" s="124"/>
      <c r="AA57" s="124"/>
      <c r="AB57" s="124"/>
      <c r="AC57" s="124"/>
      <c r="AD57" s="124"/>
      <c r="AE57" s="124"/>
      <c r="AF57" s="124"/>
      <c r="AG57" s="124"/>
      <c r="AH57" s="124"/>
      <c r="AI57" s="124"/>
      <c r="AJ57" s="124"/>
      <c r="AK57" s="124"/>
      <c r="AL57" s="124"/>
      <c r="AM57" s="124"/>
      <c r="AN57" s="124"/>
      <c r="AO57" s="124"/>
      <c r="AP57" s="124"/>
      <c r="AQ57" s="124"/>
      <c r="AR57" s="124"/>
      <c r="AS57" s="124"/>
      <c r="AT57" s="124"/>
      <c r="AU57" s="124"/>
      <c r="AV57" s="124"/>
      <c r="AW57" s="124"/>
      <c r="AX57" s="124"/>
      <c r="AY57" s="124"/>
      <c r="AZ57" s="124"/>
      <c r="BA57" s="124"/>
      <c r="BB57" s="136"/>
    </row>
    <row r="58" customFormat="false" ht="16.2" hidden="false" customHeight="false" outlineLevel="0" collapsed="false">
      <c r="A58" s="111" t="n">
        <f aca="false">IF(ISBLANK(VLOOKUP(D58,#REF!,3)),0,1)</f>
        <v>1</v>
      </c>
      <c r="B58" s="112" t="n">
        <f aca="false">IF(ISBLANK(D58),0,IF(ISBLANK(E58),0,IF(ISBLANK(F58),0,1)))</f>
        <v>0</v>
      </c>
      <c r="C58" s="158" t="n">
        <v>24</v>
      </c>
      <c r="D58" s="159"/>
      <c r="E58" s="159"/>
      <c r="F58" s="160"/>
      <c r="G58" s="161"/>
      <c r="H58" s="159"/>
      <c r="I58" s="159"/>
      <c r="J58" s="162" t="str">
        <f aca="false">IF(ISBLANK(D58),"",IF(VLOOKUP(D58,#REF!,2)=0,"",IF(D58&gt;#REF!,"Mauvais numéro",IF(D58&lt;#REF!,"Mauvais numéro",(VLOOKUP(D58,#REF!,3))))))</f>
        <v/>
      </c>
      <c r="K58" s="163" t="str">
        <f aca="false">IF(ISBLANK(E58),"",(0.000824493-(0.0000040899*E58)+(0.000000076438*E58^2)-(0.00000000082467*E58^3)+(0.0000000000053875*E58^4)))</f>
        <v/>
      </c>
      <c r="L58" s="163" t="str">
        <f aca="false">IF(ISBLANK(E58),"",(-0.00000572466+(0.00000010227*E58)-(0.0000000016546*E58^2)))</f>
        <v/>
      </c>
      <c r="M58" s="163" t="str">
        <f aca="false">IF(ISBLANK(E58),"",IF(ISBLANK(G58),(O58+(K58*35)+(L58*35^1.5)+(0.00000048314*35^2)),(O58+(K58*G58)+(L58*G58^1.5)+(0.00000048314*G58^2))))</f>
        <v/>
      </c>
      <c r="N58" s="164" t="str">
        <f aca="false">IF(ISBLANK(D58),"",IF(ISBLANK(G58),J58*(1+0.00001*(35-20)),J58*(1+0.00001*(G58-20))))</f>
        <v/>
      </c>
      <c r="O58" s="163" t="str">
        <f aca="false">IF(ISBLANK(E58),"",(0.999842594+(0.00006793952*E58)-(0.00000909529*E58^2)+(0.0000001001685*E58^3)-(0.000000001120083*E58^4)+(0.000000000006536332*E58^5)))</f>
        <v/>
      </c>
      <c r="P58" s="165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66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7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7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68"/>
      <c r="U58" s="168"/>
      <c r="V58" s="168"/>
      <c r="W58" s="168"/>
      <c r="X58" s="168"/>
      <c r="Y58" s="168"/>
      <c r="Z58" s="168"/>
      <c r="AA58" s="168"/>
      <c r="AB58" s="168"/>
      <c r="AC58" s="168"/>
      <c r="AD58" s="168"/>
      <c r="AE58" s="168"/>
      <c r="AF58" s="168"/>
      <c r="AG58" s="168"/>
      <c r="AH58" s="168"/>
      <c r="AI58" s="168"/>
      <c r="AJ58" s="168"/>
      <c r="AK58" s="168"/>
      <c r="AL58" s="168"/>
      <c r="AM58" s="168"/>
      <c r="AN58" s="168"/>
      <c r="AO58" s="168"/>
      <c r="AP58" s="168"/>
      <c r="AQ58" s="168"/>
      <c r="AR58" s="168"/>
      <c r="AS58" s="168"/>
      <c r="AT58" s="168"/>
      <c r="AU58" s="168"/>
      <c r="AV58" s="168"/>
      <c r="AW58" s="168"/>
      <c r="AX58" s="168"/>
      <c r="AY58" s="168"/>
      <c r="AZ58" s="168"/>
      <c r="BA58" s="168"/>
      <c r="BB58" s="169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P1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8178137651822"/>
    <col collapsed="false" hidden="false" max="32" min="32" style="0" width="9.10526315789474"/>
    <col collapsed="false" hidden="false" max="33" min="33" style="0" width="26.5668016194332"/>
    <col collapsed="false" hidden="false" max="34" min="34" style="0" width="12.8542510121458"/>
    <col collapsed="false" hidden="false" max="35" min="35" style="0" width="11.1417004048583"/>
    <col collapsed="false" hidden="false" max="36" min="36" style="0" width="14.5668016194332"/>
    <col collapsed="false" hidden="false" max="37" min="37" style="0" width="12.2105263157895"/>
    <col collapsed="false" hidden="false" max="38" min="38" style="0" width="26.995951417004"/>
    <col collapsed="false" hidden="false" max="39" min="39" style="0" width="14.6761133603239"/>
    <col collapsed="false" hidden="false" max="40" min="40" style="0" width="11.3562753036437"/>
    <col collapsed="false" hidden="false" max="41" min="41" style="0" width="12.5344129554656"/>
    <col collapsed="false" hidden="false" max="42" min="42" style="0" width="10.7125506072875"/>
    <col collapsed="false" hidden="false" max="43" min="43" style="0" width="6.31983805668016"/>
    <col collapsed="false" hidden="false" max="44" min="44" style="0" width="19.7085020242915"/>
    <col collapsed="false" hidden="false" max="45" min="45" style="0" width="13.0688259109312"/>
    <col collapsed="false" hidden="false" max="46" min="46" style="0" width="17.7813765182186"/>
    <col collapsed="false" hidden="false" max="47" min="47" style="0" width="14.6761133603239"/>
    <col collapsed="false" hidden="false" max="48" min="48" style="0" width="13.6032388663968"/>
    <col collapsed="false" hidden="false" max="49" min="49" style="0" width="13.7125506072874"/>
    <col collapsed="false" hidden="false" max="50" min="50" style="0" width="19.9230769230769"/>
    <col collapsed="false" hidden="false" max="51" min="51" style="0" width="13.2834008097166"/>
    <col collapsed="false" hidden="false" max="52" min="52" style="0" width="17.6761133603239"/>
    <col collapsed="false" hidden="false" max="53" min="53" style="0" width="13.3886639676113"/>
    <col collapsed="false" hidden="false" max="54" min="54" style="0" width="12.6396761133603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22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38544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3</v>
      </c>
      <c r="J9" s="29" t="n">
        <v>0.05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-3°0,05</v>
      </c>
      <c r="P9" s="29" t="s">
        <v>15</v>
      </c>
      <c r="Q9" s="33" t="n">
        <f aca="false">IF(ISBLANK(I9),"",IF(ISBLANK(J9),"",IF(J9&gt;60,"ERREUR !!",O11*(I9+(J9/60)))))</f>
        <v>-3.00083333333333</v>
      </c>
      <c r="R9" s="33"/>
    </row>
    <row r="10" customFormat="false" ht="15" hidden="false" customHeight="true" outlineLevel="0" collapsed="false">
      <c r="C10" s="21"/>
      <c r="D10" s="18"/>
      <c r="G10" s="27" t="s">
        <v>16</v>
      </c>
      <c r="H10" s="27"/>
      <c r="I10" s="28" t="n">
        <v>9</v>
      </c>
      <c r="J10" s="29" t="n">
        <v>59.88</v>
      </c>
      <c r="K10" s="30" t="s">
        <v>12</v>
      </c>
      <c r="L10" s="31" t="str">
        <f aca="false">IF(P10=N9,"+","-")</f>
        <v>-</v>
      </c>
      <c r="M10" s="30" t="s">
        <v>15</v>
      </c>
      <c r="N10" s="30" t="s">
        <v>17</v>
      </c>
      <c r="O10" s="34" t="str">
        <f aca="false">IF(ISBLANK(I10),"",IF(ISBLANK(J10),"",IF(P10=N10,L10&amp;N12,N12)))</f>
        <v>-9°59,88</v>
      </c>
      <c r="P10" s="29" t="s">
        <v>17</v>
      </c>
      <c r="Q10" s="33" t="n">
        <f aca="false">IF(ISBLANK(I10),"",IF(ISBLANK(J10),"",IF(J10&gt;60,"ERREUR !!",O12*(I10+(J10/60)))))</f>
        <v>-9.998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38544</v>
      </c>
      <c r="K11" s="38"/>
      <c r="L11" s="38"/>
      <c r="M11" s="38"/>
      <c r="N11" s="39" t="str">
        <f aca="false">I9&amp;"°"&amp;J9</f>
        <v>3°0,05</v>
      </c>
      <c r="O11" s="40" t="n">
        <f aca="false">IF(P9=M10,-1,1)</f>
        <v>-1</v>
      </c>
      <c r="P11" s="41" t="str">
        <f aca="false">TEXT(J11,"aaaa-mm-jj")&amp;"T"&amp;TEXT(J12,"hh:mm:ss")&amp;"z"</f>
        <v>2009-07-12T14:30:00z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0.604166666666667</v>
      </c>
      <c r="K12" s="45"/>
      <c r="L12" s="45"/>
      <c r="M12" s="45"/>
      <c r="N12" s="46" t="str">
        <f aca="false">I10&amp;"°"&amp;J10</f>
        <v>9°59,88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e">
        <f aca="false">$P$24*($P$18/#REF!)</f>
        <v>#REF!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e">
        <f aca="false">5+#REF!</f>
        <v>#REF!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e">
        <f aca="false">P20*(1+0.00001*(R14-20))</f>
        <v>#REF!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e">
        <f aca="false">MAX(#REF!)</f>
        <v>#VALUE!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e">
        <f aca="false">2+(#REF!+#REF!)</f>
        <v>#REF!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52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53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IF(ISBLANK(VLOOKUP(D35,#REF!,3)),0,1)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n">
        <v>34.956</v>
      </c>
      <c r="H35" s="131" t="n">
        <v>2000</v>
      </c>
      <c r="I35" s="119" t="n">
        <v>2001.4</v>
      </c>
      <c r="J35" s="120"/>
      <c r="K35" s="121"/>
      <c r="L35" s="121"/>
      <c r="M35" s="121"/>
      <c r="N35" s="122"/>
      <c r="O35" s="121"/>
      <c r="P35" s="120" t="n">
        <v>5.648</v>
      </c>
      <c r="Q35" s="120"/>
      <c r="R35" s="120"/>
      <c r="S35" s="179" t="n">
        <v>245.4</v>
      </c>
      <c r="T35" s="32" t="n">
        <v>0.03</v>
      </c>
      <c r="U35" s="32" t="n">
        <v>0.03</v>
      </c>
      <c r="V35" s="32"/>
      <c r="W35" s="32"/>
      <c r="X35" s="125" t="n">
        <v>21</v>
      </c>
      <c r="Y35" s="125" t="n">
        <v>20.5</v>
      </c>
      <c r="Z35" s="32" t="n">
        <v>1.51</v>
      </c>
      <c r="AA35" s="32" t="n">
        <v>1.48</v>
      </c>
      <c r="AB35" s="125" t="n">
        <v>23.5</v>
      </c>
      <c r="AC35" s="125" t="n">
        <v>23</v>
      </c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7"/>
    </row>
    <row r="36" customFormat="false" ht="15.6" hidden="false" customHeight="false" outlineLevel="0" collapsed="false">
      <c r="A36" s="111" t="n">
        <f aca="false">IF(ISBLANK(VLOOKUP(D36,#REF!,3)),0,1)</f>
        <v>1</v>
      </c>
      <c r="B36" s="112" t="n">
        <f aca="false">IF(ISBLANK(D36),0,IF(ISBLANK(E36),0,IF(ISBLANK(F36),0,1)))</f>
        <v>0</v>
      </c>
      <c r="C36" s="128" t="n">
        <v>2</v>
      </c>
      <c r="D36" s="129"/>
      <c r="E36" s="129"/>
      <c r="F36" s="130"/>
      <c r="G36" s="117" t="n">
        <v>34.6065</v>
      </c>
      <c r="H36" s="131" t="n">
        <v>1000</v>
      </c>
      <c r="I36" s="119" t="n">
        <v>1001.1</v>
      </c>
      <c r="J36" s="132"/>
      <c r="K36" s="133"/>
      <c r="L36" s="133"/>
      <c r="M36" s="133"/>
      <c r="N36" s="134"/>
      <c r="O36" s="133"/>
      <c r="P36" s="132" t="n">
        <v>3.656</v>
      </c>
      <c r="Q36" s="132"/>
      <c r="R36" s="132"/>
      <c r="S36" s="125" t="n">
        <v>158.9</v>
      </c>
      <c r="T36" s="32" t="n">
        <v>0.03</v>
      </c>
      <c r="U36" s="32" t="n">
        <v>0.03</v>
      </c>
      <c r="V36" s="32"/>
      <c r="W36" s="32"/>
      <c r="X36" s="125" t="n">
        <v>33.6</v>
      </c>
      <c r="Y36" s="125" t="n">
        <v>32.8</v>
      </c>
      <c r="Z36" s="32" t="n">
        <v>2.31</v>
      </c>
      <c r="AA36" s="32" t="n">
        <v>2.25</v>
      </c>
      <c r="AB36" s="125" t="n">
        <v>31.2</v>
      </c>
      <c r="AC36" s="125" t="n">
        <v>30.5</v>
      </c>
      <c r="AD36" s="124"/>
      <c r="AE36" s="124"/>
      <c r="AF36" s="124"/>
      <c r="AG36" s="124"/>
      <c r="AH36" s="124"/>
      <c r="AI36" s="124"/>
      <c r="AJ36" s="124"/>
      <c r="AK36" s="124"/>
      <c r="AL36" s="124"/>
      <c r="AM36" s="124"/>
      <c r="AN36" s="124"/>
      <c r="AO36" s="124"/>
      <c r="AP36" s="124"/>
      <c r="AQ36" s="124"/>
      <c r="AR36" s="124"/>
      <c r="AS36" s="124"/>
      <c r="AT36" s="124"/>
      <c r="AU36" s="124"/>
      <c r="AV36" s="124"/>
      <c r="AW36" s="124"/>
      <c r="AX36" s="124"/>
      <c r="AY36" s="124"/>
      <c r="AZ36" s="124"/>
      <c r="BA36" s="124"/>
      <c r="BB36" s="136"/>
    </row>
    <row r="37" customFormat="false" ht="15.6" hidden="false" customHeight="false" outlineLevel="0" collapsed="false">
      <c r="A37" s="111" t="n">
        <f aca="false">IF(ISBLANK(VLOOKUP(D37,#REF!,3)),0,1)</f>
        <v>1</v>
      </c>
      <c r="B37" s="112" t="n">
        <f aca="false">IF(ISBLANK(D37),0,IF(ISBLANK(E37),0,IF(ISBLANK(F37),0,1)))</f>
        <v>0</v>
      </c>
      <c r="C37" s="128" t="n">
        <v>3</v>
      </c>
      <c r="D37" s="129"/>
      <c r="E37" s="129"/>
      <c r="F37" s="137"/>
      <c r="G37" s="117" t="n">
        <v>34.6005</v>
      </c>
      <c r="H37" s="131" t="n">
        <v>500</v>
      </c>
      <c r="I37" s="119" t="n">
        <v>501.1</v>
      </c>
      <c r="J37" s="132"/>
      <c r="K37" s="133"/>
      <c r="L37" s="133"/>
      <c r="M37" s="133"/>
      <c r="N37" s="134"/>
      <c r="O37" s="133"/>
      <c r="P37" s="132" t="n">
        <v>2.338</v>
      </c>
      <c r="Q37" s="132"/>
      <c r="R37" s="132"/>
      <c r="S37" s="125" t="n">
        <v>101.7</v>
      </c>
      <c r="T37" s="32" t="n">
        <v>0.03</v>
      </c>
      <c r="U37" s="32" t="n">
        <v>0.03</v>
      </c>
      <c r="V37" s="32"/>
      <c r="W37" s="32"/>
      <c r="X37" s="125" t="n">
        <v>36.8</v>
      </c>
      <c r="Y37" s="125" t="n">
        <v>36</v>
      </c>
      <c r="Z37" s="32" t="n">
        <v>2.41</v>
      </c>
      <c r="AA37" s="32" t="n">
        <v>2.36</v>
      </c>
      <c r="AB37" s="125" t="n">
        <v>21.5</v>
      </c>
      <c r="AC37" s="125" t="n">
        <v>21</v>
      </c>
      <c r="AD37" s="124"/>
      <c r="AE37" s="124"/>
      <c r="AF37" s="124"/>
      <c r="AG37" s="124"/>
      <c r="AH37" s="124"/>
      <c r="AI37" s="124"/>
      <c r="AJ37" s="124"/>
      <c r="AK37" s="124"/>
      <c r="AL37" s="124"/>
      <c r="AM37" s="124"/>
      <c r="AN37" s="124"/>
      <c r="AO37" s="124"/>
      <c r="AP37" s="124"/>
      <c r="AQ37" s="124"/>
      <c r="AR37" s="124"/>
      <c r="AS37" s="124"/>
      <c r="AT37" s="124"/>
      <c r="AU37" s="124"/>
      <c r="AV37" s="124"/>
      <c r="AW37" s="124"/>
      <c r="AX37" s="124"/>
      <c r="AY37" s="124"/>
      <c r="AZ37" s="124"/>
      <c r="BA37" s="124"/>
      <c r="BB37" s="136"/>
    </row>
    <row r="38" customFormat="false" ht="15.6" hidden="false" customHeight="false" outlineLevel="0" collapsed="false">
      <c r="A38" s="111" t="n">
        <f aca="false">IF(ISBLANK(VLOOKUP(D38,#REF!,3)),0,1)</f>
        <v>1</v>
      </c>
      <c r="B38" s="112" t="n">
        <f aca="false">IF(ISBLANK(D38),0,IF(ISBLANK(E38),0,IF(ISBLANK(F38),0,1)))</f>
        <v>0</v>
      </c>
      <c r="C38" s="128" t="n">
        <v>4</v>
      </c>
      <c r="D38" s="138"/>
      <c r="E38" s="138"/>
      <c r="F38" s="139"/>
      <c r="G38" s="117" t="n">
        <v>35.4746</v>
      </c>
      <c r="H38" s="131" t="n">
        <v>100</v>
      </c>
      <c r="I38" s="119" t="n">
        <v>100.9</v>
      </c>
      <c r="J38" s="132"/>
      <c r="K38" s="133"/>
      <c r="L38" s="133"/>
      <c r="M38" s="133"/>
      <c r="N38" s="134"/>
      <c r="O38" s="133"/>
      <c r="P38" s="132" t="n">
        <v>2.351</v>
      </c>
      <c r="Q38" s="132"/>
      <c r="R38" s="132"/>
      <c r="S38" s="125" t="n">
        <v>102.3</v>
      </c>
      <c r="T38" s="32" t="n">
        <v>0.05</v>
      </c>
      <c r="U38" s="32" t="n">
        <v>0.04</v>
      </c>
      <c r="V38" s="32"/>
      <c r="W38" s="32"/>
      <c r="X38" s="125" t="n">
        <v>21.6</v>
      </c>
      <c r="Y38" s="125" t="n">
        <v>21.1</v>
      </c>
      <c r="Z38" s="32" t="n">
        <v>1.48</v>
      </c>
      <c r="AA38" s="32" t="n">
        <v>1.45</v>
      </c>
      <c r="AB38" s="125" t="n">
        <v>7.3</v>
      </c>
      <c r="AC38" s="125" t="n">
        <v>7.1</v>
      </c>
      <c r="AD38" s="124"/>
      <c r="AE38" s="124"/>
      <c r="AF38" s="124"/>
      <c r="AG38" s="124"/>
      <c r="AH38" s="124"/>
      <c r="AI38" s="124"/>
      <c r="AJ38" s="124"/>
      <c r="AK38" s="124"/>
      <c r="AL38" s="124"/>
      <c r="AM38" s="124"/>
      <c r="AN38" s="124"/>
      <c r="AO38" s="124"/>
      <c r="AP38" s="124"/>
      <c r="AQ38" s="124"/>
      <c r="AR38" s="124"/>
      <c r="AS38" s="124"/>
      <c r="AT38" s="124"/>
      <c r="AU38" s="124"/>
      <c r="AV38" s="124"/>
      <c r="AW38" s="124"/>
      <c r="AX38" s="124"/>
      <c r="AY38" s="124"/>
      <c r="AZ38" s="124"/>
      <c r="BA38" s="124"/>
      <c r="BB38" s="136"/>
    </row>
    <row r="39" customFormat="false" ht="15.6" hidden="false" customHeight="false" outlineLevel="0" collapsed="false">
      <c r="A39" s="111" t="n">
        <f aca="false">IF(ISBLANK(VLOOKUP(D39,#REF!,3)),0,1)</f>
        <v>1</v>
      </c>
      <c r="B39" s="112" t="n">
        <f aca="false">IF(ISBLANK(D39),0,IF(ISBLANK(E39),0,IF(ISBLANK(F39),0,1)))</f>
        <v>0</v>
      </c>
      <c r="C39" s="128" t="n">
        <v>5</v>
      </c>
      <c r="D39" s="129"/>
      <c r="E39" s="129"/>
      <c r="F39" s="137"/>
      <c r="G39" s="117"/>
      <c r="H39" s="131" t="n">
        <v>80</v>
      </c>
      <c r="I39" s="119"/>
      <c r="J39" s="132"/>
      <c r="K39" s="133"/>
      <c r="L39" s="133"/>
      <c r="M39" s="133"/>
      <c r="N39" s="134"/>
      <c r="O39" s="133"/>
      <c r="P39" s="132"/>
      <c r="Q39" s="132"/>
      <c r="R39" s="132"/>
      <c r="S39" s="125"/>
      <c r="T39" s="32" t="n">
        <v>0.05</v>
      </c>
      <c r="U39" s="32" t="n">
        <v>0.05</v>
      </c>
      <c r="V39" s="32"/>
      <c r="W39" s="32"/>
      <c r="X39" s="125" t="n">
        <v>20.3</v>
      </c>
      <c r="Y39" s="125" t="n">
        <v>19.9</v>
      </c>
      <c r="Z39" s="32" t="n">
        <v>1.43</v>
      </c>
      <c r="AA39" s="32" t="n">
        <v>1.4</v>
      </c>
      <c r="AB39" s="125" t="n">
        <v>6.6</v>
      </c>
      <c r="AC39" s="125" t="n">
        <v>6.4</v>
      </c>
      <c r="AD39" s="124"/>
      <c r="AE39" s="124"/>
      <c r="AF39" s="124"/>
      <c r="AG39" s="124"/>
      <c r="AH39" s="124"/>
      <c r="AI39" s="124"/>
      <c r="AJ39" s="124"/>
      <c r="AK39" s="124"/>
      <c r="AL39" s="124"/>
      <c r="AM39" s="124"/>
      <c r="AN39" s="124"/>
      <c r="AO39" s="124"/>
      <c r="AP39" s="124"/>
      <c r="AQ39" s="124"/>
      <c r="AR39" s="124"/>
      <c r="AS39" s="124"/>
      <c r="AT39" s="124"/>
      <c r="AU39" s="124"/>
      <c r="AV39" s="124"/>
      <c r="AW39" s="124"/>
      <c r="AX39" s="124"/>
      <c r="AY39" s="124"/>
      <c r="AZ39" s="124"/>
      <c r="BA39" s="124"/>
      <c r="BB39" s="136"/>
    </row>
    <row r="40" customFormat="false" ht="15.6" hidden="false" customHeight="false" outlineLevel="0" collapsed="false">
      <c r="A40" s="111" t="n">
        <f aca="false">IF(ISBLANK(VLOOKUP(D40,#REF!,3)),0,1)</f>
        <v>1</v>
      </c>
      <c r="B40" s="112" t="n">
        <f aca="false">IF(ISBLANK(D40),0,IF(ISBLANK(E40),0,IF(ISBLANK(F40),0,1)))</f>
        <v>0</v>
      </c>
      <c r="C40" s="128" t="n">
        <v>6</v>
      </c>
      <c r="D40" s="129"/>
      <c r="E40" s="129"/>
      <c r="F40" s="137"/>
      <c r="G40" s="117"/>
      <c r="H40" s="131" t="n">
        <v>60</v>
      </c>
      <c r="I40" s="119"/>
      <c r="J40" s="132"/>
      <c r="K40" s="133"/>
      <c r="L40" s="133"/>
      <c r="M40" s="133"/>
      <c r="N40" s="134"/>
      <c r="O40" s="133"/>
      <c r="P40" s="132"/>
      <c r="Q40" s="132"/>
      <c r="R40" s="132"/>
      <c r="S40" s="125"/>
      <c r="T40" s="32" t="n">
        <v>0.09</v>
      </c>
      <c r="U40" s="32" t="n">
        <v>0.09</v>
      </c>
      <c r="V40" s="32"/>
      <c r="W40" s="32"/>
      <c r="X40" s="125" t="n">
        <v>19.1</v>
      </c>
      <c r="Y40" s="125" t="n">
        <v>18.6</v>
      </c>
      <c r="Z40" s="32" t="n">
        <v>1.35</v>
      </c>
      <c r="AA40" s="32" t="n">
        <v>1.32</v>
      </c>
      <c r="AB40" s="125" t="n">
        <v>6.1</v>
      </c>
      <c r="AC40" s="125" t="n">
        <v>6</v>
      </c>
      <c r="AD40" s="124"/>
      <c r="AE40" s="124"/>
      <c r="AF40" s="124"/>
      <c r="AG40" s="124"/>
      <c r="AH40" s="124"/>
      <c r="AI40" s="124"/>
      <c r="AJ40" s="124"/>
      <c r="AK40" s="124"/>
      <c r="AL40" s="124"/>
      <c r="AM40" s="124"/>
      <c r="AN40" s="124"/>
      <c r="AO40" s="124"/>
      <c r="AP40" s="124"/>
      <c r="AQ40" s="124"/>
      <c r="AR40" s="124"/>
      <c r="AS40" s="124"/>
      <c r="AT40" s="124"/>
      <c r="AU40" s="124"/>
      <c r="AV40" s="124"/>
      <c r="AW40" s="124"/>
      <c r="AX40" s="124"/>
      <c r="AY40" s="124"/>
      <c r="AZ40" s="124"/>
      <c r="BA40" s="124"/>
      <c r="BB40" s="136"/>
    </row>
    <row r="41" customFormat="false" ht="15.6" hidden="false" customHeight="false" outlineLevel="0" collapsed="false">
      <c r="A41" s="111" t="n">
        <f aca="false">IF(ISBLANK(VLOOKUP(D41,#REF!,3)),0,1)</f>
        <v>1</v>
      </c>
      <c r="B41" s="112" t="n">
        <f aca="false">IF(ISBLANK(D41),0,IF(ISBLANK(E41),0,IF(ISBLANK(F41),0,1)))</f>
        <v>0</v>
      </c>
      <c r="C41" s="128" t="n">
        <v>7</v>
      </c>
      <c r="D41" s="129"/>
      <c r="E41" s="129"/>
      <c r="F41" s="137"/>
      <c r="G41" s="117"/>
      <c r="H41" s="131" t="n">
        <v>60</v>
      </c>
      <c r="I41" s="119"/>
      <c r="J41" s="132"/>
      <c r="K41" s="133"/>
      <c r="L41" s="133"/>
      <c r="M41" s="133"/>
      <c r="N41" s="134"/>
      <c r="O41" s="133"/>
      <c r="P41" s="132"/>
      <c r="Q41" s="132"/>
      <c r="R41" s="132"/>
      <c r="S41" s="125"/>
      <c r="T41" s="32" t="n">
        <v>0.09</v>
      </c>
      <c r="U41" s="32" t="n">
        <v>0.09</v>
      </c>
      <c r="V41" s="32"/>
      <c r="W41" s="32"/>
      <c r="X41" s="125" t="n">
        <v>18.9</v>
      </c>
      <c r="Y41" s="125" t="n">
        <v>18.5</v>
      </c>
      <c r="Z41" s="32" t="n">
        <v>1.32</v>
      </c>
      <c r="AA41" s="32" t="n">
        <v>1.29</v>
      </c>
      <c r="AB41" s="125" t="n">
        <v>6</v>
      </c>
      <c r="AC41" s="125" t="n">
        <v>5.8</v>
      </c>
      <c r="AD41" s="124"/>
      <c r="AE41" s="124"/>
      <c r="AF41" s="124"/>
      <c r="AG41" s="124"/>
      <c r="AH41" s="124"/>
      <c r="AI41" s="124"/>
      <c r="AJ41" s="124"/>
      <c r="AK41" s="124"/>
      <c r="AL41" s="124"/>
      <c r="AM41" s="124"/>
      <c r="AN41" s="124"/>
      <c r="AO41" s="124"/>
      <c r="AP41" s="124"/>
      <c r="AQ41" s="124"/>
      <c r="AR41" s="124"/>
      <c r="AS41" s="124"/>
      <c r="AT41" s="124"/>
      <c r="AU41" s="124"/>
      <c r="AV41" s="124"/>
      <c r="AW41" s="124"/>
      <c r="AX41" s="124"/>
      <c r="AY41" s="124"/>
      <c r="AZ41" s="124"/>
      <c r="BA41" s="124"/>
      <c r="BB41" s="136"/>
    </row>
    <row r="42" customFormat="false" ht="15.6" hidden="false" customHeight="false" outlineLevel="0" collapsed="false">
      <c r="A42" s="111" t="n">
        <f aca="false">IF(ISBLANK(VLOOKUP(D42,#REF!,3)),0,1)</f>
        <v>1</v>
      </c>
      <c r="B42" s="112" t="n">
        <f aca="false">IF(ISBLANK(D42),0,IF(ISBLANK(E42),0,IF(ISBLANK(F42),0,1)))</f>
        <v>0</v>
      </c>
      <c r="C42" s="128" t="n">
        <v>8</v>
      </c>
      <c r="D42" s="129"/>
      <c r="E42" s="129"/>
      <c r="F42" s="137"/>
      <c r="G42" s="117"/>
      <c r="H42" s="131" t="n">
        <v>40</v>
      </c>
      <c r="I42" s="119"/>
      <c r="J42" s="132"/>
      <c r="K42" s="133"/>
      <c r="L42" s="133"/>
      <c r="M42" s="133"/>
      <c r="N42" s="134"/>
      <c r="O42" s="133"/>
      <c r="P42" s="132"/>
      <c r="Q42" s="132"/>
      <c r="R42" s="132"/>
      <c r="S42" s="125"/>
      <c r="T42" s="32" t="n">
        <v>0.27</v>
      </c>
      <c r="U42" s="32" t="n">
        <v>0.26</v>
      </c>
      <c r="V42" s="32"/>
      <c r="W42" s="32"/>
      <c r="X42" s="125" t="n">
        <v>16.3</v>
      </c>
      <c r="Y42" s="125" t="n">
        <v>16</v>
      </c>
      <c r="Z42" s="32" t="n">
        <v>1.19</v>
      </c>
      <c r="AA42" s="32" t="n">
        <v>1.16</v>
      </c>
      <c r="AB42" s="125" t="n">
        <v>5.2</v>
      </c>
      <c r="AC42" s="125" t="n">
        <v>5.1</v>
      </c>
      <c r="AD42" s="124"/>
      <c r="AE42" s="124"/>
      <c r="AF42" s="124"/>
      <c r="AG42" s="124"/>
      <c r="AH42" s="124"/>
      <c r="AI42" s="124"/>
      <c r="AJ42" s="124"/>
      <c r="AK42" s="124"/>
      <c r="AL42" s="124"/>
      <c r="AM42" s="124"/>
      <c r="AN42" s="124"/>
      <c r="AO42" s="124"/>
      <c r="AP42" s="124"/>
      <c r="AQ42" s="124"/>
      <c r="AR42" s="124"/>
      <c r="AS42" s="124"/>
      <c r="AT42" s="124"/>
      <c r="AU42" s="124"/>
      <c r="AV42" s="124"/>
      <c r="AW42" s="124"/>
      <c r="AX42" s="124"/>
      <c r="AY42" s="124"/>
      <c r="AZ42" s="124"/>
      <c r="BA42" s="124"/>
      <c r="BB42" s="136"/>
    </row>
    <row r="43" customFormat="false" ht="15.6" hidden="false" customHeight="false" outlineLevel="0" collapsed="false">
      <c r="A43" s="111" t="n">
        <f aca="false">IF(ISBLANK(VLOOKUP(D43,#REF!,3)),0,1)</f>
        <v>1</v>
      </c>
      <c r="B43" s="112" t="n">
        <f aca="false">IF(ISBLANK(D43),0,IF(ISBLANK(E43),0,IF(ISBLANK(F43),0,1)))</f>
        <v>0</v>
      </c>
      <c r="C43" s="128" t="n">
        <v>9</v>
      </c>
      <c r="D43" s="129"/>
      <c r="E43" s="129"/>
      <c r="F43" s="137"/>
      <c r="G43" s="117"/>
      <c r="H43" s="131" t="n">
        <v>20</v>
      </c>
      <c r="I43" s="119"/>
      <c r="J43" s="132"/>
      <c r="K43" s="133"/>
      <c r="L43" s="133"/>
      <c r="M43" s="133"/>
      <c r="N43" s="134"/>
      <c r="O43" s="133"/>
      <c r="P43" s="132"/>
      <c r="Q43" s="132"/>
      <c r="R43" s="132"/>
      <c r="S43" s="125"/>
      <c r="T43" s="32" t="n">
        <v>0.19</v>
      </c>
      <c r="U43" s="32" t="n">
        <v>0.18</v>
      </c>
      <c r="V43" s="32"/>
      <c r="W43" s="32"/>
      <c r="X43" s="125" t="n">
        <v>5.2</v>
      </c>
      <c r="Y43" s="125" t="n">
        <v>5.1</v>
      </c>
      <c r="Z43" s="32" t="n">
        <v>0.57</v>
      </c>
      <c r="AA43" s="32" t="n">
        <v>0.56</v>
      </c>
      <c r="AB43" s="125" t="n">
        <v>2.5</v>
      </c>
      <c r="AC43" s="125" t="n">
        <v>2.5</v>
      </c>
      <c r="AD43" s="124"/>
      <c r="AE43" s="124"/>
      <c r="AF43" s="124"/>
      <c r="AG43" s="124"/>
      <c r="AH43" s="124"/>
      <c r="AI43" s="124"/>
      <c r="AJ43" s="124"/>
      <c r="AK43" s="124"/>
      <c r="AL43" s="124"/>
      <c r="AM43" s="124"/>
      <c r="AN43" s="124"/>
      <c r="AO43" s="124"/>
      <c r="AP43" s="124"/>
      <c r="AQ43" s="124"/>
      <c r="AR43" s="124"/>
      <c r="AS43" s="124"/>
      <c r="AT43" s="124"/>
      <c r="AU43" s="124"/>
      <c r="AV43" s="124"/>
      <c r="AW43" s="124"/>
      <c r="AX43" s="124"/>
      <c r="AY43" s="124"/>
      <c r="AZ43" s="124"/>
      <c r="BA43" s="124"/>
      <c r="BB43" s="136"/>
    </row>
    <row r="44" customFormat="false" ht="15.6" hidden="false" customHeight="false" outlineLevel="0" collapsed="false">
      <c r="A44" s="111" t="n">
        <f aca="false">IF(ISBLANK(VLOOKUP(D44,#REF!,3)),0,1)</f>
        <v>1</v>
      </c>
      <c r="B44" s="112" t="n">
        <f aca="false">IF(ISBLANK(D44),0,IF(ISBLANK(E44),0,IF(ISBLANK(F44),0,1)))</f>
        <v>0</v>
      </c>
      <c r="C44" s="128" t="n">
        <v>10</v>
      </c>
      <c r="D44" s="129"/>
      <c r="E44" s="129"/>
      <c r="F44" s="137"/>
      <c r="G44" s="117"/>
      <c r="H44" s="131" t="n">
        <v>10</v>
      </c>
      <c r="I44" s="119"/>
      <c r="J44" s="132"/>
      <c r="K44" s="133"/>
      <c r="L44" s="133"/>
      <c r="M44" s="133"/>
      <c r="N44" s="134"/>
      <c r="O44" s="133"/>
      <c r="P44" s="132"/>
      <c r="Q44" s="132"/>
      <c r="R44" s="132"/>
      <c r="S44" s="125"/>
      <c r="T44" s="32" t="n">
        <v>0.07</v>
      </c>
      <c r="U44" s="32" t="n">
        <v>0.06</v>
      </c>
      <c r="V44" s="32"/>
      <c r="W44" s="32"/>
      <c r="X44" s="125" t="n">
        <v>0.6</v>
      </c>
      <c r="Y44" s="125" t="n">
        <v>0.6</v>
      </c>
      <c r="Z44" s="32" t="n">
        <v>0.3</v>
      </c>
      <c r="AA44" s="32" t="n">
        <v>0.3</v>
      </c>
      <c r="AB44" s="125" t="n">
        <v>1.6</v>
      </c>
      <c r="AC44" s="125" t="n">
        <v>1.5</v>
      </c>
      <c r="AD44" s="124"/>
      <c r="AE44" s="124"/>
      <c r="AF44" s="124"/>
      <c r="AG44" s="124"/>
      <c r="AH44" s="124"/>
      <c r="AI44" s="124"/>
      <c r="AJ44" s="124"/>
      <c r="AK44" s="124"/>
      <c r="AL44" s="124"/>
      <c r="AM44" s="124"/>
      <c r="AN44" s="124"/>
      <c r="AO44" s="124"/>
      <c r="AP44" s="124"/>
      <c r="AQ44" s="124"/>
      <c r="AR44" s="124"/>
      <c r="AS44" s="124"/>
      <c r="AT44" s="124"/>
      <c r="AU44" s="124"/>
      <c r="AV44" s="124"/>
      <c r="AW44" s="124"/>
      <c r="AX44" s="124"/>
      <c r="AY44" s="124"/>
      <c r="AZ44" s="124"/>
      <c r="BA44" s="124"/>
      <c r="BB44" s="136"/>
    </row>
    <row r="45" customFormat="false" ht="15.6" hidden="false" customHeight="false" outlineLevel="0" collapsed="false">
      <c r="A45" s="111" t="n">
        <f aca="false">IF(ISBLANK(VLOOKUP(D45,#REF!,3)),0,1)</f>
        <v>1</v>
      </c>
      <c r="B45" s="112" t="n">
        <f aca="false">IF(ISBLANK(D45),0,IF(ISBLANK(E45),0,IF(ISBLANK(F45),0,1)))</f>
        <v>0</v>
      </c>
      <c r="C45" s="128" t="n">
        <v>11</v>
      </c>
      <c r="D45" s="129"/>
      <c r="E45" s="129"/>
      <c r="F45" s="137"/>
      <c r="G45" s="117" t="n">
        <v>35.77</v>
      </c>
      <c r="H45" s="131" t="n">
        <v>0</v>
      </c>
      <c r="I45" s="119" t="n">
        <v>2.3</v>
      </c>
      <c r="J45" s="132"/>
      <c r="K45" s="133"/>
      <c r="L45" s="133"/>
      <c r="M45" s="133"/>
      <c r="N45" s="134"/>
      <c r="O45" s="133"/>
      <c r="P45" s="132" t="n">
        <v>4.732</v>
      </c>
      <c r="Q45" s="132"/>
      <c r="R45" s="132"/>
      <c r="S45" s="125" t="n">
        <v>206.4</v>
      </c>
      <c r="T45" s="32" t="n">
        <v>0.06</v>
      </c>
      <c r="U45" s="32" t="n">
        <v>0.06</v>
      </c>
      <c r="V45" s="32"/>
      <c r="W45" s="32"/>
      <c r="X45" s="125" t="n">
        <v>0.2</v>
      </c>
      <c r="Y45" s="125" t="n">
        <v>0.2</v>
      </c>
      <c r="Z45" s="32" t="n">
        <v>0.27</v>
      </c>
      <c r="AA45" s="32" t="n">
        <v>0.26</v>
      </c>
      <c r="AB45" s="125" t="n">
        <v>1.5</v>
      </c>
      <c r="AC45" s="125" t="n">
        <v>1.5</v>
      </c>
      <c r="AD45" s="124"/>
      <c r="AE45" s="124"/>
      <c r="AF45" s="124"/>
      <c r="AG45" s="124"/>
      <c r="AH45" s="124"/>
      <c r="AI45" s="124"/>
      <c r="AJ45" s="124"/>
      <c r="AK45" s="124"/>
      <c r="AL45" s="124"/>
      <c r="AM45" s="124"/>
      <c r="AN45" s="124"/>
      <c r="AO45" s="124"/>
      <c r="AP45" s="124"/>
      <c r="AQ45" s="124"/>
      <c r="AR45" s="124"/>
      <c r="AS45" s="124"/>
      <c r="AT45" s="124"/>
      <c r="AU45" s="124"/>
      <c r="AV45" s="124"/>
      <c r="AW45" s="124"/>
      <c r="AX45" s="124"/>
      <c r="AY45" s="124"/>
      <c r="AZ45" s="124"/>
      <c r="BA45" s="124"/>
      <c r="BB45" s="136"/>
    </row>
    <row r="46" customFormat="false" ht="15.6" hidden="false" customHeight="false" outlineLevel="0" collapsed="false">
      <c r="A46" s="111" t="n">
        <f aca="false">IF(ISBLANK(VLOOKUP(D46,#REF!,3)),0,1)</f>
        <v>1</v>
      </c>
      <c r="B46" s="112" t="n">
        <f aca="false">IF(ISBLANK(D46),0,IF(ISBLANK(E46),0,IF(ISBLANK(F46),0,1)))</f>
        <v>0</v>
      </c>
      <c r="C46" s="128" t="n">
        <v>12</v>
      </c>
      <c r="D46" s="142"/>
      <c r="E46" s="142"/>
      <c r="F46" s="143"/>
      <c r="G46" s="144"/>
      <c r="H46" s="142"/>
      <c r="I46" s="145"/>
      <c r="J46" s="132" t="str">
        <f aca="false">IF(ISBLANK(D46),"",IF(VLOOKUP(D46,#REF!,2)=0,"",IF(D46&gt;#REF!,"Mauvais numéro",IF(D46&lt;#REF!,"Mauvais numéro",(VLOOKUP(D46,#REF!,3))))))</f>
        <v/>
      </c>
      <c r="K46" s="146" t="str">
        <f aca="false">IF(ISBLANK(E46),"",(0.000824493-(0.0000040899*E46)+(0.000000076438*E46^2)-(0.00000000082467*E46^3)+(0.0000000000053875*E46^4)))</f>
        <v/>
      </c>
      <c r="L46" s="146" t="str">
        <f aca="false">IF(ISBLANK(E46),"",(-0.00000572466+(0.00000010227*E46)-(0.0000000016546*E46^2)))</f>
        <v/>
      </c>
      <c r="M46" s="146" t="str">
        <f aca="false">IF(ISBLANK(E46),"",IF(ISBLANK(G46),(O46+(K46*35)+(L46*35^1.5)+(0.00000048314*35^2)),(O46+(K46*G46)+(L46*G46^1.5)+(0.00000048314*G46^2))))</f>
        <v/>
      </c>
      <c r="N46" s="147" t="str">
        <f aca="false">IF(ISBLANK(D46),"",IF(ISBLANK(G46),J46*(1+0.00001*(35-20)),J46*(1+0.00001*(G46-20))))</f>
        <v/>
      </c>
      <c r="O46" s="146" t="str">
        <f aca="false">IF(ISBLANK(E46),"",(0.999842594+(0.00006793952*E46)-(0.00000909529*E46^2)+(0.0000001001685*E46^3)-(0.000000001120083*E46^4)+(0.000000000006536332*E46^5)))</f>
        <v/>
      </c>
      <c r="P46" s="148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49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0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0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24"/>
      <c r="U46" s="124"/>
      <c r="V46" s="124"/>
      <c r="W46" s="124"/>
      <c r="X46" s="124"/>
      <c r="Y46" s="124"/>
      <c r="Z46" s="124"/>
      <c r="AA46" s="124"/>
      <c r="AB46" s="124"/>
      <c r="AC46" s="124"/>
      <c r="AD46" s="124"/>
      <c r="AE46" s="124"/>
      <c r="AF46" s="124"/>
      <c r="AG46" s="124"/>
      <c r="AH46" s="124"/>
      <c r="AI46" s="124"/>
      <c r="AJ46" s="124"/>
      <c r="AK46" s="124"/>
      <c r="AL46" s="124"/>
      <c r="AM46" s="124"/>
      <c r="AN46" s="124"/>
      <c r="AO46" s="124"/>
      <c r="AP46" s="124"/>
      <c r="AQ46" s="124"/>
      <c r="AR46" s="124"/>
      <c r="AS46" s="124"/>
      <c r="AT46" s="124"/>
      <c r="AU46" s="124"/>
      <c r="AV46" s="124"/>
      <c r="AW46" s="124"/>
      <c r="AX46" s="124"/>
      <c r="AY46" s="124"/>
      <c r="AZ46" s="124"/>
      <c r="BA46" s="124"/>
      <c r="BB46" s="136"/>
    </row>
    <row r="47" customFormat="false" ht="15.6" hidden="false" customHeight="false" outlineLevel="0" collapsed="false">
      <c r="A47" s="111" t="n">
        <f aca="false">IF(ISBLANK(VLOOKUP(D47,#REF!,3)),0,1)</f>
        <v>1</v>
      </c>
      <c r="B47" s="112" t="n">
        <f aca="false">IF(ISBLANK(D47),0,IF(ISBLANK(E47),0,IF(ISBLANK(F47),0,1)))</f>
        <v>0</v>
      </c>
      <c r="C47" s="128" t="n">
        <v>13</v>
      </c>
      <c r="D47" s="151"/>
      <c r="E47" s="151"/>
      <c r="F47" s="152"/>
      <c r="G47" s="153"/>
      <c r="H47" s="151"/>
      <c r="I47" s="151"/>
      <c r="J47" s="132" t="str">
        <f aca="false">IF(ISBLANK(D47),"",IF(VLOOKUP(D47,#REF!,2)=0,"",IF(D47&gt;#REF!,"Mauvais numéro",IF(D47&lt;#REF!,"Mauvais numéro",(VLOOKUP(D47,#REF!,3))))))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54"/>
      <c r="Q47" s="149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5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4"/>
      <c r="T47" s="124"/>
      <c r="U47" s="124"/>
      <c r="V47" s="124"/>
      <c r="W47" s="124"/>
      <c r="X47" s="12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24"/>
      <c r="AJ47" s="124"/>
      <c r="AK47" s="124"/>
      <c r="AL47" s="124"/>
      <c r="AM47" s="124"/>
      <c r="AN47" s="124"/>
      <c r="AO47" s="124"/>
      <c r="AP47" s="124"/>
      <c r="AQ47" s="124"/>
      <c r="AR47" s="124"/>
      <c r="AS47" s="124"/>
      <c r="AT47" s="124"/>
      <c r="AU47" s="124"/>
      <c r="AV47" s="124"/>
      <c r="AW47" s="124"/>
      <c r="AX47" s="124"/>
      <c r="AY47" s="124"/>
      <c r="AZ47" s="124"/>
      <c r="BA47" s="124"/>
      <c r="BB47" s="136"/>
    </row>
    <row r="48" customFormat="false" ht="15.6" hidden="false" customHeight="false" outlineLevel="0" collapsed="false">
      <c r="A48" s="111" t="n">
        <f aca="false">IF(ISBLANK(VLOOKUP(D48,#REF!,3)),0,1)</f>
        <v>1</v>
      </c>
      <c r="B48" s="112" t="n">
        <f aca="false">IF(ISBLANK(D48),0,IF(ISBLANK(E48),0,IF(ISBLANK(F48),0,1)))</f>
        <v>0</v>
      </c>
      <c r="C48" s="128" t="n">
        <v>14</v>
      </c>
      <c r="D48" s="151"/>
      <c r="E48" s="151"/>
      <c r="F48" s="152"/>
      <c r="G48" s="153"/>
      <c r="H48" s="151"/>
      <c r="I48" s="151"/>
      <c r="J48" s="132" t="str">
        <f aca="false">IF(ISBLANK(D48),"",IF(VLOOKUP(D48,#REF!,2)=0,"",IF(D48&gt;#REF!,"Mauvais numéro",IF(D48&lt;#REF!,"Mauvais numéro",(VLOOKUP(D48,#REF!,3))))))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54"/>
      <c r="Q48" s="149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5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4"/>
      <c r="T48" s="124"/>
      <c r="U48" s="124"/>
      <c r="V48" s="124"/>
      <c r="W48" s="124"/>
      <c r="X48" s="124"/>
      <c r="Y48" s="124"/>
      <c r="Z48" s="124"/>
      <c r="AA48" s="124"/>
      <c r="AB48" s="124"/>
      <c r="AC48" s="124"/>
      <c r="AD48" s="124"/>
      <c r="AE48" s="124"/>
      <c r="AF48" s="124"/>
      <c r="AG48" s="124"/>
      <c r="AH48" s="124"/>
      <c r="AI48" s="124"/>
      <c r="AJ48" s="124"/>
      <c r="AK48" s="124"/>
      <c r="AL48" s="124"/>
      <c r="AM48" s="124"/>
      <c r="AN48" s="124"/>
      <c r="AO48" s="124"/>
      <c r="AP48" s="124"/>
      <c r="AQ48" s="124"/>
      <c r="AR48" s="124"/>
      <c r="AS48" s="124"/>
      <c r="AT48" s="124"/>
      <c r="AU48" s="124"/>
      <c r="AV48" s="124"/>
      <c r="AW48" s="124"/>
      <c r="AX48" s="124"/>
      <c r="AY48" s="124"/>
      <c r="AZ48" s="124"/>
      <c r="BA48" s="124"/>
      <c r="BB48" s="136"/>
    </row>
    <row r="49" customFormat="false" ht="15.6" hidden="false" customHeight="false" outlineLevel="0" collapsed="false">
      <c r="A49" s="111" t="n">
        <f aca="false">IF(ISBLANK(VLOOKUP(D49,#REF!,3)),0,1)</f>
        <v>1</v>
      </c>
      <c r="B49" s="112" t="n">
        <f aca="false">IF(ISBLANK(D49),0,IF(ISBLANK(E49),0,IF(ISBLANK(F49),0,1)))</f>
        <v>0</v>
      </c>
      <c r="C49" s="128" t="n">
        <v>15</v>
      </c>
      <c r="D49" s="151"/>
      <c r="E49" s="151"/>
      <c r="F49" s="152"/>
      <c r="G49" s="156"/>
      <c r="H49" s="151"/>
      <c r="I49" s="151"/>
      <c r="J49" s="132" t="str">
        <f aca="false">IF(ISBLANK(D49),"",IF(VLOOKUP(D49,#REF!,2)=0,"",IF(D49&gt;#REF!,"Mauvais numéro",IF(D49&lt;#REF!,"Mauvais numéro",(VLOOKUP(D49,#REF!,3))))))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57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49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24"/>
      <c r="AE49" s="124"/>
      <c r="AF49" s="124"/>
      <c r="AG49" s="124"/>
      <c r="AH49" s="124"/>
      <c r="AI49" s="124"/>
      <c r="AJ49" s="124"/>
      <c r="AK49" s="124"/>
      <c r="AL49" s="124"/>
      <c r="AM49" s="124"/>
      <c r="AN49" s="124"/>
      <c r="AO49" s="124"/>
      <c r="AP49" s="124"/>
      <c r="AQ49" s="124"/>
      <c r="AR49" s="124"/>
      <c r="AS49" s="124"/>
      <c r="AT49" s="124"/>
      <c r="AU49" s="124"/>
      <c r="AV49" s="124"/>
      <c r="AW49" s="124"/>
      <c r="AX49" s="124"/>
      <c r="AY49" s="124"/>
      <c r="AZ49" s="124"/>
      <c r="BA49" s="124"/>
      <c r="BB49" s="136"/>
    </row>
    <row r="50" customFormat="false" ht="15.6" hidden="false" customHeight="false" outlineLevel="0" collapsed="false">
      <c r="A50" s="111" t="n">
        <f aca="false">IF(ISBLANK(VLOOKUP(D50,#REF!,3)),0,1)</f>
        <v>1</v>
      </c>
      <c r="B50" s="112" t="n">
        <f aca="false">IF(ISBLANK(D50),0,IF(ISBLANK(E50),0,IF(ISBLANK(F50),0,1)))</f>
        <v>0</v>
      </c>
      <c r="C50" s="128" t="n">
        <v>16</v>
      </c>
      <c r="D50" s="151"/>
      <c r="E50" s="151"/>
      <c r="F50" s="152"/>
      <c r="G50" s="156"/>
      <c r="H50" s="151"/>
      <c r="I50" s="151"/>
      <c r="J50" s="132" t="str">
        <f aca="false">IF(ISBLANK(D50),"",IF(VLOOKUP(D50,#REF!,2)=0,"",IF(D50&gt;#REF!,"Mauvais numéro",IF(D50&lt;#REF!,"Mauvais numéro",(VLOOKUP(D50,#REF!,3))))))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57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49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24"/>
      <c r="U50" s="124"/>
      <c r="V50" s="124"/>
      <c r="W50" s="124"/>
      <c r="X50" s="124"/>
      <c r="Y50" s="124"/>
      <c r="Z50" s="124"/>
      <c r="AA50" s="124"/>
      <c r="AB50" s="124"/>
      <c r="AC50" s="124"/>
      <c r="AD50" s="124"/>
      <c r="AE50" s="124"/>
      <c r="AF50" s="124"/>
      <c r="AG50" s="124"/>
      <c r="AH50" s="124"/>
      <c r="AI50" s="124"/>
      <c r="AJ50" s="124"/>
      <c r="AK50" s="124"/>
      <c r="AL50" s="124"/>
      <c r="AM50" s="124"/>
      <c r="AN50" s="124"/>
      <c r="AO50" s="124"/>
      <c r="AP50" s="124"/>
      <c r="AQ50" s="124"/>
      <c r="AR50" s="124"/>
      <c r="AS50" s="124"/>
      <c r="AT50" s="124"/>
      <c r="AU50" s="124"/>
      <c r="AV50" s="124"/>
      <c r="AW50" s="124"/>
      <c r="AX50" s="124"/>
      <c r="AY50" s="124"/>
      <c r="AZ50" s="124"/>
      <c r="BA50" s="124"/>
      <c r="BB50" s="136"/>
    </row>
    <row r="51" customFormat="false" ht="15.6" hidden="false" customHeight="false" outlineLevel="0" collapsed="false">
      <c r="A51" s="111" t="n">
        <f aca="false">IF(ISBLANK(VLOOKUP(D51,#REF!,3)),0,1)</f>
        <v>1</v>
      </c>
      <c r="B51" s="112" t="n">
        <f aca="false">IF(ISBLANK(D51),0,IF(ISBLANK(E51),0,IF(ISBLANK(F51),0,1)))</f>
        <v>0</v>
      </c>
      <c r="C51" s="128" t="n">
        <v>17</v>
      </c>
      <c r="D51" s="151"/>
      <c r="E51" s="151"/>
      <c r="F51" s="152"/>
      <c r="G51" s="156"/>
      <c r="H51" s="151"/>
      <c r="I51" s="151"/>
      <c r="J51" s="132" t="str">
        <f aca="false">IF(ISBLANK(D51),"",IF(VLOOKUP(D51,#REF!,2)=0,"",IF(D51&gt;#REF!,"Mauvais numéro",IF(D51&lt;#REF!,"Mauvais numéro",(VLOOKUP(D51,#REF!,3))))))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57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49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24"/>
      <c r="AE51" s="124"/>
      <c r="AF51" s="124"/>
      <c r="AG51" s="124"/>
      <c r="AH51" s="124"/>
      <c r="AI51" s="124"/>
      <c r="AJ51" s="124"/>
      <c r="AK51" s="124"/>
      <c r="AL51" s="124"/>
      <c r="AM51" s="124"/>
      <c r="AN51" s="124"/>
      <c r="AO51" s="124"/>
      <c r="AP51" s="124"/>
      <c r="AQ51" s="124"/>
      <c r="AR51" s="124"/>
      <c r="AS51" s="124"/>
      <c r="AT51" s="124"/>
      <c r="AU51" s="124"/>
      <c r="AV51" s="124"/>
      <c r="AW51" s="124"/>
      <c r="AX51" s="124"/>
      <c r="AY51" s="124"/>
      <c r="AZ51" s="124"/>
      <c r="BA51" s="124"/>
      <c r="BB51" s="136"/>
    </row>
    <row r="52" customFormat="false" ht="15.6" hidden="false" customHeight="false" outlineLevel="0" collapsed="false">
      <c r="A52" s="111" t="n">
        <f aca="false">IF(ISBLANK(VLOOKUP(D52,#REF!,3)),0,1)</f>
        <v>1</v>
      </c>
      <c r="B52" s="112" t="n">
        <f aca="false">IF(ISBLANK(D52),0,IF(ISBLANK(E52),0,IF(ISBLANK(F52),0,1)))</f>
        <v>0</v>
      </c>
      <c r="C52" s="128" t="n">
        <v>18</v>
      </c>
      <c r="D52" s="151"/>
      <c r="E52" s="151"/>
      <c r="F52" s="152"/>
      <c r="G52" s="156"/>
      <c r="H52" s="151"/>
      <c r="I52" s="151"/>
      <c r="J52" s="132" t="str">
        <f aca="false">IF(ISBLANK(D52),"",IF(VLOOKUP(D52,#REF!,2)=0,"",IF(D52&gt;#REF!,"Mauvais numéro",IF(D52&lt;#REF!,"Mauvais numéro",(VLOOKUP(D52,#REF!,3))))))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57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49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24"/>
      <c r="U52" s="124"/>
      <c r="V52" s="124"/>
      <c r="W52" s="124"/>
      <c r="X52" s="124"/>
      <c r="Y52" s="124"/>
      <c r="Z52" s="124"/>
      <c r="AA52" s="124"/>
      <c r="AB52" s="124"/>
      <c r="AC52" s="124"/>
      <c r="AD52" s="124"/>
      <c r="AE52" s="124"/>
      <c r="AF52" s="124"/>
      <c r="AG52" s="124"/>
      <c r="AH52" s="124"/>
      <c r="AI52" s="124"/>
      <c r="AJ52" s="124"/>
      <c r="AK52" s="124"/>
      <c r="AL52" s="124"/>
      <c r="AM52" s="124"/>
      <c r="AN52" s="124"/>
      <c r="AO52" s="124"/>
      <c r="AP52" s="124"/>
      <c r="AQ52" s="124"/>
      <c r="AR52" s="124"/>
      <c r="AS52" s="124"/>
      <c r="AT52" s="124"/>
      <c r="AU52" s="124"/>
      <c r="AV52" s="124"/>
      <c r="AW52" s="124"/>
      <c r="AX52" s="124"/>
      <c r="AY52" s="124"/>
      <c r="AZ52" s="124"/>
      <c r="BA52" s="124"/>
      <c r="BB52" s="136"/>
    </row>
    <row r="53" customFormat="false" ht="15.6" hidden="false" customHeight="false" outlineLevel="0" collapsed="false">
      <c r="A53" s="111" t="n">
        <f aca="false">IF(ISBLANK(VLOOKUP(D53,#REF!,3)),0,1)</f>
        <v>1</v>
      </c>
      <c r="B53" s="112" t="n">
        <f aca="false">IF(ISBLANK(D53),0,IF(ISBLANK(E53),0,IF(ISBLANK(F53),0,1)))</f>
        <v>0</v>
      </c>
      <c r="C53" s="128" t="n">
        <v>19</v>
      </c>
      <c r="D53" s="151"/>
      <c r="E53" s="151"/>
      <c r="F53" s="152"/>
      <c r="G53" s="156"/>
      <c r="H53" s="151"/>
      <c r="I53" s="151"/>
      <c r="J53" s="132" t="str">
        <f aca="false">IF(ISBLANK(D53),"",IF(VLOOKUP(D53,#REF!,2)=0,"",IF(D53&gt;#REF!,"Mauvais numéro",IF(D53&lt;#REF!,"Mauvais numéro",(VLOOKUP(D53,#REF!,3))))))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57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49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24"/>
      <c r="U53" s="124"/>
      <c r="V53" s="124"/>
      <c r="W53" s="124"/>
      <c r="X53" s="12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24"/>
      <c r="AJ53" s="124"/>
      <c r="AK53" s="124"/>
      <c r="AL53" s="124"/>
      <c r="AM53" s="124"/>
      <c r="AN53" s="124"/>
      <c r="AO53" s="124"/>
      <c r="AP53" s="124"/>
      <c r="AQ53" s="124"/>
      <c r="AR53" s="124"/>
      <c r="AS53" s="124"/>
      <c r="AT53" s="124"/>
      <c r="AU53" s="124"/>
      <c r="AV53" s="124"/>
      <c r="AW53" s="124"/>
      <c r="AX53" s="124"/>
      <c r="AY53" s="124"/>
      <c r="AZ53" s="124"/>
      <c r="BA53" s="124"/>
      <c r="BB53" s="136"/>
    </row>
    <row r="54" customFormat="false" ht="15.6" hidden="false" customHeight="false" outlineLevel="0" collapsed="false">
      <c r="A54" s="111" t="n">
        <f aca="false">IF(ISBLANK(VLOOKUP(D54,#REF!,3)),0,1)</f>
        <v>1</v>
      </c>
      <c r="B54" s="112" t="n">
        <f aca="false">IF(ISBLANK(D54),0,IF(ISBLANK(E54),0,IF(ISBLANK(F54),0,1)))</f>
        <v>0</v>
      </c>
      <c r="C54" s="128" t="n">
        <v>20</v>
      </c>
      <c r="D54" s="151"/>
      <c r="E54" s="151"/>
      <c r="F54" s="152"/>
      <c r="G54" s="156"/>
      <c r="H54" s="151"/>
      <c r="I54" s="151"/>
      <c r="J54" s="132" t="str">
        <f aca="false">IF(ISBLANK(D54),"",IF(VLOOKUP(D54,#REF!,2)=0,"",IF(D54&gt;#REF!,"Mauvais numéro",IF(D54&lt;#REF!,"Mauvais numéro",(VLOOKUP(D54,#REF!,3))))))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57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49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4"/>
      <c r="U54" s="124"/>
      <c r="V54" s="124"/>
      <c r="W54" s="124"/>
      <c r="X54" s="124"/>
      <c r="Y54" s="124"/>
      <c r="Z54" s="124"/>
      <c r="AA54" s="124"/>
      <c r="AB54" s="124"/>
      <c r="AC54" s="124"/>
      <c r="AD54" s="124"/>
      <c r="AE54" s="124"/>
      <c r="AF54" s="124"/>
      <c r="AG54" s="124"/>
      <c r="AH54" s="124"/>
      <c r="AI54" s="124"/>
      <c r="AJ54" s="124"/>
      <c r="AK54" s="124"/>
      <c r="AL54" s="124"/>
      <c r="AM54" s="124"/>
      <c r="AN54" s="124"/>
      <c r="AO54" s="124"/>
      <c r="AP54" s="124"/>
      <c r="AQ54" s="124"/>
      <c r="AR54" s="124"/>
      <c r="AS54" s="124"/>
      <c r="AT54" s="124"/>
      <c r="AU54" s="124"/>
      <c r="AV54" s="124"/>
      <c r="AW54" s="124"/>
      <c r="AX54" s="124"/>
      <c r="AY54" s="124"/>
      <c r="AZ54" s="124"/>
      <c r="BA54" s="124"/>
      <c r="BB54" s="136"/>
    </row>
    <row r="55" customFormat="false" ht="15.6" hidden="false" customHeight="false" outlineLevel="0" collapsed="false">
      <c r="A55" s="111" t="n">
        <f aca="false">IF(ISBLANK(VLOOKUP(D55,#REF!,3)),0,1)</f>
        <v>1</v>
      </c>
      <c r="B55" s="112" t="n">
        <f aca="false">IF(ISBLANK(D55),0,IF(ISBLANK(E55),0,IF(ISBLANK(F55),0,1)))</f>
        <v>0</v>
      </c>
      <c r="C55" s="128" t="n">
        <v>21</v>
      </c>
      <c r="D55" s="151"/>
      <c r="E55" s="151"/>
      <c r="F55" s="152"/>
      <c r="G55" s="156"/>
      <c r="H55" s="151"/>
      <c r="I55" s="151"/>
      <c r="J55" s="132" t="str">
        <f aca="false">IF(ISBLANK(D55),"",IF(VLOOKUP(D55,#REF!,2)=0,"",IF(D55&gt;#REF!,"Mauvais numéro",IF(D55&lt;#REF!,"Mauvais numéro",(VLOOKUP(D55,#REF!,3))))))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57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49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24"/>
      <c r="U55" s="124"/>
      <c r="V55" s="124"/>
      <c r="W55" s="124"/>
      <c r="X55" s="124"/>
      <c r="Y55" s="124"/>
      <c r="Z55" s="124"/>
      <c r="AA55" s="124"/>
      <c r="AB55" s="124"/>
      <c r="AC55" s="124"/>
      <c r="AD55" s="124"/>
      <c r="AE55" s="124"/>
      <c r="AF55" s="124"/>
      <c r="AG55" s="124"/>
      <c r="AH55" s="124"/>
      <c r="AI55" s="124"/>
      <c r="AJ55" s="124"/>
      <c r="AK55" s="124"/>
      <c r="AL55" s="124"/>
      <c r="AM55" s="124"/>
      <c r="AN55" s="124"/>
      <c r="AO55" s="124"/>
      <c r="AP55" s="124"/>
      <c r="AQ55" s="124"/>
      <c r="AR55" s="124"/>
      <c r="AS55" s="124"/>
      <c r="AT55" s="124"/>
      <c r="AU55" s="124"/>
      <c r="AV55" s="124"/>
      <c r="AW55" s="124"/>
      <c r="AX55" s="124"/>
      <c r="AY55" s="124"/>
      <c r="AZ55" s="124"/>
      <c r="BA55" s="124"/>
      <c r="BB55" s="136"/>
    </row>
    <row r="56" customFormat="false" ht="15.6" hidden="false" customHeight="false" outlineLevel="0" collapsed="false">
      <c r="A56" s="111" t="n">
        <f aca="false">IF(ISBLANK(VLOOKUP(D56,#REF!,3)),0,1)</f>
        <v>1</v>
      </c>
      <c r="B56" s="112" t="n">
        <f aca="false">IF(ISBLANK(D56),0,IF(ISBLANK(E56),0,IF(ISBLANK(F56),0,1)))</f>
        <v>0</v>
      </c>
      <c r="C56" s="128" t="n">
        <v>22</v>
      </c>
      <c r="D56" s="151"/>
      <c r="E56" s="151"/>
      <c r="F56" s="152"/>
      <c r="G56" s="156"/>
      <c r="H56" s="151"/>
      <c r="I56" s="151"/>
      <c r="J56" s="132" t="str">
        <f aca="false">IF(ISBLANK(D56),"",IF(VLOOKUP(D56,#REF!,2)=0,"",IF(D56&gt;#REF!,"Mauvais numéro",IF(D56&lt;#REF!,"Mauvais numéro",(VLOOKUP(D56,#REF!,3))))))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57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49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24"/>
      <c r="AE56" s="124"/>
      <c r="AF56" s="124"/>
      <c r="AG56" s="124"/>
      <c r="AH56" s="124"/>
      <c r="AI56" s="124"/>
      <c r="AJ56" s="124"/>
      <c r="AK56" s="124"/>
      <c r="AL56" s="124"/>
      <c r="AM56" s="124"/>
      <c r="AN56" s="124"/>
      <c r="AO56" s="124"/>
      <c r="AP56" s="124"/>
      <c r="AQ56" s="124"/>
      <c r="AR56" s="124"/>
      <c r="AS56" s="124"/>
      <c r="AT56" s="124"/>
      <c r="AU56" s="124"/>
      <c r="AV56" s="124"/>
      <c r="AW56" s="124"/>
      <c r="AX56" s="124"/>
      <c r="AY56" s="124"/>
      <c r="AZ56" s="124"/>
      <c r="BA56" s="124"/>
      <c r="BB56" s="136"/>
    </row>
    <row r="57" customFormat="false" ht="15.6" hidden="false" customHeight="false" outlineLevel="0" collapsed="false">
      <c r="A57" s="111" t="n">
        <f aca="false">IF(ISBLANK(VLOOKUP(D57,#REF!,3)),0,1)</f>
        <v>1</v>
      </c>
      <c r="B57" s="112" t="n">
        <f aca="false">IF(ISBLANK(D57),0,IF(ISBLANK(E57),0,IF(ISBLANK(F57),0,1)))</f>
        <v>0</v>
      </c>
      <c r="C57" s="128" t="n">
        <v>23</v>
      </c>
      <c r="D57" s="151"/>
      <c r="E57" s="151"/>
      <c r="F57" s="152"/>
      <c r="G57" s="156"/>
      <c r="H57" s="151"/>
      <c r="I57" s="151"/>
      <c r="J57" s="132" t="str">
        <f aca="false">IF(ISBLANK(D57),"",IF(VLOOKUP(D57,#REF!,2)=0,"",IF(D57&gt;#REF!,"Mauvais numéro",IF(D57&lt;#REF!,"Mauvais numéro",(VLOOKUP(D57,#REF!,3))))))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57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49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4"/>
      <c r="U57" s="124"/>
      <c r="V57" s="124"/>
      <c r="W57" s="124"/>
      <c r="X57" s="124"/>
      <c r="Y57" s="124"/>
      <c r="Z57" s="124"/>
      <c r="AA57" s="124"/>
      <c r="AB57" s="124"/>
      <c r="AC57" s="124"/>
      <c r="AD57" s="124"/>
      <c r="AE57" s="124"/>
      <c r="AF57" s="124"/>
      <c r="AG57" s="124"/>
      <c r="AH57" s="124"/>
      <c r="AI57" s="124"/>
      <c r="AJ57" s="124"/>
      <c r="AK57" s="124"/>
      <c r="AL57" s="124"/>
      <c r="AM57" s="124"/>
      <c r="AN57" s="124"/>
      <c r="AO57" s="124"/>
      <c r="AP57" s="124"/>
      <c r="AQ57" s="124"/>
      <c r="AR57" s="124"/>
      <c r="AS57" s="124"/>
      <c r="AT57" s="124"/>
      <c r="AU57" s="124"/>
      <c r="AV57" s="124"/>
      <c r="AW57" s="124"/>
      <c r="AX57" s="124"/>
      <c r="AY57" s="124"/>
      <c r="AZ57" s="124"/>
      <c r="BA57" s="124"/>
      <c r="BB57" s="136"/>
    </row>
    <row r="58" customFormat="false" ht="16.2" hidden="false" customHeight="false" outlineLevel="0" collapsed="false">
      <c r="A58" s="111" t="n">
        <f aca="false">IF(ISBLANK(VLOOKUP(D58,#REF!,3)),0,1)</f>
        <v>1</v>
      </c>
      <c r="B58" s="112" t="n">
        <f aca="false">IF(ISBLANK(D58),0,IF(ISBLANK(E58),0,IF(ISBLANK(F58),0,1)))</f>
        <v>0</v>
      </c>
      <c r="C58" s="158" t="n">
        <v>24</v>
      </c>
      <c r="D58" s="159"/>
      <c r="E58" s="159"/>
      <c r="F58" s="160"/>
      <c r="G58" s="161"/>
      <c r="H58" s="159"/>
      <c r="I58" s="159"/>
      <c r="J58" s="162" t="str">
        <f aca="false">IF(ISBLANK(D58),"",IF(VLOOKUP(D58,#REF!,2)=0,"",IF(D58&gt;#REF!,"Mauvais numéro",IF(D58&lt;#REF!,"Mauvais numéro",(VLOOKUP(D58,#REF!,3))))))</f>
        <v/>
      </c>
      <c r="K58" s="163" t="str">
        <f aca="false">IF(ISBLANK(E58),"",(0.000824493-(0.0000040899*E58)+(0.000000076438*E58^2)-(0.00000000082467*E58^3)+(0.0000000000053875*E58^4)))</f>
        <v/>
      </c>
      <c r="L58" s="163" t="str">
        <f aca="false">IF(ISBLANK(E58),"",(-0.00000572466+(0.00000010227*E58)-(0.0000000016546*E58^2)))</f>
        <v/>
      </c>
      <c r="M58" s="163" t="str">
        <f aca="false">IF(ISBLANK(E58),"",IF(ISBLANK(G58),(O58+(K58*35)+(L58*35^1.5)+(0.00000048314*35^2)),(O58+(K58*G58)+(L58*G58^1.5)+(0.00000048314*G58^2))))</f>
        <v/>
      </c>
      <c r="N58" s="164" t="str">
        <f aca="false">IF(ISBLANK(D58),"",IF(ISBLANK(G58),J58*(1+0.00001*(35-20)),J58*(1+0.00001*(G58-20))))</f>
        <v/>
      </c>
      <c r="O58" s="163" t="str">
        <f aca="false">IF(ISBLANK(E58),"",(0.999842594+(0.00006793952*E58)-(0.00000909529*E58^2)+(0.0000001001685*E58^3)-(0.000000001120083*E58^4)+(0.000000000006536332*E58^5)))</f>
        <v/>
      </c>
      <c r="P58" s="165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66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7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7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68"/>
      <c r="U58" s="168"/>
      <c r="V58" s="168"/>
      <c r="W58" s="168"/>
      <c r="X58" s="168"/>
      <c r="Y58" s="168"/>
      <c r="Z58" s="168"/>
      <c r="AA58" s="168"/>
      <c r="AB58" s="168"/>
      <c r="AC58" s="168"/>
      <c r="AD58" s="168"/>
      <c r="AE58" s="168"/>
      <c r="AF58" s="168"/>
      <c r="AG58" s="168"/>
      <c r="AH58" s="168"/>
      <c r="AI58" s="168"/>
      <c r="AJ58" s="168"/>
      <c r="AK58" s="168"/>
      <c r="AL58" s="168"/>
      <c r="AM58" s="168"/>
      <c r="AN58" s="168"/>
      <c r="AO58" s="168"/>
      <c r="AP58" s="168"/>
      <c r="AQ58" s="168"/>
      <c r="AR58" s="168"/>
      <c r="AS58" s="168"/>
      <c r="AT58" s="168"/>
      <c r="AU58" s="168"/>
      <c r="AV58" s="168"/>
      <c r="AW58" s="168"/>
      <c r="AX58" s="168"/>
      <c r="AY58" s="168"/>
      <c r="AZ58" s="168"/>
      <c r="BA58" s="168"/>
      <c r="BB58" s="169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P1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8178137651822"/>
    <col collapsed="false" hidden="false" max="32" min="32" style="0" width="9.10526315789474"/>
    <col collapsed="false" hidden="false" max="33" min="33" style="0" width="26.5668016194332"/>
    <col collapsed="false" hidden="false" max="34" min="34" style="0" width="12.8542510121458"/>
    <col collapsed="false" hidden="false" max="35" min="35" style="0" width="11.1417004048583"/>
    <col collapsed="false" hidden="false" max="36" min="36" style="0" width="14.5668016194332"/>
    <col collapsed="false" hidden="false" max="37" min="37" style="0" width="12.2105263157895"/>
    <col collapsed="false" hidden="false" max="38" min="38" style="0" width="26.995951417004"/>
    <col collapsed="false" hidden="false" max="39" min="39" style="0" width="14.6761133603239"/>
    <col collapsed="false" hidden="false" max="40" min="40" style="0" width="11.3562753036437"/>
    <col collapsed="false" hidden="false" max="41" min="41" style="0" width="12.5344129554656"/>
    <col collapsed="false" hidden="false" max="42" min="42" style="0" width="10.7125506072875"/>
    <col collapsed="false" hidden="false" max="43" min="43" style="0" width="6.31983805668016"/>
    <col collapsed="false" hidden="false" max="44" min="44" style="0" width="19.7085020242915"/>
    <col collapsed="false" hidden="false" max="45" min="45" style="0" width="13.0688259109312"/>
    <col collapsed="false" hidden="false" max="46" min="46" style="0" width="17.7813765182186"/>
    <col collapsed="false" hidden="false" max="47" min="47" style="0" width="14.6761133603239"/>
    <col collapsed="false" hidden="false" max="48" min="48" style="0" width="13.6032388663968"/>
    <col collapsed="false" hidden="false" max="49" min="49" style="0" width="13.7125506072874"/>
    <col collapsed="false" hidden="false" max="50" min="50" style="0" width="19.9230769230769"/>
    <col collapsed="false" hidden="false" max="51" min="51" style="0" width="13.2834008097166"/>
    <col collapsed="false" hidden="false" max="52" min="52" style="0" width="17.6761133603239"/>
    <col collapsed="false" hidden="false" max="53" min="53" style="0" width="13.3886639676113"/>
    <col collapsed="false" hidden="false" max="54" min="54" style="0" width="12.6396761133603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23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38545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2</v>
      </c>
      <c r="J9" s="29" t="n">
        <v>29.81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-2°29,81</v>
      </c>
      <c r="P9" s="29" t="s">
        <v>15</v>
      </c>
      <c r="Q9" s="33" t="n">
        <f aca="false">IF(ISBLANK(I9),"",IF(ISBLANK(J9),"",IF(J9&gt;60,"ERREUR !!",O11*(I9+(J9/60)))))</f>
        <v>-2.49683333333333</v>
      </c>
      <c r="R9" s="33"/>
    </row>
    <row r="10" customFormat="false" ht="15" hidden="false" customHeight="true" outlineLevel="0" collapsed="false">
      <c r="C10" s="21"/>
      <c r="D10" s="18"/>
      <c r="G10" s="27" t="s">
        <v>16</v>
      </c>
      <c r="H10" s="27"/>
      <c r="I10" s="28" t="n">
        <v>10</v>
      </c>
      <c r="J10" s="29" t="n">
        <v>0.38</v>
      </c>
      <c r="K10" s="30" t="s">
        <v>12</v>
      </c>
      <c r="L10" s="31" t="str">
        <f aca="false">IF(P10=N9,"+","-")</f>
        <v>-</v>
      </c>
      <c r="M10" s="30" t="s">
        <v>15</v>
      </c>
      <c r="N10" s="30" t="s">
        <v>17</v>
      </c>
      <c r="O10" s="34" t="str">
        <f aca="false">IF(ISBLANK(I10),"",IF(ISBLANK(J10),"",IF(P10=N10,L10&amp;N12,N12)))</f>
        <v>-10°0,38</v>
      </c>
      <c r="P10" s="29" t="s">
        <v>17</v>
      </c>
      <c r="Q10" s="33" t="n">
        <f aca="false">IF(ISBLANK(I10),"",IF(ISBLANK(J10),"",IF(J10&gt;60,"ERREUR !!",O12*(I10+(J10/60)))))</f>
        <v>-10.0063333333333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38544</v>
      </c>
      <c r="K11" s="38"/>
      <c r="L11" s="38"/>
      <c r="M11" s="38"/>
      <c r="N11" s="39" t="str">
        <f aca="false">I9&amp;"°"&amp;J9</f>
        <v>2°29,81</v>
      </c>
      <c r="O11" s="40" t="n">
        <f aca="false">IF(P9=M10,-1,1)</f>
        <v>-1</v>
      </c>
      <c r="P11" s="41" t="str">
        <f aca="false">TEXT(J11,"aaaa-mm-jj")&amp;"T"&amp;TEXT(J12,"hh:mm:ss")&amp;"z"</f>
        <v>2009-07-12T18:10:00z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0.756944444444444</v>
      </c>
      <c r="K12" s="45"/>
      <c r="L12" s="45"/>
      <c r="M12" s="45"/>
      <c r="N12" s="46" t="str">
        <f aca="false">I10&amp;"°"&amp;J10</f>
        <v>10°0,38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e">
        <f aca="false">$P$24*($P$18/#REF!)</f>
        <v>#REF!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e">
        <f aca="false">5+#REF!</f>
        <v>#REF!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e">
        <f aca="false">P20*(1+0.00001*(R14-20))</f>
        <v>#REF!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e">
        <f aca="false">MAX(#REF!)</f>
        <v>#VALUE!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e">
        <f aca="false">2+(#REF!+#REF!)</f>
        <v>#REF!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52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53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IF(ISBLANK(VLOOKUP(D35,#REF!,3)),0,1)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n">
        <v>34.958</v>
      </c>
      <c r="H35" s="118" t="n">
        <v>2000</v>
      </c>
      <c r="I35" s="119" t="n">
        <v>2002</v>
      </c>
      <c r="J35" s="120"/>
      <c r="K35" s="121"/>
      <c r="L35" s="121"/>
      <c r="M35" s="121"/>
      <c r="N35" s="122"/>
      <c r="O35" s="121"/>
      <c r="P35" s="171" t="n">
        <v>5.666</v>
      </c>
      <c r="Q35" s="120"/>
      <c r="R35" s="120"/>
      <c r="S35" s="172" t="n">
        <v>246.2</v>
      </c>
      <c r="T35" s="32" t="n">
        <v>0.03</v>
      </c>
      <c r="U35" s="32" t="n">
        <v>0.03</v>
      </c>
      <c r="V35" s="32"/>
      <c r="W35" s="32"/>
      <c r="X35" s="125" t="n">
        <v>19.9</v>
      </c>
      <c r="Y35" s="125" t="n">
        <v>19.4</v>
      </c>
      <c r="Z35" s="32" t="n">
        <v>1.33</v>
      </c>
      <c r="AA35" s="32" t="n">
        <v>1.3</v>
      </c>
      <c r="AB35" s="125" t="n">
        <v>23.6</v>
      </c>
      <c r="AC35" s="125" t="n">
        <v>23.1</v>
      </c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7"/>
    </row>
    <row r="36" customFormat="false" ht="15.6" hidden="false" customHeight="false" outlineLevel="0" collapsed="false">
      <c r="A36" s="111" t="n">
        <f aca="false">IF(ISBLANK(VLOOKUP(D36,#REF!,3)),0,1)</f>
        <v>1</v>
      </c>
      <c r="B36" s="112" t="n">
        <f aca="false">IF(ISBLANK(D36),0,IF(ISBLANK(E36),0,IF(ISBLANK(F36),0,1)))</f>
        <v>0</v>
      </c>
      <c r="C36" s="128" t="n">
        <v>2</v>
      </c>
      <c r="D36" s="129"/>
      <c r="E36" s="129"/>
      <c r="F36" s="130"/>
      <c r="G36" s="117" t="n">
        <v>34.5906</v>
      </c>
      <c r="H36" s="131" t="n">
        <v>1000</v>
      </c>
      <c r="I36" s="119" t="n">
        <v>999.2</v>
      </c>
      <c r="J36" s="132"/>
      <c r="K36" s="133"/>
      <c r="L36" s="133"/>
      <c r="M36" s="133"/>
      <c r="N36" s="134"/>
      <c r="O36" s="133"/>
      <c r="P36" s="171" t="n">
        <v>3.553</v>
      </c>
      <c r="Q36" s="132"/>
      <c r="R36" s="132"/>
      <c r="S36" s="172" t="n">
        <v>154.4</v>
      </c>
      <c r="T36" s="32" t="n">
        <v>0.02</v>
      </c>
      <c r="U36" s="32" t="n">
        <v>0.02</v>
      </c>
      <c r="V36" s="32"/>
      <c r="W36" s="32"/>
      <c r="X36" s="125" t="n">
        <v>33.5</v>
      </c>
      <c r="Y36" s="125" t="n">
        <v>32.7</v>
      </c>
      <c r="Z36" s="32" t="n">
        <v>2.18</v>
      </c>
      <c r="AA36" s="32" t="n">
        <v>2.13</v>
      </c>
      <c r="AB36" s="125" t="n">
        <v>31.7</v>
      </c>
      <c r="AC36" s="125" t="n">
        <v>30.9</v>
      </c>
      <c r="AD36" s="124"/>
      <c r="AE36" s="124"/>
      <c r="AF36" s="124"/>
      <c r="AG36" s="124"/>
      <c r="AH36" s="124"/>
      <c r="AI36" s="124"/>
      <c r="AJ36" s="124"/>
      <c r="AK36" s="124"/>
      <c r="AL36" s="124"/>
      <c r="AM36" s="124"/>
      <c r="AN36" s="124"/>
      <c r="AO36" s="124"/>
      <c r="AP36" s="124"/>
      <c r="AQ36" s="124"/>
      <c r="AR36" s="124"/>
      <c r="AS36" s="124"/>
      <c r="AT36" s="124"/>
      <c r="AU36" s="124"/>
      <c r="AV36" s="124"/>
      <c r="AW36" s="124"/>
      <c r="AX36" s="124"/>
      <c r="AY36" s="124"/>
      <c r="AZ36" s="124"/>
      <c r="BA36" s="124"/>
      <c r="BB36" s="136"/>
    </row>
    <row r="37" customFormat="false" ht="15.6" hidden="false" customHeight="false" outlineLevel="0" collapsed="false">
      <c r="A37" s="111" t="n">
        <f aca="false">IF(ISBLANK(VLOOKUP(D37,#REF!,3)),0,1)</f>
        <v>1</v>
      </c>
      <c r="B37" s="112" t="n">
        <f aca="false">IF(ISBLANK(D37),0,IF(ISBLANK(E37),0,IF(ISBLANK(F37),0,1)))</f>
        <v>0</v>
      </c>
      <c r="C37" s="128" t="n">
        <v>3</v>
      </c>
      <c r="D37" s="129"/>
      <c r="E37" s="129"/>
      <c r="F37" s="137"/>
      <c r="G37" s="117" t="n">
        <v>34.636</v>
      </c>
      <c r="H37" s="131" t="n">
        <v>500</v>
      </c>
      <c r="I37" s="119" t="n">
        <v>502.9</v>
      </c>
      <c r="J37" s="132"/>
      <c r="K37" s="133"/>
      <c r="L37" s="133"/>
      <c r="M37" s="133"/>
      <c r="N37" s="134"/>
      <c r="O37" s="133"/>
      <c r="P37" s="171" t="n">
        <v>2.061</v>
      </c>
      <c r="Q37" s="132"/>
      <c r="R37" s="132"/>
      <c r="S37" s="172" t="n">
        <v>89.6</v>
      </c>
      <c r="T37" s="32" t="n">
        <v>0.02</v>
      </c>
      <c r="U37" s="32" t="n">
        <v>0.02</v>
      </c>
      <c r="V37" s="32"/>
      <c r="W37" s="32"/>
      <c r="X37" s="125" t="n">
        <v>36.1</v>
      </c>
      <c r="Y37" s="125" t="n">
        <v>35.3</v>
      </c>
      <c r="Z37" s="32" t="n">
        <v>2.22</v>
      </c>
      <c r="AA37" s="32" t="n">
        <v>2.17</v>
      </c>
      <c r="AB37" s="125" t="n">
        <v>20.6</v>
      </c>
      <c r="AC37" s="125" t="n">
        <v>20.1</v>
      </c>
      <c r="AD37" s="124"/>
      <c r="AE37" s="124"/>
      <c r="AF37" s="124"/>
      <c r="AG37" s="124"/>
      <c r="AH37" s="124"/>
      <c r="AI37" s="124"/>
      <c r="AJ37" s="124"/>
      <c r="AK37" s="124"/>
      <c r="AL37" s="124"/>
      <c r="AM37" s="124"/>
      <c r="AN37" s="124"/>
      <c r="AO37" s="124"/>
      <c r="AP37" s="124"/>
      <c r="AQ37" s="124"/>
      <c r="AR37" s="124"/>
      <c r="AS37" s="124"/>
      <c r="AT37" s="124"/>
      <c r="AU37" s="124"/>
      <c r="AV37" s="124"/>
      <c r="AW37" s="124"/>
      <c r="AX37" s="124"/>
      <c r="AY37" s="124"/>
      <c r="AZ37" s="124"/>
      <c r="BA37" s="124"/>
      <c r="BB37" s="136"/>
    </row>
    <row r="38" customFormat="false" ht="15.6" hidden="false" customHeight="false" outlineLevel="0" collapsed="false">
      <c r="A38" s="111" t="n">
        <f aca="false">IF(ISBLANK(VLOOKUP(D38,#REF!,3)),0,1)</f>
        <v>1</v>
      </c>
      <c r="B38" s="112" t="n">
        <f aca="false">IF(ISBLANK(D38),0,IF(ISBLANK(E38),0,IF(ISBLANK(F38),0,1)))</f>
        <v>0</v>
      </c>
      <c r="C38" s="128" t="n">
        <v>4</v>
      </c>
      <c r="D38" s="138"/>
      <c r="E38" s="138"/>
      <c r="F38" s="139"/>
      <c r="G38" s="117" t="n">
        <v>35.5835</v>
      </c>
      <c r="H38" s="131" t="n">
        <v>100</v>
      </c>
      <c r="I38" s="119" t="n">
        <v>101.3</v>
      </c>
      <c r="J38" s="132"/>
      <c r="K38" s="133"/>
      <c r="L38" s="133"/>
      <c r="M38" s="133"/>
      <c r="N38" s="134"/>
      <c r="O38" s="133"/>
      <c r="P38" s="171" t="n">
        <v>2.803</v>
      </c>
      <c r="Q38" s="132"/>
      <c r="R38" s="132"/>
      <c r="S38" s="172" t="n">
        <v>122</v>
      </c>
      <c r="T38" s="32" t="n">
        <v>0.04</v>
      </c>
      <c r="U38" s="32" t="n">
        <v>0.04</v>
      </c>
      <c r="V38" s="32"/>
      <c r="W38" s="32"/>
      <c r="X38" s="125" t="n">
        <v>17.8</v>
      </c>
      <c r="Y38" s="125" t="n">
        <v>17.4</v>
      </c>
      <c r="Z38" s="32" t="n">
        <v>1.14</v>
      </c>
      <c r="AA38" s="32" t="n">
        <v>1.11</v>
      </c>
      <c r="AB38" s="125" t="n">
        <v>6.3</v>
      </c>
      <c r="AC38" s="125" t="n">
        <v>6.1</v>
      </c>
      <c r="AD38" s="124"/>
      <c r="AE38" s="124"/>
      <c r="AF38" s="124"/>
      <c r="AG38" s="124"/>
      <c r="AH38" s="124"/>
      <c r="AI38" s="124"/>
      <c r="AJ38" s="124"/>
      <c r="AK38" s="124"/>
      <c r="AL38" s="124"/>
      <c r="AM38" s="124"/>
      <c r="AN38" s="124"/>
      <c r="AO38" s="124"/>
      <c r="AP38" s="124"/>
      <c r="AQ38" s="124"/>
      <c r="AR38" s="124"/>
      <c r="AS38" s="124"/>
      <c r="AT38" s="124"/>
      <c r="AU38" s="124"/>
      <c r="AV38" s="124"/>
      <c r="AW38" s="124"/>
      <c r="AX38" s="124"/>
      <c r="AY38" s="124"/>
      <c r="AZ38" s="124"/>
      <c r="BA38" s="124"/>
      <c r="BB38" s="136"/>
    </row>
    <row r="39" customFormat="false" ht="15.6" hidden="false" customHeight="false" outlineLevel="0" collapsed="false">
      <c r="A39" s="111" t="n">
        <f aca="false">IF(ISBLANK(VLOOKUP(D39,#REF!,3)),0,1)</f>
        <v>1</v>
      </c>
      <c r="B39" s="112" t="n">
        <f aca="false">IF(ISBLANK(D39),0,IF(ISBLANK(E39),0,IF(ISBLANK(F39),0,1)))</f>
        <v>0</v>
      </c>
      <c r="C39" s="128" t="n">
        <v>5</v>
      </c>
      <c r="D39" s="129"/>
      <c r="E39" s="129"/>
      <c r="F39" s="137"/>
      <c r="G39" s="117"/>
      <c r="H39" s="131" t="n">
        <v>80</v>
      </c>
      <c r="I39" s="119"/>
      <c r="J39" s="132"/>
      <c r="K39" s="133"/>
      <c r="L39" s="133"/>
      <c r="M39" s="133"/>
      <c r="N39" s="134"/>
      <c r="O39" s="133"/>
      <c r="P39" s="171"/>
      <c r="Q39" s="132"/>
      <c r="R39" s="132"/>
      <c r="S39" s="172"/>
      <c r="T39" s="32" t="n">
        <v>0.05</v>
      </c>
      <c r="U39" s="32" t="n">
        <v>0.05</v>
      </c>
      <c r="V39" s="32"/>
      <c r="W39" s="32"/>
      <c r="X39" s="125" t="n">
        <v>17.4</v>
      </c>
      <c r="Y39" s="125" t="n">
        <v>17</v>
      </c>
      <c r="Z39" s="32" t="n">
        <v>1.12</v>
      </c>
      <c r="AA39" s="32" t="n">
        <v>1.1</v>
      </c>
      <c r="AB39" s="125" t="n">
        <v>6</v>
      </c>
      <c r="AC39" s="125" t="n">
        <v>5.8</v>
      </c>
      <c r="AD39" s="124"/>
      <c r="AE39" s="124"/>
      <c r="AF39" s="124"/>
      <c r="AG39" s="124"/>
      <c r="AH39" s="124"/>
      <c r="AI39" s="124"/>
      <c r="AJ39" s="124"/>
      <c r="AK39" s="124"/>
      <c r="AL39" s="124"/>
      <c r="AM39" s="124"/>
      <c r="AN39" s="124"/>
      <c r="AO39" s="124"/>
      <c r="AP39" s="124"/>
      <c r="AQ39" s="124"/>
      <c r="AR39" s="124"/>
      <c r="AS39" s="124"/>
      <c r="AT39" s="124"/>
      <c r="AU39" s="124"/>
      <c r="AV39" s="124"/>
      <c r="AW39" s="124"/>
      <c r="AX39" s="124"/>
      <c r="AY39" s="124"/>
      <c r="AZ39" s="124"/>
      <c r="BA39" s="124"/>
      <c r="BB39" s="136"/>
    </row>
    <row r="40" customFormat="false" ht="15.6" hidden="false" customHeight="false" outlineLevel="0" collapsed="false">
      <c r="A40" s="111" t="n">
        <f aca="false">IF(ISBLANK(VLOOKUP(D40,#REF!,3)),0,1)</f>
        <v>1</v>
      </c>
      <c r="B40" s="112" t="n">
        <f aca="false">IF(ISBLANK(D40),0,IF(ISBLANK(E40),0,IF(ISBLANK(F40),0,1)))</f>
        <v>0</v>
      </c>
      <c r="C40" s="128" t="n">
        <v>6</v>
      </c>
      <c r="D40" s="129"/>
      <c r="E40" s="129"/>
      <c r="F40" s="137"/>
      <c r="G40" s="117"/>
      <c r="H40" s="131" t="n">
        <v>60</v>
      </c>
      <c r="I40" s="119"/>
      <c r="J40" s="132"/>
      <c r="K40" s="133"/>
      <c r="L40" s="133"/>
      <c r="M40" s="133"/>
      <c r="N40" s="134"/>
      <c r="O40" s="133"/>
      <c r="P40" s="171"/>
      <c r="Q40" s="132"/>
      <c r="R40" s="132"/>
      <c r="S40" s="172"/>
      <c r="T40" s="32" t="n">
        <v>0.07</v>
      </c>
      <c r="U40" s="32" t="n">
        <v>0.07</v>
      </c>
      <c r="V40" s="32"/>
      <c r="W40" s="32"/>
      <c r="X40" s="125" t="n">
        <v>16.8</v>
      </c>
      <c r="Y40" s="125" t="n">
        <v>16.4</v>
      </c>
      <c r="Z40" s="32" t="n">
        <v>1.08</v>
      </c>
      <c r="AA40" s="32" t="n">
        <v>1.06</v>
      </c>
      <c r="AB40" s="125" t="n">
        <v>5.8</v>
      </c>
      <c r="AC40" s="125" t="n">
        <v>5.7</v>
      </c>
      <c r="AD40" s="124"/>
      <c r="AE40" s="124"/>
      <c r="AF40" s="124"/>
      <c r="AG40" s="124"/>
      <c r="AH40" s="124"/>
      <c r="AI40" s="124"/>
      <c r="AJ40" s="124"/>
      <c r="AK40" s="124"/>
      <c r="AL40" s="124"/>
      <c r="AM40" s="124"/>
      <c r="AN40" s="124"/>
      <c r="AO40" s="124"/>
      <c r="AP40" s="124"/>
      <c r="AQ40" s="124"/>
      <c r="AR40" s="124"/>
      <c r="AS40" s="124"/>
      <c r="AT40" s="124"/>
      <c r="AU40" s="124"/>
      <c r="AV40" s="124"/>
      <c r="AW40" s="124"/>
      <c r="AX40" s="124"/>
      <c r="AY40" s="124"/>
      <c r="AZ40" s="124"/>
      <c r="BA40" s="124"/>
      <c r="BB40" s="136"/>
    </row>
    <row r="41" customFormat="false" ht="15.6" hidden="false" customHeight="false" outlineLevel="0" collapsed="false">
      <c r="A41" s="111" t="n">
        <f aca="false">IF(ISBLANK(VLOOKUP(D41,#REF!,3)),0,1)</f>
        <v>1</v>
      </c>
      <c r="B41" s="112" t="n">
        <f aca="false">IF(ISBLANK(D41),0,IF(ISBLANK(E41),0,IF(ISBLANK(F41),0,1)))</f>
        <v>0</v>
      </c>
      <c r="C41" s="128" t="n">
        <v>7</v>
      </c>
      <c r="D41" s="129"/>
      <c r="E41" s="129"/>
      <c r="F41" s="137"/>
      <c r="G41" s="117"/>
      <c r="H41" s="131" t="n">
        <v>40</v>
      </c>
      <c r="I41" s="119"/>
      <c r="J41" s="132"/>
      <c r="K41" s="133"/>
      <c r="L41" s="133"/>
      <c r="M41" s="133"/>
      <c r="N41" s="134"/>
      <c r="O41" s="133"/>
      <c r="P41" s="171"/>
      <c r="Q41" s="132"/>
      <c r="R41" s="132"/>
      <c r="S41" s="172"/>
      <c r="T41" s="32" t="n">
        <v>0.32</v>
      </c>
      <c r="U41" s="32" t="n">
        <v>0.31</v>
      </c>
      <c r="V41" s="32"/>
      <c r="W41" s="32"/>
      <c r="X41" s="125" t="n">
        <v>14.9</v>
      </c>
      <c r="Y41" s="125" t="n">
        <v>14.6</v>
      </c>
      <c r="Z41" s="32" t="n">
        <v>0.98</v>
      </c>
      <c r="AA41" s="32" t="n">
        <v>0.95</v>
      </c>
      <c r="AB41" s="125" t="n">
        <v>5</v>
      </c>
      <c r="AC41" s="125" t="n">
        <v>4.9</v>
      </c>
      <c r="AD41" s="124"/>
      <c r="AE41" s="124"/>
      <c r="AF41" s="124"/>
      <c r="AG41" s="124"/>
      <c r="AH41" s="124"/>
      <c r="AI41" s="124"/>
      <c r="AJ41" s="124"/>
      <c r="AK41" s="124"/>
      <c r="AL41" s="124"/>
      <c r="AM41" s="124"/>
      <c r="AN41" s="124"/>
      <c r="AO41" s="124"/>
      <c r="AP41" s="124"/>
      <c r="AQ41" s="124"/>
      <c r="AR41" s="124"/>
      <c r="AS41" s="124"/>
      <c r="AT41" s="124"/>
      <c r="AU41" s="124"/>
      <c r="AV41" s="124"/>
      <c r="AW41" s="124"/>
      <c r="AX41" s="124"/>
      <c r="AY41" s="124"/>
      <c r="AZ41" s="124"/>
      <c r="BA41" s="124"/>
      <c r="BB41" s="136"/>
    </row>
    <row r="42" customFormat="false" ht="15.6" hidden="false" customHeight="false" outlineLevel="0" collapsed="false">
      <c r="A42" s="111" t="n">
        <f aca="false">IF(ISBLANK(VLOOKUP(D42,#REF!,3)),0,1)</f>
        <v>1</v>
      </c>
      <c r="B42" s="112" t="n">
        <f aca="false">IF(ISBLANK(D42),0,IF(ISBLANK(E42),0,IF(ISBLANK(F42),0,1)))</f>
        <v>0</v>
      </c>
      <c r="C42" s="128" t="n">
        <v>8</v>
      </c>
      <c r="D42" s="129"/>
      <c r="E42" s="129"/>
      <c r="F42" s="137"/>
      <c r="G42" s="117"/>
      <c r="H42" s="131" t="n">
        <v>40</v>
      </c>
      <c r="I42" s="119"/>
      <c r="J42" s="132"/>
      <c r="K42" s="133"/>
      <c r="L42" s="133"/>
      <c r="M42" s="133"/>
      <c r="N42" s="134"/>
      <c r="O42" s="133"/>
      <c r="P42" s="171"/>
      <c r="Q42" s="132"/>
      <c r="R42" s="132"/>
      <c r="S42" s="172"/>
      <c r="T42" s="32" t="n">
        <v>0.33</v>
      </c>
      <c r="U42" s="32" t="n">
        <v>0.32</v>
      </c>
      <c r="V42" s="32"/>
      <c r="W42" s="32"/>
      <c r="X42" s="125" t="n">
        <v>14.9</v>
      </c>
      <c r="Y42" s="125" t="n">
        <v>14.6</v>
      </c>
      <c r="Z42" s="32" t="n">
        <v>0.95</v>
      </c>
      <c r="AA42" s="32" t="n">
        <v>0.93</v>
      </c>
      <c r="AB42" s="125" t="n">
        <v>5.2</v>
      </c>
      <c r="AC42" s="125" t="n">
        <v>5.1</v>
      </c>
      <c r="AD42" s="124"/>
      <c r="AE42" s="124"/>
      <c r="AF42" s="124"/>
      <c r="AG42" s="124"/>
      <c r="AH42" s="124"/>
      <c r="AI42" s="124"/>
      <c r="AJ42" s="124"/>
      <c r="AK42" s="124"/>
      <c r="AL42" s="124"/>
      <c r="AM42" s="124"/>
      <c r="AN42" s="124"/>
      <c r="AO42" s="124"/>
      <c r="AP42" s="124"/>
      <c r="AQ42" s="124"/>
      <c r="AR42" s="124"/>
      <c r="AS42" s="124"/>
      <c r="AT42" s="124"/>
      <c r="AU42" s="124"/>
      <c r="AV42" s="124"/>
      <c r="AW42" s="124"/>
      <c r="AX42" s="124"/>
      <c r="AY42" s="124"/>
      <c r="AZ42" s="124"/>
      <c r="BA42" s="124"/>
      <c r="BB42" s="136"/>
    </row>
    <row r="43" customFormat="false" ht="15.6" hidden="false" customHeight="false" outlineLevel="0" collapsed="false">
      <c r="A43" s="111" t="n">
        <f aca="false">IF(ISBLANK(VLOOKUP(D43,#REF!,3)),0,1)</f>
        <v>1</v>
      </c>
      <c r="B43" s="112" t="n">
        <f aca="false">IF(ISBLANK(D43),0,IF(ISBLANK(E43),0,IF(ISBLANK(F43),0,1)))</f>
        <v>0</v>
      </c>
      <c r="C43" s="128" t="n">
        <v>9</v>
      </c>
      <c r="D43" s="129"/>
      <c r="E43" s="129"/>
      <c r="F43" s="137"/>
      <c r="G43" s="117"/>
      <c r="H43" s="131" t="n">
        <v>20</v>
      </c>
      <c r="I43" s="119"/>
      <c r="J43" s="132"/>
      <c r="K43" s="133"/>
      <c r="L43" s="133"/>
      <c r="M43" s="133"/>
      <c r="N43" s="134"/>
      <c r="O43" s="133"/>
      <c r="P43" s="171"/>
      <c r="Q43" s="132"/>
      <c r="R43" s="132"/>
      <c r="S43" s="172"/>
      <c r="T43" s="32" t="n">
        <v>0.16</v>
      </c>
      <c r="U43" s="32" t="n">
        <v>0.15</v>
      </c>
      <c r="V43" s="32"/>
      <c r="W43" s="32"/>
      <c r="X43" s="125" t="n">
        <v>4.6</v>
      </c>
      <c r="Y43" s="125" t="n">
        <v>4.5</v>
      </c>
      <c r="Z43" s="32" t="n">
        <v>0.37</v>
      </c>
      <c r="AA43" s="32" t="n">
        <v>0.36</v>
      </c>
      <c r="AB43" s="125" t="n">
        <v>2.7</v>
      </c>
      <c r="AC43" s="125" t="n">
        <v>2.6</v>
      </c>
      <c r="AD43" s="124"/>
      <c r="AE43" s="124"/>
      <c r="AF43" s="124"/>
      <c r="AG43" s="124"/>
      <c r="AH43" s="124"/>
      <c r="AI43" s="124"/>
      <c r="AJ43" s="124"/>
      <c r="AK43" s="124"/>
      <c r="AL43" s="124"/>
      <c r="AM43" s="124"/>
      <c r="AN43" s="124"/>
      <c r="AO43" s="124"/>
      <c r="AP43" s="124"/>
      <c r="AQ43" s="124"/>
      <c r="AR43" s="124"/>
      <c r="AS43" s="124"/>
      <c r="AT43" s="124"/>
      <c r="AU43" s="124"/>
      <c r="AV43" s="124"/>
      <c r="AW43" s="124"/>
      <c r="AX43" s="124"/>
      <c r="AY43" s="124"/>
      <c r="AZ43" s="124"/>
      <c r="BA43" s="124"/>
      <c r="BB43" s="136"/>
    </row>
    <row r="44" customFormat="false" ht="15.6" hidden="false" customHeight="false" outlineLevel="0" collapsed="false">
      <c r="A44" s="111" t="n">
        <f aca="false">IF(ISBLANK(VLOOKUP(D44,#REF!,3)),0,1)</f>
        <v>1</v>
      </c>
      <c r="B44" s="112" t="n">
        <f aca="false">IF(ISBLANK(D44),0,IF(ISBLANK(E44),0,IF(ISBLANK(F44),0,1)))</f>
        <v>0</v>
      </c>
      <c r="C44" s="128" t="n">
        <v>10</v>
      </c>
      <c r="D44" s="129"/>
      <c r="E44" s="129"/>
      <c r="F44" s="137"/>
      <c r="G44" s="117"/>
      <c r="H44" s="131" t="n">
        <v>10</v>
      </c>
      <c r="I44" s="119"/>
      <c r="J44" s="132"/>
      <c r="K44" s="133"/>
      <c r="L44" s="133"/>
      <c r="M44" s="133"/>
      <c r="N44" s="134"/>
      <c r="O44" s="133"/>
      <c r="P44" s="171"/>
      <c r="Q44" s="132"/>
      <c r="R44" s="132"/>
      <c r="S44" s="172"/>
      <c r="T44" s="32" t="n">
        <v>0.07</v>
      </c>
      <c r="U44" s="32" t="n">
        <v>0.07</v>
      </c>
      <c r="V44" s="32"/>
      <c r="W44" s="32"/>
      <c r="X44" s="125" t="n">
        <v>1.3</v>
      </c>
      <c r="Y44" s="125" t="n">
        <v>1.3</v>
      </c>
      <c r="Z44" s="32" t="n">
        <v>0.19</v>
      </c>
      <c r="AA44" s="32" t="n">
        <v>0.18</v>
      </c>
      <c r="AB44" s="125" t="n">
        <v>1.6</v>
      </c>
      <c r="AC44" s="125" t="n">
        <v>1.5</v>
      </c>
      <c r="AD44" s="124"/>
      <c r="AE44" s="124"/>
      <c r="AF44" s="124"/>
      <c r="AG44" s="124"/>
      <c r="AH44" s="124"/>
      <c r="AI44" s="124"/>
      <c r="AJ44" s="124"/>
      <c r="AK44" s="124"/>
      <c r="AL44" s="124"/>
      <c r="AM44" s="124"/>
      <c r="AN44" s="124"/>
      <c r="AO44" s="124"/>
      <c r="AP44" s="124"/>
      <c r="AQ44" s="124"/>
      <c r="AR44" s="124"/>
      <c r="AS44" s="124"/>
      <c r="AT44" s="124"/>
      <c r="AU44" s="124"/>
      <c r="AV44" s="124"/>
      <c r="AW44" s="124"/>
      <c r="AX44" s="124"/>
      <c r="AY44" s="124"/>
      <c r="AZ44" s="124"/>
      <c r="BA44" s="124"/>
      <c r="BB44" s="136"/>
    </row>
    <row r="45" customFormat="false" ht="15.6" hidden="false" customHeight="false" outlineLevel="0" collapsed="false">
      <c r="A45" s="111" t="n">
        <f aca="false">IF(ISBLANK(VLOOKUP(D45,#REF!,3)),0,1)</f>
        <v>1</v>
      </c>
      <c r="B45" s="112" t="n">
        <f aca="false">IF(ISBLANK(D45),0,IF(ISBLANK(E45),0,IF(ISBLANK(F45),0,1)))</f>
        <v>0</v>
      </c>
      <c r="C45" s="128" t="n">
        <v>11</v>
      </c>
      <c r="D45" s="129"/>
      <c r="E45" s="129"/>
      <c r="F45" s="137"/>
      <c r="G45" s="117" t="n">
        <v>35.8247</v>
      </c>
      <c r="H45" s="131" t="n">
        <v>0</v>
      </c>
      <c r="I45" s="119" t="n">
        <v>2.2</v>
      </c>
      <c r="J45" s="132"/>
      <c r="K45" s="133"/>
      <c r="L45" s="133"/>
      <c r="M45" s="133"/>
      <c r="N45" s="134"/>
      <c r="O45" s="133"/>
      <c r="P45" s="171" t="n">
        <v>4.868</v>
      </c>
      <c r="Q45" s="132"/>
      <c r="R45" s="132"/>
      <c r="S45" s="172" t="n">
        <v>212.2</v>
      </c>
      <c r="T45" s="32" t="n">
        <v>0.08</v>
      </c>
      <c r="U45" s="32" t="n">
        <v>0.08</v>
      </c>
      <c r="V45" s="32"/>
      <c r="W45" s="32"/>
      <c r="X45" s="125" t="n">
        <v>1.2</v>
      </c>
      <c r="Y45" s="125" t="n">
        <v>1.2</v>
      </c>
      <c r="Z45" s="32" t="n">
        <v>0.16</v>
      </c>
      <c r="AA45" s="32" t="n">
        <v>0.15</v>
      </c>
      <c r="AB45" s="125" t="n">
        <v>1.5</v>
      </c>
      <c r="AC45" s="125" t="n">
        <v>1.5</v>
      </c>
      <c r="AD45" s="124"/>
      <c r="AE45" s="124"/>
      <c r="AF45" s="124"/>
      <c r="AG45" s="124"/>
      <c r="AH45" s="124"/>
      <c r="AI45" s="124"/>
      <c r="AJ45" s="124"/>
      <c r="AK45" s="124"/>
      <c r="AL45" s="124"/>
      <c r="AM45" s="124"/>
      <c r="AN45" s="124"/>
      <c r="AO45" s="124"/>
      <c r="AP45" s="124"/>
      <c r="AQ45" s="124"/>
      <c r="AR45" s="124"/>
      <c r="AS45" s="124"/>
      <c r="AT45" s="124"/>
      <c r="AU45" s="124"/>
      <c r="AV45" s="124"/>
      <c r="AW45" s="124"/>
      <c r="AX45" s="124"/>
      <c r="AY45" s="124"/>
      <c r="AZ45" s="124"/>
      <c r="BA45" s="124"/>
      <c r="BB45" s="136"/>
    </row>
    <row r="46" customFormat="false" ht="15.6" hidden="false" customHeight="false" outlineLevel="0" collapsed="false">
      <c r="A46" s="111" t="n">
        <f aca="false">IF(ISBLANK(VLOOKUP(D46,#REF!,3)),0,1)</f>
        <v>1</v>
      </c>
      <c r="B46" s="112" t="n">
        <f aca="false">IF(ISBLANK(D46),0,IF(ISBLANK(E46),0,IF(ISBLANK(F46),0,1)))</f>
        <v>0</v>
      </c>
      <c r="C46" s="128" t="n">
        <v>12</v>
      </c>
      <c r="D46" s="142"/>
      <c r="E46" s="142"/>
      <c r="F46" s="143"/>
      <c r="G46" s="144"/>
      <c r="H46" s="142"/>
      <c r="I46" s="145"/>
      <c r="J46" s="132" t="str">
        <f aca="false">IF(ISBLANK(D46),"",IF(VLOOKUP(D46,#REF!,2)=0,"",IF(D46&gt;#REF!,"Mauvais numéro",IF(D46&lt;#REF!,"Mauvais numéro",(VLOOKUP(D46,#REF!,3))))))</f>
        <v/>
      </c>
      <c r="K46" s="146" t="str">
        <f aca="false">IF(ISBLANK(E46),"",(0.000824493-(0.0000040899*E46)+(0.000000076438*E46^2)-(0.00000000082467*E46^3)+(0.0000000000053875*E46^4)))</f>
        <v/>
      </c>
      <c r="L46" s="146" t="str">
        <f aca="false">IF(ISBLANK(E46),"",(-0.00000572466+(0.00000010227*E46)-(0.0000000016546*E46^2)))</f>
        <v/>
      </c>
      <c r="M46" s="146" t="str">
        <f aca="false">IF(ISBLANK(E46),"",IF(ISBLANK(G46),(O46+(K46*35)+(L46*35^1.5)+(0.00000048314*35^2)),(O46+(K46*G46)+(L46*G46^1.5)+(0.00000048314*G46^2))))</f>
        <v/>
      </c>
      <c r="N46" s="147" t="str">
        <f aca="false">IF(ISBLANK(D46),"",IF(ISBLANK(G46),J46*(1+0.00001*(35-20)),J46*(1+0.00001*(G46-20))))</f>
        <v/>
      </c>
      <c r="O46" s="146" t="str">
        <f aca="false">IF(ISBLANK(E46),"",(0.999842594+(0.00006793952*E46)-(0.00000909529*E46^2)+(0.0000001001685*E46^3)-(0.000000001120083*E46^4)+(0.000000000006536332*E46^5)))</f>
        <v/>
      </c>
      <c r="P46" s="148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49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0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0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24"/>
      <c r="U46" s="124"/>
      <c r="V46" s="124"/>
      <c r="W46" s="124"/>
      <c r="X46" s="124"/>
      <c r="Y46" s="124"/>
      <c r="Z46" s="124"/>
      <c r="AA46" s="124"/>
      <c r="AB46" s="124"/>
      <c r="AC46" s="124"/>
      <c r="AD46" s="124"/>
      <c r="AE46" s="124"/>
      <c r="AF46" s="124"/>
      <c r="AG46" s="124"/>
      <c r="AH46" s="124"/>
      <c r="AI46" s="124"/>
      <c r="AJ46" s="124"/>
      <c r="AK46" s="124"/>
      <c r="AL46" s="124"/>
      <c r="AM46" s="124"/>
      <c r="AN46" s="124"/>
      <c r="AO46" s="124"/>
      <c r="AP46" s="124"/>
      <c r="AQ46" s="124"/>
      <c r="AR46" s="124"/>
      <c r="AS46" s="124"/>
      <c r="AT46" s="124"/>
      <c r="AU46" s="124"/>
      <c r="AV46" s="124"/>
      <c r="AW46" s="124"/>
      <c r="AX46" s="124"/>
      <c r="AY46" s="124"/>
      <c r="AZ46" s="124"/>
      <c r="BA46" s="124"/>
      <c r="BB46" s="136"/>
    </row>
    <row r="47" customFormat="false" ht="15.6" hidden="false" customHeight="false" outlineLevel="0" collapsed="false">
      <c r="A47" s="111" t="n">
        <f aca="false">IF(ISBLANK(VLOOKUP(D47,#REF!,3)),0,1)</f>
        <v>1</v>
      </c>
      <c r="B47" s="112" t="n">
        <f aca="false">IF(ISBLANK(D47),0,IF(ISBLANK(E47),0,IF(ISBLANK(F47),0,1)))</f>
        <v>0</v>
      </c>
      <c r="C47" s="128" t="n">
        <v>13</v>
      </c>
      <c r="D47" s="151"/>
      <c r="E47" s="151"/>
      <c r="F47" s="152"/>
      <c r="G47" s="153"/>
      <c r="H47" s="151"/>
      <c r="I47" s="151"/>
      <c r="J47" s="132" t="str">
        <f aca="false">IF(ISBLANK(D47),"",IF(VLOOKUP(D47,#REF!,2)=0,"",IF(D47&gt;#REF!,"Mauvais numéro",IF(D47&lt;#REF!,"Mauvais numéro",(VLOOKUP(D47,#REF!,3))))))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54"/>
      <c r="Q47" s="149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5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4"/>
      <c r="T47" s="124"/>
      <c r="U47" s="124"/>
      <c r="V47" s="124"/>
      <c r="W47" s="124"/>
      <c r="X47" s="12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24"/>
      <c r="AJ47" s="124"/>
      <c r="AK47" s="124"/>
      <c r="AL47" s="124"/>
      <c r="AM47" s="124"/>
      <c r="AN47" s="124"/>
      <c r="AO47" s="124"/>
      <c r="AP47" s="124"/>
      <c r="AQ47" s="124"/>
      <c r="AR47" s="124"/>
      <c r="AS47" s="124"/>
      <c r="AT47" s="124"/>
      <c r="AU47" s="124"/>
      <c r="AV47" s="124"/>
      <c r="AW47" s="124"/>
      <c r="AX47" s="124"/>
      <c r="AY47" s="124"/>
      <c r="AZ47" s="124"/>
      <c r="BA47" s="124"/>
      <c r="BB47" s="136"/>
    </row>
    <row r="48" customFormat="false" ht="15.6" hidden="false" customHeight="false" outlineLevel="0" collapsed="false">
      <c r="A48" s="111" t="n">
        <f aca="false">IF(ISBLANK(VLOOKUP(D48,#REF!,3)),0,1)</f>
        <v>1</v>
      </c>
      <c r="B48" s="112" t="n">
        <f aca="false">IF(ISBLANK(D48),0,IF(ISBLANK(E48),0,IF(ISBLANK(F48),0,1)))</f>
        <v>0</v>
      </c>
      <c r="C48" s="128" t="n">
        <v>14</v>
      </c>
      <c r="D48" s="151"/>
      <c r="E48" s="151"/>
      <c r="F48" s="152"/>
      <c r="G48" s="153"/>
      <c r="H48" s="151"/>
      <c r="I48" s="151"/>
      <c r="J48" s="132" t="str">
        <f aca="false">IF(ISBLANK(D48),"",IF(VLOOKUP(D48,#REF!,2)=0,"",IF(D48&gt;#REF!,"Mauvais numéro",IF(D48&lt;#REF!,"Mauvais numéro",(VLOOKUP(D48,#REF!,3))))))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54"/>
      <c r="Q48" s="149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5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4"/>
      <c r="T48" s="124"/>
      <c r="U48" s="124"/>
      <c r="V48" s="124"/>
      <c r="W48" s="124"/>
      <c r="X48" s="124"/>
      <c r="Y48" s="124"/>
      <c r="Z48" s="124"/>
      <c r="AA48" s="124"/>
      <c r="AB48" s="124"/>
      <c r="AC48" s="124"/>
      <c r="AD48" s="124"/>
      <c r="AE48" s="124"/>
      <c r="AF48" s="124"/>
      <c r="AG48" s="124"/>
      <c r="AH48" s="124"/>
      <c r="AI48" s="124"/>
      <c r="AJ48" s="124"/>
      <c r="AK48" s="124"/>
      <c r="AL48" s="124"/>
      <c r="AM48" s="124"/>
      <c r="AN48" s="124"/>
      <c r="AO48" s="124"/>
      <c r="AP48" s="124"/>
      <c r="AQ48" s="124"/>
      <c r="AR48" s="124"/>
      <c r="AS48" s="124"/>
      <c r="AT48" s="124"/>
      <c r="AU48" s="124"/>
      <c r="AV48" s="124"/>
      <c r="AW48" s="124"/>
      <c r="AX48" s="124"/>
      <c r="AY48" s="124"/>
      <c r="AZ48" s="124"/>
      <c r="BA48" s="124"/>
      <c r="BB48" s="136"/>
    </row>
    <row r="49" customFormat="false" ht="15.6" hidden="false" customHeight="false" outlineLevel="0" collapsed="false">
      <c r="A49" s="111" t="n">
        <f aca="false">IF(ISBLANK(VLOOKUP(D49,#REF!,3)),0,1)</f>
        <v>1</v>
      </c>
      <c r="B49" s="112" t="n">
        <f aca="false">IF(ISBLANK(D49),0,IF(ISBLANK(E49),0,IF(ISBLANK(F49),0,1)))</f>
        <v>0</v>
      </c>
      <c r="C49" s="128" t="n">
        <v>15</v>
      </c>
      <c r="D49" s="151"/>
      <c r="E49" s="151"/>
      <c r="F49" s="152"/>
      <c r="G49" s="156"/>
      <c r="H49" s="151"/>
      <c r="I49" s="151"/>
      <c r="J49" s="132" t="str">
        <f aca="false">IF(ISBLANK(D49),"",IF(VLOOKUP(D49,#REF!,2)=0,"",IF(D49&gt;#REF!,"Mauvais numéro",IF(D49&lt;#REF!,"Mauvais numéro",(VLOOKUP(D49,#REF!,3))))))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57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49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24"/>
      <c r="AE49" s="124"/>
      <c r="AF49" s="124"/>
      <c r="AG49" s="124"/>
      <c r="AH49" s="124"/>
      <c r="AI49" s="124"/>
      <c r="AJ49" s="124"/>
      <c r="AK49" s="124"/>
      <c r="AL49" s="124"/>
      <c r="AM49" s="124"/>
      <c r="AN49" s="124"/>
      <c r="AO49" s="124"/>
      <c r="AP49" s="124"/>
      <c r="AQ49" s="124"/>
      <c r="AR49" s="124"/>
      <c r="AS49" s="124"/>
      <c r="AT49" s="124"/>
      <c r="AU49" s="124"/>
      <c r="AV49" s="124"/>
      <c r="AW49" s="124"/>
      <c r="AX49" s="124"/>
      <c r="AY49" s="124"/>
      <c r="AZ49" s="124"/>
      <c r="BA49" s="124"/>
      <c r="BB49" s="136"/>
    </row>
    <row r="50" customFormat="false" ht="15.6" hidden="false" customHeight="false" outlineLevel="0" collapsed="false">
      <c r="A50" s="111" t="n">
        <f aca="false">IF(ISBLANK(VLOOKUP(D50,#REF!,3)),0,1)</f>
        <v>1</v>
      </c>
      <c r="B50" s="112" t="n">
        <f aca="false">IF(ISBLANK(D50),0,IF(ISBLANK(E50),0,IF(ISBLANK(F50),0,1)))</f>
        <v>0</v>
      </c>
      <c r="C50" s="128" t="n">
        <v>16</v>
      </c>
      <c r="D50" s="151"/>
      <c r="E50" s="151"/>
      <c r="F50" s="152"/>
      <c r="G50" s="156"/>
      <c r="H50" s="151"/>
      <c r="I50" s="151"/>
      <c r="J50" s="132" t="str">
        <f aca="false">IF(ISBLANK(D50),"",IF(VLOOKUP(D50,#REF!,2)=0,"",IF(D50&gt;#REF!,"Mauvais numéro",IF(D50&lt;#REF!,"Mauvais numéro",(VLOOKUP(D50,#REF!,3))))))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57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49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24"/>
      <c r="U50" s="124"/>
      <c r="V50" s="124"/>
      <c r="W50" s="124"/>
      <c r="X50" s="124"/>
      <c r="Y50" s="124"/>
      <c r="Z50" s="124"/>
      <c r="AA50" s="124"/>
      <c r="AB50" s="124"/>
      <c r="AC50" s="124"/>
      <c r="AD50" s="124"/>
      <c r="AE50" s="124"/>
      <c r="AF50" s="124"/>
      <c r="AG50" s="124"/>
      <c r="AH50" s="124"/>
      <c r="AI50" s="124"/>
      <c r="AJ50" s="124"/>
      <c r="AK50" s="124"/>
      <c r="AL50" s="124"/>
      <c r="AM50" s="124"/>
      <c r="AN50" s="124"/>
      <c r="AO50" s="124"/>
      <c r="AP50" s="124"/>
      <c r="AQ50" s="124"/>
      <c r="AR50" s="124"/>
      <c r="AS50" s="124"/>
      <c r="AT50" s="124"/>
      <c r="AU50" s="124"/>
      <c r="AV50" s="124"/>
      <c r="AW50" s="124"/>
      <c r="AX50" s="124"/>
      <c r="AY50" s="124"/>
      <c r="AZ50" s="124"/>
      <c r="BA50" s="124"/>
      <c r="BB50" s="136"/>
    </row>
    <row r="51" customFormat="false" ht="15.6" hidden="false" customHeight="false" outlineLevel="0" collapsed="false">
      <c r="A51" s="111" t="n">
        <f aca="false">IF(ISBLANK(VLOOKUP(D51,#REF!,3)),0,1)</f>
        <v>1</v>
      </c>
      <c r="B51" s="112" t="n">
        <f aca="false">IF(ISBLANK(D51),0,IF(ISBLANK(E51),0,IF(ISBLANK(F51),0,1)))</f>
        <v>0</v>
      </c>
      <c r="C51" s="128" t="n">
        <v>17</v>
      </c>
      <c r="D51" s="151"/>
      <c r="E51" s="151"/>
      <c r="F51" s="152"/>
      <c r="G51" s="156"/>
      <c r="H51" s="151"/>
      <c r="I51" s="151"/>
      <c r="J51" s="132" t="str">
        <f aca="false">IF(ISBLANK(D51),"",IF(VLOOKUP(D51,#REF!,2)=0,"",IF(D51&gt;#REF!,"Mauvais numéro",IF(D51&lt;#REF!,"Mauvais numéro",(VLOOKUP(D51,#REF!,3))))))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57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49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24"/>
      <c r="AE51" s="124"/>
      <c r="AF51" s="124"/>
      <c r="AG51" s="124"/>
      <c r="AH51" s="124"/>
      <c r="AI51" s="124"/>
      <c r="AJ51" s="124"/>
      <c r="AK51" s="124"/>
      <c r="AL51" s="124"/>
      <c r="AM51" s="124"/>
      <c r="AN51" s="124"/>
      <c r="AO51" s="124"/>
      <c r="AP51" s="124"/>
      <c r="AQ51" s="124"/>
      <c r="AR51" s="124"/>
      <c r="AS51" s="124"/>
      <c r="AT51" s="124"/>
      <c r="AU51" s="124"/>
      <c r="AV51" s="124"/>
      <c r="AW51" s="124"/>
      <c r="AX51" s="124"/>
      <c r="AY51" s="124"/>
      <c r="AZ51" s="124"/>
      <c r="BA51" s="124"/>
      <c r="BB51" s="136"/>
    </row>
    <row r="52" customFormat="false" ht="15.6" hidden="false" customHeight="false" outlineLevel="0" collapsed="false">
      <c r="A52" s="111" t="n">
        <f aca="false">IF(ISBLANK(VLOOKUP(D52,#REF!,3)),0,1)</f>
        <v>1</v>
      </c>
      <c r="B52" s="112" t="n">
        <f aca="false">IF(ISBLANK(D52),0,IF(ISBLANK(E52),0,IF(ISBLANK(F52),0,1)))</f>
        <v>0</v>
      </c>
      <c r="C52" s="128" t="n">
        <v>18</v>
      </c>
      <c r="D52" s="151"/>
      <c r="E52" s="151"/>
      <c r="F52" s="152"/>
      <c r="G52" s="156"/>
      <c r="H52" s="151"/>
      <c r="I52" s="151"/>
      <c r="J52" s="132" t="str">
        <f aca="false">IF(ISBLANK(D52),"",IF(VLOOKUP(D52,#REF!,2)=0,"",IF(D52&gt;#REF!,"Mauvais numéro",IF(D52&lt;#REF!,"Mauvais numéro",(VLOOKUP(D52,#REF!,3))))))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57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49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24"/>
      <c r="U52" s="124"/>
      <c r="V52" s="124"/>
      <c r="W52" s="124"/>
      <c r="X52" s="124"/>
      <c r="Y52" s="124"/>
      <c r="Z52" s="124"/>
      <c r="AA52" s="124"/>
      <c r="AB52" s="124"/>
      <c r="AC52" s="124"/>
      <c r="AD52" s="124"/>
      <c r="AE52" s="124"/>
      <c r="AF52" s="124"/>
      <c r="AG52" s="124"/>
      <c r="AH52" s="124"/>
      <c r="AI52" s="124"/>
      <c r="AJ52" s="124"/>
      <c r="AK52" s="124"/>
      <c r="AL52" s="124"/>
      <c r="AM52" s="124"/>
      <c r="AN52" s="124"/>
      <c r="AO52" s="124"/>
      <c r="AP52" s="124"/>
      <c r="AQ52" s="124"/>
      <c r="AR52" s="124"/>
      <c r="AS52" s="124"/>
      <c r="AT52" s="124"/>
      <c r="AU52" s="124"/>
      <c r="AV52" s="124"/>
      <c r="AW52" s="124"/>
      <c r="AX52" s="124"/>
      <c r="AY52" s="124"/>
      <c r="AZ52" s="124"/>
      <c r="BA52" s="124"/>
      <c r="BB52" s="136"/>
    </row>
    <row r="53" customFormat="false" ht="15.6" hidden="false" customHeight="false" outlineLevel="0" collapsed="false">
      <c r="A53" s="111" t="n">
        <f aca="false">IF(ISBLANK(VLOOKUP(D53,#REF!,3)),0,1)</f>
        <v>1</v>
      </c>
      <c r="B53" s="112" t="n">
        <f aca="false">IF(ISBLANK(D53),0,IF(ISBLANK(E53),0,IF(ISBLANK(F53),0,1)))</f>
        <v>0</v>
      </c>
      <c r="C53" s="128" t="n">
        <v>19</v>
      </c>
      <c r="D53" s="151"/>
      <c r="E53" s="151"/>
      <c r="F53" s="152"/>
      <c r="G53" s="156"/>
      <c r="H53" s="151"/>
      <c r="I53" s="151"/>
      <c r="J53" s="132" t="str">
        <f aca="false">IF(ISBLANK(D53),"",IF(VLOOKUP(D53,#REF!,2)=0,"",IF(D53&gt;#REF!,"Mauvais numéro",IF(D53&lt;#REF!,"Mauvais numéro",(VLOOKUP(D53,#REF!,3))))))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57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49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24"/>
      <c r="U53" s="124"/>
      <c r="V53" s="124"/>
      <c r="W53" s="124"/>
      <c r="X53" s="12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24"/>
      <c r="AJ53" s="124"/>
      <c r="AK53" s="124"/>
      <c r="AL53" s="124"/>
      <c r="AM53" s="124"/>
      <c r="AN53" s="124"/>
      <c r="AO53" s="124"/>
      <c r="AP53" s="124"/>
      <c r="AQ53" s="124"/>
      <c r="AR53" s="124"/>
      <c r="AS53" s="124"/>
      <c r="AT53" s="124"/>
      <c r="AU53" s="124"/>
      <c r="AV53" s="124"/>
      <c r="AW53" s="124"/>
      <c r="AX53" s="124"/>
      <c r="AY53" s="124"/>
      <c r="AZ53" s="124"/>
      <c r="BA53" s="124"/>
      <c r="BB53" s="136"/>
    </row>
    <row r="54" customFormat="false" ht="15.6" hidden="false" customHeight="false" outlineLevel="0" collapsed="false">
      <c r="A54" s="111" t="n">
        <f aca="false">IF(ISBLANK(VLOOKUP(D54,#REF!,3)),0,1)</f>
        <v>1</v>
      </c>
      <c r="B54" s="112" t="n">
        <f aca="false">IF(ISBLANK(D54),0,IF(ISBLANK(E54),0,IF(ISBLANK(F54),0,1)))</f>
        <v>0</v>
      </c>
      <c r="C54" s="128" t="n">
        <v>20</v>
      </c>
      <c r="D54" s="151"/>
      <c r="E54" s="151"/>
      <c r="F54" s="152"/>
      <c r="G54" s="156"/>
      <c r="H54" s="151"/>
      <c r="I54" s="151"/>
      <c r="J54" s="132" t="str">
        <f aca="false">IF(ISBLANK(D54),"",IF(VLOOKUP(D54,#REF!,2)=0,"",IF(D54&gt;#REF!,"Mauvais numéro",IF(D54&lt;#REF!,"Mauvais numéro",(VLOOKUP(D54,#REF!,3))))))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57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49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4"/>
      <c r="U54" s="124"/>
      <c r="V54" s="124"/>
      <c r="W54" s="124"/>
      <c r="X54" s="124"/>
      <c r="Y54" s="124"/>
      <c r="Z54" s="124"/>
      <c r="AA54" s="124"/>
      <c r="AB54" s="124"/>
      <c r="AC54" s="124"/>
      <c r="AD54" s="124"/>
      <c r="AE54" s="124"/>
      <c r="AF54" s="124"/>
      <c r="AG54" s="124"/>
      <c r="AH54" s="124"/>
      <c r="AI54" s="124"/>
      <c r="AJ54" s="124"/>
      <c r="AK54" s="124"/>
      <c r="AL54" s="124"/>
      <c r="AM54" s="124"/>
      <c r="AN54" s="124"/>
      <c r="AO54" s="124"/>
      <c r="AP54" s="124"/>
      <c r="AQ54" s="124"/>
      <c r="AR54" s="124"/>
      <c r="AS54" s="124"/>
      <c r="AT54" s="124"/>
      <c r="AU54" s="124"/>
      <c r="AV54" s="124"/>
      <c r="AW54" s="124"/>
      <c r="AX54" s="124"/>
      <c r="AY54" s="124"/>
      <c r="AZ54" s="124"/>
      <c r="BA54" s="124"/>
      <c r="BB54" s="136"/>
    </row>
    <row r="55" customFormat="false" ht="15.6" hidden="false" customHeight="false" outlineLevel="0" collapsed="false">
      <c r="A55" s="111" t="n">
        <f aca="false">IF(ISBLANK(VLOOKUP(D55,#REF!,3)),0,1)</f>
        <v>1</v>
      </c>
      <c r="B55" s="112" t="n">
        <f aca="false">IF(ISBLANK(D55),0,IF(ISBLANK(E55),0,IF(ISBLANK(F55),0,1)))</f>
        <v>0</v>
      </c>
      <c r="C55" s="128" t="n">
        <v>21</v>
      </c>
      <c r="D55" s="151"/>
      <c r="E55" s="151"/>
      <c r="F55" s="152"/>
      <c r="G55" s="156"/>
      <c r="H55" s="151"/>
      <c r="I55" s="151"/>
      <c r="J55" s="132" t="str">
        <f aca="false">IF(ISBLANK(D55),"",IF(VLOOKUP(D55,#REF!,2)=0,"",IF(D55&gt;#REF!,"Mauvais numéro",IF(D55&lt;#REF!,"Mauvais numéro",(VLOOKUP(D55,#REF!,3))))))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57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49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24"/>
      <c r="U55" s="124"/>
      <c r="V55" s="124"/>
      <c r="W55" s="124"/>
      <c r="X55" s="124"/>
      <c r="Y55" s="124"/>
      <c r="Z55" s="124"/>
      <c r="AA55" s="124"/>
      <c r="AB55" s="124"/>
      <c r="AC55" s="124"/>
      <c r="AD55" s="124"/>
      <c r="AE55" s="124"/>
      <c r="AF55" s="124"/>
      <c r="AG55" s="124"/>
      <c r="AH55" s="124"/>
      <c r="AI55" s="124"/>
      <c r="AJ55" s="124"/>
      <c r="AK55" s="124"/>
      <c r="AL55" s="124"/>
      <c r="AM55" s="124"/>
      <c r="AN55" s="124"/>
      <c r="AO55" s="124"/>
      <c r="AP55" s="124"/>
      <c r="AQ55" s="124"/>
      <c r="AR55" s="124"/>
      <c r="AS55" s="124"/>
      <c r="AT55" s="124"/>
      <c r="AU55" s="124"/>
      <c r="AV55" s="124"/>
      <c r="AW55" s="124"/>
      <c r="AX55" s="124"/>
      <c r="AY55" s="124"/>
      <c r="AZ55" s="124"/>
      <c r="BA55" s="124"/>
      <c r="BB55" s="136"/>
    </row>
    <row r="56" customFormat="false" ht="15.6" hidden="false" customHeight="false" outlineLevel="0" collapsed="false">
      <c r="A56" s="111" t="n">
        <f aca="false">IF(ISBLANK(VLOOKUP(D56,#REF!,3)),0,1)</f>
        <v>1</v>
      </c>
      <c r="B56" s="112" t="n">
        <f aca="false">IF(ISBLANK(D56),0,IF(ISBLANK(E56),0,IF(ISBLANK(F56),0,1)))</f>
        <v>0</v>
      </c>
      <c r="C56" s="128" t="n">
        <v>22</v>
      </c>
      <c r="D56" s="151"/>
      <c r="E56" s="151"/>
      <c r="F56" s="152"/>
      <c r="G56" s="156"/>
      <c r="H56" s="151"/>
      <c r="I56" s="151"/>
      <c r="J56" s="132" t="str">
        <f aca="false">IF(ISBLANK(D56),"",IF(VLOOKUP(D56,#REF!,2)=0,"",IF(D56&gt;#REF!,"Mauvais numéro",IF(D56&lt;#REF!,"Mauvais numéro",(VLOOKUP(D56,#REF!,3))))))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57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49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24"/>
      <c r="AE56" s="124"/>
      <c r="AF56" s="124"/>
      <c r="AG56" s="124"/>
      <c r="AH56" s="124"/>
      <c r="AI56" s="124"/>
      <c r="AJ56" s="124"/>
      <c r="AK56" s="124"/>
      <c r="AL56" s="124"/>
      <c r="AM56" s="124"/>
      <c r="AN56" s="124"/>
      <c r="AO56" s="124"/>
      <c r="AP56" s="124"/>
      <c r="AQ56" s="124"/>
      <c r="AR56" s="124"/>
      <c r="AS56" s="124"/>
      <c r="AT56" s="124"/>
      <c r="AU56" s="124"/>
      <c r="AV56" s="124"/>
      <c r="AW56" s="124"/>
      <c r="AX56" s="124"/>
      <c r="AY56" s="124"/>
      <c r="AZ56" s="124"/>
      <c r="BA56" s="124"/>
      <c r="BB56" s="136"/>
    </row>
    <row r="57" customFormat="false" ht="15.6" hidden="false" customHeight="false" outlineLevel="0" collapsed="false">
      <c r="A57" s="111" t="n">
        <f aca="false">IF(ISBLANK(VLOOKUP(D57,#REF!,3)),0,1)</f>
        <v>1</v>
      </c>
      <c r="B57" s="112" t="n">
        <f aca="false">IF(ISBLANK(D57),0,IF(ISBLANK(E57),0,IF(ISBLANK(F57),0,1)))</f>
        <v>0</v>
      </c>
      <c r="C57" s="128" t="n">
        <v>23</v>
      </c>
      <c r="D57" s="151"/>
      <c r="E57" s="151"/>
      <c r="F57" s="152"/>
      <c r="G57" s="156"/>
      <c r="H57" s="151"/>
      <c r="I57" s="151"/>
      <c r="J57" s="132" t="str">
        <f aca="false">IF(ISBLANK(D57),"",IF(VLOOKUP(D57,#REF!,2)=0,"",IF(D57&gt;#REF!,"Mauvais numéro",IF(D57&lt;#REF!,"Mauvais numéro",(VLOOKUP(D57,#REF!,3))))))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57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49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4"/>
      <c r="U57" s="124"/>
      <c r="V57" s="124"/>
      <c r="W57" s="124"/>
      <c r="X57" s="124"/>
      <c r="Y57" s="124"/>
      <c r="Z57" s="124"/>
      <c r="AA57" s="124"/>
      <c r="AB57" s="124"/>
      <c r="AC57" s="124"/>
      <c r="AD57" s="124"/>
      <c r="AE57" s="124"/>
      <c r="AF57" s="124"/>
      <c r="AG57" s="124"/>
      <c r="AH57" s="124"/>
      <c r="AI57" s="124"/>
      <c r="AJ57" s="124"/>
      <c r="AK57" s="124"/>
      <c r="AL57" s="124"/>
      <c r="AM57" s="124"/>
      <c r="AN57" s="124"/>
      <c r="AO57" s="124"/>
      <c r="AP57" s="124"/>
      <c r="AQ57" s="124"/>
      <c r="AR57" s="124"/>
      <c r="AS57" s="124"/>
      <c r="AT57" s="124"/>
      <c r="AU57" s="124"/>
      <c r="AV57" s="124"/>
      <c r="AW57" s="124"/>
      <c r="AX57" s="124"/>
      <c r="AY57" s="124"/>
      <c r="AZ57" s="124"/>
      <c r="BA57" s="124"/>
      <c r="BB57" s="136"/>
    </row>
    <row r="58" customFormat="false" ht="16.2" hidden="false" customHeight="false" outlineLevel="0" collapsed="false">
      <c r="A58" s="111" t="n">
        <f aca="false">IF(ISBLANK(VLOOKUP(D58,#REF!,3)),0,1)</f>
        <v>1</v>
      </c>
      <c r="B58" s="112" t="n">
        <f aca="false">IF(ISBLANK(D58),0,IF(ISBLANK(E58),0,IF(ISBLANK(F58),0,1)))</f>
        <v>0</v>
      </c>
      <c r="C58" s="158" t="n">
        <v>24</v>
      </c>
      <c r="D58" s="159"/>
      <c r="E58" s="159"/>
      <c r="F58" s="160"/>
      <c r="G58" s="161"/>
      <c r="H58" s="159"/>
      <c r="I58" s="159"/>
      <c r="J58" s="162" t="str">
        <f aca="false">IF(ISBLANK(D58),"",IF(VLOOKUP(D58,#REF!,2)=0,"",IF(D58&gt;#REF!,"Mauvais numéro",IF(D58&lt;#REF!,"Mauvais numéro",(VLOOKUP(D58,#REF!,3))))))</f>
        <v/>
      </c>
      <c r="K58" s="163" t="str">
        <f aca="false">IF(ISBLANK(E58),"",(0.000824493-(0.0000040899*E58)+(0.000000076438*E58^2)-(0.00000000082467*E58^3)+(0.0000000000053875*E58^4)))</f>
        <v/>
      </c>
      <c r="L58" s="163" t="str">
        <f aca="false">IF(ISBLANK(E58),"",(-0.00000572466+(0.00000010227*E58)-(0.0000000016546*E58^2)))</f>
        <v/>
      </c>
      <c r="M58" s="163" t="str">
        <f aca="false">IF(ISBLANK(E58),"",IF(ISBLANK(G58),(O58+(K58*35)+(L58*35^1.5)+(0.00000048314*35^2)),(O58+(K58*G58)+(L58*G58^1.5)+(0.00000048314*G58^2))))</f>
        <v/>
      </c>
      <c r="N58" s="164" t="str">
        <f aca="false">IF(ISBLANK(D58),"",IF(ISBLANK(G58),J58*(1+0.00001*(35-20)),J58*(1+0.00001*(G58-20))))</f>
        <v/>
      </c>
      <c r="O58" s="163" t="str">
        <f aca="false">IF(ISBLANK(E58),"",(0.999842594+(0.00006793952*E58)-(0.00000909529*E58^2)+(0.0000001001685*E58^3)-(0.000000001120083*E58^4)+(0.000000000006536332*E58^5)))</f>
        <v/>
      </c>
      <c r="P58" s="165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66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7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7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68"/>
      <c r="U58" s="168"/>
      <c r="V58" s="168"/>
      <c r="W58" s="168"/>
      <c r="X58" s="168"/>
      <c r="Y58" s="168"/>
      <c r="Z58" s="168"/>
      <c r="AA58" s="168"/>
      <c r="AB58" s="168"/>
      <c r="AC58" s="168"/>
      <c r="AD58" s="168"/>
      <c r="AE58" s="168"/>
      <c r="AF58" s="168"/>
      <c r="AG58" s="168"/>
      <c r="AH58" s="168"/>
      <c r="AI58" s="168"/>
      <c r="AJ58" s="168"/>
      <c r="AK58" s="168"/>
      <c r="AL58" s="168"/>
      <c r="AM58" s="168"/>
      <c r="AN58" s="168"/>
      <c r="AO58" s="168"/>
      <c r="AP58" s="168"/>
      <c r="AQ58" s="168"/>
      <c r="AR58" s="168"/>
      <c r="AS58" s="168"/>
      <c r="AT58" s="168"/>
      <c r="AU58" s="168"/>
      <c r="AV58" s="168"/>
      <c r="AW58" s="168"/>
      <c r="AX58" s="168"/>
      <c r="AY58" s="168"/>
      <c r="AZ58" s="168"/>
      <c r="BA58" s="168"/>
      <c r="BB58" s="169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AF16" colorId="64" zoomScale="100" zoomScaleNormal="100" zoomScalePageLayoutView="100" workbookViewId="0">
      <selection pane="topLeft" activeCell="V52" activeCellId="0" sqref="V52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8178137651822"/>
    <col collapsed="false" hidden="false" max="32" min="32" style="0" width="9.10526315789474"/>
    <col collapsed="false" hidden="false" max="33" min="33" style="0" width="26.5668016194332"/>
    <col collapsed="false" hidden="false" max="34" min="34" style="0" width="12.8542510121458"/>
    <col collapsed="false" hidden="false" max="35" min="35" style="0" width="11.1417004048583"/>
    <col collapsed="false" hidden="false" max="36" min="36" style="0" width="14.5668016194332"/>
    <col collapsed="false" hidden="false" max="37" min="37" style="0" width="12.2105263157895"/>
    <col collapsed="false" hidden="false" max="38" min="38" style="0" width="26.995951417004"/>
    <col collapsed="false" hidden="false" max="39" min="39" style="0" width="14.6761133603239"/>
    <col collapsed="false" hidden="false" max="40" min="40" style="0" width="11.3562753036437"/>
    <col collapsed="false" hidden="false" max="41" min="41" style="0" width="12.5344129554656"/>
    <col collapsed="false" hidden="false" max="42" min="42" style="0" width="10.7125506072875"/>
    <col collapsed="false" hidden="false" max="43" min="43" style="0" width="6.31983805668016"/>
    <col collapsed="false" hidden="false" max="44" min="44" style="0" width="19.7085020242915"/>
    <col collapsed="false" hidden="false" max="45" min="45" style="0" width="13.0688259109312"/>
    <col collapsed="false" hidden="false" max="46" min="46" style="0" width="17.7813765182186"/>
    <col collapsed="false" hidden="false" max="47" min="47" style="0" width="14.6761133603239"/>
    <col collapsed="false" hidden="false" max="48" min="48" style="0" width="13.6032388663968"/>
    <col collapsed="false" hidden="false" max="49" min="49" style="0" width="13.7125506072874"/>
    <col collapsed="false" hidden="false" max="50" min="50" style="0" width="19.9230769230769"/>
    <col collapsed="false" hidden="false" max="51" min="51" style="0" width="13.2834008097166"/>
    <col collapsed="false" hidden="false" max="52" min="52" style="0" width="17.6761133603239"/>
    <col collapsed="false" hidden="false" max="53" min="53" style="0" width="13.3886639676113"/>
    <col collapsed="false" hidden="false" max="54" min="54" style="0" width="12.6396761133603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24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38545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2</v>
      </c>
      <c r="J9" s="29" t="n">
        <v>0.12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-2°0,12</v>
      </c>
      <c r="P9" s="29" t="s">
        <v>15</v>
      </c>
      <c r="Q9" s="33" t="n">
        <f aca="false">IF(ISBLANK(I9),"",IF(ISBLANK(J9),"",IF(J9&gt;60,"ERREUR !!",O11*(I9+(J9/60)))))</f>
        <v>-2.002</v>
      </c>
      <c r="R9" s="33"/>
    </row>
    <row r="10" customFormat="false" ht="15" hidden="false" customHeight="true" outlineLevel="0" collapsed="false">
      <c r="C10" s="21"/>
      <c r="D10" s="18"/>
      <c r="G10" s="27" t="s">
        <v>16</v>
      </c>
      <c r="H10" s="27"/>
      <c r="I10" s="28" t="n">
        <v>9</v>
      </c>
      <c r="J10" s="29" t="n">
        <v>59.91</v>
      </c>
      <c r="K10" s="30" t="s">
        <v>12</v>
      </c>
      <c r="L10" s="31" t="str">
        <f aca="false">IF(P10=N9,"+","-")</f>
        <v>-</v>
      </c>
      <c r="M10" s="30" t="s">
        <v>15</v>
      </c>
      <c r="N10" s="30" t="s">
        <v>17</v>
      </c>
      <c r="O10" s="34" t="str">
        <f aca="false">IF(ISBLANK(I10),"",IF(ISBLANK(J10),"",IF(P10=N10,L10&amp;N12,N12)))</f>
        <v>-9°59,91</v>
      </c>
      <c r="P10" s="29" t="s">
        <v>17</v>
      </c>
      <c r="Q10" s="33" t="n">
        <f aca="false">IF(ISBLANK(I10),"",IF(ISBLANK(J10),"",IF(J10&gt;60,"ERREUR !!",O12*(I10+(J10/60)))))</f>
        <v>-9.9985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38544</v>
      </c>
      <c r="K11" s="38"/>
      <c r="L11" s="38"/>
      <c r="M11" s="38"/>
      <c r="N11" s="39" t="str">
        <f aca="false">I9&amp;"°"&amp;J9</f>
        <v>2°0,12</v>
      </c>
      <c r="O11" s="40" t="n">
        <f aca="false">IF(P9=M10,-1,1)</f>
        <v>-1</v>
      </c>
      <c r="P11" s="41" t="str">
        <f aca="false">TEXT(J11,"aaaa-mm-jj")&amp;"T"&amp;TEXT(J12,"hh:mm:ss")&amp;"z"</f>
        <v>2009-07-12T23:00:00z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0.958333333333333</v>
      </c>
      <c r="K12" s="45"/>
      <c r="L12" s="45"/>
      <c r="M12" s="45"/>
      <c r="N12" s="46" t="str">
        <f aca="false">I10&amp;"°"&amp;J10</f>
        <v>9°59,91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e">
        <f aca="false">$P$24*($P$18/#REF!)</f>
        <v>#REF!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e">
        <f aca="false">5+#REF!</f>
        <v>#REF!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e">
        <f aca="false">P20*(1+0.00001*(R14-20))</f>
        <v>#REF!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e">
        <f aca="false">MAX(#REF!)</f>
        <v>#VALUE!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e">
        <f aca="false">2+(#REF!+#REF!)</f>
        <v>#REF!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52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53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" hidden="false" customHeight="false" outlineLevel="0" collapsed="false">
      <c r="A35" s="111" t="n">
        <f aca="false">IF(ISBLANK(VLOOKUP(D35,#REF!,3)),0,1)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n">
        <v>34.9585</v>
      </c>
      <c r="H35" s="118" t="n">
        <v>2000</v>
      </c>
      <c r="I35" s="119" t="n">
        <v>2001.3</v>
      </c>
      <c r="J35" s="120"/>
      <c r="K35" s="121"/>
      <c r="L35" s="121"/>
      <c r="M35" s="121"/>
      <c r="N35" s="122"/>
      <c r="O35" s="121"/>
      <c r="P35" s="120" t="n">
        <v>5.71</v>
      </c>
      <c r="Q35" s="120"/>
      <c r="R35" s="120"/>
      <c r="S35" s="179" t="n">
        <v>248.142</v>
      </c>
      <c r="T35" s="32" t="n">
        <v>0.02</v>
      </c>
      <c r="U35" s="32" t="n">
        <v>0.02</v>
      </c>
      <c r="V35" s="32"/>
      <c r="W35" s="32"/>
      <c r="X35" s="125" t="n">
        <v>19.5</v>
      </c>
      <c r="Y35" s="125" t="n">
        <v>19.1</v>
      </c>
      <c r="Z35" s="32" t="n">
        <v>1.3</v>
      </c>
      <c r="AA35" s="32" t="n">
        <v>1.27</v>
      </c>
      <c r="AB35" s="125" t="n">
        <v>22.1</v>
      </c>
      <c r="AC35" s="125" t="n">
        <v>21.6</v>
      </c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7"/>
    </row>
    <row r="36" customFormat="false" ht="15" hidden="false" customHeight="false" outlineLevel="0" collapsed="false">
      <c r="A36" s="111" t="n">
        <f aca="false">IF(ISBLANK(VLOOKUP(D36,#REF!,3)),0,1)</f>
        <v>1</v>
      </c>
      <c r="B36" s="112" t="n">
        <f aca="false">IF(ISBLANK(D36),0,IF(ISBLANK(E36),0,IF(ISBLANK(F36),0,1)))</f>
        <v>0</v>
      </c>
      <c r="C36" s="128" t="n">
        <v>2</v>
      </c>
      <c r="D36" s="129"/>
      <c r="E36" s="129"/>
      <c r="F36" s="130"/>
      <c r="G36" s="117" t="n">
        <v>34.5902</v>
      </c>
      <c r="H36" s="131" t="n">
        <v>1000</v>
      </c>
      <c r="I36" s="119" t="n">
        <v>999</v>
      </c>
      <c r="J36" s="132"/>
      <c r="K36" s="133"/>
      <c r="L36" s="133"/>
      <c r="M36" s="133"/>
      <c r="N36" s="134"/>
      <c r="O36" s="133"/>
      <c r="P36" s="132" t="n">
        <v>3.638</v>
      </c>
      <c r="Q36" s="132"/>
      <c r="R36" s="132"/>
      <c r="S36" s="125" t="n">
        <v>158.143</v>
      </c>
      <c r="T36" s="32" t="n">
        <v>0.02</v>
      </c>
      <c r="U36" s="32" t="n">
        <v>0.02</v>
      </c>
      <c r="V36" s="32"/>
      <c r="W36" s="32"/>
      <c r="X36" s="125" t="n">
        <v>32.7</v>
      </c>
      <c r="Y36" s="125" t="n">
        <v>31.9</v>
      </c>
      <c r="Z36" s="32" t="n">
        <v>2.17</v>
      </c>
      <c r="AA36" s="32" t="n">
        <v>2.12</v>
      </c>
      <c r="AB36" s="125" t="n">
        <v>31.4</v>
      </c>
      <c r="AC36" s="125" t="n">
        <v>30.7</v>
      </c>
      <c r="AD36" s="124"/>
      <c r="AE36" s="124"/>
      <c r="AF36" s="124"/>
      <c r="AG36" s="124"/>
      <c r="AH36" s="124"/>
      <c r="AI36" s="124"/>
      <c r="AJ36" s="124"/>
      <c r="AK36" s="124"/>
      <c r="AL36" s="124"/>
      <c r="AM36" s="124"/>
      <c r="AN36" s="124"/>
      <c r="AO36" s="124"/>
      <c r="AP36" s="124"/>
      <c r="AQ36" s="124"/>
      <c r="AR36" s="124"/>
      <c r="AS36" s="124"/>
      <c r="AT36" s="124"/>
      <c r="AU36" s="124"/>
      <c r="AV36" s="124"/>
      <c r="AW36" s="124"/>
      <c r="AX36" s="124"/>
      <c r="AY36" s="124"/>
      <c r="AZ36" s="124"/>
      <c r="BA36" s="124"/>
      <c r="BB36" s="136"/>
    </row>
    <row r="37" customFormat="false" ht="15" hidden="false" customHeight="false" outlineLevel="0" collapsed="false">
      <c r="A37" s="111" t="n">
        <f aca="false">IF(ISBLANK(VLOOKUP(D37,#REF!,3)),0,1)</f>
        <v>1</v>
      </c>
      <c r="B37" s="112" t="n">
        <f aca="false">IF(ISBLANK(D37),0,IF(ISBLANK(E37),0,IF(ISBLANK(F37),0,1)))</f>
        <v>0</v>
      </c>
      <c r="C37" s="128" t="n">
        <v>3</v>
      </c>
      <c r="D37" s="129"/>
      <c r="E37" s="129"/>
      <c r="F37" s="137"/>
      <c r="G37" s="117" t="n">
        <v>34.5692</v>
      </c>
      <c r="H37" s="131" t="n">
        <v>500</v>
      </c>
      <c r="I37" s="119" t="n">
        <v>490</v>
      </c>
      <c r="J37" s="132"/>
      <c r="K37" s="133"/>
      <c r="L37" s="133"/>
      <c r="M37" s="133"/>
      <c r="N37" s="134"/>
      <c r="O37" s="133"/>
      <c r="P37" s="132" t="n">
        <v>3.208</v>
      </c>
      <c r="Q37" s="132"/>
      <c r="R37" s="132"/>
      <c r="S37" s="125" t="n">
        <v>139.505</v>
      </c>
      <c r="T37" s="32" t="n">
        <v>0.02</v>
      </c>
      <c r="U37" s="32" t="n">
        <v>0.02</v>
      </c>
      <c r="V37" s="32"/>
      <c r="W37" s="32"/>
      <c r="X37" s="125" t="n">
        <v>31.6</v>
      </c>
      <c r="Y37" s="125" t="n">
        <v>30.9</v>
      </c>
      <c r="Z37" s="32" t="n">
        <v>2.03</v>
      </c>
      <c r="AA37" s="32" t="n">
        <v>1.98</v>
      </c>
      <c r="AB37" s="125" t="n">
        <v>20.6</v>
      </c>
      <c r="AC37" s="125" t="n">
        <v>20.1</v>
      </c>
      <c r="AD37" s="124"/>
      <c r="AE37" s="124"/>
      <c r="AF37" s="124"/>
      <c r="AG37" s="124"/>
      <c r="AH37" s="124"/>
      <c r="AI37" s="124"/>
      <c r="AJ37" s="124"/>
      <c r="AK37" s="124"/>
      <c r="AL37" s="124"/>
      <c r="AM37" s="124"/>
      <c r="AN37" s="124"/>
      <c r="AO37" s="124"/>
      <c r="AP37" s="124"/>
      <c r="AQ37" s="124"/>
      <c r="AR37" s="124"/>
      <c r="AS37" s="124"/>
      <c r="AT37" s="124"/>
      <c r="AU37" s="124"/>
      <c r="AV37" s="124"/>
      <c r="AW37" s="124"/>
      <c r="AX37" s="124"/>
      <c r="AY37" s="124"/>
      <c r="AZ37" s="124"/>
      <c r="BA37" s="124"/>
      <c r="BB37" s="136"/>
    </row>
    <row r="38" customFormat="false" ht="15" hidden="false" customHeight="false" outlineLevel="0" collapsed="false">
      <c r="A38" s="111" t="n">
        <f aca="false">IF(ISBLANK(VLOOKUP(D38,#REF!,3)),0,1)</f>
        <v>1</v>
      </c>
      <c r="B38" s="112" t="n">
        <f aca="false">IF(ISBLANK(D38),0,IF(ISBLANK(E38),0,IF(ISBLANK(F38),0,1)))</f>
        <v>0</v>
      </c>
      <c r="C38" s="128" t="n">
        <v>4</v>
      </c>
      <c r="D38" s="138"/>
      <c r="E38" s="138"/>
      <c r="F38" s="139"/>
      <c r="G38" s="117" t="n">
        <v>35.6348</v>
      </c>
      <c r="H38" s="131" t="n">
        <v>100</v>
      </c>
      <c r="I38" s="119" t="n">
        <v>100.2</v>
      </c>
      <c r="J38" s="132"/>
      <c r="K38" s="133"/>
      <c r="L38" s="133"/>
      <c r="M38" s="133"/>
      <c r="N38" s="134"/>
      <c r="O38" s="133"/>
      <c r="P38" s="132" t="n">
        <v>2.783</v>
      </c>
      <c r="Q38" s="132"/>
      <c r="R38" s="132"/>
      <c r="S38" s="125" t="n">
        <v>121.111</v>
      </c>
      <c r="T38" s="32" t="n">
        <v>0.04</v>
      </c>
      <c r="U38" s="32" t="n">
        <v>0.04</v>
      </c>
      <c r="V38" s="32"/>
      <c r="W38" s="32"/>
      <c r="X38" s="125" t="n">
        <v>17</v>
      </c>
      <c r="Y38" s="125" t="n">
        <v>16.6</v>
      </c>
      <c r="Z38" s="32" t="n">
        <v>1.13</v>
      </c>
      <c r="AA38" s="32" t="n">
        <v>1.11</v>
      </c>
      <c r="AB38" s="125" t="n">
        <v>5.7</v>
      </c>
      <c r="AC38" s="125" t="n">
        <v>5.6</v>
      </c>
      <c r="AD38" s="124"/>
      <c r="AE38" s="124"/>
      <c r="AF38" s="124"/>
      <c r="AG38" s="124"/>
      <c r="AH38" s="124"/>
      <c r="AI38" s="124"/>
      <c r="AJ38" s="124"/>
      <c r="AK38" s="124"/>
      <c r="AL38" s="124"/>
      <c r="AM38" s="124"/>
      <c r="AN38" s="124"/>
      <c r="AO38" s="124"/>
      <c r="AP38" s="124"/>
      <c r="AQ38" s="124"/>
      <c r="AR38" s="124"/>
      <c r="AS38" s="124"/>
      <c r="AT38" s="124"/>
      <c r="AU38" s="124"/>
      <c r="AV38" s="124"/>
      <c r="AW38" s="124"/>
      <c r="AX38" s="124"/>
      <c r="AY38" s="124"/>
      <c r="AZ38" s="124"/>
      <c r="BA38" s="124"/>
      <c r="BB38" s="136"/>
    </row>
    <row r="39" customFormat="false" ht="15" hidden="false" customHeight="false" outlineLevel="0" collapsed="false">
      <c r="A39" s="111" t="n">
        <f aca="false">IF(ISBLANK(VLOOKUP(D39,#REF!,3)),0,1)</f>
        <v>1</v>
      </c>
      <c r="B39" s="112" t="n">
        <f aca="false">IF(ISBLANK(D39),0,IF(ISBLANK(E39),0,IF(ISBLANK(F39),0,1)))</f>
        <v>0</v>
      </c>
      <c r="C39" s="128" t="n">
        <v>5</v>
      </c>
      <c r="D39" s="129"/>
      <c r="E39" s="129"/>
      <c r="F39" s="137"/>
      <c r="G39" s="117"/>
      <c r="H39" s="131" t="n">
        <v>80</v>
      </c>
      <c r="I39" s="119"/>
      <c r="J39" s="132"/>
      <c r="K39" s="133"/>
      <c r="L39" s="133"/>
      <c r="M39" s="133"/>
      <c r="N39" s="134"/>
      <c r="O39" s="133"/>
      <c r="P39" s="132"/>
      <c r="Q39" s="132"/>
      <c r="R39" s="132"/>
      <c r="S39" s="125"/>
      <c r="T39" s="32" t="n">
        <v>0.04</v>
      </c>
      <c r="U39" s="32" t="n">
        <v>0.04</v>
      </c>
      <c r="V39" s="32"/>
      <c r="W39" s="32"/>
      <c r="X39" s="125" t="n">
        <v>16.8</v>
      </c>
      <c r="Y39" s="125" t="n">
        <v>16.5</v>
      </c>
      <c r="Z39" s="32" t="n">
        <v>1.13</v>
      </c>
      <c r="AA39" s="32" t="n">
        <v>1.1</v>
      </c>
      <c r="AB39" s="125" t="n">
        <v>5.5</v>
      </c>
      <c r="AC39" s="125" t="n">
        <v>5.4</v>
      </c>
      <c r="AD39" s="124"/>
      <c r="AE39" s="124"/>
      <c r="AF39" s="124"/>
      <c r="AG39" s="124"/>
      <c r="AH39" s="124"/>
      <c r="AI39" s="124"/>
      <c r="AJ39" s="124"/>
      <c r="AK39" s="124"/>
      <c r="AL39" s="124"/>
      <c r="AM39" s="124"/>
      <c r="AN39" s="124"/>
      <c r="AO39" s="124"/>
      <c r="AP39" s="124"/>
      <c r="AQ39" s="124"/>
      <c r="AR39" s="124"/>
      <c r="AS39" s="124"/>
      <c r="AT39" s="124"/>
      <c r="AU39" s="124"/>
      <c r="AV39" s="124"/>
      <c r="AW39" s="124"/>
      <c r="AX39" s="124"/>
      <c r="AY39" s="124"/>
      <c r="AZ39" s="124"/>
      <c r="BA39" s="124"/>
      <c r="BB39" s="136"/>
    </row>
    <row r="40" customFormat="false" ht="15" hidden="false" customHeight="false" outlineLevel="0" collapsed="false">
      <c r="A40" s="111" t="n">
        <f aca="false">IF(ISBLANK(VLOOKUP(D40,#REF!,3)),0,1)</f>
        <v>1</v>
      </c>
      <c r="B40" s="112" t="n">
        <f aca="false">IF(ISBLANK(D40),0,IF(ISBLANK(E40),0,IF(ISBLANK(F40),0,1)))</f>
        <v>0</v>
      </c>
      <c r="C40" s="128" t="n">
        <v>6</v>
      </c>
      <c r="D40" s="129"/>
      <c r="E40" s="129"/>
      <c r="F40" s="137"/>
      <c r="G40" s="117"/>
      <c r="H40" s="131" t="n">
        <v>60</v>
      </c>
      <c r="I40" s="119"/>
      <c r="J40" s="132"/>
      <c r="K40" s="133"/>
      <c r="L40" s="133"/>
      <c r="M40" s="133"/>
      <c r="N40" s="134"/>
      <c r="O40" s="133"/>
      <c r="P40" s="132"/>
      <c r="Q40" s="132"/>
      <c r="R40" s="132"/>
      <c r="S40" s="125"/>
      <c r="T40" s="32" t="n">
        <v>0.08</v>
      </c>
      <c r="U40" s="32" t="n">
        <v>0.08</v>
      </c>
      <c r="V40" s="32"/>
      <c r="W40" s="32"/>
      <c r="X40" s="125" t="n">
        <v>16.4</v>
      </c>
      <c r="Y40" s="125" t="n">
        <v>16</v>
      </c>
      <c r="Z40" s="32" t="n">
        <v>1.12</v>
      </c>
      <c r="AA40" s="32" t="n">
        <v>1.1</v>
      </c>
      <c r="AB40" s="125" t="n">
        <v>5.4</v>
      </c>
      <c r="AC40" s="125" t="n">
        <v>5.2</v>
      </c>
      <c r="AD40" s="124"/>
      <c r="AE40" s="124"/>
      <c r="AF40" s="124"/>
      <c r="AG40" s="124"/>
      <c r="AH40" s="124"/>
      <c r="AI40" s="124"/>
      <c r="AJ40" s="124"/>
      <c r="AK40" s="124"/>
      <c r="AL40" s="124"/>
      <c r="AM40" s="124"/>
      <c r="AN40" s="124"/>
      <c r="AO40" s="124"/>
      <c r="AP40" s="124"/>
      <c r="AQ40" s="124"/>
      <c r="AR40" s="124"/>
      <c r="AS40" s="124"/>
      <c r="AT40" s="124"/>
      <c r="AU40" s="124"/>
      <c r="AV40" s="124"/>
      <c r="AW40" s="124"/>
      <c r="AX40" s="124"/>
      <c r="AY40" s="124"/>
      <c r="AZ40" s="124"/>
      <c r="BA40" s="124"/>
      <c r="BB40" s="136"/>
    </row>
    <row r="41" customFormat="false" ht="15" hidden="false" customHeight="false" outlineLevel="0" collapsed="false">
      <c r="A41" s="111" t="n">
        <f aca="false">IF(ISBLANK(VLOOKUP(D41,#REF!,3)),0,1)</f>
        <v>1</v>
      </c>
      <c r="B41" s="112" t="n">
        <f aca="false">IF(ISBLANK(D41),0,IF(ISBLANK(E41),0,IF(ISBLANK(F41),0,1)))</f>
        <v>0</v>
      </c>
      <c r="C41" s="128" t="n">
        <v>7</v>
      </c>
      <c r="D41" s="129"/>
      <c r="E41" s="129"/>
      <c r="F41" s="137"/>
      <c r="G41" s="117"/>
      <c r="H41" s="131" t="n">
        <v>40</v>
      </c>
      <c r="I41" s="119"/>
      <c r="J41" s="132"/>
      <c r="K41" s="133"/>
      <c r="L41" s="133"/>
      <c r="M41" s="133"/>
      <c r="N41" s="134"/>
      <c r="O41" s="133"/>
      <c r="P41" s="132"/>
      <c r="Q41" s="132"/>
      <c r="R41" s="132"/>
      <c r="S41" s="125"/>
      <c r="T41" s="32" t="n">
        <v>0.14</v>
      </c>
      <c r="U41" s="32" t="n">
        <v>0.14</v>
      </c>
      <c r="V41" s="32"/>
      <c r="W41" s="32"/>
      <c r="X41" s="125" t="n">
        <v>15.8</v>
      </c>
      <c r="Y41" s="125" t="n">
        <v>15.5</v>
      </c>
      <c r="Z41" s="32" t="n">
        <v>1.06</v>
      </c>
      <c r="AA41" s="32" t="n">
        <v>1.03</v>
      </c>
      <c r="AB41" s="125" t="n">
        <v>5.5</v>
      </c>
      <c r="AC41" s="125" t="n">
        <v>5.3</v>
      </c>
      <c r="AD41" s="124"/>
      <c r="AE41" s="124"/>
      <c r="AF41" s="124"/>
      <c r="AG41" s="124"/>
      <c r="AH41" s="124"/>
      <c r="AI41" s="124"/>
      <c r="AJ41" s="124"/>
      <c r="AK41" s="124"/>
      <c r="AL41" s="124"/>
      <c r="AM41" s="124"/>
      <c r="AN41" s="124"/>
      <c r="AO41" s="124"/>
      <c r="AP41" s="124"/>
      <c r="AQ41" s="124"/>
      <c r="AR41" s="124"/>
      <c r="AS41" s="124"/>
      <c r="AT41" s="124"/>
      <c r="AU41" s="124"/>
      <c r="AV41" s="124"/>
      <c r="AW41" s="124"/>
      <c r="AX41" s="124"/>
      <c r="AY41" s="124"/>
      <c r="AZ41" s="124"/>
      <c r="BA41" s="124"/>
      <c r="BB41" s="136"/>
    </row>
    <row r="42" customFormat="false" ht="15" hidden="false" customHeight="false" outlineLevel="0" collapsed="false">
      <c r="A42" s="111" t="n">
        <f aca="false">IF(ISBLANK(VLOOKUP(D42,#REF!,3)),0,1)</f>
        <v>1</v>
      </c>
      <c r="B42" s="112" t="n">
        <f aca="false">IF(ISBLANK(D42),0,IF(ISBLANK(E42),0,IF(ISBLANK(F42),0,1)))</f>
        <v>0</v>
      </c>
      <c r="C42" s="128" t="n">
        <v>8</v>
      </c>
      <c r="D42" s="129"/>
      <c r="E42" s="129"/>
      <c r="F42" s="137"/>
      <c r="G42" s="117"/>
      <c r="H42" s="131" t="n">
        <v>20</v>
      </c>
      <c r="I42" s="119"/>
      <c r="J42" s="132"/>
      <c r="K42" s="133"/>
      <c r="L42" s="133"/>
      <c r="M42" s="133"/>
      <c r="N42" s="134"/>
      <c r="O42" s="133"/>
      <c r="P42" s="132"/>
      <c r="Q42" s="132"/>
      <c r="R42" s="132"/>
      <c r="S42" s="125"/>
      <c r="T42" s="32" t="n">
        <v>0.31</v>
      </c>
      <c r="U42" s="32" t="n">
        <v>0.31</v>
      </c>
      <c r="V42" s="32"/>
      <c r="W42" s="32"/>
      <c r="X42" s="125" t="n">
        <v>13.6</v>
      </c>
      <c r="Y42" s="125" t="n">
        <v>13.3</v>
      </c>
      <c r="Z42" s="32" t="n">
        <v>0.95</v>
      </c>
      <c r="AA42" s="32" t="n">
        <v>0.92</v>
      </c>
      <c r="AB42" s="125" t="n">
        <v>4.4</v>
      </c>
      <c r="AC42" s="125" t="n">
        <v>4.3</v>
      </c>
      <c r="AD42" s="124"/>
      <c r="AE42" s="124"/>
      <c r="AF42" s="124"/>
      <c r="AG42" s="124"/>
      <c r="AH42" s="124"/>
      <c r="AI42" s="124"/>
      <c r="AJ42" s="124"/>
      <c r="AK42" s="124"/>
      <c r="AL42" s="124"/>
      <c r="AM42" s="124"/>
      <c r="AN42" s="124"/>
      <c r="AO42" s="124"/>
      <c r="AP42" s="124"/>
      <c r="AQ42" s="124"/>
      <c r="AR42" s="124"/>
      <c r="AS42" s="124"/>
      <c r="AT42" s="124"/>
      <c r="AU42" s="124"/>
      <c r="AV42" s="124"/>
      <c r="AW42" s="124"/>
      <c r="AX42" s="124"/>
      <c r="AY42" s="124"/>
      <c r="AZ42" s="124"/>
      <c r="BA42" s="124"/>
      <c r="BB42" s="136"/>
    </row>
    <row r="43" customFormat="false" ht="15" hidden="false" customHeight="false" outlineLevel="0" collapsed="false">
      <c r="A43" s="111" t="n">
        <f aca="false">IF(ISBLANK(VLOOKUP(D43,#REF!,3)),0,1)</f>
        <v>1</v>
      </c>
      <c r="B43" s="112" t="n">
        <f aca="false">IF(ISBLANK(D43),0,IF(ISBLANK(E43),0,IF(ISBLANK(F43),0,1)))</f>
        <v>0</v>
      </c>
      <c r="C43" s="128" t="n">
        <v>9</v>
      </c>
      <c r="D43" s="129"/>
      <c r="E43" s="129"/>
      <c r="F43" s="137"/>
      <c r="G43" s="117"/>
      <c r="H43" s="131" t="n">
        <v>20</v>
      </c>
      <c r="I43" s="119"/>
      <c r="J43" s="132"/>
      <c r="K43" s="133"/>
      <c r="L43" s="133"/>
      <c r="M43" s="133"/>
      <c r="N43" s="134"/>
      <c r="O43" s="133"/>
      <c r="P43" s="132"/>
      <c r="Q43" s="132"/>
      <c r="R43" s="132"/>
      <c r="S43" s="125"/>
      <c r="T43" s="32" t="n">
        <v>0.29</v>
      </c>
      <c r="U43" s="32" t="n">
        <v>0.28</v>
      </c>
      <c r="V43" s="32"/>
      <c r="W43" s="32"/>
      <c r="X43" s="125" t="n">
        <v>13.2</v>
      </c>
      <c r="Y43" s="125" t="n">
        <v>12.9</v>
      </c>
      <c r="Z43" s="32" t="n">
        <v>0.93</v>
      </c>
      <c r="AA43" s="32" t="n">
        <v>0.9</v>
      </c>
      <c r="AB43" s="125" t="n">
        <v>4.1</v>
      </c>
      <c r="AC43" s="125" t="n">
        <v>4</v>
      </c>
      <c r="AD43" s="124"/>
      <c r="AE43" s="124"/>
      <c r="AF43" s="124"/>
      <c r="AG43" s="124"/>
      <c r="AH43" s="124"/>
      <c r="AI43" s="124"/>
      <c r="AJ43" s="124"/>
      <c r="AK43" s="124"/>
      <c r="AL43" s="124"/>
      <c r="AM43" s="124"/>
      <c r="AN43" s="124"/>
      <c r="AO43" s="124"/>
      <c r="AP43" s="124"/>
      <c r="AQ43" s="124"/>
      <c r="AR43" s="124"/>
      <c r="AS43" s="124"/>
      <c r="AT43" s="124"/>
      <c r="AU43" s="124"/>
      <c r="AV43" s="124"/>
      <c r="AW43" s="124"/>
      <c r="AX43" s="124"/>
      <c r="AY43" s="124"/>
      <c r="AZ43" s="124"/>
      <c r="BA43" s="124"/>
      <c r="BB43" s="136"/>
    </row>
    <row r="44" customFormat="false" ht="15" hidden="false" customHeight="false" outlineLevel="0" collapsed="false">
      <c r="A44" s="111" t="n">
        <f aca="false">IF(ISBLANK(VLOOKUP(D44,#REF!,3)),0,1)</f>
        <v>1</v>
      </c>
      <c r="B44" s="112" t="n">
        <f aca="false">IF(ISBLANK(D44),0,IF(ISBLANK(E44),0,IF(ISBLANK(F44),0,1)))</f>
        <v>0</v>
      </c>
      <c r="C44" s="128" t="n">
        <v>10</v>
      </c>
      <c r="D44" s="129"/>
      <c r="E44" s="129"/>
      <c r="F44" s="137"/>
      <c r="G44" s="117"/>
      <c r="H44" s="131" t="n">
        <v>10</v>
      </c>
      <c r="I44" s="119"/>
      <c r="J44" s="132"/>
      <c r="K44" s="133"/>
      <c r="L44" s="133"/>
      <c r="M44" s="133"/>
      <c r="N44" s="134"/>
      <c r="O44" s="133"/>
      <c r="P44" s="132"/>
      <c r="Q44" s="132"/>
      <c r="R44" s="132"/>
      <c r="S44" s="125"/>
      <c r="T44" s="32" t="n">
        <v>0.18</v>
      </c>
      <c r="U44" s="32" t="n">
        <v>0.18</v>
      </c>
      <c r="V44" s="32"/>
      <c r="W44" s="32"/>
      <c r="X44" s="125" t="n">
        <v>7.7</v>
      </c>
      <c r="Y44" s="125" t="n">
        <v>7.5</v>
      </c>
      <c r="Z44" s="32" t="n">
        <v>0.75</v>
      </c>
      <c r="AA44" s="32" t="n">
        <v>0.74</v>
      </c>
      <c r="AB44" s="125" t="n">
        <v>3.1</v>
      </c>
      <c r="AC44" s="125" t="n">
        <v>3</v>
      </c>
      <c r="AD44" s="124"/>
      <c r="AE44" s="124"/>
      <c r="AF44" s="124"/>
      <c r="AG44" s="124"/>
      <c r="AH44" s="124"/>
      <c r="AI44" s="124"/>
      <c r="AJ44" s="124"/>
      <c r="AK44" s="124"/>
      <c r="AL44" s="124"/>
      <c r="AM44" s="124"/>
      <c r="AN44" s="124"/>
      <c r="AO44" s="124"/>
      <c r="AP44" s="124"/>
      <c r="AQ44" s="124"/>
      <c r="AR44" s="124"/>
      <c r="AS44" s="124"/>
      <c r="AT44" s="124"/>
      <c r="AU44" s="124"/>
      <c r="AV44" s="124"/>
      <c r="AW44" s="124"/>
      <c r="AX44" s="124"/>
      <c r="AY44" s="124"/>
      <c r="AZ44" s="124"/>
      <c r="BA44" s="124"/>
      <c r="BB44" s="136"/>
    </row>
    <row r="45" customFormat="false" ht="15" hidden="false" customHeight="false" outlineLevel="0" collapsed="false">
      <c r="A45" s="111" t="n">
        <f aca="false">IF(ISBLANK(VLOOKUP(D45,#REF!,3)),0,1)</f>
        <v>1</v>
      </c>
      <c r="B45" s="112" t="n">
        <f aca="false">IF(ISBLANK(D45),0,IF(ISBLANK(E45),0,IF(ISBLANK(F45),0,1)))</f>
        <v>0</v>
      </c>
      <c r="C45" s="128" t="n">
        <v>11</v>
      </c>
      <c r="D45" s="129"/>
      <c r="E45" s="129"/>
      <c r="F45" s="137"/>
      <c r="G45" s="117" t="n">
        <v>35.8552</v>
      </c>
      <c r="H45" s="131" t="n">
        <v>0</v>
      </c>
      <c r="I45" s="119" t="n">
        <v>2.2</v>
      </c>
      <c r="J45" s="132"/>
      <c r="K45" s="133"/>
      <c r="L45" s="133"/>
      <c r="M45" s="133"/>
      <c r="N45" s="134"/>
      <c r="O45" s="133"/>
      <c r="P45" s="132" t="n">
        <v>4.62</v>
      </c>
      <c r="Q45" s="132"/>
      <c r="R45" s="132"/>
      <c r="S45" s="125" t="n">
        <v>201.339</v>
      </c>
      <c r="T45" s="32" t="n">
        <v>0.12</v>
      </c>
      <c r="U45" s="32" t="n">
        <v>0.11</v>
      </c>
      <c r="V45" s="32"/>
      <c r="W45" s="32"/>
      <c r="X45" s="125" t="n">
        <v>2.7</v>
      </c>
      <c r="Y45" s="125" t="n">
        <v>2.7</v>
      </c>
      <c r="Z45" s="32" t="n">
        <v>0.31</v>
      </c>
      <c r="AA45" s="32" t="n">
        <v>0.3</v>
      </c>
      <c r="AB45" s="125" t="n">
        <v>1.4</v>
      </c>
      <c r="AC45" s="125" t="n">
        <v>1.4</v>
      </c>
      <c r="AD45" s="124"/>
      <c r="AE45" s="124"/>
      <c r="AF45" s="124"/>
      <c r="AG45" s="124"/>
      <c r="AH45" s="124"/>
      <c r="AI45" s="124"/>
      <c r="AJ45" s="124"/>
      <c r="AK45" s="124"/>
      <c r="AL45" s="124"/>
      <c r="AM45" s="124"/>
      <c r="AN45" s="124"/>
      <c r="AO45" s="124"/>
      <c r="AP45" s="124"/>
      <c r="AQ45" s="124"/>
      <c r="AR45" s="124"/>
      <c r="AS45" s="124"/>
      <c r="AT45" s="124"/>
      <c r="AU45" s="124"/>
      <c r="AV45" s="124"/>
      <c r="AW45" s="124"/>
      <c r="AX45" s="124"/>
      <c r="AY45" s="124"/>
      <c r="AZ45" s="124"/>
      <c r="BA45" s="124"/>
      <c r="BB45" s="136"/>
    </row>
    <row r="46" customFormat="false" ht="15" hidden="false" customHeight="false" outlineLevel="0" collapsed="false">
      <c r="A46" s="111" t="n">
        <f aca="false">IF(ISBLANK(VLOOKUP(D46,#REF!,3)),0,1)</f>
        <v>1</v>
      </c>
      <c r="B46" s="112" t="n">
        <f aca="false">IF(ISBLANK(D46),0,IF(ISBLANK(E46),0,IF(ISBLANK(F46),0,1)))</f>
        <v>0</v>
      </c>
      <c r="C46" s="128" t="n">
        <v>12</v>
      </c>
      <c r="D46" s="142"/>
      <c r="E46" s="142"/>
      <c r="F46" s="143"/>
      <c r="G46" s="144"/>
      <c r="H46" s="142"/>
      <c r="I46" s="145"/>
      <c r="J46" s="132" t="str">
        <f aca="false">IF(ISBLANK(D46),"",IF(VLOOKUP(D46,#REF!,2)=0,"",IF(D46&gt;#REF!,"Mauvais numéro",IF(D46&lt;#REF!,"Mauvais numéro",(VLOOKUP(D46,#REF!,3))))))</f>
        <v/>
      </c>
      <c r="K46" s="146" t="str">
        <f aca="false">IF(ISBLANK(E46),"",(0.000824493-(0.0000040899*E46)+(0.000000076438*E46^2)-(0.00000000082467*E46^3)+(0.0000000000053875*E46^4)))</f>
        <v/>
      </c>
      <c r="L46" s="146" t="str">
        <f aca="false">IF(ISBLANK(E46),"",(-0.00000572466+(0.00000010227*E46)-(0.0000000016546*E46^2)))</f>
        <v/>
      </c>
      <c r="M46" s="146" t="str">
        <f aca="false">IF(ISBLANK(E46),"",IF(ISBLANK(G46),(O46+(K46*35)+(L46*35^1.5)+(0.00000048314*35^2)),(O46+(K46*G46)+(L46*G46^1.5)+(0.00000048314*G46^2))))</f>
        <v/>
      </c>
      <c r="N46" s="147" t="str">
        <f aca="false">IF(ISBLANK(D46),"",IF(ISBLANK(G46),J46*(1+0.00001*(35-20)),J46*(1+0.00001*(G46-20))))</f>
        <v/>
      </c>
      <c r="O46" s="146" t="str">
        <f aca="false">IF(ISBLANK(E46),"",(0.999842594+(0.00006793952*E46)-(0.00000909529*E46^2)+(0.0000001001685*E46^3)-(0.000000001120083*E46^4)+(0.000000000006536332*E46^5)))</f>
        <v/>
      </c>
      <c r="P46" s="148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49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0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0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AD46" s="124"/>
      <c r="AE46" s="124"/>
      <c r="AF46" s="124"/>
      <c r="AG46" s="124"/>
      <c r="AH46" s="124"/>
      <c r="AI46" s="124"/>
      <c r="AJ46" s="124"/>
      <c r="AK46" s="124"/>
      <c r="AL46" s="124"/>
      <c r="AM46" s="124"/>
      <c r="AN46" s="124"/>
      <c r="AO46" s="124"/>
      <c r="AP46" s="124"/>
      <c r="AQ46" s="124"/>
      <c r="AR46" s="124"/>
      <c r="AS46" s="124"/>
      <c r="AT46" s="124"/>
      <c r="AU46" s="124"/>
      <c r="AV46" s="124"/>
      <c r="AW46" s="124"/>
      <c r="AX46" s="124"/>
      <c r="AY46" s="124"/>
      <c r="AZ46" s="124"/>
      <c r="BA46" s="124"/>
      <c r="BB46" s="136"/>
    </row>
    <row r="47" customFormat="false" ht="15" hidden="false" customHeight="false" outlineLevel="0" collapsed="false">
      <c r="A47" s="111" t="n">
        <f aca="false">IF(ISBLANK(VLOOKUP(D47,#REF!,3)),0,1)</f>
        <v>1</v>
      </c>
      <c r="B47" s="112" t="n">
        <f aca="false">IF(ISBLANK(D47),0,IF(ISBLANK(E47),0,IF(ISBLANK(F47),0,1)))</f>
        <v>0</v>
      </c>
      <c r="C47" s="128" t="n">
        <v>13</v>
      </c>
      <c r="D47" s="151"/>
      <c r="E47" s="151"/>
      <c r="F47" s="152"/>
      <c r="G47" s="153"/>
      <c r="H47" s="151"/>
      <c r="I47" s="151"/>
      <c r="J47" s="132" t="str">
        <f aca="false">IF(ISBLANK(D47),"",IF(VLOOKUP(D47,#REF!,2)=0,"",IF(D47&gt;#REF!,"Mauvais numéro",IF(D47&lt;#REF!,"Mauvais numéro",(VLOOKUP(D47,#REF!,3))))))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54"/>
      <c r="Q47" s="149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5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4"/>
      <c r="AD47" s="124"/>
      <c r="AE47" s="124"/>
      <c r="AF47" s="124"/>
      <c r="AG47" s="124"/>
      <c r="AH47" s="124"/>
      <c r="AI47" s="124"/>
      <c r="AJ47" s="124"/>
      <c r="AK47" s="124"/>
      <c r="AL47" s="124"/>
      <c r="AM47" s="124"/>
      <c r="AN47" s="124"/>
      <c r="AO47" s="124"/>
      <c r="AP47" s="124"/>
      <c r="AQ47" s="124"/>
      <c r="AR47" s="124"/>
      <c r="AS47" s="124"/>
      <c r="AT47" s="124"/>
      <c r="AU47" s="124"/>
      <c r="AV47" s="124"/>
      <c r="AW47" s="124"/>
      <c r="AX47" s="124"/>
      <c r="AY47" s="124"/>
      <c r="AZ47" s="124"/>
      <c r="BA47" s="124"/>
      <c r="BB47" s="136"/>
    </row>
    <row r="48" customFormat="false" ht="15" hidden="false" customHeight="false" outlineLevel="0" collapsed="false">
      <c r="A48" s="111" t="n">
        <f aca="false">IF(ISBLANK(VLOOKUP(D48,#REF!,3)),0,1)</f>
        <v>1</v>
      </c>
      <c r="B48" s="112" t="n">
        <f aca="false">IF(ISBLANK(D48),0,IF(ISBLANK(E48),0,IF(ISBLANK(F48),0,1)))</f>
        <v>0</v>
      </c>
      <c r="C48" s="128" t="n">
        <v>14</v>
      </c>
      <c r="D48" s="151"/>
      <c r="E48" s="151"/>
      <c r="F48" s="152"/>
      <c r="G48" s="153"/>
      <c r="H48" s="151"/>
      <c r="I48" s="151"/>
      <c r="J48" s="132" t="str">
        <f aca="false">IF(ISBLANK(D48),"",IF(VLOOKUP(D48,#REF!,2)=0,"",IF(D48&gt;#REF!,"Mauvais numéro",IF(D48&lt;#REF!,"Mauvais numéro",(VLOOKUP(D48,#REF!,3))))))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54"/>
      <c r="Q48" s="149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5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4"/>
      <c r="AD48" s="124"/>
      <c r="AE48" s="124"/>
      <c r="AF48" s="124"/>
      <c r="AG48" s="124"/>
      <c r="AH48" s="124"/>
      <c r="AI48" s="124"/>
      <c r="AJ48" s="124"/>
      <c r="AK48" s="124"/>
      <c r="AL48" s="124"/>
      <c r="AM48" s="124"/>
      <c r="AN48" s="124"/>
      <c r="AO48" s="124"/>
      <c r="AP48" s="124"/>
      <c r="AQ48" s="124"/>
      <c r="AR48" s="124"/>
      <c r="AS48" s="124"/>
      <c r="AT48" s="124"/>
      <c r="AU48" s="124"/>
      <c r="AV48" s="124"/>
      <c r="AW48" s="124"/>
      <c r="AX48" s="124"/>
      <c r="AY48" s="124"/>
      <c r="AZ48" s="124"/>
      <c r="BA48" s="124"/>
      <c r="BB48" s="136"/>
    </row>
    <row r="49" customFormat="false" ht="15" hidden="false" customHeight="false" outlineLevel="0" collapsed="false">
      <c r="A49" s="111" t="n">
        <f aca="false">IF(ISBLANK(VLOOKUP(D49,#REF!,3)),0,1)</f>
        <v>1</v>
      </c>
      <c r="B49" s="112" t="n">
        <f aca="false">IF(ISBLANK(D49),0,IF(ISBLANK(E49),0,IF(ISBLANK(F49),0,1)))</f>
        <v>0</v>
      </c>
      <c r="C49" s="128" t="n">
        <v>15</v>
      </c>
      <c r="D49" s="151"/>
      <c r="E49" s="151"/>
      <c r="F49" s="152"/>
      <c r="G49" s="156"/>
      <c r="H49" s="151"/>
      <c r="I49" s="151"/>
      <c r="J49" s="132" t="str">
        <f aca="false">IF(ISBLANK(D49),"",IF(VLOOKUP(D49,#REF!,2)=0,"",IF(D49&gt;#REF!,"Mauvais numéro",IF(D49&lt;#REF!,"Mauvais numéro",(VLOOKUP(D49,#REF!,3))))))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57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49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AD49" s="124"/>
      <c r="AE49" s="124"/>
      <c r="AF49" s="124"/>
      <c r="AG49" s="124"/>
      <c r="AH49" s="124"/>
      <c r="AI49" s="124"/>
      <c r="AJ49" s="124"/>
      <c r="AK49" s="124"/>
      <c r="AL49" s="124"/>
      <c r="AM49" s="124"/>
      <c r="AN49" s="124"/>
      <c r="AO49" s="124"/>
      <c r="AP49" s="124"/>
      <c r="AQ49" s="124"/>
      <c r="AR49" s="124"/>
      <c r="AS49" s="124"/>
      <c r="AT49" s="124"/>
      <c r="AU49" s="124"/>
      <c r="AV49" s="124"/>
      <c r="AW49" s="124"/>
      <c r="AX49" s="124"/>
      <c r="AY49" s="124"/>
      <c r="AZ49" s="124"/>
      <c r="BA49" s="124"/>
      <c r="BB49" s="136"/>
    </row>
    <row r="50" customFormat="false" ht="15" hidden="false" customHeight="false" outlineLevel="0" collapsed="false">
      <c r="A50" s="111" t="n">
        <f aca="false">IF(ISBLANK(VLOOKUP(D50,#REF!,3)),0,1)</f>
        <v>1</v>
      </c>
      <c r="B50" s="112" t="n">
        <f aca="false">IF(ISBLANK(D50),0,IF(ISBLANK(E50),0,IF(ISBLANK(F50),0,1)))</f>
        <v>0</v>
      </c>
      <c r="C50" s="128" t="n">
        <v>16</v>
      </c>
      <c r="D50" s="151"/>
      <c r="E50" s="151"/>
      <c r="F50" s="152"/>
      <c r="G50" s="156"/>
      <c r="H50" s="151"/>
      <c r="I50" s="151"/>
      <c r="J50" s="132" t="str">
        <f aca="false">IF(ISBLANK(D50),"",IF(VLOOKUP(D50,#REF!,2)=0,"",IF(D50&gt;#REF!,"Mauvais numéro",IF(D50&lt;#REF!,"Mauvais numéro",(VLOOKUP(D50,#REF!,3))))))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57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49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AD50" s="124"/>
      <c r="AE50" s="124"/>
      <c r="AF50" s="124"/>
      <c r="AG50" s="124"/>
      <c r="AH50" s="124"/>
      <c r="AI50" s="124"/>
      <c r="AJ50" s="124"/>
      <c r="AK50" s="124"/>
      <c r="AL50" s="124"/>
      <c r="AM50" s="124"/>
      <c r="AN50" s="124"/>
      <c r="AO50" s="124"/>
      <c r="AP50" s="124"/>
      <c r="AQ50" s="124"/>
      <c r="AR50" s="124"/>
      <c r="AS50" s="124"/>
      <c r="AT50" s="124"/>
      <c r="AU50" s="124"/>
      <c r="AV50" s="124"/>
      <c r="AW50" s="124"/>
      <c r="AX50" s="124"/>
      <c r="AY50" s="124"/>
      <c r="AZ50" s="124"/>
      <c r="BA50" s="124"/>
      <c r="BB50" s="136"/>
    </row>
    <row r="51" customFormat="false" ht="15" hidden="false" customHeight="false" outlineLevel="0" collapsed="false">
      <c r="A51" s="111" t="n">
        <f aca="false">IF(ISBLANK(VLOOKUP(D51,#REF!,3)),0,1)</f>
        <v>1</v>
      </c>
      <c r="B51" s="112" t="n">
        <f aca="false">IF(ISBLANK(D51),0,IF(ISBLANK(E51),0,IF(ISBLANK(F51),0,1)))</f>
        <v>0</v>
      </c>
      <c r="C51" s="128" t="n">
        <v>17</v>
      </c>
      <c r="D51" s="151"/>
      <c r="E51" s="151"/>
      <c r="F51" s="152"/>
      <c r="G51" s="156"/>
      <c r="H51" s="151"/>
      <c r="I51" s="151"/>
      <c r="J51" s="132" t="str">
        <f aca="false">IF(ISBLANK(D51),"",IF(VLOOKUP(D51,#REF!,2)=0,"",IF(D51&gt;#REF!,"Mauvais numéro",IF(D51&lt;#REF!,"Mauvais numéro",(VLOOKUP(D51,#REF!,3))))))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57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49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AD51" s="124"/>
      <c r="AE51" s="124"/>
      <c r="AF51" s="124"/>
      <c r="AG51" s="124"/>
      <c r="AH51" s="124"/>
      <c r="AI51" s="124"/>
      <c r="AJ51" s="124"/>
      <c r="AK51" s="124"/>
      <c r="AL51" s="124"/>
      <c r="AM51" s="124"/>
      <c r="AN51" s="124"/>
      <c r="AO51" s="124"/>
      <c r="AP51" s="124"/>
      <c r="AQ51" s="124"/>
      <c r="AR51" s="124"/>
      <c r="AS51" s="124"/>
      <c r="AT51" s="124"/>
      <c r="AU51" s="124"/>
      <c r="AV51" s="124"/>
      <c r="AW51" s="124"/>
      <c r="AX51" s="124"/>
      <c r="AY51" s="124"/>
      <c r="AZ51" s="124"/>
      <c r="BA51" s="124"/>
      <c r="BB51" s="136"/>
    </row>
    <row r="52" customFormat="false" ht="15" hidden="false" customHeight="false" outlineLevel="0" collapsed="false">
      <c r="A52" s="111" t="n">
        <f aca="false">IF(ISBLANK(VLOOKUP(D52,#REF!,3)),0,1)</f>
        <v>1</v>
      </c>
      <c r="B52" s="112" t="n">
        <f aca="false">IF(ISBLANK(D52),0,IF(ISBLANK(E52),0,IF(ISBLANK(F52),0,1)))</f>
        <v>0</v>
      </c>
      <c r="C52" s="128" t="n">
        <v>18</v>
      </c>
      <c r="D52" s="151"/>
      <c r="E52" s="151"/>
      <c r="F52" s="152"/>
      <c r="G52" s="156"/>
      <c r="H52" s="151"/>
      <c r="I52" s="151"/>
      <c r="J52" s="132" t="str">
        <f aca="false">IF(ISBLANK(D52),"",IF(VLOOKUP(D52,#REF!,2)=0,"",IF(D52&gt;#REF!,"Mauvais numéro",IF(D52&lt;#REF!,"Mauvais numéro",(VLOOKUP(D52,#REF!,3))))))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57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49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AD52" s="124"/>
      <c r="AE52" s="124"/>
      <c r="AF52" s="124"/>
      <c r="AG52" s="124"/>
      <c r="AH52" s="124"/>
      <c r="AI52" s="124"/>
      <c r="AJ52" s="124"/>
      <c r="AK52" s="124"/>
      <c r="AL52" s="124"/>
      <c r="AM52" s="124"/>
      <c r="AN52" s="124"/>
      <c r="AO52" s="124"/>
      <c r="AP52" s="124"/>
      <c r="AQ52" s="124"/>
      <c r="AR52" s="124"/>
      <c r="AS52" s="124"/>
      <c r="AT52" s="124"/>
      <c r="AU52" s="124"/>
      <c r="AV52" s="124"/>
      <c r="AW52" s="124"/>
      <c r="AX52" s="124"/>
      <c r="AY52" s="124"/>
      <c r="AZ52" s="124"/>
      <c r="BA52" s="124"/>
      <c r="BB52" s="136"/>
    </row>
    <row r="53" customFormat="false" ht="15" hidden="false" customHeight="false" outlineLevel="0" collapsed="false">
      <c r="A53" s="111" t="n">
        <f aca="false">IF(ISBLANK(VLOOKUP(D53,#REF!,3)),0,1)</f>
        <v>1</v>
      </c>
      <c r="B53" s="112" t="n">
        <f aca="false">IF(ISBLANK(D53),0,IF(ISBLANK(E53),0,IF(ISBLANK(F53),0,1)))</f>
        <v>0</v>
      </c>
      <c r="C53" s="128" t="n">
        <v>19</v>
      </c>
      <c r="D53" s="151"/>
      <c r="E53" s="151"/>
      <c r="F53" s="152"/>
      <c r="G53" s="156"/>
      <c r="H53" s="151"/>
      <c r="I53" s="151"/>
      <c r="J53" s="132" t="str">
        <f aca="false">IF(ISBLANK(D53),"",IF(VLOOKUP(D53,#REF!,2)=0,"",IF(D53&gt;#REF!,"Mauvais numéro",IF(D53&lt;#REF!,"Mauvais numéro",(VLOOKUP(D53,#REF!,3))))))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57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49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AD53" s="124"/>
      <c r="AE53" s="124"/>
      <c r="AF53" s="124"/>
      <c r="AG53" s="124"/>
      <c r="AH53" s="124"/>
      <c r="AI53" s="124"/>
      <c r="AJ53" s="124"/>
      <c r="AK53" s="124"/>
      <c r="AL53" s="124"/>
      <c r="AM53" s="124"/>
      <c r="AN53" s="124"/>
      <c r="AO53" s="124"/>
      <c r="AP53" s="124"/>
      <c r="AQ53" s="124"/>
      <c r="AR53" s="124"/>
      <c r="AS53" s="124"/>
      <c r="AT53" s="124"/>
      <c r="AU53" s="124"/>
      <c r="AV53" s="124"/>
      <c r="AW53" s="124"/>
      <c r="AX53" s="124"/>
      <c r="AY53" s="124"/>
      <c r="AZ53" s="124"/>
      <c r="BA53" s="124"/>
      <c r="BB53" s="136"/>
    </row>
    <row r="54" customFormat="false" ht="15" hidden="false" customHeight="false" outlineLevel="0" collapsed="false">
      <c r="A54" s="111" t="n">
        <f aca="false">IF(ISBLANK(VLOOKUP(D54,#REF!,3)),0,1)</f>
        <v>1</v>
      </c>
      <c r="B54" s="112" t="n">
        <f aca="false">IF(ISBLANK(D54),0,IF(ISBLANK(E54),0,IF(ISBLANK(F54),0,1)))</f>
        <v>0</v>
      </c>
      <c r="C54" s="128" t="n">
        <v>20</v>
      </c>
      <c r="D54" s="151"/>
      <c r="E54" s="151"/>
      <c r="F54" s="152"/>
      <c r="G54" s="156"/>
      <c r="H54" s="151"/>
      <c r="I54" s="151"/>
      <c r="J54" s="132" t="str">
        <f aca="false">IF(ISBLANK(D54),"",IF(VLOOKUP(D54,#REF!,2)=0,"",IF(D54&gt;#REF!,"Mauvais numéro",IF(D54&lt;#REF!,"Mauvais numéro",(VLOOKUP(D54,#REF!,3))))))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57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49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AD54" s="124"/>
      <c r="AE54" s="124"/>
      <c r="AF54" s="124"/>
      <c r="AG54" s="124"/>
      <c r="AH54" s="124"/>
      <c r="AI54" s="124"/>
      <c r="AJ54" s="124"/>
      <c r="AK54" s="124"/>
      <c r="AL54" s="124"/>
      <c r="AM54" s="124"/>
      <c r="AN54" s="124"/>
      <c r="AO54" s="124"/>
      <c r="AP54" s="124"/>
      <c r="AQ54" s="124"/>
      <c r="AR54" s="124"/>
      <c r="AS54" s="124"/>
      <c r="AT54" s="124"/>
      <c r="AU54" s="124"/>
      <c r="AV54" s="124"/>
      <c r="AW54" s="124"/>
      <c r="AX54" s="124"/>
      <c r="AY54" s="124"/>
      <c r="AZ54" s="124"/>
      <c r="BA54" s="124"/>
      <c r="BB54" s="136"/>
    </row>
    <row r="55" customFormat="false" ht="15" hidden="false" customHeight="false" outlineLevel="0" collapsed="false">
      <c r="A55" s="111" t="n">
        <f aca="false">IF(ISBLANK(VLOOKUP(D55,#REF!,3)),0,1)</f>
        <v>1</v>
      </c>
      <c r="B55" s="112" t="n">
        <f aca="false">IF(ISBLANK(D55),0,IF(ISBLANK(E55),0,IF(ISBLANK(F55),0,1)))</f>
        <v>0</v>
      </c>
      <c r="C55" s="128" t="n">
        <v>21</v>
      </c>
      <c r="D55" s="151"/>
      <c r="E55" s="151"/>
      <c r="F55" s="152"/>
      <c r="G55" s="156"/>
      <c r="H55" s="151"/>
      <c r="I55" s="151"/>
      <c r="J55" s="132" t="str">
        <f aca="false">IF(ISBLANK(D55),"",IF(VLOOKUP(D55,#REF!,2)=0,"",IF(D55&gt;#REF!,"Mauvais numéro",IF(D55&lt;#REF!,"Mauvais numéro",(VLOOKUP(D55,#REF!,3))))))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57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49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AD55" s="124"/>
      <c r="AE55" s="124"/>
      <c r="AF55" s="124"/>
      <c r="AG55" s="124"/>
      <c r="AH55" s="124"/>
      <c r="AI55" s="124"/>
      <c r="AJ55" s="124"/>
      <c r="AK55" s="124"/>
      <c r="AL55" s="124"/>
      <c r="AM55" s="124"/>
      <c r="AN55" s="124"/>
      <c r="AO55" s="124"/>
      <c r="AP55" s="124"/>
      <c r="AQ55" s="124"/>
      <c r="AR55" s="124"/>
      <c r="AS55" s="124"/>
      <c r="AT55" s="124"/>
      <c r="AU55" s="124"/>
      <c r="AV55" s="124"/>
      <c r="AW55" s="124"/>
      <c r="AX55" s="124"/>
      <c r="AY55" s="124"/>
      <c r="AZ55" s="124"/>
      <c r="BA55" s="124"/>
      <c r="BB55" s="136"/>
    </row>
    <row r="56" customFormat="false" ht="15" hidden="false" customHeight="false" outlineLevel="0" collapsed="false">
      <c r="A56" s="111" t="n">
        <f aca="false">IF(ISBLANK(VLOOKUP(D56,#REF!,3)),0,1)</f>
        <v>1</v>
      </c>
      <c r="B56" s="112" t="n">
        <f aca="false">IF(ISBLANK(D56),0,IF(ISBLANK(E56),0,IF(ISBLANK(F56),0,1)))</f>
        <v>0</v>
      </c>
      <c r="C56" s="128" t="n">
        <v>22</v>
      </c>
      <c r="D56" s="151"/>
      <c r="E56" s="151"/>
      <c r="F56" s="152"/>
      <c r="G56" s="156"/>
      <c r="H56" s="151"/>
      <c r="I56" s="151"/>
      <c r="J56" s="132" t="str">
        <f aca="false">IF(ISBLANK(D56),"",IF(VLOOKUP(D56,#REF!,2)=0,"",IF(D56&gt;#REF!,"Mauvais numéro",IF(D56&lt;#REF!,"Mauvais numéro",(VLOOKUP(D56,#REF!,3))))))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57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49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AD56" s="124"/>
      <c r="AE56" s="124"/>
      <c r="AF56" s="124"/>
      <c r="AG56" s="124"/>
      <c r="AH56" s="124"/>
      <c r="AI56" s="124"/>
      <c r="AJ56" s="124"/>
      <c r="AK56" s="124"/>
      <c r="AL56" s="124"/>
      <c r="AM56" s="124"/>
      <c r="AN56" s="124"/>
      <c r="AO56" s="124"/>
      <c r="AP56" s="124"/>
      <c r="AQ56" s="124"/>
      <c r="AR56" s="124"/>
      <c r="AS56" s="124"/>
      <c r="AT56" s="124"/>
      <c r="AU56" s="124"/>
      <c r="AV56" s="124"/>
      <c r="AW56" s="124"/>
      <c r="AX56" s="124"/>
      <c r="AY56" s="124"/>
      <c r="AZ56" s="124"/>
      <c r="BA56" s="124"/>
      <c r="BB56" s="136"/>
    </row>
    <row r="57" customFormat="false" ht="15.6" hidden="false" customHeight="false" outlineLevel="0" collapsed="false">
      <c r="A57" s="111" t="n">
        <f aca="false">IF(ISBLANK(VLOOKUP(D57,#REF!,3)),0,1)</f>
        <v>1</v>
      </c>
      <c r="B57" s="112" t="n">
        <f aca="false">IF(ISBLANK(D57),0,IF(ISBLANK(E57),0,IF(ISBLANK(F57),0,1)))</f>
        <v>0</v>
      </c>
      <c r="C57" s="128" t="n">
        <v>23</v>
      </c>
      <c r="D57" s="151"/>
      <c r="E57" s="151"/>
      <c r="F57" s="152"/>
      <c r="G57" s="156"/>
      <c r="H57" s="151"/>
      <c r="I57" s="151"/>
      <c r="J57" s="132" t="str">
        <f aca="false">IF(ISBLANK(D57),"",IF(VLOOKUP(D57,#REF!,2)=0,"",IF(D57&gt;#REF!,"Mauvais numéro",IF(D57&lt;#REF!,"Mauvais numéro",(VLOOKUP(D57,#REF!,3))))))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57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49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4"/>
      <c r="U57" s="124"/>
      <c r="V57" s="124"/>
      <c r="W57" s="124"/>
      <c r="X57" s="124"/>
      <c r="Y57" s="124"/>
      <c r="Z57" s="124"/>
      <c r="AA57" s="124"/>
      <c r="AB57" s="124"/>
      <c r="AC57" s="124"/>
      <c r="AD57" s="124"/>
      <c r="AE57" s="124"/>
      <c r="AF57" s="124"/>
      <c r="AG57" s="124"/>
      <c r="AH57" s="124"/>
      <c r="AI57" s="124"/>
      <c r="AJ57" s="124"/>
      <c r="AK57" s="124"/>
      <c r="AL57" s="124"/>
      <c r="AM57" s="124"/>
      <c r="AN57" s="124"/>
      <c r="AO57" s="124"/>
      <c r="AP57" s="124"/>
      <c r="AQ57" s="124"/>
      <c r="AR57" s="124"/>
      <c r="AS57" s="124"/>
      <c r="AT57" s="124"/>
      <c r="AU57" s="124"/>
      <c r="AV57" s="124"/>
      <c r="AW57" s="124"/>
      <c r="AX57" s="124"/>
      <c r="AY57" s="124"/>
      <c r="AZ57" s="124"/>
      <c r="BA57" s="124"/>
      <c r="BB57" s="136"/>
    </row>
    <row r="58" customFormat="false" ht="16.2" hidden="false" customHeight="false" outlineLevel="0" collapsed="false">
      <c r="A58" s="111" t="n">
        <f aca="false">IF(ISBLANK(VLOOKUP(D58,#REF!,3)),0,1)</f>
        <v>1</v>
      </c>
      <c r="B58" s="112" t="n">
        <f aca="false">IF(ISBLANK(D58),0,IF(ISBLANK(E58),0,IF(ISBLANK(F58),0,1)))</f>
        <v>0</v>
      </c>
      <c r="C58" s="158" t="n">
        <v>24</v>
      </c>
      <c r="D58" s="159"/>
      <c r="E58" s="159"/>
      <c r="F58" s="160"/>
      <c r="G58" s="161"/>
      <c r="H58" s="159"/>
      <c r="I58" s="159"/>
      <c r="J58" s="162" t="str">
        <f aca="false">IF(ISBLANK(D58),"",IF(VLOOKUP(D58,#REF!,2)=0,"",IF(D58&gt;#REF!,"Mauvais numéro",IF(D58&lt;#REF!,"Mauvais numéro",(VLOOKUP(D58,#REF!,3))))))</f>
        <v/>
      </c>
      <c r="K58" s="163" t="str">
        <f aca="false">IF(ISBLANK(E58),"",(0.000824493-(0.0000040899*E58)+(0.000000076438*E58^2)-(0.00000000082467*E58^3)+(0.0000000000053875*E58^4)))</f>
        <v/>
      </c>
      <c r="L58" s="163" t="str">
        <f aca="false">IF(ISBLANK(E58),"",(-0.00000572466+(0.00000010227*E58)-(0.0000000016546*E58^2)))</f>
        <v/>
      </c>
      <c r="M58" s="163" t="str">
        <f aca="false">IF(ISBLANK(E58),"",IF(ISBLANK(G58),(O58+(K58*35)+(L58*35^1.5)+(0.00000048314*35^2)),(O58+(K58*G58)+(L58*G58^1.5)+(0.00000048314*G58^2))))</f>
        <v/>
      </c>
      <c r="N58" s="164" t="str">
        <f aca="false">IF(ISBLANK(D58),"",IF(ISBLANK(G58),J58*(1+0.00001*(35-20)),J58*(1+0.00001*(G58-20))))</f>
        <v/>
      </c>
      <c r="O58" s="163" t="str">
        <f aca="false">IF(ISBLANK(E58),"",(0.999842594+(0.00006793952*E58)-(0.00000909529*E58^2)+(0.0000001001685*E58^3)-(0.000000001120083*E58^4)+(0.000000000006536332*E58^5)))</f>
        <v/>
      </c>
      <c r="P58" s="165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66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7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7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68"/>
      <c r="U58" s="168"/>
      <c r="V58" s="168"/>
      <c r="W58" s="168"/>
      <c r="X58" s="168"/>
      <c r="Y58" s="168"/>
      <c r="Z58" s="168"/>
      <c r="AA58" s="168"/>
      <c r="AB58" s="168"/>
      <c r="AC58" s="168"/>
      <c r="AD58" s="168"/>
      <c r="AE58" s="168"/>
      <c r="AF58" s="168"/>
      <c r="AG58" s="168"/>
      <c r="AH58" s="168"/>
      <c r="AI58" s="168"/>
      <c r="AJ58" s="168"/>
      <c r="AK58" s="168"/>
      <c r="AL58" s="168"/>
      <c r="AM58" s="168"/>
      <c r="AN58" s="168"/>
      <c r="AO58" s="168"/>
      <c r="AP58" s="168"/>
      <c r="AQ58" s="168"/>
      <c r="AR58" s="168"/>
      <c r="AS58" s="168"/>
      <c r="AT58" s="168"/>
      <c r="AU58" s="168"/>
      <c r="AV58" s="168"/>
      <c r="AW58" s="168"/>
      <c r="AX58" s="168"/>
      <c r="AY58" s="168"/>
      <c r="AZ58" s="168"/>
      <c r="BA58" s="168"/>
      <c r="BB58" s="169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R1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8178137651822"/>
    <col collapsed="false" hidden="false" max="32" min="32" style="0" width="9.10526315789474"/>
    <col collapsed="false" hidden="false" max="33" min="33" style="0" width="26.5668016194332"/>
    <col collapsed="false" hidden="false" max="34" min="34" style="0" width="12.8542510121458"/>
    <col collapsed="false" hidden="false" max="35" min="35" style="0" width="11.1417004048583"/>
    <col collapsed="false" hidden="false" max="36" min="36" style="0" width="14.5668016194332"/>
    <col collapsed="false" hidden="false" max="37" min="37" style="0" width="12.2105263157895"/>
    <col collapsed="false" hidden="false" max="38" min="38" style="0" width="26.995951417004"/>
    <col collapsed="false" hidden="false" max="39" min="39" style="0" width="14.6761133603239"/>
    <col collapsed="false" hidden="false" max="40" min="40" style="0" width="11.3562753036437"/>
    <col collapsed="false" hidden="false" max="41" min="41" style="0" width="12.5344129554656"/>
    <col collapsed="false" hidden="false" max="42" min="42" style="0" width="10.7125506072875"/>
    <col collapsed="false" hidden="false" max="43" min="43" style="0" width="6.31983805668016"/>
    <col collapsed="false" hidden="false" max="44" min="44" style="0" width="19.7085020242915"/>
    <col collapsed="false" hidden="false" max="45" min="45" style="0" width="13.0688259109312"/>
    <col collapsed="false" hidden="false" max="46" min="46" style="0" width="17.7813765182186"/>
    <col collapsed="false" hidden="false" max="47" min="47" style="0" width="14.6761133603239"/>
    <col collapsed="false" hidden="false" max="48" min="48" style="0" width="13.6032388663968"/>
    <col collapsed="false" hidden="false" max="49" min="49" style="0" width="13.7125506072874"/>
    <col collapsed="false" hidden="false" max="50" min="50" style="0" width="19.9230769230769"/>
    <col collapsed="false" hidden="false" max="51" min="51" style="0" width="13.2834008097166"/>
    <col collapsed="false" hidden="false" max="52" min="52" style="0" width="17.6761133603239"/>
    <col collapsed="false" hidden="false" max="53" min="53" style="0" width="13.3886639676113"/>
    <col collapsed="false" hidden="false" max="54" min="54" style="0" width="12.6396761133603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25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38545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1</v>
      </c>
      <c r="J9" s="29" t="n">
        <v>30.04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-1°30,04</v>
      </c>
      <c r="P9" s="29" t="s">
        <v>15</v>
      </c>
      <c r="Q9" s="33" t="n">
        <f aca="false">IF(ISBLANK(I9),"",IF(ISBLANK(J9),"",IF(J9&gt;60,"ERREUR !!",O11*(I9+(J9/60)))))</f>
        <v>-1.50066666666667</v>
      </c>
      <c r="R9" s="33"/>
    </row>
    <row r="10" customFormat="false" ht="15" hidden="false" customHeight="true" outlineLevel="0" collapsed="false">
      <c r="C10" s="21"/>
      <c r="D10" s="18"/>
      <c r="G10" s="27" t="s">
        <v>16</v>
      </c>
      <c r="H10" s="27"/>
      <c r="I10" s="28" t="n">
        <v>9</v>
      </c>
      <c r="J10" s="29" t="n">
        <v>59.85</v>
      </c>
      <c r="K10" s="30" t="s">
        <v>12</v>
      </c>
      <c r="L10" s="31" t="str">
        <f aca="false">IF(P10=N9,"+","-")</f>
        <v>-</v>
      </c>
      <c r="M10" s="30" t="s">
        <v>15</v>
      </c>
      <c r="N10" s="30" t="s">
        <v>17</v>
      </c>
      <c r="O10" s="34" t="str">
        <f aca="false">IF(ISBLANK(I10),"",IF(ISBLANK(J10),"",IF(P10=N10,L10&amp;N12,N12)))</f>
        <v>-9°59,85</v>
      </c>
      <c r="P10" s="29" t="s">
        <v>17</v>
      </c>
      <c r="Q10" s="33" t="n">
        <f aca="false">IF(ISBLANK(I10),"",IF(ISBLANK(J10),"",IF(J10&gt;60,"ERREUR !!",O12*(I10+(J10/60)))))</f>
        <v>-9.9975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38545</v>
      </c>
      <c r="K11" s="38"/>
      <c r="L11" s="38"/>
      <c r="M11" s="38"/>
      <c r="N11" s="39" t="str">
        <f aca="false">I9&amp;"°"&amp;J9</f>
        <v>1°30,04</v>
      </c>
      <c r="O11" s="40" t="n">
        <f aca="false">IF(P9=M10,-1,1)</f>
        <v>-1</v>
      </c>
      <c r="P11" s="41" t="str">
        <f aca="false">TEXT(J11,"aaaa-mm-jj")&amp;"T"&amp;TEXT(J12,"hh:mm:ss")&amp;"z"</f>
        <v>2009-07-13T03:00:00z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0.125</v>
      </c>
      <c r="K12" s="45"/>
      <c r="L12" s="45"/>
      <c r="M12" s="45"/>
      <c r="N12" s="46" t="str">
        <f aca="false">I10&amp;"°"&amp;J10</f>
        <v>9°59,85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e">
        <f aca="false">$P$24*($P$18/#REF!)</f>
        <v>#REF!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e">
        <f aca="false">5+#REF!</f>
        <v>#REF!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e">
        <f aca="false">P20*(1+0.00001*(R14-20))</f>
        <v>#REF!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e">
        <f aca="false">MAX(#REF!)</f>
        <v>#VALUE!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e">
        <f aca="false">2+(#REF!+#REF!)</f>
        <v>#REF!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52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53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IF(ISBLANK(VLOOKUP(D35,#REF!,3)),0,1)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n">
        <v>34.9576</v>
      </c>
      <c r="H35" s="118" t="n">
        <v>2000</v>
      </c>
      <c r="I35" s="119" t="n">
        <v>2002.2</v>
      </c>
      <c r="J35" s="120"/>
      <c r="K35" s="121"/>
      <c r="L35" s="121"/>
      <c r="M35" s="121"/>
      <c r="N35" s="122"/>
      <c r="O35" s="121"/>
      <c r="P35" s="171" t="n">
        <v>5.703</v>
      </c>
      <c r="Q35" s="120"/>
      <c r="R35" s="120"/>
      <c r="S35" s="172" t="n">
        <v>247.8</v>
      </c>
      <c r="T35" s="32" t="n">
        <v>0.02</v>
      </c>
      <c r="U35" s="32" t="n">
        <v>0.02</v>
      </c>
      <c r="V35" s="32"/>
      <c r="W35" s="32"/>
      <c r="X35" s="125" t="n">
        <v>19.4</v>
      </c>
      <c r="Y35" s="125" t="n">
        <v>19</v>
      </c>
      <c r="Z35" s="32" t="n">
        <v>1.24</v>
      </c>
      <c r="AA35" s="32" t="n">
        <v>1.21</v>
      </c>
      <c r="AB35" s="125" t="n">
        <v>22.6</v>
      </c>
      <c r="AC35" s="125" t="n">
        <v>22.1</v>
      </c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7"/>
    </row>
    <row r="36" customFormat="false" ht="15.6" hidden="false" customHeight="false" outlineLevel="0" collapsed="false">
      <c r="A36" s="111" t="n">
        <f aca="false">IF(ISBLANK(VLOOKUP(D36,#REF!,3)),0,1)</f>
        <v>1</v>
      </c>
      <c r="B36" s="112" t="n">
        <f aca="false">IF(ISBLANK(D36),0,IF(ISBLANK(E36),0,IF(ISBLANK(F36),0,1)))</f>
        <v>0</v>
      </c>
      <c r="C36" s="128" t="n">
        <v>2</v>
      </c>
      <c r="D36" s="129"/>
      <c r="E36" s="129"/>
      <c r="F36" s="130"/>
      <c r="G36" s="117" t="n">
        <v>34.5928</v>
      </c>
      <c r="H36" s="131" t="n">
        <v>1000</v>
      </c>
      <c r="I36" s="119" t="n">
        <v>1000.1</v>
      </c>
      <c r="J36" s="132"/>
      <c r="K36" s="133"/>
      <c r="L36" s="133"/>
      <c r="M36" s="133"/>
      <c r="N36" s="134"/>
      <c r="O36" s="133"/>
      <c r="P36" s="171" t="n">
        <v>3.617</v>
      </c>
      <c r="Q36" s="132"/>
      <c r="R36" s="132"/>
      <c r="S36" s="172" t="n">
        <v>157.3</v>
      </c>
      <c r="T36" s="32" t="n">
        <v>0.03</v>
      </c>
      <c r="U36" s="32" t="n">
        <v>0.03</v>
      </c>
      <c r="V36" s="32"/>
      <c r="W36" s="32"/>
      <c r="X36" s="125" t="n">
        <v>32.1</v>
      </c>
      <c r="Y36" s="125" t="n">
        <v>31.4</v>
      </c>
      <c r="Z36" s="32" t="n">
        <v>2.06</v>
      </c>
      <c r="AA36" s="32" t="n">
        <v>2.02</v>
      </c>
      <c r="AB36" s="125" t="n">
        <v>30.5</v>
      </c>
      <c r="AC36" s="125" t="n">
        <v>29.8</v>
      </c>
      <c r="AD36" s="124"/>
      <c r="AE36" s="124"/>
      <c r="AF36" s="124"/>
      <c r="AG36" s="124"/>
      <c r="AH36" s="124"/>
      <c r="AI36" s="124"/>
      <c r="AJ36" s="124"/>
      <c r="AK36" s="124"/>
      <c r="AL36" s="124"/>
      <c r="AM36" s="124"/>
      <c r="AN36" s="124"/>
      <c r="AO36" s="124"/>
      <c r="AP36" s="124"/>
      <c r="AQ36" s="124"/>
      <c r="AR36" s="124"/>
      <c r="AS36" s="124"/>
      <c r="AT36" s="124"/>
      <c r="AU36" s="124"/>
      <c r="AV36" s="124"/>
      <c r="AW36" s="124"/>
      <c r="AX36" s="124"/>
      <c r="AY36" s="124"/>
      <c r="AZ36" s="124"/>
      <c r="BA36" s="124"/>
      <c r="BB36" s="136"/>
    </row>
    <row r="37" customFormat="false" ht="15.6" hidden="false" customHeight="false" outlineLevel="0" collapsed="false">
      <c r="A37" s="111" t="n">
        <f aca="false">IF(ISBLANK(VLOOKUP(D37,#REF!,3)),0,1)</f>
        <v>1</v>
      </c>
      <c r="B37" s="112" t="n">
        <f aca="false">IF(ISBLANK(D37),0,IF(ISBLANK(E37),0,IF(ISBLANK(F37),0,1)))</f>
        <v>0</v>
      </c>
      <c r="C37" s="128" t="n">
        <v>3</v>
      </c>
      <c r="D37" s="129"/>
      <c r="E37" s="129"/>
      <c r="F37" s="137"/>
      <c r="G37" s="117" t="n">
        <v>34.5881</v>
      </c>
      <c r="H37" s="131" t="n">
        <v>500</v>
      </c>
      <c r="I37" s="119" t="n">
        <v>501.2</v>
      </c>
      <c r="J37" s="132"/>
      <c r="K37" s="133"/>
      <c r="L37" s="133"/>
      <c r="M37" s="133"/>
      <c r="N37" s="134"/>
      <c r="O37" s="133"/>
      <c r="P37" s="171" t="n">
        <v>3.013</v>
      </c>
      <c r="Q37" s="132"/>
      <c r="R37" s="132"/>
      <c r="S37" s="172" t="n">
        <v>131</v>
      </c>
      <c r="T37" s="32" t="n">
        <v>0.03</v>
      </c>
      <c r="U37" s="32" t="n">
        <v>0.03</v>
      </c>
      <c r="V37" s="32"/>
      <c r="W37" s="32"/>
      <c r="X37" s="125" t="n">
        <v>31.8</v>
      </c>
      <c r="Y37" s="125" t="n">
        <v>31.1</v>
      </c>
      <c r="Z37" s="32" t="n">
        <v>1.99</v>
      </c>
      <c r="AA37" s="32" t="n">
        <v>1.95</v>
      </c>
      <c r="AB37" s="125" t="n">
        <v>20.3</v>
      </c>
      <c r="AC37" s="125" t="n">
        <v>19.9</v>
      </c>
      <c r="AD37" s="124"/>
      <c r="AE37" s="124"/>
      <c r="AF37" s="124"/>
      <c r="AG37" s="124"/>
      <c r="AH37" s="124"/>
      <c r="AI37" s="124"/>
      <c r="AJ37" s="124"/>
      <c r="AK37" s="124"/>
      <c r="AL37" s="124"/>
      <c r="AM37" s="124"/>
      <c r="AN37" s="124"/>
      <c r="AO37" s="124"/>
      <c r="AP37" s="124"/>
      <c r="AQ37" s="124"/>
      <c r="AR37" s="124"/>
      <c r="AS37" s="124"/>
      <c r="AT37" s="124"/>
      <c r="AU37" s="124"/>
      <c r="AV37" s="124"/>
      <c r="AW37" s="124"/>
      <c r="AX37" s="124"/>
      <c r="AY37" s="124"/>
      <c r="AZ37" s="124"/>
      <c r="BA37" s="124"/>
      <c r="BB37" s="136"/>
    </row>
    <row r="38" customFormat="false" ht="15.6" hidden="false" customHeight="false" outlineLevel="0" collapsed="false">
      <c r="A38" s="111" t="n">
        <f aca="false">IF(ISBLANK(VLOOKUP(D38,#REF!,3)),0,1)</f>
        <v>1</v>
      </c>
      <c r="B38" s="112" t="n">
        <f aca="false">IF(ISBLANK(D38),0,IF(ISBLANK(E38),0,IF(ISBLANK(F38),0,1)))</f>
        <v>0</v>
      </c>
      <c r="C38" s="128" t="n">
        <v>4</v>
      </c>
      <c r="D38" s="138"/>
      <c r="E38" s="138"/>
      <c r="F38" s="139"/>
      <c r="G38" s="117" t="n">
        <v>35.6381</v>
      </c>
      <c r="H38" s="131" t="n">
        <v>100</v>
      </c>
      <c r="I38" s="119" t="n">
        <v>100.1</v>
      </c>
      <c r="J38" s="132"/>
      <c r="K38" s="133"/>
      <c r="L38" s="133"/>
      <c r="M38" s="133"/>
      <c r="N38" s="134"/>
      <c r="O38" s="133"/>
      <c r="P38" s="171" t="n">
        <v>2.729</v>
      </c>
      <c r="Q38" s="132"/>
      <c r="R38" s="132"/>
      <c r="S38" s="172" t="n">
        <v>118.7</v>
      </c>
      <c r="T38" s="32" t="n">
        <v>0.03</v>
      </c>
      <c r="U38" s="32" t="n">
        <v>0.03</v>
      </c>
      <c r="V38" s="32"/>
      <c r="W38" s="32"/>
      <c r="X38" s="125" t="n">
        <v>17.1</v>
      </c>
      <c r="Y38" s="125" t="n">
        <v>16.7</v>
      </c>
      <c r="Z38" s="32" t="n">
        <v>1.11</v>
      </c>
      <c r="AA38" s="32" t="n">
        <v>1.09</v>
      </c>
      <c r="AB38" s="125" t="n">
        <v>5.3</v>
      </c>
      <c r="AC38" s="125" t="n">
        <v>5.2</v>
      </c>
      <c r="AD38" s="124"/>
      <c r="AE38" s="124"/>
      <c r="AF38" s="124"/>
      <c r="AG38" s="124"/>
      <c r="AH38" s="124"/>
      <c r="AI38" s="124"/>
      <c r="AJ38" s="124"/>
      <c r="AK38" s="124"/>
      <c r="AL38" s="124"/>
      <c r="AM38" s="124"/>
      <c r="AN38" s="124"/>
      <c r="AO38" s="124"/>
      <c r="AP38" s="124"/>
      <c r="AQ38" s="124"/>
      <c r="AR38" s="124"/>
      <c r="AS38" s="124"/>
      <c r="AT38" s="124"/>
      <c r="AU38" s="124"/>
      <c r="AV38" s="124"/>
      <c r="AW38" s="124"/>
      <c r="AX38" s="124"/>
      <c r="AY38" s="124"/>
      <c r="AZ38" s="124"/>
      <c r="BA38" s="124"/>
      <c r="BB38" s="136"/>
    </row>
    <row r="39" customFormat="false" ht="15.6" hidden="false" customHeight="false" outlineLevel="0" collapsed="false">
      <c r="A39" s="111" t="n">
        <f aca="false">IF(ISBLANK(VLOOKUP(D39,#REF!,3)),0,1)</f>
        <v>1</v>
      </c>
      <c r="B39" s="112" t="n">
        <f aca="false">IF(ISBLANK(D39),0,IF(ISBLANK(E39),0,IF(ISBLANK(F39),0,1)))</f>
        <v>0</v>
      </c>
      <c r="C39" s="128" t="n">
        <v>5</v>
      </c>
      <c r="D39" s="129"/>
      <c r="E39" s="129"/>
      <c r="F39" s="137"/>
      <c r="G39" s="117"/>
      <c r="H39" s="131" t="n">
        <v>80</v>
      </c>
      <c r="I39" s="119"/>
      <c r="J39" s="132"/>
      <c r="K39" s="133"/>
      <c r="L39" s="133"/>
      <c r="M39" s="133"/>
      <c r="N39" s="134"/>
      <c r="O39" s="133"/>
      <c r="P39" s="171"/>
      <c r="Q39" s="132"/>
      <c r="R39" s="132"/>
      <c r="S39" s="172"/>
      <c r="T39" s="32" t="n">
        <v>0.03</v>
      </c>
      <c r="U39" s="32" t="n">
        <v>0.03</v>
      </c>
      <c r="V39" s="32"/>
      <c r="W39" s="32"/>
      <c r="X39" s="125" t="n">
        <v>16.8</v>
      </c>
      <c r="Y39" s="125" t="n">
        <v>16.5</v>
      </c>
      <c r="Z39" s="32" t="n">
        <v>1.1</v>
      </c>
      <c r="AA39" s="32" t="n">
        <v>1.07</v>
      </c>
      <c r="AB39" s="125" t="n">
        <v>5.3</v>
      </c>
      <c r="AC39" s="125" t="n">
        <v>5.1</v>
      </c>
      <c r="AD39" s="124"/>
      <c r="AE39" s="124"/>
      <c r="AF39" s="124"/>
      <c r="AG39" s="124"/>
      <c r="AH39" s="124"/>
      <c r="AI39" s="124"/>
      <c r="AJ39" s="124"/>
      <c r="AK39" s="124"/>
      <c r="AL39" s="124"/>
      <c r="AM39" s="124"/>
      <c r="AN39" s="124"/>
      <c r="AO39" s="124"/>
      <c r="AP39" s="124"/>
      <c r="AQ39" s="124"/>
      <c r="AR39" s="124"/>
      <c r="AS39" s="124"/>
      <c r="AT39" s="124"/>
      <c r="AU39" s="124"/>
      <c r="AV39" s="124"/>
      <c r="AW39" s="124"/>
      <c r="AX39" s="124"/>
      <c r="AY39" s="124"/>
      <c r="AZ39" s="124"/>
      <c r="BA39" s="124"/>
      <c r="BB39" s="136"/>
    </row>
    <row r="40" customFormat="false" ht="15.6" hidden="false" customHeight="false" outlineLevel="0" collapsed="false">
      <c r="A40" s="111" t="n">
        <f aca="false">IF(ISBLANK(VLOOKUP(D40,#REF!,3)),0,1)</f>
        <v>1</v>
      </c>
      <c r="B40" s="112" t="n">
        <f aca="false">IF(ISBLANK(D40),0,IF(ISBLANK(E40),0,IF(ISBLANK(F40),0,1)))</f>
        <v>0</v>
      </c>
      <c r="C40" s="128" t="n">
        <v>6</v>
      </c>
      <c r="D40" s="129"/>
      <c r="E40" s="129"/>
      <c r="F40" s="137"/>
      <c r="G40" s="117"/>
      <c r="H40" s="131" t="n">
        <v>60</v>
      </c>
      <c r="I40" s="119"/>
      <c r="J40" s="132"/>
      <c r="K40" s="133"/>
      <c r="L40" s="133"/>
      <c r="M40" s="133"/>
      <c r="N40" s="134"/>
      <c r="O40" s="133"/>
      <c r="P40" s="171"/>
      <c r="Q40" s="132"/>
      <c r="R40" s="132"/>
      <c r="S40" s="172"/>
      <c r="T40" s="32" t="n">
        <v>0.05</v>
      </c>
      <c r="U40" s="32" t="n">
        <v>0.05</v>
      </c>
      <c r="V40" s="32"/>
      <c r="W40" s="32"/>
      <c r="X40" s="125" t="n">
        <v>16.4</v>
      </c>
      <c r="Y40" s="125" t="n">
        <v>16.1</v>
      </c>
      <c r="Z40" s="32" t="n">
        <v>1.06</v>
      </c>
      <c r="AA40" s="32" t="n">
        <v>1.03</v>
      </c>
      <c r="AB40" s="125" t="n">
        <v>5</v>
      </c>
      <c r="AC40" s="125" t="n">
        <v>4.9</v>
      </c>
      <c r="AD40" s="124"/>
      <c r="AE40" s="124"/>
      <c r="AF40" s="124"/>
      <c r="AG40" s="124"/>
      <c r="AH40" s="124"/>
      <c r="AI40" s="124"/>
      <c r="AJ40" s="124"/>
      <c r="AK40" s="124"/>
      <c r="AL40" s="124"/>
      <c r="AM40" s="124"/>
      <c r="AN40" s="124"/>
      <c r="AO40" s="124"/>
      <c r="AP40" s="124"/>
      <c r="AQ40" s="124"/>
      <c r="AR40" s="124"/>
      <c r="AS40" s="124"/>
      <c r="AT40" s="124"/>
      <c r="AU40" s="124"/>
      <c r="AV40" s="124"/>
      <c r="AW40" s="124"/>
      <c r="AX40" s="124"/>
      <c r="AY40" s="124"/>
      <c r="AZ40" s="124"/>
      <c r="BA40" s="124"/>
      <c r="BB40" s="136"/>
    </row>
    <row r="41" customFormat="false" ht="15.6" hidden="false" customHeight="false" outlineLevel="0" collapsed="false">
      <c r="A41" s="111" t="n">
        <f aca="false">IF(ISBLANK(VLOOKUP(D41,#REF!,3)),0,1)</f>
        <v>1</v>
      </c>
      <c r="B41" s="112" t="n">
        <f aca="false">IF(ISBLANK(D41),0,IF(ISBLANK(E41),0,IF(ISBLANK(F41),0,1)))</f>
        <v>0</v>
      </c>
      <c r="C41" s="128" t="n">
        <v>7</v>
      </c>
      <c r="D41" s="129"/>
      <c r="E41" s="129"/>
      <c r="F41" s="137"/>
      <c r="G41" s="117"/>
      <c r="H41" s="131" t="n">
        <v>40</v>
      </c>
      <c r="I41" s="119"/>
      <c r="J41" s="132"/>
      <c r="K41" s="133"/>
      <c r="L41" s="133"/>
      <c r="M41" s="133"/>
      <c r="N41" s="134"/>
      <c r="O41" s="133"/>
      <c r="P41" s="171"/>
      <c r="Q41" s="132"/>
      <c r="R41" s="132"/>
      <c r="S41" s="172"/>
      <c r="T41" s="32" t="n">
        <v>0.07</v>
      </c>
      <c r="U41" s="32" t="n">
        <v>0.06</v>
      </c>
      <c r="V41" s="32"/>
      <c r="W41" s="32"/>
      <c r="X41" s="125" t="n">
        <v>15.9</v>
      </c>
      <c r="Y41" s="125" t="n">
        <v>15.5</v>
      </c>
      <c r="Z41" s="32" t="n">
        <v>1.01</v>
      </c>
      <c r="AA41" s="32" t="n">
        <v>0.98</v>
      </c>
      <c r="AB41" s="125" t="n">
        <v>4.7</v>
      </c>
      <c r="AC41" s="125" t="n">
        <v>4.5</v>
      </c>
      <c r="AD41" s="124"/>
      <c r="AE41" s="124"/>
      <c r="AF41" s="124"/>
      <c r="AG41" s="124"/>
      <c r="AH41" s="124"/>
      <c r="AI41" s="124"/>
      <c r="AJ41" s="124"/>
      <c r="AK41" s="124"/>
      <c r="AL41" s="124"/>
      <c r="AM41" s="124"/>
      <c r="AN41" s="124"/>
      <c r="AO41" s="124"/>
      <c r="AP41" s="124"/>
      <c r="AQ41" s="124"/>
      <c r="AR41" s="124"/>
      <c r="AS41" s="124"/>
      <c r="AT41" s="124"/>
      <c r="AU41" s="124"/>
      <c r="AV41" s="124"/>
      <c r="AW41" s="124"/>
      <c r="AX41" s="124"/>
      <c r="AY41" s="124"/>
      <c r="AZ41" s="124"/>
      <c r="BA41" s="124"/>
      <c r="BB41" s="136"/>
    </row>
    <row r="42" customFormat="false" ht="15.6" hidden="false" customHeight="false" outlineLevel="0" collapsed="false">
      <c r="A42" s="111" t="n">
        <f aca="false">IF(ISBLANK(VLOOKUP(D42,#REF!,3)),0,1)</f>
        <v>1</v>
      </c>
      <c r="B42" s="112" t="n">
        <f aca="false">IF(ISBLANK(D42),0,IF(ISBLANK(E42),0,IF(ISBLANK(F42),0,1)))</f>
        <v>0</v>
      </c>
      <c r="C42" s="128" t="n">
        <v>8</v>
      </c>
      <c r="D42" s="129"/>
      <c r="E42" s="129"/>
      <c r="F42" s="137"/>
      <c r="G42" s="117"/>
      <c r="H42" s="131" t="n">
        <v>20</v>
      </c>
      <c r="I42" s="119"/>
      <c r="J42" s="132"/>
      <c r="K42" s="133"/>
      <c r="L42" s="133"/>
      <c r="M42" s="133"/>
      <c r="N42" s="134"/>
      <c r="O42" s="133"/>
      <c r="P42" s="171"/>
      <c r="Q42" s="132"/>
      <c r="R42" s="132"/>
      <c r="S42" s="172"/>
      <c r="T42" s="32" t="n">
        <v>0.31</v>
      </c>
      <c r="U42" s="32" t="n">
        <v>0.3</v>
      </c>
      <c r="V42" s="32"/>
      <c r="W42" s="32"/>
      <c r="X42" s="125" t="n">
        <v>11.1</v>
      </c>
      <c r="Y42" s="125" t="n">
        <v>10.8</v>
      </c>
      <c r="Z42" s="32" t="n">
        <v>0.81</v>
      </c>
      <c r="AA42" s="32" t="n">
        <v>0.79</v>
      </c>
      <c r="AB42" s="125" t="n">
        <v>2.9</v>
      </c>
      <c r="AC42" s="125" t="n">
        <v>2.8</v>
      </c>
      <c r="AD42" s="124"/>
      <c r="AE42" s="124"/>
      <c r="AF42" s="124"/>
      <c r="AG42" s="124"/>
      <c r="AH42" s="124"/>
      <c r="AI42" s="124"/>
      <c r="AJ42" s="124"/>
      <c r="AK42" s="124"/>
      <c r="AL42" s="124"/>
      <c r="AM42" s="124"/>
      <c r="AN42" s="124"/>
      <c r="AO42" s="124"/>
      <c r="AP42" s="124"/>
      <c r="AQ42" s="124"/>
      <c r="AR42" s="124"/>
      <c r="AS42" s="124"/>
      <c r="AT42" s="124"/>
      <c r="AU42" s="124"/>
      <c r="AV42" s="124"/>
      <c r="AW42" s="124"/>
      <c r="AX42" s="124"/>
      <c r="AY42" s="124"/>
      <c r="AZ42" s="124"/>
      <c r="BA42" s="124"/>
      <c r="BB42" s="136"/>
    </row>
    <row r="43" customFormat="false" ht="15.6" hidden="false" customHeight="false" outlineLevel="0" collapsed="false">
      <c r="A43" s="111" t="n">
        <f aca="false">IF(ISBLANK(VLOOKUP(D43,#REF!,3)),0,1)</f>
        <v>1</v>
      </c>
      <c r="B43" s="112" t="n">
        <f aca="false">IF(ISBLANK(D43),0,IF(ISBLANK(E43),0,IF(ISBLANK(F43),0,1)))</f>
        <v>0</v>
      </c>
      <c r="C43" s="128" t="n">
        <v>9</v>
      </c>
      <c r="D43" s="129"/>
      <c r="E43" s="129"/>
      <c r="F43" s="137"/>
      <c r="G43" s="117"/>
      <c r="H43" s="131" t="n">
        <v>10</v>
      </c>
      <c r="I43" s="119"/>
      <c r="J43" s="132"/>
      <c r="K43" s="133"/>
      <c r="L43" s="133"/>
      <c r="M43" s="133"/>
      <c r="N43" s="134"/>
      <c r="O43" s="133"/>
      <c r="P43" s="171"/>
      <c r="Q43" s="132"/>
      <c r="R43" s="132"/>
      <c r="S43" s="172"/>
      <c r="T43" s="32" t="n">
        <v>0.1</v>
      </c>
      <c r="U43" s="32" t="n">
        <v>0.1</v>
      </c>
      <c r="V43" s="32"/>
      <c r="W43" s="32"/>
      <c r="X43" s="125" t="n">
        <v>3.4</v>
      </c>
      <c r="Y43" s="125" t="n">
        <v>3.4</v>
      </c>
      <c r="Z43" s="32" t="n">
        <v>0.38</v>
      </c>
      <c r="AA43" s="32" t="n">
        <v>0.37</v>
      </c>
      <c r="AB43" s="125" t="n">
        <v>1.1</v>
      </c>
      <c r="AC43" s="125" t="n">
        <v>1</v>
      </c>
      <c r="AD43" s="124"/>
      <c r="AE43" s="124"/>
      <c r="AF43" s="124"/>
      <c r="AG43" s="124"/>
      <c r="AH43" s="124"/>
      <c r="AI43" s="124"/>
      <c r="AJ43" s="124"/>
      <c r="AK43" s="124"/>
      <c r="AL43" s="124"/>
      <c r="AM43" s="124"/>
      <c r="AN43" s="124"/>
      <c r="AO43" s="124"/>
      <c r="AP43" s="124"/>
      <c r="AQ43" s="124"/>
      <c r="AR43" s="124"/>
      <c r="AS43" s="124"/>
      <c r="AT43" s="124"/>
      <c r="AU43" s="124"/>
      <c r="AV43" s="124"/>
      <c r="AW43" s="124"/>
      <c r="AX43" s="124"/>
      <c r="AY43" s="124"/>
      <c r="AZ43" s="124"/>
      <c r="BA43" s="124"/>
      <c r="BB43" s="136"/>
    </row>
    <row r="44" customFormat="false" ht="15.6" hidden="false" customHeight="false" outlineLevel="0" collapsed="false">
      <c r="A44" s="111" t="n">
        <f aca="false">IF(ISBLANK(VLOOKUP(D44,#REF!,3)),0,1)</f>
        <v>1</v>
      </c>
      <c r="B44" s="112" t="n">
        <f aca="false">IF(ISBLANK(D44),0,IF(ISBLANK(E44),0,IF(ISBLANK(F44),0,1)))</f>
        <v>0</v>
      </c>
      <c r="C44" s="128" t="n">
        <v>10</v>
      </c>
      <c r="D44" s="129"/>
      <c r="E44" s="129"/>
      <c r="F44" s="137"/>
      <c r="G44" s="117"/>
      <c r="H44" s="131" t="n">
        <v>10</v>
      </c>
      <c r="I44" s="119"/>
      <c r="J44" s="132"/>
      <c r="K44" s="133"/>
      <c r="L44" s="133"/>
      <c r="M44" s="133"/>
      <c r="N44" s="134"/>
      <c r="O44" s="133"/>
      <c r="P44" s="171"/>
      <c r="Q44" s="132"/>
      <c r="R44" s="132"/>
      <c r="S44" s="172"/>
      <c r="T44" s="32" t="n">
        <v>0.11</v>
      </c>
      <c r="U44" s="32" t="n">
        <v>0.11</v>
      </c>
      <c r="V44" s="32"/>
      <c r="W44" s="32"/>
      <c r="X44" s="125" t="n">
        <v>3.4</v>
      </c>
      <c r="Y44" s="125" t="n">
        <v>3.3</v>
      </c>
      <c r="Z44" s="32" t="n">
        <v>0.37</v>
      </c>
      <c r="AA44" s="32" t="n">
        <v>0.36</v>
      </c>
      <c r="AB44" s="125" t="n">
        <v>0.8</v>
      </c>
      <c r="AC44" s="125" t="n">
        <v>0.8</v>
      </c>
      <c r="AD44" s="124"/>
      <c r="AE44" s="124"/>
      <c r="AF44" s="124"/>
      <c r="AG44" s="124"/>
      <c r="AH44" s="124"/>
      <c r="AI44" s="124"/>
      <c r="AJ44" s="124"/>
      <c r="AK44" s="124"/>
      <c r="AL44" s="124"/>
      <c r="AM44" s="124"/>
      <c r="AN44" s="124"/>
      <c r="AO44" s="124"/>
      <c r="AP44" s="124"/>
      <c r="AQ44" s="124"/>
      <c r="AR44" s="124"/>
      <c r="AS44" s="124"/>
      <c r="AT44" s="124"/>
      <c r="AU44" s="124"/>
      <c r="AV44" s="124"/>
      <c r="AW44" s="124"/>
      <c r="AX44" s="124"/>
      <c r="AY44" s="124"/>
      <c r="AZ44" s="124"/>
      <c r="BA44" s="124"/>
      <c r="BB44" s="136"/>
    </row>
    <row r="45" customFormat="false" ht="15.6" hidden="false" customHeight="false" outlineLevel="0" collapsed="false">
      <c r="A45" s="111" t="n">
        <f aca="false">IF(ISBLANK(VLOOKUP(D45,#REF!,3)),0,1)</f>
        <v>1</v>
      </c>
      <c r="B45" s="112" t="n">
        <f aca="false">IF(ISBLANK(D45),0,IF(ISBLANK(E45),0,IF(ISBLANK(F45),0,1)))</f>
        <v>0</v>
      </c>
      <c r="C45" s="128" t="n">
        <v>11</v>
      </c>
      <c r="D45" s="129"/>
      <c r="E45" s="129"/>
      <c r="F45" s="137"/>
      <c r="G45" s="117" t="n">
        <v>35.834</v>
      </c>
      <c r="H45" s="131" t="n">
        <v>0</v>
      </c>
      <c r="I45" s="119" t="n">
        <v>2.9</v>
      </c>
      <c r="J45" s="132"/>
      <c r="K45" s="133"/>
      <c r="L45" s="133"/>
      <c r="M45" s="133"/>
      <c r="N45" s="134"/>
      <c r="O45" s="133"/>
      <c r="P45" s="171" t="n">
        <v>4.714</v>
      </c>
      <c r="Q45" s="132"/>
      <c r="R45" s="132"/>
      <c r="S45" s="172" t="n">
        <v>205.5</v>
      </c>
      <c r="T45" s="32" t="n">
        <v>0.08</v>
      </c>
      <c r="U45" s="32" t="n">
        <v>0.08</v>
      </c>
      <c r="V45" s="32"/>
      <c r="W45" s="32"/>
      <c r="X45" s="125" t="n">
        <v>2.3</v>
      </c>
      <c r="Y45" s="125" t="n">
        <v>2.2</v>
      </c>
      <c r="Z45" s="32" t="n">
        <v>0.29</v>
      </c>
      <c r="AA45" s="32" t="n">
        <v>0.29</v>
      </c>
      <c r="AB45" s="125" t="n">
        <v>1.6</v>
      </c>
      <c r="AC45" s="125" t="n">
        <v>1.5</v>
      </c>
      <c r="AD45" s="124"/>
      <c r="AE45" s="124"/>
      <c r="AF45" s="124"/>
      <c r="AG45" s="124"/>
      <c r="AH45" s="124"/>
      <c r="AI45" s="124"/>
      <c r="AJ45" s="124"/>
      <c r="AK45" s="124"/>
      <c r="AL45" s="124"/>
      <c r="AM45" s="124"/>
      <c r="AN45" s="124"/>
      <c r="AO45" s="124"/>
      <c r="AP45" s="124"/>
      <c r="AQ45" s="124"/>
      <c r="AR45" s="124"/>
      <c r="AS45" s="124"/>
      <c r="AT45" s="124"/>
      <c r="AU45" s="124"/>
      <c r="AV45" s="124"/>
      <c r="AW45" s="124"/>
      <c r="AX45" s="124"/>
      <c r="AY45" s="124"/>
      <c r="AZ45" s="124"/>
      <c r="BA45" s="124"/>
      <c r="BB45" s="136"/>
    </row>
    <row r="46" customFormat="false" ht="15.6" hidden="false" customHeight="false" outlineLevel="0" collapsed="false">
      <c r="A46" s="111" t="n">
        <f aca="false">IF(ISBLANK(VLOOKUP(D46,#REF!,3)),0,1)</f>
        <v>1</v>
      </c>
      <c r="B46" s="112" t="n">
        <f aca="false">IF(ISBLANK(D46),0,IF(ISBLANK(E46),0,IF(ISBLANK(F46),0,1)))</f>
        <v>0</v>
      </c>
      <c r="C46" s="128" t="n">
        <v>12</v>
      </c>
      <c r="D46" s="142"/>
      <c r="E46" s="142"/>
      <c r="F46" s="143"/>
      <c r="G46" s="144"/>
      <c r="H46" s="142"/>
      <c r="I46" s="145"/>
      <c r="J46" s="132" t="str">
        <f aca="false">IF(ISBLANK(D46),"",IF(VLOOKUP(D46,#REF!,2)=0,"",IF(D46&gt;#REF!,"Mauvais numéro",IF(D46&lt;#REF!,"Mauvais numéro",(VLOOKUP(D46,#REF!,3))))))</f>
        <v/>
      </c>
      <c r="K46" s="146" t="str">
        <f aca="false">IF(ISBLANK(E46),"",(0.000824493-(0.0000040899*E46)+(0.000000076438*E46^2)-(0.00000000082467*E46^3)+(0.0000000000053875*E46^4)))</f>
        <v/>
      </c>
      <c r="L46" s="146" t="str">
        <f aca="false">IF(ISBLANK(E46),"",(-0.00000572466+(0.00000010227*E46)-(0.0000000016546*E46^2)))</f>
        <v/>
      </c>
      <c r="M46" s="146" t="str">
        <f aca="false">IF(ISBLANK(E46),"",IF(ISBLANK(G46),(O46+(K46*35)+(L46*35^1.5)+(0.00000048314*35^2)),(O46+(K46*G46)+(L46*G46^1.5)+(0.00000048314*G46^2))))</f>
        <v/>
      </c>
      <c r="N46" s="147" t="str">
        <f aca="false">IF(ISBLANK(D46),"",IF(ISBLANK(G46),J46*(1+0.00001*(35-20)),J46*(1+0.00001*(G46-20))))</f>
        <v/>
      </c>
      <c r="O46" s="146" t="str">
        <f aca="false">IF(ISBLANK(E46),"",(0.999842594+(0.00006793952*E46)-(0.00000909529*E46^2)+(0.0000001001685*E46^3)-(0.000000001120083*E46^4)+(0.000000000006536332*E46^5)))</f>
        <v/>
      </c>
      <c r="P46" s="148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49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0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0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24"/>
      <c r="U46" s="124"/>
      <c r="V46" s="124"/>
      <c r="W46" s="124"/>
      <c r="X46" s="124"/>
      <c r="Y46" s="124"/>
      <c r="Z46" s="124"/>
      <c r="AA46" s="124"/>
      <c r="AB46" s="124"/>
      <c r="AC46" s="124"/>
      <c r="AD46" s="124"/>
      <c r="AE46" s="124"/>
      <c r="AF46" s="124"/>
      <c r="AG46" s="124"/>
      <c r="AH46" s="124"/>
      <c r="AI46" s="124"/>
      <c r="AJ46" s="124"/>
      <c r="AK46" s="124"/>
      <c r="AL46" s="124"/>
      <c r="AM46" s="124"/>
      <c r="AN46" s="124"/>
      <c r="AO46" s="124"/>
      <c r="AP46" s="124"/>
      <c r="AQ46" s="124"/>
      <c r="AR46" s="124"/>
      <c r="AS46" s="124"/>
      <c r="AT46" s="124"/>
      <c r="AU46" s="124"/>
      <c r="AV46" s="124"/>
      <c r="AW46" s="124"/>
      <c r="AX46" s="124"/>
      <c r="AY46" s="124"/>
      <c r="AZ46" s="124"/>
      <c r="BA46" s="124"/>
      <c r="BB46" s="136"/>
    </row>
    <row r="47" customFormat="false" ht="15.6" hidden="false" customHeight="false" outlineLevel="0" collapsed="false">
      <c r="A47" s="111" t="n">
        <f aca="false">IF(ISBLANK(VLOOKUP(D47,#REF!,3)),0,1)</f>
        <v>1</v>
      </c>
      <c r="B47" s="112" t="n">
        <f aca="false">IF(ISBLANK(D47),0,IF(ISBLANK(E47),0,IF(ISBLANK(F47),0,1)))</f>
        <v>0</v>
      </c>
      <c r="C47" s="128" t="n">
        <v>13</v>
      </c>
      <c r="D47" s="151"/>
      <c r="E47" s="151"/>
      <c r="F47" s="152"/>
      <c r="G47" s="153"/>
      <c r="H47" s="151"/>
      <c r="I47" s="151"/>
      <c r="J47" s="132" t="str">
        <f aca="false">IF(ISBLANK(D47),"",IF(VLOOKUP(D47,#REF!,2)=0,"",IF(D47&gt;#REF!,"Mauvais numéro",IF(D47&lt;#REF!,"Mauvais numéro",(VLOOKUP(D47,#REF!,3))))))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54"/>
      <c r="Q47" s="149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5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4"/>
      <c r="T47" s="124"/>
      <c r="U47" s="124"/>
      <c r="V47" s="124"/>
      <c r="W47" s="124"/>
      <c r="X47" s="12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24"/>
      <c r="AJ47" s="124"/>
      <c r="AK47" s="124"/>
      <c r="AL47" s="124"/>
      <c r="AM47" s="124"/>
      <c r="AN47" s="124"/>
      <c r="AO47" s="124"/>
      <c r="AP47" s="124"/>
      <c r="AQ47" s="124"/>
      <c r="AR47" s="124"/>
      <c r="AS47" s="124"/>
      <c r="AT47" s="124"/>
      <c r="AU47" s="124"/>
      <c r="AV47" s="124"/>
      <c r="AW47" s="124"/>
      <c r="AX47" s="124"/>
      <c r="AY47" s="124"/>
      <c r="AZ47" s="124"/>
      <c r="BA47" s="124"/>
      <c r="BB47" s="136"/>
    </row>
    <row r="48" customFormat="false" ht="15.6" hidden="false" customHeight="false" outlineLevel="0" collapsed="false">
      <c r="A48" s="111" t="n">
        <f aca="false">IF(ISBLANK(VLOOKUP(D48,#REF!,3)),0,1)</f>
        <v>1</v>
      </c>
      <c r="B48" s="112" t="n">
        <f aca="false">IF(ISBLANK(D48),0,IF(ISBLANK(E48),0,IF(ISBLANK(F48),0,1)))</f>
        <v>0</v>
      </c>
      <c r="C48" s="128" t="n">
        <v>14</v>
      </c>
      <c r="D48" s="151"/>
      <c r="E48" s="151"/>
      <c r="F48" s="152"/>
      <c r="G48" s="153"/>
      <c r="H48" s="151"/>
      <c r="I48" s="151"/>
      <c r="J48" s="132" t="str">
        <f aca="false">IF(ISBLANK(D48),"",IF(VLOOKUP(D48,#REF!,2)=0,"",IF(D48&gt;#REF!,"Mauvais numéro",IF(D48&lt;#REF!,"Mauvais numéro",(VLOOKUP(D48,#REF!,3))))))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54"/>
      <c r="Q48" s="149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5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4"/>
      <c r="T48" s="124"/>
      <c r="U48" s="124"/>
      <c r="V48" s="124"/>
      <c r="W48" s="124"/>
      <c r="X48" s="124"/>
      <c r="Y48" s="124"/>
      <c r="Z48" s="124"/>
      <c r="AA48" s="124"/>
      <c r="AB48" s="124"/>
      <c r="AC48" s="124"/>
      <c r="AD48" s="124"/>
      <c r="AE48" s="124"/>
      <c r="AF48" s="124"/>
      <c r="AG48" s="124"/>
      <c r="AH48" s="124"/>
      <c r="AI48" s="124"/>
      <c r="AJ48" s="124"/>
      <c r="AK48" s="124"/>
      <c r="AL48" s="124"/>
      <c r="AM48" s="124"/>
      <c r="AN48" s="124"/>
      <c r="AO48" s="124"/>
      <c r="AP48" s="124"/>
      <c r="AQ48" s="124"/>
      <c r="AR48" s="124"/>
      <c r="AS48" s="124"/>
      <c r="AT48" s="124"/>
      <c r="AU48" s="124"/>
      <c r="AV48" s="124"/>
      <c r="AW48" s="124"/>
      <c r="AX48" s="124"/>
      <c r="AY48" s="124"/>
      <c r="AZ48" s="124"/>
      <c r="BA48" s="124"/>
      <c r="BB48" s="136"/>
    </row>
    <row r="49" customFormat="false" ht="15.6" hidden="false" customHeight="false" outlineLevel="0" collapsed="false">
      <c r="A49" s="111" t="n">
        <f aca="false">IF(ISBLANK(VLOOKUP(D49,#REF!,3)),0,1)</f>
        <v>1</v>
      </c>
      <c r="B49" s="112" t="n">
        <f aca="false">IF(ISBLANK(D49),0,IF(ISBLANK(E49),0,IF(ISBLANK(F49),0,1)))</f>
        <v>0</v>
      </c>
      <c r="C49" s="128" t="n">
        <v>15</v>
      </c>
      <c r="D49" s="151"/>
      <c r="E49" s="151"/>
      <c r="F49" s="152"/>
      <c r="G49" s="156"/>
      <c r="H49" s="151"/>
      <c r="I49" s="151"/>
      <c r="J49" s="132" t="str">
        <f aca="false">IF(ISBLANK(D49),"",IF(VLOOKUP(D49,#REF!,2)=0,"",IF(D49&gt;#REF!,"Mauvais numéro",IF(D49&lt;#REF!,"Mauvais numéro",(VLOOKUP(D49,#REF!,3))))))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57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49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24"/>
      <c r="AE49" s="124"/>
      <c r="AF49" s="124"/>
      <c r="AG49" s="124"/>
      <c r="AH49" s="124"/>
      <c r="AI49" s="124"/>
      <c r="AJ49" s="124"/>
      <c r="AK49" s="124"/>
      <c r="AL49" s="124"/>
      <c r="AM49" s="124"/>
      <c r="AN49" s="124"/>
      <c r="AO49" s="124"/>
      <c r="AP49" s="124"/>
      <c r="AQ49" s="124"/>
      <c r="AR49" s="124"/>
      <c r="AS49" s="124"/>
      <c r="AT49" s="124"/>
      <c r="AU49" s="124"/>
      <c r="AV49" s="124"/>
      <c r="AW49" s="124"/>
      <c r="AX49" s="124"/>
      <c r="AY49" s="124"/>
      <c r="AZ49" s="124"/>
      <c r="BA49" s="124"/>
      <c r="BB49" s="136"/>
    </row>
    <row r="50" customFormat="false" ht="15.6" hidden="false" customHeight="false" outlineLevel="0" collapsed="false">
      <c r="A50" s="111" t="n">
        <f aca="false">IF(ISBLANK(VLOOKUP(D50,#REF!,3)),0,1)</f>
        <v>1</v>
      </c>
      <c r="B50" s="112" t="n">
        <f aca="false">IF(ISBLANK(D50),0,IF(ISBLANK(E50),0,IF(ISBLANK(F50),0,1)))</f>
        <v>0</v>
      </c>
      <c r="C50" s="128" t="n">
        <v>16</v>
      </c>
      <c r="D50" s="151"/>
      <c r="E50" s="151"/>
      <c r="F50" s="152"/>
      <c r="G50" s="156"/>
      <c r="H50" s="151"/>
      <c r="I50" s="151"/>
      <c r="J50" s="132" t="str">
        <f aca="false">IF(ISBLANK(D50),"",IF(VLOOKUP(D50,#REF!,2)=0,"",IF(D50&gt;#REF!,"Mauvais numéro",IF(D50&lt;#REF!,"Mauvais numéro",(VLOOKUP(D50,#REF!,3))))))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57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49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24"/>
      <c r="U50" s="124"/>
      <c r="V50" s="124"/>
      <c r="W50" s="124"/>
      <c r="X50" s="124"/>
      <c r="Y50" s="124"/>
      <c r="Z50" s="124"/>
      <c r="AA50" s="124"/>
      <c r="AB50" s="124"/>
      <c r="AC50" s="124"/>
      <c r="AD50" s="124"/>
      <c r="AE50" s="124"/>
      <c r="AF50" s="124"/>
      <c r="AG50" s="124"/>
      <c r="AH50" s="124"/>
      <c r="AI50" s="124"/>
      <c r="AJ50" s="124"/>
      <c r="AK50" s="124"/>
      <c r="AL50" s="124"/>
      <c r="AM50" s="124"/>
      <c r="AN50" s="124"/>
      <c r="AO50" s="124"/>
      <c r="AP50" s="124"/>
      <c r="AQ50" s="124"/>
      <c r="AR50" s="124"/>
      <c r="AS50" s="124"/>
      <c r="AT50" s="124"/>
      <c r="AU50" s="124"/>
      <c r="AV50" s="124"/>
      <c r="AW50" s="124"/>
      <c r="AX50" s="124"/>
      <c r="AY50" s="124"/>
      <c r="AZ50" s="124"/>
      <c r="BA50" s="124"/>
      <c r="BB50" s="136"/>
    </row>
    <row r="51" customFormat="false" ht="15.6" hidden="false" customHeight="false" outlineLevel="0" collapsed="false">
      <c r="A51" s="111" t="n">
        <f aca="false">IF(ISBLANK(VLOOKUP(D51,#REF!,3)),0,1)</f>
        <v>1</v>
      </c>
      <c r="B51" s="112" t="n">
        <f aca="false">IF(ISBLANK(D51),0,IF(ISBLANK(E51),0,IF(ISBLANK(F51),0,1)))</f>
        <v>0</v>
      </c>
      <c r="C51" s="128" t="n">
        <v>17</v>
      </c>
      <c r="D51" s="151"/>
      <c r="E51" s="151"/>
      <c r="F51" s="152"/>
      <c r="G51" s="156"/>
      <c r="H51" s="151"/>
      <c r="I51" s="151"/>
      <c r="J51" s="132" t="str">
        <f aca="false">IF(ISBLANK(D51),"",IF(VLOOKUP(D51,#REF!,2)=0,"",IF(D51&gt;#REF!,"Mauvais numéro",IF(D51&lt;#REF!,"Mauvais numéro",(VLOOKUP(D51,#REF!,3))))))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57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49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24"/>
      <c r="AE51" s="124"/>
      <c r="AF51" s="124"/>
      <c r="AG51" s="124"/>
      <c r="AH51" s="124"/>
      <c r="AI51" s="124"/>
      <c r="AJ51" s="124"/>
      <c r="AK51" s="124"/>
      <c r="AL51" s="124"/>
      <c r="AM51" s="124"/>
      <c r="AN51" s="124"/>
      <c r="AO51" s="124"/>
      <c r="AP51" s="124"/>
      <c r="AQ51" s="124"/>
      <c r="AR51" s="124"/>
      <c r="AS51" s="124"/>
      <c r="AT51" s="124"/>
      <c r="AU51" s="124"/>
      <c r="AV51" s="124"/>
      <c r="AW51" s="124"/>
      <c r="AX51" s="124"/>
      <c r="AY51" s="124"/>
      <c r="AZ51" s="124"/>
      <c r="BA51" s="124"/>
      <c r="BB51" s="136"/>
    </row>
    <row r="52" customFormat="false" ht="15.6" hidden="false" customHeight="false" outlineLevel="0" collapsed="false">
      <c r="A52" s="111" t="n">
        <f aca="false">IF(ISBLANK(VLOOKUP(D52,#REF!,3)),0,1)</f>
        <v>1</v>
      </c>
      <c r="B52" s="112" t="n">
        <f aca="false">IF(ISBLANK(D52),0,IF(ISBLANK(E52),0,IF(ISBLANK(F52),0,1)))</f>
        <v>0</v>
      </c>
      <c r="C52" s="128" t="n">
        <v>18</v>
      </c>
      <c r="D52" s="151"/>
      <c r="E52" s="151"/>
      <c r="F52" s="152"/>
      <c r="G52" s="156"/>
      <c r="H52" s="151"/>
      <c r="I52" s="151"/>
      <c r="J52" s="132" t="str">
        <f aca="false">IF(ISBLANK(D52),"",IF(VLOOKUP(D52,#REF!,2)=0,"",IF(D52&gt;#REF!,"Mauvais numéro",IF(D52&lt;#REF!,"Mauvais numéro",(VLOOKUP(D52,#REF!,3))))))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57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49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24"/>
      <c r="U52" s="124"/>
      <c r="V52" s="124"/>
      <c r="W52" s="124"/>
      <c r="X52" s="124"/>
      <c r="Y52" s="124"/>
      <c r="Z52" s="124"/>
      <c r="AA52" s="124"/>
      <c r="AB52" s="124"/>
      <c r="AC52" s="124"/>
      <c r="AD52" s="124"/>
      <c r="AE52" s="124"/>
      <c r="AF52" s="124"/>
      <c r="AG52" s="124"/>
      <c r="AH52" s="124"/>
      <c r="AI52" s="124"/>
      <c r="AJ52" s="124"/>
      <c r="AK52" s="124"/>
      <c r="AL52" s="124"/>
      <c r="AM52" s="124"/>
      <c r="AN52" s="124"/>
      <c r="AO52" s="124"/>
      <c r="AP52" s="124"/>
      <c r="AQ52" s="124"/>
      <c r="AR52" s="124"/>
      <c r="AS52" s="124"/>
      <c r="AT52" s="124"/>
      <c r="AU52" s="124"/>
      <c r="AV52" s="124"/>
      <c r="AW52" s="124"/>
      <c r="AX52" s="124"/>
      <c r="AY52" s="124"/>
      <c r="AZ52" s="124"/>
      <c r="BA52" s="124"/>
      <c r="BB52" s="136"/>
    </row>
    <row r="53" customFormat="false" ht="15.6" hidden="false" customHeight="false" outlineLevel="0" collapsed="false">
      <c r="A53" s="111" t="n">
        <f aca="false">IF(ISBLANK(VLOOKUP(D53,#REF!,3)),0,1)</f>
        <v>1</v>
      </c>
      <c r="B53" s="112" t="n">
        <f aca="false">IF(ISBLANK(D53),0,IF(ISBLANK(E53),0,IF(ISBLANK(F53),0,1)))</f>
        <v>0</v>
      </c>
      <c r="C53" s="128" t="n">
        <v>19</v>
      </c>
      <c r="D53" s="151"/>
      <c r="E53" s="151"/>
      <c r="F53" s="152"/>
      <c r="G53" s="156"/>
      <c r="H53" s="151"/>
      <c r="I53" s="151"/>
      <c r="J53" s="132" t="str">
        <f aca="false">IF(ISBLANK(D53),"",IF(VLOOKUP(D53,#REF!,2)=0,"",IF(D53&gt;#REF!,"Mauvais numéro",IF(D53&lt;#REF!,"Mauvais numéro",(VLOOKUP(D53,#REF!,3))))))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57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49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24"/>
      <c r="U53" s="124"/>
      <c r="V53" s="124"/>
      <c r="W53" s="124"/>
      <c r="X53" s="12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24"/>
      <c r="AJ53" s="124"/>
      <c r="AK53" s="124"/>
      <c r="AL53" s="124"/>
      <c r="AM53" s="124"/>
      <c r="AN53" s="124"/>
      <c r="AO53" s="124"/>
      <c r="AP53" s="124"/>
      <c r="AQ53" s="124"/>
      <c r="AR53" s="124"/>
      <c r="AS53" s="124"/>
      <c r="AT53" s="124"/>
      <c r="AU53" s="124"/>
      <c r="AV53" s="124"/>
      <c r="AW53" s="124"/>
      <c r="AX53" s="124"/>
      <c r="AY53" s="124"/>
      <c r="AZ53" s="124"/>
      <c r="BA53" s="124"/>
      <c r="BB53" s="136"/>
    </row>
    <row r="54" customFormat="false" ht="15.6" hidden="false" customHeight="false" outlineLevel="0" collapsed="false">
      <c r="A54" s="111" t="n">
        <f aca="false">IF(ISBLANK(VLOOKUP(D54,#REF!,3)),0,1)</f>
        <v>1</v>
      </c>
      <c r="B54" s="112" t="n">
        <f aca="false">IF(ISBLANK(D54),0,IF(ISBLANK(E54),0,IF(ISBLANK(F54),0,1)))</f>
        <v>0</v>
      </c>
      <c r="C54" s="128" t="n">
        <v>20</v>
      </c>
      <c r="D54" s="151"/>
      <c r="E54" s="151"/>
      <c r="F54" s="152"/>
      <c r="G54" s="156"/>
      <c r="H54" s="151"/>
      <c r="I54" s="151"/>
      <c r="J54" s="132" t="str">
        <f aca="false">IF(ISBLANK(D54),"",IF(VLOOKUP(D54,#REF!,2)=0,"",IF(D54&gt;#REF!,"Mauvais numéro",IF(D54&lt;#REF!,"Mauvais numéro",(VLOOKUP(D54,#REF!,3))))))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57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49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4"/>
      <c r="U54" s="124"/>
      <c r="V54" s="124"/>
      <c r="W54" s="124"/>
      <c r="X54" s="124"/>
      <c r="Y54" s="124"/>
      <c r="Z54" s="124"/>
      <c r="AA54" s="124"/>
      <c r="AB54" s="124"/>
      <c r="AC54" s="124"/>
      <c r="AD54" s="124"/>
      <c r="AE54" s="124"/>
      <c r="AF54" s="124"/>
      <c r="AG54" s="124"/>
      <c r="AH54" s="124"/>
      <c r="AI54" s="124"/>
      <c r="AJ54" s="124"/>
      <c r="AK54" s="124"/>
      <c r="AL54" s="124"/>
      <c r="AM54" s="124"/>
      <c r="AN54" s="124"/>
      <c r="AO54" s="124"/>
      <c r="AP54" s="124"/>
      <c r="AQ54" s="124"/>
      <c r="AR54" s="124"/>
      <c r="AS54" s="124"/>
      <c r="AT54" s="124"/>
      <c r="AU54" s="124"/>
      <c r="AV54" s="124"/>
      <c r="AW54" s="124"/>
      <c r="AX54" s="124"/>
      <c r="AY54" s="124"/>
      <c r="AZ54" s="124"/>
      <c r="BA54" s="124"/>
      <c r="BB54" s="136"/>
    </row>
    <row r="55" customFormat="false" ht="15.6" hidden="false" customHeight="false" outlineLevel="0" collapsed="false">
      <c r="A55" s="111" t="n">
        <f aca="false">IF(ISBLANK(VLOOKUP(D55,#REF!,3)),0,1)</f>
        <v>1</v>
      </c>
      <c r="B55" s="112" t="n">
        <f aca="false">IF(ISBLANK(D55),0,IF(ISBLANK(E55),0,IF(ISBLANK(F55),0,1)))</f>
        <v>0</v>
      </c>
      <c r="C55" s="128" t="n">
        <v>21</v>
      </c>
      <c r="D55" s="151"/>
      <c r="E55" s="151"/>
      <c r="F55" s="152"/>
      <c r="G55" s="156"/>
      <c r="H55" s="151"/>
      <c r="I55" s="151"/>
      <c r="J55" s="132" t="str">
        <f aca="false">IF(ISBLANK(D55),"",IF(VLOOKUP(D55,#REF!,2)=0,"",IF(D55&gt;#REF!,"Mauvais numéro",IF(D55&lt;#REF!,"Mauvais numéro",(VLOOKUP(D55,#REF!,3))))))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57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49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24"/>
      <c r="U55" s="124"/>
      <c r="V55" s="124"/>
      <c r="W55" s="124"/>
      <c r="X55" s="124"/>
      <c r="Y55" s="124"/>
      <c r="Z55" s="124"/>
      <c r="AA55" s="124"/>
      <c r="AB55" s="124"/>
      <c r="AC55" s="124"/>
      <c r="AD55" s="124"/>
      <c r="AE55" s="124"/>
      <c r="AF55" s="124"/>
      <c r="AG55" s="124"/>
      <c r="AH55" s="124"/>
      <c r="AI55" s="124"/>
      <c r="AJ55" s="124"/>
      <c r="AK55" s="124"/>
      <c r="AL55" s="124"/>
      <c r="AM55" s="124"/>
      <c r="AN55" s="124"/>
      <c r="AO55" s="124"/>
      <c r="AP55" s="124"/>
      <c r="AQ55" s="124"/>
      <c r="AR55" s="124"/>
      <c r="AS55" s="124"/>
      <c r="AT55" s="124"/>
      <c r="AU55" s="124"/>
      <c r="AV55" s="124"/>
      <c r="AW55" s="124"/>
      <c r="AX55" s="124"/>
      <c r="AY55" s="124"/>
      <c r="AZ55" s="124"/>
      <c r="BA55" s="124"/>
      <c r="BB55" s="136"/>
    </row>
    <row r="56" customFormat="false" ht="15.6" hidden="false" customHeight="false" outlineLevel="0" collapsed="false">
      <c r="A56" s="111" t="n">
        <f aca="false">IF(ISBLANK(VLOOKUP(D56,#REF!,3)),0,1)</f>
        <v>1</v>
      </c>
      <c r="B56" s="112" t="n">
        <f aca="false">IF(ISBLANK(D56),0,IF(ISBLANK(E56),0,IF(ISBLANK(F56),0,1)))</f>
        <v>0</v>
      </c>
      <c r="C56" s="128" t="n">
        <v>22</v>
      </c>
      <c r="D56" s="151"/>
      <c r="E56" s="151"/>
      <c r="F56" s="152"/>
      <c r="G56" s="156"/>
      <c r="H56" s="151"/>
      <c r="I56" s="151"/>
      <c r="J56" s="132" t="str">
        <f aca="false">IF(ISBLANK(D56),"",IF(VLOOKUP(D56,#REF!,2)=0,"",IF(D56&gt;#REF!,"Mauvais numéro",IF(D56&lt;#REF!,"Mauvais numéro",(VLOOKUP(D56,#REF!,3))))))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57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49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24"/>
      <c r="AE56" s="124"/>
      <c r="AF56" s="124"/>
      <c r="AG56" s="124"/>
      <c r="AH56" s="124"/>
      <c r="AI56" s="124"/>
      <c r="AJ56" s="124"/>
      <c r="AK56" s="124"/>
      <c r="AL56" s="124"/>
      <c r="AM56" s="124"/>
      <c r="AN56" s="124"/>
      <c r="AO56" s="124"/>
      <c r="AP56" s="124"/>
      <c r="AQ56" s="124"/>
      <c r="AR56" s="124"/>
      <c r="AS56" s="124"/>
      <c r="AT56" s="124"/>
      <c r="AU56" s="124"/>
      <c r="AV56" s="124"/>
      <c r="AW56" s="124"/>
      <c r="AX56" s="124"/>
      <c r="AY56" s="124"/>
      <c r="AZ56" s="124"/>
      <c r="BA56" s="124"/>
      <c r="BB56" s="136"/>
    </row>
    <row r="57" customFormat="false" ht="15.6" hidden="false" customHeight="false" outlineLevel="0" collapsed="false">
      <c r="A57" s="111" t="n">
        <f aca="false">IF(ISBLANK(VLOOKUP(D57,#REF!,3)),0,1)</f>
        <v>1</v>
      </c>
      <c r="B57" s="112" t="n">
        <f aca="false">IF(ISBLANK(D57),0,IF(ISBLANK(E57),0,IF(ISBLANK(F57),0,1)))</f>
        <v>0</v>
      </c>
      <c r="C57" s="128" t="n">
        <v>23</v>
      </c>
      <c r="D57" s="151"/>
      <c r="E57" s="151"/>
      <c r="F57" s="152"/>
      <c r="G57" s="156"/>
      <c r="H57" s="151"/>
      <c r="I57" s="151"/>
      <c r="J57" s="132" t="str">
        <f aca="false">IF(ISBLANK(D57),"",IF(VLOOKUP(D57,#REF!,2)=0,"",IF(D57&gt;#REF!,"Mauvais numéro",IF(D57&lt;#REF!,"Mauvais numéro",(VLOOKUP(D57,#REF!,3))))))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57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49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4"/>
      <c r="U57" s="124"/>
      <c r="V57" s="124"/>
      <c r="W57" s="124"/>
      <c r="X57" s="124"/>
      <c r="Y57" s="124"/>
      <c r="Z57" s="124"/>
      <c r="AA57" s="124"/>
      <c r="AB57" s="124"/>
      <c r="AC57" s="124"/>
      <c r="AD57" s="124"/>
      <c r="AE57" s="124"/>
      <c r="AF57" s="124"/>
      <c r="AG57" s="124"/>
      <c r="AH57" s="124"/>
      <c r="AI57" s="124"/>
      <c r="AJ57" s="124"/>
      <c r="AK57" s="124"/>
      <c r="AL57" s="124"/>
      <c r="AM57" s="124"/>
      <c r="AN57" s="124"/>
      <c r="AO57" s="124"/>
      <c r="AP57" s="124"/>
      <c r="AQ57" s="124"/>
      <c r="AR57" s="124"/>
      <c r="AS57" s="124"/>
      <c r="AT57" s="124"/>
      <c r="AU57" s="124"/>
      <c r="AV57" s="124"/>
      <c r="AW57" s="124"/>
      <c r="AX57" s="124"/>
      <c r="AY57" s="124"/>
      <c r="AZ57" s="124"/>
      <c r="BA57" s="124"/>
      <c r="BB57" s="136"/>
    </row>
    <row r="58" customFormat="false" ht="16.2" hidden="false" customHeight="false" outlineLevel="0" collapsed="false">
      <c r="A58" s="111" t="n">
        <f aca="false">IF(ISBLANK(VLOOKUP(D58,#REF!,3)),0,1)</f>
        <v>1</v>
      </c>
      <c r="B58" s="112" t="n">
        <f aca="false">IF(ISBLANK(D58),0,IF(ISBLANK(E58),0,IF(ISBLANK(F58),0,1)))</f>
        <v>0</v>
      </c>
      <c r="C58" s="158" t="n">
        <v>24</v>
      </c>
      <c r="D58" s="159"/>
      <c r="E58" s="159"/>
      <c r="F58" s="160"/>
      <c r="G58" s="161"/>
      <c r="H58" s="159"/>
      <c r="I58" s="159"/>
      <c r="J58" s="162" t="str">
        <f aca="false">IF(ISBLANK(D58),"",IF(VLOOKUP(D58,#REF!,2)=0,"",IF(D58&gt;#REF!,"Mauvais numéro",IF(D58&lt;#REF!,"Mauvais numéro",(VLOOKUP(D58,#REF!,3))))))</f>
        <v/>
      </c>
      <c r="K58" s="163" t="str">
        <f aca="false">IF(ISBLANK(E58),"",(0.000824493-(0.0000040899*E58)+(0.000000076438*E58^2)-(0.00000000082467*E58^3)+(0.0000000000053875*E58^4)))</f>
        <v/>
      </c>
      <c r="L58" s="163" t="str">
        <f aca="false">IF(ISBLANK(E58),"",(-0.00000572466+(0.00000010227*E58)-(0.0000000016546*E58^2)))</f>
        <v/>
      </c>
      <c r="M58" s="163" t="str">
        <f aca="false">IF(ISBLANK(E58),"",IF(ISBLANK(G58),(O58+(K58*35)+(L58*35^1.5)+(0.00000048314*35^2)),(O58+(K58*G58)+(L58*G58^1.5)+(0.00000048314*G58^2))))</f>
        <v/>
      </c>
      <c r="N58" s="164" t="str">
        <f aca="false">IF(ISBLANK(D58),"",IF(ISBLANK(G58),J58*(1+0.00001*(35-20)),J58*(1+0.00001*(G58-20))))</f>
        <v/>
      </c>
      <c r="O58" s="163" t="str">
        <f aca="false">IF(ISBLANK(E58),"",(0.999842594+(0.00006793952*E58)-(0.00000909529*E58^2)+(0.0000001001685*E58^3)-(0.000000001120083*E58^4)+(0.000000000006536332*E58^5)))</f>
        <v/>
      </c>
      <c r="P58" s="165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66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7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7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68"/>
      <c r="U58" s="168"/>
      <c r="V58" s="168"/>
      <c r="W58" s="168"/>
      <c r="X58" s="168"/>
      <c r="Y58" s="168"/>
      <c r="Z58" s="168"/>
      <c r="AA58" s="168"/>
      <c r="AB58" s="168"/>
      <c r="AC58" s="168"/>
      <c r="AD58" s="168"/>
      <c r="AE58" s="168"/>
      <c r="AF58" s="168"/>
      <c r="AG58" s="168"/>
      <c r="AH58" s="168"/>
      <c r="AI58" s="168"/>
      <c r="AJ58" s="168"/>
      <c r="AK58" s="168"/>
      <c r="AL58" s="168"/>
      <c r="AM58" s="168"/>
      <c r="AN58" s="168"/>
      <c r="AO58" s="168"/>
      <c r="AP58" s="168"/>
      <c r="AQ58" s="168"/>
      <c r="AR58" s="168"/>
      <c r="AS58" s="168"/>
      <c r="AT58" s="168"/>
      <c r="AU58" s="168"/>
      <c r="AV58" s="168"/>
      <c r="AW58" s="168"/>
      <c r="AX58" s="168"/>
      <c r="AY58" s="168"/>
      <c r="AZ58" s="168"/>
      <c r="BA58" s="168"/>
      <c r="BB58" s="169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S1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8178137651822"/>
    <col collapsed="false" hidden="false" max="32" min="32" style="0" width="9.10526315789474"/>
    <col collapsed="false" hidden="false" max="33" min="33" style="0" width="26.5668016194332"/>
    <col collapsed="false" hidden="false" max="34" min="34" style="0" width="12.8542510121458"/>
    <col collapsed="false" hidden="false" max="35" min="35" style="0" width="11.3562753036437"/>
    <col collapsed="false" hidden="false" max="36" min="36" style="0" width="14.5668016194332"/>
    <col collapsed="false" hidden="false" max="37" min="37" style="0" width="12.2105263157895"/>
    <col collapsed="false" hidden="false" max="38" min="38" style="0" width="26.995951417004"/>
    <col collapsed="false" hidden="false" max="39" min="39" style="0" width="14.6761133603239"/>
    <col collapsed="false" hidden="false" max="40" min="40" style="0" width="11.3562753036437"/>
    <col collapsed="false" hidden="false" max="41" min="41" style="0" width="12.5344129554656"/>
    <col collapsed="false" hidden="false" max="42" min="42" style="0" width="10.7125506072875"/>
    <col collapsed="false" hidden="false" max="43" min="43" style="0" width="6.31983805668016"/>
    <col collapsed="false" hidden="false" max="44" min="44" style="0" width="19.7085020242915"/>
    <col collapsed="false" hidden="false" max="45" min="45" style="0" width="13.0688259109312"/>
    <col collapsed="false" hidden="false" max="46" min="46" style="0" width="17.7813765182186"/>
    <col collapsed="false" hidden="false" max="47" min="47" style="0" width="14.6761133603239"/>
    <col collapsed="false" hidden="false" max="48" min="48" style="0" width="13.6032388663968"/>
    <col collapsed="false" hidden="false" max="49" min="49" style="0" width="13.7125506072874"/>
    <col collapsed="false" hidden="false" max="50" min="50" style="0" width="19.9230769230769"/>
    <col collapsed="false" hidden="false" max="51" min="51" style="0" width="13.2834008097166"/>
    <col collapsed="false" hidden="false" max="52" min="52" style="0" width="17.6761133603239"/>
    <col collapsed="false" hidden="false" max="53" min="53" style="0" width="13.3886639676113"/>
    <col collapsed="false" hidden="false" max="54" min="54" style="0" width="12.6396761133603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26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38545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0</v>
      </c>
      <c r="J9" s="29" t="n">
        <v>59.87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-0°59,87</v>
      </c>
      <c r="P9" s="29" t="s">
        <v>15</v>
      </c>
      <c r="Q9" s="33" t="n">
        <f aca="false">IF(ISBLANK(I9),"",IF(ISBLANK(J9),"",IF(J9&gt;60,"ERREUR !!",O11*(I9+(J9/60)))))</f>
        <v>-0.997833333333333</v>
      </c>
      <c r="R9" s="33"/>
    </row>
    <row r="10" customFormat="false" ht="15" hidden="false" customHeight="true" outlineLevel="0" collapsed="false">
      <c r="C10" s="21"/>
      <c r="D10" s="18"/>
      <c r="G10" s="27" t="s">
        <v>16</v>
      </c>
      <c r="H10" s="27"/>
      <c r="I10" s="28" t="n">
        <v>10</v>
      </c>
      <c r="J10" s="29" t="n">
        <v>0.38</v>
      </c>
      <c r="K10" s="30" t="s">
        <v>12</v>
      </c>
      <c r="L10" s="31" t="str">
        <f aca="false">IF(P10=N9,"+","-")</f>
        <v>-</v>
      </c>
      <c r="M10" s="30" t="s">
        <v>15</v>
      </c>
      <c r="N10" s="30" t="s">
        <v>17</v>
      </c>
      <c r="O10" s="34" t="str">
        <f aca="false">IF(ISBLANK(I10),"",IF(ISBLANK(J10),"",IF(P10=N10,L10&amp;N12,N12)))</f>
        <v>-10°0,38</v>
      </c>
      <c r="P10" s="29" t="s">
        <v>17</v>
      </c>
      <c r="Q10" s="33" t="n">
        <f aca="false">IF(ISBLANK(I10),"",IF(ISBLANK(J10),"",IF(J10&gt;60,"ERREUR !!",O12*(I10+(J10/60)))))</f>
        <v>-10.0063333333333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38545</v>
      </c>
      <c r="K11" s="38"/>
      <c r="L11" s="38"/>
      <c r="M11" s="38"/>
      <c r="N11" s="39" t="str">
        <f aca="false">I9&amp;"°"&amp;J9</f>
        <v>0°59,87</v>
      </c>
      <c r="O11" s="40" t="n">
        <f aca="false">IF(P9=M10,-1,1)</f>
        <v>-1</v>
      </c>
      <c r="P11" s="41" t="str">
        <f aca="false">TEXT(J11,"aaaa-mm-jj")&amp;"T"&amp;TEXT(J12,"hh:mm:ss")&amp;"z"</f>
        <v>2009-07-13T07:00:00z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0.291666666666667</v>
      </c>
      <c r="K12" s="45"/>
      <c r="L12" s="45"/>
      <c r="M12" s="45"/>
      <c r="N12" s="46" t="str">
        <f aca="false">I10&amp;"°"&amp;J10</f>
        <v>10°0,38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e">
        <f aca="false">$P$24*($P$18/#REF!)</f>
        <v>#REF!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e">
        <f aca="false">5+#REF!</f>
        <v>#REF!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e">
        <f aca="false">P20*(1+0.00001*(R14-20))</f>
        <v>#REF!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e">
        <f aca="false">MAX(#REF!)</f>
        <v>#VALUE!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e">
        <f aca="false">2+(#REF!+#REF!)</f>
        <v>#REF!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52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53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IF(ISBLANK(VLOOKUP(D35,#REF!,3)),0,1)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n">
        <v>34.9648</v>
      </c>
      <c r="H35" s="118" t="n">
        <v>2000</v>
      </c>
      <c r="I35" s="119" t="n">
        <v>2001.2</v>
      </c>
      <c r="J35" s="120"/>
      <c r="K35" s="121"/>
      <c r="L35" s="121"/>
      <c r="M35" s="121"/>
      <c r="N35" s="122"/>
      <c r="O35" s="121"/>
      <c r="P35" s="171" t="n">
        <v>5.722</v>
      </c>
      <c r="Q35" s="120"/>
      <c r="R35" s="120"/>
      <c r="S35" s="172" t="n">
        <v>248.7</v>
      </c>
      <c r="T35" s="32" t="n">
        <v>0</v>
      </c>
      <c r="U35" s="32" t="n">
        <v>0</v>
      </c>
      <c r="V35" s="32"/>
      <c r="W35" s="32"/>
      <c r="X35" s="125" t="n">
        <v>21</v>
      </c>
      <c r="Y35" s="125" t="n">
        <v>20.5</v>
      </c>
      <c r="Z35" s="32" t="n">
        <v>1.56</v>
      </c>
      <c r="AA35" s="32" t="n">
        <v>1.53</v>
      </c>
      <c r="AB35" s="125" t="n">
        <v>22</v>
      </c>
      <c r="AC35" s="125" t="n">
        <v>21.5</v>
      </c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7"/>
    </row>
    <row r="36" customFormat="false" ht="15.6" hidden="false" customHeight="false" outlineLevel="0" collapsed="false">
      <c r="A36" s="111" t="n">
        <f aca="false">IF(ISBLANK(VLOOKUP(D36,#REF!,3)),0,1)</f>
        <v>1</v>
      </c>
      <c r="B36" s="112" t="n">
        <f aca="false">IF(ISBLANK(D36),0,IF(ISBLANK(E36),0,IF(ISBLANK(F36),0,1)))</f>
        <v>0</v>
      </c>
      <c r="C36" s="128" t="n">
        <v>2</v>
      </c>
      <c r="D36" s="129"/>
      <c r="E36" s="129"/>
      <c r="F36" s="130"/>
      <c r="G36" s="117" t="n">
        <v>34.6284</v>
      </c>
      <c r="H36" s="131" t="n">
        <v>1000</v>
      </c>
      <c r="I36" s="119" t="n">
        <v>1000.7</v>
      </c>
      <c r="J36" s="132"/>
      <c r="K36" s="133"/>
      <c r="L36" s="133"/>
      <c r="M36" s="133"/>
      <c r="N36" s="134"/>
      <c r="O36" s="133"/>
      <c r="P36" s="171" t="n">
        <v>3.652</v>
      </c>
      <c r="Q36" s="132"/>
      <c r="R36" s="132"/>
      <c r="S36" s="172" t="n">
        <v>158.8</v>
      </c>
      <c r="T36" s="32" t="n">
        <v>0</v>
      </c>
      <c r="U36" s="32" t="n">
        <v>0</v>
      </c>
      <c r="V36" s="32"/>
      <c r="W36" s="32"/>
      <c r="X36" s="125" t="n">
        <v>34.6</v>
      </c>
      <c r="Y36" s="125" t="n">
        <v>33.8</v>
      </c>
      <c r="Z36" s="32" t="n">
        <v>2.49</v>
      </c>
      <c r="AA36" s="32" t="n">
        <v>2.43</v>
      </c>
      <c r="AB36" s="125" t="n">
        <v>31.5</v>
      </c>
      <c r="AC36" s="125" t="n">
        <v>30.8</v>
      </c>
      <c r="AD36" s="124"/>
      <c r="AE36" s="124"/>
      <c r="AF36" s="124"/>
      <c r="AG36" s="124"/>
      <c r="AH36" s="124"/>
      <c r="AI36" s="124"/>
      <c r="AJ36" s="124"/>
      <c r="AK36" s="124"/>
      <c r="AL36" s="124"/>
      <c r="AM36" s="124"/>
      <c r="AN36" s="124"/>
      <c r="AO36" s="124"/>
      <c r="AP36" s="124"/>
      <c r="AQ36" s="124"/>
      <c r="AR36" s="124"/>
      <c r="AS36" s="124"/>
      <c r="AT36" s="124"/>
      <c r="AU36" s="124"/>
      <c r="AV36" s="124"/>
      <c r="AW36" s="124"/>
      <c r="AX36" s="124"/>
      <c r="AY36" s="124"/>
      <c r="AZ36" s="124"/>
      <c r="BA36" s="124"/>
      <c r="BB36" s="136"/>
    </row>
    <row r="37" customFormat="false" ht="15.6" hidden="false" customHeight="false" outlineLevel="0" collapsed="false">
      <c r="A37" s="111" t="n">
        <f aca="false">IF(ISBLANK(VLOOKUP(D37,#REF!,3)),0,1)</f>
        <v>1</v>
      </c>
      <c r="B37" s="112" t="n">
        <f aca="false">IF(ISBLANK(D37),0,IF(ISBLANK(E37),0,IF(ISBLANK(F37),0,1)))</f>
        <v>0</v>
      </c>
      <c r="C37" s="128" t="n">
        <v>3</v>
      </c>
      <c r="D37" s="129"/>
      <c r="E37" s="129"/>
      <c r="F37" s="137"/>
      <c r="G37" s="117" t="n">
        <v>34.6038</v>
      </c>
      <c r="H37" s="131" t="n">
        <v>500</v>
      </c>
      <c r="I37" s="119" t="n">
        <v>502</v>
      </c>
      <c r="J37" s="132"/>
      <c r="K37" s="133"/>
      <c r="L37" s="133"/>
      <c r="M37" s="133"/>
      <c r="N37" s="134"/>
      <c r="O37" s="133"/>
      <c r="P37" s="171" t="n">
        <v>2.912</v>
      </c>
      <c r="Q37" s="132"/>
      <c r="R37" s="132"/>
      <c r="S37" s="172" t="n">
        <v>126.6</v>
      </c>
      <c r="T37" s="32" t="n">
        <v>0</v>
      </c>
      <c r="U37" s="32" t="n">
        <v>0</v>
      </c>
      <c r="V37" s="32"/>
      <c r="W37" s="32"/>
      <c r="X37" s="125" t="n">
        <v>34.9</v>
      </c>
      <c r="Y37" s="125" t="n">
        <v>34.1</v>
      </c>
      <c r="Z37" s="32" t="n">
        <v>2.39</v>
      </c>
      <c r="AA37" s="32" t="n">
        <v>2.34</v>
      </c>
      <c r="AB37" s="125" t="n">
        <v>21.3</v>
      </c>
      <c r="AC37" s="125" t="n">
        <v>20.8</v>
      </c>
      <c r="AD37" s="124"/>
      <c r="AE37" s="124"/>
      <c r="AF37" s="124"/>
      <c r="AG37" s="124"/>
      <c r="AH37" s="124"/>
      <c r="AI37" s="124"/>
      <c r="AJ37" s="124"/>
      <c r="AK37" s="124"/>
      <c r="AL37" s="124"/>
      <c r="AM37" s="124"/>
      <c r="AN37" s="124"/>
      <c r="AO37" s="124"/>
      <c r="AP37" s="124"/>
      <c r="AQ37" s="124"/>
      <c r="AR37" s="124"/>
      <c r="AS37" s="124"/>
      <c r="AT37" s="124"/>
      <c r="AU37" s="124"/>
      <c r="AV37" s="124"/>
      <c r="AW37" s="124"/>
      <c r="AX37" s="124"/>
      <c r="AY37" s="124"/>
      <c r="AZ37" s="124"/>
      <c r="BA37" s="124"/>
      <c r="BB37" s="136"/>
    </row>
    <row r="38" customFormat="false" ht="15.6" hidden="false" customHeight="false" outlineLevel="0" collapsed="false">
      <c r="A38" s="111" t="n">
        <f aca="false">IF(ISBLANK(VLOOKUP(D38,#REF!,3)),0,1)</f>
        <v>1</v>
      </c>
      <c r="B38" s="112" t="n">
        <f aca="false">IF(ISBLANK(D38),0,IF(ISBLANK(E38),0,IF(ISBLANK(F38),0,1)))</f>
        <v>0</v>
      </c>
      <c r="C38" s="128" t="n">
        <v>4</v>
      </c>
      <c r="D38" s="138"/>
      <c r="E38" s="138"/>
      <c r="F38" s="139"/>
      <c r="G38" s="117" t="n">
        <v>35.6102</v>
      </c>
      <c r="H38" s="131" t="n">
        <v>100</v>
      </c>
      <c r="I38" s="119" t="n">
        <v>101.8</v>
      </c>
      <c r="J38" s="132"/>
      <c r="K38" s="133"/>
      <c r="L38" s="133"/>
      <c r="M38" s="133"/>
      <c r="N38" s="134"/>
      <c r="O38" s="133"/>
      <c r="P38" s="171" t="n">
        <v>2.683</v>
      </c>
      <c r="Q38" s="132"/>
      <c r="R38" s="132"/>
      <c r="S38" s="172" t="n">
        <v>116.7</v>
      </c>
      <c r="T38" s="32" t="n">
        <v>0</v>
      </c>
      <c r="U38" s="32" t="n">
        <v>0</v>
      </c>
      <c r="V38" s="32"/>
      <c r="W38" s="32"/>
      <c r="X38" s="125" t="n">
        <v>19.1</v>
      </c>
      <c r="Y38" s="125" t="n">
        <v>18.6</v>
      </c>
      <c r="Z38" s="32" t="n">
        <v>1.42</v>
      </c>
      <c r="AA38" s="32" t="n">
        <v>1.38</v>
      </c>
      <c r="AB38" s="125" t="n">
        <v>6.8</v>
      </c>
      <c r="AC38" s="125" t="n">
        <v>6.6</v>
      </c>
      <c r="AD38" s="124"/>
      <c r="AE38" s="124"/>
      <c r="AF38" s="124"/>
      <c r="AG38" s="124"/>
      <c r="AH38" s="124"/>
      <c r="AI38" s="124"/>
      <c r="AJ38" s="124"/>
      <c r="AK38" s="124"/>
      <c r="AL38" s="124"/>
      <c r="AM38" s="124"/>
      <c r="AN38" s="124"/>
      <c r="AO38" s="124"/>
      <c r="AP38" s="124"/>
      <c r="AQ38" s="124"/>
      <c r="AR38" s="124"/>
      <c r="AS38" s="124"/>
      <c r="AT38" s="124"/>
      <c r="AU38" s="124"/>
      <c r="AV38" s="124"/>
      <c r="AW38" s="124"/>
      <c r="AX38" s="124"/>
      <c r="AY38" s="124"/>
      <c r="AZ38" s="124"/>
      <c r="BA38" s="124"/>
      <c r="BB38" s="136"/>
    </row>
    <row r="39" customFormat="false" ht="15.6" hidden="false" customHeight="false" outlineLevel="0" collapsed="false">
      <c r="A39" s="111" t="n">
        <f aca="false">IF(ISBLANK(VLOOKUP(D39,#REF!,3)),0,1)</f>
        <v>1</v>
      </c>
      <c r="B39" s="112" t="n">
        <f aca="false">IF(ISBLANK(D39),0,IF(ISBLANK(E39),0,IF(ISBLANK(F39),0,1)))</f>
        <v>0</v>
      </c>
      <c r="C39" s="128" t="n">
        <v>5</v>
      </c>
      <c r="D39" s="129"/>
      <c r="E39" s="129"/>
      <c r="F39" s="137"/>
      <c r="G39" s="117"/>
      <c r="H39" s="131" t="n">
        <v>80</v>
      </c>
      <c r="I39" s="119"/>
      <c r="J39" s="132"/>
      <c r="K39" s="133"/>
      <c r="L39" s="133"/>
      <c r="M39" s="133"/>
      <c r="N39" s="134"/>
      <c r="O39" s="133"/>
      <c r="P39" s="171"/>
      <c r="Q39" s="132"/>
      <c r="R39" s="132"/>
      <c r="S39" s="172"/>
      <c r="T39" s="32" t="n">
        <v>0.01</v>
      </c>
      <c r="U39" s="32" t="n">
        <v>0.01</v>
      </c>
      <c r="V39" s="32"/>
      <c r="W39" s="32"/>
      <c r="X39" s="125" t="n">
        <v>19.1</v>
      </c>
      <c r="Y39" s="125" t="n">
        <v>18.7</v>
      </c>
      <c r="Z39" s="32" t="n">
        <v>1.39</v>
      </c>
      <c r="AA39" s="32" t="n">
        <v>1.36</v>
      </c>
      <c r="AB39" s="125" t="n">
        <v>6.5</v>
      </c>
      <c r="AC39" s="125" t="n">
        <v>6.4</v>
      </c>
      <c r="AD39" s="140"/>
      <c r="AE39" s="140"/>
      <c r="AF39" s="140"/>
      <c r="AG39" s="140"/>
      <c r="AH39" s="140"/>
      <c r="AI39" s="140"/>
      <c r="AJ39" s="140"/>
      <c r="AK39" s="140"/>
      <c r="AL39" s="140"/>
      <c r="AM39" s="140"/>
      <c r="AN39" s="140"/>
      <c r="AO39" s="140"/>
      <c r="AP39" s="140"/>
      <c r="AQ39" s="140"/>
      <c r="AR39" s="140"/>
      <c r="AS39" s="140"/>
      <c r="AT39" s="140"/>
      <c r="AU39" s="140"/>
      <c r="AV39" s="140"/>
      <c r="AW39" s="140"/>
      <c r="AX39" s="140"/>
      <c r="AY39" s="140"/>
      <c r="AZ39" s="140"/>
      <c r="BA39" s="140"/>
      <c r="BB39" s="141"/>
    </row>
    <row r="40" customFormat="false" ht="15.6" hidden="false" customHeight="false" outlineLevel="0" collapsed="false">
      <c r="A40" s="111" t="n">
        <f aca="false">IF(ISBLANK(VLOOKUP(D40,#REF!,3)),0,1)</f>
        <v>1</v>
      </c>
      <c r="B40" s="112" t="n">
        <f aca="false">IF(ISBLANK(D40),0,IF(ISBLANK(E40),0,IF(ISBLANK(F40),0,1)))</f>
        <v>0</v>
      </c>
      <c r="C40" s="128" t="n">
        <v>6</v>
      </c>
      <c r="D40" s="129"/>
      <c r="E40" s="129"/>
      <c r="F40" s="137"/>
      <c r="G40" s="117"/>
      <c r="H40" s="131" t="n">
        <v>60</v>
      </c>
      <c r="I40" s="119"/>
      <c r="J40" s="132"/>
      <c r="K40" s="133"/>
      <c r="L40" s="133"/>
      <c r="M40" s="133"/>
      <c r="N40" s="134"/>
      <c r="O40" s="133"/>
      <c r="P40" s="171"/>
      <c r="Q40" s="132"/>
      <c r="R40" s="132"/>
      <c r="S40" s="172"/>
      <c r="T40" s="32" t="n">
        <v>0.04</v>
      </c>
      <c r="U40" s="32" t="n">
        <v>0.04</v>
      </c>
      <c r="V40" s="32"/>
      <c r="W40" s="32"/>
      <c r="X40" s="125" t="n">
        <v>18.7</v>
      </c>
      <c r="Y40" s="125" t="n">
        <v>18.2</v>
      </c>
      <c r="Z40" s="32" t="n">
        <v>1.35</v>
      </c>
      <c r="AA40" s="32" t="n">
        <v>1.32</v>
      </c>
      <c r="AB40" s="125" t="n">
        <v>6.1</v>
      </c>
      <c r="AC40" s="125" t="n">
        <v>6</v>
      </c>
      <c r="AD40" s="140"/>
      <c r="AE40" s="140"/>
      <c r="AF40" s="140"/>
      <c r="AG40" s="140"/>
      <c r="AH40" s="140"/>
      <c r="AI40" s="140"/>
      <c r="AJ40" s="140"/>
      <c r="AK40" s="140"/>
      <c r="AL40" s="140"/>
      <c r="AM40" s="140"/>
      <c r="AN40" s="140"/>
      <c r="AO40" s="140"/>
      <c r="AP40" s="140"/>
      <c r="AQ40" s="140"/>
      <c r="AR40" s="140"/>
      <c r="AS40" s="140"/>
      <c r="AT40" s="140"/>
      <c r="AU40" s="140"/>
      <c r="AV40" s="140"/>
      <c r="AW40" s="140"/>
      <c r="AX40" s="140"/>
      <c r="AY40" s="140"/>
      <c r="AZ40" s="140"/>
      <c r="BA40" s="140"/>
      <c r="BB40" s="141"/>
    </row>
    <row r="41" customFormat="false" ht="15.6" hidden="false" customHeight="false" outlineLevel="0" collapsed="false">
      <c r="A41" s="111" t="n">
        <f aca="false">IF(ISBLANK(VLOOKUP(D41,#REF!,3)),0,1)</f>
        <v>1</v>
      </c>
      <c r="B41" s="112" t="n">
        <f aca="false">IF(ISBLANK(D41),0,IF(ISBLANK(E41),0,IF(ISBLANK(F41),0,1)))</f>
        <v>0</v>
      </c>
      <c r="C41" s="128" t="n">
        <v>7</v>
      </c>
      <c r="D41" s="129"/>
      <c r="E41" s="129"/>
      <c r="F41" s="137"/>
      <c r="G41" s="117"/>
      <c r="H41" s="131" t="n">
        <v>40</v>
      </c>
      <c r="I41" s="119"/>
      <c r="J41" s="132"/>
      <c r="K41" s="133"/>
      <c r="L41" s="133"/>
      <c r="M41" s="133"/>
      <c r="N41" s="134"/>
      <c r="O41" s="133"/>
      <c r="P41" s="171"/>
      <c r="Q41" s="132"/>
      <c r="R41" s="132"/>
      <c r="S41" s="172"/>
      <c r="T41" s="32" t="n">
        <v>0.19</v>
      </c>
      <c r="U41" s="32" t="n">
        <v>0.18</v>
      </c>
      <c r="V41" s="32"/>
      <c r="W41" s="32"/>
      <c r="X41" s="125" t="n">
        <v>15.1</v>
      </c>
      <c r="Y41" s="125" t="n">
        <v>14.8</v>
      </c>
      <c r="Z41" s="32" t="n">
        <v>1.16</v>
      </c>
      <c r="AA41" s="32" t="n">
        <v>1.13</v>
      </c>
      <c r="AB41" s="125" t="n">
        <v>5.6</v>
      </c>
      <c r="AC41" s="125" t="n">
        <v>5.5</v>
      </c>
      <c r="AD41" s="140"/>
      <c r="AE41" s="140"/>
      <c r="AF41" s="140"/>
      <c r="AG41" s="140"/>
      <c r="AH41" s="140"/>
      <c r="AI41" s="140"/>
      <c r="AJ41" s="140"/>
      <c r="AK41" s="140"/>
      <c r="AL41" s="140"/>
      <c r="AM41" s="140"/>
      <c r="AN41" s="140"/>
      <c r="AO41" s="140"/>
      <c r="AP41" s="140"/>
      <c r="AQ41" s="140"/>
      <c r="AR41" s="140"/>
      <c r="AS41" s="140"/>
      <c r="AT41" s="140"/>
      <c r="AU41" s="140"/>
      <c r="AV41" s="140"/>
      <c r="AW41" s="140"/>
      <c r="AX41" s="140"/>
      <c r="AY41" s="140"/>
      <c r="AZ41" s="140"/>
      <c r="BA41" s="140"/>
      <c r="BB41" s="141"/>
    </row>
    <row r="42" customFormat="false" ht="15.6" hidden="false" customHeight="false" outlineLevel="0" collapsed="false">
      <c r="A42" s="111" t="n">
        <f aca="false">IF(ISBLANK(VLOOKUP(D42,#REF!,3)),0,1)</f>
        <v>1</v>
      </c>
      <c r="B42" s="112" t="n">
        <f aca="false">IF(ISBLANK(D42),0,IF(ISBLANK(E42),0,IF(ISBLANK(F42),0,1)))</f>
        <v>0</v>
      </c>
      <c r="C42" s="128" t="n">
        <v>8</v>
      </c>
      <c r="D42" s="129"/>
      <c r="E42" s="129"/>
      <c r="F42" s="137"/>
      <c r="G42" s="117"/>
      <c r="H42" s="131" t="n">
        <v>20</v>
      </c>
      <c r="I42" s="119"/>
      <c r="J42" s="132"/>
      <c r="K42" s="133"/>
      <c r="L42" s="133"/>
      <c r="M42" s="133"/>
      <c r="N42" s="134"/>
      <c r="O42" s="133"/>
      <c r="P42" s="171"/>
      <c r="Q42" s="132"/>
      <c r="R42" s="132"/>
      <c r="S42" s="172"/>
      <c r="T42" s="32" t="n">
        <v>0.18</v>
      </c>
      <c r="U42" s="32" t="n">
        <v>0.17</v>
      </c>
      <c r="V42" s="32"/>
      <c r="W42" s="32"/>
      <c r="X42" s="125" t="n">
        <v>8.8</v>
      </c>
      <c r="Y42" s="125" t="n">
        <v>8.6</v>
      </c>
      <c r="Z42" s="32" t="n">
        <v>0.79</v>
      </c>
      <c r="AA42" s="32" t="n">
        <v>0.77</v>
      </c>
      <c r="AB42" s="125" t="n">
        <v>3.7</v>
      </c>
      <c r="AC42" s="125" t="n">
        <v>3.6</v>
      </c>
      <c r="AD42" s="140"/>
      <c r="AE42" s="140"/>
      <c r="AF42" s="140"/>
      <c r="AG42" s="140"/>
      <c r="AH42" s="140"/>
      <c r="AI42" s="140"/>
      <c r="AJ42" s="140"/>
      <c r="AK42" s="140"/>
      <c r="AL42" s="140"/>
      <c r="AM42" s="140"/>
      <c r="AN42" s="140"/>
      <c r="AO42" s="140"/>
      <c r="AP42" s="140"/>
      <c r="AQ42" s="140"/>
      <c r="AR42" s="140"/>
      <c r="AS42" s="140"/>
      <c r="AT42" s="140"/>
      <c r="AU42" s="140"/>
      <c r="AV42" s="140"/>
      <c r="AW42" s="140"/>
      <c r="AX42" s="140"/>
      <c r="AY42" s="140"/>
      <c r="AZ42" s="140"/>
      <c r="BA42" s="140"/>
      <c r="BB42" s="141"/>
    </row>
    <row r="43" customFormat="false" ht="15.6" hidden="false" customHeight="false" outlineLevel="0" collapsed="false">
      <c r="A43" s="111" t="n">
        <f aca="false">IF(ISBLANK(VLOOKUP(D43,#REF!,3)),0,1)</f>
        <v>1</v>
      </c>
      <c r="B43" s="112" t="n">
        <f aca="false">IF(ISBLANK(D43),0,IF(ISBLANK(E43),0,IF(ISBLANK(F43),0,1)))</f>
        <v>0</v>
      </c>
      <c r="C43" s="128" t="n">
        <v>9</v>
      </c>
      <c r="D43" s="129"/>
      <c r="E43" s="129"/>
      <c r="F43" s="137"/>
      <c r="G43" s="117"/>
      <c r="H43" s="131" t="n">
        <v>10</v>
      </c>
      <c r="I43" s="119"/>
      <c r="J43" s="132"/>
      <c r="K43" s="133"/>
      <c r="L43" s="133"/>
      <c r="M43" s="133"/>
      <c r="N43" s="134"/>
      <c r="O43" s="133"/>
      <c r="P43" s="171"/>
      <c r="Q43" s="132"/>
      <c r="R43" s="132"/>
      <c r="S43" s="172"/>
      <c r="T43" s="32" t="n">
        <v>0.03</v>
      </c>
      <c r="U43" s="32" t="n">
        <v>0.03</v>
      </c>
      <c r="V43" s="32"/>
      <c r="W43" s="32"/>
      <c r="X43" s="125" t="n">
        <v>2.7</v>
      </c>
      <c r="Y43" s="125" t="n">
        <v>2.6</v>
      </c>
      <c r="Z43" s="32" t="n">
        <v>0.41</v>
      </c>
      <c r="AA43" s="32" t="n">
        <v>0.4</v>
      </c>
      <c r="AB43" s="125" t="n">
        <v>1.8</v>
      </c>
      <c r="AC43" s="125" t="n">
        <v>1.8</v>
      </c>
      <c r="AD43" s="140"/>
      <c r="AE43" s="140"/>
      <c r="AF43" s="140"/>
      <c r="AG43" s="140"/>
      <c r="AH43" s="140"/>
      <c r="AI43" s="140"/>
      <c r="AJ43" s="140"/>
      <c r="AK43" s="140"/>
      <c r="AL43" s="140"/>
      <c r="AM43" s="140"/>
      <c r="AN43" s="140"/>
      <c r="AO43" s="140"/>
      <c r="AP43" s="140"/>
      <c r="AQ43" s="140"/>
      <c r="AR43" s="140"/>
      <c r="AS43" s="140"/>
      <c r="AT43" s="140"/>
      <c r="AU43" s="140"/>
      <c r="AV43" s="140"/>
      <c r="AW43" s="140"/>
      <c r="AX43" s="140"/>
      <c r="AY43" s="140"/>
      <c r="AZ43" s="140"/>
      <c r="BA43" s="140"/>
      <c r="BB43" s="141"/>
    </row>
    <row r="44" customFormat="false" ht="15.6" hidden="false" customHeight="false" outlineLevel="0" collapsed="false">
      <c r="A44" s="111" t="n">
        <f aca="false">IF(ISBLANK(VLOOKUP(D44,#REF!,3)),0,1)</f>
        <v>1</v>
      </c>
      <c r="B44" s="112" t="n">
        <f aca="false">IF(ISBLANK(D44),0,IF(ISBLANK(E44),0,IF(ISBLANK(F44),0,1)))</f>
        <v>0</v>
      </c>
      <c r="C44" s="128" t="n">
        <v>10</v>
      </c>
      <c r="D44" s="129"/>
      <c r="E44" s="129"/>
      <c r="F44" s="137"/>
      <c r="G44" s="117" t="n">
        <v>35.8055</v>
      </c>
      <c r="H44" s="131" t="n">
        <v>0</v>
      </c>
      <c r="I44" s="119" t="n">
        <v>2.2</v>
      </c>
      <c r="J44" s="132"/>
      <c r="K44" s="133"/>
      <c r="L44" s="133"/>
      <c r="M44" s="133"/>
      <c r="N44" s="134"/>
      <c r="O44" s="133"/>
      <c r="P44" s="171" t="n">
        <v>4.74</v>
      </c>
      <c r="Q44" s="132"/>
      <c r="R44" s="132"/>
      <c r="S44" s="172" t="n">
        <v>206.6</v>
      </c>
      <c r="T44" s="32" t="n">
        <v>0.02</v>
      </c>
      <c r="U44" s="32" t="n">
        <v>0.02</v>
      </c>
      <c r="V44" s="32"/>
      <c r="W44" s="32"/>
      <c r="X44" s="125" t="n">
        <v>2.5</v>
      </c>
      <c r="Y44" s="125" t="n">
        <v>2.4</v>
      </c>
      <c r="Z44" s="32" t="n">
        <v>0.39</v>
      </c>
      <c r="AA44" s="32" t="n">
        <v>0.38</v>
      </c>
      <c r="AB44" s="125" t="n">
        <v>1.8</v>
      </c>
      <c r="AC44" s="125" t="n">
        <v>1.8</v>
      </c>
      <c r="AD44" s="124"/>
      <c r="AE44" s="124"/>
      <c r="AF44" s="124"/>
      <c r="AG44" s="124"/>
      <c r="AH44" s="124"/>
      <c r="AI44" s="124"/>
      <c r="AJ44" s="124"/>
      <c r="AK44" s="124"/>
      <c r="AL44" s="124"/>
      <c r="AM44" s="124"/>
      <c r="AN44" s="124"/>
      <c r="AO44" s="124"/>
      <c r="AP44" s="124"/>
      <c r="AQ44" s="124"/>
      <c r="AR44" s="124"/>
      <c r="AS44" s="124"/>
      <c r="AT44" s="124"/>
      <c r="AU44" s="124"/>
      <c r="AV44" s="124"/>
      <c r="AW44" s="124"/>
      <c r="AX44" s="124"/>
      <c r="AY44" s="124"/>
      <c r="AZ44" s="124"/>
      <c r="BA44" s="124"/>
      <c r="BB44" s="136"/>
    </row>
    <row r="45" customFormat="false" ht="15.6" hidden="false" customHeight="false" outlineLevel="0" collapsed="false">
      <c r="A45" s="111" t="n">
        <f aca="false">IF(ISBLANK(VLOOKUP(D45,#REF!,3)),0,1)</f>
        <v>1</v>
      </c>
      <c r="B45" s="112" t="n">
        <f aca="false">IF(ISBLANK(D45),0,IF(ISBLANK(E45),0,IF(ISBLANK(F45),0,1)))</f>
        <v>0</v>
      </c>
      <c r="C45" s="128" t="n">
        <v>11</v>
      </c>
      <c r="D45" s="129"/>
      <c r="E45" s="129"/>
      <c r="F45" s="137"/>
      <c r="G45" s="117" t="n">
        <v>35.8058</v>
      </c>
      <c r="H45" s="131" t="n">
        <v>0</v>
      </c>
      <c r="I45" s="119" t="n">
        <v>2.3</v>
      </c>
      <c r="J45" s="132"/>
      <c r="K45" s="133"/>
      <c r="L45" s="133"/>
      <c r="M45" s="133"/>
      <c r="N45" s="134"/>
      <c r="O45" s="133"/>
      <c r="P45" s="171" t="n">
        <v>4.744</v>
      </c>
      <c r="Q45" s="125" t="s">
        <v>99</v>
      </c>
      <c r="R45" s="125" t="s">
        <v>99</v>
      </c>
      <c r="S45" s="172" t="n">
        <v>206.8</v>
      </c>
      <c r="T45" s="32" t="n">
        <v>0.01</v>
      </c>
      <c r="U45" s="32" t="n">
        <v>0.01</v>
      </c>
      <c r="V45" s="32"/>
      <c r="W45" s="32"/>
      <c r="X45" s="125" t="n">
        <v>2.4</v>
      </c>
      <c r="Y45" s="125" t="n">
        <v>2.4</v>
      </c>
      <c r="Z45" s="32" t="n">
        <v>0.55</v>
      </c>
      <c r="AA45" s="32" t="n">
        <v>0.54</v>
      </c>
      <c r="AB45" s="125" t="n">
        <v>2</v>
      </c>
      <c r="AC45" s="125" t="n">
        <v>1.9</v>
      </c>
      <c r="AD45" s="124"/>
      <c r="AE45" s="124"/>
      <c r="AF45" s="124"/>
      <c r="AG45" s="124"/>
      <c r="AH45" s="124"/>
      <c r="AI45" s="124"/>
      <c r="AJ45" s="124"/>
      <c r="AK45" s="124"/>
      <c r="AL45" s="124"/>
      <c r="AM45" s="124"/>
      <c r="AN45" s="124"/>
      <c r="AO45" s="124"/>
      <c r="AP45" s="124"/>
      <c r="AQ45" s="124"/>
      <c r="AR45" s="124"/>
      <c r="AS45" s="124"/>
      <c r="AT45" s="124"/>
      <c r="AU45" s="124"/>
      <c r="AV45" s="124"/>
      <c r="AW45" s="124"/>
      <c r="AX45" s="124"/>
      <c r="AY45" s="124"/>
      <c r="AZ45" s="124"/>
      <c r="BA45" s="124"/>
      <c r="BB45" s="136"/>
    </row>
    <row r="46" customFormat="false" ht="15.6" hidden="false" customHeight="false" outlineLevel="0" collapsed="false">
      <c r="A46" s="111" t="n">
        <f aca="false">IF(ISBLANK(VLOOKUP(D46,#REF!,3)),0,1)</f>
        <v>1</v>
      </c>
      <c r="B46" s="112" t="n">
        <f aca="false">IF(ISBLANK(D46),0,IF(ISBLANK(E46),0,IF(ISBLANK(F46),0,1)))</f>
        <v>0</v>
      </c>
      <c r="C46" s="128" t="n">
        <v>12</v>
      </c>
      <c r="D46" s="142"/>
      <c r="E46" s="142"/>
      <c r="F46" s="143"/>
      <c r="G46" s="144"/>
      <c r="H46" s="142"/>
      <c r="I46" s="145"/>
      <c r="J46" s="132" t="str">
        <f aca="false">IF(ISBLANK(D46),"",IF(VLOOKUP(D46,#REF!,2)=0,"",IF(D46&gt;#REF!,"Mauvais numéro",IF(D46&lt;#REF!,"Mauvais numéro",(VLOOKUP(D46,#REF!,3))))))</f>
        <v/>
      </c>
      <c r="K46" s="146" t="str">
        <f aca="false">IF(ISBLANK(E46),"",(0.000824493-(0.0000040899*E46)+(0.000000076438*E46^2)-(0.00000000082467*E46^3)+(0.0000000000053875*E46^4)))</f>
        <v/>
      </c>
      <c r="L46" s="146" t="str">
        <f aca="false">IF(ISBLANK(E46),"",(-0.00000572466+(0.00000010227*E46)-(0.0000000016546*E46^2)))</f>
        <v/>
      </c>
      <c r="M46" s="146" t="str">
        <f aca="false">IF(ISBLANK(E46),"",IF(ISBLANK(G46),(O46+(K46*35)+(L46*35^1.5)+(0.00000048314*35^2)),(O46+(K46*G46)+(L46*G46^1.5)+(0.00000048314*G46^2))))</f>
        <v/>
      </c>
      <c r="N46" s="147" t="str">
        <f aca="false">IF(ISBLANK(D46),"",IF(ISBLANK(G46),J46*(1+0.00001*(35-20)),J46*(1+0.00001*(G46-20))))</f>
        <v/>
      </c>
      <c r="O46" s="146" t="str">
        <f aca="false">IF(ISBLANK(E46),"",(0.999842594+(0.00006793952*E46)-(0.00000909529*E46^2)+(0.0000001001685*E46^3)-(0.000000001120083*E46^4)+(0.000000000006536332*E46^5)))</f>
        <v/>
      </c>
      <c r="P46" s="148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49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0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0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24"/>
      <c r="U46" s="124"/>
      <c r="V46" s="124"/>
      <c r="W46" s="124"/>
      <c r="X46" s="124"/>
      <c r="Y46" s="124"/>
      <c r="Z46" s="124"/>
      <c r="AA46" s="124"/>
      <c r="AB46" s="124"/>
      <c r="AC46" s="124"/>
      <c r="AD46" s="124"/>
      <c r="AE46" s="124"/>
      <c r="AF46" s="124"/>
      <c r="AG46" s="124"/>
      <c r="AH46" s="124"/>
      <c r="AI46" s="124"/>
      <c r="AJ46" s="124"/>
      <c r="AK46" s="124"/>
      <c r="AL46" s="124"/>
      <c r="AM46" s="124"/>
      <c r="AN46" s="124"/>
      <c r="AO46" s="124"/>
      <c r="AP46" s="124"/>
      <c r="AQ46" s="124"/>
      <c r="AR46" s="124"/>
      <c r="AS46" s="124"/>
      <c r="AT46" s="124"/>
      <c r="AU46" s="124"/>
      <c r="AV46" s="124"/>
      <c r="AW46" s="124"/>
      <c r="AX46" s="124"/>
      <c r="AY46" s="124"/>
      <c r="AZ46" s="124"/>
      <c r="BA46" s="124"/>
      <c r="BB46" s="136"/>
    </row>
    <row r="47" customFormat="false" ht="15.6" hidden="false" customHeight="false" outlineLevel="0" collapsed="false">
      <c r="A47" s="111" t="n">
        <f aca="false">IF(ISBLANK(VLOOKUP(D47,#REF!,3)),0,1)</f>
        <v>1</v>
      </c>
      <c r="B47" s="112" t="n">
        <f aca="false">IF(ISBLANK(D47),0,IF(ISBLANK(E47),0,IF(ISBLANK(F47),0,1)))</f>
        <v>0</v>
      </c>
      <c r="C47" s="128" t="n">
        <v>13</v>
      </c>
      <c r="D47" s="151"/>
      <c r="E47" s="151"/>
      <c r="F47" s="152"/>
      <c r="G47" s="153"/>
      <c r="H47" s="151"/>
      <c r="I47" s="151"/>
      <c r="J47" s="132" t="str">
        <f aca="false">IF(ISBLANK(D47),"",IF(VLOOKUP(D47,#REF!,2)=0,"",IF(D47&gt;#REF!,"Mauvais numéro",IF(D47&lt;#REF!,"Mauvais numéro",(VLOOKUP(D47,#REF!,3))))))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54"/>
      <c r="Q47" s="149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5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4"/>
      <c r="T47" s="124"/>
      <c r="U47" s="124"/>
      <c r="V47" s="124"/>
      <c r="W47" s="124"/>
      <c r="X47" s="12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24"/>
      <c r="AJ47" s="124"/>
      <c r="AK47" s="124"/>
      <c r="AL47" s="124"/>
      <c r="AM47" s="124"/>
      <c r="AN47" s="124"/>
      <c r="AO47" s="124"/>
      <c r="AP47" s="124"/>
      <c r="AQ47" s="124"/>
      <c r="AR47" s="124"/>
      <c r="AS47" s="124"/>
      <c r="AT47" s="124"/>
      <c r="AU47" s="124"/>
      <c r="AV47" s="124"/>
      <c r="AW47" s="124"/>
      <c r="AX47" s="124"/>
      <c r="AY47" s="124"/>
      <c r="AZ47" s="124"/>
      <c r="BA47" s="124"/>
      <c r="BB47" s="136"/>
    </row>
    <row r="48" customFormat="false" ht="15.6" hidden="false" customHeight="false" outlineLevel="0" collapsed="false">
      <c r="A48" s="111" t="n">
        <f aca="false">IF(ISBLANK(VLOOKUP(D48,#REF!,3)),0,1)</f>
        <v>1</v>
      </c>
      <c r="B48" s="112" t="n">
        <f aca="false">IF(ISBLANK(D48),0,IF(ISBLANK(E48),0,IF(ISBLANK(F48),0,1)))</f>
        <v>0</v>
      </c>
      <c r="C48" s="128" t="n">
        <v>14</v>
      </c>
      <c r="D48" s="151"/>
      <c r="E48" s="151"/>
      <c r="F48" s="152"/>
      <c r="G48" s="153"/>
      <c r="H48" s="151"/>
      <c r="I48" s="151"/>
      <c r="J48" s="132" t="str">
        <f aca="false">IF(ISBLANK(D48),"",IF(VLOOKUP(D48,#REF!,2)=0,"",IF(D48&gt;#REF!,"Mauvais numéro",IF(D48&lt;#REF!,"Mauvais numéro",(VLOOKUP(D48,#REF!,3))))))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54"/>
      <c r="Q48" s="149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5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4"/>
      <c r="T48" s="124"/>
      <c r="U48" s="124"/>
      <c r="V48" s="124"/>
      <c r="W48" s="124"/>
      <c r="X48" s="124"/>
      <c r="Y48" s="124"/>
      <c r="Z48" s="124"/>
      <c r="AA48" s="124"/>
      <c r="AB48" s="124"/>
      <c r="AC48" s="124"/>
      <c r="AD48" s="124"/>
      <c r="AE48" s="124"/>
      <c r="AF48" s="124"/>
      <c r="AG48" s="124"/>
      <c r="AH48" s="124"/>
      <c r="AI48" s="124"/>
      <c r="AJ48" s="124"/>
      <c r="AK48" s="124"/>
      <c r="AL48" s="124"/>
      <c r="AM48" s="124"/>
      <c r="AN48" s="124"/>
      <c r="AO48" s="124"/>
      <c r="AP48" s="124"/>
      <c r="AQ48" s="124"/>
      <c r="AR48" s="124"/>
      <c r="AS48" s="124"/>
      <c r="AT48" s="124"/>
      <c r="AU48" s="124"/>
      <c r="AV48" s="124"/>
      <c r="AW48" s="124"/>
      <c r="AX48" s="124"/>
      <c r="AY48" s="124"/>
      <c r="AZ48" s="124"/>
      <c r="BA48" s="124"/>
      <c r="BB48" s="136"/>
    </row>
    <row r="49" customFormat="false" ht="15.6" hidden="false" customHeight="false" outlineLevel="0" collapsed="false">
      <c r="A49" s="111" t="n">
        <f aca="false">IF(ISBLANK(VLOOKUP(D49,#REF!,3)),0,1)</f>
        <v>1</v>
      </c>
      <c r="B49" s="112" t="n">
        <f aca="false">IF(ISBLANK(D49),0,IF(ISBLANK(E49),0,IF(ISBLANK(F49),0,1)))</f>
        <v>0</v>
      </c>
      <c r="C49" s="128" t="n">
        <v>15</v>
      </c>
      <c r="D49" s="151"/>
      <c r="E49" s="151"/>
      <c r="F49" s="152"/>
      <c r="G49" s="156"/>
      <c r="H49" s="151"/>
      <c r="I49" s="151"/>
      <c r="J49" s="132" t="str">
        <f aca="false">IF(ISBLANK(D49),"",IF(VLOOKUP(D49,#REF!,2)=0,"",IF(D49&gt;#REF!,"Mauvais numéro",IF(D49&lt;#REF!,"Mauvais numéro",(VLOOKUP(D49,#REF!,3))))))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57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49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24"/>
      <c r="AE49" s="124"/>
      <c r="AF49" s="124"/>
      <c r="AG49" s="124"/>
      <c r="AH49" s="124"/>
      <c r="AI49" s="124"/>
      <c r="AJ49" s="124"/>
      <c r="AK49" s="124"/>
      <c r="AL49" s="124"/>
      <c r="AM49" s="124"/>
      <c r="AN49" s="124"/>
      <c r="AO49" s="124"/>
      <c r="AP49" s="124"/>
      <c r="AQ49" s="124"/>
      <c r="AR49" s="124"/>
      <c r="AS49" s="124"/>
      <c r="AT49" s="124"/>
      <c r="AU49" s="124"/>
      <c r="AV49" s="124"/>
      <c r="AW49" s="124"/>
      <c r="AX49" s="124"/>
      <c r="AY49" s="124"/>
      <c r="AZ49" s="124"/>
      <c r="BA49" s="124"/>
      <c r="BB49" s="136"/>
    </row>
    <row r="50" customFormat="false" ht="15.6" hidden="false" customHeight="false" outlineLevel="0" collapsed="false">
      <c r="A50" s="111" t="n">
        <f aca="false">IF(ISBLANK(VLOOKUP(D50,#REF!,3)),0,1)</f>
        <v>1</v>
      </c>
      <c r="B50" s="112" t="n">
        <f aca="false">IF(ISBLANK(D50),0,IF(ISBLANK(E50),0,IF(ISBLANK(F50),0,1)))</f>
        <v>0</v>
      </c>
      <c r="C50" s="128" t="n">
        <v>16</v>
      </c>
      <c r="D50" s="151"/>
      <c r="E50" s="151"/>
      <c r="F50" s="152"/>
      <c r="G50" s="156"/>
      <c r="H50" s="151"/>
      <c r="I50" s="151"/>
      <c r="J50" s="132" t="str">
        <f aca="false">IF(ISBLANK(D50),"",IF(VLOOKUP(D50,#REF!,2)=0,"",IF(D50&gt;#REF!,"Mauvais numéro",IF(D50&lt;#REF!,"Mauvais numéro",(VLOOKUP(D50,#REF!,3))))))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57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49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24"/>
      <c r="U50" s="124"/>
      <c r="V50" s="124"/>
      <c r="W50" s="124"/>
      <c r="X50" s="124"/>
      <c r="Y50" s="124"/>
      <c r="Z50" s="124"/>
      <c r="AA50" s="124"/>
      <c r="AB50" s="124"/>
      <c r="AC50" s="124"/>
      <c r="AD50" s="124"/>
      <c r="AE50" s="124"/>
      <c r="AF50" s="124"/>
      <c r="AG50" s="124"/>
      <c r="AH50" s="124"/>
      <c r="AI50" s="124"/>
      <c r="AJ50" s="124"/>
      <c r="AK50" s="124"/>
      <c r="AL50" s="124"/>
      <c r="AM50" s="124"/>
      <c r="AN50" s="124"/>
      <c r="AO50" s="124"/>
      <c r="AP50" s="124"/>
      <c r="AQ50" s="124"/>
      <c r="AR50" s="124"/>
      <c r="AS50" s="124"/>
      <c r="AT50" s="124"/>
      <c r="AU50" s="124"/>
      <c r="AV50" s="124"/>
      <c r="AW50" s="124"/>
      <c r="AX50" s="124"/>
      <c r="AY50" s="124"/>
      <c r="AZ50" s="124"/>
      <c r="BA50" s="124"/>
      <c r="BB50" s="136"/>
    </row>
    <row r="51" customFormat="false" ht="15.6" hidden="false" customHeight="false" outlineLevel="0" collapsed="false">
      <c r="A51" s="111" t="n">
        <f aca="false">IF(ISBLANK(VLOOKUP(D51,#REF!,3)),0,1)</f>
        <v>1</v>
      </c>
      <c r="B51" s="112" t="n">
        <f aca="false">IF(ISBLANK(D51),0,IF(ISBLANK(E51),0,IF(ISBLANK(F51),0,1)))</f>
        <v>0</v>
      </c>
      <c r="C51" s="128" t="n">
        <v>17</v>
      </c>
      <c r="D51" s="151"/>
      <c r="E51" s="151"/>
      <c r="F51" s="152"/>
      <c r="G51" s="156"/>
      <c r="H51" s="151"/>
      <c r="I51" s="151"/>
      <c r="J51" s="132" t="str">
        <f aca="false">IF(ISBLANK(D51),"",IF(VLOOKUP(D51,#REF!,2)=0,"",IF(D51&gt;#REF!,"Mauvais numéro",IF(D51&lt;#REF!,"Mauvais numéro",(VLOOKUP(D51,#REF!,3))))))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57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49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24"/>
      <c r="AE51" s="124"/>
      <c r="AF51" s="124"/>
      <c r="AG51" s="124"/>
      <c r="AH51" s="124"/>
      <c r="AI51" s="124"/>
      <c r="AJ51" s="124"/>
      <c r="AK51" s="124"/>
      <c r="AL51" s="124"/>
      <c r="AM51" s="124"/>
      <c r="AN51" s="124"/>
      <c r="AO51" s="124"/>
      <c r="AP51" s="124"/>
      <c r="AQ51" s="124"/>
      <c r="AR51" s="124"/>
      <c r="AS51" s="124"/>
      <c r="AT51" s="124"/>
      <c r="AU51" s="124"/>
      <c r="AV51" s="124"/>
      <c r="AW51" s="124"/>
      <c r="AX51" s="124"/>
      <c r="AY51" s="124"/>
      <c r="AZ51" s="124"/>
      <c r="BA51" s="124"/>
      <c r="BB51" s="136"/>
    </row>
    <row r="52" customFormat="false" ht="15.6" hidden="false" customHeight="false" outlineLevel="0" collapsed="false">
      <c r="A52" s="111" t="n">
        <f aca="false">IF(ISBLANK(VLOOKUP(D52,#REF!,3)),0,1)</f>
        <v>1</v>
      </c>
      <c r="B52" s="112" t="n">
        <f aca="false">IF(ISBLANK(D52),0,IF(ISBLANK(E52),0,IF(ISBLANK(F52),0,1)))</f>
        <v>0</v>
      </c>
      <c r="C52" s="128" t="n">
        <v>18</v>
      </c>
      <c r="D52" s="151"/>
      <c r="E52" s="151"/>
      <c r="F52" s="152"/>
      <c r="G52" s="156"/>
      <c r="H52" s="151"/>
      <c r="I52" s="151"/>
      <c r="J52" s="132" t="str">
        <f aca="false">IF(ISBLANK(D52),"",IF(VLOOKUP(D52,#REF!,2)=0,"",IF(D52&gt;#REF!,"Mauvais numéro",IF(D52&lt;#REF!,"Mauvais numéro",(VLOOKUP(D52,#REF!,3))))))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57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49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24"/>
      <c r="U52" s="124"/>
      <c r="V52" s="124"/>
      <c r="W52" s="124"/>
      <c r="X52" s="124"/>
      <c r="Y52" s="124"/>
      <c r="Z52" s="124"/>
      <c r="AA52" s="124"/>
      <c r="AB52" s="124"/>
      <c r="AC52" s="124"/>
      <c r="AD52" s="124"/>
      <c r="AE52" s="124"/>
      <c r="AF52" s="124"/>
      <c r="AG52" s="124"/>
      <c r="AH52" s="124"/>
      <c r="AI52" s="124"/>
      <c r="AJ52" s="124"/>
      <c r="AK52" s="124"/>
      <c r="AL52" s="124"/>
      <c r="AM52" s="124"/>
      <c r="AN52" s="124"/>
      <c r="AO52" s="124"/>
      <c r="AP52" s="124"/>
      <c r="AQ52" s="124"/>
      <c r="AR52" s="124"/>
      <c r="AS52" s="124"/>
      <c r="AT52" s="124"/>
      <c r="AU52" s="124"/>
      <c r="AV52" s="124"/>
      <c r="AW52" s="124"/>
      <c r="AX52" s="124"/>
      <c r="AY52" s="124"/>
      <c r="AZ52" s="124"/>
      <c r="BA52" s="124"/>
      <c r="BB52" s="136"/>
    </row>
    <row r="53" customFormat="false" ht="15.6" hidden="false" customHeight="false" outlineLevel="0" collapsed="false">
      <c r="A53" s="111" t="n">
        <f aca="false">IF(ISBLANK(VLOOKUP(D53,#REF!,3)),0,1)</f>
        <v>1</v>
      </c>
      <c r="B53" s="112" t="n">
        <f aca="false">IF(ISBLANK(D53),0,IF(ISBLANK(E53),0,IF(ISBLANK(F53),0,1)))</f>
        <v>0</v>
      </c>
      <c r="C53" s="128" t="n">
        <v>19</v>
      </c>
      <c r="D53" s="151"/>
      <c r="E53" s="151"/>
      <c r="F53" s="152"/>
      <c r="G53" s="156"/>
      <c r="H53" s="151"/>
      <c r="I53" s="151"/>
      <c r="J53" s="132" t="str">
        <f aca="false">IF(ISBLANK(D53),"",IF(VLOOKUP(D53,#REF!,2)=0,"",IF(D53&gt;#REF!,"Mauvais numéro",IF(D53&lt;#REF!,"Mauvais numéro",(VLOOKUP(D53,#REF!,3))))))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57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49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24"/>
      <c r="U53" s="124"/>
      <c r="V53" s="124"/>
      <c r="W53" s="124"/>
      <c r="X53" s="12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24"/>
      <c r="AJ53" s="124"/>
      <c r="AK53" s="124"/>
      <c r="AL53" s="124"/>
      <c r="AM53" s="124"/>
      <c r="AN53" s="124"/>
      <c r="AO53" s="124"/>
      <c r="AP53" s="124"/>
      <c r="AQ53" s="124"/>
      <c r="AR53" s="124"/>
      <c r="AS53" s="124"/>
      <c r="AT53" s="124"/>
      <c r="AU53" s="124"/>
      <c r="AV53" s="124"/>
      <c r="AW53" s="124"/>
      <c r="AX53" s="124"/>
      <c r="AY53" s="124"/>
      <c r="AZ53" s="124"/>
      <c r="BA53" s="124"/>
      <c r="BB53" s="136"/>
    </row>
    <row r="54" customFormat="false" ht="15.6" hidden="false" customHeight="false" outlineLevel="0" collapsed="false">
      <c r="A54" s="111" t="n">
        <f aca="false">IF(ISBLANK(VLOOKUP(D54,#REF!,3)),0,1)</f>
        <v>1</v>
      </c>
      <c r="B54" s="112" t="n">
        <f aca="false">IF(ISBLANK(D54),0,IF(ISBLANK(E54),0,IF(ISBLANK(F54),0,1)))</f>
        <v>0</v>
      </c>
      <c r="C54" s="128" t="n">
        <v>20</v>
      </c>
      <c r="D54" s="151"/>
      <c r="E54" s="151"/>
      <c r="F54" s="152"/>
      <c r="G54" s="156"/>
      <c r="H54" s="151"/>
      <c r="I54" s="151"/>
      <c r="J54" s="132" t="str">
        <f aca="false">IF(ISBLANK(D54),"",IF(VLOOKUP(D54,#REF!,2)=0,"",IF(D54&gt;#REF!,"Mauvais numéro",IF(D54&lt;#REF!,"Mauvais numéro",(VLOOKUP(D54,#REF!,3))))))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57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49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4"/>
      <c r="U54" s="124"/>
      <c r="V54" s="124"/>
      <c r="W54" s="124"/>
      <c r="X54" s="124"/>
      <c r="Y54" s="124"/>
      <c r="Z54" s="124"/>
      <c r="AA54" s="124"/>
      <c r="AB54" s="124"/>
      <c r="AC54" s="124"/>
      <c r="AD54" s="124"/>
      <c r="AE54" s="124"/>
      <c r="AF54" s="124"/>
      <c r="AG54" s="124"/>
      <c r="AH54" s="124"/>
      <c r="AI54" s="124"/>
      <c r="AJ54" s="124"/>
      <c r="AK54" s="124"/>
      <c r="AL54" s="124"/>
      <c r="AM54" s="124"/>
      <c r="AN54" s="124"/>
      <c r="AO54" s="124"/>
      <c r="AP54" s="124"/>
      <c r="AQ54" s="124"/>
      <c r="AR54" s="124"/>
      <c r="AS54" s="124"/>
      <c r="AT54" s="124"/>
      <c r="AU54" s="124"/>
      <c r="AV54" s="124"/>
      <c r="AW54" s="124"/>
      <c r="AX54" s="124"/>
      <c r="AY54" s="124"/>
      <c r="AZ54" s="124"/>
      <c r="BA54" s="124"/>
      <c r="BB54" s="136"/>
    </row>
    <row r="55" customFormat="false" ht="15.6" hidden="false" customHeight="false" outlineLevel="0" collapsed="false">
      <c r="A55" s="111" t="n">
        <f aca="false">IF(ISBLANK(VLOOKUP(D55,#REF!,3)),0,1)</f>
        <v>1</v>
      </c>
      <c r="B55" s="112" t="n">
        <f aca="false">IF(ISBLANK(D55),0,IF(ISBLANK(E55),0,IF(ISBLANK(F55),0,1)))</f>
        <v>0</v>
      </c>
      <c r="C55" s="128" t="n">
        <v>21</v>
      </c>
      <c r="D55" s="151"/>
      <c r="E55" s="151"/>
      <c r="F55" s="152"/>
      <c r="G55" s="156"/>
      <c r="H55" s="151"/>
      <c r="I55" s="151"/>
      <c r="J55" s="132" t="str">
        <f aca="false">IF(ISBLANK(D55),"",IF(VLOOKUP(D55,#REF!,2)=0,"",IF(D55&gt;#REF!,"Mauvais numéro",IF(D55&lt;#REF!,"Mauvais numéro",(VLOOKUP(D55,#REF!,3))))))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57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49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24"/>
      <c r="U55" s="124"/>
      <c r="V55" s="124"/>
      <c r="W55" s="124"/>
      <c r="X55" s="124"/>
      <c r="Y55" s="124"/>
      <c r="Z55" s="124"/>
      <c r="AA55" s="124"/>
      <c r="AB55" s="124"/>
      <c r="AC55" s="124"/>
      <c r="AD55" s="124"/>
      <c r="AE55" s="124"/>
      <c r="AF55" s="124"/>
      <c r="AG55" s="124"/>
      <c r="AH55" s="124"/>
      <c r="AI55" s="124"/>
      <c r="AJ55" s="124"/>
      <c r="AK55" s="124"/>
      <c r="AL55" s="124"/>
      <c r="AM55" s="124"/>
      <c r="AN55" s="124"/>
      <c r="AO55" s="124"/>
      <c r="AP55" s="124"/>
      <c r="AQ55" s="124"/>
      <c r="AR55" s="124"/>
      <c r="AS55" s="124"/>
      <c r="AT55" s="124"/>
      <c r="AU55" s="124"/>
      <c r="AV55" s="124"/>
      <c r="AW55" s="124"/>
      <c r="AX55" s="124"/>
      <c r="AY55" s="124"/>
      <c r="AZ55" s="124"/>
      <c r="BA55" s="124"/>
      <c r="BB55" s="136"/>
    </row>
    <row r="56" customFormat="false" ht="15.6" hidden="false" customHeight="false" outlineLevel="0" collapsed="false">
      <c r="A56" s="111" t="n">
        <f aca="false">IF(ISBLANK(VLOOKUP(D56,#REF!,3)),0,1)</f>
        <v>1</v>
      </c>
      <c r="B56" s="112" t="n">
        <f aca="false">IF(ISBLANK(D56),0,IF(ISBLANK(E56),0,IF(ISBLANK(F56),0,1)))</f>
        <v>0</v>
      </c>
      <c r="C56" s="128" t="n">
        <v>22</v>
      </c>
      <c r="D56" s="151"/>
      <c r="E56" s="151"/>
      <c r="F56" s="152"/>
      <c r="G56" s="156"/>
      <c r="H56" s="151"/>
      <c r="I56" s="151"/>
      <c r="J56" s="132" t="str">
        <f aca="false">IF(ISBLANK(D56),"",IF(VLOOKUP(D56,#REF!,2)=0,"",IF(D56&gt;#REF!,"Mauvais numéro",IF(D56&lt;#REF!,"Mauvais numéro",(VLOOKUP(D56,#REF!,3))))))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57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49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24"/>
      <c r="AE56" s="124"/>
      <c r="AF56" s="124"/>
      <c r="AG56" s="124"/>
      <c r="AH56" s="124"/>
      <c r="AI56" s="124"/>
      <c r="AJ56" s="124"/>
      <c r="AK56" s="124"/>
      <c r="AL56" s="124"/>
      <c r="AM56" s="124"/>
      <c r="AN56" s="124"/>
      <c r="AO56" s="124"/>
      <c r="AP56" s="124"/>
      <c r="AQ56" s="124"/>
      <c r="AR56" s="124"/>
      <c r="AS56" s="124"/>
      <c r="AT56" s="124"/>
      <c r="AU56" s="124"/>
      <c r="AV56" s="124"/>
      <c r="AW56" s="124"/>
      <c r="AX56" s="124"/>
      <c r="AY56" s="124"/>
      <c r="AZ56" s="124"/>
      <c r="BA56" s="124"/>
      <c r="BB56" s="136"/>
    </row>
    <row r="57" customFormat="false" ht="15.6" hidden="false" customHeight="false" outlineLevel="0" collapsed="false">
      <c r="A57" s="111" t="n">
        <f aca="false">IF(ISBLANK(VLOOKUP(D57,#REF!,3)),0,1)</f>
        <v>1</v>
      </c>
      <c r="B57" s="112" t="n">
        <f aca="false">IF(ISBLANK(D57),0,IF(ISBLANK(E57),0,IF(ISBLANK(F57),0,1)))</f>
        <v>0</v>
      </c>
      <c r="C57" s="128" t="n">
        <v>23</v>
      </c>
      <c r="D57" s="151"/>
      <c r="E57" s="151"/>
      <c r="F57" s="152"/>
      <c r="G57" s="156"/>
      <c r="H57" s="151"/>
      <c r="I57" s="151"/>
      <c r="J57" s="132" t="str">
        <f aca="false">IF(ISBLANK(D57),"",IF(VLOOKUP(D57,#REF!,2)=0,"",IF(D57&gt;#REF!,"Mauvais numéro",IF(D57&lt;#REF!,"Mauvais numéro",(VLOOKUP(D57,#REF!,3))))))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57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49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4"/>
      <c r="U57" s="124"/>
      <c r="V57" s="124"/>
      <c r="W57" s="124"/>
      <c r="X57" s="124"/>
      <c r="Y57" s="124"/>
      <c r="Z57" s="124"/>
      <c r="AA57" s="124"/>
      <c r="AB57" s="124"/>
      <c r="AC57" s="124"/>
      <c r="AD57" s="124"/>
      <c r="AE57" s="124"/>
      <c r="AF57" s="124"/>
      <c r="AG57" s="124"/>
      <c r="AH57" s="124"/>
      <c r="AI57" s="124"/>
      <c r="AJ57" s="124"/>
      <c r="AK57" s="124"/>
      <c r="AL57" s="124"/>
      <c r="AM57" s="124"/>
      <c r="AN57" s="124"/>
      <c r="AO57" s="124"/>
      <c r="AP57" s="124"/>
      <c r="AQ57" s="124"/>
      <c r="AR57" s="124"/>
      <c r="AS57" s="124"/>
      <c r="AT57" s="124"/>
      <c r="AU57" s="124"/>
      <c r="AV57" s="124"/>
      <c r="AW57" s="124"/>
      <c r="AX57" s="124"/>
      <c r="AY57" s="124"/>
      <c r="AZ57" s="124"/>
      <c r="BA57" s="124"/>
      <c r="BB57" s="136"/>
    </row>
    <row r="58" customFormat="false" ht="16.2" hidden="false" customHeight="false" outlineLevel="0" collapsed="false">
      <c r="A58" s="111" t="n">
        <f aca="false">IF(ISBLANK(VLOOKUP(D58,#REF!,3)),0,1)</f>
        <v>1</v>
      </c>
      <c r="B58" s="112" t="n">
        <f aca="false">IF(ISBLANK(D58),0,IF(ISBLANK(E58),0,IF(ISBLANK(F58),0,1)))</f>
        <v>0</v>
      </c>
      <c r="C58" s="158" t="n">
        <v>24</v>
      </c>
      <c r="D58" s="159"/>
      <c r="E58" s="159"/>
      <c r="F58" s="160"/>
      <c r="G58" s="161"/>
      <c r="H58" s="159"/>
      <c r="I58" s="159"/>
      <c r="J58" s="162" t="str">
        <f aca="false">IF(ISBLANK(D58),"",IF(VLOOKUP(D58,#REF!,2)=0,"",IF(D58&gt;#REF!,"Mauvais numéro",IF(D58&lt;#REF!,"Mauvais numéro",(VLOOKUP(D58,#REF!,3))))))</f>
        <v/>
      </c>
      <c r="K58" s="163" t="str">
        <f aca="false">IF(ISBLANK(E58),"",(0.000824493-(0.0000040899*E58)+(0.000000076438*E58^2)-(0.00000000082467*E58^3)+(0.0000000000053875*E58^4)))</f>
        <v/>
      </c>
      <c r="L58" s="163" t="str">
        <f aca="false">IF(ISBLANK(E58),"",(-0.00000572466+(0.00000010227*E58)-(0.0000000016546*E58^2)))</f>
        <v/>
      </c>
      <c r="M58" s="163" t="str">
        <f aca="false">IF(ISBLANK(E58),"",IF(ISBLANK(G58),(O58+(K58*35)+(L58*35^1.5)+(0.00000048314*35^2)),(O58+(K58*G58)+(L58*G58^1.5)+(0.00000048314*G58^2))))</f>
        <v/>
      </c>
      <c r="N58" s="164" t="str">
        <f aca="false">IF(ISBLANK(D58),"",IF(ISBLANK(G58),J58*(1+0.00001*(35-20)),J58*(1+0.00001*(G58-20))))</f>
        <v/>
      </c>
      <c r="O58" s="163" t="str">
        <f aca="false">IF(ISBLANK(E58),"",(0.999842594+(0.00006793952*E58)-(0.00000909529*E58^2)+(0.0000001001685*E58^3)-(0.000000001120083*E58^4)+(0.000000000006536332*E58^5)))</f>
        <v/>
      </c>
      <c r="P58" s="165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66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7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7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68"/>
      <c r="U58" s="168"/>
      <c r="V58" s="168"/>
      <c r="W58" s="168"/>
      <c r="X58" s="168"/>
      <c r="Y58" s="168"/>
      <c r="Z58" s="168"/>
      <c r="AA58" s="168"/>
      <c r="AB58" s="168"/>
      <c r="AC58" s="168"/>
      <c r="AD58" s="168"/>
      <c r="AE58" s="168"/>
      <c r="AF58" s="168"/>
      <c r="AG58" s="168"/>
      <c r="AH58" s="168"/>
      <c r="AI58" s="168"/>
      <c r="AJ58" s="168"/>
      <c r="AK58" s="168"/>
      <c r="AL58" s="168"/>
      <c r="AM58" s="168"/>
      <c r="AN58" s="168"/>
      <c r="AO58" s="168"/>
      <c r="AP58" s="168"/>
      <c r="AQ58" s="168"/>
      <c r="AR58" s="168"/>
      <c r="AS58" s="168"/>
      <c r="AT58" s="168"/>
      <c r="AU58" s="168"/>
      <c r="AV58" s="168"/>
      <c r="AW58" s="168"/>
      <c r="AX58" s="168"/>
      <c r="AY58" s="168"/>
      <c r="AZ58" s="168"/>
      <c r="BA58" s="168"/>
      <c r="BB58" s="169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P1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8178137651822"/>
    <col collapsed="false" hidden="false" max="32" min="32" style="0" width="9.10526315789474"/>
    <col collapsed="false" hidden="false" max="33" min="33" style="0" width="26.5668016194332"/>
    <col collapsed="false" hidden="false" max="34" min="34" style="0" width="12.8542510121458"/>
    <col collapsed="false" hidden="false" max="35" min="35" style="0" width="11.1417004048583"/>
    <col collapsed="false" hidden="false" max="36" min="36" style="0" width="14.5668016194332"/>
    <col collapsed="false" hidden="false" max="37" min="37" style="0" width="12.2105263157895"/>
    <col collapsed="false" hidden="false" max="38" min="38" style="0" width="26.995951417004"/>
    <col collapsed="false" hidden="false" max="39" min="39" style="0" width="14.6761133603239"/>
    <col collapsed="false" hidden="false" max="40" min="40" style="0" width="11.3562753036437"/>
    <col collapsed="false" hidden="false" max="41" min="41" style="0" width="12.5344129554656"/>
    <col collapsed="false" hidden="false" max="42" min="42" style="0" width="10.7125506072875"/>
    <col collapsed="false" hidden="false" max="43" min="43" style="0" width="6.31983805668016"/>
    <col collapsed="false" hidden="false" max="44" min="44" style="0" width="19.7085020242915"/>
    <col collapsed="false" hidden="false" max="45" min="45" style="0" width="13.0688259109312"/>
    <col collapsed="false" hidden="false" max="46" min="46" style="0" width="17.7813765182186"/>
    <col collapsed="false" hidden="false" max="47" min="47" style="0" width="14.6761133603239"/>
    <col collapsed="false" hidden="false" max="48" min="48" style="0" width="13.6032388663968"/>
    <col collapsed="false" hidden="false" max="49" min="49" style="0" width="13.7125506072874"/>
    <col collapsed="false" hidden="false" max="50" min="50" style="0" width="19.9230769230769"/>
    <col collapsed="false" hidden="false" max="51" min="51" style="0" width="13.2834008097166"/>
    <col collapsed="false" hidden="false" max="52" min="52" style="0" width="17.6761133603239"/>
    <col collapsed="false" hidden="false" max="53" min="53" style="0" width="13.3886639676113"/>
    <col collapsed="false" hidden="false" max="54" min="54" style="0" width="12.6396761133603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27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38545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0</v>
      </c>
      <c r="J9" s="29" t="n">
        <v>29.91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-0°29,91</v>
      </c>
      <c r="P9" s="29" t="s">
        <v>15</v>
      </c>
      <c r="Q9" s="33" t="n">
        <f aca="false">IF(ISBLANK(I9),"",IF(ISBLANK(J9),"",IF(J9&gt;60,"ERREUR !!",O11*(I9+(J9/60)))))</f>
        <v>-0.4985</v>
      </c>
      <c r="R9" s="33"/>
    </row>
    <row r="10" customFormat="false" ht="15" hidden="false" customHeight="true" outlineLevel="0" collapsed="false">
      <c r="C10" s="21"/>
      <c r="D10" s="18"/>
      <c r="G10" s="27" t="s">
        <v>16</v>
      </c>
      <c r="H10" s="27"/>
      <c r="I10" s="28" t="n">
        <v>9</v>
      </c>
      <c r="J10" s="29" t="n">
        <v>59.69</v>
      </c>
      <c r="K10" s="30" t="s">
        <v>12</v>
      </c>
      <c r="L10" s="31" t="str">
        <f aca="false">IF(P10=N9,"+","-")</f>
        <v>-</v>
      </c>
      <c r="M10" s="30" t="s">
        <v>15</v>
      </c>
      <c r="N10" s="30" t="s">
        <v>17</v>
      </c>
      <c r="O10" s="34" t="str">
        <f aca="false">IF(ISBLANK(I10),"",IF(ISBLANK(J10),"",IF(P10=N10,L10&amp;N12,N12)))</f>
        <v>-9°59,69</v>
      </c>
      <c r="P10" s="29" t="s">
        <v>17</v>
      </c>
      <c r="Q10" s="33" t="n">
        <f aca="false">IF(ISBLANK(I10),"",IF(ISBLANK(J10),"",IF(J10&gt;60,"ERREUR !!",O12*(I10+(J10/60)))))</f>
        <v>-9.99483333333333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38545</v>
      </c>
      <c r="K11" s="38"/>
      <c r="L11" s="38"/>
      <c r="M11" s="38"/>
      <c r="N11" s="39" t="str">
        <f aca="false">I9&amp;"°"&amp;J9</f>
        <v>0°29,91</v>
      </c>
      <c r="O11" s="40" t="n">
        <f aca="false">IF(P9=M10,-1,1)</f>
        <v>-1</v>
      </c>
      <c r="P11" s="41" t="str">
        <f aca="false">TEXT(J11,"aaaa-mm-jj")&amp;"T"&amp;TEXT(J12,"hh:mm:ss")&amp;"z"</f>
        <v>2009-07-13T11:30:00z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0.479166666666667</v>
      </c>
      <c r="K12" s="45"/>
      <c r="L12" s="45"/>
      <c r="M12" s="45"/>
      <c r="N12" s="46" t="str">
        <f aca="false">I10&amp;"°"&amp;J10</f>
        <v>9°59,69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e">
        <f aca="false">$P$24*($P$18/#REF!)</f>
        <v>#REF!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e">
        <f aca="false">5+#REF!</f>
        <v>#REF!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e">
        <f aca="false">P20*(1+0.00001*(R14-20))</f>
        <v>#REF!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e">
        <f aca="false">MAX(#REF!)</f>
        <v>#VALUE!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e">
        <f aca="false">2+(#REF!+#REF!)</f>
        <v>#REF!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52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53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IF(ISBLANK(VLOOKUP(D35,#REF!,3)),0,1)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s">
        <v>99</v>
      </c>
      <c r="H35" s="118" t="n">
        <v>2000</v>
      </c>
      <c r="I35" s="119" t="n">
        <v>1999.9</v>
      </c>
      <c r="J35" s="120"/>
      <c r="K35" s="121"/>
      <c r="L35" s="121"/>
      <c r="M35" s="121"/>
      <c r="N35" s="122"/>
      <c r="O35" s="121"/>
      <c r="P35" s="120" t="n">
        <v>5.718</v>
      </c>
      <c r="Q35" s="120"/>
      <c r="R35" s="120"/>
      <c r="S35" s="176" t="n">
        <v>248.481</v>
      </c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7"/>
    </row>
    <row r="36" customFormat="false" ht="15.6" hidden="false" customHeight="false" outlineLevel="0" collapsed="false">
      <c r="A36" s="111" t="n">
        <f aca="false">IF(ISBLANK(VLOOKUP(D36,#REF!,3)),0,1)</f>
        <v>1</v>
      </c>
      <c r="B36" s="112" t="n">
        <f aca="false">IF(ISBLANK(D36),0,IF(ISBLANK(E36),0,IF(ISBLANK(F36),0,1)))</f>
        <v>0</v>
      </c>
      <c r="C36" s="128" t="n">
        <v>2</v>
      </c>
      <c r="D36" s="129"/>
      <c r="E36" s="129"/>
      <c r="F36" s="130"/>
      <c r="G36" s="117" t="n">
        <v>34.631</v>
      </c>
      <c r="H36" s="131" t="n">
        <v>1000</v>
      </c>
      <c r="I36" s="119" t="n">
        <v>1000.1</v>
      </c>
      <c r="J36" s="132"/>
      <c r="K36" s="133"/>
      <c r="L36" s="133"/>
      <c r="M36" s="133"/>
      <c r="N36" s="134"/>
      <c r="O36" s="133"/>
      <c r="P36" s="132" t="n">
        <v>3.634</v>
      </c>
      <c r="Q36" s="132"/>
      <c r="R36" s="132"/>
      <c r="S36" s="177" t="n">
        <v>157.963</v>
      </c>
      <c r="T36" s="32" t="n">
        <v>0</v>
      </c>
      <c r="U36" s="32" t="n">
        <v>0</v>
      </c>
      <c r="V36" s="32"/>
      <c r="W36" s="32"/>
      <c r="X36" s="125" t="n">
        <v>34.2</v>
      </c>
      <c r="Y36" s="125" t="n">
        <v>33.4</v>
      </c>
      <c r="Z36" s="32" t="n">
        <v>2.43</v>
      </c>
      <c r="AA36" s="32" t="n">
        <v>2.38</v>
      </c>
      <c r="AB36" s="125" t="n">
        <v>30.3</v>
      </c>
      <c r="AC36" s="125" t="n">
        <v>29.6</v>
      </c>
      <c r="AD36" s="124"/>
      <c r="AE36" s="124"/>
      <c r="AF36" s="124"/>
      <c r="AG36" s="124"/>
      <c r="AH36" s="124"/>
      <c r="AI36" s="124"/>
      <c r="AJ36" s="124"/>
      <c r="AK36" s="124"/>
      <c r="AL36" s="124"/>
      <c r="AM36" s="124"/>
      <c r="AN36" s="124"/>
      <c r="AO36" s="124"/>
      <c r="AP36" s="124"/>
      <c r="AQ36" s="124"/>
      <c r="AR36" s="124"/>
      <c r="AS36" s="124"/>
      <c r="AT36" s="124"/>
      <c r="AU36" s="124"/>
      <c r="AV36" s="124"/>
      <c r="AW36" s="124"/>
      <c r="AX36" s="124"/>
      <c r="AY36" s="124"/>
      <c r="AZ36" s="124"/>
      <c r="BA36" s="124"/>
      <c r="BB36" s="136"/>
    </row>
    <row r="37" customFormat="false" ht="15.6" hidden="false" customHeight="false" outlineLevel="0" collapsed="false">
      <c r="A37" s="111" t="n">
        <f aca="false">IF(ISBLANK(VLOOKUP(D37,#REF!,3)),0,1)</f>
        <v>1</v>
      </c>
      <c r="B37" s="112" t="n">
        <f aca="false">IF(ISBLANK(D37),0,IF(ISBLANK(E37),0,IF(ISBLANK(F37),0,1)))</f>
        <v>0</v>
      </c>
      <c r="C37" s="128" t="n">
        <v>3</v>
      </c>
      <c r="D37" s="129"/>
      <c r="E37" s="129"/>
      <c r="F37" s="137"/>
      <c r="G37" s="117" t="n">
        <v>34.6282</v>
      </c>
      <c r="H37" s="131" t="n">
        <v>1000</v>
      </c>
      <c r="I37" s="119" t="n">
        <v>1000.1</v>
      </c>
      <c r="J37" s="132"/>
      <c r="K37" s="133"/>
      <c r="L37" s="133"/>
      <c r="M37" s="133"/>
      <c r="N37" s="134"/>
      <c r="O37" s="133"/>
      <c r="P37" s="132" t="n">
        <v>3.626</v>
      </c>
      <c r="Q37" s="132"/>
      <c r="R37" s="132"/>
      <c r="S37" s="177" t="n">
        <v>157.624</v>
      </c>
      <c r="T37" s="32" t="n">
        <v>0</v>
      </c>
      <c r="U37" s="32" t="n">
        <v>0</v>
      </c>
      <c r="V37" s="32"/>
      <c r="W37" s="32"/>
      <c r="X37" s="125" t="n">
        <v>34.2</v>
      </c>
      <c r="Y37" s="125" t="n">
        <v>33.4</v>
      </c>
      <c r="Z37" s="32" t="n">
        <v>2.44</v>
      </c>
      <c r="AA37" s="32" t="n">
        <v>2.38</v>
      </c>
      <c r="AB37" s="125" t="n">
        <v>31.1</v>
      </c>
      <c r="AC37" s="125" t="n">
        <v>30.4</v>
      </c>
      <c r="AD37" s="124"/>
      <c r="AE37" s="124"/>
      <c r="AF37" s="124"/>
      <c r="AG37" s="124"/>
      <c r="AH37" s="124"/>
      <c r="AI37" s="124"/>
      <c r="AJ37" s="124"/>
      <c r="AK37" s="124"/>
      <c r="AL37" s="124"/>
      <c r="AM37" s="124"/>
      <c r="AN37" s="124"/>
      <c r="AO37" s="124"/>
      <c r="AP37" s="124"/>
      <c r="AQ37" s="124"/>
      <c r="AR37" s="124"/>
      <c r="AS37" s="124"/>
      <c r="AT37" s="124"/>
      <c r="AU37" s="124"/>
      <c r="AV37" s="124"/>
      <c r="AW37" s="124"/>
      <c r="AX37" s="124"/>
      <c r="AY37" s="124"/>
      <c r="AZ37" s="124"/>
      <c r="BA37" s="124"/>
      <c r="BB37" s="136"/>
    </row>
    <row r="38" customFormat="false" ht="15.6" hidden="false" customHeight="false" outlineLevel="0" collapsed="false">
      <c r="A38" s="111" t="n">
        <f aca="false">IF(ISBLANK(VLOOKUP(D38,#REF!,3)),0,1)</f>
        <v>1</v>
      </c>
      <c r="B38" s="112" t="n">
        <f aca="false">IF(ISBLANK(D38),0,IF(ISBLANK(E38),0,IF(ISBLANK(F38),0,1)))</f>
        <v>0</v>
      </c>
      <c r="C38" s="128" t="n">
        <v>4</v>
      </c>
      <c r="D38" s="138"/>
      <c r="E38" s="138"/>
      <c r="F38" s="139"/>
      <c r="G38" s="117" t="n">
        <v>34.6051</v>
      </c>
      <c r="H38" s="131" t="n">
        <v>500</v>
      </c>
      <c r="I38" s="119" t="n">
        <v>500.8</v>
      </c>
      <c r="J38" s="132"/>
      <c r="K38" s="133"/>
      <c r="L38" s="133"/>
      <c r="M38" s="133"/>
      <c r="N38" s="134"/>
      <c r="O38" s="133"/>
      <c r="P38" s="132" t="n">
        <v>2.899</v>
      </c>
      <c r="Q38" s="132"/>
      <c r="R38" s="132"/>
      <c r="S38" s="177" t="n">
        <v>126.088</v>
      </c>
      <c r="T38" s="32" t="n">
        <v>0</v>
      </c>
      <c r="U38" s="32" t="n">
        <v>0</v>
      </c>
      <c r="V38" s="32"/>
      <c r="W38" s="32"/>
      <c r="X38" s="125" t="n">
        <v>35</v>
      </c>
      <c r="Y38" s="125" t="n">
        <v>34.2</v>
      </c>
      <c r="Z38" s="32" t="n">
        <v>2.35</v>
      </c>
      <c r="AA38" s="32" t="n">
        <v>2.29</v>
      </c>
      <c r="AB38" s="125" t="n">
        <v>20.3</v>
      </c>
      <c r="AC38" s="125" t="n">
        <v>19.8</v>
      </c>
      <c r="AD38" s="124"/>
      <c r="AE38" s="124"/>
      <c r="AF38" s="124"/>
      <c r="AG38" s="124"/>
      <c r="AH38" s="124"/>
      <c r="AI38" s="124"/>
      <c r="AJ38" s="124"/>
      <c r="AK38" s="124"/>
      <c r="AL38" s="124"/>
      <c r="AM38" s="124"/>
      <c r="AN38" s="124"/>
      <c r="AO38" s="124"/>
      <c r="AP38" s="124"/>
      <c r="AQ38" s="124"/>
      <c r="AR38" s="124"/>
      <c r="AS38" s="124"/>
      <c r="AT38" s="124"/>
      <c r="AU38" s="124"/>
      <c r="AV38" s="124"/>
      <c r="AW38" s="124"/>
      <c r="AX38" s="124"/>
      <c r="AY38" s="124"/>
      <c r="AZ38" s="124"/>
      <c r="BA38" s="124"/>
      <c r="BB38" s="136"/>
    </row>
    <row r="39" customFormat="false" ht="15.6" hidden="false" customHeight="false" outlineLevel="0" collapsed="false">
      <c r="A39" s="111" t="n">
        <f aca="false">IF(ISBLANK(VLOOKUP(D39,#REF!,3)),0,1)</f>
        <v>1</v>
      </c>
      <c r="B39" s="112" t="n">
        <f aca="false">IF(ISBLANK(D39),0,IF(ISBLANK(E39),0,IF(ISBLANK(F39),0,1)))</f>
        <v>0</v>
      </c>
      <c r="C39" s="128" t="n">
        <v>5</v>
      </c>
      <c r="D39" s="129"/>
      <c r="E39" s="129"/>
      <c r="F39" s="137"/>
      <c r="G39" s="117" t="n">
        <v>35.5984</v>
      </c>
      <c r="H39" s="131" t="n">
        <v>100</v>
      </c>
      <c r="I39" s="119" t="n">
        <v>99.7</v>
      </c>
      <c r="J39" s="132"/>
      <c r="K39" s="133"/>
      <c r="L39" s="133"/>
      <c r="M39" s="133"/>
      <c r="N39" s="134"/>
      <c r="O39" s="133"/>
      <c r="P39" s="132" t="n">
        <v>3.16</v>
      </c>
      <c r="Q39" s="132"/>
      <c r="R39" s="132"/>
      <c r="S39" s="177" t="n">
        <v>137.497</v>
      </c>
      <c r="T39" s="32" t="n">
        <v>0</v>
      </c>
      <c r="U39" s="32" t="n">
        <v>0</v>
      </c>
      <c r="V39" s="32"/>
      <c r="W39" s="32"/>
      <c r="X39" s="125" t="n">
        <v>16.6</v>
      </c>
      <c r="Y39" s="125" t="n">
        <v>16.2</v>
      </c>
      <c r="Z39" s="32" t="n">
        <v>1.23</v>
      </c>
      <c r="AA39" s="32" t="n">
        <v>1.2</v>
      </c>
      <c r="AB39" s="125" t="n">
        <v>5.9</v>
      </c>
      <c r="AC39" s="125" t="n">
        <v>5.7</v>
      </c>
      <c r="AD39" s="140"/>
      <c r="AE39" s="140"/>
      <c r="AF39" s="140"/>
      <c r="AG39" s="140"/>
      <c r="AH39" s="140"/>
      <c r="AI39" s="140"/>
      <c r="AJ39" s="140"/>
      <c r="AK39" s="140"/>
      <c r="AL39" s="140"/>
      <c r="AM39" s="140"/>
      <c r="AN39" s="140"/>
      <c r="AO39" s="140"/>
      <c r="AP39" s="140"/>
      <c r="AQ39" s="140"/>
      <c r="AR39" s="140"/>
      <c r="AS39" s="140"/>
      <c r="AT39" s="140"/>
      <c r="AU39" s="140"/>
      <c r="AV39" s="140"/>
      <c r="AW39" s="140"/>
      <c r="AX39" s="140"/>
      <c r="AY39" s="140"/>
      <c r="AZ39" s="140"/>
      <c r="BA39" s="140"/>
      <c r="BB39" s="141"/>
    </row>
    <row r="40" customFormat="false" ht="15.6" hidden="false" customHeight="false" outlineLevel="0" collapsed="false">
      <c r="A40" s="111" t="n">
        <f aca="false">IF(ISBLANK(VLOOKUP(D40,#REF!,3)),0,1)</f>
        <v>1</v>
      </c>
      <c r="B40" s="112" t="n">
        <f aca="false">IF(ISBLANK(D40),0,IF(ISBLANK(E40),0,IF(ISBLANK(F40),0,1)))</f>
        <v>0</v>
      </c>
      <c r="C40" s="128" t="n">
        <v>6</v>
      </c>
      <c r="D40" s="129"/>
      <c r="E40" s="129"/>
      <c r="F40" s="137"/>
      <c r="G40" s="117"/>
      <c r="H40" s="131" t="n">
        <v>80</v>
      </c>
      <c r="I40" s="119"/>
      <c r="J40" s="132"/>
      <c r="K40" s="133"/>
      <c r="L40" s="133"/>
      <c r="M40" s="133"/>
      <c r="N40" s="134"/>
      <c r="O40" s="133"/>
      <c r="P40" s="132"/>
      <c r="Q40" s="132"/>
      <c r="R40" s="132"/>
      <c r="S40" s="177"/>
      <c r="T40" s="32" t="n">
        <v>0</v>
      </c>
      <c r="U40" s="32" t="n">
        <v>0</v>
      </c>
      <c r="V40" s="32"/>
      <c r="W40" s="32"/>
      <c r="X40" s="125" t="n">
        <v>15.5</v>
      </c>
      <c r="Y40" s="125" t="n">
        <v>15.1</v>
      </c>
      <c r="Z40" s="32" t="n">
        <v>1.21</v>
      </c>
      <c r="AA40" s="32" t="n">
        <v>1.18</v>
      </c>
      <c r="AB40" s="125" t="n">
        <v>5.7</v>
      </c>
      <c r="AC40" s="125" t="n">
        <v>5.5</v>
      </c>
      <c r="AD40" s="140"/>
      <c r="AE40" s="140"/>
      <c r="AF40" s="140"/>
      <c r="AG40" s="140"/>
      <c r="AH40" s="140"/>
      <c r="AI40" s="140"/>
      <c r="AJ40" s="140"/>
      <c r="AK40" s="140"/>
      <c r="AL40" s="140"/>
      <c r="AM40" s="140"/>
      <c r="AN40" s="140"/>
      <c r="AO40" s="140"/>
      <c r="AP40" s="140"/>
      <c r="AQ40" s="140"/>
      <c r="AR40" s="140"/>
      <c r="AS40" s="140"/>
      <c r="AT40" s="140"/>
      <c r="AU40" s="140"/>
      <c r="AV40" s="140"/>
      <c r="AW40" s="140"/>
      <c r="AX40" s="140"/>
      <c r="AY40" s="140"/>
      <c r="AZ40" s="140"/>
      <c r="BA40" s="140"/>
      <c r="BB40" s="141"/>
    </row>
    <row r="41" customFormat="false" ht="15.6" hidden="false" customHeight="false" outlineLevel="0" collapsed="false">
      <c r="A41" s="111" t="n">
        <f aca="false">IF(ISBLANK(VLOOKUP(D41,#REF!,3)),0,1)</f>
        <v>1</v>
      </c>
      <c r="B41" s="112" t="n">
        <f aca="false">IF(ISBLANK(D41),0,IF(ISBLANK(E41),0,IF(ISBLANK(F41),0,1)))</f>
        <v>0</v>
      </c>
      <c r="C41" s="128" t="n">
        <v>7</v>
      </c>
      <c r="D41" s="129"/>
      <c r="E41" s="129"/>
      <c r="F41" s="137"/>
      <c r="G41" s="117"/>
      <c r="H41" s="131" t="n">
        <v>60</v>
      </c>
      <c r="I41" s="119"/>
      <c r="J41" s="132"/>
      <c r="K41" s="133"/>
      <c r="L41" s="133"/>
      <c r="M41" s="133"/>
      <c r="N41" s="134"/>
      <c r="O41" s="133"/>
      <c r="P41" s="132"/>
      <c r="Q41" s="132"/>
      <c r="R41" s="132"/>
      <c r="S41" s="177"/>
      <c r="T41" s="32" t="n">
        <v>0</v>
      </c>
      <c r="U41" s="32" t="n">
        <v>0</v>
      </c>
      <c r="V41" s="32"/>
      <c r="W41" s="32"/>
      <c r="X41" s="125" t="n">
        <v>13.7</v>
      </c>
      <c r="Y41" s="125" t="n">
        <v>13.4</v>
      </c>
      <c r="Z41" s="32" t="n">
        <v>1.06</v>
      </c>
      <c r="AA41" s="32" t="n">
        <v>1.04</v>
      </c>
      <c r="AB41" s="125" t="n">
        <v>5</v>
      </c>
      <c r="AC41" s="125" t="n">
        <v>4.9</v>
      </c>
      <c r="AD41" s="140"/>
      <c r="AE41" s="140"/>
      <c r="AF41" s="140"/>
      <c r="AG41" s="140"/>
      <c r="AH41" s="140"/>
      <c r="AI41" s="140"/>
      <c r="AJ41" s="140"/>
      <c r="AK41" s="140"/>
      <c r="AL41" s="140"/>
      <c r="AM41" s="140"/>
      <c r="AN41" s="140"/>
      <c r="AO41" s="140"/>
      <c r="AP41" s="140"/>
      <c r="AQ41" s="140"/>
      <c r="AR41" s="140"/>
      <c r="AS41" s="140"/>
      <c r="AT41" s="140"/>
      <c r="AU41" s="140"/>
      <c r="AV41" s="140"/>
      <c r="AW41" s="140"/>
      <c r="AX41" s="140"/>
      <c r="AY41" s="140"/>
      <c r="AZ41" s="140"/>
      <c r="BA41" s="140"/>
      <c r="BB41" s="141"/>
    </row>
    <row r="42" customFormat="false" ht="15.6" hidden="false" customHeight="false" outlineLevel="0" collapsed="false">
      <c r="A42" s="111" t="n">
        <f aca="false">IF(ISBLANK(VLOOKUP(D42,#REF!,3)),0,1)</f>
        <v>1</v>
      </c>
      <c r="B42" s="112" t="n">
        <f aca="false">IF(ISBLANK(D42),0,IF(ISBLANK(E42),0,IF(ISBLANK(F42),0,1)))</f>
        <v>0</v>
      </c>
      <c r="C42" s="128" t="n">
        <v>8</v>
      </c>
      <c r="D42" s="129"/>
      <c r="E42" s="129"/>
      <c r="F42" s="137"/>
      <c r="G42" s="117"/>
      <c r="H42" s="131" t="n">
        <v>40</v>
      </c>
      <c r="I42" s="119"/>
      <c r="J42" s="132"/>
      <c r="K42" s="133"/>
      <c r="L42" s="133"/>
      <c r="M42" s="133"/>
      <c r="N42" s="134"/>
      <c r="O42" s="133"/>
      <c r="P42" s="132"/>
      <c r="Q42" s="132"/>
      <c r="R42" s="132"/>
      <c r="S42" s="177"/>
      <c r="T42" s="32" t="n">
        <v>0.03</v>
      </c>
      <c r="U42" s="32" t="n">
        <v>0.02</v>
      </c>
      <c r="V42" s="32"/>
      <c r="W42" s="32"/>
      <c r="X42" s="125" t="n">
        <v>11.7</v>
      </c>
      <c r="Y42" s="125" t="n">
        <v>11.4</v>
      </c>
      <c r="Z42" s="32" t="n">
        <v>0.95</v>
      </c>
      <c r="AA42" s="32" t="n">
        <v>0.93</v>
      </c>
      <c r="AB42" s="125" t="n">
        <v>4.6</v>
      </c>
      <c r="AC42" s="125" t="n">
        <v>4.5</v>
      </c>
      <c r="AD42" s="140"/>
      <c r="AE42" s="140"/>
      <c r="AF42" s="140"/>
      <c r="AG42" s="140"/>
      <c r="AH42" s="140"/>
      <c r="AI42" s="140"/>
      <c r="AJ42" s="140"/>
      <c r="AK42" s="140"/>
      <c r="AL42" s="140"/>
      <c r="AM42" s="140"/>
      <c r="AN42" s="140"/>
      <c r="AO42" s="140"/>
      <c r="AP42" s="140"/>
      <c r="AQ42" s="140"/>
      <c r="AR42" s="140"/>
      <c r="AS42" s="140"/>
      <c r="AT42" s="140"/>
      <c r="AU42" s="140"/>
      <c r="AV42" s="140"/>
      <c r="AW42" s="140"/>
      <c r="AX42" s="140"/>
      <c r="AY42" s="140"/>
      <c r="AZ42" s="140"/>
      <c r="BA42" s="140"/>
      <c r="BB42" s="141"/>
    </row>
    <row r="43" customFormat="false" ht="15.6" hidden="false" customHeight="false" outlineLevel="0" collapsed="false">
      <c r="A43" s="111" t="n">
        <f aca="false">IF(ISBLANK(VLOOKUP(D43,#REF!,3)),0,1)</f>
        <v>1</v>
      </c>
      <c r="B43" s="112" t="n">
        <f aca="false">IF(ISBLANK(D43),0,IF(ISBLANK(E43),0,IF(ISBLANK(F43),0,1)))</f>
        <v>0</v>
      </c>
      <c r="C43" s="128" t="n">
        <v>9</v>
      </c>
      <c r="D43" s="129"/>
      <c r="E43" s="129"/>
      <c r="F43" s="137"/>
      <c r="G43" s="117"/>
      <c r="H43" s="131" t="n">
        <v>20</v>
      </c>
      <c r="I43" s="119"/>
      <c r="J43" s="132"/>
      <c r="K43" s="133"/>
      <c r="L43" s="133"/>
      <c r="M43" s="133"/>
      <c r="N43" s="134"/>
      <c r="O43" s="133"/>
      <c r="P43" s="132"/>
      <c r="Q43" s="132"/>
      <c r="R43" s="132"/>
      <c r="S43" s="177"/>
      <c r="T43" s="32" t="n">
        <v>0.08</v>
      </c>
      <c r="U43" s="32" t="n">
        <v>0.08</v>
      </c>
      <c r="V43" s="32"/>
      <c r="W43" s="32"/>
      <c r="X43" s="125" t="n">
        <v>6.3</v>
      </c>
      <c r="Y43" s="125" t="n">
        <v>6.1</v>
      </c>
      <c r="Z43" s="32" t="n">
        <v>0.68</v>
      </c>
      <c r="AA43" s="32" t="n">
        <v>0.67</v>
      </c>
      <c r="AB43" s="125" t="n">
        <v>3</v>
      </c>
      <c r="AC43" s="125" t="n">
        <v>2.9</v>
      </c>
      <c r="AD43" s="140"/>
      <c r="AE43" s="140"/>
      <c r="AF43" s="140"/>
      <c r="AG43" s="140"/>
      <c r="AH43" s="140"/>
      <c r="AI43" s="140"/>
      <c r="AJ43" s="140"/>
      <c r="AK43" s="140"/>
      <c r="AL43" s="140"/>
      <c r="AM43" s="140"/>
      <c r="AN43" s="140"/>
      <c r="AO43" s="140"/>
      <c r="AP43" s="140"/>
      <c r="AQ43" s="140"/>
      <c r="AR43" s="140"/>
      <c r="AS43" s="140"/>
      <c r="AT43" s="140"/>
      <c r="AU43" s="140"/>
      <c r="AV43" s="140"/>
      <c r="AW43" s="140"/>
      <c r="AX43" s="140"/>
      <c r="AY43" s="140"/>
      <c r="AZ43" s="140"/>
      <c r="BA43" s="140"/>
      <c r="BB43" s="141"/>
    </row>
    <row r="44" customFormat="false" ht="15.6" hidden="false" customHeight="false" outlineLevel="0" collapsed="false">
      <c r="A44" s="111" t="n">
        <f aca="false">IF(ISBLANK(VLOOKUP(D44,#REF!,3)),0,1)</f>
        <v>1</v>
      </c>
      <c r="B44" s="112" t="n">
        <f aca="false">IF(ISBLANK(D44),0,IF(ISBLANK(E44),0,IF(ISBLANK(F44),0,1)))</f>
        <v>0</v>
      </c>
      <c r="C44" s="128" t="n">
        <v>10</v>
      </c>
      <c r="D44" s="129"/>
      <c r="E44" s="129"/>
      <c r="F44" s="137"/>
      <c r="G44" s="117"/>
      <c r="H44" s="131" t="n">
        <v>10</v>
      </c>
      <c r="I44" s="119"/>
      <c r="J44" s="132"/>
      <c r="K44" s="133"/>
      <c r="L44" s="133"/>
      <c r="M44" s="133"/>
      <c r="N44" s="134"/>
      <c r="O44" s="133"/>
      <c r="P44" s="132"/>
      <c r="Q44" s="132"/>
      <c r="R44" s="132"/>
      <c r="S44" s="177"/>
      <c r="T44" s="32" t="n">
        <v>0.07</v>
      </c>
      <c r="U44" s="32" t="n">
        <v>0.06</v>
      </c>
      <c r="V44" s="32"/>
      <c r="W44" s="32"/>
      <c r="X44" s="125" t="n">
        <v>4.6</v>
      </c>
      <c r="Y44" s="125" t="n">
        <v>4.5</v>
      </c>
      <c r="Z44" s="32" t="n">
        <v>0.55</v>
      </c>
      <c r="AA44" s="32" t="n">
        <v>0.53</v>
      </c>
      <c r="AB44" s="125" t="n">
        <v>2.4</v>
      </c>
      <c r="AC44" s="125" t="n">
        <v>2.3</v>
      </c>
      <c r="AD44" s="124"/>
      <c r="AE44" s="124"/>
      <c r="AF44" s="124"/>
      <c r="AG44" s="124"/>
      <c r="AH44" s="124"/>
      <c r="AI44" s="124"/>
      <c r="AJ44" s="124"/>
      <c r="AK44" s="124"/>
      <c r="AL44" s="124"/>
      <c r="AM44" s="124"/>
      <c r="AN44" s="124"/>
      <c r="AO44" s="124"/>
      <c r="AP44" s="124"/>
      <c r="AQ44" s="124"/>
      <c r="AR44" s="124"/>
      <c r="AS44" s="124"/>
      <c r="AT44" s="124"/>
      <c r="AU44" s="124"/>
      <c r="AV44" s="124"/>
      <c r="AW44" s="124"/>
      <c r="AX44" s="124"/>
      <c r="AY44" s="124"/>
      <c r="AZ44" s="124"/>
      <c r="BA44" s="124"/>
      <c r="BB44" s="136"/>
    </row>
    <row r="45" customFormat="false" ht="15.6" hidden="false" customHeight="false" outlineLevel="0" collapsed="false">
      <c r="A45" s="111" t="n">
        <f aca="false">IF(ISBLANK(VLOOKUP(D45,#REF!,3)),0,1)</f>
        <v>1</v>
      </c>
      <c r="B45" s="112" t="n">
        <f aca="false">IF(ISBLANK(D45),0,IF(ISBLANK(E45),0,IF(ISBLANK(F45),0,1)))</f>
        <v>0</v>
      </c>
      <c r="C45" s="128" t="n">
        <v>11</v>
      </c>
      <c r="D45" s="129"/>
      <c r="E45" s="129"/>
      <c r="F45" s="137"/>
      <c r="G45" s="117" t="n">
        <v>35.8181</v>
      </c>
      <c r="H45" s="131" t="n">
        <v>0</v>
      </c>
      <c r="I45" s="119" t="n">
        <v>2.2</v>
      </c>
      <c r="J45" s="132"/>
      <c r="K45" s="133"/>
      <c r="L45" s="133"/>
      <c r="M45" s="133"/>
      <c r="N45" s="134"/>
      <c r="O45" s="133"/>
      <c r="P45" s="132" t="n">
        <v>4.656</v>
      </c>
      <c r="Q45" s="132"/>
      <c r="R45" s="132"/>
      <c r="S45" s="177" t="n">
        <v>202.912</v>
      </c>
      <c r="T45" s="32" t="n">
        <v>0.05</v>
      </c>
      <c r="U45" s="32" t="n">
        <v>0.05</v>
      </c>
      <c r="V45" s="32"/>
      <c r="W45" s="32"/>
      <c r="X45" s="125" t="n">
        <v>3.3</v>
      </c>
      <c r="Y45" s="125" t="n">
        <v>3.3</v>
      </c>
      <c r="Z45" s="32" t="n">
        <v>0.48</v>
      </c>
      <c r="AA45" s="32" t="n">
        <v>0.46</v>
      </c>
      <c r="AB45" s="125" t="n">
        <v>1.9</v>
      </c>
      <c r="AC45" s="125" t="n">
        <v>1.9</v>
      </c>
      <c r="AD45" s="124"/>
      <c r="AE45" s="124"/>
      <c r="AF45" s="124"/>
      <c r="AG45" s="124"/>
      <c r="AH45" s="124"/>
      <c r="AI45" s="124"/>
      <c r="AJ45" s="124"/>
      <c r="AK45" s="124"/>
      <c r="AL45" s="124"/>
      <c r="AM45" s="124"/>
      <c r="AN45" s="124"/>
      <c r="AO45" s="124"/>
      <c r="AP45" s="124"/>
      <c r="AQ45" s="124"/>
      <c r="AR45" s="124"/>
      <c r="AS45" s="124"/>
      <c r="AT45" s="124"/>
      <c r="AU45" s="124"/>
      <c r="AV45" s="124"/>
      <c r="AW45" s="124"/>
      <c r="AX45" s="124"/>
      <c r="AY45" s="124"/>
      <c r="AZ45" s="124"/>
      <c r="BA45" s="124"/>
      <c r="BB45" s="136"/>
    </row>
    <row r="46" customFormat="false" ht="15.6" hidden="false" customHeight="false" outlineLevel="0" collapsed="false">
      <c r="A46" s="111" t="n">
        <f aca="false">IF(ISBLANK(VLOOKUP(D46,#REF!,3)),0,1)</f>
        <v>1</v>
      </c>
      <c r="B46" s="112" t="n">
        <f aca="false">IF(ISBLANK(D46),0,IF(ISBLANK(E46),0,IF(ISBLANK(F46),0,1)))</f>
        <v>0</v>
      </c>
      <c r="C46" s="128" t="n">
        <v>12</v>
      </c>
      <c r="D46" s="142"/>
      <c r="E46" s="142"/>
      <c r="F46" s="143"/>
      <c r="G46" s="144"/>
      <c r="H46" s="142"/>
      <c r="I46" s="145"/>
      <c r="J46" s="132" t="str">
        <f aca="false">IF(ISBLANK(D46),"",IF(VLOOKUP(D46,#REF!,2)=0,"",IF(D46&gt;#REF!,"Mauvais numéro",IF(D46&lt;#REF!,"Mauvais numéro",(VLOOKUP(D46,#REF!,3))))))</f>
        <v/>
      </c>
      <c r="K46" s="146" t="str">
        <f aca="false">IF(ISBLANK(E46),"",(0.000824493-(0.0000040899*E46)+(0.000000076438*E46^2)-(0.00000000082467*E46^3)+(0.0000000000053875*E46^4)))</f>
        <v/>
      </c>
      <c r="L46" s="146" t="str">
        <f aca="false">IF(ISBLANK(E46),"",(-0.00000572466+(0.00000010227*E46)-(0.0000000016546*E46^2)))</f>
        <v/>
      </c>
      <c r="M46" s="146" t="str">
        <f aca="false">IF(ISBLANK(E46),"",IF(ISBLANK(G46),(O46+(K46*35)+(L46*35^1.5)+(0.00000048314*35^2)),(O46+(K46*G46)+(L46*G46^1.5)+(0.00000048314*G46^2))))</f>
        <v/>
      </c>
      <c r="N46" s="147" t="str">
        <f aca="false">IF(ISBLANK(D46),"",IF(ISBLANK(G46),J46*(1+0.00001*(35-20)),J46*(1+0.00001*(G46-20))))</f>
        <v/>
      </c>
      <c r="O46" s="146" t="str">
        <f aca="false">IF(ISBLANK(E46),"",(0.999842594+(0.00006793952*E46)-(0.00000909529*E46^2)+(0.0000001001685*E46^3)-(0.000000001120083*E46^4)+(0.000000000006536332*E46^5)))</f>
        <v/>
      </c>
      <c r="P46" s="148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49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0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0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24"/>
      <c r="U46" s="124"/>
      <c r="V46" s="124"/>
      <c r="W46" s="124"/>
      <c r="X46" s="124"/>
      <c r="Y46" s="124"/>
      <c r="Z46" s="124"/>
      <c r="AA46" s="124"/>
      <c r="AB46" s="124"/>
      <c r="AC46" s="124"/>
      <c r="AD46" s="124"/>
      <c r="AE46" s="124"/>
      <c r="AF46" s="124"/>
      <c r="AG46" s="124"/>
      <c r="AH46" s="124"/>
      <c r="AI46" s="124"/>
      <c r="AJ46" s="124"/>
      <c r="AK46" s="124"/>
      <c r="AL46" s="124"/>
      <c r="AM46" s="124"/>
      <c r="AN46" s="124"/>
      <c r="AO46" s="124"/>
      <c r="AP46" s="124"/>
      <c r="AQ46" s="124"/>
      <c r="AR46" s="124"/>
      <c r="AS46" s="124"/>
      <c r="AT46" s="124"/>
      <c r="AU46" s="124"/>
      <c r="AV46" s="124"/>
      <c r="AW46" s="124"/>
      <c r="AX46" s="124"/>
      <c r="AY46" s="124"/>
      <c r="AZ46" s="124"/>
      <c r="BA46" s="124"/>
      <c r="BB46" s="136"/>
    </row>
    <row r="47" customFormat="false" ht="15.6" hidden="false" customHeight="false" outlineLevel="0" collapsed="false">
      <c r="A47" s="111" t="n">
        <f aca="false">IF(ISBLANK(VLOOKUP(D47,#REF!,3)),0,1)</f>
        <v>1</v>
      </c>
      <c r="B47" s="112" t="n">
        <f aca="false">IF(ISBLANK(D47),0,IF(ISBLANK(E47),0,IF(ISBLANK(F47),0,1)))</f>
        <v>0</v>
      </c>
      <c r="C47" s="128" t="n">
        <v>13</v>
      </c>
      <c r="D47" s="151"/>
      <c r="E47" s="151"/>
      <c r="F47" s="152"/>
      <c r="G47" s="153"/>
      <c r="H47" s="151"/>
      <c r="I47" s="151"/>
      <c r="J47" s="132" t="str">
        <f aca="false">IF(ISBLANK(D47),"",IF(VLOOKUP(D47,#REF!,2)=0,"",IF(D47&gt;#REF!,"Mauvais numéro",IF(D47&lt;#REF!,"Mauvais numéro",(VLOOKUP(D47,#REF!,3))))))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54"/>
      <c r="Q47" s="149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5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4"/>
      <c r="T47" s="124"/>
      <c r="U47" s="124"/>
      <c r="V47" s="124"/>
      <c r="W47" s="124"/>
      <c r="X47" s="12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24"/>
      <c r="AJ47" s="124"/>
      <c r="AK47" s="124"/>
      <c r="AL47" s="124"/>
      <c r="AM47" s="124"/>
      <c r="AN47" s="124"/>
      <c r="AO47" s="124"/>
      <c r="AP47" s="124"/>
      <c r="AQ47" s="124"/>
      <c r="AR47" s="124"/>
      <c r="AS47" s="124"/>
      <c r="AT47" s="124"/>
      <c r="AU47" s="124"/>
      <c r="AV47" s="124"/>
      <c r="AW47" s="124"/>
      <c r="AX47" s="124"/>
      <c r="AY47" s="124"/>
      <c r="AZ47" s="124"/>
      <c r="BA47" s="124"/>
      <c r="BB47" s="136"/>
    </row>
    <row r="48" customFormat="false" ht="15.6" hidden="false" customHeight="false" outlineLevel="0" collapsed="false">
      <c r="A48" s="111" t="n">
        <f aca="false">IF(ISBLANK(VLOOKUP(D48,#REF!,3)),0,1)</f>
        <v>1</v>
      </c>
      <c r="B48" s="112" t="n">
        <f aca="false">IF(ISBLANK(D48),0,IF(ISBLANK(E48),0,IF(ISBLANK(F48),0,1)))</f>
        <v>0</v>
      </c>
      <c r="C48" s="128" t="n">
        <v>14</v>
      </c>
      <c r="D48" s="151"/>
      <c r="E48" s="151"/>
      <c r="F48" s="152"/>
      <c r="G48" s="153"/>
      <c r="H48" s="151"/>
      <c r="I48" s="151"/>
      <c r="J48" s="132" t="str">
        <f aca="false">IF(ISBLANK(D48),"",IF(VLOOKUP(D48,#REF!,2)=0,"",IF(D48&gt;#REF!,"Mauvais numéro",IF(D48&lt;#REF!,"Mauvais numéro",(VLOOKUP(D48,#REF!,3))))))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54"/>
      <c r="Q48" s="149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5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4"/>
      <c r="T48" s="124"/>
      <c r="U48" s="124"/>
      <c r="V48" s="124"/>
      <c r="W48" s="124"/>
      <c r="X48" s="124"/>
      <c r="Y48" s="124"/>
      <c r="Z48" s="124"/>
      <c r="AA48" s="124"/>
      <c r="AB48" s="124"/>
      <c r="AC48" s="124"/>
      <c r="AD48" s="124"/>
      <c r="AE48" s="124"/>
      <c r="AF48" s="124"/>
      <c r="AG48" s="124"/>
      <c r="AH48" s="124"/>
      <c r="AI48" s="124"/>
      <c r="AJ48" s="124"/>
      <c r="AK48" s="124"/>
      <c r="AL48" s="124"/>
      <c r="AM48" s="124"/>
      <c r="AN48" s="124"/>
      <c r="AO48" s="124"/>
      <c r="AP48" s="124"/>
      <c r="AQ48" s="124"/>
      <c r="AR48" s="124"/>
      <c r="AS48" s="124"/>
      <c r="AT48" s="124"/>
      <c r="AU48" s="124"/>
      <c r="AV48" s="124"/>
      <c r="AW48" s="124"/>
      <c r="AX48" s="124"/>
      <c r="AY48" s="124"/>
      <c r="AZ48" s="124"/>
      <c r="BA48" s="124"/>
      <c r="BB48" s="136"/>
    </row>
    <row r="49" customFormat="false" ht="15.6" hidden="false" customHeight="false" outlineLevel="0" collapsed="false">
      <c r="A49" s="111" t="n">
        <f aca="false">IF(ISBLANK(VLOOKUP(D49,#REF!,3)),0,1)</f>
        <v>1</v>
      </c>
      <c r="B49" s="112" t="n">
        <f aca="false">IF(ISBLANK(D49),0,IF(ISBLANK(E49),0,IF(ISBLANK(F49),0,1)))</f>
        <v>0</v>
      </c>
      <c r="C49" s="128" t="n">
        <v>15</v>
      </c>
      <c r="D49" s="151"/>
      <c r="E49" s="151"/>
      <c r="F49" s="152"/>
      <c r="G49" s="156"/>
      <c r="H49" s="151"/>
      <c r="I49" s="151"/>
      <c r="J49" s="132" t="str">
        <f aca="false">IF(ISBLANK(D49),"",IF(VLOOKUP(D49,#REF!,2)=0,"",IF(D49&gt;#REF!,"Mauvais numéro",IF(D49&lt;#REF!,"Mauvais numéro",(VLOOKUP(D49,#REF!,3))))))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57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49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24"/>
      <c r="AE49" s="124"/>
      <c r="AF49" s="124"/>
      <c r="AG49" s="124"/>
      <c r="AH49" s="124"/>
      <c r="AI49" s="124"/>
      <c r="AJ49" s="124"/>
      <c r="AK49" s="124"/>
      <c r="AL49" s="124"/>
      <c r="AM49" s="124"/>
      <c r="AN49" s="124"/>
      <c r="AO49" s="124"/>
      <c r="AP49" s="124"/>
      <c r="AQ49" s="124"/>
      <c r="AR49" s="124"/>
      <c r="AS49" s="124"/>
      <c r="AT49" s="124"/>
      <c r="AU49" s="124"/>
      <c r="AV49" s="124"/>
      <c r="AW49" s="124"/>
      <c r="AX49" s="124"/>
      <c r="AY49" s="124"/>
      <c r="AZ49" s="124"/>
      <c r="BA49" s="124"/>
      <c r="BB49" s="136"/>
    </row>
    <row r="50" customFormat="false" ht="15.6" hidden="false" customHeight="false" outlineLevel="0" collapsed="false">
      <c r="A50" s="111" t="n">
        <f aca="false">IF(ISBLANK(VLOOKUP(D50,#REF!,3)),0,1)</f>
        <v>1</v>
      </c>
      <c r="B50" s="112" t="n">
        <f aca="false">IF(ISBLANK(D50),0,IF(ISBLANK(E50),0,IF(ISBLANK(F50),0,1)))</f>
        <v>0</v>
      </c>
      <c r="C50" s="128" t="n">
        <v>16</v>
      </c>
      <c r="D50" s="151"/>
      <c r="E50" s="151"/>
      <c r="F50" s="152"/>
      <c r="G50" s="156"/>
      <c r="H50" s="151"/>
      <c r="I50" s="151"/>
      <c r="J50" s="132" t="str">
        <f aca="false">IF(ISBLANK(D50),"",IF(VLOOKUP(D50,#REF!,2)=0,"",IF(D50&gt;#REF!,"Mauvais numéro",IF(D50&lt;#REF!,"Mauvais numéro",(VLOOKUP(D50,#REF!,3))))))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57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49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24"/>
      <c r="U50" s="124"/>
      <c r="V50" s="124"/>
      <c r="W50" s="124"/>
      <c r="X50" s="124"/>
      <c r="Y50" s="124"/>
      <c r="Z50" s="124"/>
      <c r="AA50" s="124"/>
      <c r="AB50" s="124"/>
      <c r="AC50" s="124"/>
      <c r="AD50" s="124"/>
      <c r="AE50" s="124"/>
      <c r="AF50" s="124"/>
      <c r="AG50" s="124"/>
      <c r="AH50" s="124"/>
      <c r="AI50" s="124"/>
      <c r="AJ50" s="124"/>
      <c r="AK50" s="124"/>
      <c r="AL50" s="124"/>
      <c r="AM50" s="124"/>
      <c r="AN50" s="124"/>
      <c r="AO50" s="124"/>
      <c r="AP50" s="124"/>
      <c r="AQ50" s="124"/>
      <c r="AR50" s="124"/>
      <c r="AS50" s="124"/>
      <c r="AT50" s="124"/>
      <c r="AU50" s="124"/>
      <c r="AV50" s="124"/>
      <c r="AW50" s="124"/>
      <c r="AX50" s="124"/>
      <c r="AY50" s="124"/>
      <c r="AZ50" s="124"/>
      <c r="BA50" s="124"/>
      <c r="BB50" s="136"/>
    </row>
    <row r="51" customFormat="false" ht="15.6" hidden="false" customHeight="false" outlineLevel="0" collapsed="false">
      <c r="A51" s="111" t="n">
        <f aca="false">IF(ISBLANK(VLOOKUP(D51,#REF!,3)),0,1)</f>
        <v>1</v>
      </c>
      <c r="B51" s="112" t="n">
        <f aca="false">IF(ISBLANK(D51),0,IF(ISBLANK(E51),0,IF(ISBLANK(F51),0,1)))</f>
        <v>0</v>
      </c>
      <c r="C51" s="128" t="n">
        <v>17</v>
      </c>
      <c r="D51" s="151"/>
      <c r="E51" s="151"/>
      <c r="F51" s="152"/>
      <c r="G51" s="156"/>
      <c r="H51" s="151"/>
      <c r="I51" s="151"/>
      <c r="J51" s="132" t="str">
        <f aca="false">IF(ISBLANK(D51),"",IF(VLOOKUP(D51,#REF!,2)=0,"",IF(D51&gt;#REF!,"Mauvais numéro",IF(D51&lt;#REF!,"Mauvais numéro",(VLOOKUP(D51,#REF!,3))))))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57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49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24"/>
      <c r="AE51" s="124"/>
      <c r="AF51" s="124"/>
      <c r="AG51" s="124"/>
      <c r="AH51" s="124"/>
      <c r="AI51" s="124"/>
      <c r="AJ51" s="124"/>
      <c r="AK51" s="124"/>
      <c r="AL51" s="124"/>
      <c r="AM51" s="124"/>
      <c r="AN51" s="124"/>
      <c r="AO51" s="124"/>
      <c r="AP51" s="124"/>
      <c r="AQ51" s="124"/>
      <c r="AR51" s="124"/>
      <c r="AS51" s="124"/>
      <c r="AT51" s="124"/>
      <c r="AU51" s="124"/>
      <c r="AV51" s="124"/>
      <c r="AW51" s="124"/>
      <c r="AX51" s="124"/>
      <c r="AY51" s="124"/>
      <c r="AZ51" s="124"/>
      <c r="BA51" s="124"/>
      <c r="BB51" s="136"/>
    </row>
    <row r="52" customFormat="false" ht="15.6" hidden="false" customHeight="false" outlineLevel="0" collapsed="false">
      <c r="A52" s="111" t="n">
        <f aca="false">IF(ISBLANK(VLOOKUP(D52,#REF!,3)),0,1)</f>
        <v>1</v>
      </c>
      <c r="B52" s="112" t="n">
        <f aca="false">IF(ISBLANK(D52),0,IF(ISBLANK(E52),0,IF(ISBLANK(F52),0,1)))</f>
        <v>0</v>
      </c>
      <c r="C52" s="128" t="n">
        <v>18</v>
      </c>
      <c r="D52" s="151"/>
      <c r="E52" s="151"/>
      <c r="F52" s="152"/>
      <c r="G52" s="156"/>
      <c r="H52" s="151"/>
      <c r="I52" s="151"/>
      <c r="J52" s="132" t="str">
        <f aca="false">IF(ISBLANK(D52),"",IF(VLOOKUP(D52,#REF!,2)=0,"",IF(D52&gt;#REF!,"Mauvais numéro",IF(D52&lt;#REF!,"Mauvais numéro",(VLOOKUP(D52,#REF!,3))))))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57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49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24"/>
      <c r="U52" s="124"/>
      <c r="V52" s="124"/>
      <c r="W52" s="124"/>
      <c r="X52" s="124"/>
      <c r="Y52" s="124"/>
      <c r="Z52" s="124"/>
      <c r="AA52" s="124"/>
      <c r="AB52" s="124"/>
      <c r="AC52" s="124"/>
      <c r="AD52" s="124"/>
      <c r="AE52" s="124"/>
      <c r="AF52" s="124"/>
      <c r="AG52" s="124"/>
      <c r="AH52" s="124"/>
      <c r="AI52" s="124"/>
      <c r="AJ52" s="124"/>
      <c r="AK52" s="124"/>
      <c r="AL52" s="124"/>
      <c r="AM52" s="124"/>
      <c r="AN52" s="124"/>
      <c r="AO52" s="124"/>
      <c r="AP52" s="124"/>
      <c r="AQ52" s="124"/>
      <c r="AR52" s="124"/>
      <c r="AS52" s="124"/>
      <c r="AT52" s="124"/>
      <c r="AU52" s="124"/>
      <c r="AV52" s="124"/>
      <c r="AW52" s="124"/>
      <c r="AX52" s="124"/>
      <c r="AY52" s="124"/>
      <c r="AZ52" s="124"/>
      <c r="BA52" s="124"/>
      <c r="BB52" s="136"/>
    </row>
    <row r="53" customFormat="false" ht="15.6" hidden="false" customHeight="false" outlineLevel="0" collapsed="false">
      <c r="A53" s="111" t="n">
        <f aca="false">IF(ISBLANK(VLOOKUP(D53,#REF!,3)),0,1)</f>
        <v>1</v>
      </c>
      <c r="B53" s="112" t="n">
        <f aca="false">IF(ISBLANK(D53),0,IF(ISBLANK(E53),0,IF(ISBLANK(F53),0,1)))</f>
        <v>0</v>
      </c>
      <c r="C53" s="128" t="n">
        <v>19</v>
      </c>
      <c r="D53" s="151"/>
      <c r="E53" s="151"/>
      <c r="F53" s="152"/>
      <c r="G53" s="156"/>
      <c r="H53" s="151"/>
      <c r="I53" s="151"/>
      <c r="J53" s="132" t="str">
        <f aca="false">IF(ISBLANK(D53),"",IF(VLOOKUP(D53,#REF!,2)=0,"",IF(D53&gt;#REF!,"Mauvais numéro",IF(D53&lt;#REF!,"Mauvais numéro",(VLOOKUP(D53,#REF!,3))))))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57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49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24"/>
      <c r="U53" s="124"/>
      <c r="V53" s="124"/>
      <c r="W53" s="124"/>
      <c r="X53" s="12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24"/>
      <c r="AJ53" s="124"/>
      <c r="AK53" s="124"/>
      <c r="AL53" s="124"/>
      <c r="AM53" s="124"/>
      <c r="AN53" s="124"/>
      <c r="AO53" s="124"/>
      <c r="AP53" s="124"/>
      <c r="AQ53" s="124"/>
      <c r="AR53" s="124"/>
      <c r="AS53" s="124"/>
      <c r="AT53" s="124"/>
      <c r="AU53" s="124"/>
      <c r="AV53" s="124"/>
      <c r="AW53" s="124"/>
      <c r="AX53" s="124"/>
      <c r="AY53" s="124"/>
      <c r="AZ53" s="124"/>
      <c r="BA53" s="124"/>
      <c r="BB53" s="136"/>
    </row>
    <row r="54" customFormat="false" ht="15.6" hidden="false" customHeight="false" outlineLevel="0" collapsed="false">
      <c r="A54" s="111" t="n">
        <f aca="false">IF(ISBLANK(VLOOKUP(D54,#REF!,3)),0,1)</f>
        <v>1</v>
      </c>
      <c r="B54" s="112" t="n">
        <f aca="false">IF(ISBLANK(D54),0,IF(ISBLANK(E54),0,IF(ISBLANK(F54),0,1)))</f>
        <v>0</v>
      </c>
      <c r="C54" s="128" t="n">
        <v>20</v>
      </c>
      <c r="D54" s="151"/>
      <c r="E54" s="151"/>
      <c r="F54" s="152"/>
      <c r="G54" s="156"/>
      <c r="H54" s="151"/>
      <c r="I54" s="151"/>
      <c r="J54" s="132" t="str">
        <f aca="false">IF(ISBLANK(D54),"",IF(VLOOKUP(D54,#REF!,2)=0,"",IF(D54&gt;#REF!,"Mauvais numéro",IF(D54&lt;#REF!,"Mauvais numéro",(VLOOKUP(D54,#REF!,3))))))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57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49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4"/>
      <c r="U54" s="124"/>
      <c r="V54" s="124"/>
      <c r="W54" s="124"/>
      <c r="X54" s="124"/>
      <c r="Y54" s="124"/>
      <c r="Z54" s="124"/>
      <c r="AA54" s="124"/>
      <c r="AB54" s="124"/>
      <c r="AC54" s="124"/>
      <c r="AD54" s="124"/>
      <c r="AE54" s="124"/>
      <c r="AF54" s="124"/>
      <c r="AG54" s="124"/>
      <c r="AH54" s="124"/>
      <c r="AI54" s="124"/>
      <c r="AJ54" s="124"/>
      <c r="AK54" s="124"/>
      <c r="AL54" s="124"/>
      <c r="AM54" s="124"/>
      <c r="AN54" s="124"/>
      <c r="AO54" s="124"/>
      <c r="AP54" s="124"/>
      <c r="AQ54" s="124"/>
      <c r="AR54" s="124"/>
      <c r="AS54" s="124"/>
      <c r="AT54" s="124"/>
      <c r="AU54" s="124"/>
      <c r="AV54" s="124"/>
      <c r="AW54" s="124"/>
      <c r="AX54" s="124"/>
      <c r="AY54" s="124"/>
      <c r="AZ54" s="124"/>
      <c r="BA54" s="124"/>
      <c r="BB54" s="136"/>
    </row>
    <row r="55" customFormat="false" ht="15.6" hidden="false" customHeight="false" outlineLevel="0" collapsed="false">
      <c r="A55" s="111" t="n">
        <f aca="false">IF(ISBLANK(VLOOKUP(D55,#REF!,3)),0,1)</f>
        <v>1</v>
      </c>
      <c r="B55" s="112" t="n">
        <f aca="false">IF(ISBLANK(D55),0,IF(ISBLANK(E55),0,IF(ISBLANK(F55),0,1)))</f>
        <v>0</v>
      </c>
      <c r="C55" s="128" t="n">
        <v>21</v>
      </c>
      <c r="D55" s="151"/>
      <c r="E55" s="151"/>
      <c r="F55" s="152"/>
      <c r="G55" s="156"/>
      <c r="H55" s="151"/>
      <c r="I55" s="151"/>
      <c r="J55" s="132" t="str">
        <f aca="false">IF(ISBLANK(D55),"",IF(VLOOKUP(D55,#REF!,2)=0,"",IF(D55&gt;#REF!,"Mauvais numéro",IF(D55&lt;#REF!,"Mauvais numéro",(VLOOKUP(D55,#REF!,3))))))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57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49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24"/>
      <c r="U55" s="124"/>
      <c r="V55" s="124"/>
      <c r="W55" s="124"/>
      <c r="X55" s="124"/>
      <c r="Y55" s="124"/>
      <c r="Z55" s="124"/>
      <c r="AA55" s="124"/>
      <c r="AB55" s="124"/>
      <c r="AC55" s="124"/>
      <c r="AD55" s="124"/>
      <c r="AE55" s="124"/>
      <c r="AF55" s="124"/>
      <c r="AG55" s="124"/>
      <c r="AH55" s="124"/>
      <c r="AI55" s="124"/>
      <c r="AJ55" s="124"/>
      <c r="AK55" s="124"/>
      <c r="AL55" s="124"/>
      <c r="AM55" s="124"/>
      <c r="AN55" s="124"/>
      <c r="AO55" s="124"/>
      <c r="AP55" s="124"/>
      <c r="AQ55" s="124"/>
      <c r="AR55" s="124"/>
      <c r="AS55" s="124"/>
      <c r="AT55" s="124"/>
      <c r="AU55" s="124"/>
      <c r="AV55" s="124"/>
      <c r="AW55" s="124"/>
      <c r="AX55" s="124"/>
      <c r="AY55" s="124"/>
      <c r="AZ55" s="124"/>
      <c r="BA55" s="124"/>
      <c r="BB55" s="136"/>
    </row>
    <row r="56" customFormat="false" ht="15.6" hidden="false" customHeight="false" outlineLevel="0" collapsed="false">
      <c r="A56" s="111" t="n">
        <f aca="false">IF(ISBLANK(VLOOKUP(D56,#REF!,3)),0,1)</f>
        <v>1</v>
      </c>
      <c r="B56" s="112" t="n">
        <f aca="false">IF(ISBLANK(D56),0,IF(ISBLANK(E56),0,IF(ISBLANK(F56),0,1)))</f>
        <v>0</v>
      </c>
      <c r="C56" s="128" t="n">
        <v>22</v>
      </c>
      <c r="D56" s="151"/>
      <c r="E56" s="151"/>
      <c r="F56" s="152"/>
      <c r="G56" s="156"/>
      <c r="H56" s="151"/>
      <c r="I56" s="151"/>
      <c r="J56" s="132" t="str">
        <f aca="false">IF(ISBLANK(D56),"",IF(VLOOKUP(D56,#REF!,2)=0,"",IF(D56&gt;#REF!,"Mauvais numéro",IF(D56&lt;#REF!,"Mauvais numéro",(VLOOKUP(D56,#REF!,3))))))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57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49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24"/>
      <c r="AE56" s="124"/>
      <c r="AF56" s="124"/>
      <c r="AG56" s="124"/>
      <c r="AH56" s="124"/>
      <c r="AI56" s="124"/>
      <c r="AJ56" s="124"/>
      <c r="AK56" s="124"/>
      <c r="AL56" s="124"/>
      <c r="AM56" s="124"/>
      <c r="AN56" s="124"/>
      <c r="AO56" s="124"/>
      <c r="AP56" s="124"/>
      <c r="AQ56" s="124"/>
      <c r="AR56" s="124"/>
      <c r="AS56" s="124"/>
      <c r="AT56" s="124"/>
      <c r="AU56" s="124"/>
      <c r="AV56" s="124"/>
      <c r="AW56" s="124"/>
      <c r="AX56" s="124"/>
      <c r="AY56" s="124"/>
      <c r="AZ56" s="124"/>
      <c r="BA56" s="124"/>
      <c r="BB56" s="136"/>
    </row>
    <row r="57" customFormat="false" ht="15.6" hidden="false" customHeight="false" outlineLevel="0" collapsed="false">
      <c r="A57" s="111" t="n">
        <f aca="false">IF(ISBLANK(VLOOKUP(D57,#REF!,3)),0,1)</f>
        <v>1</v>
      </c>
      <c r="B57" s="112" t="n">
        <f aca="false">IF(ISBLANK(D57),0,IF(ISBLANK(E57),0,IF(ISBLANK(F57),0,1)))</f>
        <v>0</v>
      </c>
      <c r="C57" s="128" t="n">
        <v>23</v>
      </c>
      <c r="D57" s="151"/>
      <c r="E57" s="151"/>
      <c r="F57" s="152"/>
      <c r="G57" s="156"/>
      <c r="H57" s="151"/>
      <c r="I57" s="151"/>
      <c r="J57" s="132" t="str">
        <f aca="false">IF(ISBLANK(D57),"",IF(VLOOKUP(D57,#REF!,2)=0,"",IF(D57&gt;#REF!,"Mauvais numéro",IF(D57&lt;#REF!,"Mauvais numéro",(VLOOKUP(D57,#REF!,3))))))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57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49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4"/>
      <c r="U57" s="124"/>
      <c r="V57" s="124"/>
      <c r="W57" s="124"/>
      <c r="X57" s="124"/>
      <c r="Y57" s="124"/>
      <c r="Z57" s="124"/>
      <c r="AA57" s="124"/>
      <c r="AB57" s="124"/>
      <c r="AC57" s="124"/>
      <c r="AD57" s="124"/>
      <c r="AE57" s="124"/>
      <c r="AF57" s="124"/>
      <c r="AG57" s="124"/>
      <c r="AH57" s="124"/>
      <c r="AI57" s="124"/>
      <c r="AJ57" s="124"/>
      <c r="AK57" s="124"/>
      <c r="AL57" s="124"/>
      <c r="AM57" s="124"/>
      <c r="AN57" s="124"/>
      <c r="AO57" s="124"/>
      <c r="AP57" s="124"/>
      <c r="AQ57" s="124"/>
      <c r="AR57" s="124"/>
      <c r="AS57" s="124"/>
      <c r="AT57" s="124"/>
      <c r="AU57" s="124"/>
      <c r="AV57" s="124"/>
      <c r="AW57" s="124"/>
      <c r="AX57" s="124"/>
      <c r="AY57" s="124"/>
      <c r="AZ57" s="124"/>
      <c r="BA57" s="124"/>
      <c r="BB57" s="136"/>
    </row>
    <row r="58" customFormat="false" ht="16.2" hidden="false" customHeight="false" outlineLevel="0" collapsed="false">
      <c r="A58" s="111" t="n">
        <f aca="false">IF(ISBLANK(VLOOKUP(D58,#REF!,3)),0,1)</f>
        <v>1</v>
      </c>
      <c r="B58" s="112" t="n">
        <f aca="false">IF(ISBLANK(D58),0,IF(ISBLANK(E58),0,IF(ISBLANK(F58),0,1)))</f>
        <v>0</v>
      </c>
      <c r="C58" s="158" t="n">
        <v>24</v>
      </c>
      <c r="D58" s="159"/>
      <c r="E58" s="159"/>
      <c r="F58" s="160"/>
      <c r="G58" s="161"/>
      <c r="H58" s="159"/>
      <c r="I58" s="159"/>
      <c r="J58" s="162" t="str">
        <f aca="false">IF(ISBLANK(D58),"",IF(VLOOKUP(D58,#REF!,2)=0,"",IF(D58&gt;#REF!,"Mauvais numéro",IF(D58&lt;#REF!,"Mauvais numéro",(VLOOKUP(D58,#REF!,3))))))</f>
        <v/>
      </c>
      <c r="K58" s="163" t="str">
        <f aca="false">IF(ISBLANK(E58),"",(0.000824493-(0.0000040899*E58)+(0.000000076438*E58^2)-(0.00000000082467*E58^3)+(0.0000000000053875*E58^4)))</f>
        <v/>
      </c>
      <c r="L58" s="163" t="str">
        <f aca="false">IF(ISBLANK(E58),"",(-0.00000572466+(0.00000010227*E58)-(0.0000000016546*E58^2)))</f>
        <v/>
      </c>
      <c r="M58" s="163" t="str">
        <f aca="false">IF(ISBLANK(E58),"",IF(ISBLANK(G58),(O58+(K58*35)+(L58*35^1.5)+(0.00000048314*35^2)),(O58+(K58*G58)+(L58*G58^1.5)+(0.00000048314*G58^2))))</f>
        <v/>
      </c>
      <c r="N58" s="164" t="str">
        <f aca="false">IF(ISBLANK(D58),"",IF(ISBLANK(G58),J58*(1+0.00001*(35-20)),J58*(1+0.00001*(G58-20))))</f>
        <v/>
      </c>
      <c r="O58" s="163" t="str">
        <f aca="false">IF(ISBLANK(E58),"",(0.999842594+(0.00006793952*E58)-(0.00000909529*E58^2)+(0.0000001001685*E58^3)-(0.000000001120083*E58^4)+(0.000000000006536332*E58^5)))</f>
        <v/>
      </c>
      <c r="P58" s="165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66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7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7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68"/>
      <c r="U58" s="168"/>
      <c r="V58" s="168"/>
      <c r="W58" s="168"/>
      <c r="X58" s="168"/>
      <c r="Y58" s="168"/>
      <c r="Z58" s="168"/>
      <c r="AA58" s="168"/>
      <c r="AB58" s="168"/>
      <c r="AC58" s="168"/>
      <c r="AD58" s="168"/>
      <c r="AE58" s="168"/>
      <c r="AF58" s="168"/>
      <c r="AG58" s="168"/>
      <c r="AH58" s="168"/>
      <c r="AI58" s="168"/>
      <c r="AJ58" s="168"/>
      <c r="AK58" s="168"/>
      <c r="AL58" s="168"/>
      <c r="AM58" s="168"/>
      <c r="AN58" s="168"/>
      <c r="AO58" s="168"/>
      <c r="AP58" s="168"/>
      <c r="AQ58" s="168"/>
      <c r="AR58" s="168"/>
      <c r="AS58" s="168"/>
      <c r="AT58" s="168"/>
      <c r="AU58" s="168"/>
      <c r="AV58" s="168"/>
      <c r="AW58" s="168"/>
      <c r="AX58" s="168"/>
      <c r="AY58" s="168"/>
      <c r="AZ58" s="168"/>
      <c r="BA58" s="168"/>
      <c r="BB58" s="169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R1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8178137651822"/>
    <col collapsed="false" hidden="false" max="32" min="32" style="0" width="9.10526315789474"/>
    <col collapsed="false" hidden="false" max="33" min="33" style="0" width="26.5668016194332"/>
    <col collapsed="false" hidden="false" max="34" min="34" style="0" width="12.8542510121458"/>
    <col collapsed="false" hidden="false" max="35" min="35" style="0" width="11.1417004048583"/>
    <col collapsed="false" hidden="false" max="36" min="36" style="0" width="14.5668016194332"/>
    <col collapsed="false" hidden="false" max="37" min="37" style="0" width="12.2105263157895"/>
    <col collapsed="false" hidden="false" max="38" min="38" style="0" width="26.995951417004"/>
    <col collapsed="false" hidden="false" max="39" min="39" style="0" width="14.6761133603239"/>
    <col collapsed="false" hidden="false" max="40" min="40" style="0" width="11.3562753036437"/>
    <col collapsed="false" hidden="false" max="41" min="41" style="0" width="12.5344129554656"/>
    <col collapsed="false" hidden="false" max="42" min="42" style="0" width="10.7125506072875"/>
    <col collapsed="false" hidden="false" max="43" min="43" style="0" width="6.31983805668016"/>
    <col collapsed="false" hidden="false" max="44" min="44" style="0" width="19.7085020242915"/>
    <col collapsed="false" hidden="false" max="45" min="45" style="0" width="13.0688259109312"/>
    <col collapsed="false" hidden="false" max="46" min="46" style="0" width="17.7813765182186"/>
    <col collapsed="false" hidden="false" max="47" min="47" style="0" width="14.6761133603239"/>
    <col collapsed="false" hidden="false" max="48" min="48" style="0" width="13.6032388663968"/>
    <col collapsed="false" hidden="false" max="49" min="49" style="0" width="13.7125506072874"/>
    <col collapsed="false" hidden="false" max="50" min="50" style="0" width="19.9230769230769"/>
    <col collapsed="false" hidden="false" max="51" min="51" style="0" width="13.2834008097166"/>
    <col collapsed="false" hidden="false" max="52" min="52" style="0" width="17.6761133603239"/>
    <col collapsed="false" hidden="false" max="53" min="53" style="0" width="13.3886639676113"/>
    <col collapsed="false" hidden="false" max="54" min="54" style="0" width="12.6396761133603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28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38545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0</v>
      </c>
      <c r="J9" s="29" t="n">
        <v>0.06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0°0,06</v>
      </c>
      <c r="P9" s="29" t="s">
        <v>13</v>
      </c>
      <c r="Q9" s="33" t="n">
        <f aca="false">IF(ISBLANK(I9),"",IF(ISBLANK(J9),"",IF(J9&gt;60,"ERREUR !!",O11*(I9+(J9/60)))))</f>
        <v>0.001</v>
      </c>
      <c r="R9" s="33"/>
    </row>
    <row r="10" customFormat="false" ht="15" hidden="false" customHeight="true" outlineLevel="0" collapsed="false">
      <c r="C10" s="21"/>
      <c r="D10" s="18"/>
      <c r="G10" s="27" t="s">
        <v>16</v>
      </c>
      <c r="H10" s="27"/>
      <c r="I10" s="28" t="n">
        <v>9</v>
      </c>
      <c r="J10" s="29" t="n">
        <v>59.76</v>
      </c>
      <c r="K10" s="30" t="s">
        <v>12</v>
      </c>
      <c r="L10" s="31" t="str">
        <f aca="false">IF(P10=N9,"+","-")</f>
        <v>-</v>
      </c>
      <c r="M10" s="30" t="s">
        <v>15</v>
      </c>
      <c r="N10" s="30" t="s">
        <v>17</v>
      </c>
      <c r="O10" s="34" t="str">
        <f aca="false">IF(ISBLANK(I10),"",IF(ISBLANK(J10),"",IF(P10=N10,L10&amp;N12,N12)))</f>
        <v>-9°59,76</v>
      </c>
      <c r="P10" s="29" t="s">
        <v>17</v>
      </c>
      <c r="Q10" s="33" t="n">
        <f aca="false">IF(ISBLANK(I10),"",IF(ISBLANK(J10),"",IF(J10&gt;60,"ERREUR !!",O12*(I10+(J10/60)))))</f>
        <v>-9.996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38545</v>
      </c>
      <c r="K11" s="38"/>
      <c r="L11" s="38"/>
      <c r="M11" s="38"/>
      <c r="N11" s="39" t="str">
        <f aca="false">I9&amp;"°"&amp;J9</f>
        <v>0°0,06</v>
      </c>
      <c r="O11" s="40" t="n">
        <f aca="false">IF(P9=M10,-1,1)</f>
        <v>1</v>
      </c>
      <c r="P11" s="41" t="str">
        <f aca="false">TEXT(J11,"aaaa-mm-jj")&amp;"T"&amp;TEXT(J12,"hh:mm:ss")&amp;"z"</f>
        <v>2009-07-13T15:00:00z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0.625</v>
      </c>
      <c r="K12" s="45"/>
      <c r="L12" s="45"/>
      <c r="M12" s="45"/>
      <c r="N12" s="46" t="str">
        <f aca="false">I10&amp;"°"&amp;J10</f>
        <v>9°59,76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e">
        <f aca="false">$P$24*($P$18/#REF!)</f>
        <v>#REF!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e">
        <f aca="false">5+#REF!</f>
        <v>#REF!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e">
        <f aca="false">P20*(1+0.00001*(R14-20))</f>
        <v>#REF!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e">
        <f aca="false">MAX(#REF!)</f>
        <v>#VALUE!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e">
        <f aca="false">2+(#REF!+#REF!)</f>
        <v>#REF!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52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53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IF(ISBLANK(VLOOKUP(D35,#REF!,3)),0,1)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n">
        <v>34.9669</v>
      </c>
      <c r="H35" s="118" t="n">
        <v>2000</v>
      </c>
      <c r="I35" s="119" t="n">
        <v>2002.3</v>
      </c>
      <c r="J35" s="120"/>
      <c r="K35" s="121"/>
      <c r="L35" s="121"/>
      <c r="M35" s="121"/>
      <c r="N35" s="122"/>
      <c r="O35" s="121"/>
      <c r="P35" s="171" t="n">
        <v>5.756</v>
      </c>
      <c r="Q35" s="120"/>
      <c r="R35" s="120"/>
      <c r="S35" s="172" t="n">
        <v>250.2</v>
      </c>
      <c r="T35" s="32" t="n">
        <v>0</v>
      </c>
      <c r="U35" s="32" t="n">
        <v>0</v>
      </c>
      <c r="V35" s="32"/>
      <c r="W35" s="32"/>
      <c r="X35" s="125" t="n">
        <v>20.8</v>
      </c>
      <c r="Y35" s="125" t="n">
        <v>20.3</v>
      </c>
      <c r="Z35" s="32" t="n">
        <v>1.51</v>
      </c>
      <c r="AA35" s="32" t="n">
        <v>1.47</v>
      </c>
      <c r="AB35" s="125" t="n">
        <v>20.9</v>
      </c>
      <c r="AC35" s="125" t="n">
        <v>20.4</v>
      </c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7"/>
    </row>
    <row r="36" customFormat="false" ht="15.6" hidden="false" customHeight="false" outlineLevel="0" collapsed="false">
      <c r="A36" s="111" t="n">
        <f aca="false">IF(ISBLANK(VLOOKUP(D36,#REF!,3)),0,1)</f>
        <v>1</v>
      </c>
      <c r="B36" s="112" t="n">
        <f aca="false">IF(ISBLANK(D36),0,IF(ISBLANK(E36),0,IF(ISBLANK(F36),0,1)))</f>
        <v>0</v>
      </c>
      <c r="C36" s="128" t="n">
        <v>2</v>
      </c>
      <c r="D36" s="129"/>
      <c r="E36" s="129"/>
      <c r="F36" s="130"/>
      <c r="G36" s="117" t="n">
        <v>34.6033</v>
      </c>
      <c r="H36" s="131" t="n">
        <v>1000</v>
      </c>
      <c r="I36" s="119" t="n">
        <v>1000.7</v>
      </c>
      <c r="J36" s="132"/>
      <c r="K36" s="133"/>
      <c r="L36" s="133"/>
      <c r="M36" s="133"/>
      <c r="N36" s="134"/>
      <c r="O36" s="133"/>
      <c r="P36" s="171" t="n">
        <v>3.538</v>
      </c>
      <c r="Q36" s="132"/>
      <c r="R36" s="132"/>
      <c r="S36" s="172" t="n">
        <v>153.8</v>
      </c>
      <c r="T36" s="32" t="n">
        <v>0</v>
      </c>
      <c r="U36" s="32" t="n">
        <v>0</v>
      </c>
      <c r="V36" s="32"/>
      <c r="W36" s="32"/>
      <c r="X36" s="125" t="n">
        <v>34.4</v>
      </c>
      <c r="Y36" s="125" t="n">
        <v>33.7</v>
      </c>
      <c r="Z36" s="32" t="n">
        <v>2.29</v>
      </c>
      <c r="AA36" s="32" t="n">
        <v>2.24</v>
      </c>
      <c r="AB36" s="125" t="n">
        <v>30.4</v>
      </c>
      <c r="AC36" s="125" t="n">
        <v>29.7</v>
      </c>
      <c r="AD36" s="124"/>
      <c r="AE36" s="124"/>
      <c r="AF36" s="124"/>
      <c r="AG36" s="124"/>
      <c r="AH36" s="124"/>
      <c r="AI36" s="124"/>
      <c r="AJ36" s="124"/>
      <c r="AK36" s="124"/>
      <c r="AL36" s="124"/>
      <c r="AM36" s="124"/>
      <c r="AN36" s="124"/>
      <c r="AO36" s="124"/>
      <c r="AP36" s="124"/>
      <c r="AQ36" s="124"/>
      <c r="AR36" s="124"/>
      <c r="AS36" s="124"/>
      <c r="AT36" s="124"/>
      <c r="AU36" s="124"/>
      <c r="AV36" s="124"/>
      <c r="AW36" s="124"/>
      <c r="AX36" s="124"/>
      <c r="AY36" s="124"/>
      <c r="AZ36" s="124"/>
      <c r="BA36" s="124"/>
      <c r="BB36" s="136"/>
    </row>
    <row r="37" customFormat="false" ht="15.6" hidden="false" customHeight="false" outlineLevel="0" collapsed="false">
      <c r="A37" s="111" t="n">
        <f aca="false">IF(ISBLANK(VLOOKUP(D37,#REF!,3)),0,1)</f>
        <v>1</v>
      </c>
      <c r="B37" s="112" t="n">
        <f aca="false">IF(ISBLANK(D37),0,IF(ISBLANK(E37),0,IF(ISBLANK(F37),0,1)))</f>
        <v>0</v>
      </c>
      <c r="C37" s="128" t="n">
        <v>3</v>
      </c>
      <c r="D37" s="129"/>
      <c r="E37" s="129"/>
      <c r="F37" s="137"/>
      <c r="G37" s="117" t="n">
        <v>34.604</v>
      </c>
      <c r="H37" s="131" t="n">
        <v>1000</v>
      </c>
      <c r="I37" s="119" t="n">
        <v>1000.4</v>
      </c>
      <c r="J37" s="132"/>
      <c r="K37" s="133"/>
      <c r="L37" s="133"/>
      <c r="M37" s="133"/>
      <c r="N37" s="134"/>
      <c r="O37" s="133"/>
      <c r="P37" s="171" t="n">
        <v>3.539</v>
      </c>
      <c r="Q37" s="132"/>
      <c r="R37" s="132"/>
      <c r="S37" s="172" t="n">
        <v>153.8</v>
      </c>
      <c r="T37" s="32" t="n">
        <v>0</v>
      </c>
      <c r="U37" s="32" t="n">
        <v>0</v>
      </c>
      <c r="V37" s="32"/>
      <c r="W37" s="32"/>
      <c r="X37" s="125" t="n">
        <v>33.7</v>
      </c>
      <c r="Y37" s="125" t="n">
        <v>33</v>
      </c>
      <c r="Z37" s="32" t="n">
        <v>2.25</v>
      </c>
      <c r="AA37" s="32" t="n">
        <v>2.2</v>
      </c>
      <c r="AB37" s="125" t="n">
        <v>30.3</v>
      </c>
      <c r="AC37" s="125" t="n">
        <v>29.6</v>
      </c>
      <c r="AD37" s="124"/>
      <c r="AE37" s="124"/>
      <c r="AF37" s="124"/>
      <c r="AG37" s="124"/>
      <c r="AH37" s="124"/>
      <c r="AI37" s="124"/>
      <c r="AJ37" s="124"/>
      <c r="AK37" s="124"/>
      <c r="AL37" s="124"/>
      <c r="AM37" s="124"/>
      <c r="AN37" s="124"/>
      <c r="AO37" s="124"/>
      <c r="AP37" s="124"/>
      <c r="AQ37" s="124"/>
      <c r="AR37" s="124"/>
      <c r="AS37" s="124"/>
      <c r="AT37" s="124"/>
      <c r="AU37" s="124"/>
      <c r="AV37" s="124"/>
      <c r="AW37" s="124"/>
      <c r="AX37" s="124"/>
      <c r="AY37" s="124"/>
      <c r="AZ37" s="124"/>
      <c r="BA37" s="124"/>
      <c r="BB37" s="136"/>
    </row>
    <row r="38" customFormat="false" ht="15.6" hidden="false" customHeight="false" outlineLevel="0" collapsed="false">
      <c r="A38" s="111" t="n">
        <f aca="false">IF(ISBLANK(VLOOKUP(D38,#REF!,3)),0,1)</f>
        <v>1</v>
      </c>
      <c r="B38" s="112" t="n">
        <f aca="false">IF(ISBLANK(D38),0,IF(ISBLANK(E38),0,IF(ISBLANK(F38),0,1)))</f>
        <v>0</v>
      </c>
      <c r="C38" s="128" t="n">
        <v>4</v>
      </c>
      <c r="D38" s="138"/>
      <c r="E38" s="138"/>
      <c r="F38" s="139"/>
      <c r="G38" s="117" t="n">
        <v>34.6052</v>
      </c>
      <c r="H38" s="131" t="n">
        <v>500</v>
      </c>
      <c r="I38" s="119" t="n">
        <v>499.9</v>
      </c>
      <c r="J38" s="132"/>
      <c r="K38" s="133"/>
      <c r="L38" s="133"/>
      <c r="M38" s="133"/>
      <c r="N38" s="134"/>
      <c r="O38" s="133"/>
      <c r="P38" s="171" t="n">
        <v>2.887</v>
      </c>
      <c r="Q38" s="132"/>
      <c r="R38" s="132"/>
      <c r="S38" s="172" t="n">
        <v>125.6</v>
      </c>
      <c r="T38" s="32" t="n">
        <v>0</v>
      </c>
      <c r="U38" s="32" t="n">
        <v>0</v>
      </c>
      <c r="V38" s="32"/>
      <c r="W38" s="32"/>
      <c r="X38" s="125" t="n">
        <v>33.7</v>
      </c>
      <c r="Y38" s="125" t="n">
        <v>32.9</v>
      </c>
      <c r="Z38" s="32" t="n">
        <v>2.19</v>
      </c>
      <c r="AA38" s="32" t="n">
        <v>2.14</v>
      </c>
      <c r="AB38" s="125" t="n">
        <v>19.9</v>
      </c>
      <c r="AC38" s="125" t="n">
        <v>19.5</v>
      </c>
      <c r="AD38" s="124"/>
      <c r="AE38" s="124"/>
      <c r="AF38" s="124"/>
      <c r="AG38" s="124"/>
      <c r="AH38" s="124"/>
      <c r="AI38" s="124"/>
      <c r="AJ38" s="124"/>
      <c r="AK38" s="124"/>
      <c r="AL38" s="124"/>
      <c r="AM38" s="124"/>
      <c r="AN38" s="124"/>
      <c r="AO38" s="124"/>
      <c r="AP38" s="124"/>
      <c r="AQ38" s="124"/>
      <c r="AR38" s="124"/>
      <c r="AS38" s="124"/>
      <c r="AT38" s="124"/>
      <c r="AU38" s="124"/>
      <c r="AV38" s="124"/>
      <c r="AW38" s="124"/>
      <c r="AX38" s="124"/>
      <c r="AY38" s="124"/>
      <c r="AZ38" s="124"/>
      <c r="BA38" s="124"/>
      <c r="BB38" s="136"/>
    </row>
    <row r="39" customFormat="false" ht="15.6" hidden="false" customHeight="false" outlineLevel="0" collapsed="false">
      <c r="A39" s="111" t="n">
        <f aca="false">IF(ISBLANK(VLOOKUP(D39,#REF!,3)),0,1)</f>
        <v>1</v>
      </c>
      <c r="B39" s="112" t="n">
        <f aca="false">IF(ISBLANK(D39),0,IF(ISBLANK(E39),0,IF(ISBLANK(F39),0,1)))</f>
        <v>0</v>
      </c>
      <c r="C39" s="128" t="n">
        <v>5</v>
      </c>
      <c r="D39" s="129"/>
      <c r="E39" s="129"/>
      <c r="F39" s="137"/>
      <c r="G39" s="117" t="n">
        <v>35.6967</v>
      </c>
      <c r="H39" s="131" t="n">
        <v>100</v>
      </c>
      <c r="I39" s="119" t="n">
        <v>99.4</v>
      </c>
      <c r="J39" s="132"/>
      <c r="K39" s="133"/>
      <c r="L39" s="133"/>
      <c r="M39" s="133"/>
      <c r="N39" s="134"/>
      <c r="O39" s="133"/>
      <c r="P39" s="171" t="n">
        <v>3.641</v>
      </c>
      <c r="Q39" s="132"/>
      <c r="R39" s="132"/>
      <c r="S39" s="172" t="n">
        <v>158.4</v>
      </c>
      <c r="T39" s="32" t="n">
        <v>0</v>
      </c>
      <c r="U39" s="32" t="n">
        <v>0</v>
      </c>
      <c r="V39" s="32"/>
      <c r="W39" s="32"/>
      <c r="X39" s="125" t="n">
        <v>13</v>
      </c>
      <c r="Y39" s="125" t="n">
        <v>12.7</v>
      </c>
      <c r="Z39" s="32" t="n">
        <v>0.99</v>
      </c>
      <c r="AA39" s="32" t="n">
        <v>0.96</v>
      </c>
      <c r="AB39" s="125" t="n">
        <v>5</v>
      </c>
      <c r="AC39" s="125" t="n">
        <v>4.8</v>
      </c>
      <c r="AD39" s="140"/>
      <c r="AE39" s="140"/>
      <c r="AF39" s="140"/>
      <c r="AG39" s="140"/>
      <c r="AH39" s="140"/>
      <c r="AI39" s="140"/>
      <c r="AJ39" s="140"/>
      <c r="AK39" s="140"/>
      <c r="AL39" s="140"/>
      <c r="AM39" s="140"/>
      <c r="AN39" s="140"/>
      <c r="AO39" s="140"/>
      <c r="AP39" s="140"/>
      <c r="AQ39" s="140"/>
      <c r="AR39" s="140"/>
      <c r="AS39" s="140"/>
      <c r="AT39" s="140"/>
      <c r="AU39" s="140"/>
      <c r="AV39" s="140"/>
      <c r="AW39" s="140"/>
      <c r="AX39" s="140"/>
      <c r="AY39" s="140"/>
      <c r="AZ39" s="140"/>
      <c r="BA39" s="140"/>
      <c r="BB39" s="141"/>
    </row>
    <row r="40" customFormat="false" ht="15.6" hidden="false" customHeight="false" outlineLevel="0" collapsed="false">
      <c r="A40" s="111" t="n">
        <f aca="false">IF(ISBLANK(VLOOKUP(D40,#REF!,3)),0,1)</f>
        <v>1</v>
      </c>
      <c r="B40" s="112" t="n">
        <f aca="false">IF(ISBLANK(D40),0,IF(ISBLANK(E40),0,IF(ISBLANK(F40),0,1)))</f>
        <v>0</v>
      </c>
      <c r="C40" s="128" t="n">
        <v>6</v>
      </c>
      <c r="D40" s="129"/>
      <c r="E40" s="129"/>
      <c r="F40" s="137"/>
      <c r="G40" s="117"/>
      <c r="H40" s="131" t="n">
        <v>80</v>
      </c>
      <c r="I40" s="119"/>
      <c r="J40" s="132"/>
      <c r="K40" s="133"/>
      <c r="L40" s="133"/>
      <c r="M40" s="133"/>
      <c r="N40" s="134"/>
      <c r="O40" s="133"/>
      <c r="P40" s="171"/>
      <c r="Q40" s="132"/>
      <c r="R40" s="132"/>
      <c r="S40" s="172"/>
      <c r="T40" s="32" t="n">
        <v>0.02</v>
      </c>
      <c r="U40" s="32" t="n">
        <v>0.01</v>
      </c>
      <c r="V40" s="32"/>
      <c r="W40" s="32"/>
      <c r="X40" s="125" t="n">
        <v>12</v>
      </c>
      <c r="Y40" s="125" t="n">
        <v>11.7</v>
      </c>
      <c r="Z40" s="32" t="n">
        <v>0.95</v>
      </c>
      <c r="AA40" s="32" t="n">
        <v>0.93</v>
      </c>
      <c r="AB40" s="125" t="n">
        <v>4.7</v>
      </c>
      <c r="AC40" s="125" t="n">
        <v>4.6</v>
      </c>
      <c r="AD40" s="140"/>
      <c r="AE40" s="140"/>
      <c r="AF40" s="140"/>
      <c r="AG40" s="140"/>
      <c r="AH40" s="140"/>
      <c r="AI40" s="140"/>
      <c r="AJ40" s="140"/>
      <c r="AK40" s="140"/>
      <c r="AL40" s="140"/>
      <c r="AM40" s="140"/>
      <c r="AN40" s="140"/>
      <c r="AO40" s="140"/>
      <c r="AP40" s="140"/>
      <c r="AQ40" s="140"/>
      <c r="AR40" s="140"/>
      <c r="AS40" s="140"/>
      <c r="AT40" s="140"/>
      <c r="AU40" s="140"/>
      <c r="AV40" s="140"/>
      <c r="AW40" s="140"/>
      <c r="AX40" s="140"/>
      <c r="AY40" s="140"/>
      <c r="AZ40" s="140"/>
      <c r="BA40" s="140"/>
      <c r="BB40" s="141"/>
    </row>
    <row r="41" customFormat="false" ht="15.6" hidden="false" customHeight="false" outlineLevel="0" collapsed="false">
      <c r="A41" s="111" t="n">
        <f aca="false">IF(ISBLANK(VLOOKUP(D41,#REF!,3)),0,1)</f>
        <v>1</v>
      </c>
      <c r="B41" s="112" t="n">
        <f aca="false">IF(ISBLANK(D41),0,IF(ISBLANK(E41),0,IF(ISBLANK(F41),0,1)))</f>
        <v>0</v>
      </c>
      <c r="C41" s="128" t="n">
        <v>7</v>
      </c>
      <c r="D41" s="129"/>
      <c r="E41" s="129"/>
      <c r="F41" s="137"/>
      <c r="G41" s="117"/>
      <c r="H41" s="131" t="n">
        <v>60</v>
      </c>
      <c r="I41" s="119"/>
      <c r="J41" s="132"/>
      <c r="K41" s="133"/>
      <c r="L41" s="133"/>
      <c r="M41" s="133"/>
      <c r="N41" s="134"/>
      <c r="O41" s="133"/>
      <c r="P41" s="171"/>
      <c r="Q41" s="132"/>
      <c r="R41" s="132"/>
      <c r="S41" s="172"/>
      <c r="T41" s="32" t="n">
        <v>0.03</v>
      </c>
      <c r="U41" s="32" t="n">
        <v>0.02</v>
      </c>
      <c r="V41" s="32"/>
      <c r="W41" s="32"/>
      <c r="X41" s="125" t="n">
        <v>11.1</v>
      </c>
      <c r="Y41" s="125" t="n">
        <v>10.8</v>
      </c>
      <c r="Z41" s="32" t="n">
        <v>0.9</v>
      </c>
      <c r="AA41" s="32" t="n">
        <v>0.88</v>
      </c>
      <c r="AB41" s="125" t="n">
        <v>4.5</v>
      </c>
      <c r="AC41" s="125" t="n">
        <v>4.4</v>
      </c>
      <c r="AD41" s="140"/>
      <c r="AE41" s="140"/>
      <c r="AF41" s="140"/>
      <c r="AG41" s="140"/>
      <c r="AH41" s="140"/>
      <c r="AI41" s="140"/>
      <c r="AJ41" s="140"/>
      <c r="AK41" s="140"/>
      <c r="AL41" s="140"/>
      <c r="AM41" s="140"/>
      <c r="AN41" s="140"/>
      <c r="AO41" s="140"/>
      <c r="AP41" s="140"/>
      <c r="AQ41" s="140"/>
      <c r="AR41" s="140"/>
      <c r="AS41" s="140"/>
      <c r="AT41" s="140"/>
      <c r="AU41" s="140"/>
      <c r="AV41" s="140"/>
      <c r="AW41" s="140"/>
      <c r="AX41" s="140"/>
      <c r="AY41" s="140"/>
      <c r="AZ41" s="140"/>
      <c r="BA41" s="140"/>
      <c r="BB41" s="141"/>
    </row>
    <row r="42" customFormat="false" ht="15.6" hidden="false" customHeight="false" outlineLevel="0" collapsed="false">
      <c r="A42" s="111" t="n">
        <f aca="false">IF(ISBLANK(VLOOKUP(D42,#REF!,3)),0,1)</f>
        <v>1</v>
      </c>
      <c r="B42" s="112" t="n">
        <f aca="false">IF(ISBLANK(D42),0,IF(ISBLANK(E42),0,IF(ISBLANK(F42),0,1)))</f>
        <v>0</v>
      </c>
      <c r="C42" s="128" t="n">
        <v>8</v>
      </c>
      <c r="D42" s="129"/>
      <c r="E42" s="129"/>
      <c r="F42" s="137"/>
      <c r="G42" s="117"/>
      <c r="H42" s="131" t="n">
        <v>40</v>
      </c>
      <c r="I42" s="119"/>
      <c r="J42" s="132"/>
      <c r="K42" s="133"/>
      <c r="L42" s="133"/>
      <c r="M42" s="133"/>
      <c r="N42" s="134"/>
      <c r="O42" s="133"/>
      <c r="P42" s="171"/>
      <c r="Q42" s="132"/>
      <c r="R42" s="132"/>
      <c r="S42" s="172"/>
      <c r="T42" s="32" t="n">
        <v>0.03</v>
      </c>
      <c r="U42" s="32" t="n">
        <v>0.03</v>
      </c>
      <c r="V42" s="32"/>
      <c r="W42" s="32"/>
      <c r="X42" s="125" t="n">
        <v>10.8</v>
      </c>
      <c r="Y42" s="125" t="n">
        <v>10.5</v>
      </c>
      <c r="Z42" s="32" t="n">
        <v>0.84</v>
      </c>
      <c r="AA42" s="32" t="n">
        <v>0.82</v>
      </c>
      <c r="AB42" s="125" t="n">
        <v>4.4</v>
      </c>
      <c r="AC42" s="125" t="n">
        <v>4.3</v>
      </c>
      <c r="AD42" s="140"/>
      <c r="AE42" s="140"/>
      <c r="AF42" s="140"/>
      <c r="AG42" s="140"/>
      <c r="AH42" s="140"/>
      <c r="AI42" s="140"/>
      <c r="AJ42" s="140"/>
      <c r="AK42" s="140"/>
      <c r="AL42" s="140"/>
      <c r="AM42" s="140"/>
      <c r="AN42" s="140"/>
      <c r="AO42" s="140"/>
      <c r="AP42" s="140"/>
      <c r="AQ42" s="140"/>
      <c r="AR42" s="140"/>
      <c r="AS42" s="140"/>
      <c r="AT42" s="140"/>
      <c r="AU42" s="140"/>
      <c r="AV42" s="140"/>
      <c r="AW42" s="140"/>
      <c r="AX42" s="140"/>
      <c r="AY42" s="140"/>
      <c r="AZ42" s="140"/>
      <c r="BA42" s="140"/>
      <c r="BB42" s="141"/>
    </row>
    <row r="43" customFormat="false" ht="15.6" hidden="false" customHeight="false" outlineLevel="0" collapsed="false">
      <c r="A43" s="111" t="n">
        <f aca="false">IF(ISBLANK(VLOOKUP(D43,#REF!,3)),0,1)</f>
        <v>1</v>
      </c>
      <c r="B43" s="112" t="n">
        <f aca="false">IF(ISBLANK(D43),0,IF(ISBLANK(E43),0,IF(ISBLANK(F43),0,1)))</f>
        <v>0</v>
      </c>
      <c r="C43" s="128" t="n">
        <v>9</v>
      </c>
      <c r="D43" s="129"/>
      <c r="E43" s="129"/>
      <c r="F43" s="137"/>
      <c r="G43" s="117"/>
      <c r="H43" s="131" t="n">
        <v>20</v>
      </c>
      <c r="I43" s="119"/>
      <c r="J43" s="132"/>
      <c r="K43" s="133"/>
      <c r="L43" s="133"/>
      <c r="M43" s="133"/>
      <c r="N43" s="134"/>
      <c r="O43" s="133"/>
      <c r="P43" s="171"/>
      <c r="Q43" s="132"/>
      <c r="R43" s="132"/>
      <c r="S43" s="172"/>
      <c r="T43" s="32" t="n">
        <v>0.08</v>
      </c>
      <c r="U43" s="32" t="n">
        <v>0.08</v>
      </c>
      <c r="V43" s="32"/>
      <c r="W43" s="32"/>
      <c r="X43" s="125" t="n">
        <v>4.7</v>
      </c>
      <c r="Y43" s="125" t="n">
        <v>4.5</v>
      </c>
      <c r="Z43" s="32" t="n">
        <v>0.52</v>
      </c>
      <c r="AA43" s="32" t="n">
        <v>0.51</v>
      </c>
      <c r="AB43" s="125" t="n">
        <v>2.5</v>
      </c>
      <c r="AC43" s="125" t="n">
        <v>2.4</v>
      </c>
      <c r="AD43" s="140"/>
      <c r="AE43" s="140"/>
      <c r="AF43" s="140"/>
      <c r="AG43" s="140"/>
      <c r="AH43" s="140"/>
      <c r="AI43" s="140"/>
      <c r="AJ43" s="140"/>
      <c r="AK43" s="140"/>
      <c r="AL43" s="140"/>
      <c r="AM43" s="140"/>
      <c r="AN43" s="140"/>
      <c r="AO43" s="140"/>
      <c r="AP43" s="140"/>
      <c r="AQ43" s="140"/>
      <c r="AR43" s="140"/>
      <c r="AS43" s="140"/>
      <c r="AT43" s="140"/>
      <c r="AU43" s="140"/>
      <c r="AV43" s="140"/>
      <c r="AW43" s="140"/>
      <c r="AX43" s="140"/>
      <c r="AY43" s="140"/>
      <c r="AZ43" s="140"/>
      <c r="BA43" s="140"/>
      <c r="BB43" s="141"/>
    </row>
    <row r="44" customFormat="false" ht="15.6" hidden="false" customHeight="false" outlineLevel="0" collapsed="false">
      <c r="A44" s="111" t="n">
        <f aca="false">IF(ISBLANK(VLOOKUP(D44,#REF!,3)),0,1)</f>
        <v>1</v>
      </c>
      <c r="B44" s="112" t="n">
        <f aca="false">IF(ISBLANK(D44),0,IF(ISBLANK(E44),0,IF(ISBLANK(F44),0,1)))</f>
        <v>0</v>
      </c>
      <c r="C44" s="128" t="n">
        <v>10</v>
      </c>
      <c r="D44" s="129"/>
      <c r="E44" s="129"/>
      <c r="F44" s="137"/>
      <c r="G44" s="117"/>
      <c r="H44" s="131" t="n">
        <v>10</v>
      </c>
      <c r="I44" s="119"/>
      <c r="J44" s="132"/>
      <c r="K44" s="133"/>
      <c r="L44" s="133"/>
      <c r="M44" s="133"/>
      <c r="N44" s="134"/>
      <c r="O44" s="133"/>
      <c r="P44" s="171"/>
      <c r="Q44" s="132"/>
      <c r="R44" s="132"/>
      <c r="S44" s="172"/>
      <c r="T44" s="32" t="n">
        <v>0.06</v>
      </c>
      <c r="U44" s="32" t="n">
        <v>0.06</v>
      </c>
      <c r="V44" s="32"/>
      <c r="W44" s="32"/>
      <c r="X44" s="125" t="n">
        <v>3.8</v>
      </c>
      <c r="Y44" s="125" t="n">
        <v>3.7</v>
      </c>
      <c r="Z44" s="32" t="n">
        <v>0.47</v>
      </c>
      <c r="AA44" s="32" t="n">
        <v>0.46</v>
      </c>
      <c r="AB44" s="125" t="n">
        <v>2.2</v>
      </c>
      <c r="AC44" s="125" t="n">
        <v>2.1</v>
      </c>
      <c r="AD44" s="124"/>
      <c r="AE44" s="124"/>
      <c r="AF44" s="124"/>
      <c r="AG44" s="124"/>
      <c r="AH44" s="124"/>
      <c r="AI44" s="124"/>
      <c r="AJ44" s="124"/>
      <c r="AK44" s="124"/>
      <c r="AL44" s="124"/>
      <c r="AM44" s="124"/>
      <c r="AN44" s="124"/>
      <c r="AO44" s="124"/>
      <c r="AP44" s="124"/>
      <c r="AQ44" s="124"/>
      <c r="AR44" s="124"/>
      <c r="AS44" s="124"/>
      <c r="AT44" s="124"/>
      <c r="AU44" s="124"/>
      <c r="AV44" s="124"/>
      <c r="AW44" s="124"/>
      <c r="AX44" s="124"/>
      <c r="AY44" s="124"/>
      <c r="AZ44" s="124"/>
      <c r="BA44" s="124"/>
      <c r="BB44" s="136"/>
    </row>
    <row r="45" customFormat="false" ht="15.6" hidden="false" customHeight="false" outlineLevel="0" collapsed="false">
      <c r="A45" s="111" t="n">
        <f aca="false">IF(ISBLANK(VLOOKUP(D45,#REF!,3)),0,1)</f>
        <v>1</v>
      </c>
      <c r="B45" s="112" t="n">
        <f aca="false">IF(ISBLANK(D45),0,IF(ISBLANK(E45),0,IF(ISBLANK(F45),0,1)))</f>
        <v>0</v>
      </c>
      <c r="C45" s="128" t="n">
        <v>11</v>
      </c>
      <c r="D45" s="129"/>
      <c r="E45" s="129"/>
      <c r="F45" s="137"/>
      <c r="G45" s="117" t="n">
        <v>35.8486</v>
      </c>
      <c r="H45" s="131" t="n">
        <v>0</v>
      </c>
      <c r="I45" s="119" t="n">
        <v>10.6</v>
      </c>
      <c r="J45" s="132"/>
      <c r="K45" s="133"/>
      <c r="L45" s="133"/>
      <c r="M45" s="133"/>
      <c r="N45" s="134"/>
      <c r="O45" s="133"/>
      <c r="P45" s="171" t="n">
        <v>4.717</v>
      </c>
      <c r="Q45" s="132"/>
      <c r="R45" s="132"/>
      <c r="S45" s="172" t="n">
        <v>205.6</v>
      </c>
      <c r="T45" s="132"/>
      <c r="U45" s="132"/>
      <c r="V45" s="132"/>
      <c r="W45" s="132"/>
      <c r="X45" s="132"/>
      <c r="Y45" s="132"/>
      <c r="Z45" s="132"/>
      <c r="AA45" s="132"/>
      <c r="AB45" s="132"/>
      <c r="AC45" s="132"/>
      <c r="AD45" s="124"/>
      <c r="AE45" s="124"/>
      <c r="AF45" s="124"/>
      <c r="AG45" s="124"/>
      <c r="AH45" s="124"/>
      <c r="AI45" s="124"/>
      <c r="AJ45" s="124"/>
      <c r="AK45" s="124"/>
      <c r="AL45" s="124"/>
      <c r="AM45" s="124"/>
      <c r="AN45" s="124"/>
      <c r="AO45" s="124"/>
      <c r="AP45" s="124"/>
      <c r="AQ45" s="124"/>
      <c r="AR45" s="124"/>
      <c r="AS45" s="124"/>
      <c r="AT45" s="124"/>
      <c r="AU45" s="124"/>
      <c r="AV45" s="124"/>
      <c r="AW45" s="124"/>
      <c r="AX45" s="124"/>
      <c r="AY45" s="124"/>
      <c r="AZ45" s="124"/>
      <c r="BA45" s="124"/>
      <c r="BB45" s="136"/>
    </row>
    <row r="46" customFormat="false" ht="15.6" hidden="false" customHeight="false" outlineLevel="0" collapsed="false">
      <c r="A46" s="111" t="n">
        <f aca="false">IF(ISBLANK(VLOOKUP(D46,#REF!,3)),0,1)</f>
        <v>1</v>
      </c>
      <c r="B46" s="112" t="n">
        <f aca="false">IF(ISBLANK(D46),0,IF(ISBLANK(E46),0,IF(ISBLANK(F46),0,1)))</f>
        <v>0</v>
      </c>
      <c r="C46" s="128" t="n">
        <v>12</v>
      </c>
      <c r="D46" s="142"/>
      <c r="E46" s="142"/>
      <c r="F46" s="143"/>
      <c r="G46" s="144"/>
      <c r="H46" s="142"/>
      <c r="I46" s="145"/>
      <c r="J46" s="132" t="str">
        <f aca="false">IF(ISBLANK(D46),"",IF(VLOOKUP(D46,#REF!,2)=0,"",IF(D46&gt;#REF!,"Mauvais numéro",IF(D46&lt;#REF!,"Mauvais numéro",(VLOOKUP(D46,#REF!,3))))))</f>
        <v/>
      </c>
      <c r="K46" s="146" t="str">
        <f aca="false">IF(ISBLANK(E46),"",(0.000824493-(0.0000040899*E46)+(0.000000076438*E46^2)-(0.00000000082467*E46^3)+(0.0000000000053875*E46^4)))</f>
        <v/>
      </c>
      <c r="L46" s="146" t="str">
        <f aca="false">IF(ISBLANK(E46),"",(-0.00000572466+(0.00000010227*E46)-(0.0000000016546*E46^2)))</f>
        <v/>
      </c>
      <c r="M46" s="146" t="str">
        <f aca="false">IF(ISBLANK(E46),"",IF(ISBLANK(G46),(O46+(K46*35)+(L46*35^1.5)+(0.00000048314*35^2)),(O46+(K46*G46)+(L46*G46^1.5)+(0.00000048314*G46^2))))</f>
        <v/>
      </c>
      <c r="N46" s="147" t="str">
        <f aca="false">IF(ISBLANK(D46),"",IF(ISBLANK(G46),J46*(1+0.00001*(35-20)),J46*(1+0.00001*(G46-20))))</f>
        <v/>
      </c>
      <c r="O46" s="146" t="str">
        <f aca="false">IF(ISBLANK(E46),"",(0.999842594+(0.00006793952*E46)-(0.00000909529*E46^2)+(0.0000001001685*E46^3)-(0.000000001120083*E46^4)+(0.000000000006536332*E46^5)))</f>
        <v/>
      </c>
      <c r="P46" s="148"/>
      <c r="Q46" s="149"/>
      <c r="R46" s="150"/>
      <c r="S46" s="150"/>
      <c r="T46" s="124"/>
      <c r="U46" s="124"/>
      <c r="V46" s="124"/>
      <c r="W46" s="124"/>
      <c r="X46" s="124"/>
      <c r="Y46" s="124"/>
      <c r="Z46" s="124"/>
      <c r="AA46" s="124"/>
      <c r="AB46" s="124"/>
      <c r="AC46" s="124"/>
      <c r="AD46" s="124"/>
      <c r="AE46" s="124"/>
      <c r="AF46" s="124"/>
      <c r="AG46" s="124"/>
      <c r="AH46" s="124"/>
      <c r="AI46" s="124"/>
      <c r="AJ46" s="124"/>
      <c r="AK46" s="124"/>
      <c r="AL46" s="124"/>
      <c r="AM46" s="124"/>
      <c r="AN46" s="124"/>
      <c r="AO46" s="124"/>
      <c r="AP46" s="124"/>
      <c r="AQ46" s="124"/>
      <c r="AR46" s="124"/>
      <c r="AS46" s="124"/>
      <c r="AT46" s="124"/>
      <c r="AU46" s="124"/>
      <c r="AV46" s="124"/>
      <c r="AW46" s="124"/>
      <c r="AX46" s="124"/>
      <c r="AY46" s="124"/>
      <c r="AZ46" s="124"/>
      <c r="BA46" s="124"/>
      <c r="BB46" s="136"/>
    </row>
    <row r="47" customFormat="false" ht="15.6" hidden="false" customHeight="false" outlineLevel="0" collapsed="false">
      <c r="A47" s="111" t="n">
        <f aca="false">IF(ISBLANK(VLOOKUP(D47,#REF!,3)),0,1)</f>
        <v>1</v>
      </c>
      <c r="B47" s="112" t="n">
        <f aca="false">IF(ISBLANK(D47),0,IF(ISBLANK(E47),0,IF(ISBLANK(F47),0,1)))</f>
        <v>0</v>
      </c>
      <c r="C47" s="128" t="n">
        <v>13</v>
      </c>
      <c r="D47" s="151"/>
      <c r="E47" s="151"/>
      <c r="F47" s="152"/>
      <c r="G47" s="153"/>
      <c r="H47" s="151"/>
      <c r="I47" s="151"/>
      <c r="J47" s="132" t="str">
        <f aca="false">IF(ISBLANK(D47),"",IF(VLOOKUP(D47,#REF!,2)=0,"",IF(D47&gt;#REF!,"Mauvais numéro",IF(D47&lt;#REF!,"Mauvais numéro",(VLOOKUP(D47,#REF!,3))))))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54"/>
      <c r="Q47" s="149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5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4"/>
      <c r="T47" s="124"/>
      <c r="U47" s="124"/>
      <c r="V47" s="124"/>
      <c r="W47" s="124"/>
      <c r="X47" s="12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24"/>
      <c r="AJ47" s="124"/>
      <c r="AK47" s="124"/>
      <c r="AL47" s="124"/>
      <c r="AM47" s="124"/>
      <c r="AN47" s="124"/>
      <c r="AO47" s="124"/>
      <c r="AP47" s="124"/>
      <c r="AQ47" s="124"/>
      <c r="AR47" s="124"/>
      <c r="AS47" s="124"/>
      <c r="AT47" s="124"/>
      <c r="AU47" s="124"/>
      <c r="AV47" s="124"/>
      <c r="AW47" s="124"/>
      <c r="AX47" s="124"/>
      <c r="AY47" s="124"/>
      <c r="AZ47" s="124"/>
      <c r="BA47" s="124"/>
      <c r="BB47" s="136"/>
    </row>
    <row r="48" customFormat="false" ht="15.6" hidden="false" customHeight="false" outlineLevel="0" collapsed="false">
      <c r="A48" s="111" t="n">
        <f aca="false">IF(ISBLANK(VLOOKUP(D48,#REF!,3)),0,1)</f>
        <v>1</v>
      </c>
      <c r="B48" s="112" t="n">
        <f aca="false">IF(ISBLANK(D48),0,IF(ISBLANK(E48),0,IF(ISBLANK(F48),0,1)))</f>
        <v>0</v>
      </c>
      <c r="C48" s="128" t="n">
        <v>14</v>
      </c>
      <c r="D48" s="151"/>
      <c r="E48" s="151"/>
      <c r="F48" s="152"/>
      <c r="G48" s="153"/>
      <c r="H48" s="151"/>
      <c r="I48" s="151"/>
      <c r="J48" s="132" t="str">
        <f aca="false">IF(ISBLANK(D48),"",IF(VLOOKUP(D48,#REF!,2)=0,"",IF(D48&gt;#REF!,"Mauvais numéro",IF(D48&lt;#REF!,"Mauvais numéro",(VLOOKUP(D48,#REF!,3))))))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54"/>
      <c r="Q48" s="149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5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4"/>
      <c r="T48" s="124"/>
      <c r="U48" s="124"/>
      <c r="V48" s="124"/>
      <c r="W48" s="124"/>
      <c r="X48" s="124"/>
      <c r="Y48" s="124"/>
      <c r="Z48" s="124"/>
      <c r="AA48" s="124"/>
      <c r="AB48" s="124"/>
      <c r="AC48" s="124"/>
      <c r="AD48" s="124"/>
      <c r="AE48" s="124"/>
      <c r="AF48" s="124"/>
      <c r="AG48" s="124"/>
      <c r="AH48" s="124"/>
      <c r="AI48" s="124"/>
      <c r="AJ48" s="124"/>
      <c r="AK48" s="124"/>
      <c r="AL48" s="124"/>
      <c r="AM48" s="124"/>
      <c r="AN48" s="124"/>
      <c r="AO48" s="124"/>
      <c r="AP48" s="124"/>
      <c r="AQ48" s="124"/>
      <c r="AR48" s="124"/>
      <c r="AS48" s="124"/>
      <c r="AT48" s="124"/>
      <c r="AU48" s="124"/>
      <c r="AV48" s="124"/>
      <c r="AW48" s="124"/>
      <c r="AX48" s="124"/>
      <c r="AY48" s="124"/>
      <c r="AZ48" s="124"/>
      <c r="BA48" s="124"/>
      <c r="BB48" s="136"/>
    </row>
    <row r="49" customFormat="false" ht="15.6" hidden="false" customHeight="false" outlineLevel="0" collapsed="false">
      <c r="A49" s="111" t="n">
        <f aca="false">IF(ISBLANK(VLOOKUP(D49,#REF!,3)),0,1)</f>
        <v>1</v>
      </c>
      <c r="B49" s="112" t="n">
        <f aca="false">IF(ISBLANK(D49),0,IF(ISBLANK(E49),0,IF(ISBLANK(F49),0,1)))</f>
        <v>0</v>
      </c>
      <c r="C49" s="128" t="n">
        <v>15</v>
      </c>
      <c r="D49" s="151"/>
      <c r="E49" s="151"/>
      <c r="F49" s="152"/>
      <c r="G49" s="156"/>
      <c r="H49" s="151"/>
      <c r="I49" s="151"/>
      <c r="J49" s="132" t="str">
        <f aca="false">IF(ISBLANK(D49),"",IF(VLOOKUP(D49,#REF!,2)=0,"",IF(D49&gt;#REF!,"Mauvais numéro",IF(D49&lt;#REF!,"Mauvais numéro",(VLOOKUP(D49,#REF!,3))))))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57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49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24"/>
      <c r="AE49" s="124"/>
      <c r="AF49" s="124"/>
      <c r="AG49" s="124"/>
      <c r="AH49" s="124"/>
      <c r="AI49" s="124"/>
      <c r="AJ49" s="124"/>
      <c r="AK49" s="124"/>
      <c r="AL49" s="124"/>
      <c r="AM49" s="124"/>
      <c r="AN49" s="124"/>
      <c r="AO49" s="124"/>
      <c r="AP49" s="124"/>
      <c r="AQ49" s="124"/>
      <c r="AR49" s="124"/>
      <c r="AS49" s="124"/>
      <c r="AT49" s="124"/>
      <c r="AU49" s="124"/>
      <c r="AV49" s="124"/>
      <c r="AW49" s="124"/>
      <c r="AX49" s="124"/>
      <c r="AY49" s="124"/>
      <c r="AZ49" s="124"/>
      <c r="BA49" s="124"/>
      <c r="BB49" s="136"/>
    </row>
    <row r="50" customFormat="false" ht="15.6" hidden="false" customHeight="false" outlineLevel="0" collapsed="false">
      <c r="A50" s="111" t="n">
        <f aca="false">IF(ISBLANK(VLOOKUP(D50,#REF!,3)),0,1)</f>
        <v>1</v>
      </c>
      <c r="B50" s="112" t="n">
        <f aca="false">IF(ISBLANK(D50),0,IF(ISBLANK(E50),0,IF(ISBLANK(F50),0,1)))</f>
        <v>0</v>
      </c>
      <c r="C50" s="128" t="n">
        <v>16</v>
      </c>
      <c r="D50" s="151"/>
      <c r="E50" s="151"/>
      <c r="F50" s="152"/>
      <c r="G50" s="156"/>
      <c r="H50" s="151"/>
      <c r="I50" s="151"/>
      <c r="J50" s="132" t="str">
        <f aca="false">IF(ISBLANK(D50),"",IF(VLOOKUP(D50,#REF!,2)=0,"",IF(D50&gt;#REF!,"Mauvais numéro",IF(D50&lt;#REF!,"Mauvais numéro",(VLOOKUP(D50,#REF!,3))))))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57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49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24"/>
      <c r="U50" s="124"/>
      <c r="V50" s="124"/>
      <c r="W50" s="124"/>
      <c r="X50" s="124"/>
      <c r="Y50" s="124"/>
      <c r="Z50" s="124"/>
      <c r="AA50" s="124"/>
      <c r="AB50" s="124"/>
      <c r="AC50" s="124"/>
      <c r="AD50" s="124"/>
      <c r="AE50" s="124"/>
      <c r="AF50" s="124"/>
      <c r="AG50" s="124"/>
      <c r="AH50" s="124"/>
      <c r="AI50" s="124"/>
      <c r="AJ50" s="124"/>
      <c r="AK50" s="124"/>
      <c r="AL50" s="124"/>
      <c r="AM50" s="124"/>
      <c r="AN50" s="124"/>
      <c r="AO50" s="124"/>
      <c r="AP50" s="124"/>
      <c r="AQ50" s="124"/>
      <c r="AR50" s="124"/>
      <c r="AS50" s="124"/>
      <c r="AT50" s="124"/>
      <c r="AU50" s="124"/>
      <c r="AV50" s="124"/>
      <c r="AW50" s="124"/>
      <c r="AX50" s="124"/>
      <c r="AY50" s="124"/>
      <c r="AZ50" s="124"/>
      <c r="BA50" s="124"/>
      <c r="BB50" s="136"/>
    </row>
    <row r="51" customFormat="false" ht="15.6" hidden="false" customHeight="false" outlineLevel="0" collapsed="false">
      <c r="A51" s="111" t="n">
        <f aca="false">IF(ISBLANK(VLOOKUP(D51,#REF!,3)),0,1)</f>
        <v>1</v>
      </c>
      <c r="B51" s="112" t="n">
        <f aca="false">IF(ISBLANK(D51),0,IF(ISBLANK(E51),0,IF(ISBLANK(F51),0,1)))</f>
        <v>0</v>
      </c>
      <c r="C51" s="128" t="n">
        <v>17</v>
      </c>
      <c r="D51" s="151"/>
      <c r="E51" s="151"/>
      <c r="F51" s="152"/>
      <c r="G51" s="156"/>
      <c r="H51" s="151"/>
      <c r="I51" s="151"/>
      <c r="J51" s="132" t="str">
        <f aca="false">IF(ISBLANK(D51),"",IF(VLOOKUP(D51,#REF!,2)=0,"",IF(D51&gt;#REF!,"Mauvais numéro",IF(D51&lt;#REF!,"Mauvais numéro",(VLOOKUP(D51,#REF!,3))))))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57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49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24"/>
      <c r="AE51" s="124"/>
      <c r="AF51" s="124"/>
      <c r="AG51" s="124"/>
      <c r="AH51" s="124"/>
      <c r="AI51" s="124"/>
      <c r="AJ51" s="124"/>
      <c r="AK51" s="124"/>
      <c r="AL51" s="124"/>
      <c r="AM51" s="124"/>
      <c r="AN51" s="124"/>
      <c r="AO51" s="124"/>
      <c r="AP51" s="124"/>
      <c r="AQ51" s="124"/>
      <c r="AR51" s="124"/>
      <c r="AS51" s="124"/>
      <c r="AT51" s="124"/>
      <c r="AU51" s="124"/>
      <c r="AV51" s="124"/>
      <c r="AW51" s="124"/>
      <c r="AX51" s="124"/>
      <c r="AY51" s="124"/>
      <c r="AZ51" s="124"/>
      <c r="BA51" s="124"/>
      <c r="BB51" s="136"/>
    </row>
    <row r="52" customFormat="false" ht="15.6" hidden="false" customHeight="false" outlineLevel="0" collapsed="false">
      <c r="A52" s="111" t="n">
        <f aca="false">IF(ISBLANK(VLOOKUP(D52,#REF!,3)),0,1)</f>
        <v>1</v>
      </c>
      <c r="B52" s="112" t="n">
        <f aca="false">IF(ISBLANK(D52),0,IF(ISBLANK(E52),0,IF(ISBLANK(F52),0,1)))</f>
        <v>0</v>
      </c>
      <c r="C52" s="128" t="n">
        <v>18</v>
      </c>
      <c r="D52" s="151"/>
      <c r="E52" s="151"/>
      <c r="F52" s="152"/>
      <c r="G52" s="156"/>
      <c r="H52" s="151"/>
      <c r="I52" s="151"/>
      <c r="J52" s="132" t="str">
        <f aca="false">IF(ISBLANK(D52),"",IF(VLOOKUP(D52,#REF!,2)=0,"",IF(D52&gt;#REF!,"Mauvais numéro",IF(D52&lt;#REF!,"Mauvais numéro",(VLOOKUP(D52,#REF!,3))))))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57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49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24"/>
      <c r="U52" s="124"/>
      <c r="V52" s="124"/>
      <c r="W52" s="124"/>
      <c r="X52" s="124"/>
      <c r="Y52" s="124"/>
      <c r="Z52" s="124"/>
      <c r="AA52" s="124"/>
      <c r="AB52" s="124"/>
      <c r="AC52" s="124"/>
      <c r="AD52" s="124"/>
      <c r="AE52" s="124"/>
      <c r="AF52" s="124"/>
      <c r="AG52" s="124"/>
      <c r="AH52" s="124"/>
      <c r="AI52" s="124"/>
      <c r="AJ52" s="124"/>
      <c r="AK52" s="124"/>
      <c r="AL52" s="124"/>
      <c r="AM52" s="124"/>
      <c r="AN52" s="124"/>
      <c r="AO52" s="124"/>
      <c r="AP52" s="124"/>
      <c r="AQ52" s="124"/>
      <c r="AR52" s="124"/>
      <c r="AS52" s="124"/>
      <c r="AT52" s="124"/>
      <c r="AU52" s="124"/>
      <c r="AV52" s="124"/>
      <c r="AW52" s="124"/>
      <c r="AX52" s="124"/>
      <c r="AY52" s="124"/>
      <c r="AZ52" s="124"/>
      <c r="BA52" s="124"/>
      <c r="BB52" s="136"/>
    </row>
    <row r="53" customFormat="false" ht="15.6" hidden="false" customHeight="false" outlineLevel="0" collapsed="false">
      <c r="A53" s="111" t="n">
        <f aca="false">IF(ISBLANK(VLOOKUP(D53,#REF!,3)),0,1)</f>
        <v>1</v>
      </c>
      <c r="B53" s="112" t="n">
        <f aca="false">IF(ISBLANK(D53),0,IF(ISBLANK(E53),0,IF(ISBLANK(F53),0,1)))</f>
        <v>0</v>
      </c>
      <c r="C53" s="128" t="n">
        <v>19</v>
      </c>
      <c r="D53" s="151"/>
      <c r="E53" s="151"/>
      <c r="F53" s="152"/>
      <c r="G53" s="156"/>
      <c r="H53" s="151"/>
      <c r="I53" s="151"/>
      <c r="J53" s="132" t="str">
        <f aca="false">IF(ISBLANK(D53),"",IF(VLOOKUP(D53,#REF!,2)=0,"",IF(D53&gt;#REF!,"Mauvais numéro",IF(D53&lt;#REF!,"Mauvais numéro",(VLOOKUP(D53,#REF!,3))))))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57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49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24"/>
      <c r="U53" s="124"/>
      <c r="V53" s="124"/>
      <c r="W53" s="124"/>
      <c r="X53" s="12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24"/>
      <c r="AJ53" s="124"/>
      <c r="AK53" s="124"/>
      <c r="AL53" s="124"/>
      <c r="AM53" s="124"/>
      <c r="AN53" s="124"/>
      <c r="AO53" s="124"/>
      <c r="AP53" s="124"/>
      <c r="AQ53" s="124"/>
      <c r="AR53" s="124"/>
      <c r="AS53" s="124"/>
      <c r="AT53" s="124"/>
      <c r="AU53" s="124"/>
      <c r="AV53" s="124"/>
      <c r="AW53" s="124"/>
      <c r="AX53" s="124"/>
      <c r="AY53" s="124"/>
      <c r="AZ53" s="124"/>
      <c r="BA53" s="124"/>
      <c r="BB53" s="136"/>
    </row>
    <row r="54" customFormat="false" ht="15.6" hidden="false" customHeight="false" outlineLevel="0" collapsed="false">
      <c r="A54" s="111" t="n">
        <f aca="false">IF(ISBLANK(VLOOKUP(D54,#REF!,3)),0,1)</f>
        <v>1</v>
      </c>
      <c r="B54" s="112" t="n">
        <f aca="false">IF(ISBLANK(D54),0,IF(ISBLANK(E54),0,IF(ISBLANK(F54),0,1)))</f>
        <v>0</v>
      </c>
      <c r="C54" s="128" t="n">
        <v>20</v>
      </c>
      <c r="D54" s="151"/>
      <c r="E54" s="151"/>
      <c r="F54" s="152"/>
      <c r="G54" s="156"/>
      <c r="H54" s="151"/>
      <c r="I54" s="151"/>
      <c r="J54" s="132" t="str">
        <f aca="false">IF(ISBLANK(D54),"",IF(VLOOKUP(D54,#REF!,2)=0,"",IF(D54&gt;#REF!,"Mauvais numéro",IF(D54&lt;#REF!,"Mauvais numéro",(VLOOKUP(D54,#REF!,3))))))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57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49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4"/>
      <c r="U54" s="124"/>
      <c r="V54" s="124"/>
      <c r="W54" s="124"/>
      <c r="X54" s="124"/>
      <c r="Y54" s="124"/>
      <c r="Z54" s="124"/>
      <c r="AA54" s="124"/>
      <c r="AB54" s="124"/>
      <c r="AC54" s="124"/>
      <c r="AD54" s="124"/>
      <c r="AE54" s="124"/>
      <c r="AF54" s="124"/>
      <c r="AG54" s="124"/>
      <c r="AH54" s="124"/>
      <c r="AI54" s="124"/>
      <c r="AJ54" s="124"/>
      <c r="AK54" s="124"/>
      <c r="AL54" s="124"/>
      <c r="AM54" s="124"/>
      <c r="AN54" s="124"/>
      <c r="AO54" s="124"/>
      <c r="AP54" s="124"/>
      <c r="AQ54" s="124"/>
      <c r="AR54" s="124"/>
      <c r="AS54" s="124"/>
      <c r="AT54" s="124"/>
      <c r="AU54" s="124"/>
      <c r="AV54" s="124"/>
      <c r="AW54" s="124"/>
      <c r="AX54" s="124"/>
      <c r="AY54" s="124"/>
      <c r="AZ54" s="124"/>
      <c r="BA54" s="124"/>
      <c r="BB54" s="136"/>
    </row>
    <row r="55" customFormat="false" ht="15.6" hidden="false" customHeight="false" outlineLevel="0" collapsed="false">
      <c r="A55" s="111" t="n">
        <f aca="false">IF(ISBLANK(VLOOKUP(D55,#REF!,3)),0,1)</f>
        <v>1</v>
      </c>
      <c r="B55" s="112" t="n">
        <f aca="false">IF(ISBLANK(D55),0,IF(ISBLANK(E55),0,IF(ISBLANK(F55),0,1)))</f>
        <v>0</v>
      </c>
      <c r="C55" s="128" t="n">
        <v>21</v>
      </c>
      <c r="D55" s="151"/>
      <c r="E55" s="151"/>
      <c r="F55" s="152"/>
      <c r="G55" s="156"/>
      <c r="H55" s="151"/>
      <c r="I55" s="151"/>
      <c r="J55" s="132" t="str">
        <f aca="false">IF(ISBLANK(D55),"",IF(VLOOKUP(D55,#REF!,2)=0,"",IF(D55&gt;#REF!,"Mauvais numéro",IF(D55&lt;#REF!,"Mauvais numéro",(VLOOKUP(D55,#REF!,3))))))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57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49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24"/>
      <c r="U55" s="124"/>
      <c r="V55" s="124"/>
      <c r="W55" s="124"/>
      <c r="X55" s="124"/>
      <c r="Y55" s="124"/>
      <c r="Z55" s="124"/>
      <c r="AA55" s="124"/>
      <c r="AB55" s="124"/>
      <c r="AC55" s="124"/>
      <c r="AD55" s="124"/>
      <c r="AE55" s="124"/>
      <c r="AF55" s="124"/>
      <c r="AG55" s="124"/>
      <c r="AH55" s="124"/>
      <c r="AI55" s="124"/>
      <c r="AJ55" s="124"/>
      <c r="AK55" s="124"/>
      <c r="AL55" s="124"/>
      <c r="AM55" s="124"/>
      <c r="AN55" s="124"/>
      <c r="AO55" s="124"/>
      <c r="AP55" s="124"/>
      <c r="AQ55" s="124"/>
      <c r="AR55" s="124"/>
      <c r="AS55" s="124"/>
      <c r="AT55" s="124"/>
      <c r="AU55" s="124"/>
      <c r="AV55" s="124"/>
      <c r="AW55" s="124"/>
      <c r="AX55" s="124"/>
      <c r="AY55" s="124"/>
      <c r="AZ55" s="124"/>
      <c r="BA55" s="124"/>
      <c r="BB55" s="136"/>
    </row>
    <row r="56" customFormat="false" ht="15.6" hidden="false" customHeight="false" outlineLevel="0" collapsed="false">
      <c r="A56" s="111" t="n">
        <f aca="false">IF(ISBLANK(VLOOKUP(D56,#REF!,3)),0,1)</f>
        <v>1</v>
      </c>
      <c r="B56" s="112" t="n">
        <f aca="false">IF(ISBLANK(D56),0,IF(ISBLANK(E56),0,IF(ISBLANK(F56),0,1)))</f>
        <v>0</v>
      </c>
      <c r="C56" s="128" t="n">
        <v>22</v>
      </c>
      <c r="D56" s="151"/>
      <c r="E56" s="151"/>
      <c r="F56" s="152"/>
      <c r="G56" s="156"/>
      <c r="H56" s="151"/>
      <c r="I56" s="151"/>
      <c r="J56" s="132" t="str">
        <f aca="false">IF(ISBLANK(D56),"",IF(VLOOKUP(D56,#REF!,2)=0,"",IF(D56&gt;#REF!,"Mauvais numéro",IF(D56&lt;#REF!,"Mauvais numéro",(VLOOKUP(D56,#REF!,3))))))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57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49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24"/>
      <c r="AE56" s="124"/>
      <c r="AF56" s="124"/>
      <c r="AG56" s="124"/>
      <c r="AH56" s="124"/>
      <c r="AI56" s="124"/>
      <c r="AJ56" s="124"/>
      <c r="AK56" s="124"/>
      <c r="AL56" s="124"/>
      <c r="AM56" s="124"/>
      <c r="AN56" s="124"/>
      <c r="AO56" s="124"/>
      <c r="AP56" s="124"/>
      <c r="AQ56" s="124"/>
      <c r="AR56" s="124"/>
      <c r="AS56" s="124"/>
      <c r="AT56" s="124"/>
      <c r="AU56" s="124"/>
      <c r="AV56" s="124"/>
      <c r="AW56" s="124"/>
      <c r="AX56" s="124"/>
      <c r="AY56" s="124"/>
      <c r="AZ56" s="124"/>
      <c r="BA56" s="124"/>
      <c r="BB56" s="136"/>
    </row>
    <row r="57" customFormat="false" ht="15.6" hidden="false" customHeight="false" outlineLevel="0" collapsed="false">
      <c r="A57" s="111" t="n">
        <f aca="false">IF(ISBLANK(VLOOKUP(D57,#REF!,3)),0,1)</f>
        <v>1</v>
      </c>
      <c r="B57" s="112" t="n">
        <f aca="false">IF(ISBLANK(D57),0,IF(ISBLANK(E57),0,IF(ISBLANK(F57),0,1)))</f>
        <v>0</v>
      </c>
      <c r="C57" s="128" t="n">
        <v>23</v>
      </c>
      <c r="D57" s="151"/>
      <c r="E57" s="151"/>
      <c r="F57" s="152"/>
      <c r="G57" s="156"/>
      <c r="H57" s="151"/>
      <c r="I57" s="151"/>
      <c r="J57" s="132" t="str">
        <f aca="false">IF(ISBLANK(D57),"",IF(VLOOKUP(D57,#REF!,2)=0,"",IF(D57&gt;#REF!,"Mauvais numéro",IF(D57&lt;#REF!,"Mauvais numéro",(VLOOKUP(D57,#REF!,3))))))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57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49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4"/>
      <c r="U57" s="124"/>
      <c r="V57" s="124"/>
      <c r="W57" s="124"/>
      <c r="X57" s="124"/>
      <c r="Y57" s="124"/>
      <c r="Z57" s="124"/>
      <c r="AA57" s="124"/>
      <c r="AB57" s="124"/>
      <c r="AC57" s="124"/>
      <c r="AD57" s="124"/>
      <c r="AE57" s="124"/>
      <c r="AF57" s="124"/>
      <c r="AG57" s="124"/>
      <c r="AH57" s="124"/>
      <c r="AI57" s="124"/>
      <c r="AJ57" s="124"/>
      <c r="AK57" s="124"/>
      <c r="AL57" s="124"/>
      <c r="AM57" s="124"/>
      <c r="AN57" s="124"/>
      <c r="AO57" s="124"/>
      <c r="AP57" s="124"/>
      <c r="AQ57" s="124"/>
      <c r="AR57" s="124"/>
      <c r="AS57" s="124"/>
      <c r="AT57" s="124"/>
      <c r="AU57" s="124"/>
      <c r="AV57" s="124"/>
      <c r="AW57" s="124"/>
      <c r="AX57" s="124"/>
      <c r="AY57" s="124"/>
      <c r="AZ57" s="124"/>
      <c r="BA57" s="124"/>
      <c r="BB57" s="136"/>
    </row>
    <row r="58" customFormat="false" ht="16.2" hidden="false" customHeight="false" outlineLevel="0" collapsed="false">
      <c r="A58" s="111" t="n">
        <f aca="false">IF(ISBLANK(VLOOKUP(D58,#REF!,3)),0,1)</f>
        <v>1</v>
      </c>
      <c r="B58" s="112" t="n">
        <f aca="false">IF(ISBLANK(D58),0,IF(ISBLANK(E58),0,IF(ISBLANK(F58),0,1)))</f>
        <v>0</v>
      </c>
      <c r="C58" s="158" t="n">
        <v>24</v>
      </c>
      <c r="D58" s="159"/>
      <c r="E58" s="159"/>
      <c r="F58" s="160"/>
      <c r="G58" s="161"/>
      <c r="H58" s="159"/>
      <c r="I58" s="159"/>
      <c r="J58" s="162" t="str">
        <f aca="false">IF(ISBLANK(D58),"",IF(VLOOKUP(D58,#REF!,2)=0,"",IF(D58&gt;#REF!,"Mauvais numéro",IF(D58&lt;#REF!,"Mauvais numéro",(VLOOKUP(D58,#REF!,3))))))</f>
        <v/>
      </c>
      <c r="K58" s="163" t="str">
        <f aca="false">IF(ISBLANK(E58),"",(0.000824493-(0.0000040899*E58)+(0.000000076438*E58^2)-(0.00000000082467*E58^3)+(0.0000000000053875*E58^4)))</f>
        <v/>
      </c>
      <c r="L58" s="163" t="str">
        <f aca="false">IF(ISBLANK(E58),"",(-0.00000572466+(0.00000010227*E58)-(0.0000000016546*E58^2)))</f>
        <v/>
      </c>
      <c r="M58" s="163" t="str">
        <f aca="false">IF(ISBLANK(E58),"",IF(ISBLANK(G58),(O58+(K58*35)+(L58*35^1.5)+(0.00000048314*35^2)),(O58+(K58*G58)+(L58*G58^1.5)+(0.00000048314*G58^2))))</f>
        <v/>
      </c>
      <c r="N58" s="164" t="str">
        <f aca="false">IF(ISBLANK(D58),"",IF(ISBLANK(G58),J58*(1+0.00001*(35-20)),J58*(1+0.00001*(G58-20))))</f>
        <v/>
      </c>
      <c r="O58" s="163" t="str">
        <f aca="false">IF(ISBLANK(E58),"",(0.999842594+(0.00006793952*E58)-(0.00000909529*E58^2)+(0.0000001001685*E58^3)-(0.000000001120083*E58^4)+(0.000000000006536332*E58^5)))</f>
        <v/>
      </c>
      <c r="P58" s="165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66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7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7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68"/>
      <c r="U58" s="168"/>
      <c r="V58" s="168"/>
      <c r="W58" s="168"/>
      <c r="X58" s="168"/>
      <c r="Y58" s="168"/>
      <c r="Z58" s="168"/>
      <c r="AA58" s="168"/>
      <c r="AB58" s="168"/>
      <c r="AC58" s="168"/>
      <c r="AD58" s="168"/>
      <c r="AE58" s="168"/>
      <c r="AF58" s="168"/>
      <c r="AG58" s="168"/>
      <c r="AH58" s="168"/>
      <c r="AI58" s="168"/>
      <c r="AJ58" s="168"/>
      <c r="AK58" s="168"/>
      <c r="AL58" s="168"/>
      <c r="AM58" s="168"/>
      <c r="AN58" s="168"/>
      <c r="AO58" s="168"/>
      <c r="AP58" s="168"/>
      <c r="AQ58" s="168"/>
      <c r="AR58" s="168"/>
      <c r="AS58" s="168"/>
      <c r="AT58" s="168"/>
      <c r="AU58" s="168"/>
      <c r="AV58" s="168"/>
      <c r="AW58" s="168"/>
      <c r="AX58" s="168"/>
      <c r="AY58" s="168"/>
      <c r="AZ58" s="168"/>
      <c r="BA58" s="168"/>
      <c r="BB58" s="169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S1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8178137651822"/>
    <col collapsed="false" hidden="false" max="32" min="32" style="0" width="9.10526315789474"/>
    <col collapsed="false" hidden="false" max="33" min="33" style="0" width="26.5668016194332"/>
    <col collapsed="false" hidden="false" max="34" min="34" style="0" width="12.8542510121458"/>
    <col collapsed="false" hidden="false" max="35" min="35" style="0" width="11.3562753036437"/>
    <col collapsed="false" hidden="false" max="36" min="36" style="0" width="14.5668016194332"/>
    <col collapsed="false" hidden="false" max="37" min="37" style="0" width="12.2105263157895"/>
    <col collapsed="false" hidden="false" max="38" min="38" style="0" width="26.995951417004"/>
    <col collapsed="false" hidden="false" max="39" min="39" style="0" width="14.6761133603239"/>
    <col collapsed="false" hidden="false" max="40" min="40" style="0" width="11.3562753036437"/>
    <col collapsed="false" hidden="false" max="41" min="41" style="0" width="12.5344129554656"/>
    <col collapsed="false" hidden="false" max="42" min="42" style="0" width="10.7125506072875"/>
    <col collapsed="false" hidden="false" max="43" min="43" style="0" width="6.31983805668016"/>
    <col collapsed="false" hidden="false" max="44" min="44" style="0" width="19.7085020242915"/>
    <col collapsed="false" hidden="false" max="45" min="45" style="0" width="13.0688259109312"/>
    <col collapsed="false" hidden="false" max="46" min="46" style="0" width="17.7813765182186"/>
    <col collapsed="false" hidden="false" max="47" min="47" style="0" width="14.6761133603239"/>
    <col collapsed="false" hidden="false" max="48" min="48" style="0" width="13.6032388663968"/>
    <col collapsed="false" hidden="false" max="49" min="49" style="0" width="13.7125506072874"/>
    <col collapsed="false" hidden="false" max="50" min="50" style="0" width="19.9230769230769"/>
    <col collapsed="false" hidden="false" max="51" min="51" style="0" width="13.2834008097166"/>
    <col collapsed="false" hidden="false" max="52" min="52" style="0" width="17.6761133603239"/>
    <col collapsed="false" hidden="false" max="53" min="53" style="0" width="13.3886639676113"/>
    <col collapsed="false" hidden="false" max="54" min="54" style="0" width="12.6396761133603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29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38546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0</v>
      </c>
      <c r="J9" s="29" t="n">
        <v>29.55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0°29,55</v>
      </c>
      <c r="P9" s="29" t="s">
        <v>13</v>
      </c>
      <c r="Q9" s="33" t="n">
        <f aca="false">IF(ISBLANK(I9),"",IF(ISBLANK(J9),"",IF(J9&gt;60,"ERREUR !!",O11*(I9+(J9/60)))))</f>
        <v>0.4925</v>
      </c>
      <c r="R9" s="33"/>
    </row>
    <row r="10" customFormat="false" ht="15" hidden="false" customHeight="true" outlineLevel="0" collapsed="false">
      <c r="C10" s="21"/>
      <c r="D10" s="18"/>
      <c r="G10" s="27" t="s">
        <v>16</v>
      </c>
      <c r="H10" s="27"/>
      <c r="I10" s="28" t="n">
        <v>9</v>
      </c>
      <c r="J10" s="29" t="n">
        <v>59.94</v>
      </c>
      <c r="K10" s="30" t="s">
        <v>12</v>
      </c>
      <c r="L10" s="31" t="str">
        <f aca="false">IF(P10=N9,"+","-")</f>
        <v>-</v>
      </c>
      <c r="M10" s="30" t="s">
        <v>15</v>
      </c>
      <c r="N10" s="30" t="s">
        <v>17</v>
      </c>
      <c r="O10" s="34" t="str">
        <f aca="false">IF(ISBLANK(I10),"",IF(ISBLANK(J10),"",IF(P10=N10,L10&amp;N12,N12)))</f>
        <v>-9°59,94</v>
      </c>
      <c r="P10" s="29" t="s">
        <v>17</v>
      </c>
      <c r="Q10" s="33" t="n">
        <f aca="false">IF(ISBLANK(I10),"",IF(ISBLANK(J10),"",IF(J10&gt;60,"ERREUR !!",O12*(I10+(J10/60)))))</f>
        <v>-9.999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38545</v>
      </c>
      <c r="K11" s="38"/>
      <c r="L11" s="38"/>
      <c r="M11" s="38"/>
      <c r="N11" s="39" t="str">
        <f aca="false">I9&amp;"°"&amp;J9</f>
        <v>0°29,55</v>
      </c>
      <c r="O11" s="40" t="n">
        <f aca="false">IF(P9=M10,-1,1)</f>
        <v>1</v>
      </c>
      <c r="P11" s="41" t="str">
        <f aca="false">TEXT(J11,"aaaa-mm-jj")&amp;"T"&amp;TEXT(J12,"hh:mm:ss")&amp;"z"</f>
        <v>2009-07-13T23:40:00z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0.986111111111111</v>
      </c>
      <c r="K12" s="45"/>
      <c r="L12" s="45"/>
      <c r="M12" s="45"/>
      <c r="N12" s="46" t="str">
        <f aca="false">I10&amp;"°"&amp;J10</f>
        <v>9°59,94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e">
        <f aca="false">$P$24*($P$18/#REF!)</f>
        <v>#REF!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e">
        <f aca="false">5+#REF!</f>
        <v>#REF!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e">
        <f aca="false">P20*(1+0.00001*(R14-20))</f>
        <v>#REF!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e">
        <f aca="false">MAX(#REF!)</f>
        <v>#VALUE!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e">
        <f aca="false">2+(#REF!+#REF!)</f>
        <v>#REF!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52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53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IF(ISBLANK(VLOOKUP(D35,#REF!,3)),0,1)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n">
        <v>34.9651</v>
      </c>
      <c r="H35" s="118" t="n">
        <v>2000</v>
      </c>
      <c r="I35" s="119" t="n">
        <v>1998.6</v>
      </c>
      <c r="J35" s="120"/>
      <c r="K35" s="121"/>
      <c r="L35" s="121"/>
      <c r="M35" s="121"/>
      <c r="N35" s="122"/>
      <c r="O35" s="121"/>
      <c r="P35" s="120" t="n">
        <v>5.779</v>
      </c>
      <c r="Q35" s="120"/>
      <c r="R35" s="120"/>
      <c r="S35" s="176" t="n">
        <v>251.168</v>
      </c>
      <c r="T35" s="32" t="n">
        <v>0</v>
      </c>
      <c r="U35" s="32" t="n">
        <v>0</v>
      </c>
      <c r="V35" s="32"/>
      <c r="W35" s="32"/>
      <c r="X35" s="125" t="n">
        <v>33.5</v>
      </c>
      <c r="Y35" s="125" t="n">
        <v>32.8</v>
      </c>
      <c r="Z35" s="32" t="n">
        <v>1.11</v>
      </c>
      <c r="AA35" s="32" t="n">
        <v>1.08</v>
      </c>
      <c r="AB35" s="125" t="n">
        <v>30.6</v>
      </c>
      <c r="AC35" s="125" t="n">
        <v>29.9</v>
      </c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7"/>
    </row>
    <row r="36" customFormat="false" ht="15.6" hidden="false" customHeight="false" outlineLevel="0" collapsed="false">
      <c r="A36" s="111" t="n">
        <f aca="false">IF(ISBLANK(VLOOKUP(D36,#REF!,3)),0,1)</f>
        <v>1</v>
      </c>
      <c r="B36" s="112" t="n">
        <f aca="false">IF(ISBLANK(D36),0,IF(ISBLANK(E36),0,IF(ISBLANK(F36),0,1)))</f>
        <v>0</v>
      </c>
      <c r="C36" s="128" t="n">
        <v>2</v>
      </c>
      <c r="D36" s="129"/>
      <c r="E36" s="129"/>
      <c r="F36" s="130"/>
      <c r="G36" s="117" t="n">
        <v>34.6316</v>
      </c>
      <c r="H36" s="131" t="n">
        <v>1000</v>
      </c>
      <c r="I36" s="119" t="n">
        <v>999.8</v>
      </c>
      <c r="J36" s="132"/>
      <c r="K36" s="133"/>
      <c r="L36" s="133"/>
      <c r="M36" s="133"/>
      <c r="N36" s="134"/>
      <c r="O36" s="133"/>
      <c r="P36" s="132" t="n">
        <v>3.676</v>
      </c>
      <c r="Q36" s="132"/>
      <c r="R36" s="132"/>
      <c r="S36" s="177" t="n">
        <v>159.809</v>
      </c>
      <c r="T36" s="32" t="n">
        <v>0</v>
      </c>
      <c r="U36" s="32" t="n">
        <v>0</v>
      </c>
      <c r="V36" s="32"/>
      <c r="W36" s="32"/>
      <c r="X36" s="125" t="n">
        <v>34.3</v>
      </c>
      <c r="Y36" s="125" t="n">
        <v>33.6</v>
      </c>
      <c r="Z36" s="32" t="n">
        <v>1.96</v>
      </c>
      <c r="AA36" s="32" t="n">
        <v>1.91</v>
      </c>
      <c r="AB36" s="125" t="n">
        <v>21.1</v>
      </c>
      <c r="AC36" s="125" t="n">
        <v>20.6</v>
      </c>
      <c r="AD36" s="124"/>
      <c r="AE36" s="124"/>
      <c r="AF36" s="124"/>
      <c r="AG36" s="124"/>
      <c r="AH36" s="124"/>
      <c r="AI36" s="124"/>
      <c r="AJ36" s="124"/>
      <c r="AK36" s="124"/>
      <c r="AL36" s="124"/>
      <c r="AM36" s="124"/>
      <c r="AN36" s="124"/>
      <c r="AO36" s="124"/>
      <c r="AP36" s="124"/>
      <c r="AQ36" s="124"/>
      <c r="AR36" s="124"/>
      <c r="AS36" s="124"/>
      <c r="AT36" s="124"/>
      <c r="AU36" s="124"/>
      <c r="AV36" s="124"/>
      <c r="AW36" s="124"/>
      <c r="AX36" s="124"/>
      <c r="AY36" s="124"/>
      <c r="AZ36" s="124"/>
      <c r="BA36" s="124"/>
      <c r="BB36" s="136"/>
    </row>
    <row r="37" customFormat="false" ht="15.6" hidden="false" customHeight="false" outlineLevel="0" collapsed="false">
      <c r="A37" s="111" t="n">
        <f aca="false">IF(ISBLANK(VLOOKUP(D37,#REF!,3)),0,1)</f>
        <v>1</v>
      </c>
      <c r="B37" s="112" t="n">
        <f aca="false">IF(ISBLANK(D37),0,IF(ISBLANK(E37),0,IF(ISBLANK(F37),0,1)))</f>
        <v>0</v>
      </c>
      <c r="C37" s="128" t="n">
        <v>3</v>
      </c>
      <c r="D37" s="129"/>
      <c r="E37" s="129"/>
      <c r="F37" s="137"/>
      <c r="G37" s="117" t="n">
        <v>34.6096</v>
      </c>
      <c r="H37" s="131" t="n">
        <v>500</v>
      </c>
      <c r="I37" s="119" t="n">
        <v>497.7</v>
      </c>
      <c r="J37" s="132"/>
      <c r="K37" s="133"/>
      <c r="L37" s="133"/>
      <c r="M37" s="133"/>
      <c r="N37" s="134"/>
      <c r="O37" s="133"/>
      <c r="P37" s="132" t="n">
        <v>2.791</v>
      </c>
      <c r="Q37" s="132"/>
      <c r="R37" s="132"/>
      <c r="S37" s="177" t="n">
        <v>121.379</v>
      </c>
      <c r="T37" s="32" t="n">
        <v>0</v>
      </c>
      <c r="U37" s="32" t="n">
        <v>0</v>
      </c>
      <c r="V37" s="32"/>
      <c r="W37" s="32"/>
      <c r="X37" s="125" t="n">
        <v>34.4</v>
      </c>
      <c r="Y37" s="125" t="n">
        <v>33.6</v>
      </c>
      <c r="Z37" s="32" t="n">
        <v>1.95</v>
      </c>
      <c r="AA37" s="32" t="n">
        <v>1.9</v>
      </c>
      <c r="AB37" s="125" t="n">
        <v>21.2</v>
      </c>
      <c r="AC37" s="125" t="n">
        <v>20.7</v>
      </c>
      <c r="AD37" s="124"/>
      <c r="AE37" s="124"/>
      <c r="AF37" s="124"/>
      <c r="AG37" s="124"/>
      <c r="AH37" s="124"/>
      <c r="AI37" s="124"/>
      <c r="AJ37" s="124"/>
      <c r="AK37" s="124"/>
      <c r="AL37" s="124"/>
      <c r="AM37" s="124"/>
      <c r="AN37" s="124"/>
      <c r="AO37" s="124"/>
      <c r="AP37" s="124"/>
      <c r="AQ37" s="124"/>
      <c r="AR37" s="124"/>
      <c r="AS37" s="124"/>
      <c r="AT37" s="124"/>
      <c r="AU37" s="124"/>
      <c r="AV37" s="124"/>
      <c r="AW37" s="124"/>
      <c r="AX37" s="124"/>
      <c r="AY37" s="124"/>
      <c r="AZ37" s="124"/>
      <c r="BA37" s="124"/>
      <c r="BB37" s="136"/>
    </row>
    <row r="38" customFormat="false" ht="15.6" hidden="false" customHeight="false" outlineLevel="0" collapsed="false">
      <c r="A38" s="111" t="n">
        <f aca="false">IF(ISBLANK(VLOOKUP(D38,#REF!,3)),0,1)</f>
        <v>1</v>
      </c>
      <c r="B38" s="112" t="n">
        <f aca="false">IF(ISBLANK(D38),0,IF(ISBLANK(E38),0,IF(ISBLANK(F38),0,1)))</f>
        <v>0</v>
      </c>
      <c r="C38" s="128" t="n">
        <v>4</v>
      </c>
      <c r="D38" s="138"/>
      <c r="E38" s="138"/>
      <c r="F38" s="139"/>
      <c r="G38" s="117" t="n">
        <v>34.6097</v>
      </c>
      <c r="H38" s="131" t="n">
        <v>500</v>
      </c>
      <c r="I38" s="119" t="n">
        <v>497.7</v>
      </c>
      <c r="J38" s="132"/>
      <c r="K38" s="133"/>
      <c r="L38" s="133"/>
      <c r="M38" s="133"/>
      <c r="N38" s="134"/>
      <c r="O38" s="133"/>
      <c r="P38" s="132" t="n">
        <v>2.778</v>
      </c>
      <c r="Q38" s="132"/>
      <c r="R38" s="132"/>
      <c r="S38" s="177" t="n">
        <v>120.816</v>
      </c>
      <c r="T38" s="32" t="n">
        <v>0</v>
      </c>
      <c r="U38" s="32" t="n">
        <v>0</v>
      </c>
      <c r="V38" s="32"/>
      <c r="W38" s="32"/>
      <c r="X38" s="125" t="n">
        <v>13.8</v>
      </c>
      <c r="Y38" s="125" t="n">
        <v>13.5</v>
      </c>
      <c r="Z38" s="32" t="n">
        <v>1.93</v>
      </c>
      <c r="AA38" s="32" t="n">
        <v>1.88</v>
      </c>
      <c r="AB38" s="125" t="n">
        <v>5.5</v>
      </c>
      <c r="AC38" s="125" t="n">
        <v>5.3</v>
      </c>
      <c r="AD38" s="124"/>
      <c r="AE38" s="124"/>
      <c r="AF38" s="124"/>
      <c r="AG38" s="124"/>
      <c r="AH38" s="124"/>
      <c r="AI38" s="124"/>
      <c r="AJ38" s="124"/>
      <c r="AK38" s="124"/>
      <c r="AL38" s="124"/>
      <c r="AM38" s="124"/>
      <c r="AN38" s="124"/>
      <c r="AO38" s="124"/>
      <c r="AP38" s="124"/>
      <c r="AQ38" s="124"/>
      <c r="AR38" s="124"/>
      <c r="AS38" s="124"/>
      <c r="AT38" s="124"/>
      <c r="AU38" s="124"/>
      <c r="AV38" s="124"/>
      <c r="AW38" s="124"/>
      <c r="AX38" s="124"/>
      <c r="AY38" s="124"/>
      <c r="AZ38" s="124"/>
      <c r="BA38" s="124"/>
      <c r="BB38" s="136"/>
    </row>
    <row r="39" customFormat="false" ht="15.6" hidden="false" customHeight="false" outlineLevel="0" collapsed="false">
      <c r="A39" s="111" t="n">
        <f aca="false">IF(ISBLANK(VLOOKUP(D39,#REF!,3)),0,1)</f>
        <v>1</v>
      </c>
      <c r="B39" s="112" t="n">
        <f aca="false">IF(ISBLANK(D39),0,IF(ISBLANK(E39),0,IF(ISBLANK(F39),0,1)))</f>
        <v>0</v>
      </c>
      <c r="C39" s="128" t="n">
        <v>5</v>
      </c>
      <c r="D39" s="129"/>
      <c r="E39" s="129"/>
      <c r="F39" s="137"/>
      <c r="G39" s="117" t="n">
        <v>35.6536</v>
      </c>
      <c r="H39" s="131" t="n">
        <v>100</v>
      </c>
      <c r="I39" s="119" t="n">
        <v>99.9</v>
      </c>
      <c r="J39" s="132"/>
      <c r="K39" s="133"/>
      <c r="L39" s="133"/>
      <c r="M39" s="133"/>
      <c r="N39" s="134"/>
      <c r="O39" s="133"/>
      <c r="P39" s="132" t="n">
        <v>3.528</v>
      </c>
      <c r="Q39" s="132"/>
      <c r="R39" s="132"/>
      <c r="S39" s="177" t="n">
        <v>153.523</v>
      </c>
      <c r="T39" s="32" t="n">
        <v>0</v>
      </c>
      <c r="U39" s="32" t="n">
        <v>0</v>
      </c>
      <c r="V39" s="32"/>
      <c r="W39" s="32"/>
      <c r="X39" s="125" t="n">
        <v>0.1</v>
      </c>
      <c r="Y39" s="125" t="n">
        <v>0.1</v>
      </c>
      <c r="Z39" s="32" t="n">
        <v>0.78</v>
      </c>
      <c r="AA39" s="32" t="n">
        <v>0.76</v>
      </c>
      <c r="AB39" s="125" t="n">
        <v>0.3</v>
      </c>
      <c r="AC39" s="125" t="n">
        <v>0.3</v>
      </c>
      <c r="AD39" s="140"/>
      <c r="AE39" s="140"/>
      <c r="AF39" s="140"/>
      <c r="AG39" s="140"/>
      <c r="AH39" s="140"/>
      <c r="AI39" s="140"/>
      <c r="AJ39" s="140"/>
      <c r="AK39" s="140"/>
      <c r="AL39" s="140"/>
      <c r="AM39" s="140"/>
      <c r="AN39" s="140"/>
      <c r="AO39" s="140"/>
      <c r="AP39" s="140"/>
      <c r="AQ39" s="140"/>
      <c r="AR39" s="140"/>
      <c r="AS39" s="140"/>
      <c r="AT39" s="140"/>
      <c r="AU39" s="140"/>
      <c r="AV39" s="140"/>
      <c r="AW39" s="140"/>
      <c r="AX39" s="140"/>
      <c r="AY39" s="140"/>
      <c r="AZ39" s="140"/>
      <c r="BA39" s="140"/>
      <c r="BB39" s="141"/>
    </row>
    <row r="40" customFormat="false" ht="15.6" hidden="false" customHeight="false" outlineLevel="0" collapsed="false">
      <c r="A40" s="111" t="n">
        <f aca="false">IF(ISBLANK(VLOOKUP(D40,#REF!,3)),0,1)</f>
        <v>1</v>
      </c>
      <c r="B40" s="112" t="n">
        <f aca="false">IF(ISBLANK(D40),0,IF(ISBLANK(E40),0,IF(ISBLANK(F40),0,1)))</f>
        <v>0</v>
      </c>
      <c r="C40" s="128" t="n">
        <v>6</v>
      </c>
      <c r="D40" s="129"/>
      <c r="E40" s="129"/>
      <c r="F40" s="137"/>
      <c r="G40" s="117"/>
      <c r="H40" s="131" t="n">
        <v>80</v>
      </c>
      <c r="I40" s="119"/>
      <c r="J40" s="132"/>
      <c r="K40" s="133"/>
      <c r="L40" s="133"/>
      <c r="M40" s="133"/>
      <c r="N40" s="134"/>
      <c r="O40" s="133"/>
      <c r="P40" s="132"/>
      <c r="Q40" s="132"/>
      <c r="R40" s="132"/>
      <c r="S40" s="177"/>
      <c r="T40" s="32" t="n">
        <v>0.04</v>
      </c>
      <c r="U40" s="32" t="n">
        <v>0.04</v>
      </c>
      <c r="V40" s="32"/>
      <c r="W40" s="32"/>
      <c r="X40" s="125" t="n">
        <v>14.6</v>
      </c>
      <c r="Y40" s="125" t="n">
        <v>14.3</v>
      </c>
      <c r="Z40" s="32" t="n">
        <v>0.81</v>
      </c>
      <c r="AA40" s="32" t="n">
        <v>0.79</v>
      </c>
      <c r="AB40" s="125" t="n">
        <v>5.6</v>
      </c>
      <c r="AC40" s="125" t="n">
        <v>5.5</v>
      </c>
      <c r="AD40" s="140"/>
      <c r="AE40" s="140"/>
      <c r="AF40" s="140"/>
      <c r="AG40" s="140"/>
      <c r="AH40" s="140"/>
      <c r="AI40" s="140"/>
      <c r="AJ40" s="140"/>
      <c r="AK40" s="140"/>
      <c r="AL40" s="140"/>
      <c r="AM40" s="140"/>
      <c r="AN40" s="140"/>
      <c r="AO40" s="140"/>
      <c r="AP40" s="140"/>
      <c r="AQ40" s="140"/>
      <c r="AR40" s="140"/>
      <c r="AS40" s="140"/>
      <c r="AT40" s="140"/>
      <c r="AU40" s="140"/>
      <c r="AV40" s="140"/>
      <c r="AW40" s="140"/>
      <c r="AX40" s="140"/>
      <c r="AY40" s="140"/>
      <c r="AZ40" s="140"/>
      <c r="BA40" s="140"/>
      <c r="BB40" s="141"/>
    </row>
    <row r="41" customFormat="false" ht="15.6" hidden="false" customHeight="false" outlineLevel="0" collapsed="false">
      <c r="A41" s="111" t="n">
        <f aca="false">IF(ISBLANK(VLOOKUP(D41,#REF!,3)),0,1)</f>
        <v>1</v>
      </c>
      <c r="B41" s="112" t="n">
        <f aca="false">IF(ISBLANK(D41),0,IF(ISBLANK(E41),0,IF(ISBLANK(F41),0,1)))</f>
        <v>0</v>
      </c>
      <c r="C41" s="128" t="n">
        <v>7</v>
      </c>
      <c r="D41" s="129"/>
      <c r="E41" s="129"/>
      <c r="F41" s="137"/>
      <c r="G41" s="117"/>
      <c r="H41" s="131" t="n">
        <v>60</v>
      </c>
      <c r="I41" s="119"/>
      <c r="J41" s="132"/>
      <c r="K41" s="133"/>
      <c r="L41" s="133"/>
      <c r="M41" s="133"/>
      <c r="N41" s="134"/>
      <c r="O41" s="133"/>
      <c r="P41" s="132"/>
      <c r="Q41" s="132"/>
      <c r="R41" s="132"/>
      <c r="S41" s="177"/>
      <c r="T41" s="32" t="n">
        <v>0.29</v>
      </c>
      <c r="U41" s="32" t="n">
        <v>0.28</v>
      </c>
      <c r="V41" s="32"/>
      <c r="W41" s="32"/>
      <c r="X41" s="125" t="n">
        <v>13.8</v>
      </c>
      <c r="Y41" s="125" t="n">
        <v>13.5</v>
      </c>
      <c r="Z41" s="32" t="n">
        <v>0.77</v>
      </c>
      <c r="AA41" s="32" t="n">
        <v>0.75</v>
      </c>
      <c r="AB41" s="125" t="n">
        <v>5.2</v>
      </c>
      <c r="AC41" s="125" t="n">
        <v>5.1</v>
      </c>
      <c r="AD41" s="140"/>
      <c r="AE41" s="140"/>
      <c r="AF41" s="140"/>
      <c r="AG41" s="140"/>
      <c r="AH41" s="140"/>
      <c r="AI41" s="140"/>
      <c r="AJ41" s="140"/>
      <c r="AK41" s="140"/>
      <c r="AL41" s="140"/>
      <c r="AM41" s="140"/>
      <c r="AN41" s="140"/>
      <c r="AO41" s="140"/>
      <c r="AP41" s="140"/>
      <c r="AQ41" s="140"/>
      <c r="AR41" s="140"/>
      <c r="AS41" s="140"/>
      <c r="AT41" s="140"/>
      <c r="AU41" s="140"/>
      <c r="AV41" s="140"/>
      <c r="AW41" s="140"/>
      <c r="AX41" s="140"/>
      <c r="AY41" s="140"/>
      <c r="AZ41" s="140"/>
      <c r="BA41" s="140"/>
      <c r="BB41" s="141"/>
    </row>
    <row r="42" customFormat="false" ht="15.6" hidden="false" customHeight="false" outlineLevel="0" collapsed="false">
      <c r="A42" s="111" t="n">
        <f aca="false">IF(ISBLANK(VLOOKUP(D42,#REF!,3)),0,1)</f>
        <v>1</v>
      </c>
      <c r="B42" s="112" t="n">
        <f aca="false">IF(ISBLANK(D42),0,IF(ISBLANK(E42),0,IF(ISBLANK(F42),0,1)))</f>
        <v>0</v>
      </c>
      <c r="C42" s="128" t="n">
        <v>8</v>
      </c>
      <c r="D42" s="129"/>
      <c r="E42" s="129"/>
      <c r="F42" s="137"/>
      <c r="G42" s="117"/>
      <c r="H42" s="131" t="n">
        <v>40</v>
      </c>
      <c r="I42" s="119"/>
      <c r="J42" s="132"/>
      <c r="K42" s="133"/>
      <c r="L42" s="133"/>
      <c r="M42" s="133"/>
      <c r="N42" s="134"/>
      <c r="O42" s="133"/>
      <c r="P42" s="132"/>
      <c r="Q42" s="132"/>
      <c r="R42" s="132"/>
      <c r="S42" s="177"/>
      <c r="T42" s="32" t="n">
        <v>0.14</v>
      </c>
      <c r="U42" s="32" t="n">
        <v>0.14</v>
      </c>
      <c r="V42" s="32"/>
      <c r="W42" s="32"/>
      <c r="X42" s="125" t="n">
        <v>5.7</v>
      </c>
      <c r="Y42" s="125" t="n">
        <v>5.6</v>
      </c>
      <c r="Z42" s="32" t="n">
        <v>0.34</v>
      </c>
      <c r="AA42" s="32" t="n">
        <v>0.33</v>
      </c>
      <c r="AB42" s="125" t="n">
        <v>3.2</v>
      </c>
      <c r="AC42" s="125" t="n">
        <v>3.1</v>
      </c>
      <c r="AD42" s="124"/>
      <c r="AE42" s="124"/>
      <c r="AF42" s="124"/>
      <c r="AG42" s="124"/>
      <c r="AH42" s="124"/>
      <c r="AI42" s="124"/>
      <c r="AJ42" s="124"/>
      <c r="AK42" s="124"/>
      <c r="AL42" s="124"/>
      <c r="AM42" s="124"/>
      <c r="AN42" s="124"/>
      <c r="AO42" s="124"/>
      <c r="AP42" s="124"/>
      <c r="AQ42" s="124"/>
      <c r="AR42" s="124"/>
      <c r="AS42" s="124"/>
      <c r="AT42" s="124"/>
      <c r="AU42" s="124"/>
      <c r="AV42" s="124"/>
      <c r="AW42" s="124"/>
      <c r="AX42" s="124"/>
      <c r="AY42" s="124"/>
      <c r="AZ42" s="124"/>
      <c r="BA42" s="124"/>
      <c r="BB42" s="136"/>
    </row>
    <row r="43" customFormat="false" ht="15.6" hidden="false" customHeight="false" outlineLevel="0" collapsed="false">
      <c r="A43" s="111" t="n">
        <f aca="false">IF(ISBLANK(VLOOKUP(D43,#REF!,3)),0,1)</f>
        <v>1</v>
      </c>
      <c r="B43" s="112" t="n">
        <f aca="false">IF(ISBLANK(D43),0,IF(ISBLANK(E43),0,IF(ISBLANK(F43),0,1)))</f>
        <v>0</v>
      </c>
      <c r="C43" s="128" t="n">
        <v>9</v>
      </c>
      <c r="D43" s="129"/>
      <c r="E43" s="129"/>
      <c r="F43" s="137"/>
      <c r="G43" s="117"/>
      <c r="H43" s="131" t="n">
        <v>20</v>
      </c>
      <c r="I43" s="119"/>
      <c r="J43" s="132"/>
      <c r="K43" s="133"/>
      <c r="L43" s="133"/>
      <c r="M43" s="133"/>
      <c r="N43" s="134"/>
      <c r="O43" s="133"/>
      <c r="P43" s="132"/>
      <c r="Q43" s="132"/>
      <c r="R43" s="132"/>
      <c r="S43" s="177"/>
      <c r="T43" s="32" t="n">
        <v>0.07</v>
      </c>
      <c r="U43" s="32" t="n">
        <v>0.07</v>
      </c>
      <c r="V43" s="32"/>
      <c r="W43" s="32"/>
      <c r="X43" s="125" t="n">
        <v>4.3</v>
      </c>
      <c r="Y43" s="125" t="n">
        <v>4.2</v>
      </c>
      <c r="Z43" s="32" t="n">
        <v>0.29</v>
      </c>
      <c r="AA43" s="32" t="n">
        <v>0.29</v>
      </c>
      <c r="AB43" s="125" t="n">
        <v>2.8</v>
      </c>
      <c r="AC43" s="125" t="n">
        <v>2.7</v>
      </c>
      <c r="AD43" s="124"/>
      <c r="AE43" s="124"/>
      <c r="AF43" s="124"/>
      <c r="AG43" s="124"/>
      <c r="AH43" s="124"/>
      <c r="AI43" s="124"/>
      <c r="AJ43" s="124"/>
      <c r="AK43" s="124"/>
      <c r="AL43" s="124"/>
      <c r="AM43" s="124"/>
      <c r="AN43" s="124"/>
      <c r="AO43" s="124"/>
      <c r="AP43" s="124"/>
      <c r="AQ43" s="124"/>
      <c r="AR43" s="124"/>
      <c r="AS43" s="124"/>
      <c r="AT43" s="124"/>
      <c r="AU43" s="124"/>
      <c r="AV43" s="124"/>
      <c r="AW43" s="124"/>
      <c r="AX43" s="124"/>
      <c r="AY43" s="124"/>
      <c r="AZ43" s="124"/>
      <c r="BA43" s="124"/>
      <c r="BB43" s="136"/>
    </row>
    <row r="44" customFormat="false" ht="15.6" hidden="false" customHeight="false" outlineLevel="0" collapsed="false">
      <c r="A44" s="111" t="n">
        <f aca="false">IF(ISBLANK(VLOOKUP(D44,#REF!,3)),0,1)</f>
        <v>1</v>
      </c>
      <c r="B44" s="112" t="n">
        <f aca="false">IF(ISBLANK(D44),0,IF(ISBLANK(E44),0,IF(ISBLANK(F44),0,1)))</f>
        <v>0</v>
      </c>
      <c r="C44" s="128" t="n">
        <v>10</v>
      </c>
      <c r="D44" s="129"/>
      <c r="E44" s="129"/>
      <c r="F44" s="137"/>
      <c r="G44" s="117"/>
      <c r="H44" s="131" t="n">
        <v>10</v>
      </c>
      <c r="I44" s="119"/>
      <c r="J44" s="132"/>
      <c r="K44" s="133"/>
      <c r="L44" s="133"/>
      <c r="M44" s="133"/>
      <c r="N44" s="134"/>
      <c r="O44" s="133"/>
      <c r="P44" s="132"/>
      <c r="Q44" s="132"/>
      <c r="R44" s="132"/>
      <c r="S44" s="177"/>
      <c r="T44" s="32" t="n">
        <v>0.05</v>
      </c>
      <c r="U44" s="32" t="n">
        <v>0.05</v>
      </c>
      <c r="V44" s="32"/>
      <c r="W44" s="32"/>
      <c r="X44" s="125" t="n">
        <v>3.3</v>
      </c>
      <c r="Y44" s="125" t="n">
        <v>3.3</v>
      </c>
      <c r="Z44" s="32" t="n">
        <v>0.21</v>
      </c>
      <c r="AA44" s="32" t="n">
        <v>0.2</v>
      </c>
      <c r="AB44" s="125" t="n">
        <v>2.4</v>
      </c>
      <c r="AC44" s="125" t="n">
        <v>2.4</v>
      </c>
      <c r="AD44" s="124"/>
      <c r="AE44" s="124"/>
      <c r="AF44" s="124"/>
      <c r="AG44" s="124"/>
      <c r="AH44" s="124"/>
      <c r="AI44" s="124"/>
      <c r="AJ44" s="124"/>
      <c r="AK44" s="124"/>
      <c r="AL44" s="124"/>
      <c r="AM44" s="124"/>
      <c r="AN44" s="124"/>
      <c r="AO44" s="124"/>
      <c r="AP44" s="124"/>
      <c r="AQ44" s="124"/>
      <c r="AR44" s="124"/>
      <c r="AS44" s="124"/>
      <c r="AT44" s="124"/>
      <c r="AU44" s="124"/>
      <c r="AV44" s="124"/>
      <c r="AW44" s="124"/>
      <c r="AX44" s="124"/>
      <c r="AY44" s="124"/>
      <c r="AZ44" s="124"/>
      <c r="BA44" s="124"/>
      <c r="BB44" s="136"/>
    </row>
    <row r="45" customFormat="false" ht="15.6" hidden="false" customHeight="false" outlineLevel="0" collapsed="false">
      <c r="A45" s="111" t="n">
        <f aca="false">IF(ISBLANK(VLOOKUP(D45,#REF!,3)),0,1)</f>
        <v>1</v>
      </c>
      <c r="B45" s="112" t="n">
        <f aca="false">IF(ISBLANK(D45),0,IF(ISBLANK(E45),0,IF(ISBLANK(F45),0,1)))</f>
        <v>0</v>
      </c>
      <c r="C45" s="128" t="n">
        <v>11</v>
      </c>
      <c r="D45" s="129"/>
      <c r="E45" s="129"/>
      <c r="F45" s="137"/>
      <c r="G45" s="117" t="n">
        <v>35.9046</v>
      </c>
      <c r="H45" s="131" t="n">
        <v>0</v>
      </c>
      <c r="I45" s="119" t="n">
        <v>2.5</v>
      </c>
      <c r="J45" s="132"/>
      <c r="K45" s="133"/>
      <c r="L45" s="133"/>
      <c r="M45" s="133"/>
      <c r="N45" s="134"/>
      <c r="O45" s="133"/>
      <c r="P45" s="132" t="n">
        <v>4.741</v>
      </c>
      <c r="Q45" s="132"/>
      <c r="R45" s="132"/>
      <c r="S45" s="177" t="n">
        <v>206.603</v>
      </c>
      <c r="T45" s="32" t="n">
        <v>0.04</v>
      </c>
      <c r="U45" s="32" t="n">
        <v>0.04</v>
      </c>
      <c r="V45" s="32"/>
      <c r="W45" s="32"/>
      <c r="X45" s="125" t="n">
        <v>2.9</v>
      </c>
      <c r="Y45" s="125" t="n">
        <v>2.9</v>
      </c>
      <c r="Z45" s="32" t="n">
        <v>0.16</v>
      </c>
      <c r="AA45" s="32" t="n">
        <v>0.16</v>
      </c>
      <c r="AB45" s="125" t="n">
        <v>2.2</v>
      </c>
      <c r="AC45" s="125" t="n">
        <v>2.2</v>
      </c>
      <c r="AD45" s="124"/>
      <c r="AE45" s="124"/>
      <c r="AF45" s="124"/>
      <c r="AG45" s="124"/>
      <c r="AH45" s="124"/>
      <c r="AI45" s="124"/>
      <c r="AJ45" s="124"/>
      <c r="AK45" s="124"/>
      <c r="AL45" s="124"/>
      <c r="AM45" s="124"/>
      <c r="AN45" s="124"/>
      <c r="AO45" s="124"/>
      <c r="AP45" s="124"/>
      <c r="AQ45" s="124"/>
      <c r="AR45" s="124"/>
      <c r="AS45" s="124"/>
      <c r="AT45" s="124"/>
      <c r="AU45" s="124"/>
      <c r="AV45" s="124"/>
      <c r="AW45" s="124"/>
      <c r="AX45" s="124"/>
      <c r="AY45" s="124"/>
      <c r="AZ45" s="124"/>
      <c r="BA45" s="124"/>
      <c r="BB45" s="136"/>
    </row>
    <row r="46" customFormat="false" ht="15.6" hidden="false" customHeight="false" outlineLevel="0" collapsed="false">
      <c r="A46" s="111" t="n">
        <f aca="false">IF(ISBLANK(VLOOKUP(D46,#REF!,3)),0,1)</f>
        <v>1</v>
      </c>
      <c r="B46" s="112" t="n">
        <f aca="false">IF(ISBLANK(D46),0,IF(ISBLANK(E46),0,IF(ISBLANK(F46),0,1)))</f>
        <v>0</v>
      </c>
      <c r="C46" s="128" t="n">
        <v>12</v>
      </c>
      <c r="D46" s="142"/>
      <c r="E46" s="142"/>
      <c r="F46" s="143"/>
      <c r="G46" s="144"/>
      <c r="H46" s="142"/>
      <c r="I46" s="145"/>
      <c r="J46" s="132" t="str">
        <f aca="false">IF(ISBLANK(D46),"",IF(VLOOKUP(D46,#REF!,2)=0,"",IF(D46&gt;#REF!,"Mauvais numéro",IF(D46&lt;#REF!,"Mauvais numéro",(VLOOKUP(D46,#REF!,3))))))</f>
        <v/>
      </c>
      <c r="K46" s="146" t="str">
        <f aca="false">IF(ISBLANK(E46),"",(0.000824493-(0.0000040899*E46)+(0.000000076438*E46^2)-(0.00000000082467*E46^3)+(0.0000000000053875*E46^4)))</f>
        <v/>
      </c>
      <c r="L46" s="146" t="str">
        <f aca="false">IF(ISBLANK(E46),"",(-0.00000572466+(0.00000010227*E46)-(0.0000000016546*E46^2)))</f>
        <v/>
      </c>
      <c r="M46" s="146" t="str">
        <f aca="false">IF(ISBLANK(E46),"",IF(ISBLANK(G46),(O46+(K46*35)+(L46*35^1.5)+(0.00000048314*35^2)),(O46+(K46*G46)+(L46*G46^1.5)+(0.00000048314*G46^2))))</f>
        <v/>
      </c>
      <c r="N46" s="147" t="str">
        <f aca="false">IF(ISBLANK(D46),"",IF(ISBLANK(G46),J46*(1+0.00001*(35-20)),J46*(1+0.00001*(G46-20))))</f>
        <v/>
      </c>
      <c r="O46" s="146" t="str">
        <f aca="false">IF(ISBLANK(E46),"",(0.999842594+(0.00006793952*E46)-(0.00000909529*E46^2)+(0.0000001001685*E46^3)-(0.000000001120083*E46^4)+(0.000000000006536332*E46^5)))</f>
        <v/>
      </c>
      <c r="P46" s="148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49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0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0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24"/>
      <c r="U46" s="124"/>
      <c r="V46" s="124"/>
      <c r="W46" s="124"/>
      <c r="X46" s="124"/>
      <c r="Y46" s="124"/>
      <c r="Z46" s="124"/>
      <c r="AA46" s="124"/>
      <c r="AB46" s="124"/>
      <c r="AC46" s="124"/>
      <c r="AD46" s="124"/>
      <c r="AE46" s="124"/>
      <c r="AF46" s="124"/>
      <c r="AG46" s="124"/>
      <c r="AH46" s="124"/>
      <c r="AI46" s="124"/>
      <c r="AJ46" s="124"/>
      <c r="AK46" s="124"/>
      <c r="AL46" s="124"/>
      <c r="AM46" s="124"/>
      <c r="AN46" s="124"/>
      <c r="AO46" s="124"/>
      <c r="AP46" s="124"/>
      <c r="AQ46" s="124"/>
      <c r="AR46" s="124"/>
      <c r="AS46" s="124"/>
      <c r="AT46" s="124"/>
      <c r="AU46" s="124"/>
      <c r="AV46" s="124"/>
      <c r="AW46" s="124"/>
      <c r="AX46" s="124"/>
      <c r="AY46" s="124"/>
      <c r="AZ46" s="124"/>
      <c r="BA46" s="124"/>
      <c r="BB46" s="136"/>
    </row>
    <row r="47" customFormat="false" ht="15.6" hidden="false" customHeight="false" outlineLevel="0" collapsed="false">
      <c r="A47" s="111" t="n">
        <f aca="false">IF(ISBLANK(VLOOKUP(D47,#REF!,3)),0,1)</f>
        <v>1</v>
      </c>
      <c r="B47" s="112" t="n">
        <f aca="false">IF(ISBLANK(D47),0,IF(ISBLANK(E47),0,IF(ISBLANK(F47),0,1)))</f>
        <v>0</v>
      </c>
      <c r="C47" s="128" t="n">
        <v>13</v>
      </c>
      <c r="D47" s="151"/>
      <c r="E47" s="151"/>
      <c r="F47" s="152"/>
      <c r="G47" s="153"/>
      <c r="H47" s="151"/>
      <c r="I47" s="151"/>
      <c r="J47" s="132" t="str">
        <f aca="false">IF(ISBLANK(D47),"",IF(VLOOKUP(D47,#REF!,2)=0,"",IF(D47&gt;#REF!,"Mauvais numéro",IF(D47&lt;#REF!,"Mauvais numéro",(VLOOKUP(D47,#REF!,3))))))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54"/>
      <c r="Q47" s="149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5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4"/>
      <c r="T47" s="124"/>
      <c r="U47" s="124"/>
      <c r="V47" s="124"/>
      <c r="W47" s="124"/>
      <c r="X47" s="12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24"/>
      <c r="AJ47" s="124"/>
      <c r="AK47" s="124"/>
      <c r="AL47" s="124"/>
      <c r="AM47" s="124"/>
      <c r="AN47" s="124"/>
      <c r="AO47" s="124"/>
      <c r="AP47" s="124"/>
      <c r="AQ47" s="124"/>
      <c r="AR47" s="124"/>
      <c r="AS47" s="124"/>
      <c r="AT47" s="124"/>
      <c r="AU47" s="124"/>
      <c r="AV47" s="124"/>
      <c r="AW47" s="124"/>
      <c r="AX47" s="124"/>
      <c r="AY47" s="124"/>
      <c r="AZ47" s="124"/>
      <c r="BA47" s="124"/>
      <c r="BB47" s="136"/>
    </row>
    <row r="48" customFormat="false" ht="15.6" hidden="false" customHeight="false" outlineLevel="0" collapsed="false">
      <c r="A48" s="111" t="n">
        <f aca="false">IF(ISBLANK(VLOOKUP(D48,#REF!,3)),0,1)</f>
        <v>1</v>
      </c>
      <c r="B48" s="112" t="n">
        <f aca="false">IF(ISBLANK(D48),0,IF(ISBLANK(E48),0,IF(ISBLANK(F48),0,1)))</f>
        <v>0</v>
      </c>
      <c r="C48" s="128" t="n">
        <v>14</v>
      </c>
      <c r="D48" s="151"/>
      <c r="E48" s="151"/>
      <c r="F48" s="152"/>
      <c r="G48" s="153"/>
      <c r="H48" s="151"/>
      <c r="I48" s="151"/>
      <c r="J48" s="132" t="str">
        <f aca="false">IF(ISBLANK(D48),"",IF(VLOOKUP(D48,#REF!,2)=0,"",IF(D48&gt;#REF!,"Mauvais numéro",IF(D48&lt;#REF!,"Mauvais numéro",(VLOOKUP(D48,#REF!,3))))))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54"/>
      <c r="Q48" s="149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5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4"/>
      <c r="T48" s="124"/>
      <c r="U48" s="124"/>
      <c r="V48" s="124"/>
      <c r="W48" s="124"/>
      <c r="X48" s="124"/>
      <c r="Y48" s="124"/>
      <c r="Z48" s="124"/>
      <c r="AA48" s="124"/>
      <c r="AB48" s="124"/>
      <c r="AC48" s="124"/>
      <c r="AD48" s="124"/>
      <c r="AE48" s="124"/>
      <c r="AF48" s="124"/>
      <c r="AG48" s="124"/>
      <c r="AH48" s="124"/>
      <c r="AI48" s="124"/>
      <c r="AJ48" s="124"/>
      <c r="AK48" s="124"/>
      <c r="AL48" s="124"/>
      <c r="AM48" s="124"/>
      <c r="AN48" s="124"/>
      <c r="AO48" s="124"/>
      <c r="AP48" s="124"/>
      <c r="AQ48" s="124"/>
      <c r="AR48" s="124"/>
      <c r="AS48" s="124"/>
      <c r="AT48" s="124"/>
      <c r="AU48" s="124"/>
      <c r="AV48" s="124"/>
      <c r="AW48" s="124"/>
      <c r="AX48" s="124"/>
      <c r="AY48" s="124"/>
      <c r="AZ48" s="124"/>
      <c r="BA48" s="124"/>
      <c r="BB48" s="136"/>
    </row>
    <row r="49" customFormat="false" ht="15.6" hidden="false" customHeight="false" outlineLevel="0" collapsed="false">
      <c r="A49" s="111" t="n">
        <f aca="false">IF(ISBLANK(VLOOKUP(D49,#REF!,3)),0,1)</f>
        <v>1</v>
      </c>
      <c r="B49" s="112" t="n">
        <f aca="false">IF(ISBLANK(D49),0,IF(ISBLANK(E49),0,IF(ISBLANK(F49),0,1)))</f>
        <v>0</v>
      </c>
      <c r="C49" s="128" t="n">
        <v>15</v>
      </c>
      <c r="D49" s="151"/>
      <c r="E49" s="151"/>
      <c r="F49" s="152"/>
      <c r="G49" s="156"/>
      <c r="H49" s="151"/>
      <c r="I49" s="151"/>
      <c r="J49" s="132" t="str">
        <f aca="false">IF(ISBLANK(D49),"",IF(VLOOKUP(D49,#REF!,2)=0,"",IF(D49&gt;#REF!,"Mauvais numéro",IF(D49&lt;#REF!,"Mauvais numéro",(VLOOKUP(D49,#REF!,3))))))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57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49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24"/>
      <c r="AE49" s="124"/>
      <c r="AF49" s="124"/>
      <c r="AG49" s="124"/>
      <c r="AH49" s="124"/>
      <c r="AI49" s="124"/>
      <c r="AJ49" s="124"/>
      <c r="AK49" s="124"/>
      <c r="AL49" s="124"/>
      <c r="AM49" s="124"/>
      <c r="AN49" s="124"/>
      <c r="AO49" s="124"/>
      <c r="AP49" s="124"/>
      <c r="AQ49" s="124"/>
      <c r="AR49" s="124"/>
      <c r="AS49" s="124"/>
      <c r="AT49" s="124"/>
      <c r="AU49" s="124"/>
      <c r="AV49" s="124"/>
      <c r="AW49" s="124"/>
      <c r="AX49" s="124"/>
      <c r="AY49" s="124"/>
      <c r="AZ49" s="124"/>
      <c r="BA49" s="124"/>
      <c r="BB49" s="136"/>
    </row>
    <row r="50" customFormat="false" ht="15.6" hidden="false" customHeight="false" outlineLevel="0" collapsed="false">
      <c r="A50" s="111" t="n">
        <f aca="false">IF(ISBLANK(VLOOKUP(D50,#REF!,3)),0,1)</f>
        <v>1</v>
      </c>
      <c r="B50" s="112" t="n">
        <f aca="false">IF(ISBLANK(D50),0,IF(ISBLANK(E50),0,IF(ISBLANK(F50),0,1)))</f>
        <v>0</v>
      </c>
      <c r="C50" s="128" t="n">
        <v>16</v>
      </c>
      <c r="D50" s="151"/>
      <c r="E50" s="151"/>
      <c r="F50" s="152"/>
      <c r="G50" s="156"/>
      <c r="H50" s="151"/>
      <c r="I50" s="151"/>
      <c r="J50" s="132" t="str">
        <f aca="false">IF(ISBLANK(D50),"",IF(VLOOKUP(D50,#REF!,2)=0,"",IF(D50&gt;#REF!,"Mauvais numéro",IF(D50&lt;#REF!,"Mauvais numéro",(VLOOKUP(D50,#REF!,3))))))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57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49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24"/>
      <c r="U50" s="124"/>
      <c r="V50" s="124"/>
      <c r="W50" s="124"/>
      <c r="X50" s="124"/>
      <c r="Y50" s="124"/>
      <c r="Z50" s="124"/>
      <c r="AA50" s="124"/>
      <c r="AB50" s="124"/>
      <c r="AC50" s="124"/>
      <c r="AD50" s="124"/>
      <c r="AE50" s="124"/>
      <c r="AF50" s="124"/>
      <c r="AG50" s="124"/>
      <c r="AH50" s="124"/>
      <c r="AI50" s="124"/>
      <c r="AJ50" s="124"/>
      <c r="AK50" s="124"/>
      <c r="AL50" s="124"/>
      <c r="AM50" s="124"/>
      <c r="AN50" s="124"/>
      <c r="AO50" s="124"/>
      <c r="AP50" s="124"/>
      <c r="AQ50" s="124"/>
      <c r="AR50" s="124"/>
      <c r="AS50" s="124"/>
      <c r="AT50" s="124"/>
      <c r="AU50" s="124"/>
      <c r="AV50" s="124"/>
      <c r="AW50" s="124"/>
      <c r="AX50" s="124"/>
      <c r="AY50" s="124"/>
      <c r="AZ50" s="124"/>
      <c r="BA50" s="124"/>
      <c r="BB50" s="136"/>
    </row>
    <row r="51" customFormat="false" ht="15.6" hidden="false" customHeight="false" outlineLevel="0" collapsed="false">
      <c r="A51" s="111" t="n">
        <f aca="false">IF(ISBLANK(VLOOKUP(D51,#REF!,3)),0,1)</f>
        <v>1</v>
      </c>
      <c r="B51" s="112" t="n">
        <f aca="false">IF(ISBLANK(D51),0,IF(ISBLANK(E51),0,IF(ISBLANK(F51),0,1)))</f>
        <v>0</v>
      </c>
      <c r="C51" s="128" t="n">
        <v>17</v>
      </c>
      <c r="D51" s="151"/>
      <c r="E51" s="151"/>
      <c r="F51" s="152"/>
      <c r="G51" s="156"/>
      <c r="H51" s="151"/>
      <c r="I51" s="151"/>
      <c r="J51" s="132" t="str">
        <f aca="false">IF(ISBLANK(D51),"",IF(VLOOKUP(D51,#REF!,2)=0,"",IF(D51&gt;#REF!,"Mauvais numéro",IF(D51&lt;#REF!,"Mauvais numéro",(VLOOKUP(D51,#REF!,3))))))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57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49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24"/>
      <c r="AE51" s="124"/>
      <c r="AF51" s="124"/>
      <c r="AG51" s="124"/>
      <c r="AH51" s="124"/>
      <c r="AI51" s="124"/>
      <c r="AJ51" s="124"/>
      <c r="AK51" s="124"/>
      <c r="AL51" s="124"/>
      <c r="AM51" s="124"/>
      <c r="AN51" s="124"/>
      <c r="AO51" s="124"/>
      <c r="AP51" s="124"/>
      <c r="AQ51" s="124"/>
      <c r="AR51" s="124"/>
      <c r="AS51" s="124"/>
      <c r="AT51" s="124"/>
      <c r="AU51" s="124"/>
      <c r="AV51" s="124"/>
      <c r="AW51" s="124"/>
      <c r="AX51" s="124"/>
      <c r="AY51" s="124"/>
      <c r="AZ51" s="124"/>
      <c r="BA51" s="124"/>
      <c r="BB51" s="136"/>
    </row>
    <row r="52" customFormat="false" ht="15.6" hidden="false" customHeight="false" outlineLevel="0" collapsed="false">
      <c r="A52" s="111" t="n">
        <f aca="false">IF(ISBLANK(VLOOKUP(D52,#REF!,3)),0,1)</f>
        <v>1</v>
      </c>
      <c r="B52" s="112" t="n">
        <f aca="false">IF(ISBLANK(D52),0,IF(ISBLANK(E52),0,IF(ISBLANK(F52),0,1)))</f>
        <v>0</v>
      </c>
      <c r="C52" s="128" t="n">
        <v>18</v>
      </c>
      <c r="D52" s="151"/>
      <c r="E52" s="151"/>
      <c r="F52" s="152"/>
      <c r="G52" s="156"/>
      <c r="H52" s="151"/>
      <c r="I52" s="151"/>
      <c r="J52" s="132" t="str">
        <f aca="false">IF(ISBLANK(D52),"",IF(VLOOKUP(D52,#REF!,2)=0,"",IF(D52&gt;#REF!,"Mauvais numéro",IF(D52&lt;#REF!,"Mauvais numéro",(VLOOKUP(D52,#REF!,3))))))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57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49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24"/>
      <c r="U52" s="124"/>
      <c r="V52" s="124"/>
      <c r="W52" s="124"/>
      <c r="X52" s="124"/>
      <c r="Y52" s="124"/>
      <c r="Z52" s="124"/>
      <c r="AA52" s="124"/>
      <c r="AB52" s="124"/>
      <c r="AC52" s="124"/>
      <c r="AD52" s="124"/>
      <c r="AE52" s="124"/>
      <c r="AF52" s="124"/>
      <c r="AG52" s="124"/>
      <c r="AH52" s="124"/>
      <c r="AI52" s="124"/>
      <c r="AJ52" s="124"/>
      <c r="AK52" s="124"/>
      <c r="AL52" s="124"/>
      <c r="AM52" s="124"/>
      <c r="AN52" s="124"/>
      <c r="AO52" s="124"/>
      <c r="AP52" s="124"/>
      <c r="AQ52" s="124"/>
      <c r="AR52" s="124"/>
      <c r="AS52" s="124"/>
      <c r="AT52" s="124"/>
      <c r="AU52" s="124"/>
      <c r="AV52" s="124"/>
      <c r="AW52" s="124"/>
      <c r="AX52" s="124"/>
      <c r="AY52" s="124"/>
      <c r="AZ52" s="124"/>
      <c r="BA52" s="124"/>
      <c r="BB52" s="136"/>
    </row>
    <row r="53" customFormat="false" ht="15.6" hidden="false" customHeight="false" outlineLevel="0" collapsed="false">
      <c r="A53" s="111" t="n">
        <f aca="false">IF(ISBLANK(VLOOKUP(D53,#REF!,3)),0,1)</f>
        <v>1</v>
      </c>
      <c r="B53" s="112" t="n">
        <f aca="false">IF(ISBLANK(D53),0,IF(ISBLANK(E53),0,IF(ISBLANK(F53),0,1)))</f>
        <v>0</v>
      </c>
      <c r="C53" s="128" t="n">
        <v>19</v>
      </c>
      <c r="D53" s="151"/>
      <c r="E53" s="151"/>
      <c r="F53" s="152"/>
      <c r="G53" s="156"/>
      <c r="H53" s="151"/>
      <c r="I53" s="151"/>
      <c r="J53" s="132" t="str">
        <f aca="false">IF(ISBLANK(D53),"",IF(VLOOKUP(D53,#REF!,2)=0,"",IF(D53&gt;#REF!,"Mauvais numéro",IF(D53&lt;#REF!,"Mauvais numéro",(VLOOKUP(D53,#REF!,3))))))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57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49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24"/>
      <c r="U53" s="124"/>
      <c r="V53" s="124"/>
      <c r="W53" s="124"/>
      <c r="X53" s="12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24"/>
      <c r="AJ53" s="124"/>
      <c r="AK53" s="124"/>
      <c r="AL53" s="124"/>
      <c r="AM53" s="124"/>
      <c r="AN53" s="124"/>
      <c r="AO53" s="124"/>
      <c r="AP53" s="124"/>
      <c r="AQ53" s="124"/>
      <c r="AR53" s="124"/>
      <c r="AS53" s="124"/>
      <c r="AT53" s="124"/>
      <c r="AU53" s="124"/>
      <c r="AV53" s="124"/>
      <c r="AW53" s="124"/>
      <c r="AX53" s="124"/>
      <c r="AY53" s="124"/>
      <c r="AZ53" s="124"/>
      <c r="BA53" s="124"/>
      <c r="BB53" s="136"/>
    </row>
    <row r="54" customFormat="false" ht="15.6" hidden="false" customHeight="false" outlineLevel="0" collapsed="false">
      <c r="A54" s="111" t="n">
        <f aca="false">IF(ISBLANK(VLOOKUP(D54,#REF!,3)),0,1)</f>
        <v>1</v>
      </c>
      <c r="B54" s="112" t="n">
        <f aca="false">IF(ISBLANK(D54),0,IF(ISBLANK(E54),0,IF(ISBLANK(F54),0,1)))</f>
        <v>0</v>
      </c>
      <c r="C54" s="128" t="n">
        <v>20</v>
      </c>
      <c r="D54" s="151"/>
      <c r="E54" s="151"/>
      <c r="F54" s="152"/>
      <c r="G54" s="156"/>
      <c r="H54" s="151"/>
      <c r="I54" s="151"/>
      <c r="J54" s="132" t="str">
        <f aca="false">IF(ISBLANK(D54),"",IF(VLOOKUP(D54,#REF!,2)=0,"",IF(D54&gt;#REF!,"Mauvais numéro",IF(D54&lt;#REF!,"Mauvais numéro",(VLOOKUP(D54,#REF!,3))))))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57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49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4"/>
      <c r="U54" s="124"/>
      <c r="V54" s="124"/>
      <c r="W54" s="124"/>
      <c r="X54" s="124"/>
      <c r="Y54" s="124"/>
      <c r="Z54" s="124"/>
      <c r="AA54" s="124"/>
      <c r="AB54" s="124"/>
      <c r="AC54" s="124"/>
      <c r="AD54" s="124"/>
      <c r="AE54" s="124"/>
      <c r="AF54" s="124"/>
      <c r="AG54" s="124"/>
      <c r="AH54" s="124"/>
      <c r="AI54" s="124"/>
      <c r="AJ54" s="124"/>
      <c r="AK54" s="124"/>
      <c r="AL54" s="124"/>
      <c r="AM54" s="124"/>
      <c r="AN54" s="124"/>
      <c r="AO54" s="124"/>
      <c r="AP54" s="124"/>
      <c r="AQ54" s="124"/>
      <c r="AR54" s="124"/>
      <c r="AS54" s="124"/>
      <c r="AT54" s="124"/>
      <c r="AU54" s="124"/>
      <c r="AV54" s="124"/>
      <c r="AW54" s="124"/>
      <c r="AX54" s="124"/>
      <c r="AY54" s="124"/>
      <c r="AZ54" s="124"/>
      <c r="BA54" s="124"/>
      <c r="BB54" s="136"/>
    </row>
    <row r="55" customFormat="false" ht="15.6" hidden="false" customHeight="false" outlineLevel="0" collapsed="false">
      <c r="A55" s="111" t="n">
        <f aca="false">IF(ISBLANK(VLOOKUP(D55,#REF!,3)),0,1)</f>
        <v>1</v>
      </c>
      <c r="B55" s="112" t="n">
        <f aca="false">IF(ISBLANK(D55),0,IF(ISBLANK(E55),0,IF(ISBLANK(F55),0,1)))</f>
        <v>0</v>
      </c>
      <c r="C55" s="128" t="n">
        <v>21</v>
      </c>
      <c r="D55" s="151"/>
      <c r="E55" s="151"/>
      <c r="F55" s="152"/>
      <c r="G55" s="156"/>
      <c r="H55" s="151"/>
      <c r="I55" s="151"/>
      <c r="J55" s="132" t="str">
        <f aca="false">IF(ISBLANK(D55),"",IF(VLOOKUP(D55,#REF!,2)=0,"",IF(D55&gt;#REF!,"Mauvais numéro",IF(D55&lt;#REF!,"Mauvais numéro",(VLOOKUP(D55,#REF!,3))))))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57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49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24"/>
      <c r="U55" s="124"/>
      <c r="V55" s="124"/>
      <c r="W55" s="124"/>
      <c r="X55" s="124"/>
      <c r="Y55" s="124"/>
      <c r="Z55" s="124"/>
      <c r="AA55" s="124"/>
      <c r="AB55" s="124"/>
      <c r="AC55" s="124"/>
      <c r="AD55" s="124"/>
      <c r="AE55" s="124"/>
      <c r="AF55" s="124"/>
      <c r="AG55" s="124"/>
      <c r="AH55" s="124"/>
      <c r="AI55" s="124"/>
      <c r="AJ55" s="124"/>
      <c r="AK55" s="124"/>
      <c r="AL55" s="124"/>
      <c r="AM55" s="124"/>
      <c r="AN55" s="124"/>
      <c r="AO55" s="124"/>
      <c r="AP55" s="124"/>
      <c r="AQ55" s="124"/>
      <c r="AR55" s="124"/>
      <c r="AS55" s="124"/>
      <c r="AT55" s="124"/>
      <c r="AU55" s="124"/>
      <c r="AV55" s="124"/>
      <c r="AW55" s="124"/>
      <c r="AX55" s="124"/>
      <c r="AY55" s="124"/>
      <c r="AZ55" s="124"/>
      <c r="BA55" s="124"/>
      <c r="BB55" s="136"/>
    </row>
    <row r="56" customFormat="false" ht="15.6" hidden="false" customHeight="false" outlineLevel="0" collapsed="false">
      <c r="A56" s="111" t="n">
        <f aca="false">IF(ISBLANK(VLOOKUP(D56,#REF!,3)),0,1)</f>
        <v>1</v>
      </c>
      <c r="B56" s="112" t="n">
        <f aca="false">IF(ISBLANK(D56),0,IF(ISBLANK(E56),0,IF(ISBLANK(F56),0,1)))</f>
        <v>0</v>
      </c>
      <c r="C56" s="128" t="n">
        <v>22</v>
      </c>
      <c r="D56" s="151"/>
      <c r="E56" s="151"/>
      <c r="F56" s="152"/>
      <c r="G56" s="156"/>
      <c r="H56" s="151"/>
      <c r="I56" s="151"/>
      <c r="J56" s="132" t="str">
        <f aca="false">IF(ISBLANK(D56),"",IF(VLOOKUP(D56,#REF!,2)=0,"",IF(D56&gt;#REF!,"Mauvais numéro",IF(D56&lt;#REF!,"Mauvais numéro",(VLOOKUP(D56,#REF!,3))))))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57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49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24"/>
      <c r="AE56" s="124"/>
      <c r="AF56" s="124"/>
      <c r="AG56" s="124"/>
      <c r="AH56" s="124"/>
      <c r="AI56" s="124"/>
      <c r="AJ56" s="124"/>
      <c r="AK56" s="124"/>
      <c r="AL56" s="124"/>
      <c r="AM56" s="124"/>
      <c r="AN56" s="124"/>
      <c r="AO56" s="124"/>
      <c r="AP56" s="124"/>
      <c r="AQ56" s="124"/>
      <c r="AR56" s="124"/>
      <c r="AS56" s="124"/>
      <c r="AT56" s="124"/>
      <c r="AU56" s="124"/>
      <c r="AV56" s="124"/>
      <c r="AW56" s="124"/>
      <c r="AX56" s="124"/>
      <c r="AY56" s="124"/>
      <c r="AZ56" s="124"/>
      <c r="BA56" s="124"/>
      <c r="BB56" s="136"/>
    </row>
    <row r="57" customFormat="false" ht="15.6" hidden="false" customHeight="false" outlineLevel="0" collapsed="false">
      <c r="A57" s="111" t="n">
        <f aca="false">IF(ISBLANK(VLOOKUP(D57,#REF!,3)),0,1)</f>
        <v>1</v>
      </c>
      <c r="B57" s="112" t="n">
        <f aca="false">IF(ISBLANK(D57),0,IF(ISBLANK(E57),0,IF(ISBLANK(F57),0,1)))</f>
        <v>0</v>
      </c>
      <c r="C57" s="128" t="n">
        <v>23</v>
      </c>
      <c r="D57" s="151"/>
      <c r="E57" s="151"/>
      <c r="F57" s="152"/>
      <c r="G57" s="156"/>
      <c r="H57" s="151"/>
      <c r="I57" s="151"/>
      <c r="J57" s="132" t="str">
        <f aca="false">IF(ISBLANK(D57),"",IF(VLOOKUP(D57,#REF!,2)=0,"",IF(D57&gt;#REF!,"Mauvais numéro",IF(D57&lt;#REF!,"Mauvais numéro",(VLOOKUP(D57,#REF!,3))))))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57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49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4"/>
      <c r="U57" s="124"/>
      <c r="V57" s="124"/>
      <c r="W57" s="124"/>
      <c r="X57" s="124"/>
      <c r="Y57" s="124"/>
      <c r="Z57" s="124"/>
      <c r="AA57" s="124"/>
      <c r="AB57" s="124"/>
      <c r="AC57" s="124"/>
      <c r="AD57" s="124"/>
      <c r="AE57" s="124"/>
      <c r="AF57" s="124"/>
      <c r="AG57" s="124"/>
      <c r="AH57" s="124"/>
      <c r="AI57" s="124"/>
      <c r="AJ57" s="124"/>
      <c r="AK57" s="124"/>
      <c r="AL57" s="124"/>
      <c r="AM57" s="124"/>
      <c r="AN57" s="124"/>
      <c r="AO57" s="124"/>
      <c r="AP57" s="124"/>
      <c r="AQ57" s="124"/>
      <c r="AR57" s="124"/>
      <c r="AS57" s="124"/>
      <c r="AT57" s="124"/>
      <c r="AU57" s="124"/>
      <c r="AV57" s="124"/>
      <c r="AW57" s="124"/>
      <c r="AX57" s="124"/>
      <c r="AY57" s="124"/>
      <c r="AZ57" s="124"/>
      <c r="BA57" s="124"/>
      <c r="BB57" s="136"/>
    </row>
    <row r="58" customFormat="false" ht="16.2" hidden="false" customHeight="false" outlineLevel="0" collapsed="false">
      <c r="A58" s="111" t="n">
        <f aca="false">IF(ISBLANK(VLOOKUP(D58,#REF!,3)),0,1)</f>
        <v>1</v>
      </c>
      <c r="B58" s="112" t="n">
        <f aca="false">IF(ISBLANK(D58),0,IF(ISBLANK(E58),0,IF(ISBLANK(F58),0,1)))</f>
        <v>0</v>
      </c>
      <c r="C58" s="158" t="n">
        <v>24</v>
      </c>
      <c r="D58" s="159"/>
      <c r="E58" s="159"/>
      <c r="F58" s="160"/>
      <c r="G58" s="161"/>
      <c r="H58" s="159"/>
      <c r="I58" s="159"/>
      <c r="J58" s="162" t="str">
        <f aca="false">IF(ISBLANK(D58),"",IF(VLOOKUP(D58,#REF!,2)=0,"",IF(D58&gt;#REF!,"Mauvais numéro",IF(D58&lt;#REF!,"Mauvais numéro",(VLOOKUP(D58,#REF!,3))))))</f>
        <v/>
      </c>
      <c r="K58" s="163" t="str">
        <f aca="false">IF(ISBLANK(E58),"",(0.000824493-(0.0000040899*E58)+(0.000000076438*E58^2)-(0.00000000082467*E58^3)+(0.0000000000053875*E58^4)))</f>
        <v/>
      </c>
      <c r="L58" s="163" t="str">
        <f aca="false">IF(ISBLANK(E58),"",(-0.00000572466+(0.00000010227*E58)-(0.0000000016546*E58^2)))</f>
        <v/>
      </c>
      <c r="M58" s="163" t="str">
        <f aca="false">IF(ISBLANK(E58),"",IF(ISBLANK(G58),(O58+(K58*35)+(L58*35^1.5)+(0.00000048314*35^2)),(O58+(K58*G58)+(L58*G58^1.5)+(0.00000048314*G58^2))))</f>
        <v/>
      </c>
      <c r="N58" s="164" t="str">
        <f aca="false">IF(ISBLANK(D58),"",IF(ISBLANK(G58),J58*(1+0.00001*(35-20)),J58*(1+0.00001*(G58-20))))</f>
        <v/>
      </c>
      <c r="O58" s="163" t="str">
        <f aca="false">IF(ISBLANK(E58),"",(0.999842594+(0.00006793952*E58)-(0.00000909529*E58^2)+(0.0000001001685*E58^3)-(0.000000001120083*E58^4)+(0.000000000006536332*E58^5)))</f>
        <v/>
      </c>
      <c r="P58" s="165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66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7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7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68"/>
      <c r="U58" s="168"/>
      <c r="V58" s="168"/>
      <c r="W58" s="168"/>
      <c r="X58" s="168"/>
      <c r="Y58" s="168"/>
      <c r="Z58" s="168"/>
      <c r="AA58" s="168"/>
      <c r="AB58" s="168"/>
      <c r="AC58" s="168"/>
      <c r="AD58" s="168"/>
      <c r="AE58" s="168"/>
      <c r="AF58" s="168"/>
      <c r="AG58" s="168"/>
      <c r="AH58" s="168"/>
      <c r="AI58" s="168"/>
      <c r="AJ58" s="168"/>
      <c r="AK58" s="168"/>
      <c r="AL58" s="168"/>
      <c r="AM58" s="168"/>
      <c r="AN58" s="168"/>
      <c r="AO58" s="168"/>
      <c r="AP58" s="168"/>
      <c r="AQ58" s="168"/>
      <c r="AR58" s="168"/>
      <c r="AS58" s="168"/>
      <c r="AT58" s="168"/>
      <c r="AU58" s="168"/>
      <c r="AV58" s="168"/>
      <c r="AW58" s="168"/>
      <c r="AX58" s="168"/>
      <c r="AY58" s="168"/>
      <c r="AZ58" s="168"/>
      <c r="BA58" s="168"/>
      <c r="BB58" s="169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P1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8178137651822"/>
    <col collapsed="false" hidden="false" max="32" min="32" style="0" width="9.10526315789474"/>
    <col collapsed="false" hidden="false" max="33" min="33" style="0" width="26.5668016194332"/>
    <col collapsed="false" hidden="false" max="34" min="34" style="0" width="12.8542510121458"/>
    <col collapsed="false" hidden="false" max="35" min="35" style="0" width="11.1417004048583"/>
    <col collapsed="false" hidden="false" max="36" min="36" style="0" width="14.5668016194332"/>
    <col collapsed="false" hidden="false" max="37" min="37" style="0" width="12.2105263157895"/>
    <col collapsed="false" hidden="false" max="38" min="38" style="0" width="26.995951417004"/>
    <col collapsed="false" hidden="false" max="39" min="39" style="0" width="14.6761133603239"/>
    <col collapsed="false" hidden="false" max="40" min="40" style="0" width="11.3562753036437"/>
    <col collapsed="false" hidden="false" max="41" min="41" style="0" width="12.5344129554656"/>
    <col collapsed="false" hidden="false" max="42" min="42" style="0" width="10.7125506072875"/>
    <col collapsed="false" hidden="false" max="43" min="43" style="0" width="6.31983805668016"/>
    <col collapsed="false" hidden="false" max="44" min="44" style="0" width="19.7085020242915"/>
    <col collapsed="false" hidden="false" max="45" min="45" style="0" width="13.0688259109312"/>
    <col collapsed="false" hidden="false" max="46" min="46" style="0" width="17.7813765182186"/>
    <col collapsed="false" hidden="false" max="47" min="47" style="0" width="14.6761133603239"/>
    <col collapsed="false" hidden="false" max="48" min="48" style="0" width="13.6032388663968"/>
    <col collapsed="false" hidden="false" max="49" min="49" style="0" width="13.7125506072874"/>
    <col collapsed="false" hidden="false" max="50" min="50" style="0" width="19.9230769230769"/>
    <col collapsed="false" hidden="false" max="51" min="51" style="0" width="13.2834008097166"/>
    <col collapsed="false" hidden="false" max="52" min="52" style="0" width="17.6761133603239"/>
    <col collapsed="false" hidden="false" max="53" min="53" style="0" width="13.3886639676113"/>
    <col collapsed="false" hidden="false" max="54" min="54" style="0" width="12.6396761133603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30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38546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1</v>
      </c>
      <c r="J9" s="29" t="n">
        <v>0.07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1°0,07</v>
      </c>
      <c r="P9" s="29" t="s">
        <v>13</v>
      </c>
      <c r="Q9" s="33" t="n">
        <f aca="false">IF(ISBLANK(I9),"",IF(ISBLANK(J9),"",IF(J9&gt;60,"ERREUR !!",O11*(I9+(J9/60)))))</f>
        <v>1.00116666666667</v>
      </c>
      <c r="R9" s="33"/>
    </row>
    <row r="10" customFormat="false" ht="15" hidden="false" customHeight="true" outlineLevel="0" collapsed="false">
      <c r="C10" s="21"/>
      <c r="D10" s="18"/>
      <c r="G10" s="27" t="s">
        <v>16</v>
      </c>
      <c r="H10" s="27"/>
      <c r="I10" s="28" t="n">
        <v>9</v>
      </c>
      <c r="J10" s="29" t="n">
        <v>59.7</v>
      </c>
      <c r="K10" s="30" t="s">
        <v>12</v>
      </c>
      <c r="L10" s="31" t="str">
        <f aca="false">IF(P10=N9,"+","-")</f>
        <v>-</v>
      </c>
      <c r="M10" s="30" t="s">
        <v>15</v>
      </c>
      <c r="N10" s="30" t="s">
        <v>17</v>
      </c>
      <c r="O10" s="34" t="str">
        <f aca="false">IF(ISBLANK(I10),"",IF(ISBLANK(J10),"",IF(P10=N10,L10&amp;N12,N12)))</f>
        <v>-9°59,7</v>
      </c>
      <c r="P10" s="29" t="s">
        <v>17</v>
      </c>
      <c r="Q10" s="33" t="n">
        <f aca="false">IF(ISBLANK(I10),"",IF(ISBLANK(J10),"",IF(J10&gt;60,"ERREUR !!",O12*(I10+(J10/60)))))</f>
        <v>-9.995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38546</v>
      </c>
      <c r="K11" s="38"/>
      <c r="L11" s="38"/>
      <c r="M11" s="38"/>
      <c r="N11" s="39" t="str">
        <f aca="false">I9&amp;"°"&amp;J9</f>
        <v>1°0,07</v>
      </c>
      <c r="O11" s="40" t="n">
        <f aca="false">IF(P9=M10,-1,1)</f>
        <v>1</v>
      </c>
      <c r="P11" s="41" t="str">
        <f aca="false">TEXT(J11,"aaaa-mm-jj")&amp;"T"&amp;TEXT(J12,"hh:mm:ss")&amp;"z"</f>
        <v>2009-07-14T03:30:00z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0.145833333333333</v>
      </c>
      <c r="K12" s="45"/>
      <c r="L12" s="45"/>
      <c r="M12" s="45"/>
      <c r="N12" s="46" t="str">
        <f aca="false">I10&amp;"°"&amp;J10</f>
        <v>9°59,7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e">
        <f aca="false">$P$24*($P$18/#REF!)</f>
        <v>#REF!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e">
        <f aca="false">5+#REF!</f>
        <v>#REF!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e">
        <f aca="false">P20*(1+0.00001*(R14-20))</f>
        <v>#REF!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e">
        <f aca="false">MAX(#REF!)</f>
        <v>#VALUE!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e">
        <f aca="false">2+(#REF!+#REF!)</f>
        <v>#REF!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52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53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IF(ISBLANK(VLOOKUP(D35,#REF!,3)),0,1)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n">
        <v>34.9656</v>
      </c>
      <c r="H35" s="118" t="n">
        <v>2000</v>
      </c>
      <c r="I35" s="119" t="n">
        <v>2000.7</v>
      </c>
      <c r="J35" s="120"/>
      <c r="K35" s="121"/>
      <c r="L35" s="121"/>
      <c r="M35" s="121"/>
      <c r="N35" s="122"/>
      <c r="O35" s="121"/>
      <c r="P35" s="171" t="n">
        <v>5.719</v>
      </c>
      <c r="Q35" s="120"/>
      <c r="R35" s="120"/>
      <c r="S35" s="172" t="n">
        <v>248.6</v>
      </c>
      <c r="T35" s="32" t="n">
        <v>0</v>
      </c>
      <c r="U35" s="32" t="n">
        <v>0</v>
      </c>
      <c r="V35" s="32"/>
      <c r="W35" s="32"/>
      <c r="X35" s="125" t="n">
        <v>20.1</v>
      </c>
      <c r="Y35" s="125" t="n">
        <v>19.6</v>
      </c>
      <c r="Z35" s="32" t="n">
        <v>1.1</v>
      </c>
      <c r="AA35" s="32" t="n">
        <v>1.07</v>
      </c>
      <c r="AB35" s="125" t="n">
        <v>20.9</v>
      </c>
      <c r="AC35" s="125" t="n">
        <v>20.4</v>
      </c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7"/>
    </row>
    <row r="36" customFormat="false" ht="15.6" hidden="false" customHeight="false" outlineLevel="0" collapsed="false">
      <c r="A36" s="111" t="n">
        <f aca="false">IF(ISBLANK(VLOOKUP(D36,#REF!,3)),0,1)</f>
        <v>1</v>
      </c>
      <c r="B36" s="112" t="n">
        <f aca="false">IF(ISBLANK(D36),0,IF(ISBLANK(E36),0,IF(ISBLANK(F36),0,1)))</f>
        <v>0</v>
      </c>
      <c r="C36" s="128" t="n">
        <v>2</v>
      </c>
      <c r="D36" s="129"/>
      <c r="E36" s="129"/>
      <c r="F36" s="130"/>
      <c r="G36" s="117" t="n">
        <v>34.6349</v>
      </c>
      <c r="H36" s="131" t="n">
        <v>1000</v>
      </c>
      <c r="I36" s="119" t="n">
        <v>998</v>
      </c>
      <c r="J36" s="132"/>
      <c r="K36" s="133"/>
      <c r="L36" s="133"/>
      <c r="M36" s="133"/>
      <c r="N36" s="134"/>
      <c r="O36" s="133"/>
      <c r="P36" s="171" t="n">
        <v>3.628</v>
      </c>
      <c r="Q36" s="132"/>
      <c r="R36" s="132"/>
      <c r="S36" s="172" t="n">
        <v>157.7</v>
      </c>
      <c r="T36" s="32" t="n">
        <v>0</v>
      </c>
      <c r="U36" s="32" t="n">
        <v>0</v>
      </c>
      <c r="V36" s="32"/>
      <c r="W36" s="32"/>
      <c r="X36" s="125" t="n">
        <v>33.2</v>
      </c>
      <c r="Y36" s="125" t="n">
        <v>32.4</v>
      </c>
      <c r="Z36" s="32" t="n">
        <v>1.97</v>
      </c>
      <c r="AA36" s="32" t="n">
        <v>1.92</v>
      </c>
      <c r="AB36" s="125" t="n">
        <v>30.3</v>
      </c>
      <c r="AC36" s="125" t="n">
        <v>29.6</v>
      </c>
      <c r="AD36" s="124"/>
      <c r="AE36" s="124"/>
      <c r="AF36" s="124"/>
      <c r="AG36" s="124"/>
      <c r="AH36" s="124"/>
      <c r="AI36" s="124"/>
      <c r="AJ36" s="124"/>
      <c r="AK36" s="124"/>
      <c r="AL36" s="124"/>
      <c r="AM36" s="124"/>
      <c r="AN36" s="124"/>
      <c r="AO36" s="124"/>
      <c r="AP36" s="124"/>
      <c r="AQ36" s="124"/>
      <c r="AR36" s="124"/>
      <c r="AS36" s="124"/>
      <c r="AT36" s="124"/>
      <c r="AU36" s="124"/>
      <c r="AV36" s="124"/>
      <c r="AW36" s="124"/>
      <c r="AX36" s="124"/>
      <c r="AY36" s="124"/>
      <c r="AZ36" s="124"/>
      <c r="BA36" s="124"/>
      <c r="BB36" s="136"/>
    </row>
    <row r="37" customFormat="false" ht="15.6" hidden="false" customHeight="false" outlineLevel="0" collapsed="false">
      <c r="A37" s="111" t="n">
        <f aca="false">IF(ISBLANK(VLOOKUP(D37,#REF!,3)),0,1)</f>
        <v>1</v>
      </c>
      <c r="B37" s="112" t="n">
        <f aca="false">IF(ISBLANK(D37),0,IF(ISBLANK(E37),0,IF(ISBLANK(F37),0,1)))</f>
        <v>0</v>
      </c>
      <c r="C37" s="128" t="n">
        <v>3</v>
      </c>
      <c r="D37" s="129"/>
      <c r="E37" s="129"/>
      <c r="F37" s="137"/>
      <c r="G37" s="117" t="n">
        <v>34.61</v>
      </c>
      <c r="H37" s="131" t="n">
        <v>500</v>
      </c>
      <c r="I37" s="119" t="n">
        <v>499.1</v>
      </c>
      <c r="J37" s="132"/>
      <c r="K37" s="133"/>
      <c r="L37" s="133"/>
      <c r="M37" s="133"/>
      <c r="N37" s="134"/>
      <c r="O37" s="133"/>
      <c r="P37" s="171" t="n">
        <v>2.755</v>
      </c>
      <c r="Q37" s="132"/>
      <c r="R37" s="132"/>
      <c r="S37" s="172" t="n">
        <v>119.8</v>
      </c>
      <c r="T37" s="32" t="n">
        <v>0</v>
      </c>
      <c r="U37" s="32" t="n">
        <v>0</v>
      </c>
      <c r="V37" s="32"/>
      <c r="W37" s="32"/>
      <c r="X37" s="125" t="n">
        <v>34.1</v>
      </c>
      <c r="Y37" s="125" t="n">
        <v>33.3</v>
      </c>
      <c r="Z37" s="32"/>
      <c r="AA37" s="32"/>
      <c r="AB37" s="125" t="n">
        <v>20.9</v>
      </c>
      <c r="AC37" s="125" t="n">
        <v>20.4</v>
      </c>
      <c r="AD37" s="124"/>
      <c r="AE37" s="124"/>
      <c r="AF37" s="124"/>
      <c r="AG37" s="124"/>
      <c r="AH37" s="124"/>
      <c r="AI37" s="124"/>
      <c r="AJ37" s="124"/>
      <c r="AK37" s="124"/>
      <c r="AL37" s="124"/>
      <c r="AM37" s="124"/>
      <c r="AN37" s="124"/>
      <c r="AO37" s="124"/>
      <c r="AP37" s="124"/>
      <c r="AQ37" s="124"/>
      <c r="AR37" s="124"/>
      <c r="AS37" s="124"/>
      <c r="AT37" s="124"/>
      <c r="AU37" s="124"/>
      <c r="AV37" s="124"/>
      <c r="AW37" s="124"/>
      <c r="AX37" s="124"/>
      <c r="AY37" s="124"/>
      <c r="AZ37" s="124"/>
      <c r="BA37" s="124"/>
      <c r="BB37" s="136"/>
    </row>
    <row r="38" customFormat="false" ht="15.6" hidden="false" customHeight="false" outlineLevel="0" collapsed="false">
      <c r="A38" s="111" t="n">
        <f aca="false">IF(ISBLANK(VLOOKUP(D38,#REF!,3)),0,1)</f>
        <v>1</v>
      </c>
      <c r="B38" s="112" t="n">
        <f aca="false">IF(ISBLANK(D38),0,IF(ISBLANK(E38),0,IF(ISBLANK(F38),0,1)))</f>
        <v>0</v>
      </c>
      <c r="C38" s="128" t="n">
        <v>4</v>
      </c>
      <c r="D38" s="138"/>
      <c r="E38" s="138"/>
      <c r="F38" s="139"/>
      <c r="G38" s="117" t="n">
        <v>35.6158</v>
      </c>
      <c r="H38" s="131" t="n">
        <v>100</v>
      </c>
      <c r="I38" s="119" t="n">
        <v>99.5</v>
      </c>
      <c r="J38" s="132"/>
      <c r="K38" s="133"/>
      <c r="L38" s="133"/>
      <c r="M38" s="133"/>
      <c r="N38" s="134"/>
      <c r="O38" s="133"/>
      <c r="P38" s="171" t="n">
        <v>2.837</v>
      </c>
      <c r="Q38" s="132"/>
      <c r="R38" s="132"/>
      <c r="S38" s="172" t="n">
        <v>123.4</v>
      </c>
      <c r="T38" s="32" t="n">
        <v>0</v>
      </c>
      <c r="U38" s="32" t="n">
        <v>0</v>
      </c>
      <c r="V38" s="32"/>
      <c r="W38" s="32"/>
      <c r="X38" s="125" t="n">
        <v>17.7</v>
      </c>
      <c r="Y38" s="125" t="n">
        <v>17.3</v>
      </c>
      <c r="Z38" s="32"/>
      <c r="AA38" s="32"/>
      <c r="AB38" s="125" t="n">
        <v>6.5</v>
      </c>
      <c r="AC38" s="125" t="n">
        <v>6.3</v>
      </c>
      <c r="AD38" s="124"/>
      <c r="AE38" s="124"/>
      <c r="AF38" s="124"/>
      <c r="AG38" s="124"/>
      <c r="AH38" s="124"/>
      <c r="AI38" s="124"/>
      <c r="AJ38" s="124"/>
      <c r="AK38" s="124"/>
      <c r="AL38" s="124"/>
      <c r="AM38" s="124"/>
      <c r="AN38" s="124"/>
      <c r="AO38" s="124"/>
      <c r="AP38" s="124"/>
      <c r="AQ38" s="124"/>
      <c r="AR38" s="124"/>
      <c r="AS38" s="124"/>
      <c r="AT38" s="124"/>
      <c r="AU38" s="124"/>
      <c r="AV38" s="124"/>
      <c r="AW38" s="124"/>
      <c r="AX38" s="124"/>
      <c r="AY38" s="124"/>
      <c r="AZ38" s="124"/>
      <c r="BA38" s="124"/>
      <c r="BB38" s="136"/>
    </row>
    <row r="39" customFormat="false" ht="15.6" hidden="false" customHeight="false" outlineLevel="0" collapsed="false">
      <c r="A39" s="111" t="n">
        <f aca="false">IF(ISBLANK(VLOOKUP(D39,#REF!,3)),0,1)</f>
        <v>1</v>
      </c>
      <c r="B39" s="112" t="n">
        <f aca="false">IF(ISBLANK(D39),0,IF(ISBLANK(E39),0,IF(ISBLANK(F39),0,1)))</f>
        <v>0</v>
      </c>
      <c r="C39" s="128" t="n">
        <v>5</v>
      </c>
      <c r="D39" s="129"/>
      <c r="E39" s="129"/>
      <c r="F39" s="137"/>
      <c r="G39" s="117" t="n">
        <v>35.6204</v>
      </c>
      <c r="H39" s="131" t="n">
        <v>100</v>
      </c>
      <c r="I39" s="119" t="n">
        <v>99.4</v>
      </c>
      <c r="J39" s="132"/>
      <c r="K39" s="133"/>
      <c r="L39" s="133"/>
      <c r="M39" s="133"/>
      <c r="N39" s="134"/>
      <c r="O39" s="133"/>
      <c r="P39" s="171" t="n">
        <v>2.873</v>
      </c>
      <c r="Q39" s="132"/>
      <c r="R39" s="132"/>
      <c r="S39" s="172" t="n">
        <v>125</v>
      </c>
      <c r="T39" s="32" t="n">
        <v>0</v>
      </c>
      <c r="U39" s="32" t="n">
        <v>0</v>
      </c>
      <c r="V39" s="32"/>
      <c r="W39" s="32"/>
      <c r="X39" s="125" t="n">
        <v>17.6</v>
      </c>
      <c r="Y39" s="125" t="n">
        <v>17.2</v>
      </c>
      <c r="Z39" s="32" t="n">
        <v>0.94</v>
      </c>
      <c r="AA39" s="32" t="n">
        <v>0.92</v>
      </c>
      <c r="AB39" s="125" t="n">
        <v>6.3</v>
      </c>
      <c r="AC39" s="125" t="n">
        <v>6.2</v>
      </c>
      <c r="AD39" s="140"/>
      <c r="AE39" s="140"/>
      <c r="AF39" s="140"/>
      <c r="AG39" s="140"/>
      <c r="AH39" s="140"/>
      <c r="AI39" s="140"/>
      <c r="AJ39" s="140"/>
      <c r="AK39" s="140"/>
      <c r="AL39" s="140"/>
      <c r="AM39" s="140"/>
      <c r="AN39" s="140"/>
      <c r="AO39" s="140"/>
      <c r="AP39" s="140"/>
      <c r="AQ39" s="140"/>
      <c r="AR39" s="140"/>
      <c r="AS39" s="140"/>
      <c r="AT39" s="140"/>
      <c r="AU39" s="140"/>
      <c r="AV39" s="140"/>
      <c r="AW39" s="140"/>
      <c r="AX39" s="140"/>
      <c r="AY39" s="140"/>
      <c r="AZ39" s="140"/>
      <c r="BA39" s="140"/>
      <c r="BB39" s="141"/>
    </row>
    <row r="40" customFormat="false" ht="15.6" hidden="false" customHeight="false" outlineLevel="0" collapsed="false">
      <c r="A40" s="111" t="n">
        <f aca="false">IF(ISBLANK(VLOOKUP(D40,#REF!,3)),0,1)</f>
        <v>1</v>
      </c>
      <c r="B40" s="112" t="n">
        <f aca="false">IF(ISBLANK(D40),0,IF(ISBLANK(E40),0,IF(ISBLANK(F40),0,1)))</f>
        <v>0</v>
      </c>
      <c r="C40" s="128" t="n">
        <v>6</v>
      </c>
      <c r="D40" s="129"/>
      <c r="E40" s="129"/>
      <c r="F40" s="137"/>
      <c r="G40" s="117"/>
      <c r="H40" s="131" t="n">
        <v>80</v>
      </c>
      <c r="I40" s="119"/>
      <c r="J40" s="132"/>
      <c r="K40" s="133"/>
      <c r="L40" s="133"/>
      <c r="M40" s="133"/>
      <c r="N40" s="134"/>
      <c r="O40" s="133"/>
      <c r="P40" s="171"/>
      <c r="Q40" s="132"/>
      <c r="R40" s="132"/>
      <c r="S40" s="172"/>
      <c r="T40" s="32" t="n">
        <v>0.05</v>
      </c>
      <c r="U40" s="32" t="n">
        <v>0.05</v>
      </c>
      <c r="V40" s="32"/>
      <c r="W40" s="32"/>
      <c r="X40" s="125" t="n">
        <v>16.9</v>
      </c>
      <c r="Y40" s="125" t="n">
        <v>16.5</v>
      </c>
      <c r="Z40" s="32" t="n">
        <v>0.92</v>
      </c>
      <c r="AA40" s="32" t="n">
        <v>0.9</v>
      </c>
      <c r="AB40" s="125" t="n">
        <v>6.1</v>
      </c>
      <c r="AC40" s="125" t="n">
        <v>6</v>
      </c>
      <c r="AD40" s="140"/>
      <c r="AE40" s="140"/>
      <c r="AF40" s="140"/>
      <c r="AG40" s="140"/>
      <c r="AH40" s="140"/>
      <c r="AI40" s="140"/>
      <c r="AJ40" s="140"/>
      <c r="AK40" s="140"/>
      <c r="AL40" s="140"/>
      <c r="AM40" s="140"/>
      <c r="AN40" s="140"/>
      <c r="AO40" s="140"/>
      <c r="AP40" s="140"/>
      <c r="AQ40" s="140"/>
      <c r="AR40" s="140"/>
      <c r="AS40" s="140"/>
      <c r="AT40" s="140"/>
      <c r="AU40" s="140"/>
      <c r="AV40" s="140"/>
      <c r="AW40" s="140"/>
      <c r="AX40" s="140"/>
      <c r="AY40" s="140"/>
      <c r="AZ40" s="140"/>
      <c r="BA40" s="140"/>
      <c r="BB40" s="141"/>
    </row>
    <row r="41" customFormat="false" ht="15.6" hidden="false" customHeight="false" outlineLevel="0" collapsed="false">
      <c r="A41" s="111" t="n">
        <f aca="false">IF(ISBLANK(VLOOKUP(D41,#REF!,3)),0,1)</f>
        <v>1</v>
      </c>
      <c r="B41" s="112" t="n">
        <f aca="false">IF(ISBLANK(D41),0,IF(ISBLANK(E41),0,IF(ISBLANK(F41),0,1)))</f>
        <v>0</v>
      </c>
      <c r="C41" s="128" t="n">
        <v>7</v>
      </c>
      <c r="D41" s="129"/>
      <c r="E41" s="129"/>
      <c r="F41" s="137"/>
      <c r="G41" s="117"/>
      <c r="H41" s="131" t="n">
        <v>60</v>
      </c>
      <c r="I41" s="119"/>
      <c r="J41" s="132"/>
      <c r="K41" s="133"/>
      <c r="L41" s="133"/>
      <c r="M41" s="133"/>
      <c r="N41" s="134"/>
      <c r="O41" s="133"/>
      <c r="P41" s="171"/>
      <c r="Q41" s="132"/>
      <c r="R41" s="132"/>
      <c r="S41" s="172"/>
      <c r="T41" s="32" t="n">
        <v>0.35</v>
      </c>
      <c r="U41" s="32" t="n">
        <v>0.34</v>
      </c>
      <c r="V41" s="32"/>
      <c r="W41" s="32"/>
      <c r="X41" s="125" t="n">
        <v>12</v>
      </c>
      <c r="Y41" s="125" t="n">
        <v>11.8</v>
      </c>
      <c r="Z41" s="32" t="n">
        <v>0.68</v>
      </c>
      <c r="AA41" s="32" t="n">
        <v>0.66</v>
      </c>
      <c r="AB41" s="125" t="n">
        <v>4.1</v>
      </c>
      <c r="AC41" s="125" t="n">
        <v>4</v>
      </c>
      <c r="AD41" s="140"/>
      <c r="AE41" s="140"/>
      <c r="AF41" s="140"/>
      <c r="AG41" s="140"/>
      <c r="AH41" s="140"/>
      <c r="AI41" s="140"/>
      <c r="AJ41" s="140"/>
      <c r="AK41" s="140"/>
      <c r="AL41" s="140"/>
      <c r="AM41" s="140"/>
      <c r="AN41" s="140"/>
      <c r="AO41" s="140"/>
      <c r="AP41" s="140"/>
      <c r="AQ41" s="140"/>
      <c r="AR41" s="140"/>
      <c r="AS41" s="140"/>
      <c r="AT41" s="140"/>
      <c r="AU41" s="140"/>
      <c r="AV41" s="140"/>
      <c r="AW41" s="140"/>
      <c r="AX41" s="140"/>
      <c r="AY41" s="140"/>
      <c r="AZ41" s="140"/>
      <c r="BA41" s="140"/>
      <c r="BB41" s="141"/>
    </row>
    <row r="42" customFormat="false" ht="15.6" hidden="false" customHeight="false" outlineLevel="0" collapsed="false">
      <c r="A42" s="111" t="n">
        <f aca="false">IF(ISBLANK(VLOOKUP(D42,#REF!,3)),0,1)</f>
        <v>1</v>
      </c>
      <c r="B42" s="112" t="n">
        <f aca="false">IF(ISBLANK(D42),0,IF(ISBLANK(E42),0,IF(ISBLANK(F42),0,1)))</f>
        <v>0</v>
      </c>
      <c r="C42" s="128" t="n">
        <v>8</v>
      </c>
      <c r="D42" s="129"/>
      <c r="E42" s="129"/>
      <c r="F42" s="137"/>
      <c r="G42" s="117"/>
      <c r="H42" s="131" t="n">
        <v>40</v>
      </c>
      <c r="I42" s="119"/>
      <c r="J42" s="132"/>
      <c r="K42" s="133"/>
      <c r="L42" s="133"/>
      <c r="M42" s="133"/>
      <c r="N42" s="134"/>
      <c r="O42" s="133"/>
      <c r="P42" s="171"/>
      <c r="Q42" s="132"/>
      <c r="R42" s="132"/>
      <c r="S42" s="172"/>
      <c r="T42" s="32" t="n">
        <v>0.07</v>
      </c>
      <c r="U42" s="32" t="n">
        <v>0.07</v>
      </c>
      <c r="V42" s="32"/>
      <c r="W42" s="32"/>
      <c r="X42" s="125" t="n">
        <v>3.5</v>
      </c>
      <c r="Y42" s="125" t="n">
        <v>3.5</v>
      </c>
      <c r="Z42" s="32" t="n">
        <v>0.1</v>
      </c>
      <c r="AA42" s="32" t="n">
        <v>0.1</v>
      </c>
      <c r="AB42" s="125" t="n">
        <v>2.4</v>
      </c>
      <c r="AC42" s="125" t="n">
        <v>2.3</v>
      </c>
      <c r="AD42" s="140"/>
      <c r="AE42" s="140"/>
      <c r="AF42" s="140"/>
      <c r="AG42" s="140"/>
      <c r="AH42" s="140"/>
      <c r="AI42" s="140"/>
      <c r="AJ42" s="140"/>
      <c r="AK42" s="140"/>
      <c r="AL42" s="140"/>
      <c r="AM42" s="140"/>
      <c r="AN42" s="140"/>
      <c r="AO42" s="140"/>
      <c r="AP42" s="140"/>
      <c r="AQ42" s="140"/>
      <c r="AR42" s="140"/>
      <c r="AS42" s="140"/>
      <c r="AT42" s="140"/>
      <c r="AU42" s="140"/>
      <c r="AV42" s="140"/>
      <c r="AW42" s="140"/>
      <c r="AX42" s="140"/>
      <c r="AY42" s="140"/>
      <c r="AZ42" s="140"/>
      <c r="BA42" s="140"/>
      <c r="BB42" s="141"/>
    </row>
    <row r="43" customFormat="false" ht="15.6" hidden="false" customHeight="false" outlineLevel="0" collapsed="false">
      <c r="A43" s="111" t="n">
        <f aca="false">IF(ISBLANK(VLOOKUP(D43,#REF!,3)),0,1)</f>
        <v>1</v>
      </c>
      <c r="B43" s="112" t="n">
        <f aca="false">IF(ISBLANK(D43),0,IF(ISBLANK(E43),0,IF(ISBLANK(F43),0,1)))</f>
        <v>0</v>
      </c>
      <c r="C43" s="128" t="n">
        <v>9</v>
      </c>
      <c r="D43" s="129"/>
      <c r="E43" s="129"/>
      <c r="F43" s="137"/>
      <c r="G43" s="117"/>
      <c r="H43" s="131" t="n">
        <v>20</v>
      </c>
      <c r="I43" s="119"/>
      <c r="J43" s="132"/>
      <c r="K43" s="133"/>
      <c r="L43" s="133"/>
      <c r="M43" s="133"/>
      <c r="N43" s="134"/>
      <c r="O43" s="133"/>
      <c r="P43" s="171"/>
      <c r="Q43" s="132"/>
      <c r="R43" s="132"/>
      <c r="S43" s="172"/>
      <c r="T43" s="32" t="n">
        <v>0.05</v>
      </c>
      <c r="U43" s="32" t="n">
        <v>0.04</v>
      </c>
      <c r="V43" s="32"/>
      <c r="W43" s="32"/>
      <c r="X43" s="125" t="n">
        <v>2.7</v>
      </c>
      <c r="Y43" s="125" t="n">
        <v>2.7</v>
      </c>
      <c r="Z43" s="32" t="n">
        <v>0.14</v>
      </c>
      <c r="AA43" s="32" t="n">
        <v>0.14</v>
      </c>
      <c r="AB43" s="125" t="n">
        <v>2.4</v>
      </c>
      <c r="AC43" s="125" t="n">
        <v>2.3</v>
      </c>
      <c r="AD43" s="140"/>
      <c r="AE43" s="140"/>
      <c r="AF43" s="140"/>
      <c r="AG43" s="140"/>
      <c r="AH43" s="140"/>
      <c r="AI43" s="140"/>
      <c r="AJ43" s="140"/>
      <c r="AK43" s="140"/>
      <c r="AL43" s="140"/>
      <c r="AM43" s="140"/>
      <c r="AN43" s="140"/>
      <c r="AO43" s="140"/>
      <c r="AP43" s="140"/>
      <c r="AQ43" s="140"/>
      <c r="AR43" s="140"/>
      <c r="AS43" s="140"/>
      <c r="AT43" s="140"/>
      <c r="AU43" s="140"/>
      <c r="AV43" s="140"/>
      <c r="AW43" s="140"/>
      <c r="AX43" s="140"/>
      <c r="AY43" s="140"/>
      <c r="AZ43" s="140"/>
      <c r="BA43" s="140"/>
      <c r="BB43" s="141"/>
    </row>
    <row r="44" customFormat="false" ht="15.6" hidden="false" customHeight="false" outlineLevel="0" collapsed="false">
      <c r="A44" s="111" t="n">
        <f aca="false">IF(ISBLANK(VLOOKUP(D44,#REF!,3)),0,1)</f>
        <v>1</v>
      </c>
      <c r="B44" s="112" t="n">
        <f aca="false">IF(ISBLANK(D44),0,IF(ISBLANK(E44),0,IF(ISBLANK(F44),0,1)))</f>
        <v>0</v>
      </c>
      <c r="C44" s="128" t="n">
        <v>10</v>
      </c>
      <c r="D44" s="129"/>
      <c r="E44" s="129"/>
      <c r="F44" s="137"/>
      <c r="G44" s="117"/>
      <c r="H44" s="131" t="n">
        <v>10</v>
      </c>
      <c r="I44" s="119"/>
      <c r="J44" s="132"/>
      <c r="K44" s="133"/>
      <c r="L44" s="133"/>
      <c r="M44" s="133"/>
      <c r="N44" s="134"/>
      <c r="O44" s="133"/>
      <c r="P44" s="171"/>
      <c r="Q44" s="132"/>
      <c r="R44" s="132"/>
      <c r="S44" s="172"/>
      <c r="T44" s="32" t="n">
        <v>0.05</v>
      </c>
      <c r="U44" s="32" t="n">
        <v>0.04</v>
      </c>
      <c r="V44" s="32"/>
      <c r="W44" s="32"/>
      <c r="X44" s="125" t="n">
        <v>2.5</v>
      </c>
      <c r="Y44" s="125" t="n">
        <v>2.4</v>
      </c>
      <c r="Z44" s="32" t="n">
        <v>0.12</v>
      </c>
      <c r="AA44" s="32" t="n">
        <v>0.12</v>
      </c>
      <c r="AB44" s="125" t="n">
        <v>2.4</v>
      </c>
      <c r="AC44" s="125" t="n">
        <v>2.3</v>
      </c>
      <c r="AD44" s="124"/>
      <c r="AE44" s="124"/>
      <c r="AF44" s="124"/>
      <c r="AG44" s="124"/>
      <c r="AH44" s="124"/>
      <c r="AI44" s="124"/>
      <c r="AJ44" s="124"/>
      <c r="AK44" s="124"/>
      <c r="AL44" s="124"/>
      <c r="AM44" s="124"/>
      <c r="AN44" s="124"/>
      <c r="AO44" s="124"/>
      <c r="AP44" s="124"/>
      <c r="AQ44" s="124"/>
      <c r="AR44" s="124"/>
      <c r="AS44" s="124"/>
      <c r="AT44" s="124"/>
      <c r="AU44" s="124"/>
      <c r="AV44" s="124"/>
      <c r="AW44" s="124"/>
      <c r="AX44" s="124"/>
      <c r="AY44" s="124"/>
      <c r="AZ44" s="124"/>
      <c r="BA44" s="124"/>
      <c r="BB44" s="136"/>
    </row>
    <row r="45" customFormat="false" ht="15.6" hidden="false" customHeight="false" outlineLevel="0" collapsed="false">
      <c r="A45" s="111" t="n">
        <f aca="false">IF(ISBLANK(VLOOKUP(D45,#REF!,3)),0,1)</f>
        <v>1</v>
      </c>
      <c r="B45" s="112" t="n">
        <f aca="false">IF(ISBLANK(D45),0,IF(ISBLANK(E45),0,IF(ISBLANK(F45),0,1)))</f>
        <v>0</v>
      </c>
      <c r="C45" s="128" t="n">
        <v>11</v>
      </c>
      <c r="D45" s="129"/>
      <c r="E45" s="129"/>
      <c r="F45" s="137"/>
      <c r="G45" s="117" t="n">
        <v>35.954</v>
      </c>
      <c r="H45" s="131" t="n">
        <v>0</v>
      </c>
      <c r="I45" s="119" t="n">
        <v>1.5</v>
      </c>
      <c r="J45" s="132"/>
      <c r="K45" s="133"/>
      <c r="L45" s="133"/>
      <c r="M45" s="133"/>
      <c r="N45" s="134"/>
      <c r="O45" s="133"/>
      <c r="P45" s="171" t="n">
        <v>4.778</v>
      </c>
      <c r="Q45" s="132"/>
      <c r="R45" s="132"/>
      <c r="S45" s="172" t="n">
        <v>208.2</v>
      </c>
      <c r="T45" s="32" t="n">
        <v>0.06</v>
      </c>
      <c r="U45" s="32" t="n">
        <v>0.06</v>
      </c>
      <c r="V45" s="32"/>
      <c r="W45" s="32"/>
      <c r="X45" s="125" t="n">
        <v>2.5</v>
      </c>
      <c r="Y45" s="125" t="n">
        <v>2.4</v>
      </c>
      <c r="Z45" s="32" t="n">
        <v>0.14</v>
      </c>
      <c r="AA45" s="32" t="n">
        <v>0.14</v>
      </c>
      <c r="AB45" s="125" t="n">
        <v>2.3</v>
      </c>
      <c r="AC45" s="125" t="n">
        <v>2.2</v>
      </c>
      <c r="AD45" s="140"/>
      <c r="AE45" s="140"/>
      <c r="AF45" s="140"/>
      <c r="AG45" s="140"/>
      <c r="AH45" s="140"/>
      <c r="AI45" s="186"/>
      <c r="AJ45" s="186"/>
      <c r="AK45" s="186"/>
      <c r="AL45" s="140"/>
      <c r="AM45" s="140"/>
      <c r="AN45" s="140"/>
      <c r="AO45" s="140"/>
      <c r="AP45" s="140"/>
      <c r="AQ45" s="140"/>
      <c r="AR45" s="186"/>
      <c r="AS45" s="140"/>
      <c r="AT45" s="140"/>
      <c r="AU45" s="186"/>
      <c r="AV45" s="140"/>
      <c r="AW45" s="140"/>
      <c r="AX45" s="140"/>
      <c r="AY45" s="140"/>
      <c r="AZ45" s="140"/>
      <c r="BA45" s="140"/>
      <c r="BB45" s="187"/>
    </row>
    <row r="46" customFormat="false" ht="15.6" hidden="false" customHeight="false" outlineLevel="0" collapsed="false">
      <c r="A46" s="111" t="n">
        <f aca="false">IF(ISBLANK(VLOOKUP(D46,#REF!,3)),0,1)</f>
        <v>1</v>
      </c>
      <c r="B46" s="112" t="n">
        <f aca="false">IF(ISBLANK(D46),0,IF(ISBLANK(E46),0,IF(ISBLANK(F46),0,1)))</f>
        <v>0</v>
      </c>
      <c r="C46" s="128" t="n">
        <v>12</v>
      </c>
      <c r="D46" s="142"/>
      <c r="E46" s="142"/>
      <c r="F46" s="143"/>
      <c r="G46" s="144"/>
      <c r="H46" s="142"/>
      <c r="I46" s="145"/>
      <c r="J46" s="132" t="str">
        <f aca="false">IF(ISBLANK(D46),"",IF(VLOOKUP(D46,#REF!,2)=0,"",IF(D46&gt;#REF!,"Mauvais numéro",IF(D46&lt;#REF!,"Mauvais numéro",(VLOOKUP(D46,#REF!,3))))))</f>
        <v/>
      </c>
      <c r="K46" s="146" t="str">
        <f aca="false">IF(ISBLANK(E46),"",(0.000824493-(0.0000040899*E46)+(0.000000076438*E46^2)-(0.00000000082467*E46^3)+(0.0000000000053875*E46^4)))</f>
        <v/>
      </c>
      <c r="L46" s="146" t="str">
        <f aca="false">IF(ISBLANK(E46),"",(-0.00000572466+(0.00000010227*E46)-(0.0000000016546*E46^2)))</f>
        <v/>
      </c>
      <c r="M46" s="146" t="str">
        <f aca="false">IF(ISBLANK(E46),"",IF(ISBLANK(G46),(O46+(K46*35)+(L46*35^1.5)+(0.00000048314*35^2)),(O46+(K46*G46)+(L46*G46^1.5)+(0.00000048314*G46^2))))</f>
        <v/>
      </c>
      <c r="N46" s="147" t="str">
        <f aca="false">IF(ISBLANK(D46),"",IF(ISBLANK(G46),J46*(1+0.00001*(35-20)),J46*(1+0.00001*(G46-20))))</f>
        <v/>
      </c>
      <c r="O46" s="146" t="str">
        <f aca="false">IF(ISBLANK(E46),"",(0.999842594+(0.00006793952*E46)-(0.00000909529*E46^2)+(0.0000001001685*E46^3)-(0.000000001120083*E46^4)+(0.000000000006536332*E46^5)))</f>
        <v/>
      </c>
      <c r="P46" s="148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49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0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0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24"/>
      <c r="U46" s="124"/>
      <c r="V46" s="124"/>
      <c r="W46" s="124"/>
      <c r="X46" s="124"/>
      <c r="Y46" s="124"/>
      <c r="Z46" s="124"/>
      <c r="AA46" s="124"/>
      <c r="AB46" s="124"/>
      <c r="AC46" s="124"/>
      <c r="AD46" s="124"/>
      <c r="AE46" s="124"/>
      <c r="AF46" s="124"/>
      <c r="AG46" s="124"/>
      <c r="AH46" s="124"/>
      <c r="AI46" s="124"/>
      <c r="AJ46" s="124"/>
      <c r="AK46" s="124"/>
      <c r="AL46" s="124"/>
      <c r="AM46" s="124"/>
      <c r="AN46" s="124"/>
      <c r="AO46" s="124"/>
      <c r="AP46" s="124"/>
      <c r="AQ46" s="124"/>
      <c r="AR46" s="124"/>
      <c r="AS46" s="124"/>
      <c r="AT46" s="124"/>
      <c r="AU46" s="124"/>
      <c r="AV46" s="124"/>
      <c r="AW46" s="124"/>
      <c r="AX46" s="124"/>
      <c r="AY46" s="124"/>
      <c r="AZ46" s="124"/>
      <c r="BA46" s="124"/>
      <c r="BB46" s="136"/>
    </row>
    <row r="47" customFormat="false" ht="15.6" hidden="false" customHeight="false" outlineLevel="0" collapsed="false">
      <c r="A47" s="111" t="n">
        <f aca="false">IF(ISBLANK(VLOOKUP(D47,#REF!,3)),0,1)</f>
        <v>1</v>
      </c>
      <c r="B47" s="112" t="n">
        <f aca="false">IF(ISBLANK(D47),0,IF(ISBLANK(E47),0,IF(ISBLANK(F47),0,1)))</f>
        <v>0</v>
      </c>
      <c r="C47" s="128" t="n">
        <v>13</v>
      </c>
      <c r="D47" s="151"/>
      <c r="E47" s="151"/>
      <c r="F47" s="152"/>
      <c r="G47" s="153"/>
      <c r="H47" s="151"/>
      <c r="I47" s="151"/>
      <c r="J47" s="132" t="str">
        <f aca="false">IF(ISBLANK(D47),"",IF(VLOOKUP(D47,#REF!,2)=0,"",IF(D47&gt;#REF!,"Mauvais numéro",IF(D47&lt;#REF!,"Mauvais numéro",(VLOOKUP(D47,#REF!,3))))))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54"/>
      <c r="Q47" s="149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5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4"/>
      <c r="T47" s="124"/>
      <c r="U47" s="124"/>
      <c r="V47" s="124"/>
      <c r="W47" s="124"/>
      <c r="X47" s="12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24"/>
      <c r="AJ47" s="124"/>
      <c r="AK47" s="124"/>
      <c r="AL47" s="124"/>
      <c r="AM47" s="124"/>
      <c r="AN47" s="124"/>
      <c r="AO47" s="124"/>
      <c r="AP47" s="124"/>
      <c r="AQ47" s="124"/>
      <c r="AR47" s="124"/>
      <c r="AS47" s="124"/>
      <c r="AT47" s="124"/>
      <c r="AU47" s="124"/>
      <c r="AV47" s="124"/>
      <c r="AW47" s="124"/>
      <c r="AX47" s="124"/>
      <c r="AY47" s="124"/>
      <c r="AZ47" s="124"/>
      <c r="BA47" s="124"/>
      <c r="BB47" s="136"/>
    </row>
    <row r="48" customFormat="false" ht="15.6" hidden="false" customHeight="false" outlineLevel="0" collapsed="false">
      <c r="A48" s="111" t="n">
        <f aca="false">IF(ISBLANK(VLOOKUP(D48,#REF!,3)),0,1)</f>
        <v>1</v>
      </c>
      <c r="B48" s="112" t="n">
        <f aca="false">IF(ISBLANK(D48),0,IF(ISBLANK(E48),0,IF(ISBLANK(F48),0,1)))</f>
        <v>0</v>
      </c>
      <c r="C48" s="128" t="n">
        <v>14</v>
      </c>
      <c r="D48" s="151"/>
      <c r="E48" s="151"/>
      <c r="F48" s="152"/>
      <c r="G48" s="153"/>
      <c r="H48" s="151"/>
      <c r="I48" s="151"/>
      <c r="J48" s="132" t="str">
        <f aca="false">IF(ISBLANK(D48),"",IF(VLOOKUP(D48,#REF!,2)=0,"",IF(D48&gt;#REF!,"Mauvais numéro",IF(D48&lt;#REF!,"Mauvais numéro",(VLOOKUP(D48,#REF!,3))))))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54"/>
      <c r="Q48" s="149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5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4"/>
      <c r="T48" s="124"/>
      <c r="U48" s="124"/>
      <c r="V48" s="124"/>
      <c r="W48" s="124"/>
      <c r="X48" s="124"/>
      <c r="Y48" s="124"/>
      <c r="Z48" s="124"/>
      <c r="AA48" s="124"/>
      <c r="AB48" s="124"/>
      <c r="AC48" s="124"/>
      <c r="AD48" s="124"/>
      <c r="AE48" s="124"/>
      <c r="AF48" s="124"/>
      <c r="AG48" s="124"/>
      <c r="AH48" s="124"/>
      <c r="AI48" s="124"/>
      <c r="AJ48" s="124"/>
      <c r="AK48" s="124"/>
      <c r="AL48" s="124"/>
      <c r="AM48" s="124"/>
      <c r="AN48" s="124"/>
      <c r="AO48" s="124"/>
      <c r="AP48" s="124"/>
      <c r="AQ48" s="124"/>
      <c r="AR48" s="124"/>
      <c r="AS48" s="124"/>
      <c r="AT48" s="124"/>
      <c r="AU48" s="124"/>
      <c r="AV48" s="124"/>
      <c r="AW48" s="124"/>
      <c r="AX48" s="124"/>
      <c r="AY48" s="124"/>
      <c r="AZ48" s="124"/>
      <c r="BA48" s="124"/>
      <c r="BB48" s="136"/>
    </row>
    <row r="49" customFormat="false" ht="15.6" hidden="false" customHeight="false" outlineLevel="0" collapsed="false">
      <c r="A49" s="111" t="n">
        <f aca="false">IF(ISBLANK(VLOOKUP(D49,#REF!,3)),0,1)</f>
        <v>1</v>
      </c>
      <c r="B49" s="112" t="n">
        <f aca="false">IF(ISBLANK(D49),0,IF(ISBLANK(E49),0,IF(ISBLANK(F49),0,1)))</f>
        <v>0</v>
      </c>
      <c r="C49" s="128" t="n">
        <v>15</v>
      </c>
      <c r="D49" s="151"/>
      <c r="E49" s="151"/>
      <c r="F49" s="152"/>
      <c r="G49" s="156"/>
      <c r="H49" s="151"/>
      <c r="I49" s="151"/>
      <c r="J49" s="132" t="str">
        <f aca="false">IF(ISBLANK(D49),"",IF(VLOOKUP(D49,#REF!,2)=0,"",IF(D49&gt;#REF!,"Mauvais numéro",IF(D49&lt;#REF!,"Mauvais numéro",(VLOOKUP(D49,#REF!,3))))))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57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49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24"/>
      <c r="AE49" s="124"/>
      <c r="AF49" s="124"/>
      <c r="AG49" s="124"/>
      <c r="AH49" s="124"/>
      <c r="AI49" s="124"/>
      <c r="AJ49" s="124"/>
      <c r="AK49" s="124"/>
      <c r="AL49" s="124"/>
      <c r="AM49" s="124"/>
      <c r="AN49" s="124"/>
      <c r="AO49" s="124"/>
      <c r="AP49" s="124"/>
      <c r="AQ49" s="124"/>
      <c r="AR49" s="124"/>
      <c r="AS49" s="124"/>
      <c r="AT49" s="124"/>
      <c r="AU49" s="124"/>
      <c r="AV49" s="124"/>
      <c r="AW49" s="124"/>
      <c r="AX49" s="124"/>
      <c r="AY49" s="124"/>
      <c r="AZ49" s="124"/>
      <c r="BA49" s="124"/>
      <c r="BB49" s="136"/>
    </row>
    <row r="50" customFormat="false" ht="15.6" hidden="false" customHeight="false" outlineLevel="0" collapsed="false">
      <c r="A50" s="111" t="n">
        <f aca="false">IF(ISBLANK(VLOOKUP(D50,#REF!,3)),0,1)</f>
        <v>1</v>
      </c>
      <c r="B50" s="112" t="n">
        <f aca="false">IF(ISBLANK(D50),0,IF(ISBLANK(E50),0,IF(ISBLANK(F50),0,1)))</f>
        <v>0</v>
      </c>
      <c r="C50" s="128" t="n">
        <v>16</v>
      </c>
      <c r="D50" s="151"/>
      <c r="E50" s="151"/>
      <c r="F50" s="152"/>
      <c r="G50" s="156"/>
      <c r="H50" s="151"/>
      <c r="I50" s="151"/>
      <c r="J50" s="132" t="str">
        <f aca="false">IF(ISBLANK(D50),"",IF(VLOOKUP(D50,#REF!,2)=0,"",IF(D50&gt;#REF!,"Mauvais numéro",IF(D50&lt;#REF!,"Mauvais numéro",(VLOOKUP(D50,#REF!,3))))))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57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49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24"/>
      <c r="U50" s="124"/>
      <c r="V50" s="124"/>
      <c r="W50" s="124"/>
      <c r="X50" s="124"/>
      <c r="Y50" s="124"/>
      <c r="Z50" s="124"/>
      <c r="AA50" s="124"/>
      <c r="AB50" s="124"/>
      <c r="AC50" s="124"/>
      <c r="AD50" s="124"/>
      <c r="AE50" s="124"/>
      <c r="AF50" s="124"/>
      <c r="AG50" s="124"/>
      <c r="AH50" s="124"/>
      <c r="AI50" s="124"/>
      <c r="AJ50" s="124"/>
      <c r="AK50" s="124"/>
      <c r="AL50" s="124"/>
      <c r="AM50" s="124"/>
      <c r="AN50" s="124"/>
      <c r="AO50" s="124"/>
      <c r="AP50" s="124"/>
      <c r="AQ50" s="124"/>
      <c r="AR50" s="124"/>
      <c r="AS50" s="124"/>
      <c r="AT50" s="124"/>
      <c r="AU50" s="124"/>
      <c r="AV50" s="124"/>
      <c r="AW50" s="124"/>
      <c r="AX50" s="124"/>
      <c r="AY50" s="124"/>
      <c r="AZ50" s="124"/>
      <c r="BA50" s="124"/>
      <c r="BB50" s="136"/>
    </row>
    <row r="51" customFormat="false" ht="15.6" hidden="false" customHeight="false" outlineLevel="0" collapsed="false">
      <c r="A51" s="111" t="n">
        <f aca="false">IF(ISBLANK(VLOOKUP(D51,#REF!,3)),0,1)</f>
        <v>1</v>
      </c>
      <c r="B51" s="112" t="n">
        <f aca="false">IF(ISBLANK(D51),0,IF(ISBLANK(E51),0,IF(ISBLANK(F51),0,1)))</f>
        <v>0</v>
      </c>
      <c r="C51" s="128" t="n">
        <v>17</v>
      </c>
      <c r="D51" s="151"/>
      <c r="E51" s="151"/>
      <c r="F51" s="152"/>
      <c r="G51" s="156"/>
      <c r="H51" s="151"/>
      <c r="I51" s="151"/>
      <c r="J51" s="132" t="str">
        <f aca="false">IF(ISBLANK(D51),"",IF(VLOOKUP(D51,#REF!,2)=0,"",IF(D51&gt;#REF!,"Mauvais numéro",IF(D51&lt;#REF!,"Mauvais numéro",(VLOOKUP(D51,#REF!,3))))))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57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49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24"/>
      <c r="AE51" s="124"/>
      <c r="AF51" s="124"/>
      <c r="AG51" s="124"/>
      <c r="AH51" s="124"/>
      <c r="AI51" s="124"/>
      <c r="AJ51" s="124"/>
      <c r="AK51" s="124"/>
      <c r="AL51" s="124"/>
      <c r="AM51" s="124"/>
      <c r="AN51" s="124"/>
      <c r="AO51" s="124"/>
      <c r="AP51" s="124"/>
      <c r="AQ51" s="124"/>
      <c r="AR51" s="124"/>
      <c r="AS51" s="124"/>
      <c r="AT51" s="124"/>
      <c r="AU51" s="124"/>
      <c r="AV51" s="124"/>
      <c r="AW51" s="124"/>
      <c r="AX51" s="124"/>
      <c r="AY51" s="124"/>
      <c r="AZ51" s="124"/>
      <c r="BA51" s="124"/>
      <c r="BB51" s="136"/>
    </row>
    <row r="52" customFormat="false" ht="15.6" hidden="false" customHeight="false" outlineLevel="0" collapsed="false">
      <c r="A52" s="111" t="n">
        <f aca="false">IF(ISBLANK(VLOOKUP(D52,#REF!,3)),0,1)</f>
        <v>1</v>
      </c>
      <c r="B52" s="112" t="n">
        <f aca="false">IF(ISBLANK(D52),0,IF(ISBLANK(E52),0,IF(ISBLANK(F52),0,1)))</f>
        <v>0</v>
      </c>
      <c r="C52" s="128" t="n">
        <v>18</v>
      </c>
      <c r="D52" s="151"/>
      <c r="E52" s="151"/>
      <c r="F52" s="152"/>
      <c r="G52" s="156"/>
      <c r="H52" s="151"/>
      <c r="I52" s="151"/>
      <c r="J52" s="132" t="str">
        <f aca="false">IF(ISBLANK(D52),"",IF(VLOOKUP(D52,#REF!,2)=0,"",IF(D52&gt;#REF!,"Mauvais numéro",IF(D52&lt;#REF!,"Mauvais numéro",(VLOOKUP(D52,#REF!,3))))))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57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49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24"/>
      <c r="U52" s="124"/>
      <c r="V52" s="124"/>
      <c r="W52" s="124"/>
      <c r="X52" s="124"/>
      <c r="Y52" s="124"/>
      <c r="Z52" s="124"/>
      <c r="AA52" s="124"/>
      <c r="AB52" s="124"/>
      <c r="AC52" s="124"/>
      <c r="AD52" s="124"/>
      <c r="AE52" s="124"/>
      <c r="AF52" s="124"/>
      <c r="AG52" s="124"/>
      <c r="AH52" s="124"/>
      <c r="AI52" s="124"/>
      <c r="AJ52" s="124"/>
      <c r="AK52" s="124"/>
      <c r="AL52" s="124"/>
      <c r="AM52" s="124"/>
      <c r="AN52" s="124"/>
      <c r="AO52" s="124"/>
      <c r="AP52" s="124"/>
      <c r="AQ52" s="124"/>
      <c r="AR52" s="124"/>
      <c r="AS52" s="124"/>
      <c r="AT52" s="124"/>
      <c r="AU52" s="124"/>
      <c r="AV52" s="124"/>
      <c r="AW52" s="124"/>
      <c r="AX52" s="124"/>
      <c r="AY52" s="124"/>
      <c r="AZ52" s="124"/>
      <c r="BA52" s="124"/>
      <c r="BB52" s="136"/>
    </row>
    <row r="53" customFormat="false" ht="15.6" hidden="false" customHeight="false" outlineLevel="0" collapsed="false">
      <c r="A53" s="111" t="n">
        <f aca="false">IF(ISBLANK(VLOOKUP(D53,#REF!,3)),0,1)</f>
        <v>1</v>
      </c>
      <c r="B53" s="112" t="n">
        <f aca="false">IF(ISBLANK(D53),0,IF(ISBLANK(E53),0,IF(ISBLANK(F53),0,1)))</f>
        <v>0</v>
      </c>
      <c r="C53" s="128" t="n">
        <v>19</v>
      </c>
      <c r="D53" s="151"/>
      <c r="E53" s="151"/>
      <c r="F53" s="152"/>
      <c r="G53" s="156"/>
      <c r="H53" s="151"/>
      <c r="I53" s="151"/>
      <c r="J53" s="132" t="str">
        <f aca="false">IF(ISBLANK(D53),"",IF(VLOOKUP(D53,#REF!,2)=0,"",IF(D53&gt;#REF!,"Mauvais numéro",IF(D53&lt;#REF!,"Mauvais numéro",(VLOOKUP(D53,#REF!,3))))))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57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49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24"/>
      <c r="U53" s="124"/>
      <c r="V53" s="124"/>
      <c r="W53" s="124"/>
      <c r="X53" s="12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24"/>
      <c r="AJ53" s="124"/>
      <c r="AK53" s="124"/>
      <c r="AL53" s="124"/>
      <c r="AM53" s="124"/>
      <c r="AN53" s="124"/>
      <c r="AO53" s="124"/>
      <c r="AP53" s="124"/>
      <c r="AQ53" s="124"/>
      <c r="AR53" s="124"/>
      <c r="AS53" s="124"/>
      <c r="AT53" s="124"/>
      <c r="AU53" s="124"/>
      <c r="AV53" s="124"/>
      <c r="AW53" s="124"/>
      <c r="AX53" s="124"/>
      <c r="AY53" s="124"/>
      <c r="AZ53" s="124"/>
      <c r="BA53" s="124"/>
      <c r="BB53" s="136"/>
    </row>
    <row r="54" customFormat="false" ht="15.6" hidden="false" customHeight="false" outlineLevel="0" collapsed="false">
      <c r="A54" s="111" t="n">
        <f aca="false">IF(ISBLANK(VLOOKUP(D54,#REF!,3)),0,1)</f>
        <v>1</v>
      </c>
      <c r="B54" s="112" t="n">
        <f aca="false">IF(ISBLANK(D54),0,IF(ISBLANK(E54),0,IF(ISBLANK(F54),0,1)))</f>
        <v>0</v>
      </c>
      <c r="C54" s="128" t="n">
        <v>20</v>
      </c>
      <c r="D54" s="151"/>
      <c r="E54" s="151"/>
      <c r="F54" s="152"/>
      <c r="G54" s="156"/>
      <c r="H54" s="151"/>
      <c r="I54" s="151"/>
      <c r="J54" s="132" t="str">
        <f aca="false">IF(ISBLANK(D54),"",IF(VLOOKUP(D54,#REF!,2)=0,"",IF(D54&gt;#REF!,"Mauvais numéro",IF(D54&lt;#REF!,"Mauvais numéro",(VLOOKUP(D54,#REF!,3))))))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57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49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4"/>
      <c r="U54" s="124"/>
      <c r="V54" s="124"/>
      <c r="W54" s="124"/>
      <c r="X54" s="124"/>
      <c r="Y54" s="124"/>
      <c r="Z54" s="124"/>
      <c r="AA54" s="124"/>
      <c r="AB54" s="124"/>
      <c r="AC54" s="124"/>
      <c r="AD54" s="124"/>
      <c r="AE54" s="124"/>
      <c r="AF54" s="124"/>
      <c r="AG54" s="124"/>
      <c r="AH54" s="124"/>
      <c r="AI54" s="124"/>
      <c r="AJ54" s="124"/>
      <c r="AK54" s="124"/>
      <c r="AL54" s="124"/>
      <c r="AM54" s="124"/>
      <c r="AN54" s="124"/>
      <c r="AO54" s="124"/>
      <c r="AP54" s="124"/>
      <c r="AQ54" s="124"/>
      <c r="AR54" s="124"/>
      <c r="AS54" s="124"/>
      <c r="AT54" s="124"/>
      <c r="AU54" s="124"/>
      <c r="AV54" s="124"/>
      <c r="AW54" s="124"/>
      <c r="AX54" s="124"/>
      <c r="AY54" s="124"/>
      <c r="AZ54" s="124"/>
      <c r="BA54" s="124"/>
      <c r="BB54" s="136"/>
    </row>
    <row r="55" customFormat="false" ht="15.6" hidden="false" customHeight="false" outlineLevel="0" collapsed="false">
      <c r="A55" s="111" t="n">
        <f aca="false">IF(ISBLANK(VLOOKUP(D55,#REF!,3)),0,1)</f>
        <v>1</v>
      </c>
      <c r="B55" s="112" t="n">
        <f aca="false">IF(ISBLANK(D55),0,IF(ISBLANK(E55),0,IF(ISBLANK(F55),0,1)))</f>
        <v>0</v>
      </c>
      <c r="C55" s="128" t="n">
        <v>21</v>
      </c>
      <c r="D55" s="151"/>
      <c r="E55" s="151"/>
      <c r="F55" s="152"/>
      <c r="G55" s="156"/>
      <c r="H55" s="151"/>
      <c r="I55" s="151"/>
      <c r="J55" s="132" t="str">
        <f aca="false">IF(ISBLANK(D55),"",IF(VLOOKUP(D55,#REF!,2)=0,"",IF(D55&gt;#REF!,"Mauvais numéro",IF(D55&lt;#REF!,"Mauvais numéro",(VLOOKUP(D55,#REF!,3))))))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57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49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24"/>
      <c r="U55" s="124"/>
      <c r="V55" s="124"/>
      <c r="W55" s="124"/>
      <c r="X55" s="124"/>
      <c r="Y55" s="124"/>
      <c r="Z55" s="124"/>
      <c r="AA55" s="124"/>
      <c r="AB55" s="124"/>
      <c r="AC55" s="124"/>
      <c r="AD55" s="124"/>
      <c r="AE55" s="124"/>
      <c r="AF55" s="124"/>
      <c r="AG55" s="124"/>
      <c r="AH55" s="124"/>
      <c r="AI55" s="124"/>
      <c r="AJ55" s="124"/>
      <c r="AK55" s="124"/>
      <c r="AL55" s="124"/>
      <c r="AM55" s="124"/>
      <c r="AN55" s="124"/>
      <c r="AO55" s="124"/>
      <c r="AP55" s="124"/>
      <c r="AQ55" s="124"/>
      <c r="AR55" s="124"/>
      <c r="AS55" s="124"/>
      <c r="AT55" s="124"/>
      <c r="AU55" s="124"/>
      <c r="AV55" s="124"/>
      <c r="AW55" s="124"/>
      <c r="AX55" s="124"/>
      <c r="AY55" s="124"/>
      <c r="AZ55" s="124"/>
      <c r="BA55" s="124"/>
      <c r="BB55" s="136"/>
    </row>
    <row r="56" customFormat="false" ht="15.6" hidden="false" customHeight="false" outlineLevel="0" collapsed="false">
      <c r="A56" s="111" t="n">
        <f aca="false">IF(ISBLANK(VLOOKUP(D56,#REF!,3)),0,1)</f>
        <v>1</v>
      </c>
      <c r="B56" s="112" t="n">
        <f aca="false">IF(ISBLANK(D56),0,IF(ISBLANK(E56),0,IF(ISBLANK(F56),0,1)))</f>
        <v>0</v>
      </c>
      <c r="C56" s="128" t="n">
        <v>22</v>
      </c>
      <c r="D56" s="151"/>
      <c r="E56" s="151"/>
      <c r="F56" s="152"/>
      <c r="G56" s="156"/>
      <c r="H56" s="151"/>
      <c r="I56" s="151"/>
      <c r="J56" s="132" t="str">
        <f aca="false">IF(ISBLANK(D56),"",IF(VLOOKUP(D56,#REF!,2)=0,"",IF(D56&gt;#REF!,"Mauvais numéro",IF(D56&lt;#REF!,"Mauvais numéro",(VLOOKUP(D56,#REF!,3))))))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57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49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24"/>
      <c r="AE56" s="124"/>
      <c r="AF56" s="124"/>
      <c r="AG56" s="124"/>
      <c r="AH56" s="124"/>
      <c r="AI56" s="124"/>
      <c r="AJ56" s="124"/>
      <c r="AK56" s="124"/>
      <c r="AL56" s="124"/>
      <c r="AM56" s="124"/>
      <c r="AN56" s="124"/>
      <c r="AO56" s="124"/>
      <c r="AP56" s="124"/>
      <c r="AQ56" s="124"/>
      <c r="AR56" s="124"/>
      <c r="AS56" s="124"/>
      <c r="AT56" s="124"/>
      <c r="AU56" s="124"/>
      <c r="AV56" s="124"/>
      <c r="AW56" s="124"/>
      <c r="AX56" s="124"/>
      <c r="AY56" s="124"/>
      <c r="AZ56" s="124"/>
      <c r="BA56" s="124"/>
      <c r="BB56" s="136"/>
    </row>
    <row r="57" customFormat="false" ht="15.6" hidden="false" customHeight="false" outlineLevel="0" collapsed="false">
      <c r="A57" s="111" t="n">
        <f aca="false">IF(ISBLANK(VLOOKUP(D57,#REF!,3)),0,1)</f>
        <v>1</v>
      </c>
      <c r="B57" s="112" t="n">
        <f aca="false">IF(ISBLANK(D57),0,IF(ISBLANK(E57),0,IF(ISBLANK(F57),0,1)))</f>
        <v>0</v>
      </c>
      <c r="C57" s="128" t="n">
        <v>23</v>
      </c>
      <c r="D57" s="151"/>
      <c r="E57" s="151"/>
      <c r="F57" s="152"/>
      <c r="G57" s="156"/>
      <c r="H57" s="151"/>
      <c r="I57" s="151"/>
      <c r="J57" s="132" t="str">
        <f aca="false">IF(ISBLANK(D57),"",IF(VLOOKUP(D57,#REF!,2)=0,"",IF(D57&gt;#REF!,"Mauvais numéro",IF(D57&lt;#REF!,"Mauvais numéro",(VLOOKUP(D57,#REF!,3))))))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57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49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4"/>
      <c r="U57" s="124"/>
      <c r="V57" s="124"/>
      <c r="W57" s="124"/>
      <c r="X57" s="124"/>
      <c r="Y57" s="124"/>
      <c r="Z57" s="124"/>
      <c r="AA57" s="124"/>
      <c r="AB57" s="124"/>
      <c r="AC57" s="124"/>
      <c r="AD57" s="124"/>
      <c r="AE57" s="124"/>
      <c r="AF57" s="124"/>
      <c r="AG57" s="124"/>
      <c r="AH57" s="124"/>
      <c r="AI57" s="124"/>
      <c r="AJ57" s="124"/>
      <c r="AK57" s="124"/>
      <c r="AL57" s="124"/>
      <c r="AM57" s="124"/>
      <c r="AN57" s="124"/>
      <c r="AO57" s="124"/>
      <c r="AP57" s="124"/>
      <c r="AQ57" s="124"/>
      <c r="AR57" s="124"/>
      <c r="AS57" s="124"/>
      <c r="AT57" s="124"/>
      <c r="AU57" s="124"/>
      <c r="AV57" s="124"/>
      <c r="AW57" s="124"/>
      <c r="AX57" s="124"/>
      <c r="AY57" s="124"/>
      <c r="AZ57" s="124"/>
      <c r="BA57" s="124"/>
      <c r="BB57" s="136"/>
    </row>
    <row r="58" customFormat="false" ht="16.2" hidden="false" customHeight="false" outlineLevel="0" collapsed="false">
      <c r="A58" s="111" t="n">
        <f aca="false">IF(ISBLANK(VLOOKUP(D58,#REF!,3)),0,1)</f>
        <v>1</v>
      </c>
      <c r="B58" s="112" t="n">
        <f aca="false">IF(ISBLANK(D58),0,IF(ISBLANK(E58),0,IF(ISBLANK(F58),0,1)))</f>
        <v>0</v>
      </c>
      <c r="C58" s="158" t="n">
        <v>24</v>
      </c>
      <c r="D58" s="159"/>
      <c r="E58" s="159"/>
      <c r="F58" s="160"/>
      <c r="G58" s="161"/>
      <c r="H58" s="159"/>
      <c r="I58" s="159"/>
      <c r="J58" s="162" t="str">
        <f aca="false">IF(ISBLANK(D58),"",IF(VLOOKUP(D58,#REF!,2)=0,"",IF(D58&gt;#REF!,"Mauvais numéro",IF(D58&lt;#REF!,"Mauvais numéro",(VLOOKUP(D58,#REF!,3))))))</f>
        <v/>
      </c>
      <c r="K58" s="163" t="str">
        <f aca="false">IF(ISBLANK(E58),"",(0.000824493-(0.0000040899*E58)+(0.000000076438*E58^2)-(0.00000000082467*E58^3)+(0.0000000000053875*E58^4)))</f>
        <v/>
      </c>
      <c r="L58" s="163" t="str">
        <f aca="false">IF(ISBLANK(E58),"",(-0.00000572466+(0.00000010227*E58)-(0.0000000016546*E58^2)))</f>
        <v/>
      </c>
      <c r="M58" s="163" t="str">
        <f aca="false">IF(ISBLANK(E58),"",IF(ISBLANK(G58),(O58+(K58*35)+(L58*35^1.5)+(0.00000048314*35^2)),(O58+(K58*G58)+(L58*G58^1.5)+(0.00000048314*G58^2))))</f>
        <v/>
      </c>
      <c r="N58" s="164" t="str">
        <f aca="false">IF(ISBLANK(D58),"",IF(ISBLANK(G58),J58*(1+0.00001*(35-20)),J58*(1+0.00001*(G58-20))))</f>
        <v/>
      </c>
      <c r="O58" s="163" t="str">
        <f aca="false">IF(ISBLANK(E58),"",(0.999842594+(0.00006793952*E58)-(0.00000909529*E58^2)+(0.0000001001685*E58^3)-(0.000000001120083*E58^4)+(0.000000000006536332*E58^5)))</f>
        <v/>
      </c>
      <c r="P58" s="165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66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7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7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68"/>
      <c r="U58" s="168"/>
      <c r="V58" s="168"/>
      <c r="W58" s="168"/>
      <c r="X58" s="168"/>
      <c r="Y58" s="168"/>
      <c r="Z58" s="168"/>
      <c r="AA58" s="168"/>
      <c r="AB58" s="168"/>
      <c r="AC58" s="168"/>
      <c r="AD58" s="168"/>
      <c r="AE58" s="168"/>
      <c r="AF58" s="168"/>
      <c r="AG58" s="168"/>
      <c r="AH58" s="168"/>
      <c r="AI58" s="168"/>
      <c r="AJ58" s="168"/>
      <c r="AK58" s="168"/>
      <c r="AL58" s="168"/>
      <c r="AM58" s="168"/>
      <c r="AN58" s="168"/>
      <c r="AO58" s="168"/>
      <c r="AP58" s="168"/>
      <c r="AQ58" s="168"/>
      <c r="AR58" s="168"/>
      <c r="AS58" s="168"/>
      <c r="AT58" s="168"/>
      <c r="AU58" s="168"/>
      <c r="AV58" s="168"/>
      <c r="AW58" s="168"/>
      <c r="AX58" s="168"/>
      <c r="AY58" s="168"/>
      <c r="AZ58" s="168"/>
      <c r="BA58" s="168"/>
      <c r="BB58" s="169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P1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8178137651822"/>
    <col collapsed="false" hidden="false" max="32" min="32" style="0" width="9.10526315789474"/>
    <col collapsed="false" hidden="false" max="33" min="33" style="0" width="26.5668016194332"/>
    <col collapsed="false" hidden="false" max="34" min="34" style="0" width="12.8542510121458"/>
    <col collapsed="false" hidden="false" max="35" min="35" style="0" width="11.1417004048583"/>
    <col collapsed="false" hidden="false" max="36" min="36" style="0" width="14.5668016194332"/>
    <col collapsed="false" hidden="false" max="37" min="37" style="0" width="12.2105263157895"/>
    <col collapsed="false" hidden="false" max="38" min="38" style="0" width="26.995951417004"/>
    <col collapsed="false" hidden="false" max="39" min="39" style="0" width="14.6761133603239"/>
    <col collapsed="false" hidden="false" max="40" min="40" style="0" width="11.3562753036437"/>
    <col collapsed="false" hidden="false" max="41" min="41" style="0" width="12.5344129554656"/>
    <col collapsed="false" hidden="false" max="42" min="42" style="0" width="10.7125506072875"/>
    <col collapsed="false" hidden="false" max="43" min="43" style="0" width="6.31983805668016"/>
    <col collapsed="false" hidden="false" max="44" min="44" style="0" width="19.7085020242915"/>
    <col collapsed="false" hidden="false" max="45" min="45" style="0" width="13.0688259109312"/>
    <col collapsed="false" hidden="false" max="46" min="46" style="0" width="17.7813765182186"/>
    <col collapsed="false" hidden="false" max="47" min="47" style="0" width="14.6761133603239"/>
    <col collapsed="false" hidden="false" max="48" min="48" style="0" width="13.6032388663968"/>
    <col collapsed="false" hidden="false" max="49" min="49" style="0" width="13.7125506072874"/>
    <col collapsed="false" hidden="false" max="50" min="50" style="0" width="19.9230769230769"/>
    <col collapsed="false" hidden="false" max="51" min="51" style="0" width="13.2834008097166"/>
    <col collapsed="false" hidden="false" max="52" min="52" style="0" width="17.6761133603239"/>
    <col collapsed="false" hidden="false" max="53" min="53" style="0" width="13.3886639676113"/>
    <col collapsed="false" hidden="false" max="54" min="54" style="0" width="12.6396761133603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31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38546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1</v>
      </c>
      <c r="J9" s="29" t="n">
        <v>30.23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1°30,23</v>
      </c>
      <c r="P9" s="29" t="s">
        <v>13</v>
      </c>
      <c r="Q9" s="33" t="n">
        <f aca="false">IF(ISBLANK(I9),"",IF(ISBLANK(J9),"",IF(J9&gt;60,"ERREUR !!",O11*(I9+(J9/60)))))</f>
        <v>1.50383333333333</v>
      </c>
      <c r="R9" s="33"/>
    </row>
    <row r="10" customFormat="false" ht="15" hidden="false" customHeight="true" outlineLevel="0" collapsed="false">
      <c r="C10" s="21"/>
      <c r="D10" s="18"/>
      <c r="G10" s="27" t="s">
        <v>16</v>
      </c>
      <c r="H10" s="27"/>
      <c r="I10" s="28" t="n">
        <v>9</v>
      </c>
      <c r="J10" s="29" t="n">
        <v>59.91</v>
      </c>
      <c r="K10" s="30" t="s">
        <v>12</v>
      </c>
      <c r="L10" s="31" t="str">
        <f aca="false">IF(P10=N9,"+","-")</f>
        <v>-</v>
      </c>
      <c r="M10" s="30" t="s">
        <v>15</v>
      </c>
      <c r="N10" s="30" t="s">
        <v>17</v>
      </c>
      <c r="O10" s="34" t="str">
        <f aca="false">IF(ISBLANK(I10),"",IF(ISBLANK(J10),"",IF(P10=N10,L10&amp;N12,N12)))</f>
        <v>-9°59,91</v>
      </c>
      <c r="P10" s="29" t="s">
        <v>17</v>
      </c>
      <c r="Q10" s="33" t="n">
        <f aca="false">IF(ISBLANK(I10),"",IF(ISBLANK(J10),"",IF(J10&gt;60,"ERREUR !!",O12*(I10+(J10/60)))))</f>
        <v>-9.9985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38546</v>
      </c>
      <c r="K11" s="38"/>
      <c r="L11" s="38"/>
      <c r="M11" s="38"/>
      <c r="N11" s="39" t="str">
        <f aca="false">I9&amp;"°"&amp;J9</f>
        <v>1°30,23</v>
      </c>
      <c r="O11" s="40" t="n">
        <f aca="false">IF(P9=M10,-1,1)</f>
        <v>1</v>
      </c>
      <c r="P11" s="41" t="str">
        <f aca="false">TEXT(J11,"aaaa-mm-jj")&amp;"T"&amp;TEXT(J12,"hh:mm:ss")&amp;"z"</f>
        <v>2009-07-14T08:30:00z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0.354166666666667</v>
      </c>
      <c r="K12" s="45"/>
      <c r="L12" s="45"/>
      <c r="M12" s="45"/>
      <c r="N12" s="46" t="str">
        <f aca="false">I10&amp;"°"&amp;J10</f>
        <v>9°59,91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e">
        <f aca="false">$P$24*($P$18/#REF!)</f>
        <v>#REF!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e">
        <f aca="false">5+#REF!</f>
        <v>#REF!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e">
        <f aca="false">P20*(1+0.00001*(R14-20))</f>
        <v>#REF!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e">
        <f aca="false">MAX(#REF!)</f>
        <v>#VALUE!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e">
        <f aca="false">2+(#REF!+#REF!)</f>
        <v>#REF!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52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53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IF(ISBLANK(VLOOKUP(D35,#REF!,3)),0,1)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n">
        <v>34.9637</v>
      </c>
      <c r="H35" s="118" t="n">
        <v>2000</v>
      </c>
      <c r="I35" s="119" t="n">
        <v>2001.3</v>
      </c>
      <c r="J35" s="120"/>
      <c r="K35" s="121"/>
      <c r="L35" s="121"/>
      <c r="M35" s="121"/>
      <c r="N35" s="122"/>
      <c r="O35" s="121"/>
      <c r="P35" s="120" t="n">
        <v>5.671</v>
      </c>
      <c r="Q35" s="120"/>
      <c r="R35" s="120"/>
      <c r="S35" s="176" t="n">
        <v>246.486</v>
      </c>
      <c r="T35" s="32" t="n">
        <v>0</v>
      </c>
      <c r="U35" s="32" t="n">
        <v>0</v>
      </c>
      <c r="V35" s="32"/>
      <c r="W35" s="32"/>
      <c r="X35" s="125" t="n">
        <v>20.5</v>
      </c>
      <c r="Y35" s="125" t="n">
        <v>20</v>
      </c>
      <c r="Z35" s="32" t="n">
        <v>1.11</v>
      </c>
      <c r="AA35" s="32" t="n">
        <v>1.08</v>
      </c>
      <c r="AB35" s="125" t="n">
        <v>22.6</v>
      </c>
      <c r="AC35" s="125" t="n">
        <v>22.1</v>
      </c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7"/>
    </row>
    <row r="36" customFormat="false" ht="15.6" hidden="false" customHeight="false" outlineLevel="0" collapsed="false">
      <c r="A36" s="111" t="n">
        <f aca="false">IF(ISBLANK(VLOOKUP(D36,#REF!,3)),0,1)</f>
        <v>1</v>
      </c>
      <c r="B36" s="112" t="n">
        <f aca="false">IF(ISBLANK(D36),0,IF(ISBLANK(E36),0,IF(ISBLANK(F36),0,1)))</f>
        <v>0</v>
      </c>
      <c r="C36" s="128" t="n">
        <v>2</v>
      </c>
      <c r="D36" s="129"/>
      <c r="E36" s="129"/>
      <c r="F36" s="130"/>
      <c r="G36" s="117" t="n">
        <v>34.6243</v>
      </c>
      <c r="H36" s="131" t="n">
        <v>1000</v>
      </c>
      <c r="I36" s="119" t="n">
        <v>1000.4</v>
      </c>
      <c r="J36" s="132"/>
      <c r="K36" s="133"/>
      <c r="L36" s="133"/>
      <c r="M36" s="133"/>
      <c r="N36" s="134"/>
      <c r="O36" s="133"/>
      <c r="P36" s="132" t="n">
        <v>3.573</v>
      </c>
      <c r="Q36" s="132"/>
      <c r="R36" s="132"/>
      <c r="S36" s="177" t="n">
        <v>155.331</v>
      </c>
      <c r="T36" s="32" t="n">
        <v>0</v>
      </c>
      <c r="U36" s="32" t="n">
        <v>0</v>
      </c>
      <c r="V36" s="32"/>
      <c r="W36" s="32"/>
      <c r="X36" s="125" t="n">
        <v>33.4</v>
      </c>
      <c r="Y36" s="125" t="n">
        <v>32.6</v>
      </c>
      <c r="Z36" s="32" t="n">
        <v>1.97</v>
      </c>
      <c r="AA36" s="32" t="n">
        <v>1.92</v>
      </c>
      <c r="AB36" s="125" t="n">
        <v>31</v>
      </c>
      <c r="AC36" s="125" t="n">
        <v>30.2</v>
      </c>
      <c r="AD36" s="124"/>
      <c r="AE36" s="124"/>
      <c r="AF36" s="124"/>
      <c r="AG36" s="124"/>
      <c r="AH36" s="124"/>
      <c r="AI36" s="124"/>
      <c r="AJ36" s="124"/>
      <c r="AK36" s="124"/>
      <c r="AL36" s="124"/>
      <c r="AM36" s="124"/>
      <c r="AN36" s="124"/>
      <c r="AO36" s="124"/>
      <c r="AP36" s="124"/>
      <c r="AQ36" s="124"/>
      <c r="AR36" s="124"/>
      <c r="AS36" s="124"/>
      <c r="AT36" s="124"/>
      <c r="AU36" s="124"/>
      <c r="AV36" s="124"/>
      <c r="AW36" s="124"/>
      <c r="AX36" s="124"/>
      <c r="AY36" s="124"/>
      <c r="AZ36" s="124"/>
      <c r="BA36" s="124"/>
      <c r="BB36" s="136"/>
    </row>
    <row r="37" customFormat="false" ht="15.6" hidden="false" customHeight="false" outlineLevel="0" collapsed="false">
      <c r="A37" s="111" t="n">
        <f aca="false">IF(ISBLANK(VLOOKUP(D37,#REF!,3)),0,1)</f>
        <v>1</v>
      </c>
      <c r="B37" s="112" t="n">
        <f aca="false">IF(ISBLANK(D37),0,IF(ISBLANK(E37),0,IF(ISBLANK(F37),0,1)))</f>
        <v>0</v>
      </c>
      <c r="C37" s="128" t="n">
        <v>3</v>
      </c>
      <c r="D37" s="129"/>
      <c r="E37" s="129"/>
      <c r="F37" s="137"/>
      <c r="G37" s="117" t="n">
        <v>34.5927</v>
      </c>
      <c r="H37" s="131" t="n">
        <v>500</v>
      </c>
      <c r="I37" s="119" t="n">
        <v>499.9</v>
      </c>
      <c r="J37" s="132"/>
      <c r="K37" s="133"/>
      <c r="L37" s="133"/>
      <c r="M37" s="133"/>
      <c r="N37" s="134"/>
      <c r="O37" s="133"/>
      <c r="P37" s="132" t="n">
        <v>3.09</v>
      </c>
      <c r="Q37" s="132"/>
      <c r="R37" s="132"/>
      <c r="S37" s="177" t="n">
        <v>134.36</v>
      </c>
      <c r="T37" s="32" t="n">
        <v>0</v>
      </c>
      <c r="U37" s="32" t="n">
        <v>0</v>
      </c>
      <c r="V37" s="32"/>
      <c r="W37" s="32"/>
      <c r="X37" s="125" t="n">
        <v>33</v>
      </c>
      <c r="Y37" s="125" t="n">
        <v>32.3</v>
      </c>
      <c r="Z37" s="32" t="n">
        <v>1.88</v>
      </c>
      <c r="AA37" s="32" t="n">
        <v>1.84</v>
      </c>
      <c r="AB37" s="125" t="n">
        <v>21.7</v>
      </c>
      <c r="AC37" s="125" t="n">
        <v>21.2</v>
      </c>
      <c r="AD37" s="124"/>
      <c r="AE37" s="124"/>
      <c r="AF37" s="124"/>
      <c r="AG37" s="124"/>
      <c r="AH37" s="124"/>
      <c r="AI37" s="124"/>
      <c r="AJ37" s="124"/>
      <c r="AK37" s="124"/>
      <c r="AL37" s="124"/>
      <c r="AM37" s="124"/>
      <c r="AN37" s="124"/>
      <c r="AO37" s="124"/>
      <c r="AP37" s="124"/>
      <c r="AQ37" s="124"/>
      <c r="AR37" s="124"/>
      <c r="AS37" s="124"/>
      <c r="AT37" s="124"/>
      <c r="AU37" s="124"/>
      <c r="AV37" s="124"/>
      <c r="AW37" s="124"/>
      <c r="AX37" s="124"/>
      <c r="AY37" s="124"/>
      <c r="AZ37" s="124"/>
      <c r="BA37" s="124"/>
      <c r="BB37" s="136"/>
    </row>
    <row r="38" customFormat="false" ht="15.6" hidden="false" customHeight="false" outlineLevel="0" collapsed="false">
      <c r="A38" s="111" t="n">
        <f aca="false">IF(ISBLANK(VLOOKUP(D38,#REF!,3)),0,1)</f>
        <v>1</v>
      </c>
      <c r="B38" s="112" t="n">
        <f aca="false">IF(ISBLANK(D38),0,IF(ISBLANK(E38),0,IF(ISBLANK(F38),0,1)))</f>
        <v>0</v>
      </c>
      <c r="C38" s="128" t="n">
        <v>4</v>
      </c>
      <c r="D38" s="138"/>
      <c r="E38" s="138"/>
      <c r="F38" s="139"/>
      <c r="G38" s="117" t="n">
        <v>35.6682</v>
      </c>
      <c r="H38" s="131" t="n">
        <v>100</v>
      </c>
      <c r="I38" s="119" t="n">
        <v>101.8</v>
      </c>
      <c r="J38" s="132"/>
      <c r="K38" s="133"/>
      <c r="L38" s="133"/>
      <c r="M38" s="133"/>
      <c r="N38" s="134"/>
      <c r="O38" s="133"/>
      <c r="P38" s="132" t="n">
        <v>2.94</v>
      </c>
      <c r="Q38" s="132"/>
      <c r="R38" s="132"/>
      <c r="S38" s="177" t="n">
        <v>127.963</v>
      </c>
      <c r="T38" s="32" t="n">
        <v>0</v>
      </c>
      <c r="U38" s="32" t="n">
        <v>0</v>
      </c>
      <c r="V38" s="32"/>
      <c r="W38" s="32"/>
      <c r="X38" s="125" t="n">
        <v>16.8</v>
      </c>
      <c r="Y38" s="125" t="n">
        <v>16.4</v>
      </c>
      <c r="Z38" s="32" t="n">
        <v>0.96</v>
      </c>
      <c r="AA38" s="32" t="n">
        <v>0.94</v>
      </c>
      <c r="AB38" s="125" t="n">
        <v>6.4</v>
      </c>
      <c r="AC38" s="125" t="n">
        <v>6.2</v>
      </c>
      <c r="AD38" s="124"/>
      <c r="AE38" s="124"/>
      <c r="AF38" s="124"/>
      <c r="AG38" s="124"/>
      <c r="AH38" s="124"/>
      <c r="AI38" s="124"/>
      <c r="AJ38" s="124"/>
      <c r="AK38" s="124"/>
      <c r="AL38" s="124"/>
      <c r="AM38" s="124"/>
      <c r="AN38" s="124"/>
      <c r="AO38" s="124"/>
      <c r="AP38" s="124"/>
      <c r="AQ38" s="124"/>
      <c r="AR38" s="124"/>
      <c r="AS38" s="124"/>
      <c r="AT38" s="124"/>
      <c r="AU38" s="124"/>
      <c r="AV38" s="124"/>
      <c r="AW38" s="124"/>
      <c r="AX38" s="124"/>
      <c r="AY38" s="124"/>
      <c r="AZ38" s="124"/>
      <c r="BA38" s="124"/>
      <c r="BB38" s="136"/>
    </row>
    <row r="39" customFormat="false" ht="15.6" hidden="false" customHeight="false" outlineLevel="0" collapsed="false">
      <c r="A39" s="111" t="n">
        <f aca="false">IF(ISBLANK(VLOOKUP(D39,#REF!,3)),0,1)</f>
        <v>1</v>
      </c>
      <c r="B39" s="112" t="n">
        <f aca="false">IF(ISBLANK(D39),0,IF(ISBLANK(E39),0,IF(ISBLANK(F39),0,1)))</f>
        <v>0</v>
      </c>
      <c r="C39" s="128" t="n">
        <v>5</v>
      </c>
      <c r="D39" s="129"/>
      <c r="E39" s="129"/>
      <c r="F39" s="137"/>
      <c r="G39" s="117"/>
      <c r="H39" s="131" t="n">
        <v>80</v>
      </c>
      <c r="I39" s="119"/>
      <c r="J39" s="132"/>
      <c r="K39" s="133"/>
      <c r="L39" s="133"/>
      <c r="M39" s="133"/>
      <c r="N39" s="134"/>
      <c r="O39" s="133"/>
      <c r="P39" s="132"/>
      <c r="Q39" s="132"/>
      <c r="R39" s="132"/>
      <c r="S39" s="177"/>
      <c r="T39" s="32" t="n">
        <v>0.02</v>
      </c>
      <c r="U39" s="32" t="n">
        <v>0.02</v>
      </c>
      <c r="V39" s="32"/>
      <c r="W39" s="32"/>
      <c r="X39" s="125" t="n">
        <v>16.5</v>
      </c>
      <c r="Y39" s="125" t="n">
        <v>16.1</v>
      </c>
      <c r="Z39" s="32" t="n">
        <v>0.89</v>
      </c>
      <c r="AA39" s="32" t="n">
        <v>0.87</v>
      </c>
      <c r="AB39" s="125" t="n">
        <v>6.1</v>
      </c>
      <c r="AC39" s="125" t="n">
        <v>5.9</v>
      </c>
      <c r="AD39" s="124"/>
      <c r="AE39" s="124"/>
      <c r="AF39" s="124"/>
      <c r="AG39" s="124"/>
      <c r="AH39" s="124"/>
      <c r="AI39" s="124"/>
      <c r="AJ39" s="124"/>
      <c r="AK39" s="124"/>
      <c r="AL39" s="124"/>
      <c r="AM39" s="124"/>
      <c r="AN39" s="124"/>
      <c r="AO39" s="124"/>
      <c r="AP39" s="124"/>
      <c r="AQ39" s="124"/>
      <c r="AR39" s="124"/>
      <c r="AS39" s="124"/>
      <c r="AT39" s="124"/>
      <c r="AU39" s="124"/>
      <c r="AV39" s="124"/>
      <c r="AW39" s="124"/>
      <c r="AX39" s="124"/>
      <c r="AY39" s="124"/>
      <c r="AZ39" s="124"/>
      <c r="BA39" s="124"/>
      <c r="BB39" s="136"/>
    </row>
    <row r="40" customFormat="false" ht="15.6" hidden="false" customHeight="false" outlineLevel="0" collapsed="false">
      <c r="A40" s="111" t="n">
        <f aca="false">IF(ISBLANK(VLOOKUP(D40,#REF!,3)),0,1)</f>
        <v>1</v>
      </c>
      <c r="B40" s="112" t="n">
        <f aca="false">IF(ISBLANK(D40),0,IF(ISBLANK(E40),0,IF(ISBLANK(F40),0,1)))</f>
        <v>0</v>
      </c>
      <c r="C40" s="128" t="n">
        <v>6</v>
      </c>
      <c r="D40" s="129"/>
      <c r="E40" s="129"/>
      <c r="F40" s="137"/>
      <c r="G40" s="117"/>
      <c r="H40" s="131" t="n">
        <v>60</v>
      </c>
      <c r="I40" s="119"/>
      <c r="J40" s="132"/>
      <c r="K40" s="133"/>
      <c r="L40" s="133"/>
      <c r="M40" s="133"/>
      <c r="N40" s="134"/>
      <c r="O40" s="133"/>
      <c r="P40" s="132"/>
      <c r="Q40" s="132"/>
      <c r="R40" s="132"/>
      <c r="S40" s="177"/>
      <c r="T40" s="32" t="n">
        <v>0.29</v>
      </c>
      <c r="U40" s="32" t="n">
        <v>0.28</v>
      </c>
      <c r="V40" s="32"/>
      <c r="W40" s="32"/>
      <c r="X40" s="125" t="n">
        <v>13.6</v>
      </c>
      <c r="Y40" s="125" t="n">
        <v>13.3</v>
      </c>
      <c r="Z40" s="32" t="n">
        <v>0.76</v>
      </c>
      <c r="AA40" s="32" t="n">
        <v>0.74</v>
      </c>
      <c r="AB40" s="125" t="n">
        <v>4.9</v>
      </c>
      <c r="AC40" s="125" t="n">
        <v>4.8</v>
      </c>
      <c r="AD40" s="124"/>
      <c r="AE40" s="124"/>
      <c r="AF40" s="124"/>
      <c r="AG40" s="124"/>
      <c r="AH40" s="124"/>
      <c r="AI40" s="124"/>
      <c r="AJ40" s="124"/>
      <c r="AK40" s="124"/>
      <c r="AL40" s="124"/>
      <c r="AM40" s="124"/>
      <c r="AN40" s="124"/>
      <c r="AO40" s="124"/>
      <c r="AP40" s="124"/>
      <c r="AQ40" s="124"/>
      <c r="AR40" s="124"/>
      <c r="AS40" s="124"/>
      <c r="AT40" s="124"/>
      <c r="AU40" s="124"/>
      <c r="AV40" s="124"/>
      <c r="AW40" s="124"/>
      <c r="AX40" s="124"/>
      <c r="AY40" s="124"/>
      <c r="AZ40" s="124"/>
      <c r="BA40" s="124"/>
      <c r="BB40" s="136"/>
    </row>
    <row r="41" customFormat="false" ht="15.6" hidden="false" customHeight="false" outlineLevel="0" collapsed="false">
      <c r="A41" s="111" t="n">
        <f aca="false">IF(ISBLANK(VLOOKUP(D41,#REF!,3)),0,1)</f>
        <v>1</v>
      </c>
      <c r="B41" s="112" t="n">
        <f aca="false">IF(ISBLANK(D41),0,IF(ISBLANK(E41),0,IF(ISBLANK(F41),0,1)))</f>
        <v>0</v>
      </c>
      <c r="C41" s="128" t="n">
        <v>7</v>
      </c>
      <c r="D41" s="129"/>
      <c r="E41" s="129"/>
      <c r="F41" s="137"/>
      <c r="G41" s="117"/>
      <c r="H41" s="131" t="n">
        <v>40</v>
      </c>
      <c r="I41" s="119"/>
      <c r="J41" s="132"/>
      <c r="K41" s="133"/>
      <c r="L41" s="133"/>
      <c r="M41" s="133"/>
      <c r="N41" s="134"/>
      <c r="O41" s="133"/>
      <c r="P41" s="132"/>
      <c r="Q41" s="132"/>
      <c r="R41" s="132"/>
      <c r="S41" s="177"/>
      <c r="T41" s="32" t="n">
        <v>0.06</v>
      </c>
      <c r="U41" s="32" t="n">
        <v>0.06</v>
      </c>
      <c r="V41" s="32"/>
      <c r="W41" s="32"/>
      <c r="X41" s="125" t="n">
        <v>3.2</v>
      </c>
      <c r="Y41" s="125" t="n">
        <v>3.1</v>
      </c>
      <c r="Z41" s="32" t="n">
        <v>0.21</v>
      </c>
      <c r="AA41" s="32" t="n">
        <v>0.2</v>
      </c>
      <c r="AB41" s="125" t="n">
        <v>2.2</v>
      </c>
      <c r="AC41" s="125" t="n">
        <v>2.2</v>
      </c>
      <c r="AD41" s="124"/>
      <c r="AE41" s="124"/>
      <c r="AF41" s="124"/>
      <c r="AG41" s="124"/>
      <c r="AH41" s="124"/>
      <c r="AI41" s="124"/>
      <c r="AJ41" s="124"/>
      <c r="AK41" s="124"/>
      <c r="AL41" s="124"/>
      <c r="AM41" s="124"/>
      <c r="AN41" s="124"/>
      <c r="AO41" s="124"/>
      <c r="AP41" s="124"/>
      <c r="AQ41" s="124"/>
      <c r="AR41" s="124"/>
      <c r="AS41" s="124"/>
      <c r="AT41" s="124"/>
      <c r="AU41" s="124"/>
      <c r="AV41" s="124"/>
      <c r="AW41" s="124"/>
      <c r="AX41" s="124"/>
      <c r="AY41" s="124"/>
      <c r="AZ41" s="124"/>
      <c r="BA41" s="124"/>
      <c r="BB41" s="136"/>
    </row>
    <row r="42" customFormat="false" ht="15.6" hidden="false" customHeight="false" outlineLevel="0" collapsed="false">
      <c r="A42" s="111" t="n">
        <f aca="false">IF(ISBLANK(VLOOKUP(D42,#REF!,3)),0,1)</f>
        <v>1</v>
      </c>
      <c r="B42" s="112" t="n">
        <f aca="false">IF(ISBLANK(D42),0,IF(ISBLANK(E42),0,IF(ISBLANK(F42),0,1)))</f>
        <v>0</v>
      </c>
      <c r="C42" s="128" t="n">
        <v>8</v>
      </c>
      <c r="D42" s="129"/>
      <c r="E42" s="129"/>
      <c r="F42" s="137"/>
      <c r="G42" s="117"/>
      <c r="H42" s="131" t="n">
        <v>20</v>
      </c>
      <c r="I42" s="119"/>
      <c r="J42" s="132"/>
      <c r="K42" s="133"/>
      <c r="L42" s="133"/>
      <c r="M42" s="133"/>
      <c r="N42" s="134"/>
      <c r="O42" s="133"/>
      <c r="P42" s="132"/>
      <c r="Q42" s="132"/>
      <c r="R42" s="132"/>
      <c r="S42" s="177"/>
      <c r="T42" s="32" t="n">
        <v>0.04</v>
      </c>
      <c r="U42" s="32" t="n">
        <v>0.03</v>
      </c>
      <c r="V42" s="32"/>
      <c r="W42" s="32"/>
      <c r="X42" s="125" t="n">
        <v>2.6</v>
      </c>
      <c r="Y42" s="125" t="n">
        <v>2.6</v>
      </c>
      <c r="Z42" s="32" t="n">
        <v>0.16</v>
      </c>
      <c r="AA42" s="32" t="n">
        <v>0.16</v>
      </c>
      <c r="AB42" s="125" t="n">
        <v>2.3</v>
      </c>
      <c r="AC42" s="125" t="n">
        <v>2.2</v>
      </c>
      <c r="AD42" s="124"/>
      <c r="AE42" s="124"/>
      <c r="AF42" s="124"/>
      <c r="AG42" s="124"/>
      <c r="AH42" s="124"/>
      <c r="AI42" s="124"/>
      <c r="AJ42" s="124"/>
      <c r="AK42" s="124"/>
      <c r="AL42" s="124"/>
      <c r="AM42" s="124"/>
      <c r="AN42" s="124"/>
      <c r="AO42" s="124"/>
      <c r="AP42" s="124"/>
      <c r="AQ42" s="124"/>
      <c r="AR42" s="124"/>
      <c r="AS42" s="124"/>
      <c r="AT42" s="124"/>
      <c r="AU42" s="124"/>
      <c r="AV42" s="124"/>
      <c r="AW42" s="124"/>
      <c r="AX42" s="124"/>
      <c r="AY42" s="124"/>
      <c r="AZ42" s="124"/>
      <c r="BA42" s="124"/>
      <c r="BB42" s="136"/>
    </row>
    <row r="43" customFormat="false" ht="15.6" hidden="false" customHeight="false" outlineLevel="0" collapsed="false">
      <c r="A43" s="111" t="n">
        <f aca="false">IF(ISBLANK(VLOOKUP(D43,#REF!,3)),0,1)</f>
        <v>1</v>
      </c>
      <c r="B43" s="112" t="n">
        <f aca="false">IF(ISBLANK(D43),0,IF(ISBLANK(E43),0,IF(ISBLANK(F43),0,1)))</f>
        <v>0</v>
      </c>
      <c r="C43" s="128" t="n">
        <v>9</v>
      </c>
      <c r="D43" s="129"/>
      <c r="E43" s="129"/>
      <c r="F43" s="137"/>
      <c r="G43" s="117"/>
      <c r="H43" s="131" t="n">
        <v>10</v>
      </c>
      <c r="I43" s="119"/>
      <c r="J43" s="132"/>
      <c r="K43" s="133"/>
      <c r="L43" s="133"/>
      <c r="M43" s="133"/>
      <c r="N43" s="134"/>
      <c r="O43" s="133"/>
      <c r="P43" s="132"/>
      <c r="Q43" s="132"/>
      <c r="R43" s="132"/>
      <c r="S43" s="177"/>
      <c r="T43" s="32" t="n">
        <v>0.03</v>
      </c>
      <c r="U43" s="32" t="n">
        <v>0.03</v>
      </c>
      <c r="V43" s="32"/>
      <c r="W43" s="32"/>
      <c r="X43" s="125" t="n">
        <v>2.6</v>
      </c>
      <c r="Y43" s="125" t="n">
        <v>2.5</v>
      </c>
      <c r="Z43" s="32" t="n">
        <v>0.16</v>
      </c>
      <c r="AA43" s="32" t="n">
        <v>0.16</v>
      </c>
      <c r="AB43" s="125" t="n">
        <v>2.3</v>
      </c>
      <c r="AC43" s="125" t="n">
        <v>2.2</v>
      </c>
      <c r="AD43" s="124"/>
      <c r="AE43" s="124"/>
      <c r="AF43" s="124"/>
      <c r="AG43" s="124"/>
      <c r="AH43" s="124"/>
      <c r="AI43" s="124"/>
      <c r="AJ43" s="124"/>
      <c r="AK43" s="124"/>
      <c r="AL43" s="124"/>
      <c r="AM43" s="124"/>
      <c r="AN43" s="124"/>
      <c r="AO43" s="124"/>
      <c r="AP43" s="124"/>
      <c r="AQ43" s="124"/>
      <c r="AR43" s="124"/>
      <c r="AS43" s="124"/>
      <c r="AT43" s="124"/>
      <c r="AU43" s="124"/>
      <c r="AV43" s="124"/>
      <c r="AW43" s="124"/>
      <c r="AX43" s="124"/>
      <c r="AY43" s="124"/>
      <c r="AZ43" s="124"/>
      <c r="BA43" s="124"/>
      <c r="BB43" s="136"/>
    </row>
    <row r="44" customFormat="false" ht="15.6" hidden="false" customHeight="false" outlineLevel="0" collapsed="false">
      <c r="A44" s="111" t="n">
        <f aca="false">IF(ISBLANK(VLOOKUP(D44,#REF!,3)),0,1)</f>
        <v>1</v>
      </c>
      <c r="B44" s="112" t="n">
        <f aca="false">IF(ISBLANK(D44),0,IF(ISBLANK(E44),0,IF(ISBLANK(F44),0,1)))</f>
        <v>0</v>
      </c>
      <c r="C44" s="128" t="n">
        <v>10</v>
      </c>
      <c r="D44" s="129"/>
      <c r="E44" s="129"/>
      <c r="F44" s="137"/>
      <c r="G44" s="117" t="n">
        <v>35.9492</v>
      </c>
      <c r="H44" s="131" t="n">
        <v>0</v>
      </c>
      <c r="I44" s="119" t="n">
        <v>2.3</v>
      </c>
      <c r="J44" s="132"/>
      <c r="K44" s="133"/>
      <c r="L44" s="133"/>
      <c r="M44" s="133"/>
      <c r="N44" s="134"/>
      <c r="O44" s="133"/>
      <c r="P44" s="132" t="n">
        <v>4.775</v>
      </c>
      <c r="Q44" s="132"/>
      <c r="R44" s="132"/>
      <c r="S44" s="177" t="n">
        <v>208.08</v>
      </c>
      <c r="T44" s="32" t="n">
        <v>0.04</v>
      </c>
      <c r="U44" s="32" t="n">
        <v>0.04</v>
      </c>
      <c r="V44" s="32"/>
      <c r="W44" s="32"/>
      <c r="X44" s="125" t="n">
        <v>2.5</v>
      </c>
      <c r="Y44" s="125" t="n">
        <v>2.5</v>
      </c>
      <c r="Z44" s="32" t="n">
        <v>0.16</v>
      </c>
      <c r="AA44" s="32" t="n">
        <v>0.16</v>
      </c>
      <c r="AB44" s="125" t="n">
        <v>2.2</v>
      </c>
      <c r="AC44" s="125" t="n">
        <v>2.2</v>
      </c>
      <c r="AD44" s="124"/>
      <c r="AE44" s="124"/>
      <c r="AF44" s="124"/>
      <c r="AG44" s="124"/>
      <c r="AH44" s="124"/>
      <c r="AI44" s="124"/>
      <c r="AJ44" s="124"/>
      <c r="AK44" s="124"/>
      <c r="AL44" s="124"/>
      <c r="AM44" s="124"/>
      <c r="AN44" s="124"/>
      <c r="AO44" s="124"/>
      <c r="AP44" s="124"/>
      <c r="AQ44" s="124"/>
      <c r="AR44" s="124"/>
      <c r="AS44" s="124"/>
      <c r="AT44" s="124"/>
      <c r="AU44" s="124"/>
      <c r="AV44" s="124"/>
      <c r="AW44" s="124"/>
      <c r="AX44" s="124"/>
      <c r="AY44" s="124"/>
      <c r="AZ44" s="124"/>
      <c r="BA44" s="124"/>
      <c r="BB44" s="136"/>
    </row>
    <row r="45" customFormat="false" ht="15.6" hidden="false" customHeight="false" outlineLevel="0" collapsed="false">
      <c r="A45" s="111" t="n">
        <f aca="false">IF(ISBLANK(VLOOKUP(D45,#REF!,3)),0,1)</f>
        <v>1</v>
      </c>
      <c r="B45" s="112" t="n">
        <f aca="false">IF(ISBLANK(D45),0,IF(ISBLANK(E45),0,IF(ISBLANK(F45),0,1)))</f>
        <v>0</v>
      </c>
      <c r="C45" s="128" t="n">
        <v>11</v>
      </c>
      <c r="D45" s="129"/>
      <c r="E45" s="129"/>
      <c r="F45" s="137"/>
      <c r="G45" s="117" t="n">
        <v>35.9491</v>
      </c>
      <c r="H45" s="131" t="n">
        <v>0</v>
      </c>
      <c r="I45" s="119" t="n">
        <v>2.2</v>
      </c>
      <c r="J45" s="132"/>
      <c r="K45" s="133"/>
      <c r="L45" s="133"/>
      <c r="M45" s="133"/>
      <c r="N45" s="134"/>
      <c r="O45" s="133"/>
      <c r="P45" s="132" t="n">
        <v>4.777</v>
      </c>
      <c r="Q45" s="132"/>
      <c r="R45" s="132"/>
      <c r="S45" s="177" t="n">
        <v>208.149</v>
      </c>
      <c r="T45" s="32" t="n">
        <v>0.04</v>
      </c>
      <c r="U45" s="32" t="n">
        <v>0.04</v>
      </c>
      <c r="V45" s="32"/>
      <c r="W45" s="32"/>
      <c r="X45" s="125" t="n">
        <v>2.5</v>
      </c>
      <c r="Y45" s="125" t="n">
        <v>2.5</v>
      </c>
      <c r="Z45" s="32" t="n">
        <v>0.14</v>
      </c>
      <c r="AA45" s="32" t="n">
        <v>0.14</v>
      </c>
      <c r="AB45" s="125" t="n">
        <v>2.2</v>
      </c>
      <c r="AC45" s="125" t="n">
        <v>2.1</v>
      </c>
      <c r="AD45" s="124"/>
      <c r="AE45" s="124"/>
      <c r="AF45" s="124"/>
      <c r="AG45" s="124"/>
      <c r="AH45" s="124"/>
      <c r="AI45" s="124"/>
      <c r="AJ45" s="124"/>
      <c r="AK45" s="124"/>
      <c r="AL45" s="124"/>
      <c r="AM45" s="124"/>
      <c r="AN45" s="124"/>
      <c r="AO45" s="124"/>
      <c r="AP45" s="124"/>
      <c r="AQ45" s="124"/>
      <c r="AR45" s="124"/>
      <c r="AS45" s="124"/>
      <c r="AT45" s="124"/>
      <c r="AU45" s="124"/>
      <c r="AV45" s="124"/>
      <c r="AW45" s="124"/>
      <c r="AX45" s="124"/>
      <c r="AY45" s="124"/>
      <c r="AZ45" s="124"/>
      <c r="BA45" s="124"/>
      <c r="BB45" s="136"/>
    </row>
    <row r="46" customFormat="false" ht="15.6" hidden="false" customHeight="false" outlineLevel="0" collapsed="false">
      <c r="A46" s="111" t="n">
        <f aca="false">IF(ISBLANK(VLOOKUP(D46,#REF!,3)),0,1)</f>
        <v>1</v>
      </c>
      <c r="B46" s="112" t="n">
        <f aca="false">IF(ISBLANK(D46),0,IF(ISBLANK(E46),0,IF(ISBLANK(F46),0,1)))</f>
        <v>0</v>
      </c>
      <c r="C46" s="128" t="n">
        <v>12</v>
      </c>
      <c r="D46" s="142"/>
      <c r="E46" s="142"/>
      <c r="F46" s="143"/>
      <c r="G46" s="144"/>
      <c r="H46" s="142"/>
      <c r="I46" s="145"/>
      <c r="J46" s="132" t="str">
        <f aca="false">IF(ISBLANK(D46),"",IF(VLOOKUP(D46,#REF!,2)=0,"",IF(D46&gt;#REF!,"Mauvais numéro",IF(D46&lt;#REF!,"Mauvais numéro",(VLOOKUP(D46,#REF!,3))))))</f>
        <v/>
      </c>
      <c r="K46" s="146" t="str">
        <f aca="false">IF(ISBLANK(E46),"",(0.000824493-(0.0000040899*E46)+(0.000000076438*E46^2)-(0.00000000082467*E46^3)+(0.0000000000053875*E46^4)))</f>
        <v/>
      </c>
      <c r="L46" s="146" t="str">
        <f aca="false">IF(ISBLANK(E46),"",(-0.00000572466+(0.00000010227*E46)-(0.0000000016546*E46^2)))</f>
        <v/>
      </c>
      <c r="M46" s="146" t="str">
        <f aca="false">IF(ISBLANK(E46),"",IF(ISBLANK(G46),(O46+(K46*35)+(L46*35^1.5)+(0.00000048314*35^2)),(O46+(K46*G46)+(L46*G46^1.5)+(0.00000048314*G46^2))))</f>
        <v/>
      </c>
      <c r="N46" s="147" t="str">
        <f aca="false">IF(ISBLANK(D46),"",IF(ISBLANK(G46),J46*(1+0.00001*(35-20)),J46*(1+0.00001*(G46-20))))</f>
        <v/>
      </c>
      <c r="O46" s="146" t="str">
        <f aca="false">IF(ISBLANK(E46),"",(0.999842594+(0.00006793952*E46)-(0.00000909529*E46^2)+(0.0000001001685*E46^3)-(0.000000001120083*E46^4)+(0.000000000006536332*E46^5)))</f>
        <v/>
      </c>
      <c r="P46" s="148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49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0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0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24"/>
      <c r="U46" s="124"/>
      <c r="V46" s="124"/>
      <c r="W46" s="124"/>
      <c r="X46" s="124"/>
      <c r="Y46" s="124"/>
      <c r="Z46" s="124"/>
      <c r="AA46" s="124"/>
      <c r="AB46" s="124"/>
      <c r="AC46" s="124"/>
      <c r="AD46" s="124"/>
      <c r="AE46" s="124"/>
      <c r="AF46" s="124"/>
      <c r="AG46" s="124"/>
      <c r="AH46" s="124"/>
      <c r="AI46" s="124"/>
      <c r="AJ46" s="124"/>
      <c r="AK46" s="124"/>
      <c r="AL46" s="124"/>
      <c r="AM46" s="124"/>
      <c r="AN46" s="124"/>
      <c r="AO46" s="124"/>
      <c r="AP46" s="124"/>
      <c r="AQ46" s="124"/>
      <c r="AR46" s="124"/>
      <c r="AS46" s="124"/>
      <c r="AT46" s="124"/>
      <c r="AU46" s="124"/>
      <c r="AV46" s="124"/>
      <c r="AW46" s="124"/>
      <c r="AX46" s="124"/>
      <c r="AY46" s="124"/>
      <c r="AZ46" s="124"/>
      <c r="BA46" s="124"/>
      <c r="BB46" s="136"/>
    </row>
    <row r="47" customFormat="false" ht="15.6" hidden="false" customHeight="false" outlineLevel="0" collapsed="false">
      <c r="A47" s="111" t="n">
        <f aca="false">IF(ISBLANK(VLOOKUP(D47,#REF!,3)),0,1)</f>
        <v>1</v>
      </c>
      <c r="B47" s="112" t="n">
        <f aca="false">IF(ISBLANK(D47),0,IF(ISBLANK(E47),0,IF(ISBLANK(F47),0,1)))</f>
        <v>0</v>
      </c>
      <c r="C47" s="128" t="n">
        <v>13</v>
      </c>
      <c r="D47" s="151"/>
      <c r="E47" s="151"/>
      <c r="F47" s="152"/>
      <c r="G47" s="153"/>
      <c r="H47" s="151"/>
      <c r="I47" s="151"/>
      <c r="J47" s="132" t="str">
        <f aca="false">IF(ISBLANK(D47),"",IF(VLOOKUP(D47,#REF!,2)=0,"",IF(D47&gt;#REF!,"Mauvais numéro",IF(D47&lt;#REF!,"Mauvais numéro",(VLOOKUP(D47,#REF!,3))))))</f>
        <v/>
      </c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54"/>
      <c r="Q47" s="149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5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4"/>
      <c r="T47" s="124"/>
      <c r="U47" s="124"/>
      <c r="V47" s="124"/>
      <c r="W47" s="124"/>
      <c r="X47" s="12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24"/>
      <c r="AJ47" s="124"/>
      <c r="AK47" s="124"/>
      <c r="AL47" s="124"/>
      <c r="AM47" s="124"/>
      <c r="AN47" s="124"/>
      <c r="AO47" s="124"/>
      <c r="AP47" s="124"/>
      <c r="AQ47" s="124"/>
      <c r="AR47" s="124"/>
      <c r="AS47" s="124"/>
      <c r="AT47" s="124"/>
      <c r="AU47" s="124"/>
      <c r="AV47" s="124"/>
      <c r="AW47" s="124"/>
      <c r="AX47" s="124"/>
      <c r="AY47" s="124"/>
      <c r="AZ47" s="124"/>
      <c r="BA47" s="124"/>
      <c r="BB47" s="136"/>
    </row>
    <row r="48" customFormat="false" ht="15.6" hidden="false" customHeight="false" outlineLevel="0" collapsed="false">
      <c r="A48" s="111" t="n">
        <f aca="false">IF(ISBLANK(VLOOKUP(D48,#REF!,3)),0,1)</f>
        <v>1</v>
      </c>
      <c r="B48" s="112" t="n">
        <f aca="false">IF(ISBLANK(D48),0,IF(ISBLANK(E48),0,IF(ISBLANK(F48),0,1)))</f>
        <v>0</v>
      </c>
      <c r="C48" s="128" t="n">
        <v>14</v>
      </c>
      <c r="D48" s="151"/>
      <c r="E48" s="151"/>
      <c r="F48" s="152"/>
      <c r="G48" s="153"/>
      <c r="H48" s="151"/>
      <c r="I48" s="151"/>
      <c r="J48" s="132" t="str">
        <f aca="false">IF(ISBLANK(D48),"",IF(VLOOKUP(D48,#REF!,2)=0,"",IF(D48&gt;#REF!,"Mauvais numéro",IF(D48&lt;#REF!,"Mauvais numéro",(VLOOKUP(D48,#REF!,3))))))</f>
        <v/>
      </c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54"/>
      <c r="Q48" s="149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5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4"/>
      <c r="T48" s="124"/>
      <c r="U48" s="124"/>
      <c r="V48" s="124"/>
      <c r="W48" s="124"/>
      <c r="X48" s="124"/>
      <c r="Y48" s="124"/>
      <c r="Z48" s="124"/>
      <c r="AA48" s="124"/>
      <c r="AB48" s="124"/>
      <c r="AC48" s="124"/>
      <c r="AD48" s="124"/>
      <c r="AE48" s="124"/>
      <c r="AF48" s="124"/>
      <c r="AG48" s="124"/>
      <c r="AH48" s="124"/>
      <c r="AI48" s="124"/>
      <c r="AJ48" s="124"/>
      <c r="AK48" s="124"/>
      <c r="AL48" s="124"/>
      <c r="AM48" s="124"/>
      <c r="AN48" s="124"/>
      <c r="AO48" s="124"/>
      <c r="AP48" s="124"/>
      <c r="AQ48" s="124"/>
      <c r="AR48" s="124"/>
      <c r="AS48" s="124"/>
      <c r="AT48" s="124"/>
      <c r="AU48" s="124"/>
      <c r="AV48" s="124"/>
      <c r="AW48" s="124"/>
      <c r="AX48" s="124"/>
      <c r="AY48" s="124"/>
      <c r="AZ48" s="124"/>
      <c r="BA48" s="124"/>
      <c r="BB48" s="136"/>
    </row>
    <row r="49" customFormat="false" ht="15.6" hidden="false" customHeight="false" outlineLevel="0" collapsed="false">
      <c r="A49" s="111" t="n">
        <f aca="false">IF(ISBLANK(VLOOKUP(D49,#REF!,3)),0,1)</f>
        <v>1</v>
      </c>
      <c r="B49" s="112" t="n">
        <f aca="false">IF(ISBLANK(D49),0,IF(ISBLANK(E49),0,IF(ISBLANK(F49),0,1)))</f>
        <v>0</v>
      </c>
      <c r="C49" s="128" t="n">
        <v>15</v>
      </c>
      <c r="D49" s="151"/>
      <c r="E49" s="151"/>
      <c r="F49" s="152"/>
      <c r="G49" s="156"/>
      <c r="H49" s="151"/>
      <c r="I49" s="151"/>
      <c r="J49" s="132" t="str">
        <f aca="false">IF(ISBLANK(D49),"",IF(VLOOKUP(D49,#REF!,2)=0,"",IF(D49&gt;#REF!,"Mauvais numéro",IF(D49&lt;#REF!,"Mauvais numéro",(VLOOKUP(D49,#REF!,3))))))</f>
        <v/>
      </c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57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49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5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24"/>
      <c r="AE49" s="124"/>
      <c r="AF49" s="124"/>
      <c r="AG49" s="124"/>
      <c r="AH49" s="124"/>
      <c r="AI49" s="124"/>
      <c r="AJ49" s="124"/>
      <c r="AK49" s="124"/>
      <c r="AL49" s="124"/>
      <c r="AM49" s="124"/>
      <c r="AN49" s="124"/>
      <c r="AO49" s="124"/>
      <c r="AP49" s="124"/>
      <c r="AQ49" s="124"/>
      <c r="AR49" s="124"/>
      <c r="AS49" s="124"/>
      <c r="AT49" s="124"/>
      <c r="AU49" s="124"/>
      <c r="AV49" s="124"/>
      <c r="AW49" s="124"/>
      <c r="AX49" s="124"/>
      <c r="AY49" s="124"/>
      <c r="AZ49" s="124"/>
      <c r="BA49" s="124"/>
      <c r="BB49" s="136"/>
    </row>
    <row r="50" customFormat="false" ht="15.6" hidden="false" customHeight="false" outlineLevel="0" collapsed="false">
      <c r="A50" s="111" t="n">
        <f aca="false">IF(ISBLANK(VLOOKUP(D50,#REF!,3)),0,1)</f>
        <v>1</v>
      </c>
      <c r="B50" s="112" t="n">
        <f aca="false">IF(ISBLANK(D50),0,IF(ISBLANK(E50),0,IF(ISBLANK(F50),0,1)))</f>
        <v>0</v>
      </c>
      <c r="C50" s="128" t="n">
        <v>16</v>
      </c>
      <c r="D50" s="151"/>
      <c r="E50" s="151"/>
      <c r="F50" s="152"/>
      <c r="G50" s="156"/>
      <c r="H50" s="151"/>
      <c r="I50" s="151"/>
      <c r="J50" s="132" t="str">
        <f aca="false">IF(ISBLANK(D50),"",IF(VLOOKUP(D50,#REF!,2)=0,"",IF(D50&gt;#REF!,"Mauvais numéro",IF(D50&lt;#REF!,"Mauvais numéro",(VLOOKUP(D50,#REF!,3))))))</f>
        <v/>
      </c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57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49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5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24"/>
      <c r="U50" s="124"/>
      <c r="V50" s="124"/>
      <c r="W50" s="124"/>
      <c r="X50" s="124"/>
      <c r="Y50" s="124"/>
      <c r="Z50" s="124"/>
      <c r="AA50" s="124"/>
      <c r="AB50" s="124"/>
      <c r="AC50" s="124"/>
      <c r="AD50" s="124"/>
      <c r="AE50" s="124"/>
      <c r="AF50" s="124"/>
      <c r="AG50" s="124"/>
      <c r="AH50" s="124"/>
      <c r="AI50" s="124"/>
      <c r="AJ50" s="124"/>
      <c r="AK50" s="124"/>
      <c r="AL50" s="124"/>
      <c r="AM50" s="124"/>
      <c r="AN50" s="124"/>
      <c r="AO50" s="124"/>
      <c r="AP50" s="124"/>
      <c r="AQ50" s="124"/>
      <c r="AR50" s="124"/>
      <c r="AS50" s="124"/>
      <c r="AT50" s="124"/>
      <c r="AU50" s="124"/>
      <c r="AV50" s="124"/>
      <c r="AW50" s="124"/>
      <c r="AX50" s="124"/>
      <c r="AY50" s="124"/>
      <c r="AZ50" s="124"/>
      <c r="BA50" s="124"/>
      <c r="BB50" s="136"/>
    </row>
    <row r="51" customFormat="false" ht="15.6" hidden="false" customHeight="false" outlineLevel="0" collapsed="false">
      <c r="A51" s="111" t="n">
        <f aca="false">IF(ISBLANK(VLOOKUP(D51,#REF!,3)),0,1)</f>
        <v>1</v>
      </c>
      <c r="B51" s="112" t="n">
        <f aca="false">IF(ISBLANK(D51),0,IF(ISBLANK(E51),0,IF(ISBLANK(F51),0,1)))</f>
        <v>0</v>
      </c>
      <c r="C51" s="128" t="n">
        <v>17</v>
      </c>
      <c r="D51" s="151"/>
      <c r="E51" s="151"/>
      <c r="F51" s="152"/>
      <c r="G51" s="156"/>
      <c r="H51" s="151"/>
      <c r="I51" s="151"/>
      <c r="J51" s="132" t="str">
        <f aca="false">IF(ISBLANK(D51),"",IF(VLOOKUP(D51,#REF!,2)=0,"",IF(D51&gt;#REF!,"Mauvais numéro",IF(D51&lt;#REF!,"Mauvais numéro",(VLOOKUP(D51,#REF!,3))))))</f>
        <v/>
      </c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57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49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5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24"/>
      <c r="AE51" s="124"/>
      <c r="AF51" s="124"/>
      <c r="AG51" s="124"/>
      <c r="AH51" s="124"/>
      <c r="AI51" s="124"/>
      <c r="AJ51" s="124"/>
      <c r="AK51" s="124"/>
      <c r="AL51" s="124"/>
      <c r="AM51" s="124"/>
      <c r="AN51" s="124"/>
      <c r="AO51" s="124"/>
      <c r="AP51" s="124"/>
      <c r="AQ51" s="124"/>
      <c r="AR51" s="124"/>
      <c r="AS51" s="124"/>
      <c r="AT51" s="124"/>
      <c r="AU51" s="124"/>
      <c r="AV51" s="124"/>
      <c r="AW51" s="124"/>
      <c r="AX51" s="124"/>
      <c r="AY51" s="124"/>
      <c r="AZ51" s="124"/>
      <c r="BA51" s="124"/>
      <c r="BB51" s="136"/>
    </row>
    <row r="52" customFormat="false" ht="15.6" hidden="false" customHeight="false" outlineLevel="0" collapsed="false">
      <c r="A52" s="111" t="n">
        <f aca="false">IF(ISBLANK(VLOOKUP(D52,#REF!,3)),0,1)</f>
        <v>1</v>
      </c>
      <c r="B52" s="112" t="n">
        <f aca="false">IF(ISBLANK(D52),0,IF(ISBLANK(E52),0,IF(ISBLANK(F52),0,1)))</f>
        <v>0</v>
      </c>
      <c r="C52" s="128" t="n">
        <v>18</v>
      </c>
      <c r="D52" s="151"/>
      <c r="E52" s="151"/>
      <c r="F52" s="152"/>
      <c r="G52" s="156"/>
      <c r="H52" s="151"/>
      <c r="I52" s="151"/>
      <c r="J52" s="132" t="str">
        <f aca="false">IF(ISBLANK(D52),"",IF(VLOOKUP(D52,#REF!,2)=0,"",IF(D52&gt;#REF!,"Mauvais numéro",IF(D52&lt;#REF!,"Mauvais numéro",(VLOOKUP(D52,#REF!,3))))))</f>
        <v/>
      </c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57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49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5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24"/>
      <c r="U52" s="124"/>
      <c r="V52" s="124"/>
      <c r="W52" s="124"/>
      <c r="X52" s="124"/>
      <c r="Y52" s="124"/>
      <c r="Z52" s="124"/>
      <c r="AA52" s="124"/>
      <c r="AB52" s="124"/>
      <c r="AC52" s="124"/>
      <c r="AD52" s="124"/>
      <c r="AE52" s="124"/>
      <c r="AF52" s="124"/>
      <c r="AG52" s="124"/>
      <c r="AH52" s="124"/>
      <c r="AI52" s="124"/>
      <c r="AJ52" s="124"/>
      <c r="AK52" s="124"/>
      <c r="AL52" s="124"/>
      <c r="AM52" s="124"/>
      <c r="AN52" s="124"/>
      <c r="AO52" s="124"/>
      <c r="AP52" s="124"/>
      <c r="AQ52" s="124"/>
      <c r="AR52" s="124"/>
      <c r="AS52" s="124"/>
      <c r="AT52" s="124"/>
      <c r="AU52" s="124"/>
      <c r="AV52" s="124"/>
      <c r="AW52" s="124"/>
      <c r="AX52" s="124"/>
      <c r="AY52" s="124"/>
      <c r="AZ52" s="124"/>
      <c r="BA52" s="124"/>
      <c r="BB52" s="136"/>
    </row>
    <row r="53" customFormat="false" ht="15.6" hidden="false" customHeight="false" outlineLevel="0" collapsed="false">
      <c r="A53" s="111" t="n">
        <f aca="false">IF(ISBLANK(VLOOKUP(D53,#REF!,3)),0,1)</f>
        <v>1</v>
      </c>
      <c r="B53" s="112" t="n">
        <f aca="false">IF(ISBLANK(D53),0,IF(ISBLANK(E53),0,IF(ISBLANK(F53),0,1)))</f>
        <v>0</v>
      </c>
      <c r="C53" s="128" t="n">
        <v>19</v>
      </c>
      <c r="D53" s="151"/>
      <c r="E53" s="151"/>
      <c r="F53" s="152"/>
      <c r="G53" s="156"/>
      <c r="H53" s="151"/>
      <c r="I53" s="151"/>
      <c r="J53" s="132" t="str">
        <f aca="false">IF(ISBLANK(D53),"",IF(VLOOKUP(D53,#REF!,2)=0,"",IF(D53&gt;#REF!,"Mauvais numéro",IF(D53&lt;#REF!,"Mauvais numéro",(VLOOKUP(D53,#REF!,3))))))</f>
        <v/>
      </c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57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49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5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24"/>
      <c r="U53" s="124"/>
      <c r="V53" s="124"/>
      <c r="W53" s="124"/>
      <c r="X53" s="12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24"/>
      <c r="AJ53" s="124"/>
      <c r="AK53" s="124"/>
      <c r="AL53" s="124"/>
      <c r="AM53" s="124"/>
      <c r="AN53" s="124"/>
      <c r="AO53" s="124"/>
      <c r="AP53" s="124"/>
      <c r="AQ53" s="124"/>
      <c r="AR53" s="124"/>
      <c r="AS53" s="124"/>
      <c r="AT53" s="124"/>
      <c r="AU53" s="124"/>
      <c r="AV53" s="124"/>
      <c r="AW53" s="124"/>
      <c r="AX53" s="124"/>
      <c r="AY53" s="124"/>
      <c r="AZ53" s="124"/>
      <c r="BA53" s="124"/>
      <c r="BB53" s="136"/>
    </row>
    <row r="54" customFormat="false" ht="15.6" hidden="false" customHeight="false" outlineLevel="0" collapsed="false">
      <c r="A54" s="111" t="n">
        <f aca="false">IF(ISBLANK(VLOOKUP(D54,#REF!,3)),0,1)</f>
        <v>1</v>
      </c>
      <c r="B54" s="112" t="n">
        <f aca="false">IF(ISBLANK(D54),0,IF(ISBLANK(E54),0,IF(ISBLANK(F54),0,1)))</f>
        <v>0</v>
      </c>
      <c r="C54" s="128" t="n">
        <v>20</v>
      </c>
      <c r="D54" s="151"/>
      <c r="E54" s="151"/>
      <c r="F54" s="152"/>
      <c r="G54" s="156"/>
      <c r="H54" s="151"/>
      <c r="I54" s="151"/>
      <c r="J54" s="132" t="str">
        <f aca="false">IF(ISBLANK(D54),"",IF(VLOOKUP(D54,#REF!,2)=0,"",IF(D54&gt;#REF!,"Mauvais numéro",IF(D54&lt;#REF!,"Mauvais numéro",(VLOOKUP(D54,#REF!,3))))))</f>
        <v/>
      </c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57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49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5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4"/>
      <c r="U54" s="124"/>
      <c r="V54" s="124"/>
      <c r="W54" s="124"/>
      <c r="X54" s="124"/>
      <c r="Y54" s="124"/>
      <c r="Z54" s="124"/>
      <c r="AA54" s="124"/>
      <c r="AB54" s="124"/>
      <c r="AC54" s="124"/>
      <c r="AD54" s="124"/>
      <c r="AE54" s="124"/>
      <c r="AF54" s="124"/>
      <c r="AG54" s="124"/>
      <c r="AH54" s="124"/>
      <c r="AI54" s="124"/>
      <c r="AJ54" s="124"/>
      <c r="AK54" s="124"/>
      <c r="AL54" s="124"/>
      <c r="AM54" s="124"/>
      <c r="AN54" s="124"/>
      <c r="AO54" s="124"/>
      <c r="AP54" s="124"/>
      <c r="AQ54" s="124"/>
      <c r="AR54" s="124"/>
      <c r="AS54" s="124"/>
      <c r="AT54" s="124"/>
      <c r="AU54" s="124"/>
      <c r="AV54" s="124"/>
      <c r="AW54" s="124"/>
      <c r="AX54" s="124"/>
      <c r="AY54" s="124"/>
      <c r="AZ54" s="124"/>
      <c r="BA54" s="124"/>
      <c r="BB54" s="136"/>
    </row>
    <row r="55" customFormat="false" ht="15.6" hidden="false" customHeight="false" outlineLevel="0" collapsed="false">
      <c r="A55" s="111" t="n">
        <f aca="false">IF(ISBLANK(VLOOKUP(D55,#REF!,3)),0,1)</f>
        <v>1</v>
      </c>
      <c r="B55" s="112" t="n">
        <f aca="false">IF(ISBLANK(D55),0,IF(ISBLANK(E55),0,IF(ISBLANK(F55),0,1)))</f>
        <v>0</v>
      </c>
      <c r="C55" s="128" t="n">
        <v>21</v>
      </c>
      <c r="D55" s="151"/>
      <c r="E55" s="151"/>
      <c r="F55" s="152"/>
      <c r="G55" s="156"/>
      <c r="H55" s="151"/>
      <c r="I55" s="151"/>
      <c r="J55" s="132" t="str">
        <f aca="false">IF(ISBLANK(D55),"",IF(VLOOKUP(D55,#REF!,2)=0,"",IF(D55&gt;#REF!,"Mauvais numéro",IF(D55&lt;#REF!,"Mauvais numéro",(VLOOKUP(D55,#REF!,3))))))</f>
        <v/>
      </c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57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49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5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24"/>
      <c r="U55" s="124"/>
      <c r="V55" s="124"/>
      <c r="W55" s="124"/>
      <c r="X55" s="124"/>
      <c r="Y55" s="124"/>
      <c r="Z55" s="124"/>
      <c r="AA55" s="124"/>
      <c r="AB55" s="124"/>
      <c r="AC55" s="124"/>
      <c r="AD55" s="124"/>
      <c r="AE55" s="124"/>
      <c r="AF55" s="124"/>
      <c r="AG55" s="124"/>
      <c r="AH55" s="124"/>
      <c r="AI55" s="124"/>
      <c r="AJ55" s="124"/>
      <c r="AK55" s="124"/>
      <c r="AL55" s="124"/>
      <c r="AM55" s="124"/>
      <c r="AN55" s="124"/>
      <c r="AO55" s="124"/>
      <c r="AP55" s="124"/>
      <c r="AQ55" s="124"/>
      <c r="AR55" s="124"/>
      <c r="AS55" s="124"/>
      <c r="AT55" s="124"/>
      <c r="AU55" s="124"/>
      <c r="AV55" s="124"/>
      <c r="AW55" s="124"/>
      <c r="AX55" s="124"/>
      <c r="AY55" s="124"/>
      <c r="AZ55" s="124"/>
      <c r="BA55" s="124"/>
      <c r="BB55" s="136"/>
    </row>
    <row r="56" customFormat="false" ht="15.6" hidden="false" customHeight="false" outlineLevel="0" collapsed="false">
      <c r="A56" s="111" t="n">
        <f aca="false">IF(ISBLANK(VLOOKUP(D56,#REF!,3)),0,1)</f>
        <v>1</v>
      </c>
      <c r="B56" s="112" t="n">
        <f aca="false">IF(ISBLANK(D56),0,IF(ISBLANK(E56),0,IF(ISBLANK(F56),0,1)))</f>
        <v>0</v>
      </c>
      <c r="C56" s="128" t="n">
        <v>22</v>
      </c>
      <c r="D56" s="151"/>
      <c r="E56" s="151"/>
      <c r="F56" s="152"/>
      <c r="G56" s="156"/>
      <c r="H56" s="151"/>
      <c r="I56" s="151"/>
      <c r="J56" s="132" t="str">
        <f aca="false">IF(ISBLANK(D56),"",IF(VLOOKUP(D56,#REF!,2)=0,"",IF(D56&gt;#REF!,"Mauvais numéro",IF(D56&lt;#REF!,"Mauvais numéro",(VLOOKUP(D56,#REF!,3))))))</f>
        <v/>
      </c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57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49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5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24"/>
      <c r="AE56" s="124"/>
      <c r="AF56" s="124"/>
      <c r="AG56" s="124"/>
      <c r="AH56" s="124"/>
      <c r="AI56" s="124"/>
      <c r="AJ56" s="124"/>
      <c r="AK56" s="124"/>
      <c r="AL56" s="124"/>
      <c r="AM56" s="124"/>
      <c r="AN56" s="124"/>
      <c r="AO56" s="124"/>
      <c r="AP56" s="124"/>
      <c r="AQ56" s="124"/>
      <c r="AR56" s="124"/>
      <c r="AS56" s="124"/>
      <c r="AT56" s="124"/>
      <c r="AU56" s="124"/>
      <c r="AV56" s="124"/>
      <c r="AW56" s="124"/>
      <c r="AX56" s="124"/>
      <c r="AY56" s="124"/>
      <c r="AZ56" s="124"/>
      <c r="BA56" s="124"/>
      <c r="BB56" s="136"/>
    </row>
    <row r="57" customFormat="false" ht="15.6" hidden="false" customHeight="false" outlineLevel="0" collapsed="false">
      <c r="A57" s="111" t="n">
        <f aca="false">IF(ISBLANK(VLOOKUP(D57,#REF!,3)),0,1)</f>
        <v>1</v>
      </c>
      <c r="B57" s="112" t="n">
        <f aca="false">IF(ISBLANK(D57),0,IF(ISBLANK(E57),0,IF(ISBLANK(F57),0,1)))</f>
        <v>0</v>
      </c>
      <c r="C57" s="128" t="n">
        <v>23</v>
      </c>
      <c r="D57" s="151"/>
      <c r="E57" s="151"/>
      <c r="F57" s="152"/>
      <c r="G57" s="156"/>
      <c r="H57" s="151"/>
      <c r="I57" s="151"/>
      <c r="J57" s="132" t="str">
        <f aca="false">IF(ISBLANK(D57),"",IF(VLOOKUP(D57,#REF!,2)=0,"",IF(D57&gt;#REF!,"Mauvais numéro",IF(D57&lt;#REF!,"Mauvais numéro",(VLOOKUP(D57,#REF!,3))))))</f>
        <v/>
      </c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57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49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5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4"/>
      <c r="U57" s="124"/>
      <c r="V57" s="124"/>
      <c r="W57" s="124"/>
      <c r="X57" s="124"/>
      <c r="Y57" s="124"/>
      <c r="Z57" s="124"/>
      <c r="AA57" s="124"/>
      <c r="AB57" s="124"/>
      <c r="AC57" s="124"/>
      <c r="AD57" s="124"/>
      <c r="AE57" s="124"/>
      <c r="AF57" s="124"/>
      <c r="AG57" s="124"/>
      <c r="AH57" s="124"/>
      <c r="AI57" s="124"/>
      <c r="AJ57" s="124"/>
      <c r="AK57" s="124"/>
      <c r="AL57" s="124"/>
      <c r="AM57" s="124"/>
      <c r="AN57" s="124"/>
      <c r="AO57" s="124"/>
      <c r="AP57" s="124"/>
      <c r="AQ57" s="124"/>
      <c r="AR57" s="124"/>
      <c r="AS57" s="124"/>
      <c r="AT57" s="124"/>
      <c r="AU57" s="124"/>
      <c r="AV57" s="124"/>
      <c r="AW57" s="124"/>
      <c r="AX57" s="124"/>
      <c r="AY57" s="124"/>
      <c r="AZ57" s="124"/>
      <c r="BA57" s="124"/>
      <c r="BB57" s="136"/>
    </row>
    <row r="58" customFormat="false" ht="16.2" hidden="false" customHeight="false" outlineLevel="0" collapsed="false">
      <c r="A58" s="111" t="n">
        <f aca="false">IF(ISBLANK(VLOOKUP(D58,#REF!,3)),0,1)</f>
        <v>1</v>
      </c>
      <c r="B58" s="112" t="n">
        <f aca="false">IF(ISBLANK(D58),0,IF(ISBLANK(E58),0,IF(ISBLANK(F58),0,1)))</f>
        <v>0</v>
      </c>
      <c r="C58" s="158" t="n">
        <v>24</v>
      </c>
      <c r="D58" s="159"/>
      <c r="E58" s="159"/>
      <c r="F58" s="160"/>
      <c r="G58" s="161"/>
      <c r="H58" s="159"/>
      <c r="I58" s="159"/>
      <c r="J58" s="162" t="str">
        <f aca="false">IF(ISBLANK(D58),"",IF(VLOOKUP(D58,#REF!,2)=0,"",IF(D58&gt;#REF!,"Mauvais numéro",IF(D58&lt;#REF!,"Mauvais numéro",(VLOOKUP(D58,#REF!,3))))))</f>
        <v/>
      </c>
      <c r="K58" s="163" t="str">
        <f aca="false">IF(ISBLANK(E58),"",(0.000824493-(0.0000040899*E58)+(0.000000076438*E58^2)-(0.00000000082467*E58^3)+(0.0000000000053875*E58^4)))</f>
        <v/>
      </c>
      <c r="L58" s="163" t="str">
        <f aca="false">IF(ISBLANK(E58),"",(-0.00000572466+(0.00000010227*E58)-(0.0000000016546*E58^2)))</f>
        <v/>
      </c>
      <c r="M58" s="163" t="str">
        <f aca="false">IF(ISBLANK(E58),"",IF(ISBLANK(G58),(O58+(K58*35)+(L58*35^1.5)+(0.00000048314*35^2)),(O58+(K58*G58)+(L58*G58^1.5)+(0.00000048314*G58^2))))</f>
        <v/>
      </c>
      <c r="N58" s="164" t="str">
        <f aca="false">IF(ISBLANK(D58),"",IF(ISBLANK(G58),J58*(1+0.00001*(35-20)),J58*(1+0.00001*(G58-20))))</f>
        <v/>
      </c>
      <c r="O58" s="163" t="str">
        <f aca="false">IF(ISBLANK(E58),"",(0.999842594+(0.00006793952*E58)-(0.00000909529*E58^2)+(0.0000001001685*E58^3)-(0.000000001120083*E58^4)+(0.000000000006536332*E58^5)))</f>
        <v/>
      </c>
      <c r="P58" s="165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66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7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7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68"/>
      <c r="U58" s="168"/>
      <c r="V58" s="168"/>
      <c r="W58" s="168"/>
      <c r="X58" s="168"/>
      <c r="Y58" s="168"/>
      <c r="Z58" s="168"/>
      <c r="AA58" s="168"/>
      <c r="AB58" s="168"/>
      <c r="AC58" s="168"/>
      <c r="AD58" s="168"/>
      <c r="AE58" s="168"/>
      <c r="AF58" s="168"/>
      <c r="AG58" s="168"/>
      <c r="AH58" s="168"/>
      <c r="AI58" s="168"/>
      <c r="AJ58" s="168"/>
      <c r="AK58" s="168"/>
      <c r="AL58" s="168"/>
      <c r="AM58" s="168"/>
      <c r="AN58" s="168"/>
      <c r="AO58" s="168"/>
      <c r="AP58" s="168"/>
      <c r="AQ58" s="168"/>
      <c r="AR58" s="168"/>
      <c r="AS58" s="168"/>
      <c r="AT58" s="168"/>
      <c r="AU58" s="168"/>
      <c r="AV58" s="168"/>
      <c r="AW58" s="168"/>
      <c r="AX58" s="168"/>
      <c r="AY58" s="168"/>
      <c r="AZ58" s="168"/>
      <c r="BA58" s="168"/>
      <c r="BB58" s="169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E1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8178137651822"/>
    <col collapsed="false" hidden="false" max="32" min="32" style="0" width="9.10526315789474"/>
    <col collapsed="false" hidden="false" max="33" min="33" style="0" width="26.5668016194332"/>
    <col collapsed="false" hidden="false" max="34" min="34" style="0" width="12.8542510121458"/>
    <col collapsed="false" hidden="false" max="35" min="35" style="0" width="11.1417004048583"/>
    <col collapsed="false" hidden="false" max="36" min="36" style="0" width="14.5668016194332"/>
    <col collapsed="false" hidden="false" max="37" min="37" style="0" width="12.2105263157895"/>
    <col collapsed="false" hidden="false" max="38" min="38" style="0" width="26.995951417004"/>
    <col collapsed="false" hidden="false" max="39" min="39" style="0" width="14.6761133603239"/>
    <col collapsed="false" hidden="false" max="40" min="40" style="0" width="11.3562753036437"/>
    <col collapsed="false" hidden="false" max="41" min="41" style="0" width="12.5344129554656"/>
    <col collapsed="false" hidden="false" max="42" min="42" style="0" width="10.7125506072875"/>
    <col collapsed="false" hidden="false" max="43" min="43" style="0" width="6.31983805668016"/>
    <col collapsed="false" hidden="false" max="44" min="44" style="0" width="19.7085020242915"/>
    <col collapsed="false" hidden="false" max="45" min="45" style="0" width="13.0688259109312"/>
    <col collapsed="false" hidden="false" max="46" min="46" style="0" width="17.7813765182186"/>
    <col collapsed="false" hidden="false" max="47" min="47" style="0" width="14.6761133603239"/>
    <col collapsed="false" hidden="false" max="48" min="48" style="0" width="13.6032388663968"/>
    <col collapsed="false" hidden="false" max="49" min="49" style="0" width="13.7125506072874"/>
    <col collapsed="false" hidden="false" max="50" min="50" style="0" width="19.9230769230769"/>
    <col collapsed="false" hidden="false" max="51" min="51" style="0" width="13.2834008097166"/>
    <col collapsed="false" hidden="false" max="52" min="52" style="0" width="17.6761133603239"/>
    <col collapsed="false" hidden="false" max="53" min="53" style="0" width="13.3886639676113"/>
    <col collapsed="false" hidden="false" max="54" min="54" style="0" width="12.6396761133603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32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38728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5</v>
      </c>
      <c r="J9" s="29" t="n">
        <v>54.48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5°54,48</v>
      </c>
      <c r="P9" s="29" t="s">
        <v>13</v>
      </c>
      <c r="Q9" s="33" t="n">
        <f aca="false">IF(ISBLANK(I9),"",IF(ISBLANK(J9),"",IF(J9&gt;60,"ERREUR !!",O11*(I9+(J9/60)))))</f>
        <v>5.908</v>
      </c>
      <c r="R9" s="33"/>
    </row>
    <row r="10" customFormat="false" ht="15" hidden="false" customHeight="true" outlineLevel="0" collapsed="false">
      <c r="C10" s="21"/>
      <c r="D10" s="18"/>
      <c r="G10" s="27" t="s">
        <v>16</v>
      </c>
      <c r="H10" s="27"/>
      <c r="I10" s="28" t="n">
        <v>2</v>
      </c>
      <c r="J10" s="29" t="n">
        <v>19.15</v>
      </c>
      <c r="K10" s="30" t="s">
        <v>12</v>
      </c>
      <c r="L10" s="31" t="str">
        <f aca="false">IF(P10=N9,"+","-")</f>
        <v>+</v>
      </c>
      <c r="M10" s="30" t="s">
        <v>15</v>
      </c>
      <c r="N10" s="30" t="s">
        <v>17</v>
      </c>
      <c r="O10" s="34" t="str">
        <f aca="false">IF(ISBLANK(I10),"",IF(ISBLANK(J10),"",IF(P10=N10,L10&amp;N12,N12)))</f>
        <v>2°19,15</v>
      </c>
      <c r="P10" s="29" t="s">
        <v>14</v>
      </c>
      <c r="Q10" s="33" t="n">
        <f aca="false">IF(ISBLANK(I10),"",IF(ISBLANK(J10),"",IF(J10&gt;60,"ERREUR !!",O12*(I10+(J10/60)))))</f>
        <v>2.31916666666667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38554</v>
      </c>
      <c r="K11" s="38"/>
      <c r="L11" s="38"/>
      <c r="M11" s="38"/>
      <c r="N11" s="39" t="str">
        <f aca="false">I9&amp;"°"&amp;J9</f>
        <v>5°54,48</v>
      </c>
      <c r="O11" s="40" t="n">
        <f aca="false">IF(P9=M10,-1,1)</f>
        <v>1</v>
      </c>
      <c r="P11" s="41" t="str">
        <f aca="false">TEXT(J11,"aaaa-mm-jj")&amp;"T"&amp;TEXT(J12,"hh:mm:ss")&amp;"z"</f>
        <v>2009-07-22T11:00:00z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0.458333333333333</v>
      </c>
      <c r="K12" s="45"/>
      <c r="L12" s="45"/>
      <c r="M12" s="45"/>
      <c r="N12" s="46" t="str">
        <f aca="false">I10&amp;"°"&amp;J10</f>
        <v>2°19,15</v>
      </c>
      <c r="O12" s="40" t="n">
        <f aca="false">IF(P10=N10,-1,1)</f>
        <v>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e">
        <f aca="false">$P$24*($P$18/#REF!)</f>
        <v>#REF!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e">
        <f aca="false">5+#REF!</f>
        <v>#REF!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e">
        <f aca="false">P20*(1+0.00001*(R14-20))</f>
        <v>#REF!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e">
        <f aca="false">MAX(#REF!)</f>
        <v>#VALUE!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e">
        <f aca="false">2+(#REF!+#REF!)</f>
        <v>#REF!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52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53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IF(ISBLANK(VLOOKUP(D35,#REF!,3)),0,1)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s">
        <v>99</v>
      </c>
      <c r="H35" s="118" t="n">
        <v>2000</v>
      </c>
      <c r="I35" s="188" t="n">
        <v>2000.4</v>
      </c>
      <c r="J35" s="120"/>
      <c r="K35" s="121"/>
      <c r="L35" s="121"/>
      <c r="M35" s="121"/>
      <c r="N35" s="122"/>
      <c r="O35" s="121"/>
      <c r="P35" s="132"/>
      <c r="Q35" s="120"/>
      <c r="R35" s="120"/>
      <c r="S35" s="120"/>
      <c r="T35" s="32" t="n">
        <v>0.02</v>
      </c>
      <c r="U35" s="32" t="n">
        <v>0.02</v>
      </c>
      <c r="V35" s="32"/>
      <c r="W35" s="32"/>
      <c r="X35" s="125" t="n">
        <v>21.2</v>
      </c>
      <c r="Y35" s="125" t="n">
        <v>20.7</v>
      </c>
      <c r="Z35" s="32" t="n">
        <v>1.6</v>
      </c>
      <c r="AA35" s="32" t="n">
        <v>1.56</v>
      </c>
      <c r="AB35" s="125" t="n">
        <v>27</v>
      </c>
      <c r="AC35" s="125" t="n">
        <v>26.4</v>
      </c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7"/>
    </row>
    <row r="36" customFormat="false" ht="15.6" hidden="false" customHeight="false" outlineLevel="0" collapsed="false">
      <c r="A36" s="111" t="n">
        <f aca="false">IF(ISBLANK(VLOOKUP(D36,#REF!,3)),0,1)</f>
        <v>1</v>
      </c>
      <c r="B36" s="112" t="n">
        <f aca="false">IF(ISBLANK(D36),0,IF(ISBLANK(E36),0,IF(ISBLANK(F36),0,1)))</f>
        <v>0</v>
      </c>
      <c r="C36" s="128" t="n">
        <v>2</v>
      </c>
      <c r="D36" s="129"/>
      <c r="E36" s="129"/>
      <c r="F36" s="130"/>
      <c r="G36" s="117" t="s">
        <v>99</v>
      </c>
      <c r="H36" s="131" t="n">
        <v>1000</v>
      </c>
      <c r="I36" s="188" t="n">
        <v>1000.6</v>
      </c>
      <c r="J36" s="132"/>
      <c r="K36" s="133"/>
      <c r="L36" s="133"/>
      <c r="M36" s="133"/>
      <c r="N36" s="134"/>
      <c r="O36" s="133"/>
      <c r="P36" s="132"/>
      <c r="Q36" s="132"/>
      <c r="R36" s="132"/>
      <c r="S36" s="132"/>
      <c r="T36" s="32" t="n">
        <v>0.03</v>
      </c>
      <c r="U36" s="32" t="n">
        <v>0.03</v>
      </c>
      <c r="V36" s="32"/>
      <c r="W36" s="32"/>
      <c r="X36" s="125" t="n">
        <v>33.1</v>
      </c>
      <c r="Y36" s="125" t="n">
        <v>32.4</v>
      </c>
      <c r="Z36" s="32" t="n">
        <v>2.39</v>
      </c>
      <c r="AA36" s="32" t="n">
        <v>2.33</v>
      </c>
      <c r="AB36" s="125" t="n">
        <v>32.3</v>
      </c>
      <c r="AC36" s="125" t="n">
        <v>31.5</v>
      </c>
      <c r="AD36" s="124"/>
      <c r="AE36" s="124"/>
      <c r="AF36" s="124"/>
      <c r="AG36" s="124"/>
      <c r="AH36" s="124"/>
      <c r="AI36" s="124"/>
      <c r="AJ36" s="124"/>
      <c r="AK36" s="124"/>
      <c r="AL36" s="124"/>
      <c r="AM36" s="124"/>
      <c r="AN36" s="124"/>
      <c r="AO36" s="124"/>
      <c r="AP36" s="124"/>
      <c r="AQ36" s="124"/>
      <c r="AR36" s="124"/>
      <c r="AS36" s="124"/>
      <c r="AT36" s="124"/>
      <c r="AU36" s="124"/>
      <c r="AV36" s="124"/>
      <c r="AW36" s="124"/>
      <c r="AX36" s="124"/>
      <c r="AY36" s="124"/>
      <c r="AZ36" s="124"/>
      <c r="BA36" s="124"/>
      <c r="BB36" s="136"/>
    </row>
    <row r="37" customFormat="false" ht="15.6" hidden="false" customHeight="false" outlineLevel="0" collapsed="false">
      <c r="A37" s="111" t="n">
        <f aca="false">IF(ISBLANK(VLOOKUP(D37,#REF!,3)),0,1)</f>
        <v>1</v>
      </c>
      <c r="B37" s="112" t="n">
        <f aca="false">IF(ISBLANK(D37),0,IF(ISBLANK(E37),0,IF(ISBLANK(F37),0,1)))</f>
        <v>0</v>
      </c>
      <c r="C37" s="128" t="n">
        <v>3</v>
      </c>
      <c r="D37" s="129"/>
      <c r="E37" s="129"/>
      <c r="F37" s="137"/>
      <c r="G37" s="117" t="s">
        <v>99</v>
      </c>
      <c r="H37" s="131" t="n">
        <v>800</v>
      </c>
      <c r="I37" s="188" t="n">
        <v>801.7</v>
      </c>
      <c r="J37" s="132"/>
      <c r="K37" s="133"/>
      <c r="L37" s="133"/>
      <c r="M37" s="133"/>
      <c r="N37" s="134"/>
      <c r="O37" s="133"/>
      <c r="P37" s="132"/>
      <c r="Q37" s="132"/>
      <c r="R37" s="132"/>
      <c r="S37" s="132"/>
      <c r="T37" s="32" t="n">
        <v>0.05</v>
      </c>
      <c r="U37" s="32" t="n">
        <v>0.04</v>
      </c>
      <c r="V37" s="32"/>
      <c r="W37" s="32"/>
      <c r="X37" s="125" t="n">
        <v>35.7</v>
      </c>
      <c r="Y37" s="125" t="n">
        <v>34.9</v>
      </c>
      <c r="Z37" s="32" t="n">
        <v>2.49</v>
      </c>
      <c r="AA37" s="32" t="n">
        <v>2.44</v>
      </c>
      <c r="AB37" s="125" t="n">
        <v>31</v>
      </c>
      <c r="AC37" s="125" t="n">
        <v>30.3</v>
      </c>
      <c r="AD37" s="124"/>
      <c r="AE37" s="124"/>
      <c r="AF37" s="124"/>
      <c r="AG37" s="124"/>
      <c r="AH37" s="124"/>
      <c r="AI37" s="124"/>
      <c r="AJ37" s="124"/>
      <c r="AK37" s="124"/>
      <c r="AL37" s="124"/>
      <c r="AM37" s="124"/>
      <c r="AN37" s="124"/>
      <c r="AO37" s="124"/>
      <c r="AP37" s="124"/>
      <c r="AQ37" s="124"/>
      <c r="AR37" s="124"/>
      <c r="AS37" s="124"/>
      <c r="AT37" s="124"/>
      <c r="AU37" s="124"/>
      <c r="AV37" s="124"/>
      <c r="AW37" s="124"/>
      <c r="AX37" s="124"/>
      <c r="AY37" s="124"/>
      <c r="AZ37" s="124"/>
      <c r="BA37" s="124"/>
      <c r="BB37" s="136"/>
    </row>
    <row r="38" customFormat="false" ht="15.6" hidden="false" customHeight="false" outlineLevel="0" collapsed="false">
      <c r="A38" s="111" t="n">
        <f aca="false">IF(ISBLANK(VLOOKUP(D38,#REF!,3)),0,1)</f>
        <v>1</v>
      </c>
      <c r="B38" s="112" t="n">
        <f aca="false">IF(ISBLANK(D38),0,IF(ISBLANK(E38),0,IF(ISBLANK(F38),0,1)))</f>
        <v>0</v>
      </c>
      <c r="C38" s="128" t="n">
        <v>4</v>
      </c>
      <c r="D38" s="138"/>
      <c r="E38" s="138"/>
      <c r="F38" s="139"/>
      <c r="G38" s="117" t="s">
        <v>99</v>
      </c>
      <c r="H38" s="131" t="n">
        <v>650</v>
      </c>
      <c r="I38" s="188" t="n">
        <v>649.1</v>
      </c>
      <c r="J38" s="132"/>
      <c r="K38" s="133"/>
      <c r="L38" s="133"/>
      <c r="M38" s="133"/>
      <c r="N38" s="134"/>
      <c r="O38" s="133"/>
      <c r="P38" s="132"/>
      <c r="Q38" s="132"/>
      <c r="R38" s="132"/>
      <c r="S38" s="132"/>
      <c r="T38" s="32" t="n">
        <v>0.03</v>
      </c>
      <c r="U38" s="32" t="n">
        <v>0.03</v>
      </c>
      <c r="V38" s="32"/>
      <c r="W38" s="32"/>
      <c r="X38" s="125" t="n">
        <v>36.6</v>
      </c>
      <c r="Y38" s="125" t="n">
        <v>35.8</v>
      </c>
      <c r="Z38" s="32" t="n">
        <v>2.5</v>
      </c>
      <c r="AA38" s="32" t="n">
        <v>2.44</v>
      </c>
      <c r="AB38" s="125" t="n">
        <v>26.5</v>
      </c>
      <c r="AC38" s="125" t="n">
        <v>25.9</v>
      </c>
      <c r="AD38" s="124"/>
      <c r="AE38" s="124"/>
      <c r="AF38" s="124"/>
      <c r="AG38" s="124"/>
      <c r="AH38" s="124"/>
      <c r="AI38" s="124"/>
      <c r="AJ38" s="124"/>
      <c r="AK38" s="124"/>
      <c r="AL38" s="124"/>
      <c r="AM38" s="124"/>
      <c r="AN38" s="124"/>
      <c r="AO38" s="124"/>
      <c r="AP38" s="124"/>
      <c r="AQ38" s="124"/>
      <c r="AR38" s="124"/>
      <c r="AS38" s="124"/>
      <c r="AT38" s="124"/>
      <c r="AU38" s="124"/>
      <c r="AV38" s="124"/>
      <c r="AW38" s="124"/>
      <c r="AX38" s="124"/>
      <c r="AY38" s="124"/>
      <c r="AZ38" s="124"/>
      <c r="BA38" s="124"/>
      <c r="BB38" s="136"/>
    </row>
    <row r="39" customFormat="false" ht="15.6" hidden="false" customHeight="false" outlineLevel="0" collapsed="false">
      <c r="A39" s="111" t="n">
        <f aca="false">IF(ISBLANK(VLOOKUP(D39,#REF!,3)),0,1)</f>
        <v>1</v>
      </c>
      <c r="B39" s="112" t="n">
        <f aca="false">IF(ISBLANK(D39),0,IF(ISBLANK(E39),0,IF(ISBLANK(F39),0,1)))</f>
        <v>0</v>
      </c>
      <c r="C39" s="128" t="n">
        <v>5</v>
      </c>
      <c r="D39" s="129"/>
      <c r="E39" s="129"/>
      <c r="F39" s="137"/>
      <c r="G39" s="117" t="s">
        <v>99</v>
      </c>
      <c r="H39" s="131" t="n">
        <v>500</v>
      </c>
      <c r="I39" s="188" t="n">
        <v>499.1</v>
      </c>
      <c r="J39" s="132"/>
      <c r="K39" s="133"/>
      <c r="L39" s="133"/>
      <c r="M39" s="133"/>
      <c r="N39" s="134"/>
      <c r="O39" s="133"/>
      <c r="P39" s="132"/>
      <c r="Q39" s="132"/>
      <c r="R39" s="132"/>
      <c r="S39" s="132"/>
      <c r="T39" s="32" t="n">
        <v>0.04</v>
      </c>
      <c r="U39" s="32" t="n">
        <v>0.04</v>
      </c>
      <c r="V39" s="32"/>
      <c r="W39" s="32"/>
      <c r="X39" s="125" t="n">
        <v>36.4</v>
      </c>
      <c r="Y39" s="125" t="n">
        <v>35.6</v>
      </c>
      <c r="Z39" s="32" t="n">
        <v>2.35</v>
      </c>
      <c r="AA39" s="32" t="n">
        <v>2.3</v>
      </c>
      <c r="AB39" s="125" t="n">
        <v>22.6</v>
      </c>
      <c r="AC39" s="125" t="n">
        <v>22.1</v>
      </c>
      <c r="AD39" s="124"/>
      <c r="AE39" s="124"/>
      <c r="AF39" s="124"/>
      <c r="AG39" s="124"/>
      <c r="AH39" s="124"/>
      <c r="AI39" s="124"/>
      <c r="AJ39" s="124"/>
      <c r="AK39" s="124"/>
      <c r="AL39" s="124"/>
      <c r="AM39" s="124"/>
      <c r="AN39" s="124"/>
      <c r="AO39" s="124"/>
      <c r="AP39" s="124"/>
      <c r="AQ39" s="124"/>
      <c r="AR39" s="124"/>
      <c r="AS39" s="124"/>
      <c r="AT39" s="124"/>
      <c r="AU39" s="124"/>
      <c r="AV39" s="124"/>
      <c r="AW39" s="124"/>
      <c r="AX39" s="124"/>
      <c r="AY39" s="124"/>
      <c r="AZ39" s="124"/>
      <c r="BA39" s="124"/>
      <c r="BB39" s="136"/>
    </row>
    <row r="40" customFormat="false" ht="15.6" hidden="false" customHeight="false" outlineLevel="0" collapsed="false">
      <c r="A40" s="111" t="n">
        <f aca="false">IF(ISBLANK(VLOOKUP(D40,#REF!,3)),0,1)</f>
        <v>1</v>
      </c>
      <c r="B40" s="112" t="n">
        <f aca="false">IF(ISBLANK(D40),0,IF(ISBLANK(E40),0,IF(ISBLANK(F40),0,1)))</f>
        <v>0</v>
      </c>
      <c r="C40" s="128" t="n">
        <v>6</v>
      </c>
      <c r="D40" s="129"/>
      <c r="E40" s="129"/>
      <c r="F40" s="137"/>
      <c r="G40" s="117" t="s">
        <v>99</v>
      </c>
      <c r="H40" s="131" t="n">
        <v>300</v>
      </c>
      <c r="I40" s="188" t="n">
        <v>297.3</v>
      </c>
      <c r="J40" s="132"/>
      <c r="K40" s="133"/>
      <c r="L40" s="133"/>
      <c r="M40" s="133"/>
      <c r="N40" s="134"/>
      <c r="O40" s="133"/>
      <c r="P40" s="132"/>
      <c r="Q40" s="132"/>
      <c r="R40" s="132"/>
      <c r="S40" s="132"/>
      <c r="T40" s="32" t="n">
        <v>0.03</v>
      </c>
      <c r="U40" s="32" t="n">
        <v>0.03</v>
      </c>
      <c r="V40" s="32"/>
      <c r="W40" s="32"/>
      <c r="X40" s="125" t="n">
        <v>32.6</v>
      </c>
      <c r="Y40" s="125" t="n">
        <v>31.8</v>
      </c>
      <c r="Z40" s="32" t="n">
        <v>2.07</v>
      </c>
      <c r="AA40" s="32" t="n">
        <v>2.03</v>
      </c>
      <c r="AB40" s="125" t="n">
        <v>15.6</v>
      </c>
      <c r="AC40" s="125" t="n">
        <v>15.2</v>
      </c>
      <c r="AD40" s="124"/>
      <c r="AE40" s="124"/>
      <c r="AF40" s="124"/>
      <c r="AG40" s="124"/>
      <c r="AH40" s="124"/>
      <c r="AI40" s="124"/>
      <c r="AJ40" s="124"/>
      <c r="AK40" s="124"/>
      <c r="AL40" s="124"/>
      <c r="AM40" s="124"/>
      <c r="AN40" s="124"/>
      <c r="AO40" s="124"/>
      <c r="AP40" s="124"/>
      <c r="AQ40" s="124"/>
      <c r="AR40" s="124"/>
      <c r="AS40" s="124"/>
      <c r="AT40" s="124"/>
      <c r="AU40" s="124"/>
      <c r="AV40" s="124"/>
      <c r="AW40" s="124"/>
      <c r="AX40" s="124"/>
      <c r="AY40" s="124"/>
      <c r="AZ40" s="124"/>
      <c r="BA40" s="124"/>
      <c r="BB40" s="136"/>
    </row>
    <row r="41" customFormat="false" ht="15.6" hidden="false" customHeight="false" outlineLevel="0" collapsed="false">
      <c r="A41" s="111" t="n">
        <f aca="false">IF(ISBLANK(VLOOKUP(D41,#REF!,3)),0,1)</f>
        <v>1</v>
      </c>
      <c r="B41" s="112" t="n">
        <f aca="false">IF(ISBLANK(D41),0,IF(ISBLANK(E41),0,IF(ISBLANK(F41),0,1)))</f>
        <v>0</v>
      </c>
      <c r="C41" s="128" t="n">
        <v>7</v>
      </c>
      <c r="D41" s="129"/>
      <c r="E41" s="129"/>
      <c r="F41" s="137"/>
      <c r="G41" s="117" t="s">
        <v>99</v>
      </c>
      <c r="H41" s="131" t="n">
        <v>200</v>
      </c>
      <c r="I41" s="188" t="n">
        <v>199.7</v>
      </c>
      <c r="J41" s="132"/>
      <c r="K41" s="133"/>
      <c r="L41" s="133"/>
      <c r="M41" s="133"/>
      <c r="N41" s="134"/>
      <c r="O41" s="133"/>
      <c r="P41" s="132"/>
      <c r="Q41" s="132"/>
      <c r="R41" s="132"/>
      <c r="S41" s="132"/>
      <c r="T41" s="32" t="n">
        <v>0.06</v>
      </c>
      <c r="U41" s="32" t="n">
        <v>0.06</v>
      </c>
      <c r="V41" s="32"/>
      <c r="W41" s="32"/>
      <c r="X41" s="125" t="n">
        <v>25.7</v>
      </c>
      <c r="Y41" s="125" t="n">
        <v>25.1</v>
      </c>
      <c r="Z41" s="32" t="n">
        <v>1.64</v>
      </c>
      <c r="AA41" s="32" t="n">
        <v>1.6</v>
      </c>
      <c r="AB41" s="125" t="n">
        <v>11.4</v>
      </c>
      <c r="AC41" s="125" t="n">
        <v>11.2</v>
      </c>
      <c r="AD41" s="124"/>
      <c r="AE41" s="124"/>
      <c r="AF41" s="124"/>
      <c r="AG41" s="124"/>
      <c r="AH41" s="124"/>
      <c r="AI41" s="124"/>
      <c r="AJ41" s="124"/>
      <c r="AK41" s="124"/>
      <c r="AL41" s="124"/>
      <c r="AM41" s="124"/>
      <c r="AN41" s="124"/>
      <c r="AO41" s="124"/>
      <c r="AP41" s="124"/>
      <c r="AQ41" s="124"/>
      <c r="AR41" s="124"/>
      <c r="AS41" s="124"/>
      <c r="AT41" s="124"/>
      <c r="AU41" s="124"/>
      <c r="AV41" s="124"/>
      <c r="AW41" s="124"/>
      <c r="AX41" s="124"/>
      <c r="AY41" s="124"/>
      <c r="AZ41" s="124"/>
      <c r="BA41" s="124"/>
      <c r="BB41" s="136"/>
    </row>
    <row r="42" customFormat="false" ht="15.6" hidden="false" customHeight="false" outlineLevel="0" collapsed="false">
      <c r="A42" s="111" t="n">
        <f aca="false">IF(ISBLANK(VLOOKUP(D42,#REF!,3)),0,1)</f>
        <v>1</v>
      </c>
      <c r="B42" s="112" t="n">
        <f aca="false">IF(ISBLANK(D42),0,IF(ISBLANK(E42),0,IF(ISBLANK(F42),0,1)))</f>
        <v>0</v>
      </c>
      <c r="C42" s="128" t="n">
        <v>8</v>
      </c>
      <c r="D42" s="129"/>
      <c r="E42" s="129"/>
      <c r="F42" s="137"/>
      <c r="G42" s="117" t="s">
        <v>99</v>
      </c>
      <c r="H42" s="131" t="n">
        <v>100</v>
      </c>
      <c r="I42" s="188" t="n">
        <v>100.3</v>
      </c>
      <c r="J42" s="132"/>
      <c r="K42" s="133"/>
      <c r="L42" s="133"/>
      <c r="M42" s="133"/>
      <c r="N42" s="134"/>
      <c r="O42" s="133"/>
      <c r="P42" s="132"/>
      <c r="Q42" s="132"/>
      <c r="R42" s="132"/>
      <c r="S42" s="132"/>
      <c r="T42" s="32" t="n">
        <v>0.03</v>
      </c>
      <c r="U42" s="32" t="n">
        <v>0.03</v>
      </c>
      <c r="V42" s="32"/>
      <c r="W42" s="32"/>
      <c r="X42" s="125" t="n">
        <v>17.1</v>
      </c>
      <c r="Y42" s="125" t="n">
        <v>16.7</v>
      </c>
      <c r="Z42" s="32" t="n">
        <v>1.16</v>
      </c>
      <c r="AA42" s="32" t="n">
        <v>1.13</v>
      </c>
      <c r="AB42" s="125" t="n">
        <v>7</v>
      </c>
      <c r="AC42" s="125" t="n">
        <v>6.8</v>
      </c>
      <c r="AD42" s="124"/>
      <c r="AE42" s="124"/>
      <c r="AF42" s="124"/>
      <c r="AG42" s="124"/>
      <c r="AH42" s="124"/>
      <c r="AI42" s="124"/>
      <c r="AJ42" s="124"/>
      <c r="AK42" s="124"/>
      <c r="AL42" s="124"/>
      <c r="AM42" s="124"/>
      <c r="AN42" s="124"/>
      <c r="AO42" s="124"/>
      <c r="AP42" s="124"/>
      <c r="AQ42" s="124"/>
      <c r="AR42" s="124"/>
      <c r="AS42" s="124"/>
      <c r="AT42" s="124"/>
      <c r="AU42" s="124"/>
      <c r="AV42" s="124"/>
      <c r="AW42" s="124"/>
      <c r="AX42" s="124"/>
      <c r="AY42" s="124"/>
      <c r="AZ42" s="124"/>
      <c r="BA42" s="124"/>
      <c r="BB42" s="136"/>
    </row>
    <row r="43" customFormat="false" ht="15.6" hidden="false" customHeight="false" outlineLevel="0" collapsed="false">
      <c r="A43" s="111" t="n">
        <f aca="false">IF(ISBLANK(VLOOKUP(D43,#REF!,3)),0,1)</f>
        <v>1</v>
      </c>
      <c r="B43" s="112" t="n">
        <f aca="false">IF(ISBLANK(D43),0,IF(ISBLANK(E43),0,IF(ISBLANK(F43),0,1)))</f>
        <v>0</v>
      </c>
      <c r="C43" s="128" t="n">
        <v>9</v>
      </c>
      <c r="D43" s="129"/>
      <c r="E43" s="129"/>
      <c r="F43" s="137"/>
      <c r="G43" s="117" t="s">
        <v>99</v>
      </c>
      <c r="H43" s="131" t="n">
        <v>80</v>
      </c>
      <c r="I43" s="188" t="n">
        <v>80</v>
      </c>
      <c r="J43" s="132"/>
      <c r="K43" s="133"/>
      <c r="L43" s="133"/>
      <c r="M43" s="133"/>
      <c r="N43" s="134"/>
      <c r="O43" s="133"/>
      <c r="P43" s="132"/>
      <c r="Q43" s="132"/>
      <c r="R43" s="132"/>
      <c r="S43" s="132"/>
      <c r="T43" s="32" t="n">
        <v>0.04</v>
      </c>
      <c r="U43" s="32" t="n">
        <v>0.04</v>
      </c>
      <c r="V43" s="32"/>
      <c r="W43" s="32"/>
      <c r="X43" s="125" t="n">
        <v>16.1</v>
      </c>
      <c r="Y43" s="125" t="n">
        <v>15.8</v>
      </c>
      <c r="Z43" s="32" t="n">
        <v>1.07</v>
      </c>
      <c r="AA43" s="32" t="n">
        <v>1.05</v>
      </c>
      <c r="AB43" s="125" t="n">
        <v>6.3</v>
      </c>
      <c r="AC43" s="125" t="n">
        <v>6.1</v>
      </c>
      <c r="AD43" s="124"/>
      <c r="AE43" s="124"/>
      <c r="AF43" s="124"/>
      <c r="AG43" s="124"/>
      <c r="AH43" s="124"/>
      <c r="AI43" s="124"/>
      <c r="AJ43" s="124"/>
      <c r="AK43" s="124"/>
      <c r="AL43" s="124"/>
      <c r="AM43" s="124"/>
      <c r="AN43" s="124"/>
      <c r="AO43" s="124"/>
      <c r="AP43" s="124"/>
      <c r="AQ43" s="124"/>
      <c r="AR43" s="124"/>
      <c r="AS43" s="124"/>
      <c r="AT43" s="124"/>
      <c r="AU43" s="124"/>
      <c r="AV43" s="124"/>
      <c r="AW43" s="124"/>
      <c r="AX43" s="124"/>
      <c r="AY43" s="124"/>
      <c r="AZ43" s="124"/>
      <c r="BA43" s="124"/>
      <c r="BB43" s="136"/>
    </row>
    <row r="44" customFormat="false" ht="15.6" hidden="false" customHeight="false" outlineLevel="0" collapsed="false">
      <c r="A44" s="111" t="n">
        <f aca="false">IF(ISBLANK(VLOOKUP(D44,#REF!,3)),0,1)</f>
        <v>1</v>
      </c>
      <c r="B44" s="112" t="n">
        <f aca="false">IF(ISBLANK(D44),0,IF(ISBLANK(E44),0,IF(ISBLANK(F44),0,1)))</f>
        <v>0</v>
      </c>
      <c r="C44" s="128" t="n">
        <v>10</v>
      </c>
      <c r="D44" s="129"/>
      <c r="E44" s="129"/>
      <c r="F44" s="137"/>
      <c r="G44" s="117" t="s">
        <v>99</v>
      </c>
      <c r="H44" s="131" t="n">
        <v>50</v>
      </c>
      <c r="I44" s="188" t="n">
        <v>50.5</v>
      </c>
      <c r="J44" s="132"/>
      <c r="K44" s="133"/>
      <c r="L44" s="133"/>
      <c r="M44" s="133"/>
      <c r="N44" s="134"/>
      <c r="O44" s="133"/>
      <c r="P44" s="132"/>
      <c r="Q44" s="132"/>
      <c r="R44" s="132"/>
      <c r="S44" s="132"/>
      <c r="T44" s="32" t="n">
        <v>0.18</v>
      </c>
      <c r="U44" s="32" t="n">
        <v>0.18</v>
      </c>
      <c r="V44" s="32"/>
      <c r="W44" s="32"/>
      <c r="X44" s="125" t="n">
        <v>5.2</v>
      </c>
      <c r="Y44" s="125" t="n">
        <v>5</v>
      </c>
      <c r="Z44" s="32" t="n">
        <v>0.53</v>
      </c>
      <c r="AA44" s="32" t="n">
        <v>0.52</v>
      </c>
      <c r="AB44" s="125" t="n">
        <v>3.9</v>
      </c>
      <c r="AC44" s="125" t="n">
        <v>3.8</v>
      </c>
      <c r="AD44" s="124"/>
      <c r="AE44" s="124"/>
      <c r="AF44" s="124"/>
      <c r="AG44" s="124"/>
      <c r="AH44" s="124"/>
      <c r="AI44" s="124"/>
      <c r="AJ44" s="124"/>
      <c r="AK44" s="124"/>
      <c r="AL44" s="124"/>
      <c r="AM44" s="124"/>
      <c r="AN44" s="124"/>
      <c r="AO44" s="124"/>
      <c r="AP44" s="124"/>
      <c r="AQ44" s="124"/>
      <c r="AR44" s="124"/>
      <c r="AS44" s="124"/>
      <c r="AT44" s="124"/>
      <c r="AU44" s="124"/>
      <c r="AV44" s="124"/>
      <c r="AW44" s="124"/>
      <c r="AX44" s="124"/>
      <c r="AY44" s="124"/>
      <c r="AZ44" s="124"/>
      <c r="BA44" s="124"/>
      <c r="BB44" s="136"/>
    </row>
    <row r="45" customFormat="false" ht="15.6" hidden="false" customHeight="false" outlineLevel="0" collapsed="false">
      <c r="A45" s="111" t="n">
        <f aca="false">IF(ISBLANK(VLOOKUP(D45,#REF!,3)),0,1)</f>
        <v>1</v>
      </c>
      <c r="B45" s="112" t="n">
        <f aca="false">IF(ISBLANK(D45),0,IF(ISBLANK(E45),0,IF(ISBLANK(F45),0,1)))</f>
        <v>0</v>
      </c>
      <c r="C45" s="128" t="n">
        <v>11</v>
      </c>
      <c r="D45" s="129"/>
      <c r="E45" s="129"/>
      <c r="F45" s="137"/>
      <c r="G45" s="117" t="s">
        <v>99</v>
      </c>
      <c r="H45" s="131" t="n">
        <v>20</v>
      </c>
      <c r="I45" s="188" t="n">
        <v>20.6</v>
      </c>
      <c r="J45" s="132"/>
      <c r="K45" s="133"/>
      <c r="L45" s="133"/>
      <c r="M45" s="133"/>
      <c r="N45" s="134"/>
      <c r="O45" s="133"/>
      <c r="P45" s="132"/>
      <c r="Q45" s="132"/>
      <c r="R45" s="132"/>
      <c r="S45" s="132"/>
      <c r="T45" s="32" t="n">
        <v>0.02</v>
      </c>
      <c r="U45" s="32" t="n">
        <v>0.01</v>
      </c>
      <c r="V45" s="32"/>
      <c r="W45" s="32"/>
      <c r="X45" s="125" t="n">
        <v>0</v>
      </c>
      <c r="Y45" s="125" t="n">
        <v>0</v>
      </c>
      <c r="Z45" s="32" t="n">
        <v>0.05</v>
      </c>
      <c r="AA45" s="32" t="n">
        <v>0.04</v>
      </c>
      <c r="AB45" s="125" t="n">
        <v>2.1</v>
      </c>
      <c r="AC45" s="125" t="n">
        <v>2.1</v>
      </c>
      <c r="AD45" s="124"/>
      <c r="AE45" s="124"/>
      <c r="AF45" s="124"/>
      <c r="AG45" s="124"/>
      <c r="AH45" s="124"/>
      <c r="AI45" s="124"/>
      <c r="AJ45" s="124"/>
      <c r="AK45" s="124"/>
      <c r="AL45" s="124"/>
      <c r="AM45" s="124"/>
      <c r="AN45" s="124"/>
      <c r="AO45" s="124"/>
      <c r="AP45" s="124"/>
      <c r="AQ45" s="124"/>
      <c r="AR45" s="124"/>
      <c r="AS45" s="124"/>
      <c r="AT45" s="124"/>
      <c r="AU45" s="124"/>
      <c r="AV45" s="124"/>
      <c r="AW45" s="124"/>
      <c r="AX45" s="124"/>
      <c r="AY45" s="124"/>
      <c r="AZ45" s="124"/>
      <c r="BA45" s="124"/>
      <c r="BB45" s="136"/>
    </row>
    <row r="46" customFormat="false" ht="15.6" hidden="false" customHeight="false" outlineLevel="0" collapsed="false">
      <c r="A46" s="111" t="n">
        <f aca="false">IF(ISBLANK(VLOOKUP(D46,#REF!,3)),0,1)</f>
        <v>1</v>
      </c>
      <c r="B46" s="112" t="n">
        <f aca="false">IF(ISBLANK(D46),0,IF(ISBLANK(E46),0,IF(ISBLANK(F46),0,1)))</f>
        <v>0</v>
      </c>
      <c r="C46" s="128" t="n">
        <v>12</v>
      </c>
      <c r="D46" s="142"/>
      <c r="E46" s="142"/>
      <c r="F46" s="143"/>
      <c r="G46" s="117" t="s">
        <v>99</v>
      </c>
      <c r="H46" s="131" t="n">
        <v>0</v>
      </c>
      <c r="I46" s="188" t="n">
        <v>2.4</v>
      </c>
      <c r="J46" s="132"/>
      <c r="K46" s="146" t="str">
        <f aca="false">IF(ISBLANK(E46),"",(0.000824493-(0.0000040899*E46)+(0.000000076438*E46^2)-(0.00000000082467*E46^3)+(0.0000000000053875*E46^4)))</f>
        <v/>
      </c>
      <c r="L46" s="146" t="str">
        <f aca="false">IF(ISBLANK(E46),"",(-0.00000572466+(0.00000010227*E46)-(0.0000000016546*E46^2)))</f>
        <v/>
      </c>
      <c r="M46" s="146" t="str">
        <f aca="false">IF(ISBLANK(E46),"",IF(ISBLANK(G46),(O46+(K46*35)+(L46*35^1.5)+(0.00000048314*35^2)),(O46+(K46*G46)+(L46*G46^1.5)+(0.00000048314*G46^2))))</f>
        <v/>
      </c>
      <c r="N46" s="147" t="str">
        <f aca="false">IF(ISBLANK(D46),"",IF(ISBLANK(G46),J46*(1+0.00001*(35-20)),J46*(1+0.00001*(G46-20))))</f>
        <v/>
      </c>
      <c r="O46" s="146" t="str">
        <f aca="false">IF(ISBLANK(E46),"",(0.999842594+(0.00006793952*E46)-(0.00000909529*E46^2)+(0.0000001001685*E46^3)-(0.000000001120083*E46^4)+(0.000000000006536332*E46^5)))</f>
        <v/>
      </c>
      <c r="P46" s="132"/>
      <c r="Q46" s="132"/>
      <c r="R46" s="132"/>
      <c r="S46" s="132"/>
      <c r="T46" s="32" t="n">
        <v>0.02</v>
      </c>
      <c r="U46" s="32" t="n">
        <v>0.01</v>
      </c>
      <c r="V46" s="32"/>
      <c r="W46" s="32"/>
      <c r="X46" s="125" t="n">
        <v>0</v>
      </c>
      <c r="Y46" s="125" t="n">
        <v>0</v>
      </c>
      <c r="Z46" s="32" t="n">
        <v>0.1</v>
      </c>
      <c r="AA46" s="32" t="n">
        <v>0.09</v>
      </c>
      <c r="AB46" s="125" t="n">
        <v>1.9</v>
      </c>
      <c r="AC46" s="125" t="n">
        <v>1.9</v>
      </c>
      <c r="AD46" s="124"/>
      <c r="AE46" s="124"/>
      <c r="AF46" s="124"/>
      <c r="AG46" s="124"/>
      <c r="AH46" s="124"/>
      <c r="AI46" s="124"/>
      <c r="AJ46" s="124"/>
      <c r="AK46" s="124"/>
      <c r="AL46" s="124"/>
      <c r="AM46" s="124"/>
      <c r="AN46" s="124"/>
      <c r="AO46" s="124"/>
      <c r="AP46" s="124"/>
      <c r="AQ46" s="124"/>
      <c r="AR46" s="124"/>
      <c r="AS46" s="124"/>
      <c r="AT46" s="124"/>
      <c r="AU46" s="124"/>
      <c r="AV46" s="124"/>
      <c r="AW46" s="124"/>
      <c r="AX46" s="124"/>
      <c r="AY46" s="124"/>
      <c r="AZ46" s="124"/>
      <c r="BA46" s="124"/>
      <c r="BB46" s="136"/>
    </row>
    <row r="47" customFormat="false" ht="15.6" hidden="false" customHeight="false" outlineLevel="0" collapsed="false">
      <c r="A47" s="111" t="n">
        <f aca="false">IF(ISBLANK(VLOOKUP(D47,#REF!,3)),0,1)</f>
        <v>1</v>
      </c>
      <c r="B47" s="112" t="n">
        <f aca="false">IF(ISBLANK(D47),0,IF(ISBLANK(E47),0,IF(ISBLANK(F47),0,1)))</f>
        <v>0</v>
      </c>
      <c r="C47" s="128" t="n">
        <v>13</v>
      </c>
      <c r="D47" s="151"/>
      <c r="E47" s="151"/>
      <c r="F47" s="152"/>
      <c r="G47" s="153"/>
      <c r="H47" s="151"/>
      <c r="I47" s="151"/>
      <c r="J47" s="132"/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32"/>
      <c r="Q47" s="132"/>
      <c r="R47" s="132"/>
      <c r="S47" s="132"/>
      <c r="T47" s="124"/>
      <c r="U47" s="124"/>
      <c r="V47" s="124"/>
      <c r="W47" s="124"/>
      <c r="X47" s="12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24"/>
      <c r="AJ47" s="124"/>
      <c r="AK47" s="124"/>
      <c r="AL47" s="124"/>
      <c r="AM47" s="124"/>
      <c r="AN47" s="124"/>
      <c r="AO47" s="124"/>
      <c r="AP47" s="124"/>
      <c r="AQ47" s="124"/>
      <c r="AR47" s="124"/>
      <c r="AS47" s="124"/>
      <c r="AT47" s="124"/>
      <c r="AU47" s="124"/>
      <c r="AV47" s="124"/>
      <c r="AW47" s="124"/>
      <c r="AX47" s="124"/>
      <c r="AY47" s="124"/>
      <c r="AZ47" s="124"/>
      <c r="BA47" s="124"/>
      <c r="BB47" s="136"/>
    </row>
    <row r="48" customFormat="false" ht="15.6" hidden="false" customHeight="false" outlineLevel="0" collapsed="false">
      <c r="A48" s="111" t="n">
        <f aca="false">IF(ISBLANK(VLOOKUP(D48,#REF!,3)),0,1)</f>
        <v>1</v>
      </c>
      <c r="B48" s="112" t="n">
        <f aca="false">IF(ISBLANK(D48),0,IF(ISBLANK(E48),0,IF(ISBLANK(F48),0,1)))</f>
        <v>0</v>
      </c>
      <c r="C48" s="128" t="n">
        <v>14</v>
      </c>
      <c r="D48" s="151"/>
      <c r="E48" s="151"/>
      <c r="F48" s="152"/>
      <c r="G48" s="153"/>
      <c r="H48" s="151"/>
      <c r="I48" s="151"/>
      <c r="J48" s="132"/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32"/>
      <c r="Q48" s="132"/>
      <c r="R48" s="132"/>
      <c r="S48" s="132"/>
      <c r="T48" s="124"/>
      <c r="U48" s="124"/>
      <c r="V48" s="124"/>
      <c r="W48" s="124"/>
      <c r="X48" s="124"/>
      <c r="Y48" s="124"/>
      <c r="Z48" s="124"/>
      <c r="AA48" s="124"/>
      <c r="AB48" s="124"/>
      <c r="AC48" s="124"/>
      <c r="AD48" s="124"/>
      <c r="AE48" s="124"/>
      <c r="AF48" s="124"/>
      <c r="AG48" s="124"/>
      <c r="AH48" s="124"/>
      <c r="AI48" s="124"/>
      <c r="AJ48" s="124"/>
      <c r="AK48" s="124"/>
      <c r="AL48" s="124"/>
      <c r="AM48" s="124"/>
      <c r="AN48" s="124"/>
      <c r="AO48" s="124"/>
      <c r="AP48" s="124"/>
      <c r="AQ48" s="124"/>
      <c r="AR48" s="124"/>
      <c r="AS48" s="124"/>
      <c r="AT48" s="124"/>
      <c r="AU48" s="124"/>
      <c r="AV48" s="124"/>
      <c r="AW48" s="124"/>
      <c r="AX48" s="124"/>
      <c r="AY48" s="124"/>
      <c r="AZ48" s="124"/>
      <c r="BA48" s="124"/>
      <c r="BB48" s="136"/>
    </row>
    <row r="49" customFormat="false" ht="15.6" hidden="false" customHeight="false" outlineLevel="0" collapsed="false">
      <c r="A49" s="111" t="n">
        <f aca="false">IF(ISBLANK(VLOOKUP(D49,#REF!,3)),0,1)</f>
        <v>1</v>
      </c>
      <c r="B49" s="112" t="n">
        <f aca="false">IF(ISBLANK(D49),0,IF(ISBLANK(E49),0,IF(ISBLANK(F49),0,1)))</f>
        <v>0</v>
      </c>
      <c r="C49" s="128" t="n">
        <v>15</v>
      </c>
      <c r="D49" s="151"/>
      <c r="E49" s="151"/>
      <c r="F49" s="152"/>
      <c r="G49" s="156"/>
      <c r="H49" s="151"/>
      <c r="I49" s="151"/>
      <c r="J49" s="132"/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32"/>
      <c r="Q49" s="132"/>
      <c r="R49" s="132"/>
      <c r="S49" s="132"/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24"/>
      <c r="AE49" s="124"/>
      <c r="AF49" s="124"/>
      <c r="AG49" s="124"/>
      <c r="AH49" s="124"/>
      <c r="AI49" s="124"/>
      <c r="AJ49" s="124"/>
      <c r="AK49" s="124"/>
      <c r="AL49" s="124"/>
      <c r="AM49" s="124"/>
      <c r="AN49" s="124"/>
      <c r="AO49" s="124"/>
      <c r="AP49" s="124"/>
      <c r="AQ49" s="124"/>
      <c r="AR49" s="124"/>
      <c r="AS49" s="124"/>
      <c r="AT49" s="124"/>
      <c r="AU49" s="124"/>
      <c r="AV49" s="124"/>
      <c r="AW49" s="124"/>
      <c r="AX49" s="124"/>
      <c r="AY49" s="124"/>
      <c r="AZ49" s="124"/>
      <c r="BA49" s="124"/>
      <c r="BB49" s="136"/>
    </row>
    <row r="50" customFormat="false" ht="15.6" hidden="false" customHeight="false" outlineLevel="0" collapsed="false">
      <c r="A50" s="111" t="n">
        <f aca="false">IF(ISBLANK(VLOOKUP(D50,#REF!,3)),0,1)</f>
        <v>1</v>
      </c>
      <c r="B50" s="112" t="n">
        <f aca="false">IF(ISBLANK(D50),0,IF(ISBLANK(E50),0,IF(ISBLANK(F50),0,1)))</f>
        <v>0</v>
      </c>
      <c r="C50" s="128" t="n">
        <v>16</v>
      </c>
      <c r="D50" s="151"/>
      <c r="E50" s="151"/>
      <c r="F50" s="152"/>
      <c r="G50" s="156"/>
      <c r="H50" s="151"/>
      <c r="I50" s="151"/>
      <c r="J50" s="132"/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32"/>
      <c r="Q50" s="132"/>
      <c r="R50" s="132"/>
      <c r="S50" s="132"/>
      <c r="T50" s="124"/>
      <c r="U50" s="124"/>
      <c r="V50" s="124"/>
      <c r="W50" s="124"/>
      <c r="X50" s="124"/>
      <c r="Y50" s="124"/>
      <c r="Z50" s="124"/>
      <c r="AA50" s="124"/>
      <c r="AB50" s="124"/>
      <c r="AC50" s="124"/>
      <c r="AD50" s="124"/>
      <c r="AE50" s="124"/>
      <c r="AF50" s="124"/>
      <c r="AG50" s="124"/>
      <c r="AH50" s="124"/>
      <c r="AI50" s="124"/>
      <c r="AJ50" s="124"/>
      <c r="AK50" s="124"/>
      <c r="AL50" s="124"/>
      <c r="AM50" s="124"/>
      <c r="AN50" s="124"/>
      <c r="AO50" s="124"/>
      <c r="AP50" s="124"/>
      <c r="AQ50" s="124"/>
      <c r="AR50" s="124"/>
      <c r="AS50" s="124"/>
      <c r="AT50" s="124"/>
      <c r="AU50" s="124"/>
      <c r="AV50" s="124"/>
      <c r="AW50" s="124"/>
      <c r="AX50" s="124"/>
      <c r="AY50" s="124"/>
      <c r="AZ50" s="124"/>
      <c r="BA50" s="124"/>
      <c r="BB50" s="136"/>
    </row>
    <row r="51" customFormat="false" ht="15.6" hidden="false" customHeight="false" outlineLevel="0" collapsed="false">
      <c r="A51" s="111" t="n">
        <f aca="false">IF(ISBLANK(VLOOKUP(D51,#REF!,3)),0,1)</f>
        <v>1</v>
      </c>
      <c r="B51" s="112" t="n">
        <f aca="false">IF(ISBLANK(D51),0,IF(ISBLANK(E51),0,IF(ISBLANK(F51),0,1)))</f>
        <v>0</v>
      </c>
      <c r="C51" s="128" t="n">
        <v>17</v>
      </c>
      <c r="D51" s="151"/>
      <c r="E51" s="151"/>
      <c r="F51" s="152"/>
      <c r="G51" s="156"/>
      <c r="H51" s="151"/>
      <c r="I51" s="151"/>
      <c r="J51" s="132"/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32"/>
      <c r="Q51" s="132"/>
      <c r="R51" s="132"/>
      <c r="S51" s="132"/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24"/>
      <c r="AE51" s="124"/>
      <c r="AF51" s="124"/>
      <c r="AG51" s="124"/>
      <c r="AH51" s="124"/>
      <c r="AI51" s="124"/>
      <c r="AJ51" s="124"/>
      <c r="AK51" s="124"/>
      <c r="AL51" s="124"/>
      <c r="AM51" s="124"/>
      <c r="AN51" s="124"/>
      <c r="AO51" s="124"/>
      <c r="AP51" s="124"/>
      <c r="AQ51" s="124"/>
      <c r="AR51" s="124"/>
      <c r="AS51" s="124"/>
      <c r="AT51" s="124"/>
      <c r="AU51" s="124"/>
      <c r="AV51" s="124"/>
      <c r="AW51" s="124"/>
      <c r="AX51" s="124"/>
      <c r="AY51" s="124"/>
      <c r="AZ51" s="124"/>
      <c r="BA51" s="124"/>
      <c r="BB51" s="136"/>
    </row>
    <row r="52" customFormat="false" ht="15.6" hidden="false" customHeight="false" outlineLevel="0" collapsed="false">
      <c r="A52" s="111" t="n">
        <f aca="false">IF(ISBLANK(VLOOKUP(D52,#REF!,3)),0,1)</f>
        <v>1</v>
      </c>
      <c r="B52" s="112" t="n">
        <f aca="false">IF(ISBLANK(D52),0,IF(ISBLANK(E52),0,IF(ISBLANK(F52),0,1)))</f>
        <v>0</v>
      </c>
      <c r="C52" s="128" t="n">
        <v>18</v>
      </c>
      <c r="D52" s="151"/>
      <c r="E52" s="151"/>
      <c r="F52" s="152"/>
      <c r="G52" s="156"/>
      <c r="H52" s="151"/>
      <c r="I52" s="151"/>
      <c r="J52" s="132"/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32"/>
      <c r="Q52" s="132"/>
      <c r="R52" s="132"/>
      <c r="S52" s="132"/>
      <c r="T52" s="124"/>
      <c r="U52" s="124"/>
      <c r="V52" s="124"/>
      <c r="W52" s="124"/>
      <c r="X52" s="124"/>
      <c r="Y52" s="124"/>
      <c r="Z52" s="124"/>
      <c r="AA52" s="124"/>
      <c r="AB52" s="124"/>
      <c r="AC52" s="124"/>
      <c r="AD52" s="124"/>
      <c r="AE52" s="124"/>
      <c r="AF52" s="124"/>
      <c r="AG52" s="124"/>
      <c r="AH52" s="124"/>
      <c r="AI52" s="124"/>
      <c r="AJ52" s="124"/>
      <c r="AK52" s="124"/>
      <c r="AL52" s="124"/>
      <c r="AM52" s="124"/>
      <c r="AN52" s="124"/>
      <c r="AO52" s="124"/>
      <c r="AP52" s="124"/>
      <c r="AQ52" s="124"/>
      <c r="AR52" s="124"/>
      <c r="AS52" s="124"/>
      <c r="AT52" s="124"/>
      <c r="AU52" s="124"/>
      <c r="AV52" s="124"/>
      <c r="AW52" s="124"/>
      <c r="AX52" s="124"/>
      <c r="AY52" s="124"/>
      <c r="AZ52" s="124"/>
      <c r="BA52" s="124"/>
      <c r="BB52" s="136"/>
    </row>
    <row r="53" customFormat="false" ht="15.6" hidden="false" customHeight="false" outlineLevel="0" collapsed="false">
      <c r="A53" s="111" t="n">
        <f aca="false">IF(ISBLANK(VLOOKUP(D53,#REF!,3)),0,1)</f>
        <v>1</v>
      </c>
      <c r="B53" s="112" t="n">
        <f aca="false">IF(ISBLANK(D53),0,IF(ISBLANK(E53),0,IF(ISBLANK(F53),0,1)))</f>
        <v>0</v>
      </c>
      <c r="C53" s="128" t="n">
        <v>19</v>
      </c>
      <c r="D53" s="151"/>
      <c r="E53" s="151"/>
      <c r="F53" s="152"/>
      <c r="G53" s="156"/>
      <c r="H53" s="151"/>
      <c r="I53" s="151"/>
      <c r="J53" s="132"/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32"/>
      <c r="Q53" s="132"/>
      <c r="R53" s="132"/>
      <c r="S53" s="132"/>
      <c r="T53" s="124"/>
      <c r="U53" s="124"/>
      <c r="V53" s="124"/>
      <c r="W53" s="124"/>
      <c r="X53" s="12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24"/>
      <c r="AJ53" s="124"/>
      <c r="AK53" s="124"/>
      <c r="AL53" s="124"/>
      <c r="AM53" s="124"/>
      <c r="AN53" s="124"/>
      <c r="AO53" s="124"/>
      <c r="AP53" s="124"/>
      <c r="AQ53" s="124"/>
      <c r="AR53" s="124"/>
      <c r="AS53" s="124"/>
      <c r="AT53" s="124"/>
      <c r="AU53" s="124"/>
      <c r="AV53" s="124"/>
      <c r="AW53" s="124"/>
      <c r="AX53" s="124"/>
      <c r="AY53" s="124"/>
      <c r="AZ53" s="124"/>
      <c r="BA53" s="124"/>
      <c r="BB53" s="136"/>
    </row>
    <row r="54" customFormat="false" ht="15.6" hidden="false" customHeight="false" outlineLevel="0" collapsed="false">
      <c r="A54" s="111" t="n">
        <f aca="false">IF(ISBLANK(VLOOKUP(D54,#REF!,3)),0,1)</f>
        <v>1</v>
      </c>
      <c r="B54" s="112" t="n">
        <f aca="false">IF(ISBLANK(D54),0,IF(ISBLANK(E54),0,IF(ISBLANK(F54),0,1)))</f>
        <v>0</v>
      </c>
      <c r="C54" s="128" t="n">
        <v>20</v>
      </c>
      <c r="D54" s="151"/>
      <c r="E54" s="151"/>
      <c r="F54" s="152"/>
      <c r="G54" s="156"/>
      <c r="H54" s="151"/>
      <c r="I54" s="151"/>
      <c r="J54" s="132"/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32"/>
      <c r="Q54" s="132"/>
      <c r="R54" s="132"/>
      <c r="S54" s="132"/>
      <c r="T54" s="124"/>
      <c r="U54" s="124"/>
      <c r="V54" s="124"/>
      <c r="W54" s="124"/>
      <c r="X54" s="124"/>
      <c r="Y54" s="124"/>
      <c r="Z54" s="124"/>
      <c r="AA54" s="124"/>
      <c r="AB54" s="124"/>
      <c r="AC54" s="124"/>
      <c r="AD54" s="124"/>
      <c r="AE54" s="124"/>
      <c r="AF54" s="124"/>
      <c r="AG54" s="124"/>
      <c r="AH54" s="124"/>
      <c r="AI54" s="124"/>
      <c r="AJ54" s="124"/>
      <c r="AK54" s="124"/>
      <c r="AL54" s="124"/>
      <c r="AM54" s="124"/>
      <c r="AN54" s="124"/>
      <c r="AO54" s="124"/>
      <c r="AP54" s="124"/>
      <c r="AQ54" s="124"/>
      <c r="AR54" s="124"/>
      <c r="AS54" s="124"/>
      <c r="AT54" s="124"/>
      <c r="AU54" s="124"/>
      <c r="AV54" s="124"/>
      <c r="AW54" s="124"/>
      <c r="AX54" s="124"/>
      <c r="AY54" s="124"/>
      <c r="AZ54" s="124"/>
      <c r="BA54" s="124"/>
      <c r="BB54" s="136"/>
    </row>
    <row r="55" customFormat="false" ht="15.6" hidden="false" customHeight="false" outlineLevel="0" collapsed="false">
      <c r="A55" s="111" t="n">
        <f aca="false">IF(ISBLANK(VLOOKUP(D55,#REF!,3)),0,1)</f>
        <v>1</v>
      </c>
      <c r="B55" s="112" t="n">
        <f aca="false">IF(ISBLANK(D55),0,IF(ISBLANK(E55),0,IF(ISBLANK(F55),0,1)))</f>
        <v>0</v>
      </c>
      <c r="C55" s="128" t="n">
        <v>21</v>
      </c>
      <c r="D55" s="151"/>
      <c r="E55" s="151"/>
      <c r="F55" s="152"/>
      <c r="G55" s="156"/>
      <c r="H55" s="151"/>
      <c r="I55" s="151"/>
      <c r="J55" s="132"/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32"/>
      <c r="Q55" s="132"/>
      <c r="R55" s="132"/>
      <c r="S55" s="132"/>
      <c r="T55" s="124"/>
      <c r="U55" s="124"/>
      <c r="V55" s="124"/>
      <c r="W55" s="124"/>
      <c r="X55" s="124"/>
      <c r="Y55" s="124"/>
      <c r="Z55" s="124"/>
      <c r="AA55" s="124"/>
      <c r="AB55" s="124"/>
      <c r="AC55" s="124"/>
      <c r="AD55" s="124"/>
      <c r="AE55" s="124"/>
      <c r="AF55" s="124"/>
      <c r="AG55" s="124"/>
      <c r="AH55" s="124"/>
      <c r="AI55" s="124"/>
      <c r="AJ55" s="124"/>
      <c r="AK55" s="124"/>
      <c r="AL55" s="124"/>
      <c r="AM55" s="124"/>
      <c r="AN55" s="124"/>
      <c r="AO55" s="124"/>
      <c r="AP55" s="124"/>
      <c r="AQ55" s="124"/>
      <c r="AR55" s="124"/>
      <c r="AS55" s="124"/>
      <c r="AT55" s="124"/>
      <c r="AU55" s="124"/>
      <c r="AV55" s="124"/>
      <c r="AW55" s="124"/>
      <c r="AX55" s="124"/>
      <c r="AY55" s="124"/>
      <c r="AZ55" s="124"/>
      <c r="BA55" s="124"/>
      <c r="BB55" s="136"/>
    </row>
    <row r="56" customFormat="false" ht="15.6" hidden="false" customHeight="false" outlineLevel="0" collapsed="false">
      <c r="A56" s="111" t="n">
        <f aca="false">IF(ISBLANK(VLOOKUP(D56,#REF!,3)),0,1)</f>
        <v>1</v>
      </c>
      <c r="B56" s="112" t="n">
        <f aca="false">IF(ISBLANK(D56),0,IF(ISBLANK(E56),0,IF(ISBLANK(F56),0,1)))</f>
        <v>0</v>
      </c>
      <c r="C56" s="128" t="n">
        <v>22</v>
      </c>
      <c r="D56" s="151"/>
      <c r="E56" s="151"/>
      <c r="F56" s="152"/>
      <c r="G56" s="156"/>
      <c r="H56" s="151"/>
      <c r="I56" s="151"/>
      <c r="J56" s="132"/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32"/>
      <c r="Q56" s="132"/>
      <c r="R56" s="132"/>
      <c r="S56" s="132"/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24"/>
      <c r="AE56" s="124"/>
      <c r="AF56" s="124"/>
      <c r="AG56" s="124"/>
      <c r="AH56" s="124"/>
      <c r="AI56" s="124"/>
      <c r="AJ56" s="124"/>
      <c r="AK56" s="124"/>
      <c r="AL56" s="124"/>
      <c r="AM56" s="124"/>
      <c r="AN56" s="124"/>
      <c r="AO56" s="124"/>
      <c r="AP56" s="124"/>
      <c r="AQ56" s="124"/>
      <c r="AR56" s="124"/>
      <c r="AS56" s="124"/>
      <c r="AT56" s="124"/>
      <c r="AU56" s="124"/>
      <c r="AV56" s="124"/>
      <c r="AW56" s="124"/>
      <c r="AX56" s="124"/>
      <c r="AY56" s="124"/>
      <c r="AZ56" s="124"/>
      <c r="BA56" s="124"/>
      <c r="BB56" s="136"/>
    </row>
    <row r="57" customFormat="false" ht="15.6" hidden="false" customHeight="false" outlineLevel="0" collapsed="false">
      <c r="A57" s="111" t="n">
        <f aca="false">IF(ISBLANK(VLOOKUP(D57,#REF!,3)),0,1)</f>
        <v>1</v>
      </c>
      <c r="B57" s="112" t="n">
        <f aca="false">IF(ISBLANK(D57),0,IF(ISBLANK(E57),0,IF(ISBLANK(F57),0,1)))</f>
        <v>0</v>
      </c>
      <c r="C57" s="128" t="n">
        <v>23</v>
      </c>
      <c r="D57" s="151"/>
      <c r="E57" s="151"/>
      <c r="F57" s="152"/>
      <c r="G57" s="156"/>
      <c r="H57" s="151"/>
      <c r="I57" s="151"/>
      <c r="J57" s="132"/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32"/>
      <c r="Q57" s="132"/>
      <c r="R57" s="132"/>
      <c r="S57" s="132"/>
      <c r="T57" s="124"/>
      <c r="U57" s="124"/>
      <c r="V57" s="124"/>
      <c r="W57" s="124"/>
      <c r="X57" s="124"/>
      <c r="Y57" s="124"/>
      <c r="Z57" s="124"/>
      <c r="AA57" s="124"/>
      <c r="AB57" s="124"/>
      <c r="AC57" s="124"/>
      <c r="AD57" s="124"/>
      <c r="AE57" s="124"/>
      <c r="AF57" s="124"/>
      <c r="AG57" s="124"/>
      <c r="AH57" s="124"/>
      <c r="AI57" s="124"/>
      <c r="AJ57" s="124"/>
      <c r="AK57" s="124"/>
      <c r="AL57" s="124"/>
      <c r="AM57" s="124"/>
      <c r="AN57" s="124"/>
      <c r="AO57" s="124"/>
      <c r="AP57" s="124"/>
      <c r="AQ57" s="124"/>
      <c r="AR57" s="124"/>
      <c r="AS57" s="124"/>
      <c r="AT57" s="124"/>
      <c r="AU57" s="124"/>
      <c r="AV57" s="124"/>
      <c r="AW57" s="124"/>
      <c r="AX57" s="124"/>
      <c r="AY57" s="124"/>
      <c r="AZ57" s="124"/>
      <c r="BA57" s="124"/>
      <c r="BB57" s="136"/>
    </row>
    <row r="58" customFormat="false" ht="16.2" hidden="false" customHeight="false" outlineLevel="0" collapsed="false">
      <c r="A58" s="111" t="n">
        <f aca="false">IF(ISBLANK(VLOOKUP(D58,#REF!,3)),0,1)</f>
        <v>1</v>
      </c>
      <c r="B58" s="112" t="n">
        <f aca="false">IF(ISBLANK(D58),0,IF(ISBLANK(E58),0,IF(ISBLANK(F58),0,1)))</f>
        <v>0</v>
      </c>
      <c r="C58" s="158" t="n">
        <v>24</v>
      </c>
      <c r="D58" s="159"/>
      <c r="E58" s="159"/>
      <c r="F58" s="160"/>
      <c r="G58" s="161"/>
      <c r="H58" s="159"/>
      <c r="I58" s="159"/>
      <c r="J58" s="132"/>
      <c r="K58" s="163" t="str">
        <f aca="false">IF(ISBLANK(E58),"",(0.000824493-(0.0000040899*E58)+(0.000000076438*E58^2)-(0.00000000082467*E58^3)+(0.0000000000053875*E58^4)))</f>
        <v/>
      </c>
      <c r="L58" s="163" t="str">
        <f aca="false">IF(ISBLANK(E58),"",(-0.00000572466+(0.00000010227*E58)-(0.0000000016546*E58^2)))</f>
        <v/>
      </c>
      <c r="M58" s="163" t="str">
        <f aca="false">IF(ISBLANK(E58),"",IF(ISBLANK(G58),(O58+(K58*35)+(L58*35^1.5)+(0.00000048314*35^2)),(O58+(K58*G58)+(L58*G58^1.5)+(0.00000048314*G58^2))))</f>
        <v/>
      </c>
      <c r="N58" s="164" t="str">
        <f aca="false">IF(ISBLANK(D58),"",IF(ISBLANK(G58),J58*(1+0.00001*(35-20)),J58*(1+0.00001*(G58-20))))</f>
        <v/>
      </c>
      <c r="O58" s="163" t="str">
        <f aca="false">IF(ISBLANK(E58),"",(0.999842594+(0.00006793952*E58)-(0.00000909529*E58^2)+(0.0000001001685*E58^3)-(0.000000001120083*E58^4)+(0.000000000006536332*E58^5)))</f>
        <v/>
      </c>
      <c r="P58" s="132"/>
      <c r="Q58" s="132"/>
      <c r="R58" s="132"/>
      <c r="S58" s="132"/>
      <c r="T58" s="168"/>
      <c r="U58" s="168"/>
      <c r="V58" s="168"/>
      <c r="W58" s="168"/>
      <c r="X58" s="168"/>
      <c r="Y58" s="168"/>
      <c r="Z58" s="168"/>
      <c r="AA58" s="168"/>
      <c r="AB58" s="168"/>
      <c r="AC58" s="168"/>
      <c r="AD58" s="168"/>
      <c r="AE58" s="168"/>
      <c r="AF58" s="168"/>
      <c r="AG58" s="168"/>
      <c r="AH58" s="168"/>
      <c r="AI58" s="168"/>
      <c r="AJ58" s="168"/>
      <c r="AK58" s="168"/>
      <c r="AL58" s="168"/>
      <c r="AM58" s="168"/>
      <c r="AN58" s="168"/>
      <c r="AO58" s="168"/>
      <c r="AP58" s="168"/>
      <c r="AQ58" s="168"/>
      <c r="AR58" s="168"/>
      <c r="AS58" s="168"/>
      <c r="AT58" s="168"/>
      <c r="AU58" s="168"/>
      <c r="AV58" s="168"/>
      <c r="AW58" s="168"/>
      <c r="AX58" s="168"/>
      <c r="AY58" s="168"/>
      <c r="AZ58" s="168"/>
      <c r="BA58" s="168"/>
      <c r="BB58" s="169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F1" colorId="64" zoomScale="100" zoomScaleNormal="100" zoomScalePageLayoutView="100" workbookViewId="0">
      <selection pane="topLeft" activeCell="J12" activeCellId="0" sqref="J12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8178137651822"/>
    <col collapsed="false" hidden="false" max="32" min="32" style="0" width="9.10526315789474"/>
    <col collapsed="false" hidden="false" max="33" min="33" style="0" width="26.5668016194332"/>
    <col collapsed="false" hidden="false" max="34" min="34" style="0" width="12.8542510121458"/>
    <col collapsed="false" hidden="false" max="35" min="35" style="0" width="11.1417004048583"/>
    <col collapsed="false" hidden="false" max="36" min="36" style="0" width="14.5668016194332"/>
    <col collapsed="false" hidden="false" max="37" min="37" style="0" width="12.2105263157895"/>
    <col collapsed="false" hidden="false" max="38" min="38" style="0" width="26.995951417004"/>
    <col collapsed="false" hidden="false" max="39" min="39" style="0" width="14.6761133603239"/>
    <col collapsed="false" hidden="false" max="40" min="40" style="0" width="11.3562753036437"/>
    <col collapsed="false" hidden="false" max="41" min="41" style="0" width="12.5344129554656"/>
    <col collapsed="false" hidden="false" max="42" min="42" style="0" width="10.7125506072875"/>
    <col collapsed="false" hidden="false" max="43" min="43" style="0" width="6.31983805668016"/>
    <col collapsed="false" hidden="false" max="44" min="44" style="0" width="19.7085020242915"/>
    <col collapsed="false" hidden="false" max="45" min="45" style="0" width="13.0688259109312"/>
    <col collapsed="false" hidden="false" max="46" min="46" style="0" width="17.7813765182186"/>
    <col collapsed="false" hidden="false" max="47" min="47" style="0" width="14.6761133603239"/>
    <col collapsed="false" hidden="false" max="48" min="48" style="0" width="13.6032388663968"/>
    <col collapsed="false" hidden="false" max="49" min="49" style="0" width="13.7125506072874"/>
    <col collapsed="false" hidden="false" max="50" min="50" style="0" width="19.9230769230769"/>
    <col collapsed="false" hidden="false" max="51" min="51" style="0" width="13.2834008097166"/>
    <col collapsed="false" hidden="false" max="52" min="52" style="0" width="17.6761133603239"/>
    <col collapsed="false" hidden="false" max="53" min="53" style="0" width="13.3886639676113"/>
    <col collapsed="false" hidden="false" max="54" min="54" style="0" width="12.6396761133603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33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38728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6</v>
      </c>
      <c r="J9" s="29" t="n">
        <v>1.12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6°1,12</v>
      </c>
      <c r="P9" s="29" t="s">
        <v>13</v>
      </c>
      <c r="Q9" s="33" t="n">
        <f aca="false">IF(ISBLANK(I9),"",IF(ISBLANK(J9),"",IF(J9&gt;60,"ERREUR !!",O11*(I9+(J9/60)))))</f>
        <v>6.01866666666667</v>
      </c>
      <c r="R9" s="33"/>
    </row>
    <row r="10" customFormat="false" ht="15" hidden="false" customHeight="true" outlineLevel="0" collapsed="false">
      <c r="C10" s="21"/>
      <c r="D10" s="18"/>
      <c r="G10" s="27" t="s">
        <v>16</v>
      </c>
      <c r="H10" s="27"/>
      <c r="I10" s="28" t="n">
        <v>2</v>
      </c>
      <c r="J10" s="29" t="n">
        <v>21.34</v>
      </c>
      <c r="K10" s="30" t="s">
        <v>12</v>
      </c>
      <c r="L10" s="31" t="str">
        <f aca="false">IF(P10=N9,"+","-")</f>
        <v>+</v>
      </c>
      <c r="M10" s="30" t="s">
        <v>15</v>
      </c>
      <c r="N10" s="30" t="s">
        <v>17</v>
      </c>
      <c r="O10" s="34" t="str">
        <f aca="false">IF(ISBLANK(I10),"",IF(ISBLANK(J10),"",IF(P10=N10,L10&amp;N12,N12)))</f>
        <v>2°21,34</v>
      </c>
      <c r="P10" s="29" t="s">
        <v>14</v>
      </c>
      <c r="Q10" s="33" t="n">
        <f aca="false">IF(ISBLANK(I10),"",IF(ISBLANK(J10),"",IF(J10&gt;60,"ERREUR !!",O12*(I10+(J10/60)))))</f>
        <v>2.35566666666667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38554</v>
      </c>
      <c r="K11" s="38"/>
      <c r="L11" s="38"/>
      <c r="M11" s="38"/>
      <c r="N11" s="39" t="str">
        <f aca="false">I9&amp;"°"&amp;J9</f>
        <v>6°1,12</v>
      </c>
      <c r="O11" s="40" t="n">
        <f aca="false">IF(P9=M10,-1,1)</f>
        <v>1</v>
      </c>
      <c r="P11" s="41" t="str">
        <f aca="false">TEXT(J11,"aaaa-mm-jj")&amp;"T"&amp;TEXT(J12,"hh:mm:ss")&amp;"z"</f>
        <v>2009-07-22T13:00:00z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0.541666666666667</v>
      </c>
      <c r="K12" s="45"/>
      <c r="L12" s="45"/>
      <c r="M12" s="45"/>
      <c r="N12" s="46" t="str">
        <f aca="false">I10&amp;"°"&amp;J10</f>
        <v>2°21,34</v>
      </c>
      <c r="O12" s="40" t="n">
        <f aca="false">IF(P10=N10,-1,1)</f>
        <v>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e">
        <f aca="false">$P$24*($P$18/#REF!)</f>
        <v>#REF!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e">
        <f aca="false">5+#REF!</f>
        <v>#REF!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e">
        <f aca="false">P20*(1+0.00001*(R14-20))</f>
        <v>#REF!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e">
        <f aca="false">MAX(#REF!)</f>
        <v>#VALUE!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e">
        <f aca="false">2+(#REF!+#REF!)</f>
        <v>#REF!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52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53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IF(ISBLANK(VLOOKUP(D35,#REF!,3)),0,1)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s">
        <v>99</v>
      </c>
      <c r="H35" s="118" t="n">
        <v>1000</v>
      </c>
      <c r="I35" s="189" t="n">
        <v>1000.61</v>
      </c>
      <c r="J35" s="120"/>
      <c r="K35" s="121"/>
      <c r="L35" s="121"/>
      <c r="M35" s="121"/>
      <c r="N35" s="122"/>
      <c r="O35" s="121"/>
      <c r="P35" s="132"/>
      <c r="Q35" s="120"/>
      <c r="R35" s="120"/>
      <c r="S35" s="120"/>
      <c r="T35" s="32" t="n">
        <v>0.35</v>
      </c>
      <c r="U35" s="32" t="n">
        <v>0.35</v>
      </c>
      <c r="V35" s="32"/>
      <c r="W35" s="32"/>
      <c r="X35" s="125" t="n">
        <v>30.2</v>
      </c>
      <c r="Y35" s="125" t="n">
        <v>29.5</v>
      </c>
      <c r="Z35" s="32" t="n">
        <v>2.02</v>
      </c>
      <c r="AA35" s="32" t="n">
        <v>1.98</v>
      </c>
      <c r="AB35" s="125" t="n">
        <v>32.5</v>
      </c>
      <c r="AC35" s="125" t="n">
        <v>31.7</v>
      </c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7"/>
    </row>
    <row r="36" customFormat="false" ht="15.6" hidden="false" customHeight="false" outlineLevel="0" collapsed="false">
      <c r="A36" s="111" t="n">
        <f aca="false">IF(ISBLANK(VLOOKUP(D36,#REF!,3)),0,1)</f>
        <v>1</v>
      </c>
      <c r="B36" s="112" t="n">
        <f aca="false">IF(ISBLANK(D36),0,IF(ISBLANK(E36),0,IF(ISBLANK(F36),0,1)))</f>
        <v>0</v>
      </c>
      <c r="C36" s="128" t="n">
        <v>2</v>
      </c>
      <c r="D36" s="129"/>
      <c r="E36" s="129"/>
      <c r="F36" s="130"/>
      <c r="G36" s="117" t="s">
        <v>99</v>
      </c>
      <c r="H36" s="131" t="n">
        <v>800</v>
      </c>
      <c r="I36" s="189" t="n">
        <v>799.28</v>
      </c>
      <c r="J36" s="132"/>
      <c r="K36" s="133"/>
      <c r="L36" s="133"/>
      <c r="M36" s="133"/>
      <c r="N36" s="134"/>
      <c r="O36" s="133"/>
      <c r="P36" s="132"/>
      <c r="Q36" s="132"/>
      <c r="R36" s="132"/>
      <c r="S36" s="132"/>
      <c r="T36" s="32" t="n">
        <v>0.39</v>
      </c>
      <c r="U36" s="32" t="n">
        <v>0.38</v>
      </c>
      <c r="V36" s="32"/>
      <c r="W36" s="32"/>
      <c r="X36" s="125" t="n">
        <v>33</v>
      </c>
      <c r="Y36" s="125" t="n">
        <v>32.2</v>
      </c>
      <c r="Z36" s="32" t="n">
        <v>2.15</v>
      </c>
      <c r="AA36" s="32" t="n">
        <v>2.1</v>
      </c>
      <c r="AB36" s="125" t="n">
        <v>31.1</v>
      </c>
      <c r="AC36" s="125" t="n">
        <v>30.4</v>
      </c>
      <c r="AD36" s="124"/>
      <c r="AE36" s="124"/>
      <c r="AF36" s="124"/>
      <c r="AG36" s="124"/>
      <c r="AH36" s="124"/>
      <c r="AI36" s="124"/>
      <c r="AJ36" s="124"/>
      <c r="AK36" s="124"/>
      <c r="AL36" s="124"/>
      <c r="AM36" s="124"/>
      <c r="AN36" s="124"/>
      <c r="AO36" s="124"/>
      <c r="AP36" s="124"/>
      <c r="AQ36" s="124"/>
      <c r="AR36" s="124"/>
      <c r="AS36" s="124"/>
      <c r="AT36" s="124"/>
      <c r="AU36" s="124"/>
      <c r="AV36" s="124"/>
      <c r="AW36" s="124"/>
      <c r="AX36" s="124"/>
      <c r="AY36" s="124"/>
      <c r="AZ36" s="124"/>
      <c r="BA36" s="124"/>
      <c r="BB36" s="136"/>
    </row>
    <row r="37" customFormat="false" ht="15.6" hidden="false" customHeight="false" outlineLevel="0" collapsed="false">
      <c r="A37" s="111" t="n">
        <f aca="false">IF(ISBLANK(VLOOKUP(D37,#REF!,3)),0,1)</f>
        <v>1</v>
      </c>
      <c r="B37" s="112" t="n">
        <f aca="false">IF(ISBLANK(D37),0,IF(ISBLANK(E37),0,IF(ISBLANK(F37),0,1)))</f>
        <v>0</v>
      </c>
      <c r="C37" s="128" t="n">
        <v>3</v>
      </c>
      <c r="D37" s="129"/>
      <c r="E37" s="129"/>
      <c r="F37" s="137"/>
      <c r="G37" s="117" t="s">
        <v>99</v>
      </c>
      <c r="H37" s="131" t="n">
        <v>800</v>
      </c>
      <c r="I37" s="189" t="n">
        <v>799.32</v>
      </c>
      <c r="J37" s="132"/>
      <c r="K37" s="133"/>
      <c r="L37" s="133"/>
      <c r="M37" s="133"/>
      <c r="N37" s="134"/>
      <c r="O37" s="133"/>
      <c r="P37" s="132"/>
      <c r="Q37" s="132"/>
      <c r="R37" s="132"/>
      <c r="S37" s="132"/>
      <c r="T37" s="32" t="n">
        <v>0.47</v>
      </c>
      <c r="U37" s="32" t="n">
        <v>0.46</v>
      </c>
      <c r="V37" s="32"/>
      <c r="W37" s="32"/>
      <c r="X37" s="125" t="n">
        <v>32</v>
      </c>
      <c r="Y37" s="125" t="n">
        <v>31.3</v>
      </c>
      <c r="Z37" s="32" t="n">
        <v>2.07</v>
      </c>
      <c r="AA37" s="32" t="n">
        <v>2.02</v>
      </c>
      <c r="AB37" s="125" t="n">
        <v>31.9</v>
      </c>
      <c r="AC37" s="125" t="n">
        <v>31.2</v>
      </c>
      <c r="AD37" s="124"/>
      <c r="AE37" s="124"/>
      <c r="AF37" s="124"/>
      <c r="AG37" s="124"/>
      <c r="AH37" s="124"/>
      <c r="AI37" s="124"/>
      <c r="AJ37" s="124"/>
      <c r="AK37" s="124"/>
      <c r="AL37" s="124"/>
      <c r="AM37" s="124"/>
      <c r="AN37" s="124"/>
      <c r="AO37" s="124"/>
      <c r="AP37" s="124"/>
      <c r="AQ37" s="124"/>
      <c r="AR37" s="124"/>
      <c r="AS37" s="124"/>
      <c r="AT37" s="124"/>
      <c r="AU37" s="124"/>
      <c r="AV37" s="124"/>
      <c r="AW37" s="124"/>
      <c r="AX37" s="124"/>
      <c r="AY37" s="124"/>
      <c r="AZ37" s="124"/>
      <c r="BA37" s="124"/>
      <c r="BB37" s="136"/>
    </row>
    <row r="38" customFormat="false" ht="15.6" hidden="false" customHeight="false" outlineLevel="0" collapsed="false">
      <c r="A38" s="111" t="n">
        <f aca="false">IF(ISBLANK(VLOOKUP(D38,#REF!,3)),0,1)</f>
        <v>1</v>
      </c>
      <c r="B38" s="112" t="n">
        <f aca="false">IF(ISBLANK(D38),0,IF(ISBLANK(E38),0,IF(ISBLANK(F38),0,1)))</f>
        <v>0</v>
      </c>
      <c r="C38" s="128" t="n">
        <v>4</v>
      </c>
      <c r="D38" s="138"/>
      <c r="E38" s="138"/>
      <c r="F38" s="139"/>
      <c r="G38" s="117" t="s">
        <v>99</v>
      </c>
      <c r="H38" s="131" t="n">
        <v>650</v>
      </c>
      <c r="I38" s="189" t="n">
        <v>648.79</v>
      </c>
      <c r="J38" s="132"/>
      <c r="K38" s="133"/>
      <c r="L38" s="133"/>
      <c r="M38" s="133"/>
      <c r="N38" s="134"/>
      <c r="O38" s="133"/>
      <c r="P38" s="132"/>
      <c r="Q38" s="132"/>
      <c r="R38" s="132"/>
      <c r="S38" s="132"/>
      <c r="T38" s="32" t="n">
        <v>0.65</v>
      </c>
      <c r="U38" s="32" t="n">
        <v>0.64</v>
      </c>
      <c r="V38" s="32"/>
      <c r="W38" s="32"/>
      <c r="X38" s="125" t="n">
        <v>31.9</v>
      </c>
      <c r="Y38" s="125" t="n">
        <v>31.1</v>
      </c>
      <c r="Z38" s="32" t="n">
        <v>1.95</v>
      </c>
      <c r="AA38" s="32" t="n">
        <v>1.91</v>
      </c>
      <c r="AB38" s="125" t="n">
        <v>27.4</v>
      </c>
      <c r="AC38" s="125" t="n">
        <v>26.8</v>
      </c>
      <c r="AD38" s="124"/>
      <c r="AE38" s="124"/>
      <c r="AF38" s="124"/>
      <c r="AG38" s="124"/>
      <c r="AH38" s="124"/>
      <c r="AI38" s="124"/>
      <c r="AJ38" s="124"/>
      <c r="AK38" s="124"/>
      <c r="AL38" s="124"/>
      <c r="AM38" s="124"/>
      <c r="AN38" s="124"/>
      <c r="AO38" s="124"/>
      <c r="AP38" s="124"/>
      <c r="AQ38" s="124"/>
      <c r="AR38" s="124"/>
      <c r="AS38" s="124"/>
      <c r="AT38" s="124"/>
      <c r="AU38" s="124"/>
      <c r="AV38" s="124"/>
      <c r="AW38" s="124"/>
      <c r="AX38" s="124"/>
      <c r="AY38" s="124"/>
      <c r="AZ38" s="124"/>
      <c r="BA38" s="124"/>
      <c r="BB38" s="136"/>
    </row>
    <row r="39" customFormat="false" ht="15.6" hidden="false" customHeight="false" outlineLevel="0" collapsed="false">
      <c r="A39" s="111" t="n">
        <f aca="false">IF(ISBLANK(VLOOKUP(D39,#REF!,3)),0,1)</f>
        <v>1</v>
      </c>
      <c r="B39" s="112" t="n">
        <f aca="false">IF(ISBLANK(D39),0,IF(ISBLANK(E39),0,IF(ISBLANK(F39),0,1)))</f>
        <v>0</v>
      </c>
      <c r="C39" s="128" t="n">
        <v>5</v>
      </c>
      <c r="D39" s="129"/>
      <c r="E39" s="129"/>
      <c r="F39" s="137"/>
      <c r="G39" s="117" t="s">
        <v>99</v>
      </c>
      <c r="H39" s="131" t="n">
        <v>500</v>
      </c>
      <c r="I39" s="189" t="n">
        <v>499.17</v>
      </c>
      <c r="J39" s="132"/>
      <c r="K39" s="133"/>
      <c r="L39" s="133"/>
      <c r="M39" s="133"/>
      <c r="N39" s="134"/>
      <c r="O39" s="133"/>
      <c r="P39" s="132"/>
      <c r="Q39" s="132"/>
      <c r="R39" s="132"/>
      <c r="S39" s="132"/>
      <c r="T39" s="32" t="n">
        <v>0.33</v>
      </c>
      <c r="U39" s="32" t="n">
        <v>0.32</v>
      </c>
      <c r="V39" s="32"/>
      <c r="W39" s="32"/>
      <c r="X39" s="125" t="n">
        <v>33.2</v>
      </c>
      <c r="Y39" s="125" t="n">
        <v>32.4</v>
      </c>
      <c r="Z39" s="32" t="n">
        <v>1.99</v>
      </c>
      <c r="AA39" s="32" t="n">
        <v>1.94</v>
      </c>
      <c r="AB39" s="125" t="n">
        <v>22.6</v>
      </c>
      <c r="AC39" s="125" t="n">
        <v>22.1</v>
      </c>
      <c r="AD39" s="124"/>
      <c r="AE39" s="124"/>
      <c r="AF39" s="124"/>
      <c r="AG39" s="124"/>
      <c r="AH39" s="124"/>
      <c r="AI39" s="124"/>
      <c r="AJ39" s="124"/>
      <c r="AK39" s="124"/>
      <c r="AL39" s="124"/>
      <c r="AM39" s="124"/>
      <c r="AN39" s="124"/>
      <c r="AO39" s="124"/>
      <c r="AP39" s="124"/>
      <c r="AQ39" s="124"/>
      <c r="AR39" s="124"/>
      <c r="AS39" s="124"/>
      <c r="AT39" s="124"/>
      <c r="AU39" s="124"/>
      <c r="AV39" s="124"/>
      <c r="AW39" s="124"/>
      <c r="AX39" s="124"/>
      <c r="AY39" s="124"/>
      <c r="AZ39" s="124"/>
      <c r="BA39" s="124"/>
      <c r="BB39" s="136"/>
    </row>
    <row r="40" customFormat="false" ht="15.6" hidden="false" customHeight="false" outlineLevel="0" collapsed="false">
      <c r="A40" s="111" t="n">
        <f aca="false">IF(ISBLANK(VLOOKUP(D40,#REF!,3)),0,1)</f>
        <v>1</v>
      </c>
      <c r="B40" s="112" t="n">
        <f aca="false">IF(ISBLANK(D40),0,IF(ISBLANK(E40),0,IF(ISBLANK(F40),0,1)))</f>
        <v>0</v>
      </c>
      <c r="C40" s="128" t="n">
        <v>6</v>
      </c>
      <c r="D40" s="129"/>
      <c r="E40" s="129"/>
      <c r="F40" s="137"/>
      <c r="G40" s="117" t="s">
        <v>99</v>
      </c>
      <c r="H40" s="131" t="n">
        <v>300</v>
      </c>
      <c r="I40" s="189" t="n">
        <v>299.48</v>
      </c>
      <c r="J40" s="132"/>
      <c r="K40" s="133"/>
      <c r="L40" s="133"/>
      <c r="M40" s="133"/>
      <c r="N40" s="134"/>
      <c r="O40" s="133"/>
      <c r="P40" s="132"/>
      <c r="Q40" s="132"/>
      <c r="R40" s="132"/>
      <c r="S40" s="132"/>
      <c r="T40" s="32" t="n">
        <v>0.25</v>
      </c>
      <c r="U40" s="32" t="n">
        <v>0.24</v>
      </c>
      <c r="V40" s="32"/>
      <c r="W40" s="32"/>
      <c r="X40" s="125" t="n">
        <v>29.4</v>
      </c>
      <c r="Y40" s="125" t="n">
        <v>28.7</v>
      </c>
      <c r="Z40" s="32" t="n">
        <v>1.66</v>
      </c>
      <c r="AA40" s="32" t="n">
        <v>1.62</v>
      </c>
      <c r="AB40" s="125" t="n">
        <v>15</v>
      </c>
      <c r="AC40" s="125" t="n">
        <v>14.7</v>
      </c>
      <c r="AD40" s="124"/>
      <c r="AE40" s="124"/>
      <c r="AF40" s="124"/>
      <c r="AG40" s="124"/>
      <c r="AH40" s="124"/>
      <c r="AI40" s="124"/>
      <c r="AJ40" s="124"/>
      <c r="AK40" s="124"/>
      <c r="AL40" s="124"/>
      <c r="AM40" s="124"/>
      <c r="AN40" s="124"/>
      <c r="AO40" s="124"/>
      <c r="AP40" s="124"/>
      <c r="AQ40" s="124"/>
      <c r="AR40" s="124"/>
      <c r="AS40" s="124"/>
      <c r="AT40" s="124"/>
      <c r="AU40" s="124"/>
      <c r="AV40" s="124"/>
      <c r="AW40" s="124"/>
      <c r="AX40" s="124"/>
      <c r="AY40" s="124"/>
      <c r="AZ40" s="124"/>
      <c r="BA40" s="124"/>
      <c r="BB40" s="136"/>
    </row>
    <row r="41" customFormat="false" ht="15.6" hidden="false" customHeight="false" outlineLevel="0" collapsed="false">
      <c r="A41" s="111" t="n">
        <f aca="false">IF(ISBLANK(VLOOKUP(D41,#REF!,3)),0,1)</f>
        <v>1</v>
      </c>
      <c r="B41" s="112" t="n">
        <f aca="false">IF(ISBLANK(D41),0,IF(ISBLANK(E41),0,IF(ISBLANK(F41),0,1)))</f>
        <v>0</v>
      </c>
      <c r="C41" s="128" t="n">
        <v>7</v>
      </c>
      <c r="D41" s="129"/>
      <c r="E41" s="129"/>
      <c r="F41" s="137"/>
      <c r="G41" s="117" t="s">
        <v>99</v>
      </c>
      <c r="H41" s="131" t="n">
        <v>200</v>
      </c>
      <c r="I41" s="189" t="n">
        <v>198.72</v>
      </c>
      <c r="J41" s="132"/>
      <c r="K41" s="133"/>
      <c r="L41" s="133"/>
      <c r="M41" s="133"/>
      <c r="N41" s="134"/>
      <c r="O41" s="133"/>
      <c r="P41" s="132"/>
      <c r="Q41" s="132"/>
      <c r="R41" s="132"/>
      <c r="S41" s="132"/>
      <c r="T41" s="32" t="n">
        <v>0.3</v>
      </c>
      <c r="U41" s="32" t="n">
        <v>0.29</v>
      </c>
      <c r="V41" s="32"/>
      <c r="W41" s="32"/>
      <c r="X41" s="125" t="n">
        <v>23</v>
      </c>
      <c r="Y41" s="125" t="n">
        <v>22.5</v>
      </c>
      <c r="Z41" s="32" t="n">
        <v>1.35</v>
      </c>
      <c r="AA41" s="32" t="n">
        <v>1.31</v>
      </c>
      <c r="AB41" s="125" t="n">
        <v>11.9</v>
      </c>
      <c r="AC41" s="125" t="n">
        <v>11.6</v>
      </c>
      <c r="AD41" s="124"/>
      <c r="AE41" s="124"/>
      <c r="AF41" s="124"/>
      <c r="AG41" s="124"/>
      <c r="AH41" s="124"/>
      <c r="AI41" s="124"/>
      <c r="AJ41" s="124"/>
      <c r="AK41" s="124"/>
      <c r="AL41" s="124"/>
      <c r="AM41" s="124"/>
      <c r="AN41" s="124"/>
      <c r="AO41" s="124"/>
      <c r="AP41" s="124"/>
      <c r="AQ41" s="124"/>
      <c r="AR41" s="124"/>
      <c r="AS41" s="124"/>
      <c r="AT41" s="124"/>
      <c r="AU41" s="124"/>
      <c r="AV41" s="124"/>
      <c r="AW41" s="124"/>
      <c r="AX41" s="124"/>
      <c r="AY41" s="124"/>
      <c r="AZ41" s="124"/>
      <c r="BA41" s="124"/>
      <c r="BB41" s="136"/>
    </row>
    <row r="42" customFormat="false" ht="15.6" hidden="false" customHeight="false" outlineLevel="0" collapsed="false">
      <c r="A42" s="111" t="n">
        <f aca="false">IF(ISBLANK(VLOOKUP(D42,#REF!,3)),0,1)</f>
        <v>1</v>
      </c>
      <c r="B42" s="112" t="n">
        <f aca="false">IF(ISBLANK(D42),0,IF(ISBLANK(E42),0,IF(ISBLANK(F42),0,1)))</f>
        <v>0</v>
      </c>
      <c r="C42" s="128" t="n">
        <v>8</v>
      </c>
      <c r="D42" s="129"/>
      <c r="E42" s="129"/>
      <c r="F42" s="137"/>
      <c r="G42" s="117" t="s">
        <v>99</v>
      </c>
      <c r="H42" s="131" t="n">
        <v>100</v>
      </c>
      <c r="I42" s="189" t="n">
        <v>100.35</v>
      </c>
      <c r="J42" s="132"/>
      <c r="K42" s="133"/>
      <c r="L42" s="133"/>
      <c r="M42" s="133"/>
      <c r="N42" s="134"/>
      <c r="O42" s="133"/>
      <c r="P42" s="132"/>
      <c r="Q42" s="132"/>
      <c r="R42" s="132"/>
      <c r="S42" s="132"/>
      <c r="T42" s="32" t="n">
        <v>0.52</v>
      </c>
      <c r="U42" s="32" t="n">
        <v>0.5</v>
      </c>
      <c r="V42" s="32"/>
      <c r="W42" s="32"/>
      <c r="X42" s="125" t="n">
        <v>11.8</v>
      </c>
      <c r="Y42" s="125" t="n">
        <v>11.5</v>
      </c>
      <c r="Z42" s="32" t="n">
        <v>0.65</v>
      </c>
      <c r="AA42" s="32" t="n">
        <v>0.63</v>
      </c>
      <c r="AB42" s="125" t="n">
        <v>6.9</v>
      </c>
      <c r="AC42" s="125" t="n">
        <v>6.7</v>
      </c>
      <c r="AD42" s="124"/>
      <c r="AE42" s="124"/>
      <c r="AF42" s="124"/>
      <c r="AG42" s="124"/>
      <c r="AH42" s="124"/>
      <c r="AI42" s="124"/>
      <c r="AJ42" s="124"/>
      <c r="AK42" s="124"/>
      <c r="AL42" s="124"/>
      <c r="AM42" s="124"/>
      <c r="AN42" s="124"/>
      <c r="AO42" s="124"/>
      <c r="AP42" s="124"/>
      <c r="AQ42" s="124"/>
      <c r="AR42" s="124"/>
      <c r="AS42" s="124"/>
      <c r="AT42" s="124"/>
      <c r="AU42" s="124"/>
      <c r="AV42" s="124"/>
      <c r="AW42" s="124"/>
      <c r="AX42" s="124"/>
      <c r="AY42" s="124"/>
      <c r="AZ42" s="124"/>
      <c r="BA42" s="124"/>
      <c r="BB42" s="136"/>
    </row>
    <row r="43" customFormat="false" ht="15.6" hidden="false" customHeight="false" outlineLevel="0" collapsed="false">
      <c r="A43" s="111" t="n">
        <f aca="false">IF(ISBLANK(VLOOKUP(D43,#REF!,3)),0,1)</f>
        <v>1</v>
      </c>
      <c r="B43" s="112" t="n">
        <f aca="false">IF(ISBLANK(D43),0,IF(ISBLANK(E43),0,IF(ISBLANK(F43),0,1)))</f>
        <v>0</v>
      </c>
      <c r="C43" s="128" t="n">
        <v>9</v>
      </c>
      <c r="D43" s="129"/>
      <c r="E43" s="129"/>
      <c r="F43" s="137"/>
      <c r="G43" s="117" t="s">
        <v>99</v>
      </c>
      <c r="H43" s="131" t="n">
        <v>80</v>
      </c>
      <c r="I43" s="189" t="n">
        <v>80.68</v>
      </c>
      <c r="J43" s="132"/>
      <c r="K43" s="133"/>
      <c r="L43" s="133"/>
      <c r="M43" s="133"/>
      <c r="N43" s="134"/>
      <c r="O43" s="133"/>
      <c r="P43" s="132"/>
      <c r="Q43" s="132"/>
      <c r="R43" s="132"/>
      <c r="S43" s="132"/>
      <c r="T43" s="32" t="n">
        <v>0.01</v>
      </c>
      <c r="U43" s="32" t="n">
        <v>0.01</v>
      </c>
      <c r="V43" s="32"/>
      <c r="W43" s="32"/>
      <c r="X43" s="125" t="n">
        <v>15</v>
      </c>
      <c r="Y43" s="125" t="n">
        <v>14.6</v>
      </c>
      <c r="Z43" s="32" t="n">
        <v>0.93</v>
      </c>
      <c r="AA43" s="32" t="n">
        <v>0.91</v>
      </c>
      <c r="AB43" s="125" t="n">
        <v>6.8</v>
      </c>
      <c r="AC43" s="125" t="n">
        <v>6.6</v>
      </c>
      <c r="AD43" s="124"/>
      <c r="AE43" s="124"/>
      <c r="AF43" s="124"/>
      <c r="AG43" s="124"/>
      <c r="AH43" s="124"/>
      <c r="AI43" s="124"/>
      <c r="AJ43" s="124"/>
      <c r="AK43" s="124"/>
      <c r="AL43" s="124"/>
      <c r="AM43" s="124"/>
      <c r="AN43" s="124"/>
      <c r="AO43" s="124"/>
      <c r="AP43" s="124"/>
      <c r="AQ43" s="124"/>
      <c r="AR43" s="124"/>
      <c r="AS43" s="124"/>
      <c r="AT43" s="124"/>
      <c r="AU43" s="124"/>
      <c r="AV43" s="124"/>
      <c r="AW43" s="124"/>
      <c r="AX43" s="124"/>
      <c r="AY43" s="124"/>
      <c r="AZ43" s="124"/>
      <c r="BA43" s="124"/>
      <c r="BB43" s="136"/>
    </row>
    <row r="44" customFormat="false" ht="15.6" hidden="false" customHeight="false" outlineLevel="0" collapsed="false">
      <c r="A44" s="111" t="n">
        <f aca="false">IF(ISBLANK(VLOOKUP(D44,#REF!,3)),0,1)</f>
        <v>1</v>
      </c>
      <c r="B44" s="112" t="n">
        <f aca="false">IF(ISBLANK(D44),0,IF(ISBLANK(E44),0,IF(ISBLANK(F44),0,1)))</f>
        <v>0</v>
      </c>
      <c r="C44" s="128" t="n">
        <v>10</v>
      </c>
      <c r="D44" s="129"/>
      <c r="E44" s="129"/>
      <c r="F44" s="137"/>
      <c r="G44" s="117" t="s">
        <v>99</v>
      </c>
      <c r="H44" s="131" t="n">
        <v>50</v>
      </c>
      <c r="I44" s="189" t="n">
        <v>50.72</v>
      </c>
      <c r="J44" s="132"/>
      <c r="K44" s="133"/>
      <c r="L44" s="133"/>
      <c r="M44" s="133"/>
      <c r="N44" s="134"/>
      <c r="O44" s="133"/>
      <c r="P44" s="132"/>
      <c r="Q44" s="132"/>
      <c r="R44" s="132"/>
      <c r="S44" s="132"/>
      <c r="T44" s="32" t="n">
        <v>0.22</v>
      </c>
      <c r="U44" s="32" t="n">
        <v>0.21</v>
      </c>
      <c r="V44" s="32"/>
      <c r="W44" s="32"/>
      <c r="X44" s="125" t="n">
        <v>4.4</v>
      </c>
      <c r="Y44" s="125" t="n">
        <v>4.3</v>
      </c>
      <c r="Z44" s="32" t="n">
        <v>0.45</v>
      </c>
      <c r="AA44" s="32" t="n">
        <v>0.44</v>
      </c>
      <c r="AB44" s="125" t="n">
        <v>4.3</v>
      </c>
      <c r="AC44" s="125" t="n">
        <v>4.2</v>
      </c>
      <c r="AD44" s="124"/>
      <c r="AE44" s="124"/>
      <c r="AF44" s="124"/>
      <c r="AG44" s="124"/>
      <c r="AH44" s="124"/>
      <c r="AI44" s="124"/>
      <c r="AJ44" s="124"/>
      <c r="AK44" s="124"/>
      <c r="AL44" s="124"/>
      <c r="AM44" s="124"/>
      <c r="AN44" s="124"/>
      <c r="AO44" s="124"/>
      <c r="AP44" s="124"/>
      <c r="AQ44" s="124"/>
      <c r="AR44" s="124"/>
      <c r="AS44" s="124"/>
      <c r="AT44" s="124"/>
      <c r="AU44" s="124"/>
      <c r="AV44" s="124"/>
      <c r="AW44" s="124"/>
      <c r="AX44" s="124"/>
      <c r="AY44" s="124"/>
      <c r="AZ44" s="124"/>
      <c r="BA44" s="124"/>
      <c r="BB44" s="136"/>
    </row>
    <row r="45" customFormat="false" ht="15.6" hidden="false" customHeight="false" outlineLevel="0" collapsed="false">
      <c r="A45" s="111" t="n">
        <f aca="false">IF(ISBLANK(VLOOKUP(D45,#REF!,3)),0,1)</f>
        <v>1</v>
      </c>
      <c r="B45" s="112" t="n">
        <f aca="false">IF(ISBLANK(D45),0,IF(ISBLANK(E45),0,IF(ISBLANK(F45),0,1)))</f>
        <v>0</v>
      </c>
      <c r="C45" s="128" t="n">
        <v>11</v>
      </c>
      <c r="D45" s="129"/>
      <c r="E45" s="129"/>
      <c r="F45" s="137"/>
      <c r="G45" s="117" t="s">
        <v>99</v>
      </c>
      <c r="H45" s="131" t="n">
        <v>20</v>
      </c>
      <c r="I45" s="189" t="n">
        <v>19.58</v>
      </c>
      <c r="J45" s="132"/>
      <c r="K45" s="133"/>
      <c r="L45" s="133"/>
      <c r="M45" s="133"/>
      <c r="N45" s="134"/>
      <c r="O45" s="133"/>
      <c r="P45" s="132"/>
      <c r="Q45" s="132"/>
      <c r="R45" s="132"/>
      <c r="S45" s="132"/>
      <c r="T45" s="32" t="n">
        <v>0</v>
      </c>
      <c r="U45" s="32" t="n">
        <v>0</v>
      </c>
      <c r="V45" s="32"/>
      <c r="W45" s="32"/>
      <c r="X45" s="125" t="n">
        <v>0</v>
      </c>
      <c r="Y45" s="125" t="n">
        <v>0</v>
      </c>
      <c r="Z45" s="32" t="n">
        <v>0</v>
      </c>
      <c r="AA45" s="32" t="n">
        <v>0</v>
      </c>
      <c r="AB45" s="125" t="n">
        <v>2.2</v>
      </c>
      <c r="AC45" s="125" t="n">
        <v>2.1</v>
      </c>
      <c r="AD45" s="124"/>
      <c r="AE45" s="124"/>
      <c r="AF45" s="124"/>
      <c r="AG45" s="124"/>
      <c r="AH45" s="124"/>
      <c r="AI45" s="124"/>
      <c r="AJ45" s="124"/>
      <c r="AK45" s="124"/>
      <c r="AL45" s="124"/>
      <c r="AM45" s="124"/>
      <c r="AN45" s="124"/>
      <c r="AO45" s="124"/>
      <c r="AP45" s="124"/>
      <c r="AQ45" s="124"/>
      <c r="AR45" s="124"/>
      <c r="AS45" s="124"/>
      <c r="AT45" s="124"/>
      <c r="AU45" s="124"/>
      <c r="AV45" s="124"/>
      <c r="AW45" s="124"/>
      <c r="AX45" s="124"/>
      <c r="AY45" s="124"/>
      <c r="AZ45" s="124"/>
      <c r="BA45" s="124"/>
      <c r="BB45" s="136"/>
    </row>
    <row r="46" customFormat="false" ht="15.6" hidden="false" customHeight="false" outlineLevel="0" collapsed="false">
      <c r="A46" s="111" t="n">
        <f aca="false">IF(ISBLANK(VLOOKUP(D46,#REF!,3)),0,1)</f>
        <v>1</v>
      </c>
      <c r="B46" s="112" t="n">
        <f aca="false">IF(ISBLANK(D46),0,IF(ISBLANK(E46),0,IF(ISBLANK(F46),0,1)))</f>
        <v>0</v>
      </c>
      <c r="C46" s="128" t="n">
        <v>12</v>
      </c>
      <c r="D46" s="142"/>
      <c r="E46" s="142"/>
      <c r="F46" s="143"/>
      <c r="G46" s="117" t="s">
        <v>99</v>
      </c>
      <c r="H46" s="131" t="n">
        <v>0</v>
      </c>
      <c r="I46" s="189" t="n">
        <v>3.21</v>
      </c>
      <c r="J46" s="132"/>
      <c r="K46" s="146" t="str">
        <f aca="false">IF(ISBLANK(E46),"",(0.000824493-(0.0000040899*E46)+(0.000000076438*E46^2)-(0.00000000082467*E46^3)+(0.0000000000053875*E46^4)))</f>
        <v/>
      </c>
      <c r="L46" s="146" t="str">
        <f aca="false">IF(ISBLANK(E46),"",(-0.00000572466+(0.00000010227*E46)-(0.0000000016546*E46^2)))</f>
        <v/>
      </c>
      <c r="M46" s="146" t="str">
        <f aca="false">IF(ISBLANK(E46),"",IF(ISBLANK(G46),(O46+(K46*35)+(L46*35^1.5)+(0.00000048314*35^2)),(O46+(K46*G46)+(L46*G46^1.5)+(0.00000048314*G46^2))))</f>
        <v/>
      </c>
      <c r="N46" s="147" t="str">
        <f aca="false">IF(ISBLANK(D46),"",IF(ISBLANK(G46),J46*(1+0.00001*(35-20)),J46*(1+0.00001*(G46-20))))</f>
        <v/>
      </c>
      <c r="O46" s="146" t="str">
        <f aca="false">IF(ISBLANK(E46),"",(0.999842594+(0.00006793952*E46)-(0.00000909529*E46^2)+(0.0000001001685*E46^3)-(0.000000001120083*E46^4)+(0.000000000006536332*E46^5)))</f>
        <v/>
      </c>
      <c r="P46" s="132"/>
      <c r="Q46" s="132"/>
      <c r="R46" s="132"/>
      <c r="S46" s="132"/>
      <c r="T46" s="32" t="n">
        <v>0</v>
      </c>
      <c r="U46" s="32" t="n">
        <v>0</v>
      </c>
      <c r="V46" s="32"/>
      <c r="W46" s="32"/>
      <c r="X46" s="125" t="n">
        <v>0</v>
      </c>
      <c r="Y46" s="125" t="n">
        <v>0</v>
      </c>
      <c r="Z46" s="32" t="n">
        <v>0.02</v>
      </c>
      <c r="AA46" s="32" t="n">
        <v>0.02</v>
      </c>
      <c r="AB46" s="125" t="n">
        <v>2.1</v>
      </c>
      <c r="AC46" s="125" t="n">
        <v>2</v>
      </c>
      <c r="AD46" s="124"/>
      <c r="AE46" s="124"/>
      <c r="AF46" s="124"/>
      <c r="AG46" s="124"/>
      <c r="AH46" s="124"/>
      <c r="AI46" s="124"/>
      <c r="AJ46" s="124"/>
      <c r="AK46" s="124"/>
      <c r="AL46" s="124"/>
      <c r="AM46" s="124"/>
      <c r="AN46" s="124"/>
      <c r="AO46" s="124"/>
      <c r="AP46" s="124"/>
      <c r="AQ46" s="124"/>
      <c r="AR46" s="124"/>
      <c r="AS46" s="124"/>
      <c r="AT46" s="124"/>
      <c r="AU46" s="124"/>
      <c r="AV46" s="124"/>
      <c r="AW46" s="124"/>
      <c r="AX46" s="124"/>
      <c r="AY46" s="124"/>
      <c r="AZ46" s="124"/>
      <c r="BA46" s="124"/>
      <c r="BB46" s="136"/>
    </row>
    <row r="47" customFormat="false" ht="15.6" hidden="false" customHeight="false" outlineLevel="0" collapsed="false">
      <c r="A47" s="111" t="n">
        <f aca="false">IF(ISBLANK(VLOOKUP(D47,#REF!,3)),0,1)</f>
        <v>1</v>
      </c>
      <c r="B47" s="112" t="n">
        <f aca="false">IF(ISBLANK(D47),0,IF(ISBLANK(E47),0,IF(ISBLANK(F47),0,1)))</f>
        <v>0</v>
      </c>
      <c r="C47" s="128" t="n">
        <v>13</v>
      </c>
      <c r="D47" s="151"/>
      <c r="E47" s="151"/>
      <c r="F47" s="152"/>
      <c r="G47" s="153"/>
      <c r="H47" s="151"/>
      <c r="I47" s="151"/>
      <c r="J47" s="132"/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32"/>
      <c r="Q47" s="132"/>
      <c r="R47" s="132"/>
      <c r="S47" s="132"/>
      <c r="T47" s="124"/>
      <c r="U47" s="124"/>
      <c r="V47" s="124"/>
      <c r="W47" s="124"/>
      <c r="X47" s="12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24"/>
      <c r="AJ47" s="124"/>
      <c r="AK47" s="124"/>
      <c r="AL47" s="124"/>
      <c r="AM47" s="124"/>
      <c r="AN47" s="124"/>
      <c r="AO47" s="124"/>
      <c r="AP47" s="124"/>
      <c r="AQ47" s="124"/>
      <c r="AR47" s="124"/>
      <c r="AS47" s="124"/>
      <c r="AT47" s="124"/>
      <c r="AU47" s="124"/>
      <c r="AV47" s="124"/>
      <c r="AW47" s="124"/>
      <c r="AX47" s="124"/>
      <c r="AY47" s="124"/>
      <c r="AZ47" s="124"/>
      <c r="BA47" s="124"/>
      <c r="BB47" s="136"/>
    </row>
    <row r="48" customFormat="false" ht="15.6" hidden="false" customHeight="false" outlineLevel="0" collapsed="false">
      <c r="A48" s="111" t="n">
        <f aca="false">IF(ISBLANK(VLOOKUP(D48,#REF!,3)),0,1)</f>
        <v>1</v>
      </c>
      <c r="B48" s="112" t="n">
        <f aca="false">IF(ISBLANK(D48),0,IF(ISBLANK(E48),0,IF(ISBLANK(F48),0,1)))</f>
        <v>0</v>
      </c>
      <c r="C48" s="128" t="n">
        <v>14</v>
      </c>
      <c r="D48" s="151"/>
      <c r="E48" s="151"/>
      <c r="F48" s="152"/>
      <c r="G48" s="153"/>
      <c r="H48" s="151"/>
      <c r="I48" s="151"/>
      <c r="J48" s="132"/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32"/>
      <c r="Q48" s="132"/>
      <c r="R48" s="132"/>
      <c r="S48" s="132"/>
      <c r="T48" s="124"/>
      <c r="U48" s="124"/>
      <c r="V48" s="124"/>
      <c r="W48" s="124"/>
      <c r="X48" s="124"/>
      <c r="Y48" s="124"/>
      <c r="Z48" s="124"/>
      <c r="AA48" s="124"/>
      <c r="AB48" s="124"/>
      <c r="AC48" s="124"/>
      <c r="AD48" s="124"/>
      <c r="AE48" s="124"/>
      <c r="AF48" s="124"/>
      <c r="AG48" s="124"/>
      <c r="AH48" s="124"/>
      <c r="AI48" s="124"/>
      <c r="AJ48" s="124"/>
      <c r="AK48" s="124"/>
      <c r="AL48" s="124"/>
      <c r="AM48" s="124"/>
      <c r="AN48" s="124"/>
      <c r="AO48" s="124"/>
      <c r="AP48" s="124"/>
      <c r="AQ48" s="124"/>
      <c r="AR48" s="124"/>
      <c r="AS48" s="124"/>
      <c r="AT48" s="124"/>
      <c r="AU48" s="124"/>
      <c r="AV48" s="124"/>
      <c r="AW48" s="124"/>
      <c r="AX48" s="124"/>
      <c r="AY48" s="124"/>
      <c r="AZ48" s="124"/>
      <c r="BA48" s="124"/>
      <c r="BB48" s="136"/>
    </row>
    <row r="49" customFormat="false" ht="15.6" hidden="false" customHeight="false" outlineLevel="0" collapsed="false">
      <c r="A49" s="111" t="n">
        <f aca="false">IF(ISBLANK(VLOOKUP(D49,#REF!,3)),0,1)</f>
        <v>1</v>
      </c>
      <c r="B49" s="112" t="n">
        <f aca="false">IF(ISBLANK(D49),0,IF(ISBLANK(E49),0,IF(ISBLANK(F49),0,1)))</f>
        <v>0</v>
      </c>
      <c r="C49" s="128" t="n">
        <v>15</v>
      </c>
      <c r="D49" s="151"/>
      <c r="E49" s="151"/>
      <c r="F49" s="152"/>
      <c r="G49" s="156"/>
      <c r="H49" s="151"/>
      <c r="I49" s="151"/>
      <c r="J49" s="132"/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32"/>
      <c r="Q49" s="132"/>
      <c r="R49" s="132"/>
      <c r="S49" s="132"/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24"/>
      <c r="AE49" s="124"/>
      <c r="AF49" s="124"/>
      <c r="AG49" s="124"/>
      <c r="AH49" s="124"/>
      <c r="AI49" s="124"/>
      <c r="AJ49" s="124"/>
      <c r="AK49" s="124"/>
      <c r="AL49" s="124"/>
      <c r="AM49" s="124"/>
      <c r="AN49" s="124"/>
      <c r="AO49" s="124"/>
      <c r="AP49" s="124"/>
      <c r="AQ49" s="124"/>
      <c r="AR49" s="124"/>
      <c r="AS49" s="124"/>
      <c r="AT49" s="124"/>
      <c r="AU49" s="124"/>
      <c r="AV49" s="124"/>
      <c r="AW49" s="124"/>
      <c r="AX49" s="124"/>
      <c r="AY49" s="124"/>
      <c r="AZ49" s="124"/>
      <c r="BA49" s="124"/>
      <c r="BB49" s="136"/>
    </row>
    <row r="50" customFormat="false" ht="15.6" hidden="false" customHeight="false" outlineLevel="0" collapsed="false">
      <c r="A50" s="111" t="n">
        <f aca="false">IF(ISBLANK(VLOOKUP(D50,#REF!,3)),0,1)</f>
        <v>1</v>
      </c>
      <c r="B50" s="112" t="n">
        <f aca="false">IF(ISBLANK(D50),0,IF(ISBLANK(E50),0,IF(ISBLANK(F50),0,1)))</f>
        <v>0</v>
      </c>
      <c r="C50" s="128" t="n">
        <v>16</v>
      </c>
      <c r="D50" s="151"/>
      <c r="E50" s="151"/>
      <c r="F50" s="152"/>
      <c r="G50" s="156"/>
      <c r="H50" s="151"/>
      <c r="I50" s="151"/>
      <c r="J50" s="132"/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32"/>
      <c r="Q50" s="132"/>
      <c r="R50" s="132"/>
      <c r="S50" s="132"/>
      <c r="T50" s="124"/>
      <c r="U50" s="124"/>
      <c r="V50" s="124"/>
      <c r="W50" s="124"/>
      <c r="X50" s="124"/>
      <c r="Y50" s="124"/>
      <c r="Z50" s="124"/>
      <c r="AA50" s="124"/>
      <c r="AB50" s="124"/>
      <c r="AC50" s="124"/>
      <c r="AD50" s="124"/>
      <c r="AE50" s="124"/>
      <c r="AF50" s="124"/>
      <c r="AG50" s="124"/>
      <c r="AH50" s="124"/>
      <c r="AI50" s="124"/>
      <c r="AJ50" s="124"/>
      <c r="AK50" s="124"/>
      <c r="AL50" s="124"/>
      <c r="AM50" s="124"/>
      <c r="AN50" s="124"/>
      <c r="AO50" s="124"/>
      <c r="AP50" s="124"/>
      <c r="AQ50" s="124"/>
      <c r="AR50" s="124"/>
      <c r="AS50" s="124"/>
      <c r="AT50" s="124"/>
      <c r="AU50" s="124"/>
      <c r="AV50" s="124"/>
      <c r="AW50" s="124"/>
      <c r="AX50" s="124"/>
      <c r="AY50" s="124"/>
      <c r="AZ50" s="124"/>
      <c r="BA50" s="124"/>
      <c r="BB50" s="136"/>
    </row>
    <row r="51" customFormat="false" ht="15.6" hidden="false" customHeight="false" outlineLevel="0" collapsed="false">
      <c r="A51" s="111" t="n">
        <f aca="false">IF(ISBLANK(VLOOKUP(D51,#REF!,3)),0,1)</f>
        <v>1</v>
      </c>
      <c r="B51" s="112" t="n">
        <f aca="false">IF(ISBLANK(D51),0,IF(ISBLANK(E51),0,IF(ISBLANK(F51),0,1)))</f>
        <v>0</v>
      </c>
      <c r="C51" s="128" t="n">
        <v>17</v>
      </c>
      <c r="D51" s="151"/>
      <c r="E51" s="151"/>
      <c r="F51" s="152"/>
      <c r="G51" s="156"/>
      <c r="H51" s="151"/>
      <c r="I51" s="151"/>
      <c r="J51" s="132"/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32"/>
      <c r="Q51" s="132"/>
      <c r="R51" s="132"/>
      <c r="S51" s="132"/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24"/>
      <c r="AE51" s="124"/>
      <c r="AF51" s="124"/>
      <c r="AG51" s="124"/>
      <c r="AH51" s="124"/>
      <c r="AI51" s="124"/>
      <c r="AJ51" s="124"/>
      <c r="AK51" s="124"/>
      <c r="AL51" s="124"/>
      <c r="AM51" s="124"/>
      <c r="AN51" s="124"/>
      <c r="AO51" s="124"/>
      <c r="AP51" s="124"/>
      <c r="AQ51" s="124"/>
      <c r="AR51" s="124"/>
      <c r="AS51" s="124"/>
      <c r="AT51" s="124"/>
      <c r="AU51" s="124"/>
      <c r="AV51" s="124"/>
      <c r="AW51" s="124"/>
      <c r="AX51" s="124"/>
      <c r="AY51" s="124"/>
      <c r="AZ51" s="124"/>
      <c r="BA51" s="124"/>
      <c r="BB51" s="136"/>
    </row>
    <row r="52" customFormat="false" ht="15.6" hidden="false" customHeight="false" outlineLevel="0" collapsed="false">
      <c r="A52" s="111" t="n">
        <f aca="false">IF(ISBLANK(VLOOKUP(D52,#REF!,3)),0,1)</f>
        <v>1</v>
      </c>
      <c r="B52" s="112" t="n">
        <f aca="false">IF(ISBLANK(D52),0,IF(ISBLANK(E52),0,IF(ISBLANK(F52),0,1)))</f>
        <v>0</v>
      </c>
      <c r="C52" s="128" t="n">
        <v>18</v>
      </c>
      <c r="D52" s="151"/>
      <c r="E52" s="151"/>
      <c r="F52" s="152"/>
      <c r="G52" s="156"/>
      <c r="H52" s="151"/>
      <c r="I52" s="151"/>
      <c r="J52" s="132"/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32"/>
      <c r="Q52" s="132"/>
      <c r="R52" s="132"/>
      <c r="S52" s="132"/>
      <c r="T52" s="124"/>
      <c r="U52" s="124"/>
      <c r="V52" s="124"/>
      <c r="W52" s="124"/>
      <c r="X52" s="124"/>
      <c r="Y52" s="124"/>
      <c r="Z52" s="124"/>
      <c r="AA52" s="124"/>
      <c r="AB52" s="124"/>
      <c r="AC52" s="124"/>
      <c r="AD52" s="124"/>
      <c r="AE52" s="124"/>
      <c r="AF52" s="124"/>
      <c r="AG52" s="124"/>
      <c r="AH52" s="124"/>
      <c r="AI52" s="124"/>
      <c r="AJ52" s="124"/>
      <c r="AK52" s="124"/>
      <c r="AL52" s="124"/>
      <c r="AM52" s="124"/>
      <c r="AN52" s="124"/>
      <c r="AO52" s="124"/>
      <c r="AP52" s="124"/>
      <c r="AQ52" s="124"/>
      <c r="AR52" s="124"/>
      <c r="AS52" s="124"/>
      <c r="AT52" s="124"/>
      <c r="AU52" s="124"/>
      <c r="AV52" s="124"/>
      <c r="AW52" s="124"/>
      <c r="AX52" s="124"/>
      <c r="AY52" s="124"/>
      <c r="AZ52" s="124"/>
      <c r="BA52" s="124"/>
      <c r="BB52" s="136"/>
    </row>
    <row r="53" customFormat="false" ht="15.6" hidden="false" customHeight="false" outlineLevel="0" collapsed="false">
      <c r="A53" s="111" t="n">
        <f aca="false">IF(ISBLANK(VLOOKUP(D53,#REF!,3)),0,1)</f>
        <v>1</v>
      </c>
      <c r="B53" s="112" t="n">
        <f aca="false">IF(ISBLANK(D53),0,IF(ISBLANK(E53),0,IF(ISBLANK(F53),0,1)))</f>
        <v>0</v>
      </c>
      <c r="C53" s="128" t="n">
        <v>19</v>
      </c>
      <c r="D53" s="151"/>
      <c r="E53" s="151"/>
      <c r="F53" s="152"/>
      <c r="G53" s="156"/>
      <c r="H53" s="151"/>
      <c r="I53" s="151"/>
      <c r="J53" s="132"/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32"/>
      <c r="Q53" s="132"/>
      <c r="R53" s="132"/>
      <c r="S53" s="132"/>
      <c r="T53" s="124"/>
      <c r="U53" s="124"/>
      <c r="V53" s="124"/>
      <c r="W53" s="124"/>
      <c r="X53" s="12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24"/>
      <c r="AJ53" s="124"/>
      <c r="AK53" s="124"/>
      <c r="AL53" s="124"/>
      <c r="AM53" s="124"/>
      <c r="AN53" s="124"/>
      <c r="AO53" s="124"/>
      <c r="AP53" s="124"/>
      <c r="AQ53" s="124"/>
      <c r="AR53" s="124"/>
      <c r="AS53" s="124"/>
      <c r="AT53" s="124"/>
      <c r="AU53" s="124"/>
      <c r="AV53" s="124"/>
      <c r="AW53" s="124"/>
      <c r="AX53" s="124"/>
      <c r="AY53" s="124"/>
      <c r="AZ53" s="124"/>
      <c r="BA53" s="124"/>
      <c r="BB53" s="136"/>
    </row>
    <row r="54" customFormat="false" ht="15.6" hidden="false" customHeight="false" outlineLevel="0" collapsed="false">
      <c r="A54" s="111" t="n">
        <f aca="false">IF(ISBLANK(VLOOKUP(D54,#REF!,3)),0,1)</f>
        <v>1</v>
      </c>
      <c r="B54" s="112" t="n">
        <f aca="false">IF(ISBLANK(D54),0,IF(ISBLANK(E54),0,IF(ISBLANK(F54),0,1)))</f>
        <v>0</v>
      </c>
      <c r="C54" s="128" t="n">
        <v>20</v>
      </c>
      <c r="D54" s="151"/>
      <c r="E54" s="151"/>
      <c r="F54" s="152"/>
      <c r="G54" s="156"/>
      <c r="H54" s="151"/>
      <c r="I54" s="151"/>
      <c r="J54" s="132"/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32"/>
      <c r="Q54" s="132"/>
      <c r="R54" s="132"/>
      <c r="S54" s="132"/>
      <c r="T54" s="124"/>
      <c r="U54" s="124"/>
      <c r="V54" s="124"/>
      <c r="W54" s="124"/>
      <c r="X54" s="124"/>
      <c r="Y54" s="124"/>
      <c r="Z54" s="124"/>
      <c r="AA54" s="124"/>
      <c r="AB54" s="124"/>
      <c r="AC54" s="124"/>
      <c r="AD54" s="124"/>
      <c r="AE54" s="124"/>
      <c r="AF54" s="124"/>
      <c r="AG54" s="124"/>
      <c r="AH54" s="124"/>
      <c r="AI54" s="124"/>
      <c r="AJ54" s="124"/>
      <c r="AK54" s="124"/>
      <c r="AL54" s="124"/>
      <c r="AM54" s="124"/>
      <c r="AN54" s="124"/>
      <c r="AO54" s="124"/>
      <c r="AP54" s="124"/>
      <c r="AQ54" s="124"/>
      <c r="AR54" s="124"/>
      <c r="AS54" s="124"/>
      <c r="AT54" s="124"/>
      <c r="AU54" s="124"/>
      <c r="AV54" s="124"/>
      <c r="AW54" s="124"/>
      <c r="AX54" s="124"/>
      <c r="AY54" s="124"/>
      <c r="AZ54" s="124"/>
      <c r="BA54" s="124"/>
      <c r="BB54" s="136"/>
    </row>
    <row r="55" customFormat="false" ht="15.6" hidden="false" customHeight="false" outlineLevel="0" collapsed="false">
      <c r="A55" s="111" t="n">
        <f aca="false">IF(ISBLANK(VLOOKUP(D55,#REF!,3)),0,1)</f>
        <v>1</v>
      </c>
      <c r="B55" s="112" t="n">
        <f aca="false">IF(ISBLANK(D55),0,IF(ISBLANK(E55),0,IF(ISBLANK(F55),0,1)))</f>
        <v>0</v>
      </c>
      <c r="C55" s="128" t="n">
        <v>21</v>
      </c>
      <c r="D55" s="151"/>
      <c r="E55" s="151"/>
      <c r="F55" s="152"/>
      <c r="G55" s="156"/>
      <c r="H55" s="151"/>
      <c r="I55" s="151"/>
      <c r="J55" s="132"/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32"/>
      <c r="Q55" s="132"/>
      <c r="R55" s="132"/>
      <c r="S55" s="132"/>
      <c r="T55" s="124"/>
      <c r="U55" s="124"/>
      <c r="V55" s="124"/>
      <c r="W55" s="124"/>
      <c r="X55" s="124"/>
      <c r="Y55" s="124"/>
      <c r="Z55" s="124"/>
      <c r="AA55" s="124"/>
      <c r="AB55" s="124"/>
      <c r="AC55" s="124"/>
      <c r="AD55" s="124"/>
      <c r="AE55" s="124"/>
      <c r="AF55" s="124"/>
      <c r="AG55" s="124"/>
      <c r="AH55" s="124"/>
      <c r="AI55" s="124"/>
      <c r="AJ55" s="124"/>
      <c r="AK55" s="124"/>
      <c r="AL55" s="124"/>
      <c r="AM55" s="124"/>
      <c r="AN55" s="124"/>
      <c r="AO55" s="124"/>
      <c r="AP55" s="124"/>
      <c r="AQ55" s="124"/>
      <c r="AR55" s="124"/>
      <c r="AS55" s="124"/>
      <c r="AT55" s="124"/>
      <c r="AU55" s="124"/>
      <c r="AV55" s="124"/>
      <c r="AW55" s="124"/>
      <c r="AX55" s="124"/>
      <c r="AY55" s="124"/>
      <c r="AZ55" s="124"/>
      <c r="BA55" s="124"/>
      <c r="BB55" s="136"/>
    </row>
    <row r="56" customFormat="false" ht="15.6" hidden="false" customHeight="false" outlineLevel="0" collapsed="false">
      <c r="A56" s="111" t="n">
        <f aca="false">IF(ISBLANK(VLOOKUP(D56,#REF!,3)),0,1)</f>
        <v>1</v>
      </c>
      <c r="B56" s="112" t="n">
        <f aca="false">IF(ISBLANK(D56),0,IF(ISBLANK(E56),0,IF(ISBLANK(F56),0,1)))</f>
        <v>0</v>
      </c>
      <c r="C56" s="128" t="n">
        <v>22</v>
      </c>
      <c r="D56" s="151"/>
      <c r="E56" s="151"/>
      <c r="F56" s="152"/>
      <c r="G56" s="156"/>
      <c r="H56" s="151"/>
      <c r="I56" s="151"/>
      <c r="J56" s="132"/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32"/>
      <c r="Q56" s="132"/>
      <c r="R56" s="132"/>
      <c r="S56" s="132"/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24"/>
      <c r="AE56" s="124"/>
      <c r="AF56" s="124"/>
      <c r="AG56" s="124"/>
      <c r="AH56" s="124"/>
      <c r="AI56" s="124"/>
      <c r="AJ56" s="124"/>
      <c r="AK56" s="124"/>
      <c r="AL56" s="124"/>
      <c r="AM56" s="124"/>
      <c r="AN56" s="124"/>
      <c r="AO56" s="124"/>
      <c r="AP56" s="124"/>
      <c r="AQ56" s="124"/>
      <c r="AR56" s="124"/>
      <c r="AS56" s="124"/>
      <c r="AT56" s="124"/>
      <c r="AU56" s="124"/>
      <c r="AV56" s="124"/>
      <c r="AW56" s="124"/>
      <c r="AX56" s="124"/>
      <c r="AY56" s="124"/>
      <c r="AZ56" s="124"/>
      <c r="BA56" s="124"/>
      <c r="BB56" s="136"/>
    </row>
    <row r="57" customFormat="false" ht="15.6" hidden="false" customHeight="false" outlineLevel="0" collapsed="false">
      <c r="A57" s="111" t="n">
        <f aca="false">IF(ISBLANK(VLOOKUP(D57,#REF!,3)),0,1)</f>
        <v>1</v>
      </c>
      <c r="B57" s="112" t="n">
        <f aca="false">IF(ISBLANK(D57),0,IF(ISBLANK(E57),0,IF(ISBLANK(F57),0,1)))</f>
        <v>0</v>
      </c>
      <c r="C57" s="128" t="n">
        <v>23</v>
      </c>
      <c r="D57" s="151"/>
      <c r="E57" s="151"/>
      <c r="F57" s="152"/>
      <c r="G57" s="156"/>
      <c r="H57" s="151"/>
      <c r="I57" s="151"/>
      <c r="J57" s="132"/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32"/>
      <c r="Q57" s="132"/>
      <c r="R57" s="132"/>
      <c r="S57" s="132"/>
      <c r="T57" s="124"/>
      <c r="U57" s="124"/>
      <c r="V57" s="124"/>
      <c r="W57" s="124"/>
      <c r="X57" s="124"/>
      <c r="Y57" s="124"/>
      <c r="Z57" s="124"/>
      <c r="AA57" s="124"/>
      <c r="AB57" s="124"/>
      <c r="AC57" s="124"/>
      <c r="AD57" s="124"/>
      <c r="AE57" s="124"/>
      <c r="AF57" s="124"/>
      <c r="AG57" s="124"/>
      <c r="AH57" s="124"/>
      <c r="AI57" s="124"/>
      <c r="AJ57" s="124"/>
      <c r="AK57" s="124"/>
      <c r="AL57" s="124"/>
      <c r="AM57" s="124"/>
      <c r="AN57" s="124"/>
      <c r="AO57" s="124"/>
      <c r="AP57" s="124"/>
      <c r="AQ57" s="124"/>
      <c r="AR57" s="124"/>
      <c r="AS57" s="124"/>
      <c r="AT57" s="124"/>
      <c r="AU57" s="124"/>
      <c r="AV57" s="124"/>
      <c r="AW57" s="124"/>
      <c r="AX57" s="124"/>
      <c r="AY57" s="124"/>
      <c r="AZ57" s="124"/>
      <c r="BA57" s="124"/>
      <c r="BB57" s="136"/>
    </row>
    <row r="58" customFormat="false" ht="16.2" hidden="false" customHeight="false" outlineLevel="0" collapsed="false">
      <c r="A58" s="111" t="n">
        <f aca="false">IF(ISBLANK(VLOOKUP(D58,#REF!,3)),0,1)</f>
        <v>1</v>
      </c>
      <c r="B58" s="112" t="n">
        <f aca="false">IF(ISBLANK(D58),0,IF(ISBLANK(E58),0,IF(ISBLANK(F58),0,1)))</f>
        <v>0</v>
      </c>
      <c r="C58" s="158" t="n">
        <v>24</v>
      </c>
      <c r="D58" s="159"/>
      <c r="E58" s="159"/>
      <c r="F58" s="160"/>
      <c r="G58" s="161"/>
      <c r="H58" s="159"/>
      <c r="I58" s="159"/>
      <c r="J58" s="132"/>
      <c r="K58" s="163" t="str">
        <f aca="false">IF(ISBLANK(E58),"",(0.000824493-(0.0000040899*E58)+(0.000000076438*E58^2)-(0.00000000082467*E58^3)+(0.0000000000053875*E58^4)))</f>
        <v/>
      </c>
      <c r="L58" s="163" t="str">
        <f aca="false">IF(ISBLANK(E58),"",(-0.00000572466+(0.00000010227*E58)-(0.0000000016546*E58^2)))</f>
        <v/>
      </c>
      <c r="M58" s="163" t="str">
        <f aca="false">IF(ISBLANK(E58),"",IF(ISBLANK(G58),(O58+(K58*35)+(L58*35^1.5)+(0.00000048314*35^2)),(O58+(K58*G58)+(L58*G58^1.5)+(0.00000048314*G58^2))))</f>
        <v/>
      </c>
      <c r="N58" s="164" t="str">
        <f aca="false">IF(ISBLANK(D58),"",IF(ISBLANK(G58),J58*(1+0.00001*(35-20)),J58*(1+0.00001*(G58-20))))</f>
        <v/>
      </c>
      <c r="O58" s="163" t="str">
        <f aca="false">IF(ISBLANK(E58),"",(0.999842594+(0.00006793952*E58)-(0.00000909529*E58^2)+(0.0000001001685*E58^3)-(0.000000001120083*E58^4)+(0.000000000006536332*E58^5)))</f>
        <v/>
      </c>
      <c r="P58" s="132"/>
      <c r="Q58" s="132"/>
      <c r="R58" s="132"/>
      <c r="S58" s="132"/>
      <c r="T58" s="168"/>
      <c r="U58" s="168"/>
      <c r="V58" s="168"/>
      <c r="W58" s="168"/>
      <c r="X58" s="168"/>
      <c r="Y58" s="168"/>
      <c r="Z58" s="168"/>
      <c r="AA58" s="168"/>
      <c r="AB58" s="168"/>
      <c r="AC58" s="168"/>
      <c r="AD58" s="168"/>
      <c r="AE58" s="168"/>
      <c r="AF58" s="168"/>
      <c r="AG58" s="168"/>
      <c r="AH58" s="168"/>
      <c r="AI58" s="168"/>
      <c r="AJ58" s="168"/>
      <c r="AK58" s="168"/>
      <c r="AL58" s="168"/>
      <c r="AM58" s="168"/>
      <c r="AN58" s="168"/>
      <c r="AO58" s="168"/>
      <c r="AP58" s="168"/>
      <c r="AQ58" s="168"/>
      <c r="AR58" s="168"/>
      <c r="AS58" s="168"/>
      <c r="AT58" s="168"/>
      <c r="AU58" s="168"/>
      <c r="AV58" s="168"/>
      <c r="AW58" s="168"/>
      <c r="AX58" s="168"/>
      <c r="AY58" s="168"/>
      <c r="AZ58" s="168"/>
      <c r="BA58" s="168"/>
      <c r="BB58" s="169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J12" activeCellId="0" sqref="J12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8178137651822"/>
    <col collapsed="false" hidden="false" max="32" min="32" style="0" width="9.10526315789474"/>
    <col collapsed="false" hidden="false" max="33" min="33" style="0" width="26.5668016194332"/>
    <col collapsed="false" hidden="false" max="34" min="34" style="0" width="12.8542510121458"/>
    <col collapsed="false" hidden="false" max="35" min="35" style="0" width="11.1417004048583"/>
    <col collapsed="false" hidden="false" max="36" min="36" style="0" width="14.5668016194332"/>
    <col collapsed="false" hidden="false" max="37" min="37" style="0" width="12.2105263157895"/>
    <col collapsed="false" hidden="false" max="38" min="38" style="0" width="26.995951417004"/>
    <col collapsed="false" hidden="false" max="39" min="39" style="0" width="14.6761133603239"/>
    <col collapsed="false" hidden="false" max="40" min="40" style="0" width="11.3562753036437"/>
    <col collapsed="false" hidden="false" max="41" min="41" style="0" width="12.5344129554656"/>
    <col collapsed="false" hidden="false" max="42" min="42" style="0" width="10.7125506072875"/>
    <col collapsed="false" hidden="false" max="43" min="43" style="0" width="6.31983805668016"/>
    <col collapsed="false" hidden="false" max="44" min="44" style="0" width="19.7085020242915"/>
    <col collapsed="false" hidden="false" max="45" min="45" style="0" width="13.0688259109312"/>
    <col collapsed="false" hidden="false" max="46" min="46" style="0" width="17.7813765182186"/>
    <col collapsed="false" hidden="false" max="47" min="47" style="0" width="14.6761133603239"/>
    <col collapsed="false" hidden="false" max="48" min="48" style="0" width="13.6032388663968"/>
    <col collapsed="false" hidden="false" max="49" min="49" style="0" width="13.7125506072874"/>
    <col collapsed="false" hidden="false" max="50" min="50" style="0" width="19.9230769230769"/>
    <col collapsed="false" hidden="false" max="51" min="51" style="0" width="13.2834008097166"/>
    <col collapsed="false" hidden="false" max="52" min="52" style="0" width="17.6761133603239"/>
    <col collapsed="false" hidden="false" max="53" min="53" style="0" width="13.3886639676113"/>
    <col collapsed="false" hidden="false" max="54" min="54" style="0" width="12.6396761133603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34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38728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6</v>
      </c>
      <c r="J9" s="29" t="n">
        <v>2.96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6°2,96</v>
      </c>
      <c r="P9" s="29" t="s">
        <v>13</v>
      </c>
      <c r="Q9" s="33" t="n">
        <f aca="false">IF(ISBLANK(I9),"",IF(ISBLANK(J9),"",IF(J9&gt;60,"ERREUR !!",O11*(I9+(J9/60)))))</f>
        <v>6.04933333333333</v>
      </c>
      <c r="R9" s="33"/>
    </row>
    <row r="10" customFormat="false" ht="15" hidden="false" customHeight="true" outlineLevel="0" collapsed="false">
      <c r="C10" s="21"/>
      <c r="D10" s="18"/>
      <c r="G10" s="27" t="s">
        <v>16</v>
      </c>
      <c r="H10" s="27"/>
      <c r="I10" s="28" t="n">
        <v>2</v>
      </c>
      <c r="J10" s="29" t="n">
        <v>22.21</v>
      </c>
      <c r="K10" s="30" t="s">
        <v>12</v>
      </c>
      <c r="L10" s="31" t="str">
        <f aca="false">IF(P10=N9,"+","-")</f>
        <v>+</v>
      </c>
      <c r="M10" s="30" t="s">
        <v>15</v>
      </c>
      <c r="N10" s="30" t="s">
        <v>17</v>
      </c>
      <c r="O10" s="34" t="str">
        <f aca="false">IF(ISBLANK(I10),"",IF(ISBLANK(J10),"",IF(P10=N10,L10&amp;N12,N12)))</f>
        <v>2°22,21</v>
      </c>
      <c r="P10" s="29" t="s">
        <v>14</v>
      </c>
      <c r="Q10" s="33" t="n">
        <f aca="false">IF(ISBLANK(I10),"",IF(ISBLANK(J10),"",IF(J10&gt;60,"ERREUR !!",O12*(I10+(J10/60)))))</f>
        <v>2.37016666666667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38554</v>
      </c>
      <c r="K11" s="38"/>
      <c r="L11" s="38"/>
      <c r="M11" s="38"/>
      <c r="N11" s="39" t="str">
        <f aca="false">I9&amp;"°"&amp;J9</f>
        <v>6°2,96</v>
      </c>
      <c r="O11" s="40" t="n">
        <f aca="false">IF(P9=M10,-1,1)</f>
        <v>1</v>
      </c>
      <c r="P11" s="41" t="str">
        <f aca="false">TEXT(J11,"aaaa-mm-jj")&amp;"T"&amp;TEXT(J12,"hh:mm:ss")&amp;"z"</f>
        <v>2009-07-22T14:00:00z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0.583333333333333</v>
      </c>
      <c r="K12" s="45"/>
      <c r="L12" s="45"/>
      <c r="M12" s="45"/>
      <c r="N12" s="46" t="str">
        <f aca="false">I10&amp;"°"&amp;J10</f>
        <v>2°22,21</v>
      </c>
      <c r="O12" s="40" t="n">
        <f aca="false">IF(P10=N10,-1,1)</f>
        <v>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e">
        <f aca="false">$P$24*($P$18/#REF!)</f>
        <v>#REF!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e">
        <f aca="false">5+#REF!</f>
        <v>#REF!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e">
        <f aca="false">P20*(1+0.00001*(R14-20))</f>
        <v>#REF!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e">
        <f aca="false">MAX(#REF!)</f>
        <v>#VALUE!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e">
        <f aca="false">2+(#REF!+#REF!)</f>
        <v>#REF!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52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53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IF(ISBLANK(VLOOKUP(D35,#REF!,3)),0,1)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s">
        <v>99</v>
      </c>
      <c r="H35" s="131" t="n">
        <v>500</v>
      </c>
      <c r="I35" s="125" t="n">
        <v>502.58</v>
      </c>
      <c r="J35" s="120"/>
      <c r="K35" s="121"/>
      <c r="L35" s="121"/>
      <c r="M35" s="121"/>
      <c r="N35" s="122"/>
      <c r="O35" s="121"/>
      <c r="P35" s="132"/>
      <c r="Q35" s="120"/>
      <c r="R35" s="120"/>
      <c r="S35" s="120"/>
      <c r="T35" s="125" t="n">
        <v>0</v>
      </c>
      <c r="U35" s="32" t="n">
        <v>0.01</v>
      </c>
      <c r="V35" s="32"/>
      <c r="W35" s="32"/>
      <c r="X35" s="125" t="n">
        <v>36.3</v>
      </c>
      <c r="Y35" s="125" t="n">
        <v>35.5</v>
      </c>
      <c r="Z35" s="125" t="n">
        <v>2.4</v>
      </c>
      <c r="AA35" s="32" t="n">
        <v>2.34</v>
      </c>
      <c r="AB35" s="125" t="n">
        <v>23</v>
      </c>
      <c r="AC35" s="125" t="n">
        <v>22.5</v>
      </c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7"/>
    </row>
    <row r="36" customFormat="false" ht="15.6" hidden="false" customHeight="false" outlineLevel="0" collapsed="false">
      <c r="A36" s="111" t="n">
        <f aca="false">IF(ISBLANK(VLOOKUP(D36,#REF!,3)),0,1)</f>
        <v>1</v>
      </c>
      <c r="B36" s="112" t="n">
        <f aca="false">IF(ISBLANK(D36),0,IF(ISBLANK(E36),0,IF(ISBLANK(F36),0,1)))</f>
        <v>0</v>
      </c>
      <c r="C36" s="128" t="n">
        <v>2</v>
      </c>
      <c r="D36" s="129"/>
      <c r="E36" s="129"/>
      <c r="F36" s="130"/>
      <c r="G36" s="117" t="s">
        <v>99</v>
      </c>
      <c r="H36" s="131" t="n">
        <v>300</v>
      </c>
      <c r="I36" s="125" t="n">
        <v>298.06</v>
      </c>
      <c r="J36" s="132"/>
      <c r="K36" s="133"/>
      <c r="L36" s="133"/>
      <c r="M36" s="133"/>
      <c r="N36" s="134"/>
      <c r="O36" s="133"/>
      <c r="P36" s="132"/>
      <c r="Q36" s="132"/>
      <c r="R36" s="132"/>
      <c r="S36" s="132"/>
      <c r="T36" s="125" t="n">
        <v>0</v>
      </c>
      <c r="U36" s="32" t="n">
        <v>0.02</v>
      </c>
      <c r="V36" s="32"/>
      <c r="W36" s="32"/>
      <c r="X36" s="125" t="n">
        <v>32.4</v>
      </c>
      <c r="Y36" s="125" t="n">
        <v>31.6</v>
      </c>
      <c r="Z36" s="125" t="n">
        <v>2.1</v>
      </c>
      <c r="AA36" s="32" t="n">
        <v>2.01</v>
      </c>
      <c r="AB36" s="125" t="n">
        <v>15.7</v>
      </c>
      <c r="AC36" s="125" t="n">
        <v>15.4</v>
      </c>
      <c r="AD36" s="124"/>
      <c r="AE36" s="124"/>
      <c r="AF36" s="124"/>
      <c r="AG36" s="124"/>
      <c r="AH36" s="124"/>
      <c r="AI36" s="124"/>
      <c r="AJ36" s="124"/>
      <c r="AK36" s="124"/>
      <c r="AL36" s="124"/>
      <c r="AM36" s="124"/>
      <c r="AN36" s="124"/>
      <c r="AO36" s="124"/>
      <c r="AP36" s="124"/>
      <c r="AQ36" s="124"/>
      <c r="AR36" s="124"/>
      <c r="AS36" s="124"/>
      <c r="AT36" s="124"/>
      <c r="AU36" s="124"/>
      <c r="AV36" s="124"/>
      <c r="AW36" s="124"/>
      <c r="AX36" s="124"/>
      <c r="AY36" s="124"/>
      <c r="AZ36" s="124"/>
      <c r="BA36" s="124"/>
      <c r="BB36" s="136"/>
    </row>
    <row r="37" customFormat="false" ht="15.6" hidden="false" customHeight="false" outlineLevel="0" collapsed="false">
      <c r="A37" s="111" t="n">
        <f aca="false">IF(ISBLANK(VLOOKUP(D37,#REF!,3)),0,1)</f>
        <v>1</v>
      </c>
      <c r="B37" s="112" t="n">
        <f aca="false">IF(ISBLANK(D37),0,IF(ISBLANK(E37),0,IF(ISBLANK(F37),0,1)))</f>
        <v>0</v>
      </c>
      <c r="C37" s="128" t="n">
        <v>3</v>
      </c>
      <c r="D37" s="129"/>
      <c r="E37" s="129"/>
      <c r="F37" s="137"/>
      <c r="G37" s="117" t="s">
        <v>99</v>
      </c>
      <c r="H37" s="131" t="n">
        <v>200</v>
      </c>
      <c r="I37" s="125" t="n">
        <v>198.9</v>
      </c>
      <c r="J37" s="132"/>
      <c r="K37" s="133"/>
      <c r="L37" s="133"/>
      <c r="M37" s="133"/>
      <c r="N37" s="134"/>
      <c r="O37" s="133"/>
      <c r="P37" s="132"/>
      <c r="Q37" s="132"/>
      <c r="R37" s="132"/>
      <c r="S37" s="132"/>
      <c r="T37" s="125" t="n">
        <v>0</v>
      </c>
      <c r="U37" s="32" t="n">
        <v>0.02</v>
      </c>
      <c r="V37" s="32"/>
      <c r="W37" s="32"/>
      <c r="X37" s="125" t="n">
        <v>25.9</v>
      </c>
      <c r="Y37" s="125" t="n">
        <v>25.3</v>
      </c>
      <c r="Z37" s="125" t="n">
        <v>1.7</v>
      </c>
      <c r="AA37" s="32" t="n">
        <v>1.66</v>
      </c>
      <c r="AB37" s="125" t="n">
        <v>11.3</v>
      </c>
      <c r="AC37" s="125" t="n">
        <v>11</v>
      </c>
      <c r="AD37" s="124"/>
      <c r="AE37" s="124"/>
      <c r="AF37" s="124"/>
      <c r="AG37" s="124"/>
      <c r="AH37" s="124"/>
      <c r="AI37" s="124"/>
      <c r="AJ37" s="124"/>
      <c r="AK37" s="124"/>
      <c r="AL37" s="124"/>
      <c r="AM37" s="124"/>
      <c r="AN37" s="124"/>
      <c r="AO37" s="124"/>
      <c r="AP37" s="124"/>
      <c r="AQ37" s="124"/>
      <c r="AR37" s="124"/>
      <c r="AS37" s="124"/>
      <c r="AT37" s="124"/>
      <c r="AU37" s="124"/>
      <c r="AV37" s="124"/>
      <c r="AW37" s="124"/>
      <c r="AX37" s="124"/>
      <c r="AY37" s="124"/>
      <c r="AZ37" s="124"/>
      <c r="BA37" s="124"/>
      <c r="BB37" s="136"/>
    </row>
    <row r="38" customFormat="false" ht="15.6" hidden="false" customHeight="false" outlineLevel="0" collapsed="false">
      <c r="A38" s="111" t="n">
        <f aca="false">IF(ISBLANK(VLOOKUP(D38,#REF!,3)),0,1)</f>
        <v>1</v>
      </c>
      <c r="B38" s="112" t="n">
        <f aca="false">IF(ISBLANK(D38),0,IF(ISBLANK(E38),0,IF(ISBLANK(F38),0,1)))</f>
        <v>0</v>
      </c>
      <c r="C38" s="128" t="n">
        <v>4</v>
      </c>
      <c r="D38" s="138"/>
      <c r="E38" s="138"/>
      <c r="F38" s="139"/>
      <c r="G38" s="117" t="s">
        <v>99</v>
      </c>
      <c r="H38" s="131" t="n">
        <v>100</v>
      </c>
      <c r="I38" s="125" t="n">
        <v>99.92</v>
      </c>
      <c r="J38" s="132"/>
      <c r="K38" s="133"/>
      <c r="L38" s="133"/>
      <c r="M38" s="133"/>
      <c r="N38" s="134"/>
      <c r="O38" s="133"/>
      <c r="P38" s="132"/>
      <c r="Q38" s="132"/>
      <c r="R38" s="132"/>
      <c r="S38" s="132"/>
      <c r="T38" s="125" t="n">
        <v>0.1</v>
      </c>
      <c r="U38" s="32" t="n">
        <v>0.05</v>
      </c>
      <c r="V38" s="32"/>
      <c r="W38" s="32"/>
      <c r="X38" s="125" t="n">
        <v>18.3</v>
      </c>
      <c r="Y38" s="125" t="n">
        <v>17.8</v>
      </c>
      <c r="Z38" s="125" t="n">
        <v>1.3</v>
      </c>
      <c r="AA38" s="32" t="n">
        <v>1.23</v>
      </c>
      <c r="AB38" s="125" t="n">
        <v>8.1</v>
      </c>
      <c r="AC38" s="125" t="n">
        <v>7.9</v>
      </c>
      <c r="AD38" s="124"/>
      <c r="AE38" s="124"/>
      <c r="AF38" s="124"/>
      <c r="AG38" s="124"/>
      <c r="AH38" s="124"/>
      <c r="AI38" s="124"/>
      <c r="AJ38" s="124"/>
      <c r="AK38" s="124"/>
      <c r="AL38" s="124"/>
      <c r="AM38" s="124"/>
      <c r="AN38" s="124"/>
      <c r="AO38" s="124"/>
      <c r="AP38" s="124"/>
      <c r="AQ38" s="124"/>
      <c r="AR38" s="124"/>
      <c r="AS38" s="124"/>
      <c r="AT38" s="124"/>
      <c r="AU38" s="124"/>
      <c r="AV38" s="124"/>
      <c r="AW38" s="124"/>
      <c r="AX38" s="124"/>
      <c r="AY38" s="124"/>
      <c r="AZ38" s="124"/>
      <c r="BA38" s="124"/>
      <c r="BB38" s="136"/>
    </row>
    <row r="39" customFormat="false" ht="15.6" hidden="false" customHeight="false" outlineLevel="0" collapsed="false">
      <c r="A39" s="111" t="n">
        <f aca="false">IF(ISBLANK(VLOOKUP(D39,#REF!,3)),0,1)</f>
        <v>1</v>
      </c>
      <c r="B39" s="112" t="n">
        <f aca="false">IF(ISBLANK(D39),0,IF(ISBLANK(E39),0,IF(ISBLANK(F39),0,1)))</f>
        <v>0</v>
      </c>
      <c r="C39" s="128" t="n">
        <v>5</v>
      </c>
      <c r="D39" s="129"/>
      <c r="E39" s="129"/>
      <c r="F39" s="137"/>
      <c r="G39" s="117" t="s">
        <v>99</v>
      </c>
      <c r="H39" s="131" t="n">
        <v>80</v>
      </c>
      <c r="I39" s="125" t="n">
        <v>81.33</v>
      </c>
      <c r="J39" s="132"/>
      <c r="K39" s="133"/>
      <c r="L39" s="133"/>
      <c r="M39" s="133"/>
      <c r="N39" s="134"/>
      <c r="O39" s="133"/>
      <c r="P39" s="132"/>
      <c r="Q39" s="132"/>
      <c r="R39" s="132"/>
      <c r="S39" s="132"/>
      <c r="T39" s="125" t="n">
        <v>0</v>
      </c>
      <c r="U39" s="32" t="n">
        <v>0.05</v>
      </c>
      <c r="V39" s="32"/>
      <c r="W39" s="32"/>
      <c r="X39" s="125" t="n">
        <v>16.8</v>
      </c>
      <c r="Y39" s="125" t="n">
        <v>16.4</v>
      </c>
      <c r="Z39" s="125" t="n">
        <v>1.1</v>
      </c>
      <c r="AA39" s="32" t="n">
        <v>1.12</v>
      </c>
      <c r="AB39" s="125" t="n">
        <v>7.8</v>
      </c>
      <c r="AC39" s="125" t="n">
        <v>7.7</v>
      </c>
      <c r="AD39" s="124"/>
      <c r="AE39" s="124"/>
      <c r="AF39" s="124"/>
      <c r="AG39" s="124"/>
      <c r="AH39" s="124"/>
      <c r="AI39" s="124"/>
      <c r="AJ39" s="124"/>
      <c r="AK39" s="124"/>
      <c r="AL39" s="124"/>
      <c r="AM39" s="124"/>
      <c r="AN39" s="124"/>
      <c r="AO39" s="124"/>
      <c r="AP39" s="124"/>
      <c r="AQ39" s="124"/>
      <c r="AR39" s="124"/>
      <c r="AS39" s="124"/>
      <c r="AT39" s="124"/>
      <c r="AU39" s="124"/>
      <c r="AV39" s="124"/>
      <c r="AW39" s="124"/>
      <c r="AX39" s="124"/>
      <c r="AY39" s="124"/>
      <c r="AZ39" s="124"/>
      <c r="BA39" s="124"/>
      <c r="BB39" s="136"/>
    </row>
    <row r="40" customFormat="false" ht="15.6" hidden="false" customHeight="false" outlineLevel="0" collapsed="false">
      <c r="A40" s="111" t="n">
        <f aca="false">IF(ISBLANK(VLOOKUP(D40,#REF!,3)),0,1)</f>
        <v>1</v>
      </c>
      <c r="B40" s="112" t="n">
        <f aca="false">IF(ISBLANK(D40),0,IF(ISBLANK(E40),0,IF(ISBLANK(F40),0,1)))</f>
        <v>0</v>
      </c>
      <c r="C40" s="128" t="n">
        <v>6</v>
      </c>
      <c r="D40" s="129"/>
      <c r="E40" s="129"/>
      <c r="F40" s="137"/>
      <c r="G40" s="117" t="s">
        <v>99</v>
      </c>
      <c r="H40" s="131" t="n">
        <v>50</v>
      </c>
      <c r="I40" s="125" t="n">
        <v>51.01</v>
      </c>
      <c r="J40" s="132"/>
      <c r="K40" s="133"/>
      <c r="L40" s="133"/>
      <c r="M40" s="133"/>
      <c r="N40" s="134"/>
      <c r="O40" s="133"/>
      <c r="P40" s="132"/>
      <c r="Q40" s="132"/>
      <c r="R40" s="132"/>
      <c r="S40" s="132"/>
      <c r="T40" s="125" t="n">
        <v>0.3</v>
      </c>
      <c r="U40" s="32" t="n">
        <v>0.3</v>
      </c>
      <c r="V40" s="32"/>
      <c r="W40" s="32"/>
      <c r="X40" s="125" t="n">
        <v>0.8</v>
      </c>
      <c r="Y40" s="125" t="n">
        <v>0.8</v>
      </c>
      <c r="Z40" s="125" t="n">
        <v>0.3</v>
      </c>
      <c r="AA40" s="32" t="n">
        <v>0.32</v>
      </c>
      <c r="AB40" s="125" t="n">
        <v>3.3</v>
      </c>
      <c r="AC40" s="125" t="n">
        <v>3.2</v>
      </c>
      <c r="AD40" s="124"/>
      <c r="AE40" s="124"/>
      <c r="AF40" s="124"/>
      <c r="AG40" s="124"/>
      <c r="AH40" s="124"/>
      <c r="AI40" s="124"/>
      <c r="AJ40" s="124"/>
      <c r="AK40" s="124"/>
      <c r="AL40" s="124"/>
      <c r="AM40" s="124"/>
      <c r="AN40" s="124"/>
      <c r="AO40" s="124"/>
      <c r="AP40" s="124"/>
      <c r="AQ40" s="124"/>
      <c r="AR40" s="124"/>
      <c r="AS40" s="124"/>
      <c r="AT40" s="124"/>
      <c r="AU40" s="124"/>
      <c r="AV40" s="124"/>
      <c r="AW40" s="124"/>
      <c r="AX40" s="124"/>
      <c r="AY40" s="124"/>
      <c r="AZ40" s="124"/>
      <c r="BA40" s="124"/>
      <c r="BB40" s="136"/>
    </row>
    <row r="41" customFormat="false" ht="15.6" hidden="false" customHeight="false" outlineLevel="0" collapsed="false">
      <c r="A41" s="111" t="n">
        <f aca="false">IF(ISBLANK(VLOOKUP(D41,#REF!,3)),0,1)</f>
        <v>1</v>
      </c>
      <c r="B41" s="112" t="n">
        <f aca="false">IF(ISBLANK(D41),0,IF(ISBLANK(E41),0,IF(ISBLANK(F41),0,1)))</f>
        <v>0</v>
      </c>
      <c r="C41" s="128" t="n">
        <v>7</v>
      </c>
      <c r="D41" s="129"/>
      <c r="E41" s="129"/>
      <c r="F41" s="137"/>
      <c r="G41" s="117" t="s">
        <v>99</v>
      </c>
      <c r="H41" s="131" t="n">
        <v>20</v>
      </c>
      <c r="I41" s="125" t="n">
        <v>20.18</v>
      </c>
      <c r="J41" s="132"/>
      <c r="K41" s="133"/>
      <c r="L41" s="133"/>
      <c r="M41" s="133"/>
      <c r="N41" s="134"/>
      <c r="O41" s="133"/>
      <c r="P41" s="132"/>
      <c r="Q41" s="132"/>
      <c r="R41" s="132"/>
      <c r="S41" s="132"/>
      <c r="T41" s="125" t="n">
        <v>0</v>
      </c>
      <c r="U41" s="32" t="n">
        <v>0.01</v>
      </c>
      <c r="V41" s="32"/>
      <c r="W41" s="32"/>
      <c r="X41" s="125" t="n">
        <v>0</v>
      </c>
      <c r="Y41" s="125" t="n">
        <v>0</v>
      </c>
      <c r="Z41" s="125" t="n">
        <v>0.1</v>
      </c>
      <c r="AA41" s="32" t="n">
        <v>0.05</v>
      </c>
      <c r="AB41" s="125" t="n">
        <v>2.3</v>
      </c>
      <c r="AC41" s="125" t="n">
        <v>2.2</v>
      </c>
      <c r="AD41" s="124"/>
      <c r="AE41" s="124"/>
      <c r="AF41" s="124"/>
      <c r="AG41" s="124"/>
      <c r="AH41" s="124"/>
      <c r="AI41" s="124"/>
      <c r="AJ41" s="124"/>
      <c r="AK41" s="124"/>
      <c r="AL41" s="124"/>
      <c r="AM41" s="124"/>
      <c r="AN41" s="124"/>
      <c r="AO41" s="124"/>
      <c r="AP41" s="124"/>
      <c r="AQ41" s="124"/>
      <c r="AR41" s="124"/>
      <c r="AS41" s="124"/>
      <c r="AT41" s="124"/>
      <c r="AU41" s="124"/>
      <c r="AV41" s="124"/>
      <c r="AW41" s="124"/>
      <c r="AX41" s="124"/>
      <c r="AY41" s="124"/>
      <c r="AZ41" s="124"/>
      <c r="BA41" s="124"/>
      <c r="BB41" s="136"/>
    </row>
    <row r="42" customFormat="false" ht="15.6" hidden="false" customHeight="false" outlineLevel="0" collapsed="false">
      <c r="A42" s="111" t="n">
        <f aca="false">IF(ISBLANK(VLOOKUP(D42,#REF!,3)),0,1)</f>
        <v>1</v>
      </c>
      <c r="B42" s="112" t="n">
        <f aca="false">IF(ISBLANK(D42),0,IF(ISBLANK(E42),0,IF(ISBLANK(F42),0,1)))</f>
        <v>0</v>
      </c>
      <c r="C42" s="128" t="n">
        <v>8</v>
      </c>
      <c r="D42" s="129"/>
      <c r="E42" s="129"/>
      <c r="F42" s="137"/>
      <c r="G42" s="117" t="s">
        <v>99</v>
      </c>
      <c r="H42" s="131" t="n">
        <v>0</v>
      </c>
      <c r="I42" s="125" t="n">
        <v>2.48</v>
      </c>
      <c r="J42" s="132"/>
      <c r="K42" s="133"/>
      <c r="L42" s="133"/>
      <c r="M42" s="133"/>
      <c r="N42" s="134"/>
      <c r="O42" s="133"/>
      <c r="P42" s="132"/>
      <c r="Q42" s="132"/>
      <c r="R42" s="132"/>
      <c r="S42" s="132"/>
      <c r="T42" s="125" t="n">
        <v>0</v>
      </c>
      <c r="U42" s="32" t="n">
        <v>0.01</v>
      </c>
      <c r="V42" s="32"/>
      <c r="W42" s="32"/>
      <c r="X42" s="125" t="n">
        <v>0</v>
      </c>
      <c r="Y42" s="125" t="n">
        <v>0</v>
      </c>
      <c r="Z42" s="125" t="n">
        <v>0</v>
      </c>
      <c r="AA42" s="32" t="n">
        <v>0.03</v>
      </c>
      <c r="AB42" s="125" t="n">
        <v>2.3</v>
      </c>
      <c r="AC42" s="125" t="n">
        <v>2.2</v>
      </c>
      <c r="AD42" s="124"/>
      <c r="AE42" s="124"/>
      <c r="AF42" s="124"/>
      <c r="AG42" s="124"/>
      <c r="AH42" s="124"/>
      <c r="AI42" s="124"/>
      <c r="AJ42" s="124"/>
      <c r="AK42" s="124"/>
      <c r="AL42" s="124"/>
      <c r="AM42" s="124"/>
      <c r="AN42" s="124"/>
      <c r="AO42" s="124"/>
      <c r="AP42" s="124"/>
      <c r="AQ42" s="124"/>
      <c r="AR42" s="124"/>
      <c r="AS42" s="124"/>
      <c r="AT42" s="124"/>
      <c r="AU42" s="124"/>
      <c r="AV42" s="124"/>
      <c r="AW42" s="124"/>
      <c r="AX42" s="124"/>
      <c r="AY42" s="124"/>
      <c r="AZ42" s="124"/>
      <c r="BA42" s="124"/>
      <c r="BB42" s="136"/>
    </row>
    <row r="43" customFormat="false" ht="15.6" hidden="false" customHeight="false" outlineLevel="0" collapsed="false">
      <c r="A43" s="111" t="n">
        <f aca="false">IF(ISBLANK(VLOOKUP(D43,#REF!,3)),0,1)</f>
        <v>1</v>
      </c>
      <c r="B43" s="112" t="n">
        <f aca="false">IF(ISBLANK(D43),0,IF(ISBLANK(E43),0,IF(ISBLANK(F43),0,1)))</f>
        <v>0</v>
      </c>
      <c r="C43" s="128" t="n">
        <v>9</v>
      </c>
      <c r="D43" s="129"/>
      <c r="E43" s="129"/>
      <c r="F43" s="137"/>
      <c r="G43" s="117" t="s">
        <v>99</v>
      </c>
      <c r="H43" s="131" t="s">
        <v>99</v>
      </c>
      <c r="I43" s="190" t="s">
        <v>99</v>
      </c>
      <c r="J43" s="132"/>
      <c r="K43" s="133"/>
      <c r="L43" s="133"/>
      <c r="M43" s="133"/>
      <c r="N43" s="134"/>
      <c r="O43" s="133"/>
      <c r="P43" s="132"/>
      <c r="Q43" s="132"/>
      <c r="R43" s="132"/>
      <c r="S43" s="132"/>
      <c r="T43" s="132"/>
      <c r="U43" s="132"/>
      <c r="V43" s="132"/>
      <c r="W43" s="132"/>
      <c r="X43" s="132"/>
      <c r="Y43" s="132"/>
      <c r="Z43" s="132"/>
      <c r="AA43" s="132"/>
      <c r="AB43" s="132"/>
      <c r="AC43" s="132"/>
      <c r="AD43" s="124"/>
      <c r="AE43" s="124"/>
      <c r="AF43" s="124"/>
      <c r="AG43" s="124"/>
      <c r="AH43" s="124"/>
      <c r="AI43" s="124"/>
      <c r="AJ43" s="124"/>
      <c r="AK43" s="124"/>
      <c r="AL43" s="124"/>
      <c r="AM43" s="124"/>
      <c r="AN43" s="124"/>
      <c r="AO43" s="124"/>
      <c r="AP43" s="124"/>
      <c r="AQ43" s="124"/>
      <c r="AR43" s="124"/>
      <c r="AS43" s="124"/>
      <c r="AT43" s="124"/>
      <c r="AU43" s="124"/>
      <c r="AV43" s="124"/>
      <c r="AW43" s="124"/>
      <c r="AX43" s="124"/>
      <c r="AY43" s="124"/>
      <c r="AZ43" s="124"/>
      <c r="BA43" s="124"/>
      <c r="BB43" s="136"/>
    </row>
    <row r="44" customFormat="false" ht="15.6" hidden="false" customHeight="false" outlineLevel="0" collapsed="false">
      <c r="A44" s="111" t="n">
        <f aca="false">IF(ISBLANK(VLOOKUP(D44,#REF!,3)),0,1)</f>
        <v>1</v>
      </c>
      <c r="B44" s="112" t="n">
        <f aca="false">IF(ISBLANK(D44),0,IF(ISBLANK(E44),0,IF(ISBLANK(F44),0,1)))</f>
        <v>0</v>
      </c>
      <c r="C44" s="128" t="n">
        <v>10</v>
      </c>
      <c r="D44" s="129"/>
      <c r="E44" s="129"/>
      <c r="F44" s="137"/>
      <c r="G44" s="117" t="s">
        <v>99</v>
      </c>
      <c r="H44" s="131" t="s">
        <v>99</v>
      </c>
      <c r="I44" s="190" t="s">
        <v>99</v>
      </c>
      <c r="J44" s="132"/>
      <c r="K44" s="133"/>
      <c r="L44" s="133"/>
      <c r="M44" s="133"/>
      <c r="N44" s="134"/>
      <c r="O44" s="133"/>
      <c r="P44" s="132"/>
      <c r="Q44" s="132"/>
      <c r="R44" s="132"/>
      <c r="S44" s="132"/>
      <c r="T44" s="132"/>
      <c r="U44" s="132"/>
      <c r="V44" s="132"/>
      <c r="W44" s="132"/>
      <c r="X44" s="132"/>
      <c r="Y44" s="132"/>
      <c r="Z44" s="132"/>
      <c r="AA44" s="132"/>
      <c r="AB44" s="132"/>
      <c r="AC44" s="132"/>
      <c r="AD44" s="124"/>
      <c r="AE44" s="124"/>
      <c r="AF44" s="124"/>
      <c r="AG44" s="124"/>
      <c r="AH44" s="124"/>
      <c r="AI44" s="124"/>
      <c r="AJ44" s="124"/>
      <c r="AK44" s="124"/>
      <c r="AL44" s="124"/>
      <c r="AM44" s="124"/>
      <c r="AN44" s="124"/>
      <c r="AO44" s="124"/>
      <c r="AP44" s="124"/>
      <c r="AQ44" s="124"/>
      <c r="AR44" s="124"/>
      <c r="AS44" s="124"/>
      <c r="AT44" s="124"/>
      <c r="AU44" s="124"/>
      <c r="AV44" s="124"/>
      <c r="AW44" s="124"/>
      <c r="AX44" s="124"/>
      <c r="AY44" s="124"/>
      <c r="AZ44" s="124"/>
      <c r="BA44" s="124"/>
      <c r="BB44" s="136"/>
    </row>
    <row r="45" customFormat="false" ht="15.6" hidden="false" customHeight="false" outlineLevel="0" collapsed="false">
      <c r="A45" s="111" t="n">
        <f aca="false">IF(ISBLANK(VLOOKUP(D45,#REF!,3)),0,1)</f>
        <v>1</v>
      </c>
      <c r="B45" s="112" t="n">
        <f aca="false">IF(ISBLANK(D45),0,IF(ISBLANK(E45),0,IF(ISBLANK(F45),0,1)))</f>
        <v>0</v>
      </c>
      <c r="C45" s="128" t="n">
        <v>11</v>
      </c>
      <c r="D45" s="129"/>
      <c r="E45" s="129"/>
      <c r="F45" s="137"/>
      <c r="G45" s="117" t="s">
        <v>99</v>
      </c>
      <c r="H45" s="131" t="s">
        <v>99</v>
      </c>
      <c r="I45" s="190" t="s">
        <v>99</v>
      </c>
      <c r="J45" s="132"/>
      <c r="K45" s="133"/>
      <c r="L45" s="133"/>
      <c r="M45" s="133"/>
      <c r="N45" s="134"/>
      <c r="O45" s="133"/>
      <c r="P45" s="132"/>
      <c r="Q45" s="132"/>
      <c r="R45" s="132"/>
      <c r="S45" s="132"/>
      <c r="T45" s="132"/>
      <c r="U45" s="132"/>
      <c r="V45" s="132"/>
      <c r="W45" s="132"/>
      <c r="X45" s="132"/>
      <c r="Y45" s="132"/>
      <c r="Z45" s="132"/>
      <c r="AA45" s="132"/>
      <c r="AB45" s="132"/>
      <c r="AC45" s="132"/>
      <c r="AD45" s="124"/>
      <c r="AE45" s="124"/>
      <c r="AF45" s="124"/>
      <c r="AG45" s="124"/>
      <c r="AH45" s="124"/>
      <c r="AI45" s="124"/>
      <c r="AJ45" s="124"/>
      <c r="AK45" s="124"/>
      <c r="AL45" s="124"/>
      <c r="AM45" s="124"/>
      <c r="AN45" s="124"/>
      <c r="AO45" s="124"/>
      <c r="AP45" s="124"/>
      <c r="AQ45" s="124"/>
      <c r="AR45" s="124"/>
      <c r="AS45" s="124"/>
      <c r="AT45" s="124"/>
      <c r="AU45" s="124"/>
      <c r="AV45" s="124"/>
      <c r="AW45" s="124"/>
      <c r="AX45" s="124"/>
      <c r="AY45" s="124"/>
      <c r="AZ45" s="124"/>
      <c r="BA45" s="124"/>
      <c r="BB45" s="136"/>
    </row>
    <row r="46" customFormat="false" ht="15.6" hidden="false" customHeight="false" outlineLevel="0" collapsed="false">
      <c r="A46" s="111" t="n">
        <f aca="false">IF(ISBLANK(VLOOKUP(D46,#REF!,3)),0,1)</f>
        <v>1</v>
      </c>
      <c r="B46" s="112" t="n">
        <f aca="false">IF(ISBLANK(D46),0,IF(ISBLANK(E46),0,IF(ISBLANK(F46),0,1)))</f>
        <v>0</v>
      </c>
      <c r="C46" s="128" t="n">
        <v>12</v>
      </c>
      <c r="D46" s="142"/>
      <c r="E46" s="142"/>
      <c r="F46" s="143"/>
      <c r="G46" s="117" t="s">
        <v>99</v>
      </c>
      <c r="H46" s="131" t="s">
        <v>99</v>
      </c>
      <c r="I46" s="190" t="s">
        <v>99</v>
      </c>
      <c r="J46" s="132"/>
      <c r="K46" s="146" t="str">
        <f aca="false">IF(ISBLANK(E46),"",(0.000824493-(0.0000040899*E46)+(0.000000076438*E46^2)-(0.00000000082467*E46^3)+(0.0000000000053875*E46^4)))</f>
        <v/>
      </c>
      <c r="L46" s="146" t="str">
        <f aca="false">IF(ISBLANK(E46),"",(-0.00000572466+(0.00000010227*E46)-(0.0000000016546*E46^2)))</f>
        <v/>
      </c>
      <c r="M46" s="146" t="str">
        <f aca="false">IF(ISBLANK(E46),"",IF(ISBLANK(G46),(O46+(K46*35)+(L46*35^1.5)+(0.00000048314*35^2)),(O46+(K46*G46)+(L46*G46^1.5)+(0.00000048314*G46^2))))</f>
        <v/>
      </c>
      <c r="N46" s="147" t="str">
        <f aca="false">IF(ISBLANK(D46),"",IF(ISBLANK(G46),J46*(1+0.00001*(35-20)),J46*(1+0.00001*(G46-20))))</f>
        <v/>
      </c>
      <c r="O46" s="146" t="str">
        <f aca="false">IF(ISBLANK(E46),"",(0.999842594+(0.00006793952*E46)-(0.00000909529*E46^2)+(0.0000001001685*E46^3)-(0.000000001120083*E46^4)+(0.000000000006536332*E46^5)))</f>
        <v/>
      </c>
      <c r="P46" s="132"/>
      <c r="Q46" s="132"/>
      <c r="R46" s="132"/>
      <c r="S46" s="132"/>
      <c r="T46" s="132"/>
      <c r="U46" s="132"/>
      <c r="V46" s="132"/>
      <c r="W46" s="132"/>
      <c r="X46" s="132"/>
      <c r="Y46" s="132"/>
      <c r="Z46" s="132"/>
      <c r="AA46" s="132"/>
      <c r="AB46" s="132"/>
      <c r="AC46" s="132"/>
      <c r="AD46" s="124"/>
      <c r="AE46" s="124"/>
      <c r="AF46" s="124"/>
      <c r="AG46" s="124"/>
      <c r="AH46" s="124"/>
      <c r="AI46" s="124"/>
      <c r="AJ46" s="124"/>
      <c r="AK46" s="124"/>
      <c r="AL46" s="124"/>
      <c r="AM46" s="124"/>
      <c r="AN46" s="124"/>
      <c r="AO46" s="124"/>
      <c r="AP46" s="124"/>
      <c r="AQ46" s="124"/>
      <c r="AR46" s="124"/>
      <c r="AS46" s="124"/>
      <c r="AT46" s="124"/>
      <c r="AU46" s="124"/>
      <c r="AV46" s="124"/>
      <c r="AW46" s="124"/>
      <c r="AX46" s="124"/>
      <c r="AY46" s="124"/>
      <c r="AZ46" s="124"/>
      <c r="BA46" s="124"/>
      <c r="BB46" s="136"/>
    </row>
    <row r="47" customFormat="false" ht="15.6" hidden="false" customHeight="false" outlineLevel="0" collapsed="false">
      <c r="A47" s="111" t="n">
        <f aca="false">IF(ISBLANK(VLOOKUP(D47,#REF!,3)),0,1)</f>
        <v>1</v>
      </c>
      <c r="B47" s="112" t="n">
        <f aca="false">IF(ISBLANK(D47),0,IF(ISBLANK(E47),0,IF(ISBLANK(F47),0,1)))</f>
        <v>0</v>
      </c>
      <c r="C47" s="128" t="n">
        <v>13</v>
      </c>
      <c r="D47" s="151"/>
      <c r="E47" s="151"/>
      <c r="F47" s="152"/>
      <c r="G47" s="153"/>
      <c r="H47" s="151"/>
      <c r="I47" s="151"/>
      <c r="J47" s="132"/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32"/>
      <c r="Q47" s="132"/>
      <c r="R47" s="132"/>
      <c r="S47" s="132"/>
      <c r="T47" s="124"/>
      <c r="U47" s="124"/>
      <c r="V47" s="124"/>
      <c r="W47" s="124"/>
      <c r="X47" s="12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24"/>
      <c r="AJ47" s="124"/>
      <c r="AK47" s="124"/>
      <c r="AL47" s="124"/>
      <c r="AM47" s="124"/>
      <c r="AN47" s="124"/>
      <c r="AO47" s="124"/>
      <c r="AP47" s="124"/>
      <c r="AQ47" s="124"/>
      <c r="AR47" s="124"/>
      <c r="AS47" s="124"/>
      <c r="AT47" s="124"/>
      <c r="AU47" s="124"/>
      <c r="AV47" s="124"/>
      <c r="AW47" s="124"/>
      <c r="AX47" s="124"/>
      <c r="AY47" s="124"/>
      <c r="AZ47" s="124"/>
      <c r="BA47" s="124"/>
      <c r="BB47" s="136"/>
    </row>
    <row r="48" customFormat="false" ht="15.6" hidden="false" customHeight="false" outlineLevel="0" collapsed="false">
      <c r="A48" s="111" t="n">
        <f aca="false">IF(ISBLANK(VLOOKUP(D48,#REF!,3)),0,1)</f>
        <v>1</v>
      </c>
      <c r="B48" s="112" t="n">
        <f aca="false">IF(ISBLANK(D48),0,IF(ISBLANK(E48),0,IF(ISBLANK(F48),0,1)))</f>
        <v>0</v>
      </c>
      <c r="C48" s="128" t="n">
        <v>14</v>
      </c>
      <c r="D48" s="151"/>
      <c r="E48" s="151"/>
      <c r="F48" s="152"/>
      <c r="G48" s="153"/>
      <c r="H48" s="151"/>
      <c r="I48" s="151"/>
      <c r="J48" s="132"/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32"/>
      <c r="Q48" s="132"/>
      <c r="R48" s="132"/>
      <c r="S48" s="132"/>
      <c r="T48" s="124"/>
      <c r="U48" s="124"/>
      <c r="V48" s="124"/>
      <c r="W48" s="124"/>
      <c r="X48" s="124"/>
      <c r="Y48" s="124"/>
      <c r="Z48" s="124"/>
      <c r="AA48" s="124"/>
      <c r="AB48" s="124"/>
      <c r="AC48" s="124"/>
      <c r="AD48" s="124"/>
      <c r="AE48" s="124"/>
      <c r="AF48" s="124"/>
      <c r="AG48" s="124"/>
      <c r="AH48" s="124"/>
      <c r="AI48" s="124"/>
      <c r="AJ48" s="124"/>
      <c r="AK48" s="124"/>
      <c r="AL48" s="124"/>
      <c r="AM48" s="124"/>
      <c r="AN48" s="124"/>
      <c r="AO48" s="124"/>
      <c r="AP48" s="124"/>
      <c r="AQ48" s="124"/>
      <c r="AR48" s="124"/>
      <c r="AS48" s="124"/>
      <c r="AT48" s="124"/>
      <c r="AU48" s="124"/>
      <c r="AV48" s="124"/>
      <c r="AW48" s="124"/>
      <c r="AX48" s="124"/>
      <c r="AY48" s="124"/>
      <c r="AZ48" s="124"/>
      <c r="BA48" s="124"/>
      <c r="BB48" s="136"/>
    </row>
    <row r="49" customFormat="false" ht="15.6" hidden="false" customHeight="false" outlineLevel="0" collapsed="false">
      <c r="A49" s="111" t="n">
        <f aca="false">IF(ISBLANK(VLOOKUP(D49,#REF!,3)),0,1)</f>
        <v>1</v>
      </c>
      <c r="B49" s="112" t="n">
        <f aca="false">IF(ISBLANK(D49),0,IF(ISBLANK(E49),0,IF(ISBLANK(F49),0,1)))</f>
        <v>0</v>
      </c>
      <c r="C49" s="128" t="n">
        <v>15</v>
      </c>
      <c r="D49" s="151"/>
      <c r="E49" s="151"/>
      <c r="F49" s="152"/>
      <c r="G49" s="156"/>
      <c r="H49" s="151"/>
      <c r="I49" s="151"/>
      <c r="J49" s="132"/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32"/>
      <c r="Q49" s="132"/>
      <c r="R49" s="132"/>
      <c r="S49" s="132"/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24"/>
      <c r="AE49" s="124"/>
      <c r="AF49" s="124"/>
      <c r="AG49" s="124"/>
      <c r="AH49" s="124"/>
      <c r="AI49" s="124"/>
      <c r="AJ49" s="124"/>
      <c r="AK49" s="124"/>
      <c r="AL49" s="124"/>
      <c r="AM49" s="124"/>
      <c r="AN49" s="124"/>
      <c r="AO49" s="124"/>
      <c r="AP49" s="124"/>
      <c r="AQ49" s="124"/>
      <c r="AR49" s="124"/>
      <c r="AS49" s="124"/>
      <c r="AT49" s="124"/>
      <c r="AU49" s="124"/>
      <c r="AV49" s="124"/>
      <c r="AW49" s="124"/>
      <c r="AX49" s="124"/>
      <c r="AY49" s="124"/>
      <c r="AZ49" s="124"/>
      <c r="BA49" s="124"/>
      <c r="BB49" s="136"/>
    </row>
    <row r="50" customFormat="false" ht="15.6" hidden="false" customHeight="false" outlineLevel="0" collapsed="false">
      <c r="A50" s="111" t="n">
        <f aca="false">IF(ISBLANK(VLOOKUP(D50,#REF!,3)),0,1)</f>
        <v>1</v>
      </c>
      <c r="B50" s="112" t="n">
        <f aca="false">IF(ISBLANK(D50),0,IF(ISBLANK(E50),0,IF(ISBLANK(F50),0,1)))</f>
        <v>0</v>
      </c>
      <c r="C50" s="128" t="n">
        <v>16</v>
      </c>
      <c r="D50" s="151"/>
      <c r="E50" s="151"/>
      <c r="F50" s="152"/>
      <c r="G50" s="156"/>
      <c r="H50" s="151"/>
      <c r="I50" s="151"/>
      <c r="J50" s="132"/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32"/>
      <c r="Q50" s="132"/>
      <c r="R50" s="132"/>
      <c r="S50" s="132"/>
      <c r="T50" s="124"/>
      <c r="U50" s="124"/>
      <c r="V50" s="124"/>
      <c r="W50" s="124"/>
      <c r="X50" s="124"/>
      <c r="Y50" s="124"/>
      <c r="Z50" s="124"/>
      <c r="AA50" s="124"/>
      <c r="AB50" s="124"/>
      <c r="AC50" s="124"/>
      <c r="AD50" s="124"/>
      <c r="AE50" s="124"/>
      <c r="AF50" s="124"/>
      <c r="AG50" s="124"/>
      <c r="AH50" s="124"/>
      <c r="AI50" s="124"/>
      <c r="AJ50" s="124"/>
      <c r="AK50" s="124"/>
      <c r="AL50" s="124"/>
      <c r="AM50" s="124"/>
      <c r="AN50" s="124"/>
      <c r="AO50" s="124"/>
      <c r="AP50" s="124"/>
      <c r="AQ50" s="124"/>
      <c r="AR50" s="124"/>
      <c r="AS50" s="124"/>
      <c r="AT50" s="124"/>
      <c r="AU50" s="124"/>
      <c r="AV50" s="124"/>
      <c r="AW50" s="124"/>
      <c r="AX50" s="124"/>
      <c r="AY50" s="124"/>
      <c r="AZ50" s="124"/>
      <c r="BA50" s="124"/>
      <c r="BB50" s="136"/>
    </row>
    <row r="51" customFormat="false" ht="15.6" hidden="false" customHeight="false" outlineLevel="0" collapsed="false">
      <c r="A51" s="111" t="n">
        <f aca="false">IF(ISBLANK(VLOOKUP(D51,#REF!,3)),0,1)</f>
        <v>1</v>
      </c>
      <c r="B51" s="112" t="n">
        <f aca="false">IF(ISBLANK(D51),0,IF(ISBLANK(E51),0,IF(ISBLANK(F51),0,1)))</f>
        <v>0</v>
      </c>
      <c r="C51" s="128" t="n">
        <v>17</v>
      </c>
      <c r="D51" s="151"/>
      <c r="E51" s="151"/>
      <c r="F51" s="152"/>
      <c r="G51" s="156"/>
      <c r="H51" s="151"/>
      <c r="I51" s="151"/>
      <c r="J51" s="132"/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32"/>
      <c r="Q51" s="132"/>
      <c r="R51" s="132"/>
      <c r="S51" s="132"/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24"/>
      <c r="AE51" s="124"/>
      <c r="AF51" s="124"/>
      <c r="AG51" s="124"/>
      <c r="AH51" s="124"/>
      <c r="AI51" s="124"/>
      <c r="AJ51" s="124"/>
      <c r="AK51" s="124"/>
      <c r="AL51" s="124"/>
      <c r="AM51" s="124"/>
      <c r="AN51" s="124"/>
      <c r="AO51" s="124"/>
      <c r="AP51" s="124"/>
      <c r="AQ51" s="124"/>
      <c r="AR51" s="124"/>
      <c r="AS51" s="124"/>
      <c r="AT51" s="124"/>
      <c r="AU51" s="124"/>
      <c r="AV51" s="124"/>
      <c r="AW51" s="124"/>
      <c r="AX51" s="124"/>
      <c r="AY51" s="124"/>
      <c r="AZ51" s="124"/>
      <c r="BA51" s="124"/>
      <c r="BB51" s="136"/>
    </row>
    <row r="52" customFormat="false" ht="15.6" hidden="false" customHeight="false" outlineLevel="0" collapsed="false">
      <c r="A52" s="111" t="n">
        <f aca="false">IF(ISBLANK(VLOOKUP(D52,#REF!,3)),0,1)</f>
        <v>1</v>
      </c>
      <c r="B52" s="112" t="n">
        <f aca="false">IF(ISBLANK(D52),0,IF(ISBLANK(E52),0,IF(ISBLANK(F52),0,1)))</f>
        <v>0</v>
      </c>
      <c r="C52" s="128" t="n">
        <v>18</v>
      </c>
      <c r="D52" s="151"/>
      <c r="E52" s="151"/>
      <c r="F52" s="152"/>
      <c r="G52" s="156"/>
      <c r="H52" s="151"/>
      <c r="I52" s="151"/>
      <c r="J52" s="132"/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32"/>
      <c r="Q52" s="132"/>
      <c r="R52" s="132"/>
      <c r="S52" s="132"/>
      <c r="T52" s="124"/>
      <c r="U52" s="124"/>
      <c r="V52" s="124"/>
      <c r="W52" s="124"/>
      <c r="X52" s="124"/>
      <c r="Y52" s="124"/>
      <c r="Z52" s="124"/>
      <c r="AA52" s="124"/>
      <c r="AB52" s="124"/>
      <c r="AC52" s="124"/>
      <c r="AD52" s="124"/>
      <c r="AE52" s="124"/>
      <c r="AF52" s="124"/>
      <c r="AG52" s="124"/>
      <c r="AH52" s="124"/>
      <c r="AI52" s="124"/>
      <c r="AJ52" s="124"/>
      <c r="AK52" s="124"/>
      <c r="AL52" s="124"/>
      <c r="AM52" s="124"/>
      <c r="AN52" s="124"/>
      <c r="AO52" s="124"/>
      <c r="AP52" s="124"/>
      <c r="AQ52" s="124"/>
      <c r="AR52" s="124"/>
      <c r="AS52" s="124"/>
      <c r="AT52" s="124"/>
      <c r="AU52" s="124"/>
      <c r="AV52" s="124"/>
      <c r="AW52" s="124"/>
      <c r="AX52" s="124"/>
      <c r="AY52" s="124"/>
      <c r="AZ52" s="124"/>
      <c r="BA52" s="124"/>
      <c r="BB52" s="136"/>
    </row>
    <row r="53" customFormat="false" ht="15.6" hidden="false" customHeight="false" outlineLevel="0" collapsed="false">
      <c r="A53" s="111" t="n">
        <f aca="false">IF(ISBLANK(VLOOKUP(D53,#REF!,3)),0,1)</f>
        <v>1</v>
      </c>
      <c r="B53" s="112" t="n">
        <f aca="false">IF(ISBLANK(D53),0,IF(ISBLANK(E53),0,IF(ISBLANK(F53),0,1)))</f>
        <v>0</v>
      </c>
      <c r="C53" s="128" t="n">
        <v>19</v>
      </c>
      <c r="D53" s="151"/>
      <c r="E53" s="151"/>
      <c r="F53" s="152"/>
      <c r="G53" s="156"/>
      <c r="H53" s="151"/>
      <c r="I53" s="151"/>
      <c r="J53" s="132"/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32"/>
      <c r="Q53" s="132"/>
      <c r="R53" s="132"/>
      <c r="S53" s="132"/>
      <c r="T53" s="124"/>
      <c r="U53" s="124"/>
      <c r="V53" s="124"/>
      <c r="W53" s="124"/>
      <c r="X53" s="12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24"/>
      <c r="AJ53" s="124"/>
      <c r="AK53" s="124"/>
      <c r="AL53" s="124"/>
      <c r="AM53" s="124"/>
      <c r="AN53" s="124"/>
      <c r="AO53" s="124"/>
      <c r="AP53" s="124"/>
      <c r="AQ53" s="124"/>
      <c r="AR53" s="124"/>
      <c r="AS53" s="124"/>
      <c r="AT53" s="124"/>
      <c r="AU53" s="124"/>
      <c r="AV53" s="124"/>
      <c r="AW53" s="124"/>
      <c r="AX53" s="124"/>
      <c r="AY53" s="124"/>
      <c r="AZ53" s="124"/>
      <c r="BA53" s="124"/>
      <c r="BB53" s="136"/>
    </row>
    <row r="54" customFormat="false" ht="15.6" hidden="false" customHeight="false" outlineLevel="0" collapsed="false">
      <c r="A54" s="111" t="n">
        <f aca="false">IF(ISBLANK(VLOOKUP(D54,#REF!,3)),0,1)</f>
        <v>1</v>
      </c>
      <c r="B54" s="112" t="n">
        <f aca="false">IF(ISBLANK(D54),0,IF(ISBLANK(E54),0,IF(ISBLANK(F54),0,1)))</f>
        <v>0</v>
      </c>
      <c r="C54" s="128" t="n">
        <v>20</v>
      </c>
      <c r="D54" s="151"/>
      <c r="E54" s="151"/>
      <c r="F54" s="152"/>
      <c r="G54" s="156"/>
      <c r="H54" s="151"/>
      <c r="I54" s="151"/>
      <c r="J54" s="132"/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32"/>
      <c r="Q54" s="132"/>
      <c r="R54" s="132"/>
      <c r="S54" s="132"/>
      <c r="T54" s="124"/>
      <c r="U54" s="124"/>
      <c r="V54" s="124"/>
      <c r="W54" s="124"/>
      <c r="X54" s="124"/>
      <c r="Y54" s="124"/>
      <c r="Z54" s="124"/>
      <c r="AA54" s="124"/>
      <c r="AB54" s="124"/>
      <c r="AC54" s="124"/>
      <c r="AD54" s="124"/>
      <c r="AE54" s="124"/>
      <c r="AF54" s="124"/>
      <c r="AG54" s="124"/>
      <c r="AH54" s="124"/>
      <c r="AI54" s="124"/>
      <c r="AJ54" s="124"/>
      <c r="AK54" s="124"/>
      <c r="AL54" s="124"/>
      <c r="AM54" s="124"/>
      <c r="AN54" s="124"/>
      <c r="AO54" s="124"/>
      <c r="AP54" s="124"/>
      <c r="AQ54" s="124"/>
      <c r="AR54" s="124"/>
      <c r="AS54" s="124"/>
      <c r="AT54" s="124"/>
      <c r="AU54" s="124"/>
      <c r="AV54" s="124"/>
      <c r="AW54" s="124"/>
      <c r="AX54" s="124"/>
      <c r="AY54" s="124"/>
      <c r="AZ54" s="124"/>
      <c r="BA54" s="124"/>
      <c r="BB54" s="136"/>
    </row>
    <row r="55" customFormat="false" ht="15.6" hidden="false" customHeight="false" outlineLevel="0" collapsed="false">
      <c r="A55" s="111" t="n">
        <f aca="false">IF(ISBLANK(VLOOKUP(D55,#REF!,3)),0,1)</f>
        <v>1</v>
      </c>
      <c r="B55" s="112" t="n">
        <f aca="false">IF(ISBLANK(D55),0,IF(ISBLANK(E55),0,IF(ISBLANK(F55),0,1)))</f>
        <v>0</v>
      </c>
      <c r="C55" s="128" t="n">
        <v>21</v>
      </c>
      <c r="D55" s="151"/>
      <c r="E55" s="151"/>
      <c r="F55" s="152"/>
      <c r="G55" s="156"/>
      <c r="H55" s="151"/>
      <c r="I55" s="151"/>
      <c r="J55" s="132"/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32"/>
      <c r="Q55" s="132"/>
      <c r="R55" s="132"/>
      <c r="S55" s="132"/>
      <c r="T55" s="124"/>
      <c r="U55" s="124"/>
      <c r="V55" s="124"/>
      <c r="W55" s="124"/>
      <c r="X55" s="124"/>
      <c r="Y55" s="124"/>
      <c r="Z55" s="124"/>
      <c r="AA55" s="124"/>
      <c r="AB55" s="124"/>
      <c r="AC55" s="124"/>
      <c r="AD55" s="124"/>
      <c r="AE55" s="124"/>
      <c r="AF55" s="124"/>
      <c r="AG55" s="124"/>
      <c r="AH55" s="124"/>
      <c r="AI55" s="124"/>
      <c r="AJ55" s="124"/>
      <c r="AK55" s="124"/>
      <c r="AL55" s="124"/>
      <c r="AM55" s="124"/>
      <c r="AN55" s="124"/>
      <c r="AO55" s="124"/>
      <c r="AP55" s="124"/>
      <c r="AQ55" s="124"/>
      <c r="AR55" s="124"/>
      <c r="AS55" s="124"/>
      <c r="AT55" s="124"/>
      <c r="AU55" s="124"/>
      <c r="AV55" s="124"/>
      <c r="AW55" s="124"/>
      <c r="AX55" s="124"/>
      <c r="AY55" s="124"/>
      <c r="AZ55" s="124"/>
      <c r="BA55" s="124"/>
      <c r="BB55" s="136"/>
    </row>
    <row r="56" customFormat="false" ht="15.6" hidden="false" customHeight="false" outlineLevel="0" collapsed="false">
      <c r="A56" s="111" t="n">
        <f aca="false">IF(ISBLANK(VLOOKUP(D56,#REF!,3)),0,1)</f>
        <v>1</v>
      </c>
      <c r="B56" s="112" t="n">
        <f aca="false">IF(ISBLANK(D56),0,IF(ISBLANK(E56),0,IF(ISBLANK(F56),0,1)))</f>
        <v>0</v>
      </c>
      <c r="C56" s="128" t="n">
        <v>22</v>
      </c>
      <c r="D56" s="151"/>
      <c r="E56" s="151"/>
      <c r="F56" s="152"/>
      <c r="G56" s="156"/>
      <c r="H56" s="151"/>
      <c r="I56" s="151"/>
      <c r="J56" s="132"/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32"/>
      <c r="Q56" s="132"/>
      <c r="R56" s="132"/>
      <c r="S56" s="132"/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24"/>
      <c r="AE56" s="124"/>
      <c r="AF56" s="124"/>
      <c r="AG56" s="124"/>
      <c r="AH56" s="124"/>
      <c r="AI56" s="124"/>
      <c r="AJ56" s="124"/>
      <c r="AK56" s="124"/>
      <c r="AL56" s="124"/>
      <c r="AM56" s="124"/>
      <c r="AN56" s="124"/>
      <c r="AO56" s="124"/>
      <c r="AP56" s="124"/>
      <c r="AQ56" s="124"/>
      <c r="AR56" s="124"/>
      <c r="AS56" s="124"/>
      <c r="AT56" s="124"/>
      <c r="AU56" s="124"/>
      <c r="AV56" s="124"/>
      <c r="AW56" s="124"/>
      <c r="AX56" s="124"/>
      <c r="AY56" s="124"/>
      <c r="AZ56" s="124"/>
      <c r="BA56" s="124"/>
      <c r="BB56" s="136"/>
    </row>
    <row r="57" customFormat="false" ht="15.6" hidden="false" customHeight="false" outlineLevel="0" collapsed="false">
      <c r="A57" s="111" t="n">
        <f aca="false">IF(ISBLANK(VLOOKUP(D57,#REF!,3)),0,1)</f>
        <v>1</v>
      </c>
      <c r="B57" s="112" t="n">
        <f aca="false">IF(ISBLANK(D57),0,IF(ISBLANK(E57),0,IF(ISBLANK(F57),0,1)))</f>
        <v>0</v>
      </c>
      <c r="C57" s="128" t="n">
        <v>23</v>
      </c>
      <c r="D57" s="151"/>
      <c r="E57" s="151"/>
      <c r="F57" s="152"/>
      <c r="G57" s="156"/>
      <c r="H57" s="151"/>
      <c r="I57" s="151"/>
      <c r="J57" s="132"/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32"/>
      <c r="Q57" s="132"/>
      <c r="R57" s="132"/>
      <c r="S57" s="132"/>
      <c r="T57" s="124"/>
      <c r="U57" s="124"/>
      <c r="V57" s="124"/>
      <c r="W57" s="124"/>
      <c r="X57" s="124"/>
      <c r="Y57" s="124"/>
      <c r="Z57" s="124"/>
      <c r="AA57" s="124"/>
      <c r="AB57" s="124"/>
      <c r="AC57" s="124"/>
      <c r="AD57" s="124"/>
      <c r="AE57" s="124"/>
      <c r="AF57" s="124"/>
      <c r="AG57" s="124"/>
      <c r="AH57" s="124"/>
      <c r="AI57" s="124"/>
      <c r="AJ57" s="124"/>
      <c r="AK57" s="124"/>
      <c r="AL57" s="124"/>
      <c r="AM57" s="124"/>
      <c r="AN57" s="124"/>
      <c r="AO57" s="124"/>
      <c r="AP57" s="124"/>
      <c r="AQ57" s="124"/>
      <c r="AR57" s="124"/>
      <c r="AS57" s="124"/>
      <c r="AT57" s="124"/>
      <c r="AU57" s="124"/>
      <c r="AV57" s="124"/>
      <c r="AW57" s="124"/>
      <c r="AX57" s="124"/>
      <c r="AY57" s="124"/>
      <c r="AZ57" s="124"/>
      <c r="BA57" s="124"/>
      <c r="BB57" s="136"/>
    </row>
    <row r="58" customFormat="false" ht="16.2" hidden="false" customHeight="false" outlineLevel="0" collapsed="false">
      <c r="A58" s="111" t="n">
        <f aca="false">IF(ISBLANK(VLOOKUP(D58,#REF!,3)),0,1)</f>
        <v>1</v>
      </c>
      <c r="B58" s="112" t="n">
        <f aca="false">IF(ISBLANK(D58),0,IF(ISBLANK(E58),0,IF(ISBLANK(F58),0,1)))</f>
        <v>0</v>
      </c>
      <c r="C58" s="158" t="n">
        <v>24</v>
      </c>
      <c r="D58" s="159"/>
      <c r="E58" s="159"/>
      <c r="F58" s="160"/>
      <c r="G58" s="161"/>
      <c r="H58" s="159"/>
      <c r="I58" s="159"/>
      <c r="J58" s="132"/>
      <c r="K58" s="163" t="str">
        <f aca="false">IF(ISBLANK(E58),"",(0.000824493-(0.0000040899*E58)+(0.000000076438*E58^2)-(0.00000000082467*E58^3)+(0.0000000000053875*E58^4)))</f>
        <v/>
      </c>
      <c r="L58" s="163" t="str">
        <f aca="false">IF(ISBLANK(E58),"",(-0.00000572466+(0.00000010227*E58)-(0.0000000016546*E58^2)))</f>
        <v/>
      </c>
      <c r="M58" s="163" t="str">
        <f aca="false">IF(ISBLANK(E58),"",IF(ISBLANK(G58),(O58+(K58*35)+(L58*35^1.5)+(0.00000048314*35^2)),(O58+(K58*G58)+(L58*G58^1.5)+(0.00000048314*G58^2))))</f>
        <v/>
      </c>
      <c r="N58" s="164" t="str">
        <f aca="false">IF(ISBLANK(D58),"",IF(ISBLANK(G58),J58*(1+0.00001*(35-20)),J58*(1+0.00001*(G58-20))))</f>
        <v/>
      </c>
      <c r="O58" s="163" t="str">
        <f aca="false">IF(ISBLANK(E58),"",(0.999842594+(0.00006793952*E58)-(0.00000909529*E58^2)+(0.0000001001685*E58^3)-(0.000000001120083*E58^4)+(0.000000000006536332*E58^5)))</f>
        <v/>
      </c>
      <c r="P58" s="132"/>
      <c r="Q58" s="132"/>
      <c r="R58" s="132"/>
      <c r="S58" s="132"/>
      <c r="T58" s="168"/>
      <c r="U58" s="168"/>
      <c r="V58" s="168"/>
      <c r="W58" s="168"/>
      <c r="X58" s="168"/>
      <c r="Y58" s="168"/>
      <c r="Z58" s="168"/>
      <c r="AA58" s="168"/>
      <c r="AB58" s="168"/>
      <c r="AC58" s="168"/>
      <c r="AD58" s="168"/>
      <c r="AE58" s="168"/>
      <c r="AF58" s="168"/>
      <c r="AG58" s="168"/>
      <c r="AH58" s="168"/>
      <c r="AI58" s="168"/>
      <c r="AJ58" s="168"/>
      <c r="AK58" s="168"/>
      <c r="AL58" s="168"/>
      <c r="AM58" s="168"/>
      <c r="AN58" s="168"/>
      <c r="AO58" s="168"/>
      <c r="AP58" s="168"/>
      <c r="AQ58" s="168"/>
      <c r="AR58" s="168"/>
      <c r="AS58" s="168"/>
      <c r="AT58" s="168"/>
      <c r="AU58" s="168"/>
      <c r="AV58" s="168"/>
      <c r="AW58" s="168"/>
      <c r="AX58" s="168"/>
      <c r="AY58" s="168"/>
      <c r="AZ58" s="168"/>
      <c r="BA58" s="168"/>
      <c r="BB58" s="169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D1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8178137651822"/>
    <col collapsed="false" hidden="false" max="32" min="32" style="0" width="9.10526315789474"/>
    <col collapsed="false" hidden="false" max="33" min="33" style="0" width="26.5668016194332"/>
    <col collapsed="false" hidden="false" max="34" min="34" style="0" width="12.8542510121458"/>
    <col collapsed="false" hidden="false" max="35" min="35" style="0" width="11.1417004048583"/>
    <col collapsed="false" hidden="false" max="36" min="36" style="0" width="14.5668016194332"/>
    <col collapsed="false" hidden="false" max="37" min="37" style="0" width="12.2105263157895"/>
    <col collapsed="false" hidden="false" max="38" min="38" style="0" width="26.995951417004"/>
    <col collapsed="false" hidden="false" max="39" min="39" style="0" width="14.6761133603239"/>
    <col collapsed="false" hidden="false" max="40" min="40" style="0" width="11.3562753036437"/>
    <col collapsed="false" hidden="false" max="41" min="41" style="0" width="12.5344129554656"/>
    <col collapsed="false" hidden="false" max="42" min="42" style="0" width="10.7125506072875"/>
    <col collapsed="false" hidden="false" max="43" min="43" style="0" width="6.31983805668016"/>
    <col collapsed="false" hidden="false" max="44" min="44" style="0" width="19.7085020242915"/>
    <col collapsed="false" hidden="false" max="45" min="45" style="0" width="13.0688259109312"/>
    <col collapsed="false" hidden="false" max="46" min="46" style="0" width="17.7813765182186"/>
    <col collapsed="false" hidden="false" max="47" min="47" style="0" width="14.6761133603239"/>
    <col collapsed="false" hidden="false" max="48" min="48" style="0" width="13.6032388663968"/>
    <col collapsed="false" hidden="false" max="49" min="49" style="0" width="13.7125506072874"/>
    <col collapsed="false" hidden="false" max="50" min="50" style="0" width="19.9230769230769"/>
    <col collapsed="false" hidden="false" max="51" min="51" style="0" width="13.2834008097166"/>
    <col collapsed="false" hidden="false" max="52" min="52" style="0" width="17.6761133603239"/>
    <col collapsed="false" hidden="false" max="53" min="53" style="0" width="13.3886639676113"/>
    <col collapsed="false" hidden="false" max="54" min="54" style="0" width="12.6396761133603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35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38728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6</v>
      </c>
      <c r="J9" s="29" t="n">
        <v>4.06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6°4,06</v>
      </c>
      <c r="P9" s="29" t="s">
        <v>13</v>
      </c>
      <c r="Q9" s="33" t="n">
        <f aca="false">IF(ISBLANK(I9),"",IF(ISBLANK(J9),"",IF(J9&gt;60,"ERREUR !!",O11*(I9+(J9/60)))))</f>
        <v>6.06766666666667</v>
      </c>
      <c r="R9" s="33"/>
    </row>
    <row r="10" customFormat="false" ht="15" hidden="false" customHeight="true" outlineLevel="0" collapsed="false">
      <c r="C10" s="21"/>
      <c r="D10" s="18"/>
      <c r="G10" s="27" t="s">
        <v>16</v>
      </c>
      <c r="H10" s="27"/>
      <c r="I10" s="28" t="n">
        <v>2</v>
      </c>
      <c r="J10" s="29" t="n">
        <v>22.8</v>
      </c>
      <c r="K10" s="30" t="s">
        <v>12</v>
      </c>
      <c r="L10" s="31" t="str">
        <f aca="false">IF(P10=N9,"+","-")</f>
        <v>+</v>
      </c>
      <c r="M10" s="30" t="s">
        <v>15</v>
      </c>
      <c r="N10" s="30" t="s">
        <v>17</v>
      </c>
      <c r="O10" s="34" t="str">
        <f aca="false">IF(ISBLANK(I10),"",IF(ISBLANK(J10),"",IF(P10=N10,L10&amp;N12,N12)))</f>
        <v>2°22,8</v>
      </c>
      <c r="P10" s="29" t="s">
        <v>14</v>
      </c>
      <c r="Q10" s="33" t="n">
        <f aca="false">IF(ISBLANK(I10),"",IF(ISBLANK(J10),"",IF(J10&gt;60,"ERREUR !!",O12*(I10+(J10/60)))))</f>
        <v>2.38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38554</v>
      </c>
      <c r="K11" s="38"/>
      <c r="L11" s="38"/>
      <c r="M11" s="38"/>
      <c r="N11" s="39" t="str">
        <f aca="false">I9&amp;"°"&amp;J9</f>
        <v>6°4,06</v>
      </c>
      <c r="O11" s="40" t="n">
        <f aca="false">IF(P9=M10,-1,1)</f>
        <v>1</v>
      </c>
      <c r="P11" s="41" t="str">
        <f aca="false">TEXT(J11,"aaaa-mm-jj")&amp;"T"&amp;TEXT(J12,"hh:mm:ss")&amp;"z"</f>
        <v>2009-07-22T14:30:00z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0.604166666666667</v>
      </c>
      <c r="K12" s="45"/>
      <c r="L12" s="45"/>
      <c r="M12" s="45"/>
      <c r="N12" s="46" t="str">
        <f aca="false">I10&amp;"°"&amp;J10</f>
        <v>2°22,8</v>
      </c>
      <c r="O12" s="40" t="n">
        <f aca="false">IF(P10=N10,-1,1)</f>
        <v>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e">
        <f aca="false">$P$24*($P$18/#REF!)</f>
        <v>#REF!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e">
        <f aca="false">5+#REF!</f>
        <v>#REF!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e">
        <f aca="false">P20*(1+0.00001*(R14-20))</f>
        <v>#REF!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e">
        <f aca="false">MAX(#REF!)</f>
        <v>#VALUE!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e">
        <f aca="false">2+(#REF!+#REF!)</f>
        <v>#REF!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52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53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IF(ISBLANK(VLOOKUP(D35,#REF!,3)),0,1)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s">
        <v>99</v>
      </c>
      <c r="H35" s="131" t="n">
        <v>240</v>
      </c>
      <c r="I35" s="125" t="n">
        <v>238.83</v>
      </c>
      <c r="J35" s="120"/>
      <c r="K35" s="121"/>
      <c r="L35" s="121"/>
      <c r="M35" s="121"/>
      <c r="N35" s="122"/>
      <c r="O35" s="121"/>
      <c r="P35" s="132"/>
      <c r="Q35" s="120"/>
      <c r="R35" s="120"/>
      <c r="S35" s="120"/>
      <c r="T35" s="125" t="n">
        <v>0</v>
      </c>
      <c r="U35" s="32" t="n">
        <v>0.01</v>
      </c>
      <c r="V35" s="32"/>
      <c r="W35" s="32"/>
      <c r="X35" s="125" t="n">
        <v>27.8</v>
      </c>
      <c r="Y35" s="125" t="n">
        <v>27.2</v>
      </c>
      <c r="Z35" s="125" t="n">
        <v>1.7</v>
      </c>
      <c r="AA35" s="32" t="n">
        <v>1.71</v>
      </c>
      <c r="AB35" s="125" t="n">
        <v>12.2</v>
      </c>
      <c r="AC35" s="125" t="n">
        <v>11.9</v>
      </c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7"/>
    </row>
    <row r="36" customFormat="false" ht="15.6" hidden="false" customHeight="false" outlineLevel="0" collapsed="false">
      <c r="A36" s="111" t="n">
        <f aca="false">IF(ISBLANK(VLOOKUP(D36,#REF!,3)),0,1)</f>
        <v>1</v>
      </c>
      <c r="B36" s="112" t="n">
        <f aca="false">IF(ISBLANK(D36),0,IF(ISBLANK(E36),0,IF(ISBLANK(F36),0,1)))</f>
        <v>0</v>
      </c>
      <c r="C36" s="128" t="n">
        <v>2</v>
      </c>
      <c r="D36" s="129"/>
      <c r="E36" s="129"/>
      <c r="F36" s="130"/>
      <c r="G36" s="117" t="s">
        <v>99</v>
      </c>
      <c r="H36" s="131" t="n">
        <v>200</v>
      </c>
      <c r="I36" s="125" t="n">
        <v>201.65</v>
      </c>
      <c r="J36" s="132"/>
      <c r="K36" s="133"/>
      <c r="L36" s="133"/>
      <c r="M36" s="133"/>
      <c r="N36" s="134"/>
      <c r="O36" s="133"/>
      <c r="P36" s="132"/>
      <c r="Q36" s="132"/>
      <c r="R36" s="132"/>
      <c r="S36" s="132"/>
      <c r="T36" s="125" t="n">
        <v>0</v>
      </c>
      <c r="U36" s="32" t="n">
        <v>0</v>
      </c>
      <c r="V36" s="32"/>
      <c r="W36" s="32"/>
      <c r="X36" s="125" t="n">
        <v>26.2</v>
      </c>
      <c r="Y36" s="125" t="n">
        <v>25.6</v>
      </c>
      <c r="Z36" s="125" t="n">
        <v>1.6</v>
      </c>
      <c r="AA36" s="32" t="n">
        <v>1.61</v>
      </c>
      <c r="AB36" s="125" t="n">
        <v>11.6</v>
      </c>
      <c r="AC36" s="125" t="n">
        <v>11.3</v>
      </c>
      <c r="AD36" s="124"/>
      <c r="AE36" s="124"/>
      <c r="AF36" s="124"/>
      <c r="AG36" s="124"/>
      <c r="AH36" s="124"/>
      <c r="AI36" s="124"/>
      <c r="AJ36" s="124"/>
      <c r="AK36" s="124"/>
      <c r="AL36" s="124"/>
      <c r="AM36" s="124"/>
      <c r="AN36" s="124"/>
      <c r="AO36" s="124"/>
      <c r="AP36" s="124"/>
      <c r="AQ36" s="124"/>
      <c r="AR36" s="124"/>
      <c r="AS36" s="124"/>
      <c r="AT36" s="124"/>
      <c r="AU36" s="124"/>
      <c r="AV36" s="124"/>
      <c r="AW36" s="124"/>
      <c r="AX36" s="124"/>
      <c r="AY36" s="124"/>
      <c r="AZ36" s="124"/>
      <c r="BA36" s="124"/>
      <c r="BB36" s="136"/>
    </row>
    <row r="37" customFormat="false" ht="15.6" hidden="false" customHeight="false" outlineLevel="0" collapsed="false">
      <c r="A37" s="111" t="n">
        <f aca="false">IF(ISBLANK(VLOOKUP(D37,#REF!,3)),0,1)</f>
        <v>1</v>
      </c>
      <c r="B37" s="112" t="n">
        <f aca="false">IF(ISBLANK(D37),0,IF(ISBLANK(E37),0,IF(ISBLANK(F37),0,1)))</f>
        <v>0</v>
      </c>
      <c r="C37" s="128" t="n">
        <v>3</v>
      </c>
      <c r="D37" s="129"/>
      <c r="E37" s="129"/>
      <c r="F37" s="137"/>
      <c r="G37" s="117" t="s">
        <v>99</v>
      </c>
      <c r="H37" s="131" t="n">
        <v>100</v>
      </c>
      <c r="I37" s="125" t="n">
        <v>99.31</v>
      </c>
      <c r="J37" s="132"/>
      <c r="K37" s="133"/>
      <c r="L37" s="133"/>
      <c r="M37" s="133"/>
      <c r="N37" s="134"/>
      <c r="O37" s="133"/>
      <c r="P37" s="132"/>
      <c r="Q37" s="132"/>
      <c r="R37" s="132"/>
      <c r="S37" s="132"/>
      <c r="T37" s="125" t="n">
        <v>0</v>
      </c>
      <c r="U37" s="32" t="n">
        <v>0.01</v>
      </c>
      <c r="V37" s="32"/>
      <c r="W37" s="32"/>
      <c r="X37" s="125" t="n">
        <v>19.1</v>
      </c>
      <c r="Y37" s="125" t="n">
        <v>18.7</v>
      </c>
      <c r="Z37" s="125" t="n">
        <v>1.3</v>
      </c>
      <c r="AA37" s="32" t="n">
        <v>1.24</v>
      </c>
      <c r="AB37" s="125" t="n">
        <v>8.5</v>
      </c>
      <c r="AC37" s="125" t="n">
        <v>8.3</v>
      </c>
      <c r="AD37" s="124"/>
      <c r="AE37" s="124"/>
      <c r="AF37" s="124"/>
      <c r="AG37" s="124"/>
      <c r="AH37" s="124"/>
      <c r="AI37" s="124"/>
      <c r="AJ37" s="124"/>
      <c r="AK37" s="124"/>
      <c r="AL37" s="124"/>
      <c r="AM37" s="124"/>
      <c r="AN37" s="124"/>
      <c r="AO37" s="124"/>
      <c r="AP37" s="124"/>
      <c r="AQ37" s="124"/>
      <c r="AR37" s="124"/>
      <c r="AS37" s="124"/>
      <c r="AT37" s="124"/>
      <c r="AU37" s="124"/>
      <c r="AV37" s="124"/>
      <c r="AW37" s="124"/>
      <c r="AX37" s="124"/>
      <c r="AY37" s="124"/>
      <c r="AZ37" s="124"/>
      <c r="BA37" s="124"/>
      <c r="BB37" s="136"/>
    </row>
    <row r="38" customFormat="false" ht="15.6" hidden="false" customHeight="false" outlineLevel="0" collapsed="false">
      <c r="A38" s="111" t="n">
        <f aca="false">IF(ISBLANK(VLOOKUP(D38,#REF!,3)),0,1)</f>
        <v>1</v>
      </c>
      <c r="B38" s="112" t="n">
        <f aca="false">IF(ISBLANK(D38),0,IF(ISBLANK(E38),0,IF(ISBLANK(F38),0,1)))</f>
        <v>0</v>
      </c>
      <c r="C38" s="128" t="n">
        <v>4</v>
      </c>
      <c r="D38" s="138"/>
      <c r="E38" s="138"/>
      <c r="F38" s="139"/>
      <c r="G38" s="117" t="s">
        <v>99</v>
      </c>
      <c r="H38" s="131" t="n">
        <v>80</v>
      </c>
      <c r="I38" s="125" t="n">
        <v>80.48</v>
      </c>
      <c r="J38" s="132"/>
      <c r="K38" s="133"/>
      <c r="L38" s="133"/>
      <c r="M38" s="133"/>
      <c r="N38" s="134"/>
      <c r="O38" s="133"/>
      <c r="P38" s="132"/>
      <c r="Q38" s="132"/>
      <c r="R38" s="132"/>
      <c r="S38" s="132"/>
      <c r="T38" s="125" t="n">
        <v>0</v>
      </c>
      <c r="U38" s="32" t="n">
        <v>0.02</v>
      </c>
      <c r="V38" s="32"/>
      <c r="W38" s="32"/>
      <c r="X38" s="125" t="n">
        <v>17.2</v>
      </c>
      <c r="Y38" s="125" t="n">
        <v>16.8</v>
      </c>
      <c r="Z38" s="125" t="n">
        <v>1.1</v>
      </c>
      <c r="AA38" s="32" t="n">
        <v>1.07</v>
      </c>
      <c r="AB38" s="125" t="n">
        <v>7.7</v>
      </c>
      <c r="AC38" s="125" t="n">
        <v>7.5</v>
      </c>
      <c r="AD38" s="124"/>
      <c r="AE38" s="124"/>
      <c r="AF38" s="124"/>
      <c r="AG38" s="124"/>
      <c r="AH38" s="124"/>
      <c r="AI38" s="124"/>
      <c r="AJ38" s="124"/>
      <c r="AK38" s="124"/>
      <c r="AL38" s="124"/>
      <c r="AM38" s="124"/>
      <c r="AN38" s="124"/>
      <c r="AO38" s="124"/>
      <c r="AP38" s="124"/>
      <c r="AQ38" s="124"/>
      <c r="AR38" s="124"/>
      <c r="AS38" s="124"/>
      <c r="AT38" s="124"/>
      <c r="AU38" s="124"/>
      <c r="AV38" s="124"/>
      <c r="AW38" s="124"/>
      <c r="AX38" s="124"/>
      <c r="AY38" s="124"/>
      <c r="AZ38" s="124"/>
      <c r="BA38" s="124"/>
      <c r="BB38" s="136"/>
    </row>
    <row r="39" customFormat="false" ht="15.6" hidden="false" customHeight="false" outlineLevel="0" collapsed="false">
      <c r="A39" s="111" t="n">
        <f aca="false">IF(ISBLANK(VLOOKUP(D39,#REF!,3)),0,1)</f>
        <v>1</v>
      </c>
      <c r="B39" s="112" t="n">
        <f aca="false">IF(ISBLANK(D39),0,IF(ISBLANK(E39),0,IF(ISBLANK(F39),0,1)))</f>
        <v>0</v>
      </c>
      <c r="C39" s="128" t="n">
        <v>5</v>
      </c>
      <c r="D39" s="129"/>
      <c r="E39" s="129"/>
      <c r="F39" s="137"/>
      <c r="G39" s="117" t="s">
        <v>99</v>
      </c>
      <c r="H39" s="131" t="n">
        <v>50</v>
      </c>
      <c r="I39" s="125" t="n">
        <v>49.94</v>
      </c>
      <c r="J39" s="132"/>
      <c r="K39" s="133"/>
      <c r="L39" s="133"/>
      <c r="M39" s="133"/>
      <c r="N39" s="134"/>
      <c r="O39" s="133"/>
      <c r="P39" s="132"/>
      <c r="Q39" s="132"/>
      <c r="R39" s="132"/>
      <c r="S39" s="132"/>
      <c r="T39" s="125" t="n">
        <v>0.2</v>
      </c>
      <c r="U39" s="32" t="n">
        <v>0.15</v>
      </c>
      <c r="V39" s="32"/>
      <c r="W39" s="32"/>
      <c r="X39" s="125" t="n">
        <v>8.5</v>
      </c>
      <c r="Y39" s="125" t="n">
        <v>8.3</v>
      </c>
      <c r="Z39" s="125" t="n">
        <v>0.7</v>
      </c>
      <c r="AA39" s="32" t="n">
        <v>0.65</v>
      </c>
      <c r="AB39" s="125" t="n">
        <v>5.1</v>
      </c>
      <c r="AC39" s="125" t="n">
        <v>5</v>
      </c>
      <c r="AD39" s="124"/>
      <c r="AE39" s="124"/>
      <c r="AF39" s="124"/>
      <c r="AG39" s="124"/>
      <c r="AH39" s="124"/>
      <c r="AI39" s="124"/>
      <c r="AJ39" s="124"/>
      <c r="AK39" s="124"/>
      <c r="AL39" s="124"/>
      <c r="AM39" s="124"/>
      <c r="AN39" s="124"/>
      <c r="AO39" s="124"/>
      <c r="AP39" s="124"/>
      <c r="AQ39" s="124"/>
      <c r="AR39" s="124"/>
      <c r="AS39" s="124"/>
      <c r="AT39" s="124"/>
      <c r="AU39" s="124"/>
      <c r="AV39" s="124"/>
      <c r="AW39" s="124"/>
      <c r="AX39" s="124"/>
      <c r="AY39" s="124"/>
      <c r="AZ39" s="124"/>
      <c r="BA39" s="124"/>
      <c r="BB39" s="136"/>
    </row>
    <row r="40" customFormat="false" ht="15.6" hidden="false" customHeight="false" outlineLevel="0" collapsed="false">
      <c r="A40" s="111" t="n">
        <f aca="false">IF(ISBLANK(VLOOKUP(D40,#REF!,3)),0,1)</f>
        <v>1</v>
      </c>
      <c r="B40" s="112" t="n">
        <f aca="false">IF(ISBLANK(D40),0,IF(ISBLANK(E40),0,IF(ISBLANK(F40),0,1)))</f>
        <v>0</v>
      </c>
      <c r="C40" s="128" t="n">
        <v>6</v>
      </c>
      <c r="D40" s="129"/>
      <c r="E40" s="129"/>
      <c r="F40" s="137"/>
      <c r="G40" s="117" t="s">
        <v>99</v>
      </c>
      <c r="H40" s="131" t="n">
        <v>20</v>
      </c>
      <c r="I40" s="125" t="n">
        <v>20.47</v>
      </c>
      <c r="J40" s="132"/>
      <c r="K40" s="133"/>
      <c r="L40" s="133"/>
      <c r="M40" s="133"/>
      <c r="N40" s="134"/>
      <c r="O40" s="133"/>
      <c r="P40" s="132"/>
      <c r="Q40" s="132"/>
      <c r="R40" s="132"/>
      <c r="S40" s="132"/>
      <c r="T40" s="125" t="n">
        <v>0</v>
      </c>
      <c r="U40" s="32" t="n">
        <v>0</v>
      </c>
      <c r="V40" s="32"/>
      <c r="W40" s="32"/>
      <c r="X40" s="125" t="n">
        <v>0</v>
      </c>
      <c r="Y40" s="125" t="n">
        <v>0</v>
      </c>
      <c r="Z40" s="125" t="n">
        <v>0</v>
      </c>
      <c r="AA40" s="32" t="n">
        <v>0.04</v>
      </c>
      <c r="AB40" s="125" t="n">
        <v>2.1</v>
      </c>
      <c r="AC40" s="125" t="n">
        <v>2.1</v>
      </c>
      <c r="AD40" s="124"/>
      <c r="AE40" s="124"/>
      <c r="AF40" s="124"/>
      <c r="AG40" s="124"/>
      <c r="AH40" s="124"/>
      <c r="AI40" s="124"/>
      <c r="AJ40" s="124"/>
      <c r="AK40" s="124"/>
      <c r="AL40" s="124"/>
      <c r="AM40" s="124"/>
      <c r="AN40" s="124"/>
      <c r="AO40" s="124"/>
      <c r="AP40" s="124"/>
      <c r="AQ40" s="124"/>
      <c r="AR40" s="124"/>
      <c r="AS40" s="124"/>
      <c r="AT40" s="124"/>
      <c r="AU40" s="124"/>
      <c r="AV40" s="124"/>
      <c r="AW40" s="124"/>
      <c r="AX40" s="124"/>
      <c r="AY40" s="124"/>
      <c r="AZ40" s="124"/>
      <c r="BA40" s="124"/>
      <c r="BB40" s="136"/>
    </row>
    <row r="41" customFormat="false" ht="15.6" hidden="false" customHeight="false" outlineLevel="0" collapsed="false">
      <c r="A41" s="111" t="n">
        <f aca="false">IF(ISBLANK(VLOOKUP(D41,#REF!,3)),0,1)</f>
        <v>1</v>
      </c>
      <c r="B41" s="112" t="n">
        <f aca="false">IF(ISBLANK(D41),0,IF(ISBLANK(E41),0,IF(ISBLANK(F41),0,1)))</f>
        <v>0</v>
      </c>
      <c r="C41" s="128" t="n">
        <v>7</v>
      </c>
      <c r="D41" s="129"/>
      <c r="E41" s="129"/>
      <c r="F41" s="137"/>
      <c r="G41" s="117" t="s">
        <v>99</v>
      </c>
      <c r="H41" s="131" t="n">
        <v>0</v>
      </c>
      <c r="I41" s="125" t="n">
        <v>2.22</v>
      </c>
      <c r="J41" s="132"/>
      <c r="K41" s="133"/>
      <c r="L41" s="133"/>
      <c r="M41" s="133"/>
      <c r="N41" s="134"/>
      <c r="O41" s="133"/>
      <c r="P41" s="132"/>
      <c r="Q41" s="132"/>
      <c r="R41" s="132"/>
      <c r="S41" s="132"/>
      <c r="T41" s="125" t="n">
        <v>0</v>
      </c>
      <c r="U41" s="32" t="n">
        <v>0</v>
      </c>
      <c r="V41" s="32"/>
      <c r="W41" s="32"/>
      <c r="X41" s="125" t="n">
        <v>0</v>
      </c>
      <c r="Y41" s="125" t="n">
        <v>0</v>
      </c>
      <c r="Z41" s="125" t="n">
        <v>0</v>
      </c>
      <c r="AA41" s="32" t="n">
        <v>0.03</v>
      </c>
      <c r="AB41" s="125" t="n">
        <v>2.2</v>
      </c>
      <c r="AC41" s="125" t="n">
        <v>2.1</v>
      </c>
      <c r="AD41" s="124"/>
      <c r="AE41" s="124"/>
      <c r="AF41" s="124"/>
      <c r="AG41" s="124"/>
      <c r="AH41" s="124"/>
      <c r="AI41" s="124"/>
      <c r="AJ41" s="124"/>
      <c r="AK41" s="124"/>
      <c r="AL41" s="124"/>
      <c r="AM41" s="124"/>
      <c r="AN41" s="124"/>
      <c r="AO41" s="124"/>
      <c r="AP41" s="124"/>
      <c r="AQ41" s="124"/>
      <c r="AR41" s="124"/>
      <c r="AS41" s="124"/>
      <c r="AT41" s="124"/>
      <c r="AU41" s="124"/>
      <c r="AV41" s="124"/>
      <c r="AW41" s="124"/>
      <c r="AX41" s="124"/>
      <c r="AY41" s="124"/>
      <c r="AZ41" s="124"/>
      <c r="BA41" s="124"/>
      <c r="BB41" s="136"/>
    </row>
    <row r="42" customFormat="false" ht="15.6" hidden="false" customHeight="false" outlineLevel="0" collapsed="false">
      <c r="A42" s="111" t="n">
        <f aca="false">IF(ISBLANK(VLOOKUP(D42,#REF!,3)),0,1)</f>
        <v>1</v>
      </c>
      <c r="B42" s="112" t="n">
        <f aca="false">IF(ISBLANK(D42),0,IF(ISBLANK(E42),0,IF(ISBLANK(F42),0,1)))</f>
        <v>0</v>
      </c>
      <c r="C42" s="128" t="n">
        <v>8</v>
      </c>
      <c r="D42" s="129"/>
      <c r="E42" s="129"/>
      <c r="F42" s="137"/>
      <c r="G42" s="117" t="s">
        <v>99</v>
      </c>
      <c r="H42" s="131" t="s">
        <v>99</v>
      </c>
      <c r="I42" s="190" t="s">
        <v>99</v>
      </c>
      <c r="J42" s="132"/>
      <c r="K42" s="133"/>
      <c r="L42" s="133"/>
      <c r="M42" s="133"/>
      <c r="N42" s="134"/>
      <c r="O42" s="133"/>
      <c r="P42" s="132"/>
      <c r="Q42" s="132"/>
      <c r="R42" s="132"/>
      <c r="T42" s="132"/>
      <c r="V42" s="32"/>
      <c r="W42" s="32"/>
      <c r="X42" s="132"/>
      <c r="Z42" s="132"/>
      <c r="AA42" s="132"/>
      <c r="AC42" s="132"/>
      <c r="AD42" s="124"/>
      <c r="AE42" s="124"/>
      <c r="AF42" s="124"/>
      <c r="AG42" s="124"/>
      <c r="AH42" s="124"/>
      <c r="AI42" s="124"/>
      <c r="AJ42" s="124"/>
      <c r="AK42" s="124"/>
      <c r="AL42" s="124"/>
      <c r="AM42" s="124"/>
      <c r="AN42" s="124"/>
      <c r="AO42" s="124"/>
      <c r="AP42" s="124"/>
      <c r="AQ42" s="124"/>
      <c r="AR42" s="124"/>
      <c r="AS42" s="124"/>
      <c r="AT42" s="124"/>
      <c r="AU42" s="124"/>
      <c r="AV42" s="124"/>
      <c r="AW42" s="124"/>
      <c r="AX42" s="124"/>
      <c r="AY42" s="124"/>
      <c r="AZ42" s="124"/>
      <c r="BA42" s="124"/>
      <c r="BB42" s="136"/>
    </row>
    <row r="43" customFormat="false" ht="15.6" hidden="false" customHeight="false" outlineLevel="0" collapsed="false">
      <c r="A43" s="111" t="n">
        <f aca="false">IF(ISBLANK(VLOOKUP(D43,#REF!,3)),0,1)</f>
        <v>1</v>
      </c>
      <c r="B43" s="112" t="n">
        <f aca="false">IF(ISBLANK(D43),0,IF(ISBLANK(E43),0,IF(ISBLANK(F43),0,1)))</f>
        <v>0</v>
      </c>
      <c r="C43" s="128" t="n">
        <v>9</v>
      </c>
      <c r="D43" s="129"/>
      <c r="E43" s="129"/>
      <c r="F43" s="137"/>
      <c r="G43" s="117" t="s">
        <v>99</v>
      </c>
      <c r="H43" s="131" t="s">
        <v>99</v>
      </c>
      <c r="I43" s="190" t="s">
        <v>99</v>
      </c>
      <c r="J43" s="132"/>
      <c r="K43" s="133"/>
      <c r="L43" s="133"/>
      <c r="M43" s="133"/>
      <c r="N43" s="134"/>
      <c r="O43" s="133"/>
      <c r="P43" s="132"/>
      <c r="Q43" s="132"/>
      <c r="R43" s="132"/>
      <c r="S43" s="132"/>
      <c r="T43" s="132"/>
      <c r="U43" s="132"/>
      <c r="V43" s="132"/>
      <c r="W43" s="132"/>
      <c r="X43" s="132"/>
      <c r="Y43" s="132"/>
      <c r="Z43" s="132"/>
      <c r="AA43" s="132"/>
      <c r="AB43" s="132"/>
      <c r="AC43" s="132"/>
      <c r="AD43" s="124"/>
      <c r="AE43" s="124"/>
      <c r="AF43" s="124"/>
      <c r="AG43" s="124"/>
      <c r="AH43" s="124"/>
      <c r="AI43" s="124"/>
      <c r="AJ43" s="124"/>
      <c r="AK43" s="124"/>
      <c r="AL43" s="124"/>
      <c r="AM43" s="124"/>
      <c r="AN43" s="124"/>
      <c r="AO43" s="124"/>
      <c r="AP43" s="124"/>
      <c r="AQ43" s="124"/>
      <c r="AR43" s="124"/>
      <c r="AS43" s="124"/>
      <c r="AT43" s="124"/>
      <c r="AU43" s="124"/>
      <c r="AV43" s="124"/>
      <c r="AW43" s="124"/>
      <c r="AX43" s="124"/>
      <c r="AY43" s="124"/>
      <c r="AZ43" s="124"/>
      <c r="BA43" s="124"/>
      <c r="BB43" s="136"/>
    </row>
    <row r="44" customFormat="false" ht="15.6" hidden="false" customHeight="false" outlineLevel="0" collapsed="false">
      <c r="A44" s="111" t="n">
        <f aca="false">IF(ISBLANK(VLOOKUP(D44,#REF!,3)),0,1)</f>
        <v>1</v>
      </c>
      <c r="B44" s="112" t="n">
        <f aca="false">IF(ISBLANK(D44),0,IF(ISBLANK(E44),0,IF(ISBLANK(F44),0,1)))</f>
        <v>0</v>
      </c>
      <c r="C44" s="128" t="n">
        <v>10</v>
      </c>
      <c r="D44" s="129"/>
      <c r="E44" s="129"/>
      <c r="F44" s="137"/>
      <c r="G44" s="117" t="s">
        <v>99</v>
      </c>
      <c r="H44" s="131" t="s">
        <v>99</v>
      </c>
      <c r="I44" s="190" t="s">
        <v>99</v>
      </c>
      <c r="J44" s="132"/>
      <c r="K44" s="133"/>
      <c r="L44" s="133"/>
      <c r="M44" s="133"/>
      <c r="N44" s="134"/>
      <c r="O44" s="133"/>
      <c r="P44" s="132"/>
      <c r="Q44" s="132"/>
      <c r="R44" s="132"/>
      <c r="S44" s="132"/>
      <c r="T44" s="132"/>
      <c r="U44" s="132"/>
      <c r="V44" s="132"/>
      <c r="W44" s="132"/>
      <c r="X44" s="132"/>
      <c r="Y44" s="132"/>
      <c r="Z44" s="132"/>
      <c r="AA44" s="132"/>
      <c r="AB44" s="132"/>
      <c r="AC44" s="132"/>
      <c r="AD44" s="124"/>
      <c r="AE44" s="124"/>
      <c r="AF44" s="124"/>
      <c r="AG44" s="124"/>
      <c r="AH44" s="124"/>
      <c r="AI44" s="124"/>
      <c r="AJ44" s="124"/>
      <c r="AK44" s="124"/>
      <c r="AL44" s="124"/>
      <c r="AM44" s="124"/>
      <c r="AN44" s="124"/>
      <c r="AO44" s="124"/>
      <c r="AP44" s="124"/>
      <c r="AQ44" s="124"/>
      <c r="AR44" s="124"/>
      <c r="AS44" s="124"/>
      <c r="AT44" s="124"/>
      <c r="AU44" s="124"/>
      <c r="AV44" s="124"/>
      <c r="AW44" s="124"/>
      <c r="AX44" s="124"/>
      <c r="AY44" s="124"/>
      <c r="AZ44" s="124"/>
      <c r="BA44" s="124"/>
      <c r="BB44" s="136"/>
    </row>
    <row r="45" customFormat="false" ht="15.6" hidden="false" customHeight="false" outlineLevel="0" collapsed="false">
      <c r="A45" s="111" t="n">
        <f aca="false">IF(ISBLANK(VLOOKUP(D45,#REF!,3)),0,1)</f>
        <v>1</v>
      </c>
      <c r="B45" s="112" t="n">
        <f aca="false">IF(ISBLANK(D45),0,IF(ISBLANK(E45),0,IF(ISBLANK(F45),0,1)))</f>
        <v>0</v>
      </c>
      <c r="C45" s="128" t="n">
        <v>11</v>
      </c>
      <c r="D45" s="129"/>
      <c r="E45" s="129"/>
      <c r="F45" s="137"/>
      <c r="G45" s="117" t="s">
        <v>99</v>
      </c>
      <c r="H45" s="131" t="s">
        <v>99</v>
      </c>
      <c r="I45" s="190" t="s">
        <v>99</v>
      </c>
      <c r="J45" s="132"/>
      <c r="K45" s="133"/>
      <c r="L45" s="133"/>
      <c r="M45" s="133"/>
      <c r="N45" s="134"/>
      <c r="O45" s="133"/>
      <c r="P45" s="132"/>
      <c r="Q45" s="132"/>
      <c r="R45" s="132"/>
      <c r="S45" s="132"/>
      <c r="T45" s="132"/>
      <c r="U45" s="132"/>
      <c r="V45" s="132"/>
      <c r="W45" s="132"/>
      <c r="X45" s="132"/>
      <c r="Y45" s="132"/>
      <c r="Z45" s="132"/>
      <c r="AA45" s="132"/>
      <c r="AB45" s="132"/>
      <c r="AC45" s="132"/>
      <c r="AD45" s="124"/>
      <c r="AE45" s="124"/>
      <c r="AF45" s="124"/>
      <c r="AG45" s="124"/>
      <c r="AH45" s="124"/>
      <c r="AI45" s="124"/>
      <c r="AJ45" s="124"/>
      <c r="AK45" s="124"/>
      <c r="AL45" s="124"/>
      <c r="AM45" s="124"/>
      <c r="AN45" s="124"/>
      <c r="AO45" s="124"/>
      <c r="AP45" s="124"/>
      <c r="AQ45" s="124"/>
      <c r="AR45" s="124"/>
      <c r="AS45" s="124"/>
      <c r="AT45" s="124"/>
      <c r="AU45" s="124"/>
      <c r="AV45" s="124"/>
      <c r="AW45" s="124"/>
      <c r="AX45" s="124"/>
      <c r="AY45" s="124"/>
      <c r="AZ45" s="124"/>
      <c r="BA45" s="124"/>
      <c r="BB45" s="136"/>
    </row>
    <row r="46" customFormat="false" ht="15.6" hidden="false" customHeight="false" outlineLevel="0" collapsed="false">
      <c r="A46" s="111" t="n">
        <f aca="false">IF(ISBLANK(VLOOKUP(D46,#REF!,3)),0,1)</f>
        <v>1</v>
      </c>
      <c r="B46" s="112" t="n">
        <f aca="false">IF(ISBLANK(D46),0,IF(ISBLANK(E46),0,IF(ISBLANK(F46),0,1)))</f>
        <v>0</v>
      </c>
      <c r="C46" s="128" t="n">
        <v>12</v>
      </c>
      <c r="D46" s="142"/>
      <c r="E46" s="142"/>
      <c r="F46" s="143"/>
      <c r="G46" s="117" t="s">
        <v>99</v>
      </c>
      <c r="H46" s="131" t="s">
        <v>99</v>
      </c>
      <c r="I46" s="190" t="s">
        <v>99</v>
      </c>
      <c r="J46" s="132"/>
      <c r="K46" s="146" t="str">
        <f aca="false">IF(ISBLANK(E46),"",(0.000824493-(0.0000040899*E46)+(0.000000076438*E46^2)-(0.00000000082467*E46^3)+(0.0000000000053875*E46^4)))</f>
        <v/>
      </c>
      <c r="L46" s="146" t="str">
        <f aca="false">IF(ISBLANK(E46),"",(-0.00000572466+(0.00000010227*E46)-(0.0000000016546*E46^2)))</f>
        <v/>
      </c>
      <c r="M46" s="146" t="str">
        <f aca="false">IF(ISBLANK(E46),"",IF(ISBLANK(G46),(O46+(K46*35)+(L46*35^1.5)+(0.00000048314*35^2)),(O46+(K46*G46)+(L46*G46^1.5)+(0.00000048314*G46^2))))</f>
        <v/>
      </c>
      <c r="N46" s="147" t="str">
        <f aca="false">IF(ISBLANK(D46),"",IF(ISBLANK(G46),J46*(1+0.00001*(35-20)),J46*(1+0.00001*(G46-20))))</f>
        <v/>
      </c>
      <c r="O46" s="146" t="str">
        <f aca="false">IF(ISBLANK(E46),"",(0.999842594+(0.00006793952*E46)-(0.00000909529*E46^2)+(0.0000001001685*E46^3)-(0.000000001120083*E46^4)+(0.000000000006536332*E46^5)))</f>
        <v/>
      </c>
      <c r="P46" s="132"/>
      <c r="Q46" s="132"/>
      <c r="R46" s="132"/>
      <c r="S46" s="132"/>
      <c r="T46" s="132"/>
      <c r="U46" s="132"/>
      <c r="V46" s="132"/>
      <c r="W46" s="132"/>
      <c r="X46" s="132"/>
      <c r="Y46" s="132"/>
      <c r="Z46" s="132"/>
      <c r="AA46" s="132"/>
      <c r="AB46" s="132"/>
      <c r="AC46" s="132"/>
      <c r="AD46" s="124"/>
      <c r="AE46" s="124"/>
      <c r="AF46" s="124"/>
      <c r="AG46" s="124"/>
      <c r="AH46" s="124"/>
      <c r="AI46" s="124"/>
      <c r="AJ46" s="124"/>
      <c r="AK46" s="124"/>
      <c r="AL46" s="124"/>
      <c r="AM46" s="124"/>
      <c r="AN46" s="124"/>
      <c r="AO46" s="124"/>
      <c r="AP46" s="124"/>
      <c r="AQ46" s="124"/>
      <c r="AR46" s="124"/>
      <c r="AS46" s="124"/>
      <c r="AT46" s="124"/>
      <c r="AU46" s="124"/>
      <c r="AV46" s="124"/>
      <c r="AW46" s="124"/>
      <c r="AX46" s="124"/>
      <c r="AY46" s="124"/>
      <c r="AZ46" s="124"/>
      <c r="BA46" s="124"/>
      <c r="BB46" s="136"/>
    </row>
    <row r="47" customFormat="false" ht="15.6" hidden="false" customHeight="false" outlineLevel="0" collapsed="false">
      <c r="A47" s="111" t="n">
        <f aca="false">IF(ISBLANK(VLOOKUP(D47,#REF!,3)),0,1)</f>
        <v>1</v>
      </c>
      <c r="B47" s="112" t="n">
        <f aca="false">IF(ISBLANK(D47),0,IF(ISBLANK(E47),0,IF(ISBLANK(F47),0,1)))</f>
        <v>0</v>
      </c>
      <c r="C47" s="128" t="n">
        <v>13</v>
      </c>
      <c r="D47" s="151"/>
      <c r="E47" s="151"/>
      <c r="F47" s="152"/>
      <c r="G47" s="153"/>
      <c r="H47" s="151"/>
      <c r="I47" s="151"/>
      <c r="J47" s="132"/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32"/>
      <c r="Q47" s="132"/>
      <c r="R47" s="132"/>
      <c r="S47" s="132"/>
      <c r="T47" s="124"/>
      <c r="U47" s="124"/>
      <c r="V47" s="124"/>
      <c r="W47" s="124"/>
      <c r="X47" s="12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24"/>
      <c r="AJ47" s="124"/>
      <c r="AK47" s="124"/>
      <c r="AL47" s="124"/>
      <c r="AM47" s="124"/>
      <c r="AN47" s="124"/>
      <c r="AO47" s="124"/>
      <c r="AP47" s="124"/>
      <c r="AQ47" s="124"/>
      <c r="AR47" s="124"/>
      <c r="AS47" s="124"/>
      <c r="AT47" s="124"/>
      <c r="AU47" s="124"/>
      <c r="AV47" s="124"/>
      <c r="AW47" s="124"/>
      <c r="AX47" s="124"/>
      <c r="AY47" s="124"/>
      <c r="AZ47" s="124"/>
      <c r="BA47" s="124"/>
      <c r="BB47" s="136"/>
    </row>
    <row r="48" customFormat="false" ht="15.6" hidden="false" customHeight="false" outlineLevel="0" collapsed="false">
      <c r="A48" s="111" t="n">
        <f aca="false">IF(ISBLANK(VLOOKUP(D48,#REF!,3)),0,1)</f>
        <v>1</v>
      </c>
      <c r="B48" s="112" t="n">
        <f aca="false">IF(ISBLANK(D48),0,IF(ISBLANK(E48),0,IF(ISBLANK(F48),0,1)))</f>
        <v>0</v>
      </c>
      <c r="C48" s="128" t="n">
        <v>14</v>
      </c>
      <c r="D48" s="151"/>
      <c r="E48" s="151"/>
      <c r="F48" s="152"/>
      <c r="G48" s="153"/>
      <c r="H48" s="151"/>
      <c r="I48" s="151"/>
      <c r="J48" s="132"/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32"/>
      <c r="Q48" s="132"/>
      <c r="R48" s="132"/>
      <c r="S48" s="132"/>
      <c r="T48" s="124"/>
      <c r="U48" s="124"/>
      <c r="V48" s="124"/>
      <c r="W48" s="124"/>
      <c r="X48" s="124"/>
      <c r="Y48" s="124"/>
      <c r="Z48" s="124"/>
      <c r="AA48" s="124"/>
      <c r="AB48" s="124"/>
      <c r="AC48" s="124"/>
      <c r="AD48" s="124"/>
      <c r="AE48" s="124"/>
      <c r="AF48" s="124"/>
      <c r="AG48" s="124"/>
      <c r="AH48" s="124"/>
      <c r="AI48" s="124"/>
      <c r="AJ48" s="124"/>
      <c r="AK48" s="124"/>
      <c r="AL48" s="124"/>
      <c r="AM48" s="124"/>
      <c r="AN48" s="124"/>
      <c r="AO48" s="124"/>
      <c r="AP48" s="124"/>
      <c r="AQ48" s="124"/>
      <c r="AR48" s="124"/>
      <c r="AS48" s="124"/>
      <c r="AT48" s="124"/>
      <c r="AU48" s="124"/>
      <c r="AV48" s="124"/>
      <c r="AW48" s="124"/>
      <c r="AX48" s="124"/>
      <c r="AY48" s="124"/>
      <c r="AZ48" s="124"/>
      <c r="BA48" s="124"/>
      <c r="BB48" s="136"/>
    </row>
    <row r="49" customFormat="false" ht="15.6" hidden="false" customHeight="false" outlineLevel="0" collapsed="false">
      <c r="A49" s="111" t="n">
        <f aca="false">IF(ISBLANK(VLOOKUP(D49,#REF!,3)),0,1)</f>
        <v>1</v>
      </c>
      <c r="B49" s="112" t="n">
        <f aca="false">IF(ISBLANK(D49),0,IF(ISBLANK(E49),0,IF(ISBLANK(F49),0,1)))</f>
        <v>0</v>
      </c>
      <c r="C49" s="128" t="n">
        <v>15</v>
      </c>
      <c r="D49" s="151"/>
      <c r="E49" s="151"/>
      <c r="F49" s="152"/>
      <c r="G49" s="156"/>
      <c r="H49" s="151"/>
      <c r="I49" s="151"/>
      <c r="J49" s="132"/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32"/>
      <c r="Q49" s="132"/>
      <c r="R49" s="132"/>
      <c r="S49" s="132"/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24"/>
      <c r="AE49" s="124"/>
      <c r="AF49" s="124"/>
      <c r="AG49" s="124"/>
      <c r="AH49" s="124"/>
      <c r="AI49" s="124"/>
      <c r="AJ49" s="124"/>
      <c r="AK49" s="124"/>
      <c r="AL49" s="124"/>
      <c r="AM49" s="124"/>
      <c r="AN49" s="124"/>
      <c r="AO49" s="124"/>
      <c r="AP49" s="124"/>
      <c r="AQ49" s="124"/>
      <c r="AR49" s="124"/>
      <c r="AS49" s="124"/>
      <c r="AT49" s="124"/>
      <c r="AU49" s="124"/>
      <c r="AV49" s="124"/>
      <c r="AW49" s="124"/>
      <c r="AX49" s="124"/>
      <c r="AY49" s="124"/>
      <c r="AZ49" s="124"/>
      <c r="BA49" s="124"/>
      <c r="BB49" s="136"/>
    </row>
    <row r="50" customFormat="false" ht="15.6" hidden="false" customHeight="false" outlineLevel="0" collapsed="false">
      <c r="A50" s="111" t="n">
        <f aca="false">IF(ISBLANK(VLOOKUP(D50,#REF!,3)),0,1)</f>
        <v>1</v>
      </c>
      <c r="B50" s="112" t="n">
        <f aca="false">IF(ISBLANK(D50),0,IF(ISBLANK(E50),0,IF(ISBLANK(F50),0,1)))</f>
        <v>0</v>
      </c>
      <c r="C50" s="128" t="n">
        <v>16</v>
      </c>
      <c r="D50" s="151"/>
      <c r="E50" s="151"/>
      <c r="F50" s="152"/>
      <c r="G50" s="156"/>
      <c r="H50" s="151"/>
      <c r="I50" s="151"/>
      <c r="J50" s="132"/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32"/>
      <c r="Q50" s="132"/>
      <c r="R50" s="132"/>
      <c r="S50" s="132"/>
      <c r="T50" s="124"/>
      <c r="U50" s="124"/>
      <c r="V50" s="124"/>
      <c r="W50" s="124"/>
      <c r="X50" s="124"/>
      <c r="Y50" s="124"/>
      <c r="Z50" s="124"/>
      <c r="AA50" s="124"/>
      <c r="AB50" s="124"/>
      <c r="AC50" s="124"/>
      <c r="AD50" s="124"/>
      <c r="AE50" s="124"/>
      <c r="AF50" s="124"/>
      <c r="AG50" s="124"/>
      <c r="AH50" s="124"/>
      <c r="AI50" s="124"/>
      <c r="AJ50" s="124"/>
      <c r="AK50" s="124"/>
      <c r="AL50" s="124"/>
      <c r="AM50" s="124"/>
      <c r="AN50" s="124"/>
      <c r="AO50" s="124"/>
      <c r="AP50" s="124"/>
      <c r="AQ50" s="124"/>
      <c r="AR50" s="124"/>
      <c r="AS50" s="124"/>
      <c r="AT50" s="124"/>
      <c r="AU50" s="124"/>
      <c r="AV50" s="124"/>
      <c r="AW50" s="124"/>
      <c r="AX50" s="124"/>
      <c r="AY50" s="124"/>
      <c r="AZ50" s="124"/>
      <c r="BA50" s="124"/>
      <c r="BB50" s="136"/>
    </row>
    <row r="51" customFormat="false" ht="15.6" hidden="false" customHeight="false" outlineLevel="0" collapsed="false">
      <c r="A51" s="111" t="n">
        <f aca="false">IF(ISBLANK(VLOOKUP(D51,#REF!,3)),0,1)</f>
        <v>1</v>
      </c>
      <c r="B51" s="112" t="n">
        <f aca="false">IF(ISBLANK(D51),0,IF(ISBLANK(E51),0,IF(ISBLANK(F51),0,1)))</f>
        <v>0</v>
      </c>
      <c r="C51" s="128" t="n">
        <v>17</v>
      </c>
      <c r="D51" s="151"/>
      <c r="E51" s="151"/>
      <c r="F51" s="152"/>
      <c r="G51" s="156"/>
      <c r="H51" s="151"/>
      <c r="I51" s="151"/>
      <c r="J51" s="132"/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32"/>
      <c r="Q51" s="132"/>
      <c r="R51" s="132"/>
      <c r="S51" s="132"/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24"/>
      <c r="AE51" s="124"/>
      <c r="AF51" s="124"/>
      <c r="AG51" s="124"/>
      <c r="AH51" s="124"/>
      <c r="AI51" s="124"/>
      <c r="AJ51" s="124"/>
      <c r="AK51" s="124"/>
      <c r="AL51" s="124"/>
      <c r="AM51" s="124"/>
      <c r="AN51" s="124"/>
      <c r="AO51" s="124"/>
      <c r="AP51" s="124"/>
      <c r="AQ51" s="124"/>
      <c r="AR51" s="124"/>
      <c r="AS51" s="124"/>
      <c r="AT51" s="124"/>
      <c r="AU51" s="124"/>
      <c r="AV51" s="124"/>
      <c r="AW51" s="124"/>
      <c r="AX51" s="124"/>
      <c r="AY51" s="124"/>
      <c r="AZ51" s="124"/>
      <c r="BA51" s="124"/>
      <c r="BB51" s="136"/>
    </row>
    <row r="52" customFormat="false" ht="15.6" hidden="false" customHeight="false" outlineLevel="0" collapsed="false">
      <c r="A52" s="111" t="n">
        <f aca="false">IF(ISBLANK(VLOOKUP(D52,#REF!,3)),0,1)</f>
        <v>1</v>
      </c>
      <c r="B52" s="112" t="n">
        <f aca="false">IF(ISBLANK(D52),0,IF(ISBLANK(E52),0,IF(ISBLANK(F52),0,1)))</f>
        <v>0</v>
      </c>
      <c r="C52" s="128" t="n">
        <v>18</v>
      </c>
      <c r="D52" s="151"/>
      <c r="E52" s="151"/>
      <c r="F52" s="152"/>
      <c r="G52" s="156"/>
      <c r="H52" s="151"/>
      <c r="I52" s="151"/>
      <c r="J52" s="132"/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32"/>
      <c r="Q52" s="132"/>
      <c r="R52" s="132"/>
      <c r="S52" s="132"/>
      <c r="T52" s="124"/>
      <c r="U52" s="124"/>
      <c r="V52" s="124"/>
      <c r="W52" s="124"/>
      <c r="X52" s="124"/>
      <c r="Y52" s="124"/>
      <c r="Z52" s="124"/>
      <c r="AA52" s="124"/>
      <c r="AB52" s="124"/>
      <c r="AC52" s="124"/>
      <c r="AD52" s="124"/>
      <c r="AE52" s="124"/>
      <c r="AF52" s="124"/>
      <c r="AG52" s="124"/>
      <c r="AH52" s="124"/>
      <c r="AI52" s="124"/>
      <c r="AJ52" s="124"/>
      <c r="AK52" s="124"/>
      <c r="AL52" s="124"/>
      <c r="AM52" s="124"/>
      <c r="AN52" s="124"/>
      <c r="AO52" s="124"/>
      <c r="AP52" s="124"/>
      <c r="AQ52" s="124"/>
      <c r="AR52" s="124"/>
      <c r="AS52" s="124"/>
      <c r="AT52" s="124"/>
      <c r="AU52" s="124"/>
      <c r="AV52" s="124"/>
      <c r="AW52" s="124"/>
      <c r="AX52" s="124"/>
      <c r="AY52" s="124"/>
      <c r="AZ52" s="124"/>
      <c r="BA52" s="124"/>
      <c r="BB52" s="136"/>
    </row>
    <row r="53" customFormat="false" ht="15.6" hidden="false" customHeight="false" outlineLevel="0" collapsed="false">
      <c r="A53" s="111" t="n">
        <f aca="false">IF(ISBLANK(VLOOKUP(D53,#REF!,3)),0,1)</f>
        <v>1</v>
      </c>
      <c r="B53" s="112" t="n">
        <f aca="false">IF(ISBLANK(D53),0,IF(ISBLANK(E53),0,IF(ISBLANK(F53),0,1)))</f>
        <v>0</v>
      </c>
      <c r="C53" s="128" t="n">
        <v>19</v>
      </c>
      <c r="D53" s="151"/>
      <c r="E53" s="151"/>
      <c r="F53" s="152"/>
      <c r="G53" s="156"/>
      <c r="H53" s="151"/>
      <c r="I53" s="151"/>
      <c r="J53" s="132"/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32"/>
      <c r="Q53" s="132"/>
      <c r="R53" s="132"/>
      <c r="S53" s="132"/>
      <c r="T53" s="124"/>
      <c r="U53" s="124"/>
      <c r="V53" s="124"/>
      <c r="W53" s="124"/>
      <c r="X53" s="12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24"/>
      <c r="AJ53" s="124"/>
      <c r="AK53" s="124"/>
      <c r="AL53" s="124"/>
      <c r="AM53" s="124"/>
      <c r="AN53" s="124"/>
      <c r="AO53" s="124"/>
      <c r="AP53" s="124"/>
      <c r="AQ53" s="124"/>
      <c r="AR53" s="124"/>
      <c r="AS53" s="124"/>
      <c r="AT53" s="124"/>
      <c r="AU53" s="124"/>
      <c r="AV53" s="124"/>
      <c r="AW53" s="124"/>
      <c r="AX53" s="124"/>
      <c r="AY53" s="124"/>
      <c r="AZ53" s="124"/>
      <c r="BA53" s="124"/>
      <c r="BB53" s="136"/>
    </row>
    <row r="54" customFormat="false" ht="15.6" hidden="false" customHeight="false" outlineLevel="0" collapsed="false">
      <c r="A54" s="111" t="n">
        <f aca="false">IF(ISBLANK(VLOOKUP(D54,#REF!,3)),0,1)</f>
        <v>1</v>
      </c>
      <c r="B54" s="112" t="n">
        <f aca="false">IF(ISBLANK(D54),0,IF(ISBLANK(E54),0,IF(ISBLANK(F54),0,1)))</f>
        <v>0</v>
      </c>
      <c r="C54" s="128" t="n">
        <v>20</v>
      </c>
      <c r="D54" s="151"/>
      <c r="E54" s="151"/>
      <c r="F54" s="152"/>
      <c r="G54" s="156"/>
      <c r="H54" s="151"/>
      <c r="I54" s="151"/>
      <c r="J54" s="132"/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32"/>
      <c r="Q54" s="132"/>
      <c r="R54" s="132"/>
      <c r="S54" s="132"/>
      <c r="T54" s="124"/>
      <c r="U54" s="124"/>
      <c r="V54" s="124"/>
      <c r="W54" s="124"/>
      <c r="X54" s="124"/>
      <c r="Y54" s="124"/>
      <c r="Z54" s="124"/>
      <c r="AA54" s="124"/>
      <c r="AB54" s="124"/>
      <c r="AC54" s="124"/>
      <c r="AD54" s="124"/>
      <c r="AE54" s="124"/>
      <c r="AF54" s="124"/>
      <c r="AG54" s="124"/>
      <c r="AH54" s="124"/>
      <c r="AI54" s="124"/>
      <c r="AJ54" s="124"/>
      <c r="AK54" s="124"/>
      <c r="AL54" s="124"/>
      <c r="AM54" s="124"/>
      <c r="AN54" s="124"/>
      <c r="AO54" s="124"/>
      <c r="AP54" s="124"/>
      <c r="AQ54" s="124"/>
      <c r="AR54" s="124"/>
      <c r="AS54" s="124"/>
      <c r="AT54" s="124"/>
      <c r="AU54" s="124"/>
      <c r="AV54" s="124"/>
      <c r="AW54" s="124"/>
      <c r="AX54" s="124"/>
      <c r="AY54" s="124"/>
      <c r="AZ54" s="124"/>
      <c r="BA54" s="124"/>
      <c r="BB54" s="136"/>
    </row>
    <row r="55" customFormat="false" ht="15.6" hidden="false" customHeight="false" outlineLevel="0" collapsed="false">
      <c r="A55" s="111" t="n">
        <f aca="false">IF(ISBLANK(VLOOKUP(D55,#REF!,3)),0,1)</f>
        <v>1</v>
      </c>
      <c r="B55" s="112" t="n">
        <f aca="false">IF(ISBLANK(D55),0,IF(ISBLANK(E55),0,IF(ISBLANK(F55),0,1)))</f>
        <v>0</v>
      </c>
      <c r="C55" s="128" t="n">
        <v>21</v>
      </c>
      <c r="D55" s="151"/>
      <c r="E55" s="151"/>
      <c r="F55" s="152"/>
      <c r="G55" s="156"/>
      <c r="H55" s="151"/>
      <c r="I55" s="151"/>
      <c r="J55" s="132"/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32"/>
      <c r="Q55" s="132"/>
      <c r="R55" s="132"/>
      <c r="S55" s="132"/>
      <c r="T55" s="124"/>
      <c r="U55" s="124"/>
      <c r="V55" s="124"/>
      <c r="W55" s="124"/>
      <c r="X55" s="124"/>
      <c r="Y55" s="124"/>
      <c r="Z55" s="124"/>
      <c r="AA55" s="124"/>
      <c r="AB55" s="124"/>
      <c r="AC55" s="124"/>
      <c r="AD55" s="124"/>
      <c r="AE55" s="124"/>
      <c r="AF55" s="124"/>
      <c r="AG55" s="124"/>
      <c r="AH55" s="124"/>
      <c r="AI55" s="124"/>
      <c r="AJ55" s="124"/>
      <c r="AK55" s="124"/>
      <c r="AL55" s="124"/>
      <c r="AM55" s="124"/>
      <c r="AN55" s="124"/>
      <c r="AO55" s="124"/>
      <c r="AP55" s="124"/>
      <c r="AQ55" s="124"/>
      <c r="AR55" s="124"/>
      <c r="AS55" s="124"/>
      <c r="AT55" s="124"/>
      <c r="AU55" s="124"/>
      <c r="AV55" s="124"/>
      <c r="AW55" s="124"/>
      <c r="AX55" s="124"/>
      <c r="AY55" s="124"/>
      <c r="AZ55" s="124"/>
      <c r="BA55" s="124"/>
      <c r="BB55" s="136"/>
    </row>
    <row r="56" customFormat="false" ht="15.6" hidden="false" customHeight="false" outlineLevel="0" collapsed="false">
      <c r="A56" s="111" t="n">
        <f aca="false">IF(ISBLANK(VLOOKUP(D56,#REF!,3)),0,1)</f>
        <v>1</v>
      </c>
      <c r="B56" s="112" t="n">
        <f aca="false">IF(ISBLANK(D56),0,IF(ISBLANK(E56),0,IF(ISBLANK(F56),0,1)))</f>
        <v>0</v>
      </c>
      <c r="C56" s="128" t="n">
        <v>22</v>
      </c>
      <c r="D56" s="151"/>
      <c r="E56" s="151"/>
      <c r="F56" s="152"/>
      <c r="G56" s="156"/>
      <c r="H56" s="151"/>
      <c r="I56" s="151"/>
      <c r="J56" s="132"/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32"/>
      <c r="Q56" s="132"/>
      <c r="R56" s="132"/>
      <c r="S56" s="132"/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24"/>
      <c r="AE56" s="124"/>
      <c r="AF56" s="124"/>
      <c r="AG56" s="124"/>
      <c r="AH56" s="124"/>
      <c r="AI56" s="124"/>
      <c r="AJ56" s="124"/>
      <c r="AK56" s="124"/>
      <c r="AL56" s="124"/>
      <c r="AM56" s="124"/>
      <c r="AN56" s="124"/>
      <c r="AO56" s="124"/>
      <c r="AP56" s="124"/>
      <c r="AQ56" s="124"/>
      <c r="AR56" s="124"/>
      <c r="AS56" s="124"/>
      <c r="AT56" s="124"/>
      <c r="AU56" s="124"/>
      <c r="AV56" s="124"/>
      <c r="AW56" s="124"/>
      <c r="AX56" s="124"/>
      <c r="AY56" s="124"/>
      <c r="AZ56" s="124"/>
      <c r="BA56" s="124"/>
      <c r="BB56" s="136"/>
    </row>
    <row r="57" customFormat="false" ht="15.6" hidden="false" customHeight="false" outlineLevel="0" collapsed="false">
      <c r="A57" s="111" t="n">
        <f aca="false">IF(ISBLANK(VLOOKUP(D57,#REF!,3)),0,1)</f>
        <v>1</v>
      </c>
      <c r="B57" s="112" t="n">
        <f aca="false">IF(ISBLANK(D57),0,IF(ISBLANK(E57),0,IF(ISBLANK(F57),0,1)))</f>
        <v>0</v>
      </c>
      <c r="C57" s="128" t="n">
        <v>23</v>
      </c>
      <c r="D57" s="151"/>
      <c r="E57" s="151"/>
      <c r="F57" s="152"/>
      <c r="G57" s="156"/>
      <c r="H57" s="151"/>
      <c r="I57" s="151"/>
      <c r="J57" s="132"/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32"/>
      <c r="Q57" s="132"/>
      <c r="R57" s="132"/>
      <c r="S57" s="132"/>
      <c r="T57" s="124"/>
      <c r="U57" s="124"/>
      <c r="V57" s="124"/>
      <c r="W57" s="124"/>
      <c r="X57" s="124"/>
      <c r="Y57" s="124"/>
      <c r="Z57" s="124"/>
      <c r="AA57" s="124"/>
      <c r="AB57" s="124"/>
      <c r="AC57" s="124"/>
      <c r="AD57" s="124"/>
      <c r="AE57" s="124"/>
      <c r="AF57" s="124"/>
      <c r="AG57" s="124"/>
      <c r="AH57" s="124"/>
      <c r="AI57" s="124"/>
      <c r="AJ57" s="124"/>
      <c r="AK57" s="124"/>
      <c r="AL57" s="124"/>
      <c r="AM57" s="124"/>
      <c r="AN57" s="124"/>
      <c r="AO57" s="124"/>
      <c r="AP57" s="124"/>
      <c r="AQ57" s="124"/>
      <c r="AR57" s="124"/>
      <c r="AS57" s="124"/>
      <c r="AT57" s="124"/>
      <c r="AU57" s="124"/>
      <c r="AV57" s="124"/>
      <c r="AW57" s="124"/>
      <c r="AX57" s="124"/>
      <c r="AY57" s="124"/>
      <c r="AZ57" s="124"/>
      <c r="BA57" s="124"/>
      <c r="BB57" s="136"/>
    </row>
    <row r="58" customFormat="false" ht="16.2" hidden="false" customHeight="false" outlineLevel="0" collapsed="false">
      <c r="A58" s="111" t="n">
        <f aca="false">IF(ISBLANK(VLOOKUP(D58,#REF!,3)),0,1)</f>
        <v>1</v>
      </c>
      <c r="B58" s="112" t="n">
        <f aca="false">IF(ISBLANK(D58),0,IF(ISBLANK(E58),0,IF(ISBLANK(F58),0,1)))</f>
        <v>0</v>
      </c>
      <c r="C58" s="158" t="n">
        <v>24</v>
      </c>
      <c r="D58" s="159"/>
      <c r="E58" s="159"/>
      <c r="F58" s="160"/>
      <c r="G58" s="161"/>
      <c r="H58" s="159"/>
      <c r="I58" s="159"/>
      <c r="J58" s="132"/>
      <c r="K58" s="163" t="str">
        <f aca="false">IF(ISBLANK(E58),"",(0.000824493-(0.0000040899*E58)+(0.000000076438*E58^2)-(0.00000000082467*E58^3)+(0.0000000000053875*E58^4)))</f>
        <v/>
      </c>
      <c r="L58" s="163" t="str">
        <f aca="false">IF(ISBLANK(E58),"",(-0.00000572466+(0.00000010227*E58)-(0.0000000016546*E58^2)))</f>
        <v/>
      </c>
      <c r="M58" s="163" t="str">
        <f aca="false">IF(ISBLANK(E58),"",IF(ISBLANK(G58),(O58+(K58*35)+(L58*35^1.5)+(0.00000048314*35^2)),(O58+(K58*G58)+(L58*G58^1.5)+(0.00000048314*G58^2))))</f>
        <v/>
      </c>
      <c r="N58" s="164" t="str">
        <f aca="false">IF(ISBLANK(D58),"",IF(ISBLANK(G58),J58*(1+0.00001*(35-20)),J58*(1+0.00001*(G58-20))))</f>
        <v/>
      </c>
      <c r="O58" s="163" t="str">
        <f aca="false">IF(ISBLANK(E58),"",(0.999842594+(0.00006793952*E58)-(0.00000909529*E58^2)+(0.0000001001685*E58^3)-(0.000000001120083*E58^4)+(0.000000000006536332*E58^5)))</f>
        <v/>
      </c>
      <c r="P58" s="132"/>
      <c r="Q58" s="132"/>
      <c r="R58" s="132"/>
      <c r="S58" s="132"/>
      <c r="T58" s="168"/>
      <c r="U58" s="168"/>
      <c r="V58" s="168"/>
      <c r="W58" s="168"/>
      <c r="X58" s="168"/>
      <c r="Y58" s="168"/>
      <c r="Z58" s="168"/>
      <c r="AA58" s="168"/>
      <c r="AB58" s="168"/>
      <c r="AC58" s="168"/>
      <c r="AD58" s="168"/>
      <c r="AE58" s="168"/>
      <c r="AF58" s="168"/>
      <c r="AG58" s="168"/>
      <c r="AH58" s="168"/>
      <c r="AI58" s="168"/>
      <c r="AJ58" s="168"/>
      <c r="AK58" s="168"/>
      <c r="AL58" s="168"/>
      <c r="AM58" s="168"/>
      <c r="AN58" s="168"/>
      <c r="AO58" s="168"/>
      <c r="AP58" s="168"/>
      <c r="AQ58" s="168"/>
      <c r="AR58" s="168"/>
      <c r="AS58" s="168"/>
      <c r="AT58" s="168"/>
      <c r="AU58" s="168"/>
      <c r="AV58" s="168"/>
      <c r="AW58" s="168"/>
      <c r="AX58" s="168"/>
      <c r="AY58" s="168"/>
      <c r="AZ58" s="168"/>
      <c r="BA58" s="168"/>
      <c r="BB58" s="169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8178137651822"/>
    <col collapsed="false" hidden="false" max="32" min="32" style="0" width="9.10526315789474"/>
    <col collapsed="false" hidden="false" max="33" min="33" style="0" width="26.5668016194332"/>
    <col collapsed="false" hidden="false" max="34" min="34" style="0" width="12.8542510121458"/>
    <col collapsed="false" hidden="false" max="35" min="35" style="0" width="11.1417004048583"/>
    <col collapsed="false" hidden="false" max="36" min="36" style="0" width="14.5668016194332"/>
    <col collapsed="false" hidden="false" max="37" min="37" style="0" width="12.2105263157895"/>
    <col collapsed="false" hidden="false" max="38" min="38" style="0" width="26.995951417004"/>
    <col collapsed="false" hidden="false" max="39" min="39" style="0" width="14.6761133603239"/>
    <col collapsed="false" hidden="false" max="40" min="40" style="0" width="11.3562753036437"/>
    <col collapsed="false" hidden="false" max="41" min="41" style="0" width="12.5344129554656"/>
    <col collapsed="false" hidden="false" max="42" min="42" style="0" width="10.7125506072875"/>
    <col collapsed="false" hidden="false" max="43" min="43" style="0" width="6.31983805668016"/>
    <col collapsed="false" hidden="false" max="44" min="44" style="0" width="19.7085020242915"/>
    <col collapsed="false" hidden="false" max="45" min="45" style="0" width="13.0688259109312"/>
    <col collapsed="false" hidden="false" max="46" min="46" style="0" width="17.7813765182186"/>
    <col collapsed="false" hidden="false" max="47" min="47" style="0" width="14.6761133603239"/>
    <col collapsed="false" hidden="false" max="48" min="48" style="0" width="13.6032388663968"/>
    <col collapsed="false" hidden="false" max="49" min="49" style="0" width="13.7125506072874"/>
    <col collapsed="false" hidden="false" max="50" min="50" style="0" width="19.9230769230769"/>
    <col collapsed="false" hidden="false" max="51" min="51" style="0" width="13.2834008097166"/>
    <col collapsed="false" hidden="false" max="52" min="52" style="0" width="17.6761133603239"/>
    <col collapsed="false" hidden="false" max="53" min="53" style="0" width="13.3886639676113"/>
    <col collapsed="false" hidden="false" max="54" min="54" style="0" width="12.6396761133603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36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38728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6</v>
      </c>
      <c r="J9" s="29" t="n">
        <v>4.71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6°4,71</v>
      </c>
      <c r="P9" s="29" t="s">
        <v>13</v>
      </c>
      <c r="Q9" s="33" t="n">
        <f aca="false">IF(ISBLANK(I9),"",IF(ISBLANK(J9),"",IF(J9&gt;60,"ERREUR !!",O11*(I9+(J9/60)))))</f>
        <v>6.0785</v>
      </c>
      <c r="R9" s="33"/>
    </row>
    <row r="10" customFormat="false" ht="15" hidden="false" customHeight="true" outlineLevel="0" collapsed="false">
      <c r="C10" s="21"/>
      <c r="D10" s="18"/>
      <c r="G10" s="27" t="s">
        <v>16</v>
      </c>
      <c r="H10" s="27"/>
      <c r="I10" s="28" t="n">
        <v>2</v>
      </c>
      <c r="J10" s="29" t="n">
        <v>23.16</v>
      </c>
      <c r="K10" s="30" t="s">
        <v>12</v>
      </c>
      <c r="L10" s="31" t="str">
        <f aca="false">IF(P10=N9,"+","-")</f>
        <v>+</v>
      </c>
      <c r="M10" s="30" t="s">
        <v>15</v>
      </c>
      <c r="N10" s="30" t="s">
        <v>17</v>
      </c>
      <c r="O10" s="34" t="str">
        <f aca="false">IF(ISBLANK(I10),"",IF(ISBLANK(J10),"",IF(P10=N10,L10&amp;N12,N12)))</f>
        <v>2°23,16</v>
      </c>
      <c r="P10" s="29" t="s">
        <v>14</v>
      </c>
      <c r="Q10" s="33" t="n">
        <f aca="false">IF(ISBLANK(I10),"",IF(ISBLANK(J10),"",IF(J10&gt;60,"ERREUR !!",O12*(I10+(J10/60)))))</f>
        <v>2.386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38554</v>
      </c>
      <c r="K11" s="38"/>
      <c r="L11" s="38"/>
      <c r="M11" s="38"/>
      <c r="N11" s="39" t="str">
        <f aca="false">I9&amp;"°"&amp;J9</f>
        <v>6°4,71</v>
      </c>
      <c r="O11" s="40" t="n">
        <f aca="false">IF(P9=M10,-1,1)</f>
        <v>1</v>
      </c>
      <c r="P11" s="41" t="str">
        <f aca="false">TEXT(J11,"aaaa-mm-jj")&amp;"T"&amp;TEXT(J12,"hh:mm:ss")&amp;"z"</f>
        <v>2009-07-22T15:00:00z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0.625</v>
      </c>
      <c r="K12" s="45"/>
      <c r="L12" s="45"/>
      <c r="M12" s="45"/>
      <c r="N12" s="46" t="str">
        <f aca="false">I10&amp;"°"&amp;J10</f>
        <v>2°23,16</v>
      </c>
      <c r="O12" s="40" t="n">
        <f aca="false">IF(P10=N10,-1,1)</f>
        <v>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e">
        <f aca="false">$P$24*($P$18/#REF!)</f>
        <v>#REF!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e">
        <f aca="false">5+#REF!</f>
        <v>#REF!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e">
        <f aca="false">P20*(1+0.00001*(R14-20))</f>
        <v>#REF!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e">
        <f aca="false">MAX(#REF!)</f>
        <v>#VALUE!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e">
        <f aca="false">2+(#REF!+#REF!)</f>
        <v>#REF!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52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53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IF(ISBLANK(VLOOKUP(D35,#REF!,3)),0,1)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s">
        <v>99</v>
      </c>
      <c r="H35" s="131" t="n">
        <v>100</v>
      </c>
      <c r="I35" s="125" t="n">
        <v>100.46</v>
      </c>
      <c r="J35" s="120"/>
      <c r="K35" s="121"/>
      <c r="L35" s="121"/>
      <c r="M35" s="121"/>
      <c r="N35" s="122"/>
      <c r="O35" s="121"/>
      <c r="P35" s="132"/>
      <c r="Q35" s="120"/>
      <c r="R35" s="120"/>
      <c r="S35" s="120"/>
      <c r="T35" s="125" t="n">
        <v>0</v>
      </c>
      <c r="U35" s="32" t="n">
        <v>0.02</v>
      </c>
      <c r="V35" s="32"/>
      <c r="W35" s="32"/>
      <c r="X35" s="125" t="n">
        <v>19.4</v>
      </c>
      <c r="Y35" s="125" t="n">
        <v>19</v>
      </c>
      <c r="Z35" s="125" t="n">
        <v>1.4</v>
      </c>
      <c r="AA35" s="32" t="n">
        <v>1.33</v>
      </c>
      <c r="AB35" s="125" t="n">
        <v>8.8</v>
      </c>
      <c r="AC35" s="125" t="n">
        <v>8.6</v>
      </c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7"/>
    </row>
    <row r="36" customFormat="false" ht="15.6" hidden="false" customHeight="false" outlineLevel="0" collapsed="false">
      <c r="A36" s="111" t="n">
        <f aca="false">IF(ISBLANK(VLOOKUP(D36,#REF!,3)),0,1)</f>
        <v>1</v>
      </c>
      <c r="B36" s="112" t="n">
        <f aca="false">IF(ISBLANK(D36),0,IF(ISBLANK(E36),0,IF(ISBLANK(F36),0,1)))</f>
        <v>0</v>
      </c>
      <c r="C36" s="128" t="n">
        <v>2</v>
      </c>
      <c r="D36" s="129"/>
      <c r="E36" s="129"/>
      <c r="F36" s="130"/>
      <c r="G36" s="117" t="s">
        <v>99</v>
      </c>
      <c r="H36" s="131" t="n">
        <v>80</v>
      </c>
      <c r="I36" s="125" t="n">
        <v>80.26</v>
      </c>
      <c r="J36" s="132"/>
      <c r="K36" s="133"/>
      <c r="L36" s="133"/>
      <c r="M36" s="133"/>
      <c r="N36" s="134"/>
      <c r="O36" s="133"/>
      <c r="P36" s="132"/>
      <c r="Q36" s="132"/>
      <c r="R36" s="132"/>
      <c r="S36" s="132"/>
      <c r="T36" s="125" t="n">
        <v>0</v>
      </c>
      <c r="U36" s="32" t="n">
        <v>0.03</v>
      </c>
      <c r="V36" s="32"/>
      <c r="W36" s="32"/>
      <c r="X36" s="125" t="n">
        <v>17.3</v>
      </c>
      <c r="Y36" s="125" t="n">
        <v>16.9</v>
      </c>
      <c r="Z36" s="125" t="n">
        <v>1.2</v>
      </c>
      <c r="AA36" s="32" t="n">
        <v>1.17</v>
      </c>
      <c r="AB36" s="125" t="n">
        <v>8</v>
      </c>
      <c r="AC36" s="125" t="n">
        <v>7.8</v>
      </c>
      <c r="AD36" s="124"/>
      <c r="AE36" s="124"/>
      <c r="AF36" s="124"/>
      <c r="AG36" s="124"/>
      <c r="AH36" s="124"/>
      <c r="AI36" s="124"/>
      <c r="AJ36" s="124"/>
      <c r="AK36" s="124"/>
      <c r="AL36" s="124"/>
      <c r="AM36" s="124"/>
      <c r="AN36" s="124"/>
      <c r="AO36" s="124"/>
      <c r="AP36" s="124"/>
      <c r="AQ36" s="124"/>
      <c r="AR36" s="124"/>
      <c r="AS36" s="124"/>
      <c r="AT36" s="124"/>
      <c r="AU36" s="124"/>
      <c r="AV36" s="124"/>
      <c r="AW36" s="124"/>
      <c r="AX36" s="124"/>
      <c r="AY36" s="124"/>
      <c r="AZ36" s="124"/>
      <c r="BA36" s="124"/>
      <c r="BB36" s="136"/>
    </row>
    <row r="37" customFormat="false" ht="15.6" hidden="false" customHeight="false" outlineLevel="0" collapsed="false">
      <c r="A37" s="111" t="n">
        <f aca="false">IF(ISBLANK(VLOOKUP(D37,#REF!,3)),0,1)</f>
        <v>1</v>
      </c>
      <c r="B37" s="112" t="n">
        <f aca="false">IF(ISBLANK(D37),0,IF(ISBLANK(E37),0,IF(ISBLANK(F37),0,1)))</f>
        <v>0</v>
      </c>
      <c r="C37" s="128" t="n">
        <v>3</v>
      </c>
      <c r="D37" s="129"/>
      <c r="E37" s="129"/>
      <c r="F37" s="137"/>
      <c r="G37" s="117" t="s">
        <v>99</v>
      </c>
      <c r="H37" s="131" t="n">
        <v>50</v>
      </c>
      <c r="I37" s="125" t="n">
        <v>50.04</v>
      </c>
      <c r="J37" s="132"/>
      <c r="K37" s="133"/>
      <c r="L37" s="133"/>
      <c r="M37" s="133"/>
      <c r="N37" s="134"/>
      <c r="O37" s="133"/>
      <c r="P37" s="132"/>
      <c r="Q37" s="132"/>
      <c r="R37" s="132"/>
      <c r="S37" s="132"/>
      <c r="T37" s="125" t="n">
        <v>0.2</v>
      </c>
      <c r="U37" s="32" t="n">
        <v>0.15</v>
      </c>
      <c r="V37" s="32"/>
      <c r="W37" s="32"/>
      <c r="X37" s="125" t="n">
        <v>8.7</v>
      </c>
      <c r="Y37" s="125" t="n">
        <v>8.5</v>
      </c>
      <c r="Z37" s="125" t="n">
        <v>0.7</v>
      </c>
      <c r="AA37" s="32" t="n">
        <v>0.69</v>
      </c>
      <c r="AB37" s="125" t="n">
        <v>5.3</v>
      </c>
      <c r="AC37" s="125" t="n">
        <v>5.2</v>
      </c>
      <c r="AD37" s="124"/>
      <c r="AE37" s="124"/>
      <c r="AF37" s="124"/>
      <c r="AG37" s="124"/>
      <c r="AH37" s="124"/>
      <c r="AI37" s="124"/>
      <c r="AJ37" s="124"/>
      <c r="AK37" s="124"/>
      <c r="AL37" s="124"/>
      <c r="AM37" s="124"/>
      <c r="AN37" s="124"/>
      <c r="AO37" s="124"/>
      <c r="AP37" s="124"/>
      <c r="AQ37" s="124"/>
      <c r="AR37" s="124"/>
      <c r="AS37" s="124"/>
      <c r="AT37" s="124"/>
      <c r="AU37" s="124"/>
      <c r="AV37" s="124"/>
      <c r="AW37" s="124"/>
      <c r="AX37" s="124"/>
      <c r="AY37" s="124"/>
      <c r="AZ37" s="124"/>
      <c r="BA37" s="124"/>
      <c r="BB37" s="136"/>
    </row>
    <row r="38" customFormat="false" ht="15.6" hidden="false" customHeight="false" outlineLevel="0" collapsed="false">
      <c r="A38" s="111" t="n">
        <f aca="false">IF(ISBLANK(VLOOKUP(D38,#REF!,3)),0,1)</f>
        <v>1</v>
      </c>
      <c r="B38" s="112" t="n">
        <f aca="false">IF(ISBLANK(D38),0,IF(ISBLANK(E38),0,IF(ISBLANK(F38),0,1)))</f>
        <v>0</v>
      </c>
      <c r="C38" s="128" t="n">
        <v>4</v>
      </c>
      <c r="D38" s="138"/>
      <c r="E38" s="138"/>
      <c r="F38" s="139"/>
      <c r="G38" s="117" t="s">
        <v>99</v>
      </c>
      <c r="H38" s="131" t="n">
        <v>20</v>
      </c>
      <c r="I38" s="125" t="n">
        <v>20.03</v>
      </c>
      <c r="J38" s="132"/>
      <c r="K38" s="133"/>
      <c r="L38" s="133"/>
      <c r="M38" s="133"/>
      <c r="N38" s="134"/>
      <c r="O38" s="133"/>
      <c r="P38" s="132"/>
      <c r="Q38" s="132"/>
      <c r="R38" s="132"/>
      <c r="S38" s="132"/>
      <c r="T38" s="125" t="n">
        <v>0</v>
      </c>
      <c r="U38" s="32" t="n">
        <v>0</v>
      </c>
      <c r="V38" s="32"/>
      <c r="W38" s="32"/>
      <c r="X38" s="125" t="n">
        <v>0</v>
      </c>
      <c r="Y38" s="125" t="n">
        <v>0</v>
      </c>
      <c r="Z38" s="125" t="n">
        <v>0.1</v>
      </c>
      <c r="AA38" s="32" t="n">
        <v>0.09</v>
      </c>
      <c r="AB38" s="125" t="n">
        <v>2.3</v>
      </c>
      <c r="AC38" s="125" t="n">
        <v>2.3</v>
      </c>
      <c r="AD38" s="124"/>
      <c r="AE38" s="124"/>
      <c r="AF38" s="124"/>
      <c r="AG38" s="124"/>
      <c r="AH38" s="124"/>
      <c r="AI38" s="124"/>
      <c r="AJ38" s="124"/>
      <c r="AK38" s="124"/>
      <c r="AL38" s="124"/>
      <c r="AM38" s="124"/>
      <c r="AN38" s="124"/>
      <c r="AO38" s="124"/>
      <c r="AP38" s="124"/>
      <c r="AQ38" s="124"/>
      <c r="AR38" s="124"/>
      <c r="AS38" s="124"/>
      <c r="AT38" s="124"/>
      <c r="AU38" s="124"/>
      <c r="AV38" s="124"/>
      <c r="AW38" s="124"/>
      <c r="AX38" s="124"/>
      <c r="AY38" s="124"/>
      <c r="AZ38" s="124"/>
      <c r="BA38" s="124"/>
      <c r="BB38" s="136"/>
    </row>
    <row r="39" customFormat="false" ht="15.6" hidden="false" customHeight="false" outlineLevel="0" collapsed="false">
      <c r="A39" s="111" t="n">
        <f aca="false">IF(ISBLANK(VLOOKUP(D39,#REF!,3)),0,1)</f>
        <v>1</v>
      </c>
      <c r="B39" s="112" t="n">
        <f aca="false">IF(ISBLANK(D39),0,IF(ISBLANK(E39),0,IF(ISBLANK(F39),0,1)))</f>
        <v>0</v>
      </c>
      <c r="C39" s="128" t="n">
        <v>5</v>
      </c>
      <c r="D39" s="129"/>
      <c r="E39" s="129"/>
      <c r="F39" s="137"/>
      <c r="G39" s="117" t="s">
        <v>99</v>
      </c>
      <c r="H39" s="131" t="n">
        <v>0</v>
      </c>
      <c r="I39" s="125" t="n">
        <v>2.48</v>
      </c>
      <c r="J39" s="132"/>
      <c r="K39" s="133"/>
      <c r="L39" s="133"/>
      <c r="M39" s="133"/>
      <c r="N39" s="134"/>
      <c r="O39" s="133"/>
      <c r="P39" s="132"/>
      <c r="Q39" s="132"/>
      <c r="R39" s="132"/>
      <c r="S39" s="132"/>
      <c r="T39" s="125" t="n">
        <v>0</v>
      </c>
      <c r="U39" s="32" t="n">
        <v>0</v>
      </c>
      <c r="V39" s="32"/>
      <c r="W39" s="32"/>
      <c r="X39" s="125" t="n">
        <v>0</v>
      </c>
      <c r="Y39" s="125" t="n">
        <v>0</v>
      </c>
      <c r="Z39" s="125" t="n">
        <v>0.1</v>
      </c>
      <c r="AA39" s="32" t="n">
        <v>0.05</v>
      </c>
      <c r="AB39" s="125" t="n">
        <v>2.4</v>
      </c>
      <c r="AC39" s="125" t="n">
        <v>2.3</v>
      </c>
      <c r="AD39" s="124"/>
      <c r="AE39" s="124"/>
      <c r="AF39" s="124"/>
      <c r="AG39" s="124"/>
      <c r="AH39" s="124"/>
      <c r="AI39" s="124"/>
      <c r="AJ39" s="124"/>
      <c r="AK39" s="124"/>
      <c r="AL39" s="124"/>
      <c r="AM39" s="124"/>
      <c r="AN39" s="124"/>
      <c r="AO39" s="124"/>
      <c r="AP39" s="124"/>
      <c r="AQ39" s="124"/>
      <c r="AR39" s="124"/>
      <c r="AS39" s="124"/>
      <c r="AT39" s="124"/>
      <c r="AU39" s="124"/>
      <c r="AV39" s="124"/>
      <c r="AW39" s="124"/>
      <c r="AX39" s="124"/>
      <c r="AY39" s="124"/>
      <c r="AZ39" s="124"/>
      <c r="BA39" s="124"/>
      <c r="BB39" s="136"/>
    </row>
    <row r="40" customFormat="false" ht="15.6" hidden="false" customHeight="false" outlineLevel="0" collapsed="false">
      <c r="A40" s="111" t="n">
        <f aca="false">IF(ISBLANK(VLOOKUP(D40,#REF!,3)),0,1)</f>
        <v>1</v>
      </c>
      <c r="B40" s="112" t="n">
        <f aca="false">IF(ISBLANK(D40),0,IF(ISBLANK(E40),0,IF(ISBLANK(F40),0,1)))</f>
        <v>0</v>
      </c>
      <c r="C40" s="128" t="n">
        <v>6</v>
      </c>
      <c r="D40" s="129"/>
      <c r="E40" s="129"/>
      <c r="F40" s="137"/>
      <c r="G40" s="117" t="s">
        <v>99</v>
      </c>
      <c r="H40" s="131" t="s">
        <v>99</v>
      </c>
      <c r="I40" s="190" t="s">
        <v>99</v>
      </c>
      <c r="J40" s="132"/>
      <c r="K40" s="133"/>
      <c r="L40" s="133"/>
      <c r="M40" s="133"/>
      <c r="N40" s="134"/>
      <c r="O40" s="133"/>
      <c r="P40" s="132"/>
      <c r="Q40" s="132"/>
      <c r="R40" s="132"/>
      <c r="S40" s="132"/>
      <c r="T40" s="132"/>
      <c r="U40" s="132"/>
      <c r="V40" s="132"/>
      <c r="W40" s="132"/>
      <c r="X40" s="132"/>
      <c r="Y40" s="132"/>
      <c r="Z40" s="132"/>
      <c r="AA40" s="132"/>
      <c r="AB40" s="132"/>
      <c r="AC40" s="132"/>
      <c r="AD40" s="124"/>
      <c r="AE40" s="124"/>
      <c r="AF40" s="124"/>
      <c r="AG40" s="124"/>
      <c r="AH40" s="124"/>
      <c r="AI40" s="124"/>
      <c r="AJ40" s="124"/>
      <c r="AK40" s="124"/>
      <c r="AL40" s="124"/>
      <c r="AM40" s="124"/>
      <c r="AN40" s="124"/>
      <c r="AO40" s="124"/>
      <c r="AP40" s="124"/>
      <c r="AQ40" s="124"/>
      <c r="AR40" s="124"/>
      <c r="AS40" s="124"/>
      <c r="AT40" s="124"/>
      <c r="AU40" s="124"/>
      <c r="AV40" s="124"/>
      <c r="AW40" s="124"/>
      <c r="AX40" s="124"/>
      <c r="AY40" s="124"/>
      <c r="AZ40" s="124"/>
      <c r="BA40" s="124"/>
      <c r="BB40" s="136"/>
    </row>
    <row r="41" customFormat="false" ht="15.6" hidden="false" customHeight="false" outlineLevel="0" collapsed="false">
      <c r="A41" s="111" t="n">
        <f aca="false">IF(ISBLANK(VLOOKUP(D41,#REF!,3)),0,1)</f>
        <v>1</v>
      </c>
      <c r="B41" s="112" t="n">
        <f aca="false">IF(ISBLANK(D41),0,IF(ISBLANK(E41),0,IF(ISBLANK(F41),0,1)))</f>
        <v>0</v>
      </c>
      <c r="C41" s="128" t="n">
        <v>7</v>
      </c>
      <c r="D41" s="129"/>
      <c r="E41" s="129"/>
      <c r="F41" s="137"/>
      <c r="G41" s="117" t="s">
        <v>99</v>
      </c>
      <c r="H41" s="131" t="s">
        <v>99</v>
      </c>
      <c r="I41" s="190" t="s">
        <v>99</v>
      </c>
      <c r="J41" s="132"/>
      <c r="K41" s="133"/>
      <c r="L41" s="133"/>
      <c r="M41" s="133"/>
      <c r="N41" s="134"/>
      <c r="O41" s="133"/>
      <c r="P41" s="132"/>
      <c r="Q41" s="132"/>
      <c r="R41" s="132"/>
      <c r="S41" s="132"/>
      <c r="T41" s="132"/>
      <c r="U41" s="132"/>
      <c r="V41" s="132"/>
      <c r="W41" s="132"/>
      <c r="X41" s="132"/>
      <c r="Y41" s="132"/>
      <c r="Z41" s="132"/>
      <c r="AA41" s="132"/>
      <c r="AB41" s="132"/>
      <c r="AC41" s="132"/>
      <c r="AD41" s="124"/>
      <c r="AE41" s="124"/>
      <c r="AF41" s="124"/>
      <c r="AG41" s="124"/>
      <c r="AH41" s="124"/>
      <c r="AI41" s="124"/>
      <c r="AJ41" s="124"/>
      <c r="AK41" s="124"/>
      <c r="AL41" s="124"/>
      <c r="AM41" s="124"/>
      <c r="AN41" s="124"/>
      <c r="AO41" s="124"/>
      <c r="AP41" s="124"/>
      <c r="AQ41" s="124"/>
      <c r="AR41" s="124"/>
      <c r="AS41" s="124"/>
      <c r="AT41" s="124"/>
      <c r="AU41" s="124"/>
      <c r="AV41" s="124"/>
      <c r="AW41" s="124"/>
      <c r="AX41" s="124"/>
      <c r="AY41" s="124"/>
      <c r="AZ41" s="124"/>
      <c r="BA41" s="124"/>
      <c r="BB41" s="136"/>
    </row>
    <row r="42" customFormat="false" ht="15.6" hidden="false" customHeight="false" outlineLevel="0" collapsed="false">
      <c r="A42" s="111" t="n">
        <f aca="false">IF(ISBLANK(VLOOKUP(D42,#REF!,3)),0,1)</f>
        <v>1</v>
      </c>
      <c r="B42" s="112" t="n">
        <f aca="false">IF(ISBLANK(D42),0,IF(ISBLANK(E42),0,IF(ISBLANK(F42),0,1)))</f>
        <v>0</v>
      </c>
      <c r="C42" s="128" t="n">
        <v>8</v>
      </c>
      <c r="D42" s="129"/>
      <c r="E42" s="129"/>
      <c r="F42" s="137"/>
      <c r="G42" s="117" t="s">
        <v>99</v>
      </c>
      <c r="H42" s="131" t="s">
        <v>99</v>
      </c>
      <c r="I42" s="190" t="s">
        <v>99</v>
      </c>
      <c r="J42" s="132"/>
      <c r="K42" s="133"/>
      <c r="L42" s="133"/>
      <c r="M42" s="133"/>
      <c r="N42" s="134"/>
      <c r="O42" s="133"/>
      <c r="P42" s="132"/>
      <c r="Q42" s="132"/>
      <c r="R42" s="132"/>
      <c r="T42" s="132"/>
      <c r="V42" s="32"/>
      <c r="W42" s="32"/>
      <c r="X42" s="132"/>
      <c r="Z42" s="132"/>
      <c r="AA42" s="132"/>
      <c r="AC42" s="132"/>
      <c r="AD42" s="124"/>
      <c r="AE42" s="124"/>
      <c r="AF42" s="124"/>
      <c r="AG42" s="124"/>
      <c r="AH42" s="124"/>
      <c r="AI42" s="124"/>
      <c r="AJ42" s="124"/>
      <c r="AK42" s="124"/>
      <c r="AL42" s="124"/>
      <c r="AM42" s="124"/>
      <c r="AN42" s="124"/>
      <c r="AO42" s="124"/>
      <c r="AP42" s="124"/>
      <c r="AQ42" s="124"/>
      <c r="AR42" s="124"/>
      <c r="AS42" s="124"/>
      <c r="AT42" s="124"/>
      <c r="AU42" s="124"/>
      <c r="AV42" s="124"/>
      <c r="AW42" s="124"/>
      <c r="AX42" s="124"/>
      <c r="AY42" s="124"/>
      <c r="AZ42" s="124"/>
      <c r="BA42" s="124"/>
      <c r="BB42" s="136"/>
    </row>
    <row r="43" customFormat="false" ht="15.6" hidden="false" customHeight="false" outlineLevel="0" collapsed="false">
      <c r="A43" s="111" t="n">
        <f aca="false">IF(ISBLANK(VLOOKUP(D43,#REF!,3)),0,1)</f>
        <v>1</v>
      </c>
      <c r="B43" s="112" t="n">
        <f aca="false">IF(ISBLANK(D43),0,IF(ISBLANK(E43),0,IF(ISBLANK(F43),0,1)))</f>
        <v>0</v>
      </c>
      <c r="C43" s="128" t="n">
        <v>9</v>
      </c>
      <c r="D43" s="129"/>
      <c r="E43" s="129"/>
      <c r="F43" s="137"/>
      <c r="G43" s="117" t="s">
        <v>99</v>
      </c>
      <c r="H43" s="131" t="s">
        <v>99</v>
      </c>
      <c r="I43" s="190" t="s">
        <v>99</v>
      </c>
      <c r="J43" s="132"/>
      <c r="K43" s="133"/>
      <c r="L43" s="133"/>
      <c r="M43" s="133"/>
      <c r="N43" s="134"/>
      <c r="O43" s="133"/>
      <c r="P43" s="132"/>
      <c r="Q43" s="132"/>
      <c r="R43" s="132"/>
      <c r="S43" s="132"/>
      <c r="T43" s="132"/>
      <c r="U43" s="132"/>
      <c r="V43" s="132"/>
      <c r="W43" s="132"/>
      <c r="X43" s="132"/>
      <c r="Y43" s="132"/>
      <c r="Z43" s="132"/>
      <c r="AA43" s="132"/>
      <c r="AB43" s="132"/>
      <c r="AC43" s="132"/>
      <c r="AD43" s="124"/>
      <c r="AE43" s="124"/>
      <c r="AF43" s="124"/>
      <c r="AG43" s="124"/>
      <c r="AH43" s="124"/>
      <c r="AI43" s="124"/>
      <c r="AJ43" s="124"/>
      <c r="AK43" s="124"/>
      <c r="AL43" s="124"/>
      <c r="AM43" s="124"/>
      <c r="AN43" s="124"/>
      <c r="AO43" s="124"/>
      <c r="AP43" s="124"/>
      <c r="AQ43" s="124"/>
      <c r="AR43" s="124"/>
      <c r="AS43" s="124"/>
      <c r="AT43" s="124"/>
      <c r="AU43" s="124"/>
      <c r="AV43" s="124"/>
      <c r="AW43" s="124"/>
      <c r="AX43" s="124"/>
      <c r="AY43" s="124"/>
      <c r="AZ43" s="124"/>
      <c r="BA43" s="124"/>
      <c r="BB43" s="136"/>
    </row>
    <row r="44" customFormat="false" ht="15.6" hidden="false" customHeight="false" outlineLevel="0" collapsed="false">
      <c r="A44" s="111" t="n">
        <f aca="false">IF(ISBLANK(VLOOKUP(D44,#REF!,3)),0,1)</f>
        <v>1</v>
      </c>
      <c r="B44" s="112" t="n">
        <f aca="false">IF(ISBLANK(D44),0,IF(ISBLANK(E44),0,IF(ISBLANK(F44),0,1)))</f>
        <v>0</v>
      </c>
      <c r="C44" s="128" t="n">
        <v>10</v>
      </c>
      <c r="D44" s="129"/>
      <c r="E44" s="129"/>
      <c r="F44" s="137"/>
      <c r="G44" s="117" t="s">
        <v>99</v>
      </c>
      <c r="H44" s="131" t="s">
        <v>99</v>
      </c>
      <c r="I44" s="190" t="s">
        <v>99</v>
      </c>
      <c r="J44" s="132"/>
      <c r="K44" s="133"/>
      <c r="L44" s="133"/>
      <c r="M44" s="133"/>
      <c r="N44" s="134"/>
      <c r="O44" s="133"/>
      <c r="P44" s="132"/>
      <c r="Q44" s="132"/>
      <c r="R44" s="132"/>
      <c r="S44" s="132"/>
      <c r="T44" s="132"/>
      <c r="U44" s="132"/>
      <c r="V44" s="132"/>
      <c r="W44" s="132"/>
      <c r="X44" s="132"/>
      <c r="Y44" s="132"/>
      <c r="Z44" s="132"/>
      <c r="AA44" s="132"/>
      <c r="AB44" s="132"/>
      <c r="AC44" s="132"/>
      <c r="AD44" s="124"/>
      <c r="AE44" s="124"/>
      <c r="AF44" s="124"/>
      <c r="AG44" s="124"/>
      <c r="AH44" s="124"/>
      <c r="AI44" s="124"/>
      <c r="AJ44" s="124"/>
      <c r="AK44" s="124"/>
      <c r="AL44" s="124"/>
      <c r="AM44" s="124"/>
      <c r="AN44" s="124"/>
      <c r="AO44" s="124"/>
      <c r="AP44" s="124"/>
      <c r="AQ44" s="124"/>
      <c r="AR44" s="124"/>
      <c r="AS44" s="124"/>
      <c r="AT44" s="124"/>
      <c r="AU44" s="124"/>
      <c r="AV44" s="124"/>
      <c r="AW44" s="124"/>
      <c r="AX44" s="124"/>
      <c r="AY44" s="124"/>
      <c r="AZ44" s="124"/>
      <c r="BA44" s="124"/>
      <c r="BB44" s="136"/>
    </row>
    <row r="45" customFormat="false" ht="15.6" hidden="false" customHeight="false" outlineLevel="0" collapsed="false">
      <c r="A45" s="111" t="n">
        <f aca="false">IF(ISBLANK(VLOOKUP(D45,#REF!,3)),0,1)</f>
        <v>1</v>
      </c>
      <c r="B45" s="112" t="n">
        <f aca="false">IF(ISBLANK(D45),0,IF(ISBLANK(E45),0,IF(ISBLANK(F45),0,1)))</f>
        <v>0</v>
      </c>
      <c r="C45" s="128" t="n">
        <v>11</v>
      </c>
      <c r="D45" s="129"/>
      <c r="E45" s="129"/>
      <c r="F45" s="137"/>
      <c r="G45" s="117" t="s">
        <v>99</v>
      </c>
      <c r="H45" s="131" t="s">
        <v>99</v>
      </c>
      <c r="I45" s="190" t="s">
        <v>99</v>
      </c>
      <c r="J45" s="132"/>
      <c r="K45" s="133"/>
      <c r="L45" s="133"/>
      <c r="M45" s="133"/>
      <c r="N45" s="134"/>
      <c r="O45" s="133"/>
      <c r="P45" s="132"/>
      <c r="Q45" s="132"/>
      <c r="R45" s="132"/>
      <c r="S45" s="132"/>
      <c r="T45" s="132"/>
      <c r="U45" s="132"/>
      <c r="V45" s="132"/>
      <c r="W45" s="132"/>
      <c r="X45" s="132"/>
      <c r="Y45" s="132"/>
      <c r="Z45" s="132"/>
      <c r="AA45" s="132"/>
      <c r="AB45" s="132"/>
      <c r="AC45" s="132"/>
      <c r="AD45" s="124"/>
      <c r="AE45" s="124"/>
      <c r="AF45" s="124"/>
      <c r="AG45" s="124"/>
      <c r="AH45" s="124"/>
      <c r="AI45" s="124"/>
      <c r="AJ45" s="124"/>
      <c r="AK45" s="124"/>
      <c r="AL45" s="124"/>
      <c r="AM45" s="124"/>
      <c r="AN45" s="124"/>
      <c r="AO45" s="124"/>
      <c r="AP45" s="124"/>
      <c r="AQ45" s="124"/>
      <c r="AR45" s="124"/>
      <c r="AS45" s="124"/>
      <c r="AT45" s="124"/>
      <c r="AU45" s="124"/>
      <c r="AV45" s="124"/>
      <c r="AW45" s="124"/>
      <c r="AX45" s="124"/>
      <c r="AY45" s="124"/>
      <c r="AZ45" s="124"/>
      <c r="BA45" s="124"/>
      <c r="BB45" s="136"/>
    </row>
    <row r="46" customFormat="false" ht="15.6" hidden="false" customHeight="false" outlineLevel="0" collapsed="false">
      <c r="A46" s="111" t="n">
        <f aca="false">IF(ISBLANK(VLOOKUP(D46,#REF!,3)),0,1)</f>
        <v>1</v>
      </c>
      <c r="B46" s="112" t="n">
        <f aca="false">IF(ISBLANK(D46),0,IF(ISBLANK(E46),0,IF(ISBLANK(F46),0,1)))</f>
        <v>0</v>
      </c>
      <c r="C46" s="128" t="n">
        <v>12</v>
      </c>
      <c r="D46" s="142"/>
      <c r="E46" s="142"/>
      <c r="F46" s="143"/>
      <c r="G46" s="117" t="s">
        <v>99</v>
      </c>
      <c r="H46" s="131" t="s">
        <v>99</v>
      </c>
      <c r="I46" s="190" t="s">
        <v>99</v>
      </c>
      <c r="J46" s="132"/>
      <c r="K46" s="146" t="str">
        <f aca="false">IF(ISBLANK(E46),"",(0.000824493-(0.0000040899*E46)+(0.000000076438*E46^2)-(0.00000000082467*E46^3)+(0.0000000000053875*E46^4)))</f>
        <v/>
      </c>
      <c r="L46" s="146" t="str">
        <f aca="false">IF(ISBLANK(E46),"",(-0.00000572466+(0.00000010227*E46)-(0.0000000016546*E46^2)))</f>
        <v/>
      </c>
      <c r="M46" s="146" t="str">
        <f aca="false">IF(ISBLANK(E46),"",IF(ISBLANK(G46),(O46+(K46*35)+(L46*35^1.5)+(0.00000048314*35^2)),(O46+(K46*G46)+(L46*G46^1.5)+(0.00000048314*G46^2))))</f>
        <v/>
      </c>
      <c r="N46" s="147" t="str">
        <f aca="false">IF(ISBLANK(D46),"",IF(ISBLANK(G46),J46*(1+0.00001*(35-20)),J46*(1+0.00001*(G46-20))))</f>
        <v/>
      </c>
      <c r="O46" s="146" t="str">
        <f aca="false">IF(ISBLANK(E46),"",(0.999842594+(0.00006793952*E46)-(0.00000909529*E46^2)+(0.0000001001685*E46^3)-(0.000000001120083*E46^4)+(0.000000000006536332*E46^5)))</f>
        <v/>
      </c>
      <c r="P46" s="132"/>
      <c r="Q46" s="132"/>
      <c r="R46" s="132"/>
      <c r="S46" s="132"/>
      <c r="T46" s="132"/>
      <c r="U46" s="132"/>
      <c r="V46" s="132"/>
      <c r="W46" s="132"/>
      <c r="X46" s="132"/>
      <c r="Y46" s="132"/>
      <c r="Z46" s="132"/>
      <c r="AA46" s="132"/>
      <c r="AB46" s="132"/>
      <c r="AC46" s="132"/>
      <c r="AD46" s="124"/>
      <c r="AE46" s="124"/>
      <c r="AF46" s="124"/>
      <c r="AG46" s="124"/>
      <c r="AH46" s="124"/>
      <c r="AI46" s="124"/>
      <c r="AJ46" s="124"/>
      <c r="AK46" s="124"/>
      <c r="AL46" s="124"/>
      <c r="AM46" s="124"/>
      <c r="AN46" s="124"/>
      <c r="AO46" s="124"/>
      <c r="AP46" s="124"/>
      <c r="AQ46" s="124"/>
      <c r="AR46" s="124"/>
      <c r="AS46" s="124"/>
      <c r="AT46" s="124"/>
      <c r="AU46" s="124"/>
      <c r="AV46" s="124"/>
      <c r="AW46" s="124"/>
      <c r="AX46" s="124"/>
      <c r="AY46" s="124"/>
      <c r="AZ46" s="124"/>
      <c r="BA46" s="124"/>
      <c r="BB46" s="136"/>
    </row>
    <row r="47" customFormat="false" ht="15.6" hidden="false" customHeight="false" outlineLevel="0" collapsed="false">
      <c r="A47" s="111" t="n">
        <f aca="false">IF(ISBLANK(VLOOKUP(D47,#REF!,3)),0,1)</f>
        <v>1</v>
      </c>
      <c r="B47" s="112" t="n">
        <f aca="false">IF(ISBLANK(D47),0,IF(ISBLANK(E47),0,IF(ISBLANK(F47),0,1)))</f>
        <v>0</v>
      </c>
      <c r="C47" s="128" t="n">
        <v>13</v>
      </c>
      <c r="D47" s="151"/>
      <c r="E47" s="151"/>
      <c r="F47" s="152"/>
      <c r="G47" s="153"/>
      <c r="H47" s="151"/>
      <c r="I47" s="151"/>
      <c r="J47" s="132"/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32"/>
      <c r="Q47" s="132"/>
      <c r="R47" s="132"/>
      <c r="S47" s="132"/>
      <c r="T47" s="124"/>
      <c r="U47" s="124"/>
      <c r="V47" s="124"/>
      <c r="W47" s="124"/>
      <c r="X47" s="12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24"/>
      <c r="AJ47" s="124"/>
      <c r="AK47" s="124"/>
      <c r="AL47" s="124"/>
      <c r="AM47" s="124"/>
      <c r="AN47" s="124"/>
      <c r="AO47" s="124"/>
      <c r="AP47" s="124"/>
      <c r="AQ47" s="124"/>
      <c r="AR47" s="124"/>
      <c r="AS47" s="124"/>
      <c r="AT47" s="124"/>
      <c r="AU47" s="124"/>
      <c r="AV47" s="124"/>
      <c r="AW47" s="124"/>
      <c r="AX47" s="124"/>
      <c r="AY47" s="124"/>
      <c r="AZ47" s="124"/>
      <c r="BA47" s="124"/>
      <c r="BB47" s="136"/>
    </row>
    <row r="48" customFormat="false" ht="15.6" hidden="false" customHeight="false" outlineLevel="0" collapsed="false">
      <c r="A48" s="111" t="n">
        <f aca="false">IF(ISBLANK(VLOOKUP(D48,#REF!,3)),0,1)</f>
        <v>1</v>
      </c>
      <c r="B48" s="112" t="n">
        <f aca="false">IF(ISBLANK(D48),0,IF(ISBLANK(E48),0,IF(ISBLANK(F48),0,1)))</f>
        <v>0</v>
      </c>
      <c r="C48" s="128" t="n">
        <v>14</v>
      </c>
      <c r="D48" s="151"/>
      <c r="E48" s="151"/>
      <c r="F48" s="152"/>
      <c r="G48" s="153"/>
      <c r="H48" s="151"/>
      <c r="I48" s="151"/>
      <c r="J48" s="132"/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32"/>
      <c r="Q48" s="132"/>
      <c r="R48" s="132"/>
      <c r="S48" s="132"/>
      <c r="T48" s="124"/>
      <c r="U48" s="124"/>
      <c r="V48" s="124"/>
      <c r="W48" s="124"/>
      <c r="X48" s="124"/>
      <c r="Y48" s="124"/>
      <c r="Z48" s="124"/>
      <c r="AA48" s="124"/>
      <c r="AB48" s="124"/>
      <c r="AC48" s="124"/>
      <c r="AD48" s="124"/>
      <c r="AE48" s="124"/>
      <c r="AF48" s="124"/>
      <c r="AG48" s="124"/>
      <c r="AH48" s="124"/>
      <c r="AI48" s="124"/>
      <c r="AJ48" s="124"/>
      <c r="AK48" s="124"/>
      <c r="AL48" s="124"/>
      <c r="AM48" s="124"/>
      <c r="AN48" s="124"/>
      <c r="AO48" s="124"/>
      <c r="AP48" s="124"/>
      <c r="AQ48" s="124"/>
      <c r="AR48" s="124"/>
      <c r="AS48" s="124"/>
      <c r="AT48" s="124"/>
      <c r="AU48" s="124"/>
      <c r="AV48" s="124"/>
      <c r="AW48" s="124"/>
      <c r="AX48" s="124"/>
      <c r="AY48" s="124"/>
      <c r="AZ48" s="124"/>
      <c r="BA48" s="124"/>
      <c r="BB48" s="136"/>
    </row>
    <row r="49" customFormat="false" ht="15.6" hidden="false" customHeight="false" outlineLevel="0" collapsed="false">
      <c r="A49" s="111" t="n">
        <f aca="false">IF(ISBLANK(VLOOKUP(D49,#REF!,3)),0,1)</f>
        <v>1</v>
      </c>
      <c r="B49" s="112" t="n">
        <f aca="false">IF(ISBLANK(D49),0,IF(ISBLANK(E49),0,IF(ISBLANK(F49),0,1)))</f>
        <v>0</v>
      </c>
      <c r="C49" s="128" t="n">
        <v>15</v>
      </c>
      <c r="D49" s="151"/>
      <c r="E49" s="151"/>
      <c r="F49" s="152"/>
      <c r="G49" s="156"/>
      <c r="H49" s="151"/>
      <c r="I49" s="151"/>
      <c r="J49" s="132"/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32"/>
      <c r="Q49" s="132"/>
      <c r="R49" s="132"/>
      <c r="S49" s="132"/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24"/>
      <c r="AE49" s="124"/>
      <c r="AF49" s="124"/>
      <c r="AG49" s="124"/>
      <c r="AH49" s="124"/>
      <c r="AI49" s="124"/>
      <c r="AJ49" s="124"/>
      <c r="AK49" s="124"/>
      <c r="AL49" s="124"/>
      <c r="AM49" s="124"/>
      <c r="AN49" s="124"/>
      <c r="AO49" s="124"/>
      <c r="AP49" s="124"/>
      <c r="AQ49" s="124"/>
      <c r="AR49" s="124"/>
      <c r="AS49" s="124"/>
      <c r="AT49" s="124"/>
      <c r="AU49" s="124"/>
      <c r="AV49" s="124"/>
      <c r="AW49" s="124"/>
      <c r="AX49" s="124"/>
      <c r="AY49" s="124"/>
      <c r="AZ49" s="124"/>
      <c r="BA49" s="124"/>
      <c r="BB49" s="136"/>
    </row>
    <row r="50" customFormat="false" ht="15.6" hidden="false" customHeight="false" outlineLevel="0" collapsed="false">
      <c r="A50" s="111" t="n">
        <f aca="false">IF(ISBLANK(VLOOKUP(D50,#REF!,3)),0,1)</f>
        <v>1</v>
      </c>
      <c r="B50" s="112" t="n">
        <f aca="false">IF(ISBLANK(D50),0,IF(ISBLANK(E50),0,IF(ISBLANK(F50),0,1)))</f>
        <v>0</v>
      </c>
      <c r="C50" s="128" t="n">
        <v>16</v>
      </c>
      <c r="D50" s="151"/>
      <c r="E50" s="151"/>
      <c r="F50" s="152"/>
      <c r="G50" s="156"/>
      <c r="H50" s="151"/>
      <c r="I50" s="151"/>
      <c r="J50" s="132"/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32"/>
      <c r="Q50" s="132"/>
      <c r="R50" s="132"/>
      <c r="S50" s="132"/>
      <c r="T50" s="124"/>
      <c r="U50" s="124"/>
      <c r="V50" s="124"/>
      <c r="W50" s="124"/>
      <c r="X50" s="124"/>
      <c r="Y50" s="124"/>
      <c r="Z50" s="124"/>
      <c r="AA50" s="124"/>
      <c r="AB50" s="124"/>
      <c r="AC50" s="124"/>
      <c r="AD50" s="124"/>
      <c r="AE50" s="124"/>
      <c r="AF50" s="124"/>
      <c r="AG50" s="124"/>
      <c r="AH50" s="124"/>
      <c r="AI50" s="124"/>
      <c r="AJ50" s="124"/>
      <c r="AK50" s="124"/>
      <c r="AL50" s="124"/>
      <c r="AM50" s="124"/>
      <c r="AN50" s="124"/>
      <c r="AO50" s="124"/>
      <c r="AP50" s="124"/>
      <c r="AQ50" s="124"/>
      <c r="AR50" s="124"/>
      <c r="AS50" s="124"/>
      <c r="AT50" s="124"/>
      <c r="AU50" s="124"/>
      <c r="AV50" s="124"/>
      <c r="AW50" s="124"/>
      <c r="AX50" s="124"/>
      <c r="AY50" s="124"/>
      <c r="AZ50" s="124"/>
      <c r="BA50" s="124"/>
      <c r="BB50" s="136"/>
    </row>
    <row r="51" customFormat="false" ht="15.6" hidden="false" customHeight="false" outlineLevel="0" collapsed="false">
      <c r="A51" s="111" t="n">
        <f aca="false">IF(ISBLANK(VLOOKUP(D51,#REF!,3)),0,1)</f>
        <v>1</v>
      </c>
      <c r="B51" s="112" t="n">
        <f aca="false">IF(ISBLANK(D51),0,IF(ISBLANK(E51),0,IF(ISBLANK(F51),0,1)))</f>
        <v>0</v>
      </c>
      <c r="C51" s="128" t="n">
        <v>17</v>
      </c>
      <c r="D51" s="151"/>
      <c r="E51" s="151"/>
      <c r="F51" s="152"/>
      <c r="G51" s="156"/>
      <c r="H51" s="151"/>
      <c r="I51" s="151"/>
      <c r="J51" s="132"/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32"/>
      <c r="Q51" s="132"/>
      <c r="R51" s="132"/>
      <c r="S51" s="132"/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24"/>
      <c r="AE51" s="124"/>
      <c r="AF51" s="124"/>
      <c r="AG51" s="124"/>
      <c r="AH51" s="124"/>
      <c r="AI51" s="124"/>
      <c r="AJ51" s="124"/>
      <c r="AK51" s="124"/>
      <c r="AL51" s="124"/>
      <c r="AM51" s="124"/>
      <c r="AN51" s="124"/>
      <c r="AO51" s="124"/>
      <c r="AP51" s="124"/>
      <c r="AQ51" s="124"/>
      <c r="AR51" s="124"/>
      <c r="AS51" s="124"/>
      <c r="AT51" s="124"/>
      <c r="AU51" s="124"/>
      <c r="AV51" s="124"/>
      <c r="AW51" s="124"/>
      <c r="AX51" s="124"/>
      <c r="AY51" s="124"/>
      <c r="AZ51" s="124"/>
      <c r="BA51" s="124"/>
      <c r="BB51" s="136"/>
    </row>
    <row r="52" customFormat="false" ht="15.6" hidden="false" customHeight="false" outlineLevel="0" collapsed="false">
      <c r="A52" s="111" t="n">
        <f aca="false">IF(ISBLANK(VLOOKUP(D52,#REF!,3)),0,1)</f>
        <v>1</v>
      </c>
      <c r="B52" s="112" t="n">
        <f aca="false">IF(ISBLANK(D52),0,IF(ISBLANK(E52),0,IF(ISBLANK(F52),0,1)))</f>
        <v>0</v>
      </c>
      <c r="C52" s="128" t="n">
        <v>18</v>
      </c>
      <c r="D52" s="151"/>
      <c r="E52" s="151"/>
      <c r="F52" s="152"/>
      <c r="G52" s="156"/>
      <c r="H52" s="151"/>
      <c r="I52" s="151"/>
      <c r="J52" s="132"/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32"/>
      <c r="Q52" s="132"/>
      <c r="R52" s="132"/>
      <c r="S52" s="132"/>
      <c r="T52" s="124"/>
      <c r="U52" s="124"/>
      <c r="V52" s="124"/>
      <c r="W52" s="124"/>
      <c r="X52" s="124"/>
      <c r="Y52" s="124"/>
      <c r="Z52" s="124"/>
      <c r="AA52" s="124"/>
      <c r="AB52" s="124"/>
      <c r="AC52" s="124"/>
      <c r="AD52" s="124"/>
      <c r="AE52" s="124"/>
      <c r="AF52" s="124"/>
      <c r="AG52" s="124"/>
      <c r="AH52" s="124"/>
      <c r="AI52" s="124"/>
      <c r="AJ52" s="124"/>
      <c r="AK52" s="124"/>
      <c r="AL52" s="124"/>
      <c r="AM52" s="124"/>
      <c r="AN52" s="124"/>
      <c r="AO52" s="124"/>
      <c r="AP52" s="124"/>
      <c r="AQ52" s="124"/>
      <c r="AR52" s="124"/>
      <c r="AS52" s="124"/>
      <c r="AT52" s="124"/>
      <c r="AU52" s="124"/>
      <c r="AV52" s="124"/>
      <c r="AW52" s="124"/>
      <c r="AX52" s="124"/>
      <c r="AY52" s="124"/>
      <c r="AZ52" s="124"/>
      <c r="BA52" s="124"/>
      <c r="BB52" s="136"/>
    </row>
    <row r="53" customFormat="false" ht="15.6" hidden="false" customHeight="false" outlineLevel="0" collapsed="false">
      <c r="A53" s="111" t="n">
        <f aca="false">IF(ISBLANK(VLOOKUP(D53,#REF!,3)),0,1)</f>
        <v>1</v>
      </c>
      <c r="B53" s="112" t="n">
        <f aca="false">IF(ISBLANK(D53),0,IF(ISBLANK(E53),0,IF(ISBLANK(F53),0,1)))</f>
        <v>0</v>
      </c>
      <c r="C53" s="128" t="n">
        <v>19</v>
      </c>
      <c r="D53" s="151"/>
      <c r="E53" s="151"/>
      <c r="F53" s="152"/>
      <c r="G53" s="156"/>
      <c r="H53" s="151"/>
      <c r="I53" s="151"/>
      <c r="J53" s="132"/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32"/>
      <c r="Q53" s="132"/>
      <c r="R53" s="132"/>
      <c r="S53" s="132"/>
      <c r="T53" s="124"/>
      <c r="U53" s="124"/>
      <c r="V53" s="124"/>
      <c r="W53" s="124"/>
      <c r="X53" s="12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24"/>
      <c r="AJ53" s="124"/>
      <c r="AK53" s="124"/>
      <c r="AL53" s="124"/>
      <c r="AM53" s="124"/>
      <c r="AN53" s="124"/>
      <c r="AO53" s="124"/>
      <c r="AP53" s="124"/>
      <c r="AQ53" s="124"/>
      <c r="AR53" s="124"/>
      <c r="AS53" s="124"/>
      <c r="AT53" s="124"/>
      <c r="AU53" s="124"/>
      <c r="AV53" s="124"/>
      <c r="AW53" s="124"/>
      <c r="AX53" s="124"/>
      <c r="AY53" s="124"/>
      <c r="AZ53" s="124"/>
      <c r="BA53" s="124"/>
      <c r="BB53" s="136"/>
    </row>
    <row r="54" customFormat="false" ht="15.6" hidden="false" customHeight="false" outlineLevel="0" collapsed="false">
      <c r="A54" s="111" t="n">
        <f aca="false">IF(ISBLANK(VLOOKUP(D54,#REF!,3)),0,1)</f>
        <v>1</v>
      </c>
      <c r="B54" s="112" t="n">
        <f aca="false">IF(ISBLANK(D54),0,IF(ISBLANK(E54),0,IF(ISBLANK(F54),0,1)))</f>
        <v>0</v>
      </c>
      <c r="C54" s="128" t="n">
        <v>20</v>
      </c>
      <c r="D54" s="151"/>
      <c r="E54" s="151"/>
      <c r="F54" s="152"/>
      <c r="G54" s="156"/>
      <c r="H54" s="151"/>
      <c r="I54" s="151"/>
      <c r="J54" s="132"/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32"/>
      <c r="Q54" s="132"/>
      <c r="R54" s="132"/>
      <c r="S54" s="132"/>
      <c r="T54" s="124"/>
      <c r="U54" s="124"/>
      <c r="V54" s="124"/>
      <c r="W54" s="124"/>
      <c r="X54" s="124"/>
      <c r="Y54" s="124"/>
      <c r="Z54" s="124"/>
      <c r="AA54" s="124"/>
      <c r="AB54" s="124"/>
      <c r="AC54" s="124"/>
      <c r="AD54" s="124"/>
      <c r="AE54" s="124"/>
      <c r="AF54" s="124"/>
      <c r="AG54" s="124"/>
      <c r="AH54" s="124"/>
      <c r="AI54" s="124"/>
      <c r="AJ54" s="124"/>
      <c r="AK54" s="124"/>
      <c r="AL54" s="124"/>
      <c r="AM54" s="124"/>
      <c r="AN54" s="124"/>
      <c r="AO54" s="124"/>
      <c r="AP54" s="124"/>
      <c r="AQ54" s="124"/>
      <c r="AR54" s="124"/>
      <c r="AS54" s="124"/>
      <c r="AT54" s="124"/>
      <c r="AU54" s="124"/>
      <c r="AV54" s="124"/>
      <c r="AW54" s="124"/>
      <c r="AX54" s="124"/>
      <c r="AY54" s="124"/>
      <c r="AZ54" s="124"/>
      <c r="BA54" s="124"/>
      <c r="BB54" s="136"/>
    </row>
    <row r="55" customFormat="false" ht="15.6" hidden="false" customHeight="false" outlineLevel="0" collapsed="false">
      <c r="A55" s="111" t="n">
        <f aca="false">IF(ISBLANK(VLOOKUP(D55,#REF!,3)),0,1)</f>
        <v>1</v>
      </c>
      <c r="B55" s="112" t="n">
        <f aca="false">IF(ISBLANK(D55),0,IF(ISBLANK(E55),0,IF(ISBLANK(F55),0,1)))</f>
        <v>0</v>
      </c>
      <c r="C55" s="128" t="n">
        <v>21</v>
      </c>
      <c r="D55" s="151"/>
      <c r="E55" s="151"/>
      <c r="F55" s="152"/>
      <c r="G55" s="156"/>
      <c r="H55" s="151"/>
      <c r="I55" s="151"/>
      <c r="J55" s="132"/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32"/>
      <c r="Q55" s="132"/>
      <c r="R55" s="132"/>
      <c r="S55" s="132"/>
      <c r="T55" s="124"/>
      <c r="U55" s="124"/>
      <c r="V55" s="124"/>
      <c r="W55" s="124"/>
      <c r="X55" s="124"/>
      <c r="Y55" s="124"/>
      <c r="Z55" s="124"/>
      <c r="AA55" s="124"/>
      <c r="AB55" s="124"/>
      <c r="AC55" s="124"/>
      <c r="AD55" s="124"/>
      <c r="AE55" s="124"/>
      <c r="AF55" s="124"/>
      <c r="AG55" s="124"/>
      <c r="AH55" s="124"/>
      <c r="AI55" s="124"/>
      <c r="AJ55" s="124"/>
      <c r="AK55" s="124"/>
      <c r="AL55" s="124"/>
      <c r="AM55" s="124"/>
      <c r="AN55" s="124"/>
      <c r="AO55" s="124"/>
      <c r="AP55" s="124"/>
      <c r="AQ55" s="124"/>
      <c r="AR55" s="124"/>
      <c r="AS55" s="124"/>
      <c r="AT55" s="124"/>
      <c r="AU55" s="124"/>
      <c r="AV55" s="124"/>
      <c r="AW55" s="124"/>
      <c r="AX55" s="124"/>
      <c r="AY55" s="124"/>
      <c r="AZ55" s="124"/>
      <c r="BA55" s="124"/>
      <c r="BB55" s="136"/>
    </row>
    <row r="56" customFormat="false" ht="15.6" hidden="false" customHeight="false" outlineLevel="0" collapsed="false">
      <c r="A56" s="111" t="n">
        <f aca="false">IF(ISBLANK(VLOOKUP(D56,#REF!,3)),0,1)</f>
        <v>1</v>
      </c>
      <c r="B56" s="112" t="n">
        <f aca="false">IF(ISBLANK(D56),0,IF(ISBLANK(E56),0,IF(ISBLANK(F56),0,1)))</f>
        <v>0</v>
      </c>
      <c r="C56" s="128" t="n">
        <v>22</v>
      </c>
      <c r="D56" s="151"/>
      <c r="E56" s="151"/>
      <c r="F56" s="152"/>
      <c r="G56" s="156"/>
      <c r="H56" s="151"/>
      <c r="I56" s="151"/>
      <c r="J56" s="132"/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32"/>
      <c r="Q56" s="132"/>
      <c r="R56" s="132"/>
      <c r="S56" s="132"/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24"/>
      <c r="AE56" s="124"/>
      <c r="AF56" s="124"/>
      <c r="AG56" s="124"/>
      <c r="AH56" s="124"/>
      <c r="AI56" s="124"/>
      <c r="AJ56" s="124"/>
      <c r="AK56" s="124"/>
      <c r="AL56" s="124"/>
      <c r="AM56" s="124"/>
      <c r="AN56" s="124"/>
      <c r="AO56" s="124"/>
      <c r="AP56" s="124"/>
      <c r="AQ56" s="124"/>
      <c r="AR56" s="124"/>
      <c r="AS56" s="124"/>
      <c r="AT56" s="124"/>
      <c r="AU56" s="124"/>
      <c r="AV56" s="124"/>
      <c r="AW56" s="124"/>
      <c r="AX56" s="124"/>
      <c r="AY56" s="124"/>
      <c r="AZ56" s="124"/>
      <c r="BA56" s="124"/>
      <c r="BB56" s="136"/>
    </row>
    <row r="57" customFormat="false" ht="15.6" hidden="false" customHeight="false" outlineLevel="0" collapsed="false">
      <c r="A57" s="111" t="n">
        <f aca="false">IF(ISBLANK(VLOOKUP(D57,#REF!,3)),0,1)</f>
        <v>1</v>
      </c>
      <c r="B57" s="112" t="n">
        <f aca="false">IF(ISBLANK(D57),0,IF(ISBLANK(E57),0,IF(ISBLANK(F57),0,1)))</f>
        <v>0</v>
      </c>
      <c r="C57" s="128" t="n">
        <v>23</v>
      </c>
      <c r="D57" s="151"/>
      <c r="E57" s="151"/>
      <c r="F57" s="152"/>
      <c r="G57" s="156"/>
      <c r="H57" s="151"/>
      <c r="I57" s="151"/>
      <c r="J57" s="132"/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32"/>
      <c r="Q57" s="132"/>
      <c r="R57" s="132"/>
      <c r="S57" s="132"/>
      <c r="T57" s="124"/>
      <c r="U57" s="124"/>
      <c r="V57" s="124"/>
      <c r="W57" s="124"/>
      <c r="X57" s="124"/>
      <c r="Y57" s="124"/>
      <c r="Z57" s="124"/>
      <c r="AA57" s="124"/>
      <c r="AB57" s="124"/>
      <c r="AC57" s="124"/>
      <c r="AD57" s="124"/>
      <c r="AE57" s="124"/>
      <c r="AF57" s="124"/>
      <c r="AG57" s="124"/>
      <c r="AH57" s="124"/>
      <c r="AI57" s="124"/>
      <c r="AJ57" s="124"/>
      <c r="AK57" s="124"/>
      <c r="AL57" s="124"/>
      <c r="AM57" s="124"/>
      <c r="AN57" s="124"/>
      <c r="AO57" s="124"/>
      <c r="AP57" s="124"/>
      <c r="AQ57" s="124"/>
      <c r="AR57" s="124"/>
      <c r="AS57" s="124"/>
      <c r="AT57" s="124"/>
      <c r="AU57" s="124"/>
      <c r="AV57" s="124"/>
      <c r="AW57" s="124"/>
      <c r="AX57" s="124"/>
      <c r="AY57" s="124"/>
      <c r="AZ57" s="124"/>
      <c r="BA57" s="124"/>
      <c r="BB57" s="136"/>
    </row>
    <row r="58" customFormat="false" ht="16.2" hidden="false" customHeight="false" outlineLevel="0" collapsed="false">
      <c r="A58" s="111" t="n">
        <f aca="false">IF(ISBLANK(VLOOKUP(D58,#REF!,3)),0,1)</f>
        <v>1</v>
      </c>
      <c r="B58" s="112" t="n">
        <f aca="false">IF(ISBLANK(D58),0,IF(ISBLANK(E58),0,IF(ISBLANK(F58),0,1)))</f>
        <v>0</v>
      </c>
      <c r="C58" s="158" t="n">
        <v>24</v>
      </c>
      <c r="D58" s="159"/>
      <c r="E58" s="159"/>
      <c r="F58" s="160"/>
      <c r="G58" s="161"/>
      <c r="H58" s="159"/>
      <c r="I58" s="159"/>
      <c r="J58" s="132"/>
      <c r="K58" s="163" t="str">
        <f aca="false">IF(ISBLANK(E58),"",(0.000824493-(0.0000040899*E58)+(0.000000076438*E58^2)-(0.00000000082467*E58^3)+(0.0000000000053875*E58^4)))</f>
        <v/>
      </c>
      <c r="L58" s="163" t="str">
        <f aca="false">IF(ISBLANK(E58),"",(-0.00000572466+(0.00000010227*E58)-(0.0000000016546*E58^2)))</f>
        <v/>
      </c>
      <c r="M58" s="163" t="str">
        <f aca="false">IF(ISBLANK(E58),"",IF(ISBLANK(G58),(O58+(K58*35)+(L58*35^1.5)+(0.00000048314*35^2)),(O58+(K58*G58)+(L58*G58^1.5)+(0.00000048314*G58^2))))</f>
        <v/>
      </c>
      <c r="N58" s="164" t="str">
        <f aca="false">IF(ISBLANK(D58),"",IF(ISBLANK(G58),J58*(1+0.00001*(35-20)),J58*(1+0.00001*(G58-20))))</f>
        <v/>
      </c>
      <c r="O58" s="163" t="str">
        <f aca="false">IF(ISBLANK(E58),"",(0.999842594+(0.00006793952*E58)-(0.00000909529*E58^2)+(0.0000001001685*E58^3)-(0.000000001120083*E58^4)+(0.000000000006536332*E58^5)))</f>
        <v/>
      </c>
      <c r="P58" s="132"/>
      <c r="Q58" s="132"/>
      <c r="R58" s="132"/>
      <c r="S58" s="132"/>
      <c r="T58" s="168"/>
      <c r="U58" s="168"/>
      <c r="V58" s="168"/>
      <c r="W58" s="168"/>
      <c r="X58" s="168"/>
      <c r="Y58" s="168"/>
      <c r="Z58" s="168"/>
      <c r="AA58" s="168"/>
      <c r="AB58" s="168"/>
      <c r="AC58" s="168"/>
      <c r="AD58" s="168"/>
      <c r="AE58" s="168"/>
      <c r="AF58" s="168"/>
      <c r="AG58" s="168"/>
      <c r="AH58" s="168"/>
      <c r="AI58" s="168"/>
      <c r="AJ58" s="168"/>
      <c r="AK58" s="168"/>
      <c r="AL58" s="168"/>
      <c r="AM58" s="168"/>
      <c r="AN58" s="168"/>
      <c r="AO58" s="168"/>
      <c r="AP58" s="168"/>
      <c r="AQ58" s="168"/>
      <c r="AR58" s="168"/>
      <c r="AS58" s="168"/>
      <c r="AT58" s="168"/>
      <c r="AU58" s="168"/>
      <c r="AV58" s="168"/>
      <c r="AW58" s="168"/>
      <c r="AX58" s="168"/>
      <c r="AY58" s="168"/>
      <c r="AZ58" s="168"/>
      <c r="BA58" s="168"/>
      <c r="BB58" s="169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G7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8178137651822"/>
    <col collapsed="false" hidden="false" max="32" min="32" style="0" width="9.10526315789474"/>
    <col collapsed="false" hidden="false" max="33" min="33" style="0" width="26.5668016194332"/>
    <col collapsed="false" hidden="false" max="34" min="34" style="0" width="12.8542510121458"/>
    <col collapsed="false" hidden="false" max="35" min="35" style="0" width="11.1417004048583"/>
    <col collapsed="false" hidden="false" max="36" min="36" style="0" width="14.5668016194332"/>
    <col collapsed="false" hidden="false" max="37" min="37" style="0" width="12.2105263157895"/>
    <col collapsed="false" hidden="false" max="38" min="38" style="0" width="26.995951417004"/>
    <col collapsed="false" hidden="false" max="39" min="39" style="0" width="14.6761133603239"/>
    <col collapsed="false" hidden="false" max="40" min="40" style="0" width="11.3562753036437"/>
    <col collapsed="false" hidden="false" max="41" min="41" style="0" width="12.5344129554656"/>
    <col collapsed="false" hidden="false" max="42" min="42" style="0" width="10.7125506072875"/>
    <col collapsed="false" hidden="false" max="43" min="43" style="0" width="6.31983805668016"/>
    <col collapsed="false" hidden="false" max="44" min="44" style="0" width="19.7085020242915"/>
    <col collapsed="false" hidden="false" max="45" min="45" style="0" width="13.0688259109312"/>
    <col collapsed="false" hidden="false" max="46" min="46" style="0" width="17.7813765182186"/>
    <col collapsed="false" hidden="false" max="47" min="47" style="0" width="14.6761133603239"/>
    <col collapsed="false" hidden="false" max="48" min="48" style="0" width="13.6032388663968"/>
    <col collapsed="false" hidden="false" max="49" min="49" style="0" width="13.7125506072874"/>
    <col collapsed="false" hidden="false" max="50" min="50" style="0" width="19.9230769230769"/>
    <col collapsed="false" hidden="false" max="51" min="51" style="0" width="13.2834008097166"/>
    <col collapsed="false" hidden="false" max="52" min="52" style="0" width="17.6761133603239"/>
    <col collapsed="false" hidden="false" max="53" min="53" style="0" width="13.3886639676113"/>
    <col collapsed="false" hidden="false" max="54" min="54" style="0" width="12.6396761133603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37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38728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6</v>
      </c>
      <c r="J9" s="29" t="n">
        <v>9.45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6°9,45</v>
      </c>
      <c r="P9" s="29" t="s">
        <v>13</v>
      </c>
      <c r="Q9" s="33" t="n">
        <f aca="false">IF(ISBLANK(I9),"",IF(ISBLANK(J9),"",IF(J9&gt;60,"ERREUR !!",O11*(I9+(J9/60)))))</f>
        <v>6.1575</v>
      </c>
      <c r="R9" s="33"/>
    </row>
    <row r="10" customFormat="false" ht="15" hidden="false" customHeight="true" outlineLevel="0" collapsed="false">
      <c r="C10" s="21"/>
      <c r="D10" s="18"/>
      <c r="G10" s="27" t="s">
        <v>16</v>
      </c>
      <c r="H10" s="27"/>
      <c r="I10" s="28" t="n">
        <v>2</v>
      </c>
      <c r="J10" s="29" t="n">
        <v>24.61</v>
      </c>
      <c r="K10" s="30" t="s">
        <v>12</v>
      </c>
      <c r="L10" s="31" t="str">
        <f aca="false">IF(P10=N9,"+","-")</f>
        <v>+</v>
      </c>
      <c r="M10" s="30" t="s">
        <v>15</v>
      </c>
      <c r="N10" s="30" t="s">
        <v>17</v>
      </c>
      <c r="O10" s="34" t="str">
        <f aca="false">IF(ISBLANK(I10),"",IF(ISBLANK(J10),"",IF(P10=N10,L10&amp;N12,N12)))</f>
        <v>2°24,61</v>
      </c>
      <c r="P10" s="29" t="s">
        <v>14</v>
      </c>
      <c r="Q10" s="33" t="n">
        <f aca="false">IF(ISBLANK(I10),"",IF(ISBLANK(J10),"",IF(J10&gt;60,"ERREUR !!",O12*(I10+(J10/60)))))</f>
        <v>2.41016666666667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38554</v>
      </c>
      <c r="K11" s="38"/>
      <c r="L11" s="38"/>
      <c r="M11" s="38"/>
      <c r="N11" s="39" t="str">
        <f aca="false">I9&amp;"°"&amp;J9</f>
        <v>6°9,45</v>
      </c>
      <c r="O11" s="40" t="n">
        <f aca="false">IF(P9=M10,-1,1)</f>
        <v>1</v>
      </c>
      <c r="P11" s="41" t="str">
        <f aca="false">TEXT(J11,"aaaa-mm-jj")&amp;"T"&amp;TEXT(J12,"hh:mm:ss")&amp;"z"</f>
        <v>2009-07-22T15:40:00z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0.652777777777778</v>
      </c>
      <c r="K12" s="45"/>
      <c r="L12" s="45"/>
      <c r="M12" s="45"/>
      <c r="N12" s="46" t="str">
        <f aca="false">I10&amp;"°"&amp;J10</f>
        <v>2°24,61</v>
      </c>
      <c r="O12" s="40" t="n">
        <f aca="false">IF(P10=N10,-1,1)</f>
        <v>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e">
        <f aca="false">$P$24*($P$18/#REF!)</f>
        <v>#REF!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e">
        <f aca="false">5+#REF!</f>
        <v>#REF!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e">
        <f aca="false">P20*(1+0.00001*(R14-20))</f>
        <v>#REF!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e">
        <f aca="false">MAX(#REF!)</f>
        <v>#VALUE!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e">
        <f aca="false">2+(#REF!+#REF!)</f>
        <v>#REF!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52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53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IF(ISBLANK(VLOOKUP(D35,#REF!,3)),0,1)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s">
        <v>99</v>
      </c>
      <c r="H35" s="131" t="n">
        <v>50</v>
      </c>
      <c r="I35" s="125" t="n">
        <v>51.57</v>
      </c>
      <c r="J35" s="120"/>
      <c r="K35" s="121"/>
      <c r="L35" s="121"/>
      <c r="M35" s="121"/>
      <c r="N35" s="122"/>
      <c r="O35" s="121"/>
      <c r="P35" s="132"/>
      <c r="Q35" s="120"/>
      <c r="R35" s="120"/>
      <c r="S35" s="120"/>
      <c r="T35" s="125" t="n">
        <v>0.1</v>
      </c>
      <c r="U35" s="32" t="n">
        <v>0.09</v>
      </c>
      <c r="V35" s="32"/>
      <c r="W35" s="32"/>
      <c r="X35" s="125" t="n">
        <v>2.6</v>
      </c>
      <c r="Y35" s="125" t="n">
        <v>2.6</v>
      </c>
      <c r="Z35" s="125" t="n">
        <v>0.4</v>
      </c>
      <c r="AA35" s="32" t="n">
        <v>0.38</v>
      </c>
      <c r="AB35" s="125" t="n">
        <v>4</v>
      </c>
      <c r="AC35" s="125" t="n">
        <v>3.9</v>
      </c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7"/>
    </row>
    <row r="36" customFormat="false" ht="15.6" hidden="false" customHeight="false" outlineLevel="0" collapsed="false">
      <c r="A36" s="111" t="n">
        <f aca="false">IF(ISBLANK(VLOOKUP(D36,#REF!,3)),0,1)</f>
        <v>1</v>
      </c>
      <c r="B36" s="112" t="n">
        <f aca="false">IF(ISBLANK(D36),0,IF(ISBLANK(E36),0,IF(ISBLANK(F36),0,1)))</f>
        <v>0</v>
      </c>
      <c r="C36" s="128" t="n">
        <v>2</v>
      </c>
      <c r="D36" s="129"/>
      <c r="E36" s="129"/>
      <c r="F36" s="130"/>
      <c r="G36" s="117" t="s">
        <v>99</v>
      </c>
      <c r="H36" s="131" t="n">
        <v>20</v>
      </c>
      <c r="I36" s="125" t="n">
        <v>20.33</v>
      </c>
      <c r="J36" s="132"/>
      <c r="K36" s="133"/>
      <c r="L36" s="133"/>
      <c r="M36" s="133"/>
      <c r="N36" s="134"/>
      <c r="O36" s="133"/>
      <c r="P36" s="132"/>
      <c r="Q36" s="132"/>
      <c r="R36" s="132"/>
      <c r="S36" s="132"/>
      <c r="T36" s="125" t="n">
        <v>0</v>
      </c>
      <c r="U36" s="32" t="n">
        <v>0</v>
      </c>
      <c r="V36" s="32"/>
      <c r="W36" s="32"/>
      <c r="X36" s="125" t="n">
        <v>0</v>
      </c>
      <c r="Y36" s="125" t="n">
        <v>0</v>
      </c>
      <c r="Z36" s="125" t="n">
        <v>0.1</v>
      </c>
      <c r="AA36" s="32" t="n">
        <v>0.1</v>
      </c>
      <c r="AB36" s="125" t="n">
        <v>4</v>
      </c>
      <c r="AC36" s="125" t="n">
        <v>3.9</v>
      </c>
      <c r="AD36" s="124"/>
      <c r="AE36" s="124"/>
      <c r="AF36" s="124"/>
      <c r="AG36" s="124"/>
      <c r="AH36" s="124"/>
      <c r="AI36" s="124"/>
      <c r="AJ36" s="124"/>
      <c r="AK36" s="124"/>
      <c r="AL36" s="124"/>
      <c r="AM36" s="124"/>
      <c r="AN36" s="124"/>
      <c r="AO36" s="124"/>
      <c r="AP36" s="124"/>
      <c r="AQ36" s="124"/>
      <c r="AR36" s="124"/>
      <c r="AS36" s="124"/>
      <c r="AT36" s="124"/>
      <c r="AU36" s="124"/>
      <c r="AV36" s="124"/>
      <c r="AW36" s="124"/>
      <c r="AX36" s="124"/>
      <c r="AY36" s="124"/>
      <c r="AZ36" s="124"/>
      <c r="BA36" s="124"/>
      <c r="BB36" s="136"/>
    </row>
    <row r="37" customFormat="false" ht="15.6" hidden="false" customHeight="false" outlineLevel="0" collapsed="false">
      <c r="A37" s="111" t="n">
        <f aca="false">IF(ISBLANK(VLOOKUP(D37,#REF!,3)),0,1)</f>
        <v>1</v>
      </c>
      <c r="B37" s="112" t="n">
        <f aca="false">IF(ISBLANK(D37),0,IF(ISBLANK(E37),0,IF(ISBLANK(F37),0,1)))</f>
        <v>0</v>
      </c>
      <c r="C37" s="128" t="n">
        <v>3</v>
      </c>
      <c r="D37" s="129"/>
      <c r="E37" s="129"/>
      <c r="F37" s="137"/>
      <c r="G37" s="117" t="s">
        <v>99</v>
      </c>
      <c r="H37" s="131" t="n">
        <v>0</v>
      </c>
      <c r="I37" s="125" t="n">
        <v>2.35</v>
      </c>
      <c r="J37" s="132"/>
      <c r="K37" s="133"/>
      <c r="L37" s="133"/>
      <c r="M37" s="133"/>
      <c r="N37" s="134"/>
      <c r="O37" s="133"/>
      <c r="P37" s="132"/>
      <c r="Q37" s="132"/>
      <c r="R37" s="132"/>
      <c r="S37" s="132"/>
      <c r="T37" s="125" t="n">
        <v>0</v>
      </c>
      <c r="U37" s="32" t="n">
        <v>0</v>
      </c>
      <c r="V37" s="32"/>
      <c r="W37" s="32"/>
      <c r="X37" s="125" t="n">
        <v>0</v>
      </c>
      <c r="Y37" s="125" t="n">
        <v>0</v>
      </c>
      <c r="Z37" s="125" t="n">
        <v>0.1</v>
      </c>
      <c r="AA37" s="32" t="n">
        <v>0.07</v>
      </c>
      <c r="AB37" s="125" t="n">
        <v>2.3</v>
      </c>
      <c r="AC37" s="125" t="n">
        <v>2.2</v>
      </c>
      <c r="AD37" s="124"/>
      <c r="AE37" s="124"/>
      <c r="AF37" s="124"/>
      <c r="AG37" s="124"/>
      <c r="AH37" s="124"/>
      <c r="AI37" s="124"/>
      <c r="AJ37" s="124"/>
      <c r="AK37" s="124"/>
      <c r="AL37" s="124"/>
      <c r="AM37" s="124"/>
      <c r="AN37" s="124"/>
      <c r="AO37" s="124"/>
      <c r="AP37" s="124"/>
      <c r="AQ37" s="124"/>
      <c r="AR37" s="124"/>
      <c r="AS37" s="124"/>
      <c r="AT37" s="124"/>
      <c r="AU37" s="124"/>
      <c r="AV37" s="124"/>
      <c r="AW37" s="124"/>
      <c r="AX37" s="124"/>
      <c r="AY37" s="124"/>
      <c r="AZ37" s="124"/>
      <c r="BA37" s="124"/>
      <c r="BB37" s="136"/>
    </row>
    <row r="38" customFormat="false" ht="15.6" hidden="false" customHeight="false" outlineLevel="0" collapsed="false">
      <c r="A38" s="111" t="n">
        <f aca="false">IF(ISBLANK(VLOOKUP(D38,#REF!,3)),0,1)</f>
        <v>1</v>
      </c>
      <c r="B38" s="112" t="n">
        <f aca="false">IF(ISBLANK(D38),0,IF(ISBLANK(E38),0,IF(ISBLANK(F38),0,1)))</f>
        <v>0</v>
      </c>
      <c r="C38" s="128" t="n">
        <v>4</v>
      </c>
      <c r="D38" s="138"/>
      <c r="E38" s="138"/>
      <c r="F38" s="139"/>
      <c r="G38" s="117" t="s">
        <v>99</v>
      </c>
      <c r="H38" s="131" t="s">
        <v>99</v>
      </c>
      <c r="I38" s="190" t="s">
        <v>99</v>
      </c>
      <c r="J38" s="132"/>
      <c r="K38" s="133"/>
      <c r="L38" s="133"/>
      <c r="M38" s="133"/>
      <c r="N38" s="134"/>
      <c r="O38" s="133"/>
      <c r="P38" s="132"/>
      <c r="Q38" s="132"/>
      <c r="R38" s="132"/>
      <c r="S38" s="132"/>
      <c r="T38" s="132"/>
      <c r="U38" s="133"/>
      <c r="V38" s="133"/>
      <c r="W38" s="133"/>
      <c r="X38" s="134"/>
      <c r="Y38" s="133"/>
      <c r="Z38" s="132"/>
      <c r="AA38" s="132"/>
      <c r="AB38" s="132"/>
      <c r="AC38" s="132"/>
      <c r="AD38" s="124"/>
      <c r="AE38" s="124"/>
      <c r="AF38" s="124"/>
      <c r="AG38" s="124"/>
      <c r="AH38" s="124"/>
      <c r="AI38" s="124"/>
      <c r="AJ38" s="124"/>
      <c r="AK38" s="124"/>
      <c r="AL38" s="124"/>
      <c r="AM38" s="124"/>
      <c r="AN38" s="124"/>
      <c r="AO38" s="124"/>
      <c r="AP38" s="124"/>
      <c r="AQ38" s="124"/>
      <c r="AR38" s="124"/>
      <c r="AS38" s="124"/>
      <c r="AT38" s="124"/>
      <c r="AU38" s="124"/>
      <c r="AV38" s="124"/>
      <c r="AW38" s="124"/>
      <c r="AX38" s="124"/>
      <c r="AY38" s="124"/>
      <c r="AZ38" s="124"/>
      <c r="BA38" s="124"/>
      <c r="BB38" s="136"/>
    </row>
    <row r="39" customFormat="false" ht="15.6" hidden="false" customHeight="false" outlineLevel="0" collapsed="false">
      <c r="A39" s="111" t="n">
        <f aca="false">IF(ISBLANK(VLOOKUP(D39,#REF!,3)),0,1)</f>
        <v>1</v>
      </c>
      <c r="B39" s="112" t="n">
        <f aca="false">IF(ISBLANK(D39),0,IF(ISBLANK(E39),0,IF(ISBLANK(F39),0,1)))</f>
        <v>0</v>
      </c>
      <c r="C39" s="128" t="n">
        <v>5</v>
      </c>
      <c r="D39" s="129"/>
      <c r="E39" s="129"/>
      <c r="F39" s="137"/>
      <c r="G39" s="117" t="s">
        <v>99</v>
      </c>
      <c r="H39" s="131" t="s">
        <v>99</v>
      </c>
      <c r="I39" s="190" t="s">
        <v>99</v>
      </c>
      <c r="J39" s="132"/>
      <c r="K39" s="133"/>
      <c r="L39" s="133"/>
      <c r="M39" s="133"/>
      <c r="N39" s="134"/>
      <c r="O39" s="133"/>
      <c r="P39" s="132"/>
      <c r="Q39" s="132"/>
      <c r="R39" s="132"/>
      <c r="S39" s="132"/>
      <c r="T39" s="132"/>
      <c r="U39" s="133"/>
      <c r="V39" s="133"/>
      <c r="W39" s="133"/>
      <c r="X39" s="134"/>
      <c r="Y39" s="133"/>
      <c r="Z39" s="132"/>
      <c r="AA39" s="132"/>
      <c r="AB39" s="132"/>
      <c r="AC39" s="132"/>
      <c r="AD39" s="124"/>
      <c r="AE39" s="124"/>
      <c r="AF39" s="124"/>
      <c r="AG39" s="124"/>
      <c r="AH39" s="124"/>
      <c r="AI39" s="124"/>
      <c r="AJ39" s="124"/>
      <c r="AK39" s="124"/>
      <c r="AL39" s="124"/>
      <c r="AM39" s="124"/>
      <c r="AN39" s="124"/>
      <c r="AO39" s="124"/>
      <c r="AP39" s="124"/>
      <c r="AQ39" s="124"/>
      <c r="AR39" s="124"/>
      <c r="AS39" s="124"/>
      <c r="AT39" s="124"/>
      <c r="AU39" s="124"/>
      <c r="AV39" s="124"/>
      <c r="AW39" s="124"/>
      <c r="AX39" s="124"/>
      <c r="AY39" s="124"/>
      <c r="AZ39" s="124"/>
      <c r="BA39" s="124"/>
      <c r="BB39" s="136"/>
    </row>
    <row r="40" customFormat="false" ht="15.6" hidden="false" customHeight="false" outlineLevel="0" collapsed="false">
      <c r="A40" s="111" t="n">
        <f aca="false">IF(ISBLANK(VLOOKUP(D40,#REF!,3)),0,1)</f>
        <v>1</v>
      </c>
      <c r="B40" s="112" t="n">
        <f aca="false">IF(ISBLANK(D40),0,IF(ISBLANK(E40),0,IF(ISBLANK(F40),0,1)))</f>
        <v>0</v>
      </c>
      <c r="C40" s="128" t="n">
        <v>6</v>
      </c>
      <c r="D40" s="129"/>
      <c r="E40" s="129"/>
      <c r="F40" s="137"/>
      <c r="G40" s="117" t="s">
        <v>99</v>
      </c>
      <c r="H40" s="131" t="s">
        <v>99</v>
      </c>
      <c r="I40" s="190" t="s">
        <v>99</v>
      </c>
      <c r="J40" s="132"/>
      <c r="K40" s="133"/>
      <c r="L40" s="133"/>
      <c r="M40" s="133"/>
      <c r="N40" s="134"/>
      <c r="O40" s="133"/>
      <c r="P40" s="132"/>
      <c r="Q40" s="132"/>
      <c r="R40" s="132"/>
      <c r="S40" s="132"/>
      <c r="T40" s="132"/>
      <c r="U40" s="132"/>
      <c r="V40" s="132"/>
      <c r="W40" s="132"/>
      <c r="X40" s="132"/>
      <c r="Y40" s="132"/>
      <c r="Z40" s="132"/>
      <c r="AA40" s="132"/>
      <c r="AB40" s="132"/>
      <c r="AC40" s="132"/>
      <c r="AD40" s="124"/>
      <c r="AE40" s="124"/>
      <c r="AF40" s="124"/>
      <c r="AG40" s="124"/>
      <c r="AH40" s="124"/>
      <c r="AI40" s="124"/>
      <c r="AJ40" s="124"/>
      <c r="AK40" s="124"/>
      <c r="AL40" s="124"/>
      <c r="AM40" s="124"/>
      <c r="AN40" s="124"/>
      <c r="AO40" s="124"/>
      <c r="AP40" s="124"/>
      <c r="AQ40" s="124"/>
      <c r="AR40" s="124"/>
      <c r="AS40" s="124"/>
      <c r="AT40" s="124"/>
      <c r="AU40" s="124"/>
      <c r="AV40" s="124"/>
      <c r="AW40" s="124"/>
      <c r="AX40" s="124"/>
      <c r="AY40" s="124"/>
      <c r="AZ40" s="124"/>
      <c r="BA40" s="124"/>
      <c r="BB40" s="136"/>
    </row>
    <row r="41" customFormat="false" ht="15.6" hidden="false" customHeight="false" outlineLevel="0" collapsed="false">
      <c r="A41" s="111" t="n">
        <f aca="false">IF(ISBLANK(VLOOKUP(D41,#REF!,3)),0,1)</f>
        <v>1</v>
      </c>
      <c r="B41" s="112" t="n">
        <f aca="false">IF(ISBLANK(D41),0,IF(ISBLANK(E41),0,IF(ISBLANK(F41),0,1)))</f>
        <v>0</v>
      </c>
      <c r="C41" s="128" t="n">
        <v>7</v>
      </c>
      <c r="D41" s="129"/>
      <c r="E41" s="129"/>
      <c r="F41" s="137"/>
      <c r="G41" s="117" t="s">
        <v>99</v>
      </c>
      <c r="H41" s="131" t="s">
        <v>99</v>
      </c>
      <c r="I41" s="190" t="s">
        <v>99</v>
      </c>
      <c r="J41" s="132"/>
      <c r="K41" s="133"/>
      <c r="L41" s="133"/>
      <c r="M41" s="133"/>
      <c r="N41" s="134"/>
      <c r="O41" s="133"/>
      <c r="P41" s="132"/>
      <c r="Q41" s="132"/>
      <c r="R41" s="132"/>
      <c r="S41" s="132"/>
      <c r="T41" s="132"/>
      <c r="U41" s="132"/>
      <c r="V41" s="132"/>
      <c r="W41" s="132"/>
      <c r="X41" s="132"/>
      <c r="Y41" s="132"/>
      <c r="Z41" s="132"/>
      <c r="AA41" s="132"/>
      <c r="AB41" s="132"/>
      <c r="AC41" s="132"/>
      <c r="AD41" s="124"/>
      <c r="AE41" s="124"/>
      <c r="AF41" s="124"/>
      <c r="AG41" s="124"/>
      <c r="AH41" s="124"/>
      <c r="AI41" s="124"/>
      <c r="AJ41" s="124"/>
      <c r="AK41" s="124"/>
      <c r="AL41" s="124"/>
      <c r="AM41" s="124"/>
      <c r="AN41" s="124"/>
      <c r="AO41" s="124"/>
      <c r="AP41" s="124"/>
      <c r="AQ41" s="124"/>
      <c r="AR41" s="124"/>
      <c r="AS41" s="124"/>
      <c r="AT41" s="124"/>
      <c r="AU41" s="124"/>
      <c r="AV41" s="124"/>
      <c r="AW41" s="124"/>
      <c r="AX41" s="124"/>
      <c r="AY41" s="124"/>
      <c r="AZ41" s="124"/>
      <c r="BA41" s="124"/>
      <c r="BB41" s="136"/>
    </row>
    <row r="42" customFormat="false" ht="15.6" hidden="false" customHeight="false" outlineLevel="0" collapsed="false">
      <c r="A42" s="111" t="n">
        <f aca="false">IF(ISBLANK(VLOOKUP(D42,#REF!,3)),0,1)</f>
        <v>1</v>
      </c>
      <c r="B42" s="112" t="n">
        <f aca="false">IF(ISBLANK(D42),0,IF(ISBLANK(E42),0,IF(ISBLANK(F42),0,1)))</f>
        <v>0</v>
      </c>
      <c r="C42" s="128" t="n">
        <v>8</v>
      </c>
      <c r="D42" s="129"/>
      <c r="E42" s="129"/>
      <c r="F42" s="137"/>
      <c r="G42" s="117" t="s">
        <v>99</v>
      </c>
      <c r="H42" s="131" t="s">
        <v>99</v>
      </c>
      <c r="I42" s="190" t="s">
        <v>99</v>
      </c>
      <c r="J42" s="132"/>
      <c r="K42" s="133"/>
      <c r="L42" s="133"/>
      <c r="M42" s="133"/>
      <c r="N42" s="134"/>
      <c r="O42" s="133"/>
      <c r="P42" s="132"/>
      <c r="Q42" s="132"/>
      <c r="R42" s="132"/>
      <c r="T42" s="132"/>
      <c r="V42" s="32"/>
      <c r="W42" s="32"/>
      <c r="X42" s="132"/>
      <c r="Z42" s="132"/>
      <c r="AA42" s="132"/>
      <c r="AC42" s="132"/>
      <c r="AD42" s="124"/>
      <c r="AE42" s="124"/>
      <c r="AF42" s="124"/>
      <c r="AG42" s="124"/>
      <c r="AH42" s="124"/>
      <c r="AI42" s="124"/>
      <c r="AJ42" s="124"/>
      <c r="AK42" s="124"/>
      <c r="AL42" s="124"/>
      <c r="AM42" s="124"/>
      <c r="AN42" s="124"/>
      <c r="AO42" s="124"/>
      <c r="AP42" s="124"/>
      <c r="AQ42" s="124"/>
      <c r="AR42" s="124"/>
      <c r="AS42" s="124"/>
      <c r="AT42" s="124"/>
      <c r="AU42" s="124"/>
      <c r="AV42" s="124"/>
      <c r="AW42" s="124"/>
      <c r="AX42" s="124"/>
      <c r="AY42" s="124"/>
      <c r="AZ42" s="124"/>
      <c r="BA42" s="124"/>
      <c r="BB42" s="136"/>
    </row>
    <row r="43" customFormat="false" ht="15.6" hidden="false" customHeight="false" outlineLevel="0" collapsed="false">
      <c r="A43" s="111" t="n">
        <f aca="false">IF(ISBLANK(VLOOKUP(D43,#REF!,3)),0,1)</f>
        <v>1</v>
      </c>
      <c r="B43" s="112" t="n">
        <f aca="false">IF(ISBLANK(D43),0,IF(ISBLANK(E43),0,IF(ISBLANK(F43),0,1)))</f>
        <v>0</v>
      </c>
      <c r="C43" s="128" t="n">
        <v>9</v>
      </c>
      <c r="D43" s="129"/>
      <c r="E43" s="129"/>
      <c r="F43" s="137"/>
      <c r="G43" s="117" t="s">
        <v>99</v>
      </c>
      <c r="H43" s="131" t="s">
        <v>99</v>
      </c>
      <c r="I43" s="190" t="s">
        <v>99</v>
      </c>
      <c r="J43" s="132"/>
      <c r="K43" s="133"/>
      <c r="L43" s="133"/>
      <c r="M43" s="133"/>
      <c r="N43" s="134"/>
      <c r="O43" s="133"/>
      <c r="P43" s="132"/>
      <c r="Q43" s="132"/>
      <c r="R43" s="132"/>
      <c r="S43" s="132"/>
      <c r="T43" s="132"/>
      <c r="U43" s="132"/>
      <c r="V43" s="132"/>
      <c r="W43" s="132"/>
      <c r="X43" s="132"/>
      <c r="Y43" s="132"/>
      <c r="Z43" s="132"/>
      <c r="AA43" s="132"/>
      <c r="AB43" s="132"/>
      <c r="AC43" s="132"/>
      <c r="AD43" s="124"/>
      <c r="AE43" s="124"/>
      <c r="AF43" s="124"/>
      <c r="AG43" s="124"/>
      <c r="AH43" s="124"/>
      <c r="AI43" s="124"/>
      <c r="AJ43" s="124"/>
      <c r="AK43" s="124"/>
      <c r="AL43" s="124"/>
      <c r="AM43" s="124"/>
      <c r="AN43" s="124"/>
      <c r="AO43" s="124"/>
      <c r="AP43" s="124"/>
      <c r="AQ43" s="124"/>
      <c r="AR43" s="124"/>
      <c r="AS43" s="124"/>
      <c r="AT43" s="124"/>
      <c r="AU43" s="124"/>
      <c r="AV43" s="124"/>
      <c r="AW43" s="124"/>
      <c r="AX43" s="124"/>
      <c r="AY43" s="124"/>
      <c r="AZ43" s="124"/>
      <c r="BA43" s="124"/>
      <c r="BB43" s="136"/>
    </row>
    <row r="44" customFormat="false" ht="15.6" hidden="false" customHeight="false" outlineLevel="0" collapsed="false">
      <c r="A44" s="111" t="n">
        <f aca="false">IF(ISBLANK(VLOOKUP(D44,#REF!,3)),0,1)</f>
        <v>1</v>
      </c>
      <c r="B44" s="112" t="n">
        <f aca="false">IF(ISBLANK(D44),0,IF(ISBLANK(E44),0,IF(ISBLANK(F44),0,1)))</f>
        <v>0</v>
      </c>
      <c r="C44" s="128" t="n">
        <v>10</v>
      </c>
      <c r="D44" s="129"/>
      <c r="E44" s="129"/>
      <c r="F44" s="137"/>
      <c r="G44" s="117" t="s">
        <v>99</v>
      </c>
      <c r="H44" s="131" t="s">
        <v>99</v>
      </c>
      <c r="I44" s="190" t="s">
        <v>99</v>
      </c>
      <c r="J44" s="132"/>
      <c r="K44" s="133"/>
      <c r="L44" s="133"/>
      <c r="M44" s="133"/>
      <c r="N44" s="134"/>
      <c r="O44" s="133"/>
      <c r="P44" s="132"/>
      <c r="Q44" s="132"/>
      <c r="R44" s="132"/>
      <c r="S44" s="132"/>
      <c r="T44" s="132"/>
      <c r="U44" s="132"/>
      <c r="V44" s="132"/>
      <c r="W44" s="132"/>
      <c r="X44" s="132"/>
      <c r="Y44" s="132"/>
      <c r="Z44" s="132"/>
      <c r="AA44" s="132"/>
      <c r="AB44" s="132"/>
      <c r="AC44" s="132"/>
      <c r="AD44" s="124"/>
      <c r="AE44" s="124"/>
      <c r="AF44" s="124"/>
      <c r="AG44" s="124"/>
      <c r="AH44" s="124"/>
      <c r="AI44" s="124"/>
      <c r="AJ44" s="124"/>
      <c r="AK44" s="124"/>
      <c r="AL44" s="124"/>
      <c r="AM44" s="124"/>
      <c r="AN44" s="124"/>
      <c r="AO44" s="124"/>
      <c r="AP44" s="124"/>
      <c r="AQ44" s="124"/>
      <c r="AR44" s="124"/>
      <c r="AS44" s="124"/>
      <c r="AT44" s="124"/>
      <c r="AU44" s="124"/>
      <c r="AV44" s="124"/>
      <c r="AW44" s="124"/>
      <c r="AX44" s="124"/>
      <c r="AY44" s="124"/>
      <c r="AZ44" s="124"/>
      <c r="BA44" s="124"/>
      <c r="BB44" s="136"/>
    </row>
    <row r="45" customFormat="false" ht="15.6" hidden="false" customHeight="false" outlineLevel="0" collapsed="false">
      <c r="A45" s="111" t="n">
        <f aca="false">IF(ISBLANK(VLOOKUP(D45,#REF!,3)),0,1)</f>
        <v>1</v>
      </c>
      <c r="B45" s="112" t="n">
        <f aca="false">IF(ISBLANK(D45),0,IF(ISBLANK(E45),0,IF(ISBLANK(F45),0,1)))</f>
        <v>0</v>
      </c>
      <c r="C45" s="128" t="n">
        <v>11</v>
      </c>
      <c r="D45" s="129"/>
      <c r="E45" s="129"/>
      <c r="F45" s="137"/>
      <c r="G45" s="117" t="s">
        <v>99</v>
      </c>
      <c r="H45" s="131" t="s">
        <v>99</v>
      </c>
      <c r="I45" s="190" t="s">
        <v>99</v>
      </c>
      <c r="J45" s="132"/>
      <c r="K45" s="133"/>
      <c r="L45" s="133"/>
      <c r="M45" s="133"/>
      <c r="N45" s="134"/>
      <c r="O45" s="133"/>
      <c r="P45" s="132"/>
      <c r="Q45" s="132"/>
      <c r="R45" s="132"/>
      <c r="S45" s="132"/>
      <c r="T45" s="132"/>
      <c r="U45" s="132"/>
      <c r="V45" s="132"/>
      <c r="W45" s="132"/>
      <c r="X45" s="132"/>
      <c r="Y45" s="132"/>
      <c r="Z45" s="132"/>
      <c r="AA45" s="132"/>
      <c r="AB45" s="132"/>
      <c r="AC45" s="132"/>
      <c r="AD45" s="124"/>
      <c r="AE45" s="124"/>
      <c r="AF45" s="124"/>
      <c r="AG45" s="124"/>
      <c r="AH45" s="124"/>
      <c r="AI45" s="124"/>
      <c r="AJ45" s="124"/>
      <c r="AK45" s="124"/>
      <c r="AL45" s="124"/>
      <c r="AM45" s="124"/>
      <c r="AN45" s="124"/>
      <c r="AO45" s="124"/>
      <c r="AP45" s="124"/>
      <c r="AQ45" s="124"/>
      <c r="AR45" s="124"/>
      <c r="AS45" s="124"/>
      <c r="AT45" s="124"/>
      <c r="AU45" s="124"/>
      <c r="AV45" s="124"/>
      <c r="AW45" s="124"/>
      <c r="AX45" s="124"/>
      <c r="AY45" s="124"/>
      <c r="AZ45" s="124"/>
      <c r="BA45" s="124"/>
      <c r="BB45" s="136"/>
    </row>
    <row r="46" customFormat="false" ht="15.6" hidden="false" customHeight="false" outlineLevel="0" collapsed="false">
      <c r="A46" s="111" t="n">
        <f aca="false">IF(ISBLANK(VLOOKUP(D46,#REF!,3)),0,1)</f>
        <v>1</v>
      </c>
      <c r="B46" s="112" t="n">
        <f aca="false">IF(ISBLANK(D46),0,IF(ISBLANK(E46),0,IF(ISBLANK(F46),0,1)))</f>
        <v>0</v>
      </c>
      <c r="C46" s="128" t="n">
        <v>12</v>
      </c>
      <c r="D46" s="142"/>
      <c r="E46" s="142"/>
      <c r="F46" s="143"/>
      <c r="G46" s="117" t="s">
        <v>99</v>
      </c>
      <c r="H46" s="131" t="s">
        <v>99</v>
      </c>
      <c r="I46" s="190" t="s">
        <v>99</v>
      </c>
      <c r="J46" s="132"/>
      <c r="K46" s="146" t="str">
        <f aca="false">IF(ISBLANK(E46),"",(0.000824493-(0.0000040899*E46)+(0.000000076438*E46^2)-(0.00000000082467*E46^3)+(0.0000000000053875*E46^4)))</f>
        <v/>
      </c>
      <c r="L46" s="146" t="str">
        <f aca="false">IF(ISBLANK(E46),"",(-0.00000572466+(0.00000010227*E46)-(0.0000000016546*E46^2)))</f>
        <v/>
      </c>
      <c r="M46" s="146" t="str">
        <f aca="false">IF(ISBLANK(E46),"",IF(ISBLANK(G46),(O46+(K46*35)+(L46*35^1.5)+(0.00000048314*35^2)),(O46+(K46*G46)+(L46*G46^1.5)+(0.00000048314*G46^2))))</f>
        <v/>
      </c>
      <c r="N46" s="147" t="str">
        <f aca="false">IF(ISBLANK(D46),"",IF(ISBLANK(G46),J46*(1+0.00001*(35-20)),J46*(1+0.00001*(G46-20))))</f>
        <v/>
      </c>
      <c r="O46" s="146" t="str">
        <f aca="false">IF(ISBLANK(E46),"",(0.999842594+(0.00006793952*E46)-(0.00000909529*E46^2)+(0.0000001001685*E46^3)-(0.000000001120083*E46^4)+(0.000000000006536332*E46^5)))</f>
        <v/>
      </c>
      <c r="P46" s="132"/>
      <c r="Q46" s="132"/>
      <c r="R46" s="132"/>
      <c r="S46" s="132"/>
      <c r="T46" s="132"/>
      <c r="U46" s="132"/>
      <c r="V46" s="132"/>
      <c r="W46" s="132"/>
      <c r="X46" s="132"/>
      <c r="Y46" s="132"/>
      <c r="Z46" s="132"/>
      <c r="AA46" s="132"/>
      <c r="AB46" s="132"/>
      <c r="AC46" s="132"/>
      <c r="AD46" s="124"/>
      <c r="AE46" s="124"/>
      <c r="AF46" s="124"/>
      <c r="AG46" s="124"/>
      <c r="AH46" s="124"/>
      <c r="AI46" s="124"/>
      <c r="AJ46" s="124"/>
      <c r="AK46" s="124"/>
      <c r="AL46" s="124"/>
      <c r="AM46" s="124"/>
      <c r="AN46" s="124"/>
      <c r="AO46" s="124"/>
      <c r="AP46" s="124"/>
      <c r="AQ46" s="124"/>
      <c r="AR46" s="124"/>
      <c r="AS46" s="124"/>
      <c r="AT46" s="124"/>
      <c r="AU46" s="124"/>
      <c r="AV46" s="124"/>
      <c r="AW46" s="124"/>
      <c r="AX46" s="124"/>
      <c r="AY46" s="124"/>
      <c r="AZ46" s="124"/>
      <c r="BA46" s="124"/>
      <c r="BB46" s="136"/>
    </row>
    <row r="47" customFormat="false" ht="15.6" hidden="false" customHeight="false" outlineLevel="0" collapsed="false">
      <c r="A47" s="111" t="n">
        <f aca="false">IF(ISBLANK(VLOOKUP(D47,#REF!,3)),0,1)</f>
        <v>1</v>
      </c>
      <c r="B47" s="112" t="n">
        <f aca="false">IF(ISBLANK(D47),0,IF(ISBLANK(E47),0,IF(ISBLANK(F47),0,1)))</f>
        <v>0</v>
      </c>
      <c r="C47" s="128" t="n">
        <v>13</v>
      </c>
      <c r="D47" s="151"/>
      <c r="E47" s="151"/>
      <c r="F47" s="152"/>
      <c r="G47" s="153"/>
      <c r="H47" s="151"/>
      <c r="I47" s="151"/>
      <c r="J47" s="132"/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32"/>
      <c r="Q47" s="132"/>
      <c r="R47" s="132"/>
      <c r="S47" s="132"/>
      <c r="T47" s="124"/>
      <c r="U47" s="124"/>
      <c r="V47" s="124"/>
      <c r="W47" s="124"/>
      <c r="X47" s="12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24"/>
      <c r="AJ47" s="124"/>
      <c r="AK47" s="124"/>
      <c r="AL47" s="124"/>
      <c r="AM47" s="124"/>
      <c r="AN47" s="124"/>
      <c r="AO47" s="124"/>
      <c r="AP47" s="124"/>
      <c r="AQ47" s="124"/>
      <c r="AR47" s="124"/>
      <c r="AS47" s="124"/>
      <c r="AT47" s="124"/>
      <c r="AU47" s="124"/>
      <c r="AV47" s="124"/>
      <c r="AW47" s="124"/>
      <c r="AX47" s="124"/>
      <c r="AY47" s="124"/>
      <c r="AZ47" s="124"/>
      <c r="BA47" s="124"/>
      <c r="BB47" s="136"/>
    </row>
    <row r="48" customFormat="false" ht="15.6" hidden="false" customHeight="false" outlineLevel="0" collapsed="false">
      <c r="A48" s="111" t="n">
        <f aca="false">IF(ISBLANK(VLOOKUP(D48,#REF!,3)),0,1)</f>
        <v>1</v>
      </c>
      <c r="B48" s="112" t="n">
        <f aca="false">IF(ISBLANK(D48),0,IF(ISBLANK(E48),0,IF(ISBLANK(F48),0,1)))</f>
        <v>0</v>
      </c>
      <c r="C48" s="128" t="n">
        <v>14</v>
      </c>
      <c r="D48" s="151"/>
      <c r="E48" s="151"/>
      <c r="F48" s="152"/>
      <c r="G48" s="153"/>
      <c r="H48" s="151"/>
      <c r="I48" s="151"/>
      <c r="J48" s="132"/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32"/>
      <c r="Q48" s="132"/>
      <c r="R48" s="132"/>
      <c r="S48" s="132"/>
      <c r="T48" s="124"/>
      <c r="U48" s="124"/>
      <c r="V48" s="124"/>
      <c r="W48" s="124"/>
      <c r="X48" s="124"/>
      <c r="Y48" s="124"/>
      <c r="Z48" s="124"/>
      <c r="AA48" s="124"/>
      <c r="AB48" s="124"/>
      <c r="AC48" s="124"/>
      <c r="AD48" s="124"/>
      <c r="AE48" s="124"/>
      <c r="AF48" s="124"/>
      <c r="AG48" s="124"/>
      <c r="AH48" s="124"/>
      <c r="AI48" s="124"/>
      <c r="AJ48" s="124"/>
      <c r="AK48" s="124"/>
      <c r="AL48" s="124"/>
      <c r="AM48" s="124"/>
      <c r="AN48" s="124"/>
      <c r="AO48" s="124"/>
      <c r="AP48" s="124"/>
      <c r="AQ48" s="124"/>
      <c r="AR48" s="124"/>
      <c r="AS48" s="124"/>
      <c r="AT48" s="124"/>
      <c r="AU48" s="124"/>
      <c r="AV48" s="124"/>
      <c r="AW48" s="124"/>
      <c r="AX48" s="124"/>
      <c r="AY48" s="124"/>
      <c r="AZ48" s="124"/>
      <c r="BA48" s="124"/>
      <c r="BB48" s="136"/>
    </row>
    <row r="49" customFormat="false" ht="15.6" hidden="false" customHeight="false" outlineLevel="0" collapsed="false">
      <c r="A49" s="111" t="n">
        <f aca="false">IF(ISBLANK(VLOOKUP(D49,#REF!,3)),0,1)</f>
        <v>1</v>
      </c>
      <c r="B49" s="112" t="n">
        <f aca="false">IF(ISBLANK(D49),0,IF(ISBLANK(E49),0,IF(ISBLANK(F49),0,1)))</f>
        <v>0</v>
      </c>
      <c r="C49" s="128" t="n">
        <v>15</v>
      </c>
      <c r="D49" s="151"/>
      <c r="E49" s="151"/>
      <c r="F49" s="152"/>
      <c r="G49" s="156"/>
      <c r="H49" s="151"/>
      <c r="I49" s="151"/>
      <c r="J49" s="132"/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32"/>
      <c r="Q49" s="132"/>
      <c r="R49" s="132"/>
      <c r="S49" s="132"/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24"/>
      <c r="AE49" s="124"/>
      <c r="AF49" s="124"/>
      <c r="AG49" s="124"/>
      <c r="AH49" s="124"/>
      <c r="AI49" s="124"/>
      <c r="AJ49" s="124"/>
      <c r="AK49" s="124"/>
      <c r="AL49" s="124"/>
      <c r="AM49" s="124"/>
      <c r="AN49" s="124"/>
      <c r="AO49" s="124"/>
      <c r="AP49" s="124"/>
      <c r="AQ49" s="124"/>
      <c r="AR49" s="124"/>
      <c r="AS49" s="124"/>
      <c r="AT49" s="124"/>
      <c r="AU49" s="124"/>
      <c r="AV49" s="124"/>
      <c r="AW49" s="124"/>
      <c r="AX49" s="124"/>
      <c r="AY49" s="124"/>
      <c r="AZ49" s="124"/>
      <c r="BA49" s="124"/>
      <c r="BB49" s="136"/>
    </row>
    <row r="50" customFormat="false" ht="15.6" hidden="false" customHeight="false" outlineLevel="0" collapsed="false">
      <c r="A50" s="111" t="n">
        <f aca="false">IF(ISBLANK(VLOOKUP(D50,#REF!,3)),0,1)</f>
        <v>1</v>
      </c>
      <c r="B50" s="112" t="n">
        <f aca="false">IF(ISBLANK(D50),0,IF(ISBLANK(E50),0,IF(ISBLANK(F50),0,1)))</f>
        <v>0</v>
      </c>
      <c r="C50" s="128" t="n">
        <v>16</v>
      </c>
      <c r="D50" s="151"/>
      <c r="E50" s="151"/>
      <c r="F50" s="152"/>
      <c r="G50" s="156"/>
      <c r="H50" s="151"/>
      <c r="I50" s="151"/>
      <c r="J50" s="132"/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32"/>
      <c r="Q50" s="132"/>
      <c r="R50" s="132"/>
      <c r="S50" s="132"/>
      <c r="T50" s="124"/>
      <c r="U50" s="124"/>
      <c r="V50" s="124"/>
      <c r="W50" s="124"/>
      <c r="X50" s="124"/>
      <c r="Y50" s="124"/>
      <c r="Z50" s="124"/>
      <c r="AA50" s="124"/>
      <c r="AB50" s="124"/>
      <c r="AC50" s="124"/>
      <c r="AD50" s="124"/>
      <c r="AE50" s="124"/>
      <c r="AF50" s="124"/>
      <c r="AG50" s="124"/>
      <c r="AH50" s="124"/>
      <c r="AI50" s="124"/>
      <c r="AJ50" s="124"/>
      <c r="AK50" s="124"/>
      <c r="AL50" s="124"/>
      <c r="AM50" s="124"/>
      <c r="AN50" s="124"/>
      <c r="AO50" s="124"/>
      <c r="AP50" s="124"/>
      <c r="AQ50" s="124"/>
      <c r="AR50" s="124"/>
      <c r="AS50" s="124"/>
      <c r="AT50" s="124"/>
      <c r="AU50" s="124"/>
      <c r="AV50" s="124"/>
      <c r="AW50" s="124"/>
      <c r="AX50" s="124"/>
      <c r="AY50" s="124"/>
      <c r="AZ50" s="124"/>
      <c r="BA50" s="124"/>
      <c r="BB50" s="136"/>
    </row>
    <row r="51" customFormat="false" ht="15.6" hidden="false" customHeight="false" outlineLevel="0" collapsed="false">
      <c r="A51" s="111" t="n">
        <f aca="false">IF(ISBLANK(VLOOKUP(D51,#REF!,3)),0,1)</f>
        <v>1</v>
      </c>
      <c r="B51" s="112" t="n">
        <f aca="false">IF(ISBLANK(D51),0,IF(ISBLANK(E51),0,IF(ISBLANK(F51),0,1)))</f>
        <v>0</v>
      </c>
      <c r="C51" s="128" t="n">
        <v>17</v>
      </c>
      <c r="D51" s="151"/>
      <c r="E51" s="151"/>
      <c r="F51" s="152"/>
      <c r="G51" s="156"/>
      <c r="H51" s="151"/>
      <c r="I51" s="151"/>
      <c r="J51" s="132"/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32"/>
      <c r="Q51" s="132"/>
      <c r="R51" s="132"/>
      <c r="S51" s="132"/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24"/>
      <c r="AE51" s="124"/>
      <c r="AF51" s="124"/>
      <c r="AG51" s="124"/>
      <c r="AH51" s="124"/>
      <c r="AI51" s="124"/>
      <c r="AJ51" s="124"/>
      <c r="AK51" s="124"/>
      <c r="AL51" s="124"/>
      <c r="AM51" s="124"/>
      <c r="AN51" s="124"/>
      <c r="AO51" s="124"/>
      <c r="AP51" s="124"/>
      <c r="AQ51" s="124"/>
      <c r="AR51" s="124"/>
      <c r="AS51" s="124"/>
      <c r="AT51" s="124"/>
      <c r="AU51" s="124"/>
      <c r="AV51" s="124"/>
      <c r="AW51" s="124"/>
      <c r="AX51" s="124"/>
      <c r="AY51" s="124"/>
      <c r="AZ51" s="124"/>
      <c r="BA51" s="124"/>
      <c r="BB51" s="136"/>
    </row>
    <row r="52" customFormat="false" ht="15.6" hidden="false" customHeight="false" outlineLevel="0" collapsed="false">
      <c r="A52" s="111" t="n">
        <f aca="false">IF(ISBLANK(VLOOKUP(D52,#REF!,3)),0,1)</f>
        <v>1</v>
      </c>
      <c r="B52" s="112" t="n">
        <f aca="false">IF(ISBLANK(D52),0,IF(ISBLANK(E52),0,IF(ISBLANK(F52),0,1)))</f>
        <v>0</v>
      </c>
      <c r="C52" s="128" t="n">
        <v>18</v>
      </c>
      <c r="D52" s="151"/>
      <c r="E52" s="151"/>
      <c r="F52" s="152"/>
      <c r="G52" s="156"/>
      <c r="H52" s="151"/>
      <c r="I52" s="151"/>
      <c r="J52" s="132"/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32"/>
      <c r="Q52" s="132"/>
      <c r="R52" s="132"/>
      <c r="S52" s="132"/>
      <c r="T52" s="124"/>
      <c r="U52" s="124"/>
      <c r="V52" s="124"/>
      <c r="W52" s="124"/>
      <c r="X52" s="124"/>
      <c r="Y52" s="124"/>
      <c r="Z52" s="124"/>
      <c r="AA52" s="124"/>
      <c r="AB52" s="124"/>
      <c r="AC52" s="124"/>
      <c r="AD52" s="124"/>
      <c r="AE52" s="124"/>
      <c r="AF52" s="124"/>
      <c r="AG52" s="124"/>
      <c r="AH52" s="124"/>
      <c r="AI52" s="124"/>
      <c r="AJ52" s="124"/>
      <c r="AK52" s="124"/>
      <c r="AL52" s="124"/>
      <c r="AM52" s="124"/>
      <c r="AN52" s="124"/>
      <c r="AO52" s="124"/>
      <c r="AP52" s="124"/>
      <c r="AQ52" s="124"/>
      <c r="AR52" s="124"/>
      <c r="AS52" s="124"/>
      <c r="AT52" s="124"/>
      <c r="AU52" s="124"/>
      <c r="AV52" s="124"/>
      <c r="AW52" s="124"/>
      <c r="AX52" s="124"/>
      <c r="AY52" s="124"/>
      <c r="AZ52" s="124"/>
      <c r="BA52" s="124"/>
      <c r="BB52" s="136"/>
    </row>
    <row r="53" customFormat="false" ht="15.6" hidden="false" customHeight="false" outlineLevel="0" collapsed="false">
      <c r="A53" s="111" t="n">
        <f aca="false">IF(ISBLANK(VLOOKUP(D53,#REF!,3)),0,1)</f>
        <v>1</v>
      </c>
      <c r="B53" s="112" t="n">
        <f aca="false">IF(ISBLANK(D53),0,IF(ISBLANK(E53),0,IF(ISBLANK(F53),0,1)))</f>
        <v>0</v>
      </c>
      <c r="C53" s="128" t="n">
        <v>19</v>
      </c>
      <c r="D53" s="151"/>
      <c r="E53" s="151"/>
      <c r="F53" s="152"/>
      <c r="G53" s="156"/>
      <c r="H53" s="151"/>
      <c r="I53" s="151"/>
      <c r="J53" s="132"/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32"/>
      <c r="Q53" s="132"/>
      <c r="R53" s="132"/>
      <c r="S53" s="132"/>
      <c r="T53" s="124"/>
      <c r="U53" s="124"/>
      <c r="V53" s="124"/>
      <c r="W53" s="124"/>
      <c r="X53" s="12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24"/>
      <c r="AJ53" s="124"/>
      <c r="AK53" s="124"/>
      <c r="AL53" s="124"/>
      <c r="AM53" s="124"/>
      <c r="AN53" s="124"/>
      <c r="AO53" s="124"/>
      <c r="AP53" s="124"/>
      <c r="AQ53" s="124"/>
      <c r="AR53" s="124"/>
      <c r="AS53" s="124"/>
      <c r="AT53" s="124"/>
      <c r="AU53" s="124"/>
      <c r="AV53" s="124"/>
      <c r="AW53" s="124"/>
      <c r="AX53" s="124"/>
      <c r="AY53" s="124"/>
      <c r="AZ53" s="124"/>
      <c r="BA53" s="124"/>
      <c r="BB53" s="136"/>
    </row>
    <row r="54" customFormat="false" ht="15.6" hidden="false" customHeight="false" outlineLevel="0" collapsed="false">
      <c r="A54" s="111" t="n">
        <f aca="false">IF(ISBLANK(VLOOKUP(D54,#REF!,3)),0,1)</f>
        <v>1</v>
      </c>
      <c r="B54" s="112" t="n">
        <f aca="false">IF(ISBLANK(D54),0,IF(ISBLANK(E54),0,IF(ISBLANK(F54),0,1)))</f>
        <v>0</v>
      </c>
      <c r="C54" s="128" t="n">
        <v>20</v>
      </c>
      <c r="D54" s="151"/>
      <c r="E54" s="151"/>
      <c r="F54" s="152"/>
      <c r="G54" s="156"/>
      <c r="H54" s="151"/>
      <c r="I54" s="151"/>
      <c r="J54" s="132"/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32"/>
      <c r="Q54" s="132"/>
      <c r="R54" s="132"/>
      <c r="S54" s="132"/>
      <c r="T54" s="124"/>
      <c r="U54" s="124"/>
      <c r="V54" s="124"/>
      <c r="W54" s="124"/>
      <c r="X54" s="124"/>
      <c r="Y54" s="124"/>
      <c r="Z54" s="124"/>
      <c r="AA54" s="124"/>
      <c r="AB54" s="124"/>
      <c r="AC54" s="124"/>
      <c r="AD54" s="124"/>
      <c r="AE54" s="124"/>
      <c r="AF54" s="124"/>
      <c r="AG54" s="124"/>
      <c r="AH54" s="124"/>
      <c r="AI54" s="124"/>
      <c r="AJ54" s="124"/>
      <c r="AK54" s="124"/>
      <c r="AL54" s="124"/>
      <c r="AM54" s="124"/>
      <c r="AN54" s="124"/>
      <c r="AO54" s="124"/>
      <c r="AP54" s="124"/>
      <c r="AQ54" s="124"/>
      <c r="AR54" s="124"/>
      <c r="AS54" s="124"/>
      <c r="AT54" s="124"/>
      <c r="AU54" s="124"/>
      <c r="AV54" s="124"/>
      <c r="AW54" s="124"/>
      <c r="AX54" s="124"/>
      <c r="AY54" s="124"/>
      <c r="AZ54" s="124"/>
      <c r="BA54" s="124"/>
      <c r="BB54" s="136"/>
    </row>
    <row r="55" customFormat="false" ht="15.6" hidden="false" customHeight="false" outlineLevel="0" collapsed="false">
      <c r="A55" s="111" t="n">
        <f aca="false">IF(ISBLANK(VLOOKUP(D55,#REF!,3)),0,1)</f>
        <v>1</v>
      </c>
      <c r="B55" s="112" t="n">
        <f aca="false">IF(ISBLANK(D55),0,IF(ISBLANK(E55),0,IF(ISBLANK(F55),0,1)))</f>
        <v>0</v>
      </c>
      <c r="C55" s="128" t="n">
        <v>21</v>
      </c>
      <c r="D55" s="151"/>
      <c r="E55" s="151"/>
      <c r="F55" s="152"/>
      <c r="G55" s="156"/>
      <c r="H55" s="151"/>
      <c r="I55" s="151"/>
      <c r="J55" s="132"/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32"/>
      <c r="Q55" s="132"/>
      <c r="R55" s="132"/>
      <c r="S55" s="132"/>
      <c r="T55" s="124"/>
      <c r="U55" s="124"/>
      <c r="V55" s="124"/>
      <c r="W55" s="124"/>
      <c r="X55" s="124"/>
      <c r="Y55" s="124"/>
      <c r="Z55" s="124"/>
      <c r="AA55" s="124"/>
      <c r="AB55" s="124"/>
      <c r="AC55" s="124"/>
      <c r="AD55" s="124"/>
      <c r="AE55" s="124"/>
      <c r="AF55" s="124"/>
      <c r="AG55" s="124"/>
      <c r="AH55" s="124"/>
      <c r="AI55" s="124"/>
      <c r="AJ55" s="124"/>
      <c r="AK55" s="124"/>
      <c r="AL55" s="124"/>
      <c r="AM55" s="124"/>
      <c r="AN55" s="124"/>
      <c r="AO55" s="124"/>
      <c r="AP55" s="124"/>
      <c r="AQ55" s="124"/>
      <c r="AR55" s="124"/>
      <c r="AS55" s="124"/>
      <c r="AT55" s="124"/>
      <c r="AU55" s="124"/>
      <c r="AV55" s="124"/>
      <c r="AW55" s="124"/>
      <c r="AX55" s="124"/>
      <c r="AY55" s="124"/>
      <c r="AZ55" s="124"/>
      <c r="BA55" s="124"/>
      <c r="BB55" s="136"/>
    </row>
    <row r="56" customFormat="false" ht="15.6" hidden="false" customHeight="false" outlineLevel="0" collapsed="false">
      <c r="A56" s="111" t="n">
        <f aca="false">IF(ISBLANK(VLOOKUP(D56,#REF!,3)),0,1)</f>
        <v>1</v>
      </c>
      <c r="B56" s="112" t="n">
        <f aca="false">IF(ISBLANK(D56),0,IF(ISBLANK(E56),0,IF(ISBLANK(F56),0,1)))</f>
        <v>0</v>
      </c>
      <c r="C56" s="128" t="n">
        <v>22</v>
      </c>
      <c r="D56" s="151"/>
      <c r="E56" s="151"/>
      <c r="F56" s="152"/>
      <c r="G56" s="156"/>
      <c r="H56" s="151"/>
      <c r="I56" s="151"/>
      <c r="J56" s="132"/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32"/>
      <c r="Q56" s="132"/>
      <c r="R56" s="132"/>
      <c r="S56" s="132"/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24"/>
      <c r="AE56" s="124"/>
      <c r="AF56" s="124"/>
      <c r="AG56" s="124"/>
      <c r="AH56" s="124"/>
      <c r="AI56" s="124"/>
      <c r="AJ56" s="124"/>
      <c r="AK56" s="124"/>
      <c r="AL56" s="124"/>
      <c r="AM56" s="124"/>
      <c r="AN56" s="124"/>
      <c r="AO56" s="124"/>
      <c r="AP56" s="124"/>
      <c r="AQ56" s="124"/>
      <c r="AR56" s="124"/>
      <c r="AS56" s="124"/>
      <c r="AT56" s="124"/>
      <c r="AU56" s="124"/>
      <c r="AV56" s="124"/>
      <c r="AW56" s="124"/>
      <c r="AX56" s="124"/>
      <c r="AY56" s="124"/>
      <c r="AZ56" s="124"/>
      <c r="BA56" s="124"/>
      <c r="BB56" s="136"/>
    </row>
    <row r="57" customFormat="false" ht="15.6" hidden="false" customHeight="false" outlineLevel="0" collapsed="false">
      <c r="A57" s="111" t="n">
        <f aca="false">IF(ISBLANK(VLOOKUP(D57,#REF!,3)),0,1)</f>
        <v>1</v>
      </c>
      <c r="B57" s="112" t="n">
        <f aca="false">IF(ISBLANK(D57),0,IF(ISBLANK(E57),0,IF(ISBLANK(F57),0,1)))</f>
        <v>0</v>
      </c>
      <c r="C57" s="128" t="n">
        <v>23</v>
      </c>
      <c r="D57" s="151"/>
      <c r="E57" s="151"/>
      <c r="F57" s="152"/>
      <c r="G57" s="156"/>
      <c r="H57" s="151"/>
      <c r="I57" s="151"/>
      <c r="J57" s="132"/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32"/>
      <c r="Q57" s="132"/>
      <c r="R57" s="132"/>
      <c r="S57" s="132"/>
      <c r="T57" s="124"/>
      <c r="U57" s="124"/>
      <c r="V57" s="124"/>
      <c r="W57" s="124"/>
      <c r="X57" s="124"/>
      <c r="Y57" s="124"/>
      <c r="Z57" s="124"/>
      <c r="AA57" s="124"/>
      <c r="AB57" s="124"/>
      <c r="AC57" s="124"/>
      <c r="AD57" s="124"/>
      <c r="AE57" s="124"/>
      <c r="AF57" s="124"/>
      <c r="AG57" s="124"/>
      <c r="AH57" s="124"/>
      <c r="AI57" s="124"/>
      <c r="AJ57" s="124"/>
      <c r="AK57" s="124"/>
      <c r="AL57" s="124"/>
      <c r="AM57" s="124"/>
      <c r="AN57" s="124"/>
      <c r="AO57" s="124"/>
      <c r="AP57" s="124"/>
      <c r="AQ57" s="124"/>
      <c r="AR57" s="124"/>
      <c r="AS57" s="124"/>
      <c r="AT57" s="124"/>
      <c r="AU57" s="124"/>
      <c r="AV57" s="124"/>
      <c r="AW57" s="124"/>
      <c r="AX57" s="124"/>
      <c r="AY57" s="124"/>
      <c r="AZ57" s="124"/>
      <c r="BA57" s="124"/>
      <c r="BB57" s="136"/>
    </row>
    <row r="58" customFormat="false" ht="16.2" hidden="false" customHeight="false" outlineLevel="0" collapsed="false">
      <c r="A58" s="111" t="n">
        <f aca="false">IF(ISBLANK(VLOOKUP(D58,#REF!,3)),0,1)</f>
        <v>1</v>
      </c>
      <c r="B58" s="112" t="n">
        <f aca="false">IF(ISBLANK(D58),0,IF(ISBLANK(E58),0,IF(ISBLANK(F58),0,1)))</f>
        <v>0</v>
      </c>
      <c r="C58" s="158" t="n">
        <v>24</v>
      </c>
      <c r="D58" s="159"/>
      <c r="E58" s="159"/>
      <c r="F58" s="160"/>
      <c r="G58" s="161"/>
      <c r="H58" s="159"/>
      <c r="I58" s="159"/>
      <c r="J58" s="132"/>
      <c r="K58" s="163" t="str">
        <f aca="false">IF(ISBLANK(E58),"",(0.000824493-(0.0000040899*E58)+(0.000000076438*E58^2)-(0.00000000082467*E58^3)+(0.0000000000053875*E58^4)))</f>
        <v/>
      </c>
      <c r="L58" s="163" t="str">
        <f aca="false">IF(ISBLANK(E58),"",(-0.00000572466+(0.00000010227*E58)-(0.0000000016546*E58^2)))</f>
        <v/>
      </c>
      <c r="M58" s="163" t="str">
        <f aca="false">IF(ISBLANK(E58),"",IF(ISBLANK(G58),(O58+(K58*35)+(L58*35^1.5)+(0.00000048314*35^2)),(O58+(K58*G58)+(L58*G58^1.5)+(0.00000048314*G58^2))))</f>
        <v/>
      </c>
      <c r="N58" s="164" t="str">
        <f aca="false">IF(ISBLANK(D58),"",IF(ISBLANK(G58),J58*(1+0.00001*(35-20)),J58*(1+0.00001*(G58-20))))</f>
        <v/>
      </c>
      <c r="O58" s="163" t="str">
        <f aca="false">IF(ISBLANK(E58),"",(0.999842594+(0.00006793952*E58)-(0.00000909529*E58^2)+(0.0000001001685*E58^3)-(0.000000001120083*E58^4)+(0.000000000006536332*E58^5)))</f>
        <v/>
      </c>
      <c r="P58" s="132"/>
      <c r="Q58" s="132"/>
      <c r="R58" s="132"/>
      <c r="S58" s="132"/>
      <c r="T58" s="168"/>
      <c r="U58" s="168"/>
      <c r="V58" s="168"/>
      <c r="W58" s="168"/>
      <c r="X58" s="168"/>
      <c r="Y58" s="168"/>
      <c r="Z58" s="168"/>
      <c r="AA58" s="168"/>
      <c r="AB58" s="168"/>
      <c r="AC58" s="168"/>
      <c r="AD58" s="168"/>
      <c r="AE58" s="168"/>
      <c r="AF58" s="168"/>
      <c r="AG58" s="168"/>
      <c r="AH58" s="168"/>
      <c r="AI58" s="168"/>
      <c r="AJ58" s="168"/>
      <c r="AK58" s="168"/>
      <c r="AL58" s="168"/>
      <c r="AM58" s="168"/>
      <c r="AN58" s="168"/>
      <c r="AO58" s="168"/>
      <c r="AP58" s="168"/>
      <c r="AQ58" s="168"/>
      <c r="AR58" s="168"/>
      <c r="AS58" s="168"/>
      <c r="AT58" s="168"/>
      <c r="AU58" s="168"/>
      <c r="AV58" s="168"/>
      <c r="AW58" s="168"/>
      <c r="AX58" s="168"/>
      <c r="AY58" s="168"/>
      <c r="AZ58" s="168"/>
      <c r="BA58" s="168"/>
      <c r="BB58" s="169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F1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8178137651822"/>
    <col collapsed="false" hidden="false" max="32" min="32" style="0" width="9.10526315789474"/>
    <col collapsed="false" hidden="false" max="33" min="33" style="0" width="26.5668016194332"/>
    <col collapsed="false" hidden="false" max="34" min="34" style="0" width="12.8542510121458"/>
    <col collapsed="false" hidden="false" max="35" min="35" style="0" width="11.1417004048583"/>
    <col collapsed="false" hidden="false" max="36" min="36" style="0" width="14.5668016194332"/>
    <col collapsed="false" hidden="false" max="37" min="37" style="0" width="12.2105263157895"/>
    <col collapsed="false" hidden="false" max="38" min="38" style="0" width="26.995951417004"/>
    <col collapsed="false" hidden="false" max="39" min="39" style="0" width="14.6761133603239"/>
    <col collapsed="false" hidden="false" max="40" min="40" style="0" width="11.3562753036437"/>
    <col collapsed="false" hidden="false" max="41" min="41" style="0" width="12.5344129554656"/>
    <col collapsed="false" hidden="false" max="42" min="42" style="0" width="10.7125506072875"/>
    <col collapsed="false" hidden="false" max="43" min="43" style="0" width="6.31983805668016"/>
    <col collapsed="false" hidden="false" max="44" min="44" style="0" width="19.7085020242915"/>
    <col collapsed="false" hidden="false" max="45" min="45" style="0" width="13.0688259109312"/>
    <col collapsed="false" hidden="false" max="46" min="46" style="0" width="17.7813765182186"/>
    <col collapsed="false" hidden="false" max="47" min="47" style="0" width="14.6761133603239"/>
    <col collapsed="false" hidden="false" max="48" min="48" style="0" width="13.6032388663968"/>
    <col collapsed="false" hidden="false" max="49" min="49" style="0" width="13.7125506072874"/>
    <col collapsed="false" hidden="false" max="50" min="50" style="0" width="19.9230769230769"/>
    <col collapsed="false" hidden="false" max="51" min="51" style="0" width="13.2834008097166"/>
    <col collapsed="false" hidden="false" max="52" min="52" style="0" width="17.6761133603239"/>
    <col collapsed="false" hidden="false" max="53" min="53" style="0" width="13.3886639676113"/>
    <col collapsed="false" hidden="false" max="54" min="54" style="0" width="12.6396761133603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38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38728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6</v>
      </c>
      <c r="J9" s="29" t="n">
        <v>12.26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6°12,26</v>
      </c>
      <c r="P9" s="29" t="s">
        <v>13</v>
      </c>
      <c r="Q9" s="33" t="n">
        <f aca="false">IF(ISBLANK(I9),"",IF(ISBLANK(J9),"",IF(J9&gt;60,"ERREUR !!",O11*(I9+(J9/60)))))</f>
        <v>6.20433333333333</v>
      </c>
      <c r="R9" s="33"/>
    </row>
    <row r="10" customFormat="false" ht="15" hidden="false" customHeight="true" outlineLevel="0" collapsed="false">
      <c r="C10" s="21"/>
      <c r="D10" s="18"/>
      <c r="G10" s="27" t="s">
        <v>16</v>
      </c>
      <c r="H10" s="27"/>
      <c r="I10" s="28" t="n">
        <v>2</v>
      </c>
      <c r="J10" s="29" t="n">
        <v>25.69</v>
      </c>
      <c r="K10" s="30" t="s">
        <v>12</v>
      </c>
      <c r="L10" s="31" t="str">
        <f aca="false">IF(P10=N9,"+","-")</f>
        <v>+</v>
      </c>
      <c r="M10" s="30" t="s">
        <v>15</v>
      </c>
      <c r="N10" s="30" t="s">
        <v>17</v>
      </c>
      <c r="O10" s="34" t="str">
        <f aca="false">IF(ISBLANK(I10),"",IF(ISBLANK(J10),"",IF(P10=N10,L10&amp;N12,N12)))</f>
        <v>2°25,69</v>
      </c>
      <c r="P10" s="29" t="s">
        <v>14</v>
      </c>
      <c r="Q10" s="33" t="n">
        <f aca="false">IF(ISBLANK(I10),"",IF(ISBLANK(J10),"",IF(J10&gt;60,"ERREUR !!",O12*(I10+(J10/60)))))</f>
        <v>2.42816666666667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38554</v>
      </c>
      <c r="K11" s="38"/>
      <c r="L11" s="38"/>
      <c r="M11" s="38"/>
      <c r="N11" s="39" t="str">
        <f aca="false">I9&amp;"°"&amp;J9</f>
        <v>6°12,26</v>
      </c>
      <c r="O11" s="40" t="n">
        <f aca="false">IF(P9=M10,-1,1)</f>
        <v>1</v>
      </c>
      <c r="P11" s="41" t="str">
        <f aca="false">TEXT(J11,"aaaa-mm-jj")&amp;"T"&amp;TEXT(J12,"hh:mm:ss")&amp;"z"</f>
        <v>2009-07-22T16:10:00z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0.673611111111111</v>
      </c>
      <c r="K12" s="45"/>
      <c r="L12" s="45"/>
      <c r="M12" s="45"/>
      <c r="N12" s="46" t="str">
        <f aca="false">I10&amp;"°"&amp;J10</f>
        <v>2°25,69</v>
      </c>
      <c r="O12" s="40" t="n">
        <f aca="false">IF(P10=N10,-1,1)</f>
        <v>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e">
        <f aca="false">$P$24*($P$18/#REF!)</f>
        <v>#REF!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e">
        <f aca="false">5+#REF!</f>
        <v>#REF!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e">
        <f aca="false">P20*(1+0.00001*(R14-20))</f>
        <v>#REF!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e">
        <f aca="false">MAX(#REF!)</f>
        <v>#VALUE!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e">
        <f aca="false">2+(#REF!+#REF!)</f>
        <v>#REF!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52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53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IF(ISBLANK(VLOOKUP(D35,#REF!,3)),0,1)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s">
        <v>99</v>
      </c>
      <c r="H35" s="131" t="n">
        <v>30</v>
      </c>
      <c r="I35" s="125" t="n">
        <v>29.29</v>
      </c>
      <c r="J35" s="120"/>
      <c r="K35" s="121"/>
      <c r="L35" s="121"/>
      <c r="M35" s="121"/>
      <c r="N35" s="122"/>
      <c r="O35" s="121"/>
      <c r="P35" s="132"/>
      <c r="Q35" s="120"/>
      <c r="R35" s="120"/>
      <c r="S35" s="120"/>
      <c r="T35" s="125" t="n">
        <v>0</v>
      </c>
      <c r="U35" s="32" t="n">
        <v>0.01</v>
      </c>
      <c r="V35" s="32"/>
      <c r="W35" s="32"/>
      <c r="X35" s="125" t="n">
        <v>0</v>
      </c>
      <c r="Y35" s="125" t="n">
        <v>0</v>
      </c>
      <c r="Z35" s="125" t="n">
        <v>0.1</v>
      </c>
      <c r="AA35" s="32" t="n">
        <v>0.11</v>
      </c>
      <c r="AB35" s="125" t="n">
        <v>3.2</v>
      </c>
      <c r="AC35" s="125" t="n">
        <v>3.1</v>
      </c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7"/>
    </row>
    <row r="36" customFormat="false" ht="15.6" hidden="false" customHeight="false" outlineLevel="0" collapsed="false">
      <c r="A36" s="111" t="n">
        <f aca="false">IF(ISBLANK(VLOOKUP(D36,#REF!,3)),0,1)</f>
        <v>1</v>
      </c>
      <c r="B36" s="112" t="n">
        <f aca="false">IF(ISBLANK(D36),0,IF(ISBLANK(E36),0,IF(ISBLANK(F36),0,1)))</f>
        <v>0</v>
      </c>
      <c r="C36" s="128" t="n">
        <v>2</v>
      </c>
      <c r="D36" s="129"/>
      <c r="E36" s="129"/>
      <c r="F36" s="130"/>
      <c r="G36" s="117" t="s">
        <v>99</v>
      </c>
      <c r="H36" s="131" t="n">
        <v>20</v>
      </c>
      <c r="I36" s="125" t="n">
        <v>20.243</v>
      </c>
      <c r="J36" s="132"/>
      <c r="K36" s="133"/>
      <c r="L36" s="133"/>
      <c r="M36" s="133"/>
      <c r="N36" s="134"/>
      <c r="O36" s="133"/>
      <c r="P36" s="132"/>
      <c r="Q36" s="132"/>
      <c r="R36" s="132"/>
      <c r="S36" s="132"/>
      <c r="T36" s="125" t="n">
        <v>0</v>
      </c>
      <c r="U36" s="32" t="n">
        <v>0.01</v>
      </c>
      <c r="V36" s="32"/>
      <c r="W36" s="32"/>
      <c r="X36" s="125" t="n">
        <v>0</v>
      </c>
      <c r="Y36" s="125" t="n">
        <v>0</v>
      </c>
      <c r="Z36" s="125" t="n">
        <v>0.1</v>
      </c>
      <c r="AA36" s="32" t="n">
        <v>0.1</v>
      </c>
      <c r="AB36" s="125" t="n">
        <v>3.5</v>
      </c>
      <c r="AC36" s="125" t="n">
        <v>3.4</v>
      </c>
      <c r="AD36" s="124"/>
      <c r="AE36" s="124"/>
      <c r="AF36" s="124"/>
      <c r="AG36" s="124"/>
      <c r="AH36" s="124"/>
      <c r="AI36" s="124"/>
      <c r="AJ36" s="124"/>
      <c r="AK36" s="124"/>
      <c r="AL36" s="124"/>
      <c r="AM36" s="124"/>
      <c r="AN36" s="124"/>
      <c r="AO36" s="124"/>
      <c r="AP36" s="124"/>
      <c r="AQ36" s="124"/>
      <c r="AR36" s="124"/>
      <c r="AS36" s="124"/>
      <c r="AT36" s="124"/>
      <c r="AU36" s="124"/>
      <c r="AV36" s="124"/>
      <c r="AW36" s="124"/>
      <c r="AX36" s="124"/>
      <c r="AY36" s="124"/>
      <c r="AZ36" s="124"/>
      <c r="BA36" s="124"/>
      <c r="BB36" s="136"/>
    </row>
    <row r="37" customFormat="false" ht="15.6" hidden="false" customHeight="false" outlineLevel="0" collapsed="false">
      <c r="A37" s="111" t="n">
        <f aca="false">IF(ISBLANK(VLOOKUP(D37,#REF!,3)),0,1)</f>
        <v>1</v>
      </c>
      <c r="B37" s="112" t="n">
        <f aca="false">IF(ISBLANK(D37),0,IF(ISBLANK(E37),0,IF(ISBLANK(F37),0,1)))</f>
        <v>0</v>
      </c>
      <c r="C37" s="128" t="n">
        <v>3</v>
      </c>
      <c r="D37" s="129"/>
      <c r="E37" s="129"/>
      <c r="F37" s="137"/>
      <c r="G37" s="117" t="s">
        <v>99</v>
      </c>
      <c r="H37" s="131" t="n">
        <v>0</v>
      </c>
      <c r="I37" s="125" t="n">
        <v>2.752</v>
      </c>
      <c r="K37" s="133"/>
      <c r="L37" s="133"/>
      <c r="M37" s="133"/>
      <c r="N37" s="134"/>
      <c r="O37" s="133"/>
      <c r="P37" s="132"/>
      <c r="Q37" s="132"/>
      <c r="R37" s="132"/>
      <c r="S37" s="132"/>
      <c r="T37" s="125" t="n">
        <v>0</v>
      </c>
      <c r="U37" s="32" t="n">
        <v>0.01</v>
      </c>
      <c r="V37" s="32"/>
      <c r="W37" s="32"/>
      <c r="X37" s="125" t="n">
        <v>0</v>
      </c>
      <c r="Y37" s="125" t="n">
        <v>0</v>
      </c>
      <c r="Z37" s="125" t="n">
        <v>0.1</v>
      </c>
      <c r="AA37" s="32" t="n">
        <v>0.12</v>
      </c>
      <c r="AB37" s="125" t="n">
        <v>4.2</v>
      </c>
      <c r="AC37" s="125" t="n">
        <v>4.1</v>
      </c>
      <c r="AD37" s="124"/>
      <c r="AE37" s="124"/>
      <c r="AF37" s="124"/>
      <c r="AG37" s="124"/>
      <c r="AH37" s="124"/>
      <c r="AI37" s="124"/>
      <c r="AJ37" s="124"/>
      <c r="AK37" s="124"/>
      <c r="AL37" s="124"/>
      <c r="AM37" s="124"/>
      <c r="AN37" s="124"/>
      <c r="AO37" s="124"/>
      <c r="AP37" s="124"/>
      <c r="AQ37" s="124"/>
      <c r="AR37" s="124"/>
      <c r="AS37" s="124"/>
      <c r="AT37" s="124"/>
      <c r="AU37" s="124"/>
      <c r="AV37" s="124"/>
      <c r="AW37" s="124"/>
      <c r="AX37" s="124"/>
      <c r="AY37" s="124"/>
      <c r="AZ37" s="124"/>
      <c r="BA37" s="124"/>
      <c r="BB37" s="136"/>
    </row>
    <row r="38" customFormat="false" ht="15.6" hidden="false" customHeight="false" outlineLevel="0" collapsed="false">
      <c r="A38" s="111" t="n">
        <f aca="false">IF(ISBLANK(VLOOKUP(D38,#REF!,3)),0,1)</f>
        <v>1</v>
      </c>
      <c r="B38" s="112" t="n">
        <f aca="false">IF(ISBLANK(D38),0,IF(ISBLANK(E38),0,IF(ISBLANK(F38),0,1)))</f>
        <v>0</v>
      </c>
      <c r="C38" s="128" t="n">
        <v>4</v>
      </c>
      <c r="D38" s="138"/>
      <c r="E38" s="138"/>
      <c r="F38" s="139"/>
      <c r="G38" s="117" t="s">
        <v>99</v>
      </c>
      <c r="H38" s="131" t="s">
        <v>99</v>
      </c>
      <c r="I38" s="190" t="s">
        <v>99</v>
      </c>
      <c r="J38" s="132"/>
      <c r="K38" s="133"/>
      <c r="L38" s="133"/>
      <c r="M38" s="133"/>
      <c r="N38" s="134"/>
      <c r="O38" s="133"/>
      <c r="P38" s="132"/>
      <c r="Q38" s="132"/>
      <c r="R38" s="132"/>
      <c r="S38" s="132"/>
      <c r="T38" s="132"/>
      <c r="U38" s="133"/>
      <c r="V38" s="133"/>
      <c r="W38" s="133"/>
      <c r="X38" s="134"/>
      <c r="Y38" s="133"/>
      <c r="Z38" s="132"/>
      <c r="AA38" s="132"/>
      <c r="AB38" s="132"/>
      <c r="AC38" s="132"/>
      <c r="AD38" s="124"/>
      <c r="AE38" s="124"/>
      <c r="AF38" s="124"/>
      <c r="AG38" s="124"/>
      <c r="AH38" s="124"/>
      <c r="AI38" s="124"/>
      <c r="AJ38" s="124"/>
      <c r="AK38" s="124"/>
      <c r="AL38" s="124"/>
      <c r="AM38" s="124"/>
      <c r="AN38" s="124"/>
      <c r="AO38" s="124"/>
      <c r="AP38" s="124"/>
      <c r="AQ38" s="124"/>
      <c r="AR38" s="124"/>
      <c r="AS38" s="124"/>
      <c r="AT38" s="124"/>
      <c r="AU38" s="124"/>
      <c r="AV38" s="124"/>
      <c r="AW38" s="124"/>
      <c r="AX38" s="124"/>
      <c r="AY38" s="124"/>
      <c r="AZ38" s="124"/>
      <c r="BA38" s="124"/>
      <c r="BB38" s="136"/>
    </row>
    <row r="39" customFormat="false" ht="15.6" hidden="false" customHeight="false" outlineLevel="0" collapsed="false">
      <c r="A39" s="111" t="n">
        <f aca="false">IF(ISBLANK(VLOOKUP(D39,#REF!,3)),0,1)</f>
        <v>1</v>
      </c>
      <c r="B39" s="112" t="n">
        <f aca="false">IF(ISBLANK(D39),0,IF(ISBLANK(E39),0,IF(ISBLANK(F39),0,1)))</f>
        <v>0</v>
      </c>
      <c r="C39" s="128" t="n">
        <v>5</v>
      </c>
      <c r="D39" s="129"/>
      <c r="E39" s="129"/>
      <c r="F39" s="137"/>
      <c r="G39" s="117" t="s">
        <v>99</v>
      </c>
      <c r="H39" s="131" t="s">
        <v>99</v>
      </c>
      <c r="I39" s="190" t="s">
        <v>99</v>
      </c>
      <c r="J39" s="132"/>
      <c r="K39" s="133"/>
      <c r="L39" s="133"/>
      <c r="M39" s="133"/>
      <c r="N39" s="134"/>
      <c r="O39" s="133"/>
      <c r="P39" s="132"/>
      <c r="Q39" s="132"/>
      <c r="R39" s="132"/>
      <c r="S39" s="132"/>
      <c r="T39" s="132"/>
      <c r="U39" s="133"/>
      <c r="V39" s="133"/>
      <c r="W39" s="133"/>
      <c r="X39" s="134"/>
      <c r="Y39" s="133"/>
      <c r="Z39" s="132"/>
      <c r="AA39" s="132"/>
      <c r="AB39" s="132"/>
      <c r="AC39" s="132"/>
      <c r="AD39" s="124"/>
      <c r="AE39" s="124"/>
      <c r="AF39" s="124"/>
      <c r="AG39" s="124"/>
      <c r="AH39" s="124"/>
      <c r="AI39" s="124"/>
      <c r="AJ39" s="124"/>
      <c r="AK39" s="124"/>
      <c r="AL39" s="124"/>
      <c r="AM39" s="124"/>
      <c r="AN39" s="124"/>
      <c r="AO39" s="124"/>
      <c r="AP39" s="124"/>
      <c r="AQ39" s="124"/>
      <c r="AR39" s="124"/>
      <c r="AS39" s="124"/>
      <c r="AT39" s="124"/>
      <c r="AU39" s="124"/>
      <c r="AV39" s="124"/>
      <c r="AW39" s="124"/>
      <c r="AX39" s="124"/>
      <c r="AY39" s="124"/>
      <c r="AZ39" s="124"/>
      <c r="BA39" s="124"/>
      <c r="BB39" s="136"/>
    </row>
    <row r="40" customFormat="false" ht="15.6" hidden="false" customHeight="false" outlineLevel="0" collapsed="false">
      <c r="A40" s="111" t="n">
        <f aca="false">IF(ISBLANK(VLOOKUP(D40,#REF!,3)),0,1)</f>
        <v>1</v>
      </c>
      <c r="B40" s="112" t="n">
        <f aca="false">IF(ISBLANK(D40),0,IF(ISBLANK(E40),0,IF(ISBLANK(F40),0,1)))</f>
        <v>0</v>
      </c>
      <c r="C40" s="128" t="n">
        <v>6</v>
      </c>
      <c r="D40" s="129"/>
      <c r="E40" s="129"/>
      <c r="F40" s="137"/>
      <c r="G40" s="117" t="s">
        <v>99</v>
      </c>
      <c r="H40" s="131" t="s">
        <v>99</v>
      </c>
      <c r="I40" s="190" t="s">
        <v>99</v>
      </c>
      <c r="J40" s="132"/>
      <c r="K40" s="133"/>
      <c r="L40" s="133"/>
      <c r="M40" s="133"/>
      <c r="N40" s="134"/>
      <c r="O40" s="133"/>
      <c r="P40" s="132"/>
      <c r="Q40" s="132"/>
      <c r="R40" s="132"/>
      <c r="S40" s="132"/>
      <c r="T40" s="132"/>
      <c r="U40" s="132"/>
      <c r="V40" s="132"/>
      <c r="W40" s="132"/>
      <c r="X40" s="132"/>
      <c r="Y40" s="132"/>
      <c r="Z40" s="132"/>
      <c r="AA40" s="132"/>
      <c r="AB40" s="132"/>
      <c r="AC40" s="132"/>
      <c r="AD40" s="124"/>
      <c r="AE40" s="124"/>
      <c r="AF40" s="124"/>
      <c r="AG40" s="124"/>
      <c r="AH40" s="124"/>
      <c r="AI40" s="124"/>
      <c r="AJ40" s="124"/>
      <c r="AK40" s="124"/>
      <c r="AL40" s="124"/>
      <c r="AM40" s="124"/>
      <c r="AN40" s="124"/>
      <c r="AO40" s="124"/>
      <c r="AP40" s="124"/>
      <c r="AQ40" s="124"/>
      <c r="AR40" s="124"/>
      <c r="AS40" s="124"/>
      <c r="AT40" s="124"/>
      <c r="AU40" s="124"/>
      <c r="AV40" s="124"/>
      <c r="AW40" s="124"/>
      <c r="AX40" s="124"/>
      <c r="AY40" s="124"/>
      <c r="AZ40" s="124"/>
      <c r="BA40" s="124"/>
      <c r="BB40" s="136"/>
    </row>
    <row r="41" customFormat="false" ht="15.6" hidden="false" customHeight="false" outlineLevel="0" collapsed="false">
      <c r="A41" s="111" t="n">
        <f aca="false">IF(ISBLANK(VLOOKUP(D41,#REF!,3)),0,1)</f>
        <v>1</v>
      </c>
      <c r="B41" s="112" t="n">
        <f aca="false">IF(ISBLANK(D41),0,IF(ISBLANK(E41),0,IF(ISBLANK(F41),0,1)))</f>
        <v>0</v>
      </c>
      <c r="C41" s="128" t="n">
        <v>7</v>
      </c>
      <c r="D41" s="129"/>
      <c r="E41" s="129"/>
      <c r="F41" s="137"/>
      <c r="G41" s="117" t="s">
        <v>99</v>
      </c>
      <c r="H41" s="131" t="s">
        <v>99</v>
      </c>
      <c r="I41" s="190" t="s">
        <v>99</v>
      </c>
      <c r="J41" s="132"/>
      <c r="K41" s="133"/>
      <c r="L41" s="133"/>
      <c r="M41" s="133"/>
      <c r="N41" s="134"/>
      <c r="O41" s="133"/>
      <c r="P41" s="132"/>
      <c r="Q41" s="132"/>
      <c r="R41" s="132"/>
      <c r="S41" s="132"/>
      <c r="T41" s="132"/>
      <c r="U41" s="132"/>
      <c r="V41" s="132"/>
      <c r="W41" s="132"/>
      <c r="X41" s="132"/>
      <c r="Y41" s="132"/>
      <c r="Z41" s="132"/>
      <c r="AA41" s="132"/>
      <c r="AB41" s="132"/>
      <c r="AC41" s="132"/>
      <c r="AD41" s="124"/>
      <c r="AE41" s="124"/>
      <c r="AF41" s="124"/>
      <c r="AG41" s="124"/>
      <c r="AH41" s="124"/>
      <c r="AI41" s="124"/>
      <c r="AJ41" s="124"/>
      <c r="AK41" s="124"/>
      <c r="AL41" s="124"/>
      <c r="AM41" s="124"/>
      <c r="AN41" s="124"/>
      <c r="AO41" s="124"/>
      <c r="AP41" s="124"/>
      <c r="AQ41" s="124"/>
      <c r="AR41" s="124"/>
      <c r="AS41" s="124"/>
      <c r="AT41" s="124"/>
      <c r="AU41" s="124"/>
      <c r="AV41" s="124"/>
      <c r="AW41" s="124"/>
      <c r="AX41" s="124"/>
      <c r="AY41" s="124"/>
      <c r="AZ41" s="124"/>
      <c r="BA41" s="124"/>
      <c r="BB41" s="136"/>
    </row>
    <row r="42" customFormat="false" ht="15.6" hidden="false" customHeight="false" outlineLevel="0" collapsed="false">
      <c r="A42" s="111" t="n">
        <f aca="false">IF(ISBLANK(VLOOKUP(D42,#REF!,3)),0,1)</f>
        <v>1</v>
      </c>
      <c r="B42" s="112" t="n">
        <f aca="false">IF(ISBLANK(D42),0,IF(ISBLANK(E42),0,IF(ISBLANK(F42),0,1)))</f>
        <v>0</v>
      </c>
      <c r="C42" s="128" t="n">
        <v>8</v>
      </c>
      <c r="D42" s="129"/>
      <c r="E42" s="129"/>
      <c r="F42" s="137"/>
      <c r="G42" s="117" t="s">
        <v>99</v>
      </c>
      <c r="H42" s="131" t="s">
        <v>99</v>
      </c>
      <c r="I42" s="190" t="s">
        <v>99</v>
      </c>
      <c r="J42" s="132"/>
      <c r="K42" s="133"/>
      <c r="L42" s="133"/>
      <c r="M42" s="133"/>
      <c r="N42" s="134"/>
      <c r="O42" s="133"/>
      <c r="P42" s="132"/>
      <c r="Q42" s="132"/>
      <c r="R42" s="132"/>
      <c r="T42" s="132"/>
      <c r="V42" s="32"/>
      <c r="W42" s="32"/>
      <c r="X42" s="132"/>
      <c r="Z42" s="132"/>
      <c r="AA42" s="132"/>
      <c r="AC42" s="132"/>
      <c r="AD42" s="124"/>
      <c r="AE42" s="124"/>
      <c r="AF42" s="124"/>
      <c r="AG42" s="124"/>
      <c r="AH42" s="124"/>
      <c r="AI42" s="124"/>
      <c r="AJ42" s="124"/>
      <c r="AK42" s="124"/>
      <c r="AL42" s="124"/>
      <c r="AM42" s="124"/>
      <c r="AN42" s="124"/>
      <c r="AO42" s="124"/>
      <c r="AP42" s="124"/>
      <c r="AQ42" s="124"/>
      <c r="AR42" s="124"/>
      <c r="AS42" s="124"/>
      <c r="AT42" s="124"/>
      <c r="AU42" s="124"/>
      <c r="AV42" s="124"/>
      <c r="AW42" s="124"/>
      <c r="AX42" s="124"/>
      <c r="AY42" s="124"/>
      <c r="AZ42" s="124"/>
      <c r="BA42" s="124"/>
      <c r="BB42" s="136"/>
    </row>
    <row r="43" customFormat="false" ht="15.6" hidden="false" customHeight="false" outlineLevel="0" collapsed="false">
      <c r="A43" s="111" t="n">
        <f aca="false">IF(ISBLANK(VLOOKUP(D43,#REF!,3)),0,1)</f>
        <v>1</v>
      </c>
      <c r="B43" s="112" t="n">
        <f aca="false">IF(ISBLANK(D43),0,IF(ISBLANK(E43),0,IF(ISBLANK(F43),0,1)))</f>
        <v>0</v>
      </c>
      <c r="C43" s="128" t="n">
        <v>9</v>
      </c>
      <c r="D43" s="129"/>
      <c r="E43" s="129"/>
      <c r="F43" s="137"/>
      <c r="G43" s="117" t="s">
        <v>99</v>
      </c>
      <c r="H43" s="131" t="s">
        <v>99</v>
      </c>
      <c r="I43" s="190" t="s">
        <v>99</v>
      </c>
      <c r="J43" s="132"/>
      <c r="K43" s="133"/>
      <c r="L43" s="133"/>
      <c r="M43" s="133"/>
      <c r="N43" s="134"/>
      <c r="O43" s="133"/>
      <c r="P43" s="132"/>
      <c r="Q43" s="132"/>
      <c r="R43" s="132"/>
      <c r="S43" s="132"/>
      <c r="T43" s="132"/>
      <c r="U43" s="132"/>
      <c r="V43" s="132"/>
      <c r="W43" s="132"/>
      <c r="X43" s="132"/>
      <c r="Y43" s="132"/>
      <c r="Z43" s="132"/>
      <c r="AA43" s="132"/>
      <c r="AB43" s="132"/>
      <c r="AC43" s="132"/>
      <c r="AD43" s="124"/>
      <c r="AE43" s="124"/>
      <c r="AF43" s="124"/>
      <c r="AG43" s="124"/>
      <c r="AH43" s="124"/>
      <c r="AI43" s="124"/>
      <c r="AJ43" s="124"/>
      <c r="AK43" s="124"/>
      <c r="AL43" s="124"/>
      <c r="AM43" s="124"/>
      <c r="AN43" s="124"/>
      <c r="AO43" s="124"/>
      <c r="AP43" s="124"/>
      <c r="AQ43" s="124"/>
      <c r="AR43" s="124"/>
      <c r="AS43" s="124"/>
      <c r="AT43" s="124"/>
      <c r="AU43" s="124"/>
      <c r="AV43" s="124"/>
      <c r="AW43" s="124"/>
      <c r="AX43" s="124"/>
      <c r="AY43" s="124"/>
      <c r="AZ43" s="124"/>
      <c r="BA43" s="124"/>
      <c r="BB43" s="136"/>
    </row>
    <row r="44" customFormat="false" ht="15.6" hidden="false" customHeight="false" outlineLevel="0" collapsed="false">
      <c r="A44" s="111" t="n">
        <f aca="false">IF(ISBLANK(VLOOKUP(D44,#REF!,3)),0,1)</f>
        <v>1</v>
      </c>
      <c r="B44" s="112" t="n">
        <f aca="false">IF(ISBLANK(D44),0,IF(ISBLANK(E44),0,IF(ISBLANK(F44),0,1)))</f>
        <v>0</v>
      </c>
      <c r="C44" s="128" t="n">
        <v>10</v>
      </c>
      <c r="D44" s="129"/>
      <c r="E44" s="129"/>
      <c r="F44" s="137"/>
      <c r="G44" s="117" t="s">
        <v>99</v>
      </c>
      <c r="H44" s="131" t="s">
        <v>99</v>
      </c>
      <c r="I44" s="190" t="s">
        <v>99</v>
      </c>
      <c r="J44" s="132"/>
      <c r="K44" s="133"/>
      <c r="L44" s="133"/>
      <c r="M44" s="133"/>
      <c r="N44" s="134"/>
      <c r="O44" s="133"/>
      <c r="P44" s="132"/>
      <c r="Q44" s="132"/>
      <c r="R44" s="132"/>
      <c r="S44" s="132"/>
      <c r="T44" s="132"/>
      <c r="U44" s="132"/>
      <c r="V44" s="132"/>
      <c r="W44" s="132"/>
      <c r="X44" s="132"/>
      <c r="Y44" s="132"/>
      <c r="Z44" s="132"/>
      <c r="AA44" s="132"/>
      <c r="AB44" s="132"/>
      <c r="AC44" s="132"/>
      <c r="AD44" s="124"/>
      <c r="AE44" s="124"/>
      <c r="AF44" s="124"/>
      <c r="AG44" s="124"/>
      <c r="AH44" s="124"/>
      <c r="AI44" s="124"/>
      <c r="AJ44" s="124"/>
      <c r="AK44" s="124"/>
      <c r="AL44" s="124"/>
      <c r="AM44" s="124"/>
      <c r="AN44" s="124"/>
      <c r="AO44" s="124"/>
      <c r="AP44" s="124"/>
      <c r="AQ44" s="124"/>
      <c r="AR44" s="124"/>
      <c r="AS44" s="124"/>
      <c r="AT44" s="124"/>
      <c r="AU44" s="124"/>
      <c r="AV44" s="124"/>
      <c r="AW44" s="124"/>
      <c r="AX44" s="124"/>
      <c r="AY44" s="124"/>
      <c r="AZ44" s="124"/>
      <c r="BA44" s="124"/>
      <c r="BB44" s="136"/>
    </row>
    <row r="45" customFormat="false" ht="15.6" hidden="false" customHeight="false" outlineLevel="0" collapsed="false">
      <c r="A45" s="111" t="n">
        <f aca="false">IF(ISBLANK(VLOOKUP(D45,#REF!,3)),0,1)</f>
        <v>1</v>
      </c>
      <c r="B45" s="112" t="n">
        <f aca="false">IF(ISBLANK(D45),0,IF(ISBLANK(E45),0,IF(ISBLANK(F45),0,1)))</f>
        <v>0</v>
      </c>
      <c r="C45" s="128" t="n">
        <v>11</v>
      </c>
      <c r="D45" s="129"/>
      <c r="E45" s="129"/>
      <c r="F45" s="137"/>
      <c r="G45" s="117" t="s">
        <v>99</v>
      </c>
      <c r="H45" s="131" t="s">
        <v>99</v>
      </c>
      <c r="I45" s="190" t="s">
        <v>99</v>
      </c>
      <c r="J45" s="132"/>
      <c r="K45" s="133"/>
      <c r="L45" s="133"/>
      <c r="M45" s="133"/>
      <c r="N45" s="134"/>
      <c r="O45" s="133"/>
      <c r="P45" s="132"/>
      <c r="Q45" s="132"/>
      <c r="R45" s="132"/>
      <c r="S45" s="132"/>
      <c r="T45" s="132"/>
      <c r="U45" s="132"/>
      <c r="V45" s="132"/>
      <c r="W45" s="132"/>
      <c r="X45" s="132"/>
      <c r="Y45" s="132"/>
      <c r="Z45" s="132"/>
      <c r="AA45" s="132"/>
      <c r="AB45" s="132"/>
      <c r="AC45" s="132"/>
      <c r="AD45" s="124"/>
      <c r="AE45" s="124"/>
      <c r="AF45" s="124"/>
      <c r="AG45" s="124"/>
      <c r="AH45" s="124"/>
      <c r="AI45" s="124"/>
      <c r="AJ45" s="124"/>
      <c r="AK45" s="124"/>
      <c r="AL45" s="124"/>
      <c r="AM45" s="124"/>
      <c r="AN45" s="124"/>
      <c r="AO45" s="124"/>
      <c r="AP45" s="124"/>
      <c r="AQ45" s="124"/>
      <c r="AR45" s="124"/>
      <c r="AS45" s="124"/>
      <c r="AT45" s="124"/>
      <c r="AU45" s="124"/>
      <c r="AV45" s="124"/>
      <c r="AW45" s="124"/>
      <c r="AX45" s="124"/>
      <c r="AY45" s="124"/>
      <c r="AZ45" s="124"/>
      <c r="BA45" s="124"/>
      <c r="BB45" s="136"/>
    </row>
    <row r="46" customFormat="false" ht="15.6" hidden="false" customHeight="false" outlineLevel="0" collapsed="false">
      <c r="A46" s="111" t="n">
        <f aca="false">IF(ISBLANK(VLOOKUP(D46,#REF!,3)),0,1)</f>
        <v>1</v>
      </c>
      <c r="B46" s="112" t="n">
        <f aca="false">IF(ISBLANK(D46),0,IF(ISBLANK(E46),0,IF(ISBLANK(F46),0,1)))</f>
        <v>0</v>
      </c>
      <c r="C46" s="128" t="n">
        <v>12</v>
      </c>
      <c r="D46" s="142"/>
      <c r="E46" s="142"/>
      <c r="F46" s="143"/>
      <c r="G46" s="117" t="s">
        <v>99</v>
      </c>
      <c r="H46" s="131" t="s">
        <v>99</v>
      </c>
      <c r="I46" s="190" t="s">
        <v>99</v>
      </c>
      <c r="J46" s="132"/>
      <c r="K46" s="146" t="str">
        <f aca="false">IF(ISBLANK(E46),"",(0.000824493-(0.0000040899*E46)+(0.000000076438*E46^2)-(0.00000000082467*E46^3)+(0.0000000000053875*E46^4)))</f>
        <v/>
      </c>
      <c r="L46" s="146" t="str">
        <f aca="false">IF(ISBLANK(E46),"",(-0.00000572466+(0.00000010227*E46)-(0.0000000016546*E46^2)))</f>
        <v/>
      </c>
      <c r="M46" s="146" t="str">
        <f aca="false">IF(ISBLANK(E46),"",IF(ISBLANK(G46),(O46+(K46*35)+(L46*35^1.5)+(0.00000048314*35^2)),(O46+(K46*G46)+(L46*G46^1.5)+(0.00000048314*G46^2))))</f>
        <v/>
      </c>
      <c r="N46" s="147" t="str">
        <f aca="false">IF(ISBLANK(D46),"",IF(ISBLANK(G46),J46*(1+0.00001*(35-20)),J46*(1+0.00001*(G46-20))))</f>
        <v/>
      </c>
      <c r="O46" s="146" t="str">
        <f aca="false">IF(ISBLANK(E46),"",(0.999842594+(0.00006793952*E46)-(0.00000909529*E46^2)+(0.0000001001685*E46^3)-(0.000000001120083*E46^4)+(0.000000000006536332*E46^5)))</f>
        <v/>
      </c>
      <c r="P46" s="132"/>
      <c r="Q46" s="132"/>
      <c r="R46" s="132"/>
      <c r="S46" s="132"/>
      <c r="T46" s="132"/>
      <c r="U46" s="132"/>
      <c r="V46" s="132"/>
      <c r="W46" s="132"/>
      <c r="X46" s="132"/>
      <c r="Y46" s="132"/>
      <c r="Z46" s="132"/>
      <c r="AA46" s="132"/>
      <c r="AB46" s="132"/>
      <c r="AC46" s="132"/>
      <c r="AD46" s="124"/>
      <c r="AE46" s="124"/>
      <c r="AF46" s="124"/>
      <c r="AG46" s="124"/>
      <c r="AH46" s="124"/>
      <c r="AI46" s="124"/>
      <c r="AJ46" s="124"/>
      <c r="AK46" s="124"/>
      <c r="AL46" s="124"/>
      <c r="AM46" s="124"/>
      <c r="AN46" s="124"/>
      <c r="AO46" s="124"/>
      <c r="AP46" s="124"/>
      <c r="AQ46" s="124"/>
      <c r="AR46" s="124"/>
      <c r="AS46" s="124"/>
      <c r="AT46" s="124"/>
      <c r="AU46" s="124"/>
      <c r="AV46" s="124"/>
      <c r="AW46" s="124"/>
      <c r="AX46" s="124"/>
      <c r="AY46" s="124"/>
      <c r="AZ46" s="124"/>
      <c r="BA46" s="124"/>
      <c r="BB46" s="136"/>
    </row>
    <row r="47" customFormat="false" ht="15.6" hidden="false" customHeight="false" outlineLevel="0" collapsed="false">
      <c r="A47" s="111" t="n">
        <f aca="false">IF(ISBLANK(VLOOKUP(D47,#REF!,3)),0,1)</f>
        <v>1</v>
      </c>
      <c r="B47" s="112" t="n">
        <f aca="false">IF(ISBLANK(D47),0,IF(ISBLANK(E47),0,IF(ISBLANK(F47),0,1)))</f>
        <v>0</v>
      </c>
      <c r="C47" s="128" t="n">
        <v>13</v>
      </c>
      <c r="D47" s="151"/>
      <c r="E47" s="151"/>
      <c r="F47" s="152"/>
      <c r="G47" s="153"/>
      <c r="H47" s="151"/>
      <c r="I47" s="151"/>
      <c r="J47" s="132"/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32"/>
      <c r="Q47" s="132"/>
      <c r="R47" s="132"/>
      <c r="S47" s="132"/>
      <c r="T47" s="124"/>
      <c r="U47" s="124"/>
      <c r="V47" s="124"/>
      <c r="W47" s="124"/>
      <c r="X47" s="12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24"/>
      <c r="AJ47" s="124"/>
      <c r="AK47" s="124"/>
      <c r="AL47" s="124"/>
      <c r="AM47" s="124"/>
      <c r="AN47" s="124"/>
      <c r="AO47" s="124"/>
      <c r="AP47" s="124"/>
      <c r="AQ47" s="124"/>
      <c r="AR47" s="124"/>
      <c r="AS47" s="124"/>
      <c r="AT47" s="124"/>
      <c r="AU47" s="124"/>
      <c r="AV47" s="124"/>
      <c r="AW47" s="124"/>
      <c r="AX47" s="124"/>
      <c r="AY47" s="124"/>
      <c r="AZ47" s="124"/>
      <c r="BA47" s="124"/>
      <c r="BB47" s="136"/>
    </row>
    <row r="48" customFormat="false" ht="15.6" hidden="false" customHeight="false" outlineLevel="0" collapsed="false">
      <c r="A48" s="111" t="n">
        <f aca="false">IF(ISBLANK(VLOOKUP(D48,#REF!,3)),0,1)</f>
        <v>1</v>
      </c>
      <c r="B48" s="112" t="n">
        <f aca="false">IF(ISBLANK(D48),0,IF(ISBLANK(E48),0,IF(ISBLANK(F48),0,1)))</f>
        <v>0</v>
      </c>
      <c r="C48" s="128" t="n">
        <v>14</v>
      </c>
      <c r="D48" s="151"/>
      <c r="E48" s="151"/>
      <c r="F48" s="152"/>
      <c r="G48" s="153"/>
      <c r="H48" s="151"/>
      <c r="I48" s="151"/>
      <c r="J48" s="132"/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32"/>
      <c r="Q48" s="132"/>
      <c r="R48" s="132"/>
      <c r="S48" s="132"/>
      <c r="T48" s="124"/>
      <c r="U48" s="124"/>
      <c r="V48" s="124"/>
      <c r="W48" s="124"/>
      <c r="X48" s="124"/>
      <c r="Y48" s="124"/>
      <c r="Z48" s="124"/>
      <c r="AA48" s="124"/>
      <c r="AB48" s="124"/>
      <c r="AC48" s="124"/>
      <c r="AD48" s="124"/>
      <c r="AE48" s="124"/>
      <c r="AF48" s="124"/>
      <c r="AG48" s="124"/>
      <c r="AH48" s="124"/>
      <c r="AI48" s="124"/>
      <c r="AJ48" s="124"/>
      <c r="AK48" s="124"/>
      <c r="AL48" s="124"/>
      <c r="AM48" s="124"/>
      <c r="AN48" s="124"/>
      <c r="AO48" s="124"/>
      <c r="AP48" s="124"/>
      <c r="AQ48" s="124"/>
      <c r="AR48" s="124"/>
      <c r="AS48" s="124"/>
      <c r="AT48" s="124"/>
      <c r="AU48" s="124"/>
      <c r="AV48" s="124"/>
      <c r="AW48" s="124"/>
      <c r="AX48" s="124"/>
      <c r="AY48" s="124"/>
      <c r="AZ48" s="124"/>
      <c r="BA48" s="124"/>
      <c r="BB48" s="136"/>
    </row>
    <row r="49" customFormat="false" ht="15.6" hidden="false" customHeight="false" outlineLevel="0" collapsed="false">
      <c r="A49" s="111" t="n">
        <f aca="false">IF(ISBLANK(VLOOKUP(D49,#REF!,3)),0,1)</f>
        <v>1</v>
      </c>
      <c r="B49" s="112" t="n">
        <f aca="false">IF(ISBLANK(D49),0,IF(ISBLANK(E49),0,IF(ISBLANK(F49),0,1)))</f>
        <v>0</v>
      </c>
      <c r="C49" s="128" t="n">
        <v>15</v>
      </c>
      <c r="D49" s="151"/>
      <c r="E49" s="151"/>
      <c r="F49" s="152"/>
      <c r="G49" s="156"/>
      <c r="H49" s="151"/>
      <c r="I49" s="151"/>
      <c r="J49" s="132"/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32"/>
      <c r="Q49" s="132"/>
      <c r="R49" s="132"/>
      <c r="S49" s="132"/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24"/>
      <c r="AE49" s="124"/>
      <c r="AF49" s="124"/>
      <c r="AG49" s="124"/>
      <c r="AH49" s="124"/>
      <c r="AI49" s="124"/>
      <c r="AJ49" s="124"/>
      <c r="AK49" s="124"/>
      <c r="AL49" s="124"/>
      <c r="AM49" s="124"/>
      <c r="AN49" s="124"/>
      <c r="AO49" s="124"/>
      <c r="AP49" s="124"/>
      <c r="AQ49" s="124"/>
      <c r="AR49" s="124"/>
      <c r="AS49" s="124"/>
      <c r="AT49" s="124"/>
      <c r="AU49" s="124"/>
      <c r="AV49" s="124"/>
      <c r="AW49" s="124"/>
      <c r="AX49" s="124"/>
      <c r="AY49" s="124"/>
      <c r="AZ49" s="124"/>
      <c r="BA49" s="124"/>
      <c r="BB49" s="136"/>
    </row>
    <row r="50" customFormat="false" ht="15.6" hidden="false" customHeight="false" outlineLevel="0" collapsed="false">
      <c r="A50" s="111" t="n">
        <f aca="false">IF(ISBLANK(VLOOKUP(D50,#REF!,3)),0,1)</f>
        <v>1</v>
      </c>
      <c r="B50" s="112" t="n">
        <f aca="false">IF(ISBLANK(D50),0,IF(ISBLANK(E50),0,IF(ISBLANK(F50),0,1)))</f>
        <v>0</v>
      </c>
      <c r="C50" s="128" t="n">
        <v>16</v>
      </c>
      <c r="D50" s="151"/>
      <c r="E50" s="151"/>
      <c r="F50" s="152"/>
      <c r="G50" s="156"/>
      <c r="H50" s="151"/>
      <c r="I50" s="151"/>
      <c r="J50" s="132"/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32"/>
      <c r="Q50" s="132"/>
      <c r="R50" s="132"/>
      <c r="S50" s="132"/>
      <c r="T50" s="124"/>
      <c r="U50" s="124"/>
      <c r="V50" s="124"/>
      <c r="W50" s="124"/>
      <c r="X50" s="124"/>
      <c r="Y50" s="124"/>
      <c r="Z50" s="124"/>
      <c r="AA50" s="124"/>
      <c r="AB50" s="124"/>
      <c r="AC50" s="124"/>
      <c r="AD50" s="124"/>
      <c r="AE50" s="124"/>
      <c r="AF50" s="124"/>
      <c r="AG50" s="124"/>
      <c r="AH50" s="124"/>
      <c r="AI50" s="124"/>
      <c r="AJ50" s="124"/>
      <c r="AK50" s="124"/>
      <c r="AL50" s="124"/>
      <c r="AM50" s="124"/>
      <c r="AN50" s="124"/>
      <c r="AO50" s="124"/>
      <c r="AP50" s="124"/>
      <c r="AQ50" s="124"/>
      <c r="AR50" s="124"/>
      <c r="AS50" s="124"/>
      <c r="AT50" s="124"/>
      <c r="AU50" s="124"/>
      <c r="AV50" s="124"/>
      <c r="AW50" s="124"/>
      <c r="AX50" s="124"/>
      <c r="AY50" s="124"/>
      <c r="AZ50" s="124"/>
      <c r="BA50" s="124"/>
      <c r="BB50" s="136"/>
    </row>
    <row r="51" customFormat="false" ht="15.6" hidden="false" customHeight="false" outlineLevel="0" collapsed="false">
      <c r="A51" s="111" t="n">
        <f aca="false">IF(ISBLANK(VLOOKUP(D51,#REF!,3)),0,1)</f>
        <v>1</v>
      </c>
      <c r="B51" s="112" t="n">
        <f aca="false">IF(ISBLANK(D51),0,IF(ISBLANK(E51),0,IF(ISBLANK(F51),0,1)))</f>
        <v>0</v>
      </c>
      <c r="C51" s="128" t="n">
        <v>17</v>
      </c>
      <c r="D51" s="151"/>
      <c r="E51" s="151"/>
      <c r="F51" s="152"/>
      <c r="G51" s="156"/>
      <c r="H51" s="151"/>
      <c r="I51" s="151"/>
      <c r="J51" s="132"/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32"/>
      <c r="Q51" s="132"/>
      <c r="R51" s="132"/>
      <c r="S51" s="132"/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24"/>
      <c r="AE51" s="124"/>
      <c r="AF51" s="124"/>
      <c r="AG51" s="124"/>
      <c r="AH51" s="124"/>
      <c r="AI51" s="124"/>
      <c r="AJ51" s="124"/>
      <c r="AK51" s="124"/>
      <c r="AL51" s="124"/>
      <c r="AM51" s="124"/>
      <c r="AN51" s="124"/>
      <c r="AO51" s="124"/>
      <c r="AP51" s="124"/>
      <c r="AQ51" s="124"/>
      <c r="AR51" s="124"/>
      <c r="AS51" s="124"/>
      <c r="AT51" s="124"/>
      <c r="AU51" s="124"/>
      <c r="AV51" s="124"/>
      <c r="AW51" s="124"/>
      <c r="AX51" s="124"/>
      <c r="AY51" s="124"/>
      <c r="AZ51" s="124"/>
      <c r="BA51" s="124"/>
      <c r="BB51" s="136"/>
    </row>
    <row r="52" customFormat="false" ht="15.6" hidden="false" customHeight="false" outlineLevel="0" collapsed="false">
      <c r="A52" s="111" t="n">
        <f aca="false">IF(ISBLANK(VLOOKUP(D52,#REF!,3)),0,1)</f>
        <v>1</v>
      </c>
      <c r="B52" s="112" t="n">
        <f aca="false">IF(ISBLANK(D52),0,IF(ISBLANK(E52),0,IF(ISBLANK(F52),0,1)))</f>
        <v>0</v>
      </c>
      <c r="C52" s="128" t="n">
        <v>18</v>
      </c>
      <c r="D52" s="151"/>
      <c r="E52" s="151"/>
      <c r="F52" s="152"/>
      <c r="G52" s="156"/>
      <c r="H52" s="151"/>
      <c r="I52" s="151"/>
      <c r="J52" s="132"/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32"/>
      <c r="Q52" s="132"/>
      <c r="R52" s="132"/>
      <c r="S52" s="132"/>
      <c r="T52" s="124"/>
      <c r="U52" s="124"/>
      <c r="V52" s="124"/>
      <c r="W52" s="124"/>
      <c r="X52" s="124"/>
      <c r="Y52" s="124"/>
      <c r="Z52" s="124"/>
      <c r="AA52" s="124"/>
      <c r="AB52" s="124"/>
      <c r="AC52" s="124"/>
      <c r="AD52" s="124"/>
      <c r="AE52" s="124"/>
      <c r="AF52" s="124"/>
      <c r="AG52" s="124"/>
      <c r="AH52" s="124"/>
      <c r="AI52" s="124"/>
      <c r="AJ52" s="124"/>
      <c r="AK52" s="124"/>
      <c r="AL52" s="124"/>
      <c r="AM52" s="124"/>
      <c r="AN52" s="124"/>
      <c r="AO52" s="124"/>
      <c r="AP52" s="124"/>
      <c r="AQ52" s="124"/>
      <c r="AR52" s="124"/>
      <c r="AS52" s="124"/>
      <c r="AT52" s="124"/>
      <c r="AU52" s="124"/>
      <c r="AV52" s="124"/>
      <c r="AW52" s="124"/>
      <c r="AX52" s="124"/>
      <c r="AY52" s="124"/>
      <c r="AZ52" s="124"/>
      <c r="BA52" s="124"/>
      <c r="BB52" s="136"/>
    </row>
    <row r="53" customFormat="false" ht="15.6" hidden="false" customHeight="false" outlineLevel="0" collapsed="false">
      <c r="A53" s="111" t="n">
        <f aca="false">IF(ISBLANK(VLOOKUP(D53,#REF!,3)),0,1)</f>
        <v>1</v>
      </c>
      <c r="B53" s="112" t="n">
        <f aca="false">IF(ISBLANK(D53),0,IF(ISBLANK(E53),0,IF(ISBLANK(F53),0,1)))</f>
        <v>0</v>
      </c>
      <c r="C53" s="128" t="n">
        <v>19</v>
      </c>
      <c r="D53" s="151"/>
      <c r="E53" s="151"/>
      <c r="F53" s="152"/>
      <c r="G53" s="156"/>
      <c r="H53" s="151"/>
      <c r="I53" s="151"/>
      <c r="J53" s="132"/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32"/>
      <c r="Q53" s="132"/>
      <c r="R53" s="132"/>
      <c r="S53" s="132"/>
      <c r="T53" s="124"/>
      <c r="U53" s="124"/>
      <c r="V53" s="124"/>
      <c r="W53" s="124"/>
      <c r="X53" s="12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24"/>
      <c r="AJ53" s="124"/>
      <c r="AK53" s="124"/>
      <c r="AL53" s="124"/>
      <c r="AM53" s="124"/>
      <c r="AN53" s="124"/>
      <c r="AO53" s="124"/>
      <c r="AP53" s="124"/>
      <c r="AQ53" s="124"/>
      <c r="AR53" s="124"/>
      <c r="AS53" s="124"/>
      <c r="AT53" s="124"/>
      <c r="AU53" s="124"/>
      <c r="AV53" s="124"/>
      <c r="AW53" s="124"/>
      <c r="AX53" s="124"/>
      <c r="AY53" s="124"/>
      <c r="AZ53" s="124"/>
      <c r="BA53" s="124"/>
      <c r="BB53" s="136"/>
    </row>
    <row r="54" customFormat="false" ht="15.6" hidden="false" customHeight="false" outlineLevel="0" collapsed="false">
      <c r="A54" s="111" t="n">
        <f aca="false">IF(ISBLANK(VLOOKUP(D54,#REF!,3)),0,1)</f>
        <v>1</v>
      </c>
      <c r="B54" s="112" t="n">
        <f aca="false">IF(ISBLANK(D54),0,IF(ISBLANK(E54),0,IF(ISBLANK(F54),0,1)))</f>
        <v>0</v>
      </c>
      <c r="C54" s="128" t="n">
        <v>20</v>
      </c>
      <c r="D54" s="151"/>
      <c r="E54" s="151"/>
      <c r="F54" s="152"/>
      <c r="G54" s="156"/>
      <c r="H54" s="151"/>
      <c r="I54" s="151"/>
      <c r="J54" s="132"/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32"/>
      <c r="Q54" s="132"/>
      <c r="R54" s="132"/>
      <c r="S54" s="132"/>
      <c r="T54" s="124"/>
      <c r="U54" s="124"/>
      <c r="V54" s="124"/>
      <c r="W54" s="124"/>
      <c r="X54" s="124"/>
      <c r="Y54" s="124"/>
      <c r="Z54" s="124"/>
      <c r="AA54" s="124"/>
      <c r="AB54" s="124"/>
      <c r="AC54" s="124"/>
      <c r="AD54" s="124"/>
      <c r="AE54" s="124"/>
      <c r="AF54" s="124"/>
      <c r="AG54" s="124"/>
      <c r="AH54" s="124"/>
      <c r="AI54" s="124"/>
      <c r="AJ54" s="124"/>
      <c r="AK54" s="124"/>
      <c r="AL54" s="124"/>
      <c r="AM54" s="124"/>
      <c r="AN54" s="124"/>
      <c r="AO54" s="124"/>
      <c r="AP54" s="124"/>
      <c r="AQ54" s="124"/>
      <c r="AR54" s="124"/>
      <c r="AS54" s="124"/>
      <c r="AT54" s="124"/>
      <c r="AU54" s="124"/>
      <c r="AV54" s="124"/>
      <c r="AW54" s="124"/>
      <c r="AX54" s="124"/>
      <c r="AY54" s="124"/>
      <c r="AZ54" s="124"/>
      <c r="BA54" s="124"/>
      <c r="BB54" s="136"/>
    </row>
    <row r="55" customFormat="false" ht="15.6" hidden="false" customHeight="false" outlineLevel="0" collapsed="false">
      <c r="A55" s="111" t="n">
        <f aca="false">IF(ISBLANK(VLOOKUP(D55,#REF!,3)),0,1)</f>
        <v>1</v>
      </c>
      <c r="B55" s="112" t="n">
        <f aca="false">IF(ISBLANK(D55),0,IF(ISBLANK(E55),0,IF(ISBLANK(F55),0,1)))</f>
        <v>0</v>
      </c>
      <c r="C55" s="128" t="n">
        <v>21</v>
      </c>
      <c r="D55" s="151"/>
      <c r="E55" s="151"/>
      <c r="F55" s="152"/>
      <c r="G55" s="156"/>
      <c r="H55" s="151"/>
      <c r="I55" s="151"/>
      <c r="J55" s="132"/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32"/>
      <c r="Q55" s="132"/>
      <c r="R55" s="132"/>
      <c r="S55" s="132"/>
      <c r="T55" s="124"/>
      <c r="U55" s="124"/>
      <c r="V55" s="124"/>
      <c r="W55" s="124"/>
      <c r="X55" s="124"/>
      <c r="Y55" s="124"/>
      <c r="Z55" s="124"/>
      <c r="AA55" s="124"/>
      <c r="AB55" s="124"/>
      <c r="AC55" s="124"/>
      <c r="AD55" s="124"/>
      <c r="AE55" s="124"/>
      <c r="AF55" s="124"/>
      <c r="AG55" s="124"/>
      <c r="AH55" s="124"/>
      <c r="AI55" s="124"/>
      <c r="AJ55" s="124"/>
      <c r="AK55" s="124"/>
      <c r="AL55" s="124"/>
      <c r="AM55" s="124"/>
      <c r="AN55" s="124"/>
      <c r="AO55" s="124"/>
      <c r="AP55" s="124"/>
      <c r="AQ55" s="124"/>
      <c r="AR55" s="124"/>
      <c r="AS55" s="124"/>
      <c r="AT55" s="124"/>
      <c r="AU55" s="124"/>
      <c r="AV55" s="124"/>
      <c r="AW55" s="124"/>
      <c r="AX55" s="124"/>
      <c r="AY55" s="124"/>
      <c r="AZ55" s="124"/>
      <c r="BA55" s="124"/>
      <c r="BB55" s="136"/>
    </row>
    <row r="56" customFormat="false" ht="15.6" hidden="false" customHeight="false" outlineLevel="0" collapsed="false">
      <c r="A56" s="111" t="n">
        <f aca="false">IF(ISBLANK(VLOOKUP(D56,#REF!,3)),0,1)</f>
        <v>1</v>
      </c>
      <c r="B56" s="112" t="n">
        <f aca="false">IF(ISBLANK(D56),0,IF(ISBLANK(E56),0,IF(ISBLANK(F56),0,1)))</f>
        <v>0</v>
      </c>
      <c r="C56" s="128" t="n">
        <v>22</v>
      </c>
      <c r="D56" s="151"/>
      <c r="E56" s="151"/>
      <c r="F56" s="152"/>
      <c r="G56" s="156"/>
      <c r="H56" s="151"/>
      <c r="I56" s="151"/>
      <c r="J56" s="132"/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32"/>
      <c r="Q56" s="132"/>
      <c r="R56" s="132"/>
      <c r="S56" s="132"/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24"/>
      <c r="AE56" s="124"/>
      <c r="AF56" s="124"/>
      <c r="AG56" s="124"/>
      <c r="AH56" s="124"/>
      <c r="AI56" s="124"/>
      <c r="AJ56" s="124"/>
      <c r="AK56" s="124"/>
      <c r="AL56" s="124"/>
      <c r="AM56" s="124"/>
      <c r="AN56" s="124"/>
      <c r="AO56" s="124"/>
      <c r="AP56" s="124"/>
      <c r="AQ56" s="124"/>
      <c r="AR56" s="124"/>
      <c r="AS56" s="124"/>
      <c r="AT56" s="124"/>
      <c r="AU56" s="124"/>
      <c r="AV56" s="124"/>
      <c r="AW56" s="124"/>
      <c r="AX56" s="124"/>
      <c r="AY56" s="124"/>
      <c r="AZ56" s="124"/>
      <c r="BA56" s="124"/>
      <c r="BB56" s="136"/>
    </row>
    <row r="57" customFormat="false" ht="15.6" hidden="false" customHeight="false" outlineLevel="0" collapsed="false">
      <c r="A57" s="111" t="n">
        <f aca="false">IF(ISBLANK(VLOOKUP(D57,#REF!,3)),0,1)</f>
        <v>1</v>
      </c>
      <c r="B57" s="112" t="n">
        <f aca="false">IF(ISBLANK(D57),0,IF(ISBLANK(E57),0,IF(ISBLANK(F57),0,1)))</f>
        <v>0</v>
      </c>
      <c r="C57" s="128" t="n">
        <v>23</v>
      </c>
      <c r="D57" s="151"/>
      <c r="E57" s="151"/>
      <c r="F57" s="152"/>
      <c r="G57" s="156"/>
      <c r="H57" s="151"/>
      <c r="I57" s="151"/>
      <c r="J57" s="132"/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32"/>
      <c r="Q57" s="132"/>
      <c r="R57" s="132"/>
      <c r="S57" s="132"/>
      <c r="T57" s="124"/>
      <c r="U57" s="124"/>
      <c r="V57" s="124"/>
      <c r="W57" s="124"/>
      <c r="X57" s="124"/>
      <c r="Y57" s="124"/>
      <c r="Z57" s="124"/>
      <c r="AA57" s="124"/>
      <c r="AB57" s="124"/>
      <c r="AC57" s="124"/>
      <c r="AD57" s="124"/>
      <c r="AE57" s="124"/>
      <c r="AF57" s="124"/>
      <c r="AG57" s="124"/>
      <c r="AH57" s="124"/>
      <c r="AI57" s="124"/>
      <c r="AJ57" s="124"/>
      <c r="AK57" s="124"/>
      <c r="AL57" s="124"/>
      <c r="AM57" s="124"/>
      <c r="AN57" s="124"/>
      <c r="AO57" s="124"/>
      <c r="AP57" s="124"/>
      <c r="AQ57" s="124"/>
      <c r="AR57" s="124"/>
      <c r="AS57" s="124"/>
      <c r="AT57" s="124"/>
      <c r="AU57" s="124"/>
      <c r="AV57" s="124"/>
      <c r="AW57" s="124"/>
      <c r="AX57" s="124"/>
      <c r="AY57" s="124"/>
      <c r="AZ57" s="124"/>
      <c r="BA57" s="124"/>
      <c r="BB57" s="136"/>
    </row>
    <row r="58" customFormat="false" ht="16.2" hidden="false" customHeight="false" outlineLevel="0" collapsed="false">
      <c r="A58" s="111" t="n">
        <f aca="false">IF(ISBLANK(VLOOKUP(D58,#REF!,3)),0,1)</f>
        <v>1</v>
      </c>
      <c r="B58" s="112" t="n">
        <f aca="false">IF(ISBLANK(D58),0,IF(ISBLANK(E58),0,IF(ISBLANK(F58),0,1)))</f>
        <v>0</v>
      </c>
      <c r="C58" s="158" t="n">
        <v>24</v>
      </c>
      <c r="D58" s="159"/>
      <c r="E58" s="159"/>
      <c r="F58" s="160"/>
      <c r="G58" s="161"/>
      <c r="H58" s="159"/>
      <c r="I58" s="159"/>
      <c r="J58" s="132"/>
      <c r="K58" s="163" t="str">
        <f aca="false">IF(ISBLANK(E58),"",(0.000824493-(0.0000040899*E58)+(0.000000076438*E58^2)-(0.00000000082467*E58^3)+(0.0000000000053875*E58^4)))</f>
        <v/>
      </c>
      <c r="L58" s="163" t="str">
        <f aca="false">IF(ISBLANK(E58),"",(-0.00000572466+(0.00000010227*E58)-(0.0000000016546*E58^2)))</f>
        <v/>
      </c>
      <c r="M58" s="163" t="str">
        <f aca="false">IF(ISBLANK(E58),"",IF(ISBLANK(G58),(O58+(K58*35)+(L58*35^1.5)+(0.00000048314*35^2)),(O58+(K58*G58)+(L58*G58^1.5)+(0.00000048314*G58^2))))</f>
        <v/>
      </c>
      <c r="N58" s="164" t="str">
        <f aca="false">IF(ISBLANK(D58),"",IF(ISBLANK(G58),J58*(1+0.00001*(35-20)),J58*(1+0.00001*(G58-20))))</f>
        <v/>
      </c>
      <c r="O58" s="163" t="str">
        <f aca="false">IF(ISBLANK(E58),"",(0.999842594+(0.00006793952*E58)-(0.00000909529*E58^2)+(0.0000001001685*E58^3)-(0.000000001120083*E58^4)+(0.000000000006536332*E58^5)))</f>
        <v/>
      </c>
      <c r="P58" s="132"/>
      <c r="Q58" s="132"/>
      <c r="R58" s="132"/>
      <c r="S58" s="132"/>
      <c r="T58" s="168"/>
      <c r="U58" s="168"/>
      <c r="V58" s="168"/>
      <c r="W58" s="168"/>
      <c r="X58" s="168"/>
      <c r="Y58" s="168"/>
      <c r="Z58" s="168"/>
      <c r="AA58" s="168"/>
      <c r="AB58" s="168"/>
      <c r="AC58" s="168"/>
      <c r="AD58" s="168"/>
      <c r="AE58" s="168"/>
      <c r="AF58" s="168"/>
      <c r="AG58" s="168"/>
      <c r="AH58" s="168"/>
      <c r="AI58" s="168"/>
      <c r="AJ58" s="168"/>
      <c r="AK58" s="168"/>
      <c r="AL58" s="168"/>
      <c r="AM58" s="168"/>
      <c r="AN58" s="168"/>
      <c r="AO58" s="168"/>
      <c r="AP58" s="168"/>
      <c r="AQ58" s="168"/>
      <c r="AR58" s="168"/>
      <c r="AS58" s="168"/>
      <c r="AT58" s="168"/>
      <c r="AU58" s="168"/>
      <c r="AV58" s="168"/>
      <c r="AW58" s="168"/>
      <c r="AX58" s="168"/>
      <c r="AY58" s="168"/>
      <c r="AZ58" s="168"/>
      <c r="BA58" s="168"/>
      <c r="BB58" s="169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E1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8178137651822"/>
    <col collapsed="false" hidden="false" max="32" min="32" style="0" width="9.10526315789474"/>
    <col collapsed="false" hidden="false" max="33" min="33" style="0" width="26.5668016194332"/>
    <col collapsed="false" hidden="false" max="34" min="34" style="0" width="12.8542510121458"/>
    <col collapsed="false" hidden="false" max="35" min="35" style="0" width="11.1417004048583"/>
    <col collapsed="false" hidden="false" max="36" min="36" style="0" width="14.5668016194332"/>
    <col collapsed="false" hidden="false" max="37" min="37" style="0" width="12.2105263157895"/>
    <col collapsed="false" hidden="false" max="38" min="38" style="0" width="26.995951417004"/>
    <col collapsed="false" hidden="false" max="39" min="39" style="0" width="14.6761133603239"/>
    <col collapsed="false" hidden="false" max="40" min="40" style="0" width="11.3562753036437"/>
    <col collapsed="false" hidden="false" max="41" min="41" style="0" width="12.5344129554656"/>
    <col collapsed="false" hidden="false" max="42" min="42" style="0" width="10.7125506072875"/>
    <col collapsed="false" hidden="false" max="43" min="43" style="0" width="6.31983805668016"/>
    <col collapsed="false" hidden="false" max="44" min="44" style="0" width="19.7085020242915"/>
    <col collapsed="false" hidden="false" max="45" min="45" style="0" width="13.0688259109312"/>
    <col collapsed="false" hidden="false" max="46" min="46" style="0" width="17.7813765182186"/>
    <col collapsed="false" hidden="false" max="47" min="47" style="0" width="14.6761133603239"/>
    <col collapsed="false" hidden="false" max="48" min="48" style="0" width="13.6032388663968"/>
    <col collapsed="false" hidden="false" max="49" min="49" style="0" width="13.7125506072874"/>
    <col collapsed="false" hidden="false" max="50" min="50" style="0" width="19.9230769230769"/>
    <col collapsed="false" hidden="false" max="51" min="51" style="0" width="13.2834008097166"/>
    <col collapsed="false" hidden="false" max="52" min="52" style="0" width="17.6761133603239"/>
    <col collapsed="false" hidden="false" max="53" min="53" style="0" width="13.3886639676113"/>
    <col collapsed="false" hidden="false" max="54" min="54" style="0" width="12.6396761133603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39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38728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5</v>
      </c>
      <c r="J9" s="29" t="n">
        <v>55.17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5°55,17</v>
      </c>
      <c r="P9" s="29" t="s">
        <v>13</v>
      </c>
      <c r="Q9" s="33" t="n">
        <f aca="false">IF(ISBLANK(I9),"",IF(ISBLANK(J9),"",IF(J9&gt;60,"ERREUR !!",O11*(I9+(J9/60)))))</f>
        <v>5.9195</v>
      </c>
      <c r="R9" s="33"/>
    </row>
    <row r="10" customFormat="false" ht="15" hidden="false" customHeight="true" outlineLevel="0" collapsed="false">
      <c r="C10" s="21"/>
      <c r="D10" s="18"/>
      <c r="G10" s="27" t="s">
        <v>16</v>
      </c>
      <c r="H10" s="27"/>
      <c r="I10" s="28" t="n">
        <v>2</v>
      </c>
      <c r="J10" s="29" t="n">
        <v>18.88</v>
      </c>
      <c r="K10" s="30" t="s">
        <v>12</v>
      </c>
      <c r="L10" s="31" t="str">
        <f aca="false">IF(P10=N9,"+","-")</f>
        <v>+</v>
      </c>
      <c r="M10" s="30" t="s">
        <v>15</v>
      </c>
      <c r="N10" s="30" t="s">
        <v>17</v>
      </c>
      <c r="O10" s="34" t="str">
        <f aca="false">IF(ISBLANK(I10),"",IF(ISBLANK(J10),"",IF(P10=N10,L10&amp;N12,N12)))</f>
        <v>2°18,88</v>
      </c>
      <c r="P10" s="29" t="s">
        <v>14</v>
      </c>
      <c r="Q10" s="33" t="n">
        <f aca="false">IF(ISBLANK(I10),"",IF(ISBLANK(J10),"",IF(J10&gt;60,"ERREUR !!",O12*(I10+(J10/60)))))</f>
        <v>2.31466666666667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38555</v>
      </c>
      <c r="K11" s="38"/>
      <c r="L11" s="38"/>
      <c r="M11" s="38"/>
      <c r="N11" s="39" t="str">
        <f aca="false">I9&amp;"°"&amp;J9</f>
        <v>5°55,17</v>
      </c>
      <c r="O11" s="40" t="n">
        <f aca="false">IF(P9=M10,-1,1)</f>
        <v>1</v>
      </c>
      <c r="P11" s="41" t="str">
        <f aca="false">TEXT(J11,"aaaa-mm-jj")&amp;"T"&amp;TEXT(J12,"hh:mm:ss")&amp;"z"</f>
        <v>2009-07-23T11:40:00z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0.486111111111111</v>
      </c>
      <c r="K12" s="45"/>
      <c r="L12" s="45"/>
      <c r="M12" s="45"/>
      <c r="N12" s="46" t="str">
        <f aca="false">I10&amp;"°"&amp;J10</f>
        <v>2°18,88</v>
      </c>
      <c r="O12" s="40" t="n">
        <f aca="false">IF(P10=N10,-1,1)</f>
        <v>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e">
        <f aca="false">$P$24*($P$18/#REF!)</f>
        <v>#REF!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e">
        <f aca="false">5+#REF!</f>
        <v>#REF!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e">
        <f aca="false">P20*(1+0.00001*(R14-20))</f>
        <v>#REF!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e">
        <f aca="false">MAX(#REF!)</f>
        <v>#VALUE!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e">
        <f aca="false">2+(#REF!+#REF!)</f>
        <v>#REF!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52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53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IF(ISBLANK(VLOOKUP(D35,#REF!,3)),0,1)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s">
        <v>99</v>
      </c>
      <c r="H35" s="131" t="n">
        <v>2000</v>
      </c>
      <c r="I35" s="125" t="n">
        <v>2001.21</v>
      </c>
      <c r="J35" s="120"/>
      <c r="K35" s="121"/>
      <c r="L35" s="121"/>
      <c r="M35" s="121"/>
      <c r="N35" s="122"/>
      <c r="O35" s="121"/>
      <c r="P35" s="132"/>
      <c r="Q35" s="120"/>
      <c r="R35" s="120"/>
      <c r="S35" s="120"/>
      <c r="T35" s="125" t="n">
        <v>0</v>
      </c>
      <c r="U35" s="32" t="n">
        <v>0.02</v>
      </c>
      <c r="V35" s="32"/>
      <c r="W35" s="32"/>
      <c r="X35" s="125" t="n">
        <v>21</v>
      </c>
      <c r="Y35" s="125" t="n">
        <v>20.6</v>
      </c>
      <c r="Z35" s="125" t="n">
        <v>1.5</v>
      </c>
      <c r="AA35" s="32" t="n">
        <v>1.43</v>
      </c>
      <c r="AB35" s="125" t="n">
        <v>26.3</v>
      </c>
      <c r="AC35" s="125" t="n">
        <v>25.7</v>
      </c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7"/>
    </row>
    <row r="36" customFormat="false" ht="15.6" hidden="false" customHeight="false" outlineLevel="0" collapsed="false">
      <c r="A36" s="111" t="n">
        <f aca="false">IF(ISBLANK(VLOOKUP(D36,#REF!,3)),0,1)</f>
        <v>1</v>
      </c>
      <c r="B36" s="112" t="n">
        <f aca="false">IF(ISBLANK(D36),0,IF(ISBLANK(E36),0,IF(ISBLANK(F36),0,1)))</f>
        <v>0</v>
      </c>
      <c r="C36" s="128" t="n">
        <v>2</v>
      </c>
      <c r="D36" s="129"/>
      <c r="E36" s="129"/>
      <c r="F36" s="130"/>
      <c r="G36" s="117" t="s">
        <v>99</v>
      </c>
      <c r="H36" s="131" t="n">
        <v>1000</v>
      </c>
      <c r="I36" s="125" t="n">
        <v>999.66</v>
      </c>
      <c r="J36" s="132"/>
      <c r="K36" s="133"/>
      <c r="L36" s="133"/>
      <c r="M36" s="133"/>
      <c r="N36" s="134"/>
      <c r="O36" s="133"/>
      <c r="P36" s="132"/>
      <c r="Q36" s="132"/>
      <c r="R36" s="132"/>
      <c r="S36" s="132"/>
      <c r="T36" s="125" t="n">
        <v>0</v>
      </c>
      <c r="U36" s="32" t="n">
        <v>0.01</v>
      </c>
      <c r="V36" s="32"/>
      <c r="W36" s="32"/>
      <c r="X36" s="125" t="n">
        <v>32.9</v>
      </c>
      <c r="Y36" s="125" t="n">
        <v>32.2</v>
      </c>
      <c r="Z36" s="125" t="n">
        <v>2.2</v>
      </c>
      <c r="AA36" s="32" t="n">
        <v>2.18</v>
      </c>
      <c r="AB36" s="125" t="n">
        <v>32.1</v>
      </c>
      <c r="AC36" s="125" t="n">
        <v>31.4</v>
      </c>
      <c r="AD36" s="124"/>
      <c r="AE36" s="124"/>
      <c r="AF36" s="124"/>
      <c r="AG36" s="124"/>
      <c r="AH36" s="124"/>
      <c r="AI36" s="124"/>
      <c r="AJ36" s="124"/>
      <c r="AK36" s="124"/>
      <c r="AL36" s="124"/>
      <c r="AM36" s="124"/>
      <c r="AN36" s="124"/>
      <c r="AO36" s="124"/>
      <c r="AP36" s="124"/>
      <c r="AQ36" s="124"/>
      <c r="AR36" s="124"/>
      <c r="AS36" s="124"/>
      <c r="AT36" s="124"/>
      <c r="AU36" s="124"/>
      <c r="AV36" s="124"/>
      <c r="AW36" s="124"/>
      <c r="AX36" s="124"/>
      <c r="AY36" s="124"/>
      <c r="AZ36" s="124"/>
      <c r="BA36" s="124"/>
      <c r="BB36" s="136"/>
    </row>
    <row r="37" customFormat="false" ht="15.6" hidden="false" customHeight="false" outlineLevel="0" collapsed="false">
      <c r="A37" s="111" t="n">
        <f aca="false">IF(ISBLANK(VLOOKUP(D37,#REF!,3)),0,1)</f>
        <v>1</v>
      </c>
      <c r="B37" s="112" t="n">
        <f aca="false">IF(ISBLANK(D37),0,IF(ISBLANK(E37),0,IF(ISBLANK(F37),0,1)))</f>
        <v>0</v>
      </c>
      <c r="C37" s="128" t="n">
        <v>3</v>
      </c>
      <c r="D37" s="129"/>
      <c r="E37" s="129"/>
      <c r="F37" s="137"/>
      <c r="G37" s="117" t="s">
        <v>99</v>
      </c>
      <c r="H37" s="131" t="n">
        <v>8000</v>
      </c>
      <c r="I37" s="125" t="n">
        <v>796.96</v>
      </c>
      <c r="K37" s="133"/>
      <c r="L37" s="133"/>
      <c r="M37" s="133"/>
      <c r="N37" s="134"/>
      <c r="O37" s="133"/>
      <c r="P37" s="132"/>
      <c r="Q37" s="132"/>
      <c r="R37" s="132"/>
      <c r="S37" s="132"/>
      <c r="T37" s="125" t="n">
        <v>0</v>
      </c>
      <c r="U37" s="32" t="n">
        <v>0.01</v>
      </c>
      <c r="V37" s="32"/>
      <c r="W37" s="32"/>
      <c r="X37" s="125" t="n">
        <v>35.5</v>
      </c>
      <c r="Y37" s="125" t="n">
        <v>34.7</v>
      </c>
      <c r="Z37" s="125" t="n">
        <v>2.4</v>
      </c>
      <c r="AA37" s="32" t="n">
        <v>2.31</v>
      </c>
      <c r="AB37" s="125" t="n">
        <v>31.1</v>
      </c>
      <c r="AC37" s="125" t="n">
        <v>30.4</v>
      </c>
      <c r="AD37" s="124"/>
      <c r="AE37" s="124"/>
      <c r="AF37" s="124"/>
      <c r="AG37" s="124"/>
      <c r="AH37" s="124"/>
      <c r="AI37" s="124"/>
      <c r="AJ37" s="124"/>
      <c r="AK37" s="124"/>
      <c r="AL37" s="124"/>
      <c r="AM37" s="124"/>
      <c r="AN37" s="124"/>
      <c r="AO37" s="124"/>
      <c r="AP37" s="124"/>
      <c r="AQ37" s="124"/>
      <c r="AR37" s="124"/>
      <c r="AS37" s="124"/>
      <c r="AT37" s="124"/>
      <c r="AU37" s="124"/>
      <c r="AV37" s="124"/>
      <c r="AW37" s="124"/>
      <c r="AX37" s="124"/>
      <c r="AY37" s="124"/>
      <c r="AZ37" s="124"/>
      <c r="BA37" s="124"/>
      <c r="BB37" s="136"/>
    </row>
    <row r="38" customFormat="false" ht="15.6" hidden="false" customHeight="false" outlineLevel="0" collapsed="false">
      <c r="A38" s="111" t="n">
        <f aca="false">IF(ISBLANK(VLOOKUP(D38,#REF!,3)),0,1)</f>
        <v>1</v>
      </c>
      <c r="B38" s="112" t="n">
        <f aca="false">IF(ISBLANK(D38),0,IF(ISBLANK(E38),0,IF(ISBLANK(F38),0,1)))</f>
        <v>0</v>
      </c>
      <c r="C38" s="128" t="n">
        <v>4</v>
      </c>
      <c r="D38" s="138"/>
      <c r="E38" s="138"/>
      <c r="F38" s="139"/>
      <c r="G38" s="117" t="s">
        <v>99</v>
      </c>
      <c r="H38" s="131" t="n">
        <v>650</v>
      </c>
      <c r="I38" s="125" t="n">
        <v>648.5</v>
      </c>
      <c r="J38" s="132"/>
      <c r="K38" s="133"/>
      <c r="L38" s="133"/>
      <c r="M38" s="133"/>
      <c r="N38" s="134"/>
      <c r="O38" s="133"/>
      <c r="P38" s="132"/>
      <c r="Q38" s="132"/>
      <c r="R38" s="132"/>
      <c r="S38" s="132"/>
      <c r="T38" s="125" t="n">
        <v>0</v>
      </c>
      <c r="U38" s="32" t="n">
        <v>0.01</v>
      </c>
      <c r="V38" s="32"/>
      <c r="W38" s="32"/>
      <c r="X38" s="125" t="n">
        <v>36.4</v>
      </c>
      <c r="Y38" s="125" t="n">
        <v>35.6</v>
      </c>
      <c r="Z38" s="125" t="n">
        <v>2.3</v>
      </c>
      <c r="AA38" s="32" t="n">
        <v>2.29</v>
      </c>
      <c r="AB38" s="125" t="n">
        <v>26.9</v>
      </c>
      <c r="AC38" s="125" t="n">
        <v>26.3</v>
      </c>
      <c r="AD38" s="124"/>
      <c r="AE38" s="124"/>
      <c r="AF38" s="124"/>
      <c r="AG38" s="124"/>
      <c r="AH38" s="124"/>
      <c r="AI38" s="124"/>
      <c r="AJ38" s="124"/>
      <c r="AK38" s="124"/>
      <c r="AL38" s="124"/>
      <c r="AM38" s="124"/>
      <c r="AN38" s="124"/>
      <c r="AO38" s="124"/>
      <c r="AP38" s="124"/>
      <c r="AQ38" s="124"/>
      <c r="AR38" s="124"/>
      <c r="AS38" s="124"/>
      <c r="AT38" s="124"/>
      <c r="AU38" s="124"/>
      <c r="AV38" s="124"/>
      <c r="AW38" s="124"/>
      <c r="AX38" s="124"/>
      <c r="AY38" s="124"/>
      <c r="AZ38" s="124"/>
      <c r="BA38" s="124"/>
      <c r="BB38" s="136"/>
    </row>
    <row r="39" customFormat="false" ht="15.6" hidden="false" customHeight="false" outlineLevel="0" collapsed="false">
      <c r="A39" s="111" t="n">
        <f aca="false">IF(ISBLANK(VLOOKUP(D39,#REF!,3)),0,1)</f>
        <v>1</v>
      </c>
      <c r="B39" s="112" t="n">
        <f aca="false">IF(ISBLANK(D39),0,IF(ISBLANK(E39),0,IF(ISBLANK(F39),0,1)))</f>
        <v>0</v>
      </c>
      <c r="C39" s="128" t="n">
        <v>5</v>
      </c>
      <c r="D39" s="129"/>
      <c r="E39" s="129"/>
      <c r="F39" s="137"/>
      <c r="G39" s="117" t="s">
        <v>99</v>
      </c>
      <c r="H39" s="131" t="n">
        <v>500</v>
      </c>
      <c r="I39" s="125" t="n">
        <v>500.19</v>
      </c>
      <c r="J39" s="132"/>
      <c r="K39" s="133"/>
      <c r="L39" s="133"/>
      <c r="M39" s="133"/>
      <c r="N39" s="134"/>
      <c r="O39" s="133"/>
      <c r="P39" s="132"/>
      <c r="Q39" s="132"/>
      <c r="R39" s="132"/>
      <c r="S39" s="132"/>
      <c r="T39" s="125" t="n">
        <v>0</v>
      </c>
      <c r="U39" s="32" t="n">
        <v>0.01</v>
      </c>
      <c r="V39" s="32"/>
      <c r="W39" s="32"/>
      <c r="X39" s="125" t="n">
        <v>36.2</v>
      </c>
      <c r="Y39" s="125" t="n">
        <v>35.4</v>
      </c>
      <c r="Z39" s="125" t="n">
        <v>2.3</v>
      </c>
      <c r="AA39" s="32" t="n">
        <v>2.22</v>
      </c>
      <c r="AB39" s="125" t="n">
        <v>23.1</v>
      </c>
      <c r="AC39" s="125" t="n">
        <v>22.5</v>
      </c>
      <c r="AD39" s="124"/>
      <c r="AE39" s="124"/>
      <c r="AF39" s="124"/>
      <c r="AG39" s="124"/>
      <c r="AH39" s="124"/>
      <c r="AI39" s="124"/>
      <c r="AJ39" s="124"/>
      <c r="AK39" s="124"/>
      <c r="AL39" s="124"/>
      <c r="AM39" s="124"/>
      <c r="AN39" s="124"/>
      <c r="AO39" s="124"/>
      <c r="AP39" s="124"/>
      <c r="AQ39" s="124"/>
      <c r="AR39" s="124"/>
      <c r="AS39" s="124"/>
      <c r="AT39" s="124"/>
      <c r="AU39" s="124"/>
      <c r="AV39" s="124"/>
      <c r="AW39" s="124"/>
      <c r="AX39" s="124"/>
      <c r="AY39" s="124"/>
      <c r="AZ39" s="124"/>
      <c r="BA39" s="124"/>
      <c r="BB39" s="136"/>
    </row>
    <row r="40" customFormat="false" ht="15.6" hidden="false" customHeight="false" outlineLevel="0" collapsed="false">
      <c r="A40" s="111" t="n">
        <f aca="false">IF(ISBLANK(VLOOKUP(D40,#REF!,3)),0,1)</f>
        <v>1</v>
      </c>
      <c r="B40" s="112" t="n">
        <f aca="false">IF(ISBLANK(D40),0,IF(ISBLANK(E40),0,IF(ISBLANK(F40),0,1)))</f>
        <v>0</v>
      </c>
      <c r="C40" s="128" t="n">
        <v>6</v>
      </c>
      <c r="D40" s="129"/>
      <c r="E40" s="129"/>
      <c r="F40" s="137"/>
      <c r="G40" s="117" t="s">
        <v>99</v>
      </c>
      <c r="H40" s="131" t="n">
        <v>300</v>
      </c>
      <c r="I40" s="125" t="n">
        <v>299.59</v>
      </c>
      <c r="J40" s="132"/>
      <c r="K40" s="133"/>
      <c r="L40" s="133"/>
      <c r="M40" s="133"/>
      <c r="N40" s="134"/>
      <c r="O40" s="133"/>
      <c r="P40" s="132"/>
      <c r="Q40" s="132"/>
      <c r="R40" s="132"/>
      <c r="S40" s="132"/>
      <c r="T40" s="125" t="n">
        <v>0</v>
      </c>
      <c r="U40" s="32" t="n">
        <v>0.02</v>
      </c>
      <c r="V40" s="32"/>
      <c r="W40" s="32"/>
      <c r="X40" s="125" t="n">
        <v>32.5</v>
      </c>
      <c r="Y40" s="125" t="n">
        <v>31.7</v>
      </c>
      <c r="Z40" s="125" t="n">
        <v>1.9</v>
      </c>
      <c r="AA40" s="32" t="n">
        <v>1.87</v>
      </c>
      <c r="AB40" s="125" t="n">
        <v>15.8</v>
      </c>
      <c r="AC40" s="125" t="n">
        <v>15.4</v>
      </c>
      <c r="AD40" s="124"/>
      <c r="AE40" s="124"/>
      <c r="AF40" s="124"/>
      <c r="AG40" s="124"/>
      <c r="AH40" s="124"/>
      <c r="AI40" s="124"/>
      <c r="AJ40" s="124"/>
      <c r="AK40" s="124"/>
      <c r="AL40" s="124"/>
      <c r="AM40" s="124"/>
      <c r="AN40" s="124"/>
      <c r="AO40" s="124"/>
      <c r="AP40" s="124"/>
      <c r="AQ40" s="124"/>
      <c r="AR40" s="124"/>
      <c r="AS40" s="124"/>
      <c r="AT40" s="124"/>
      <c r="AU40" s="124"/>
      <c r="AV40" s="124"/>
      <c r="AW40" s="124"/>
      <c r="AX40" s="124"/>
      <c r="AY40" s="124"/>
      <c r="AZ40" s="124"/>
      <c r="BA40" s="124"/>
      <c r="BB40" s="136"/>
    </row>
    <row r="41" customFormat="false" ht="15.6" hidden="false" customHeight="false" outlineLevel="0" collapsed="false">
      <c r="A41" s="111" t="n">
        <f aca="false">IF(ISBLANK(VLOOKUP(D41,#REF!,3)),0,1)</f>
        <v>1</v>
      </c>
      <c r="B41" s="112" t="n">
        <f aca="false">IF(ISBLANK(D41),0,IF(ISBLANK(E41),0,IF(ISBLANK(F41),0,1)))</f>
        <v>0</v>
      </c>
      <c r="C41" s="128" t="n">
        <v>7</v>
      </c>
      <c r="D41" s="129"/>
      <c r="E41" s="129"/>
      <c r="F41" s="137"/>
      <c r="G41" s="117" t="s">
        <v>99</v>
      </c>
      <c r="H41" s="131" t="n">
        <v>200</v>
      </c>
      <c r="I41" s="125" t="n">
        <v>198.67</v>
      </c>
      <c r="J41" s="132"/>
      <c r="K41" s="133"/>
      <c r="L41" s="133"/>
      <c r="M41" s="133"/>
      <c r="N41" s="134"/>
      <c r="O41" s="133"/>
      <c r="P41" s="132"/>
      <c r="Q41" s="132"/>
      <c r="R41" s="132"/>
      <c r="S41" s="132"/>
      <c r="T41" s="125" t="n">
        <v>0</v>
      </c>
      <c r="U41" s="32" t="n">
        <v>0.02</v>
      </c>
      <c r="V41" s="32"/>
      <c r="W41" s="32"/>
      <c r="X41" s="125" t="n">
        <v>26.2</v>
      </c>
      <c r="Y41" s="125" t="n">
        <v>25.6</v>
      </c>
      <c r="Z41" s="125" t="n">
        <v>1.6</v>
      </c>
      <c r="AA41" s="32" t="n">
        <v>1.54</v>
      </c>
      <c r="AB41" s="125" t="n">
        <v>11.7</v>
      </c>
      <c r="AC41" s="125" t="n">
        <v>11.4</v>
      </c>
      <c r="AD41" s="124"/>
      <c r="AE41" s="124"/>
      <c r="AF41" s="124"/>
      <c r="AG41" s="124"/>
      <c r="AH41" s="124"/>
      <c r="AI41" s="124"/>
      <c r="AJ41" s="124"/>
      <c r="AK41" s="124"/>
      <c r="AL41" s="124"/>
      <c r="AM41" s="124"/>
      <c r="AN41" s="124"/>
      <c r="AO41" s="124"/>
      <c r="AP41" s="124"/>
      <c r="AQ41" s="124"/>
      <c r="AR41" s="124"/>
      <c r="AS41" s="124"/>
      <c r="AT41" s="124"/>
      <c r="AU41" s="124"/>
      <c r="AV41" s="124"/>
      <c r="AW41" s="124"/>
      <c r="AX41" s="124"/>
      <c r="AY41" s="124"/>
      <c r="AZ41" s="124"/>
      <c r="BA41" s="124"/>
      <c r="BB41" s="136"/>
    </row>
    <row r="42" customFormat="false" ht="15.6" hidden="false" customHeight="false" outlineLevel="0" collapsed="false">
      <c r="A42" s="111" t="n">
        <f aca="false">IF(ISBLANK(VLOOKUP(D42,#REF!,3)),0,1)</f>
        <v>1</v>
      </c>
      <c r="B42" s="112" t="n">
        <f aca="false">IF(ISBLANK(D42),0,IF(ISBLANK(E42),0,IF(ISBLANK(F42),0,1)))</f>
        <v>0</v>
      </c>
      <c r="C42" s="128" t="n">
        <v>8</v>
      </c>
      <c r="D42" s="129"/>
      <c r="E42" s="129"/>
      <c r="F42" s="137"/>
      <c r="G42" s="117" t="s">
        <v>99</v>
      </c>
      <c r="H42" s="131" t="n">
        <v>100</v>
      </c>
      <c r="I42" s="125" t="n">
        <v>100.34</v>
      </c>
      <c r="J42" s="132"/>
      <c r="K42" s="133"/>
      <c r="L42" s="133"/>
      <c r="M42" s="133"/>
      <c r="N42" s="134"/>
      <c r="O42" s="133"/>
      <c r="P42" s="132"/>
      <c r="Q42" s="132"/>
      <c r="R42" s="132"/>
      <c r="T42" s="125" t="n">
        <v>0</v>
      </c>
      <c r="U42" s="32" t="n">
        <v>0.03</v>
      </c>
      <c r="V42" s="32"/>
      <c r="W42" s="32"/>
      <c r="X42" s="125" t="n">
        <v>16.9</v>
      </c>
      <c r="Y42" s="125" t="n">
        <v>16.5</v>
      </c>
      <c r="Z42" s="125" t="n">
        <v>1.1</v>
      </c>
      <c r="AA42" s="32" t="n">
        <v>1.05</v>
      </c>
      <c r="AB42" s="125" t="n">
        <v>6.8</v>
      </c>
      <c r="AC42" s="125" t="n">
        <v>6.7</v>
      </c>
      <c r="AD42" s="124"/>
      <c r="AE42" s="124"/>
      <c r="AF42" s="124"/>
      <c r="AG42" s="124"/>
      <c r="AH42" s="124"/>
      <c r="AI42" s="124"/>
      <c r="AJ42" s="124"/>
      <c r="AK42" s="124"/>
      <c r="AL42" s="124"/>
      <c r="AM42" s="124"/>
      <c r="AN42" s="124"/>
      <c r="AO42" s="124"/>
      <c r="AP42" s="124"/>
      <c r="AQ42" s="124"/>
      <c r="AR42" s="124"/>
      <c r="AS42" s="124"/>
      <c r="AT42" s="124"/>
      <c r="AU42" s="124"/>
      <c r="AV42" s="124"/>
      <c r="AW42" s="124"/>
      <c r="AX42" s="124"/>
      <c r="AY42" s="124"/>
      <c r="AZ42" s="124"/>
      <c r="BA42" s="124"/>
      <c r="BB42" s="136"/>
    </row>
    <row r="43" customFormat="false" ht="15.6" hidden="false" customHeight="false" outlineLevel="0" collapsed="false">
      <c r="A43" s="111" t="n">
        <f aca="false">IF(ISBLANK(VLOOKUP(D43,#REF!,3)),0,1)</f>
        <v>1</v>
      </c>
      <c r="B43" s="112" t="n">
        <f aca="false">IF(ISBLANK(D43),0,IF(ISBLANK(E43),0,IF(ISBLANK(F43),0,1)))</f>
        <v>0</v>
      </c>
      <c r="C43" s="128" t="n">
        <v>9</v>
      </c>
      <c r="D43" s="129"/>
      <c r="E43" s="129"/>
      <c r="F43" s="137"/>
      <c r="G43" s="117" t="s">
        <v>99</v>
      </c>
      <c r="H43" s="131" t="n">
        <v>80</v>
      </c>
      <c r="I43" s="125" t="n">
        <v>80.79</v>
      </c>
      <c r="J43" s="132"/>
      <c r="K43" s="133"/>
      <c r="L43" s="133"/>
      <c r="M43" s="133"/>
      <c r="N43" s="134"/>
      <c r="O43" s="133"/>
      <c r="P43" s="132"/>
      <c r="Q43" s="132"/>
      <c r="R43" s="132"/>
      <c r="S43" s="132"/>
      <c r="T43" s="125" t="n">
        <v>0</v>
      </c>
      <c r="U43" s="32" t="n">
        <v>0.04</v>
      </c>
      <c r="V43" s="32"/>
      <c r="W43" s="32"/>
      <c r="X43" s="125" t="n">
        <v>16.2</v>
      </c>
      <c r="Y43" s="125" t="n">
        <v>15.9</v>
      </c>
      <c r="Z43" s="125" t="n">
        <v>1</v>
      </c>
      <c r="AA43" s="32" t="n">
        <v>0.99</v>
      </c>
      <c r="AB43" s="125" t="n">
        <v>6.5</v>
      </c>
      <c r="AC43" s="125" t="n">
        <v>6.3</v>
      </c>
      <c r="AD43" s="124"/>
      <c r="AE43" s="124"/>
      <c r="AF43" s="124"/>
      <c r="AG43" s="124"/>
      <c r="AH43" s="124"/>
      <c r="AI43" s="124"/>
      <c r="AJ43" s="124"/>
      <c r="AK43" s="124"/>
      <c r="AL43" s="124"/>
      <c r="AM43" s="124"/>
      <c r="AN43" s="124"/>
      <c r="AO43" s="124"/>
      <c r="AP43" s="124"/>
      <c r="AQ43" s="124"/>
      <c r="AR43" s="124"/>
      <c r="AS43" s="124"/>
      <c r="AT43" s="124"/>
      <c r="AU43" s="124"/>
      <c r="AV43" s="124"/>
      <c r="AW43" s="124"/>
      <c r="AX43" s="124"/>
      <c r="AY43" s="124"/>
      <c r="AZ43" s="124"/>
      <c r="BA43" s="124"/>
      <c r="BB43" s="136"/>
    </row>
    <row r="44" customFormat="false" ht="15.6" hidden="false" customHeight="false" outlineLevel="0" collapsed="false">
      <c r="A44" s="111" t="n">
        <f aca="false">IF(ISBLANK(VLOOKUP(D44,#REF!,3)),0,1)</f>
        <v>1</v>
      </c>
      <c r="B44" s="112" t="n">
        <f aca="false">IF(ISBLANK(D44),0,IF(ISBLANK(E44),0,IF(ISBLANK(F44),0,1)))</f>
        <v>0</v>
      </c>
      <c r="C44" s="128" t="n">
        <v>10</v>
      </c>
      <c r="D44" s="129"/>
      <c r="E44" s="129"/>
      <c r="F44" s="137"/>
      <c r="G44" s="117" t="s">
        <v>99</v>
      </c>
      <c r="H44" s="131" t="n">
        <v>50</v>
      </c>
      <c r="I44" s="125" t="n">
        <v>49.94</v>
      </c>
      <c r="J44" s="132"/>
      <c r="K44" s="133"/>
      <c r="L44" s="133"/>
      <c r="M44" s="133"/>
      <c r="N44" s="134"/>
      <c r="O44" s="133"/>
      <c r="P44" s="132"/>
      <c r="Q44" s="132"/>
      <c r="R44" s="132"/>
      <c r="S44" s="132"/>
      <c r="T44" s="125" t="n">
        <v>0.2</v>
      </c>
      <c r="U44" s="32" t="n">
        <v>0.2</v>
      </c>
      <c r="V44" s="32"/>
      <c r="W44" s="32"/>
      <c r="X44" s="125" t="n">
        <v>3.1</v>
      </c>
      <c r="Y44" s="125" t="n">
        <v>3</v>
      </c>
      <c r="Z44" s="125" t="n">
        <v>0.4</v>
      </c>
      <c r="AA44" s="32" t="n">
        <v>0.44</v>
      </c>
      <c r="AB44" s="125" t="n">
        <v>3.8</v>
      </c>
      <c r="AC44" s="125" t="n">
        <v>3.7</v>
      </c>
      <c r="AD44" s="124"/>
      <c r="AE44" s="124"/>
      <c r="AF44" s="124"/>
      <c r="AG44" s="124"/>
      <c r="AH44" s="124"/>
      <c r="AI44" s="124"/>
      <c r="AJ44" s="124"/>
      <c r="AK44" s="124"/>
      <c r="AL44" s="124"/>
      <c r="AM44" s="124"/>
      <c r="AN44" s="124"/>
      <c r="AO44" s="124"/>
      <c r="AP44" s="124"/>
      <c r="AQ44" s="124"/>
      <c r="AR44" s="124"/>
      <c r="AS44" s="124"/>
      <c r="AT44" s="124"/>
      <c r="AU44" s="124"/>
      <c r="AV44" s="124"/>
      <c r="AW44" s="124"/>
      <c r="AX44" s="124"/>
      <c r="AY44" s="124"/>
      <c r="AZ44" s="124"/>
      <c r="BA44" s="124"/>
      <c r="BB44" s="136"/>
    </row>
    <row r="45" customFormat="false" ht="15.6" hidden="false" customHeight="false" outlineLevel="0" collapsed="false">
      <c r="A45" s="111" t="n">
        <f aca="false">IF(ISBLANK(VLOOKUP(D45,#REF!,3)),0,1)</f>
        <v>1</v>
      </c>
      <c r="B45" s="112" t="n">
        <f aca="false">IF(ISBLANK(D45),0,IF(ISBLANK(E45),0,IF(ISBLANK(F45),0,1)))</f>
        <v>0</v>
      </c>
      <c r="C45" s="128" t="n">
        <v>11</v>
      </c>
      <c r="D45" s="129"/>
      <c r="E45" s="129"/>
      <c r="F45" s="137"/>
      <c r="G45" s="117" t="s">
        <v>99</v>
      </c>
      <c r="H45" s="131" t="n">
        <v>20</v>
      </c>
      <c r="I45" s="125" t="n">
        <v>20.32</v>
      </c>
      <c r="J45" s="132"/>
      <c r="K45" s="133"/>
      <c r="L45" s="133"/>
      <c r="M45" s="133"/>
      <c r="N45" s="134"/>
      <c r="O45" s="133"/>
      <c r="P45" s="132"/>
      <c r="Q45" s="132"/>
      <c r="R45" s="132"/>
      <c r="S45" s="132"/>
      <c r="T45" s="125" t="n">
        <v>0</v>
      </c>
      <c r="U45" s="32" t="n">
        <v>0.02</v>
      </c>
      <c r="V45" s="32"/>
      <c r="W45" s="32"/>
      <c r="X45" s="125" t="n">
        <v>0</v>
      </c>
      <c r="Y45" s="125" t="n">
        <v>0</v>
      </c>
      <c r="Z45" s="125" t="n">
        <v>0</v>
      </c>
      <c r="AA45" s="32" t="n">
        <v>0.03</v>
      </c>
      <c r="AB45" s="125" t="n">
        <v>2.2</v>
      </c>
      <c r="AC45" s="125" t="n">
        <v>2.2</v>
      </c>
      <c r="AD45" s="124"/>
      <c r="AE45" s="124"/>
      <c r="AF45" s="124"/>
      <c r="AG45" s="124"/>
      <c r="AH45" s="124"/>
      <c r="AI45" s="124"/>
      <c r="AJ45" s="124"/>
      <c r="AK45" s="124"/>
      <c r="AL45" s="124"/>
      <c r="AM45" s="124"/>
      <c r="AN45" s="124"/>
      <c r="AO45" s="124"/>
      <c r="AP45" s="124"/>
      <c r="AQ45" s="124"/>
      <c r="AR45" s="124"/>
      <c r="AS45" s="124"/>
      <c r="AT45" s="124"/>
      <c r="AU45" s="124"/>
      <c r="AV45" s="124"/>
      <c r="AW45" s="124"/>
      <c r="AX45" s="124"/>
      <c r="AY45" s="124"/>
      <c r="AZ45" s="124"/>
      <c r="BA45" s="124"/>
      <c r="BB45" s="136"/>
    </row>
    <row r="46" customFormat="false" ht="15.6" hidden="false" customHeight="false" outlineLevel="0" collapsed="false">
      <c r="A46" s="111" t="n">
        <f aca="false">IF(ISBLANK(VLOOKUP(D46,#REF!,3)),0,1)</f>
        <v>1</v>
      </c>
      <c r="B46" s="112" t="n">
        <f aca="false">IF(ISBLANK(D46),0,IF(ISBLANK(E46),0,IF(ISBLANK(F46),0,1)))</f>
        <v>0</v>
      </c>
      <c r="C46" s="128" t="n">
        <v>12</v>
      </c>
      <c r="D46" s="142"/>
      <c r="E46" s="142"/>
      <c r="F46" s="143"/>
      <c r="G46" s="117" t="s">
        <v>99</v>
      </c>
      <c r="H46" s="131" t="n">
        <v>0</v>
      </c>
      <c r="I46" s="125" t="n">
        <v>2.17</v>
      </c>
      <c r="J46" s="132"/>
      <c r="K46" s="146" t="str">
        <f aca="false">IF(ISBLANK(E46),"",(0.000824493-(0.0000040899*E46)+(0.000000076438*E46^2)-(0.00000000082467*E46^3)+(0.0000000000053875*E46^4)))</f>
        <v/>
      </c>
      <c r="L46" s="146" t="str">
        <f aca="false">IF(ISBLANK(E46),"",(-0.00000572466+(0.00000010227*E46)-(0.0000000016546*E46^2)))</f>
        <v/>
      </c>
      <c r="M46" s="146" t="str">
        <f aca="false">IF(ISBLANK(E46),"",IF(ISBLANK(G46),(O46+(K46*35)+(L46*35^1.5)+(0.00000048314*35^2)),(O46+(K46*G46)+(L46*G46^1.5)+(0.00000048314*G46^2))))</f>
        <v/>
      </c>
      <c r="N46" s="147" t="str">
        <f aca="false">IF(ISBLANK(D46),"",IF(ISBLANK(G46),J46*(1+0.00001*(35-20)),J46*(1+0.00001*(G46-20))))</f>
        <v/>
      </c>
      <c r="O46" s="146" t="str">
        <f aca="false">IF(ISBLANK(E46),"",(0.999842594+(0.00006793952*E46)-(0.00000909529*E46^2)+(0.0000001001685*E46^3)-(0.000000001120083*E46^4)+(0.000000000006536332*E46^5)))</f>
        <v/>
      </c>
      <c r="P46" s="132"/>
      <c r="Q46" s="132"/>
      <c r="R46" s="132"/>
      <c r="S46" s="132"/>
      <c r="T46" s="125" t="n">
        <v>0</v>
      </c>
      <c r="U46" s="32" t="n">
        <v>0.01</v>
      </c>
      <c r="V46" s="32"/>
      <c r="W46" s="32"/>
      <c r="X46" s="125" t="n">
        <v>0</v>
      </c>
      <c r="Y46" s="125" t="n">
        <v>0</v>
      </c>
      <c r="Z46" s="125" t="n">
        <v>0</v>
      </c>
      <c r="AA46" s="32" t="n">
        <v>0.03</v>
      </c>
      <c r="AB46" s="125" t="n">
        <v>2.1</v>
      </c>
      <c r="AC46" s="125" t="n">
        <v>2</v>
      </c>
      <c r="AD46" s="124"/>
      <c r="AE46" s="124"/>
      <c r="AF46" s="124"/>
      <c r="AG46" s="124"/>
      <c r="AH46" s="124"/>
      <c r="AI46" s="124"/>
      <c r="AJ46" s="124"/>
      <c r="AK46" s="124"/>
      <c r="AL46" s="124"/>
      <c r="AM46" s="124"/>
      <c r="AN46" s="124"/>
      <c r="AO46" s="124"/>
      <c r="AP46" s="124"/>
      <c r="AQ46" s="124"/>
      <c r="AR46" s="124"/>
      <c r="AS46" s="124"/>
      <c r="AT46" s="124"/>
      <c r="AU46" s="124"/>
      <c r="AV46" s="124"/>
      <c r="AW46" s="124"/>
      <c r="AX46" s="124"/>
      <c r="AY46" s="124"/>
      <c r="AZ46" s="124"/>
      <c r="BA46" s="124"/>
      <c r="BB46" s="136"/>
    </row>
    <row r="47" customFormat="false" ht="15.6" hidden="false" customHeight="false" outlineLevel="0" collapsed="false">
      <c r="A47" s="111" t="n">
        <f aca="false">IF(ISBLANK(VLOOKUP(D47,#REF!,3)),0,1)</f>
        <v>1</v>
      </c>
      <c r="B47" s="112" t="n">
        <f aca="false">IF(ISBLANK(D47),0,IF(ISBLANK(E47),0,IF(ISBLANK(F47),0,1)))</f>
        <v>0</v>
      </c>
      <c r="C47" s="128" t="n">
        <v>13</v>
      </c>
      <c r="D47" s="151"/>
      <c r="E47" s="151"/>
      <c r="F47" s="152"/>
      <c r="G47" s="153"/>
      <c r="H47" s="151"/>
      <c r="I47" s="151"/>
      <c r="J47" s="132"/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32"/>
      <c r="Q47" s="132"/>
      <c r="R47" s="132"/>
      <c r="S47" s="132"/>
      <c r="T47" s="124"/>
      <c r="U47" s="124"/>
      <c r="V47" s="124"/>
      <c r="W47" s="124"/>
      <c r="X47" s="12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24"/>
      <c r="AJ47" s="124"/>
      <c r="AK47" s="124"/>
      <c r="AL47" s="124"/>
      <c r="AM47" s="124"/>
      <c r="AN47" s="124"/>
      <c r="AO47" s="124"/>
      <c r="AP47" s="124"/>
      <c r="AQ47" s="124"/>
      <c r="AR47" s="124"/>
      <c r="AS47" s="124"/>
      <c r="AT47" s="124"/>
      <c r="AU47" s="124"/>
      <c r="AV47" s="124"/>
      <c r="AW47" s="124"/>
      <c r="AX47" s="124"/>
      <c r="AY47" s="124"/>
      <c r="AZ47" s="124"/>
      <c r="BA47" s="124"/>
      <c r="BB47" s="136"/>
    </row>
    <row r="48" customFormat="false" ht="15.6" hidden="false" customHeight="false" outlineLevel="0" collapsed="false">
      <c r="A48" s="111" t="n">
        <f aca="false">IF(ISBLANK(VLOOKUP(D48,#REF!,3)),0,1)</f>
        <v>1</v>
      </c>
      <c r="B48" s="112" t="n">
        <f aca="false">IF(ISBLANK(D48),0,IF(ISBLANK(E48),0,IF(ISBLANK(F48),0,1)))</f>
        <v>0</v>
      </c>
      <c r="C48" s="128" t="n">
        <v>14</v>
      </c>
      <c r="D48" s="151"/>
      <c r="E48" s="151"/>
      <c r="F48" s="152"/>
      <c r="G48" s="153"/>
      <c r="H48" s="151"/>
      <c r="I48" s="151"/>
      <c r="J48" s="132"/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32"/>
      <c r="Q48" s="132"/>
      <c r="R48" s="132"/>
      <c r="S48" s="132"/>
      <c r="T48" s="124"/>
      <c r="U48" s="124"/>
      <c r="V48" s="124"/>
      <c r="W48" s="124"/>
      <c r="X48" s="124"/>
      <c r="Y48" s="124"/>
      <c r="Z48" s="124"/>
      <c r="AA48" s="124"/>
      <c r="AB48" s="124"/>
      <c r="AC48" s="124"/>
      <c r="AD48" s="124"/>
      <c r="AE48" s="124"/>
      <c r="AF48" s="124"/>
      <c r="AG48" s="124"/>
      <c r="AH48" s="124"/>
      <c r="AI48" s="124"/>
      <c r="AJ48" s="124"/>
      <c r="AK48" s="124"/>
      <c r="AL48" s="124"/>
      <c r="AM48" s="124"/>
      <c r="AN48" s="124"/>
      <c r="AO48" s="124"/>
      <c r="AP48" s="124"/>
      <c r="AQ48" s="124"/>
      <c r="AR48" s="124"/>
      <c r="AS48" s="124"/>
      <c r="AT48" s="124"/>
      <c r="AU48" s="124"/>
      <c r="AV48" s="124"/>
      <c r="AW48" s="124"/>
      <c r="AX48" s="124"/>
      <c r="AY48" s="124"/>
      <c r="AZ48" s="124"/>
      <c r="BA48" s="124"/>
      <c r="BB48" s="136"/>
    </row>
    <row r="49" customFormat="false" ht="15.6" hidden="false" customHeight="false" outlineLevel="0" collapsed="false">
      <c r="A49" s="111" t="n">
        <f aca="false">IF(ISBLANK(VLOOKUP(D49,#REF!,3)),0,1)</f>
        <v>1</v>
      </c>
      <c r="B49" s="112" t="n">
        <f aca="false">IF(ISBLANK(D49),0,IF(ISBLANK(E49),0,IF(ISBLANK(F49),0,1)))</f>
        <v>0</v>
      </c>
      <c r="C49" s="128" t="n">
        <v>15</v>
      </c>
      <c r="D49" s="151"/>
      <c r="E49" s="151"/>
      <c r="F49" s="152"/>
      <c r="G49" s="156"/>
      <c r="H49" s="151"/>
      <c r="I49" s="151"/>
      <c r="J49" s="132"/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32"/>
      <c r="Q49" s="132"/>
      <c r="R49" s="132"/>
      <c r="S49" s="132"/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24"/>
      <c r="AE49" s="124"/>
      <c r="AF49" s="124"/>
      <c r="AG49" s="124"/>
      <c r="AH49" s="124"/>
      <c r="AI49" s="124"/>
      <c r="AJ49" s="124"/>
      <c r="AK49" s="124"/>
      <c r="AL49" s="124"/>
      <c r="AM49" s="124"/>
      <c r="AN49" s="124"/>
      <c r="AO49" s="124"/>
      <c r="AP49" s="124"/>
      <c r="AQ49" s="124"/>
      <c r="AR49" s="124"/>
      <c r="AS49" s="124"/>
      <c r="AT49" s="124"/>
      <c r="AU49" s="124"/>
      <c r="AV49" s="124"/>
      <c r="AW49" s="124"/>
      <c r="AX49" s="124"/>
      <c r="AY49" s="124"/>
      <c r="AZ49" s="124"/>
      <c r="BA49" s="124"/>
      <c r="BB49" s="136"/>
    </row>
    <row r="50" customFormat="false" ht="15.6" hidden="false" customHeight="false" outlineLevel="0" collapsed="false">
      <c r="A50" s="111" t="n">
        <f aca="false">IF(ISBLANK(VLOOKUP(D50,#REF!,3)),0,1)</f>
        <v>1</v>
      </c>
      <c r="B50" s="112" t="n">
        <f aca="false">IF(ISBLANK(D50),0,IF(ISBLANK(E50),0,IF(ISBLANK(F50),0,1)))</f>
        <v>0</v>
      </c>
      <c r="C50" s="128" t="n">
        <v>16</v>
      </c>
      <c r="D50" s="151"/>
      <c r="E50" s="151"/>
      <c r="F50" s="152"/>
      <c r="G50" s="156"/>
      <c r="H50" s="151"/>
      <c r="I50" s="151"/>
      <c r="J50" s="132"/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32"/>
      <c r="Q50" s="132"/>
      <c r="R50" s="132"/>
      <c r="S50" s="132"/>
      <c r="T50" s="124"/>
      <c r="U50" s="124"/>
      <c r="V50" s="124"/>
      <c r="W50" s="124"/>
      <c r="X50" s="124"/>
      <c r="Y50" s="124"/>
      <c r="Z50" s="124"/>
      <c r="AA50" s="124"/>
      <c r="AB50" s="124"/>
      <c r="AC50" s="124"/>
      <c r="AD50" s="124"/>
      <c r="AE50" s="124"/>
      <c r="AF50" s="124"/>
      <c r="AG50" s="124"/>
      <c r="AH50" s="124"/>
      <c r="AI50" s="124"/>
      <c r="AJ50" s="124"/>
      <c r="AK50" s="124"/>
      <c r="AL50" s="124"/>
      <c r="AM50" s="124"/>
      <c r="AN50" s="124"/>
      <c r="AO50" s="124"/>
      <c r="AP50" s="124"/>
      <c r="AQ50" s="124"/>
      <c r="AR50" s="124"/>
      <c r="AS50" s="124"/>
      <c r="AT50" s="124"/>
      <c r="AU50" s="124"/>
      <c r="AV50" s="124"/>
      <c r="AW50" s="124"/>
      <c r="AX50" s="124"/>
      <c r="AY50" s="124"/>
      <c r="AZ50" s="124"/>
      <c r="BA50" s="124"/>
      <c r="BB50" s="136"/>
    </row>
    <row r="51" customFormat="false" ht="15.6" hidden="false" customHeight="false" outlineLevel="0" collapsed="false">
      <c r="A51" s="111" t="n">
        <f aca="false">IF(ISBLANK(VLOOKUP(D51,#REF!,3)),0,1)</f>
        <v>1</v>
      </c>
      <c r="B51" s="112" t="n">
        <f aca="false">IF(ISBLANK(D51),0,IF(ISBLANK(E51),0,IF(ISBLANK(F51),0,1)))</f>
        <v>0</v>
      </c>
      <c r="C51" s="128" t="n">
        <v>17</v>
      </c>
      <c r="D51" s="151"/>
      <c r="E51" s="151"/>
      <c r="F51" s="152"/>
      <c r="G51" s="156"/>
      <c r="H51" s="151"/>
      <c r="I51" s="151"/>
      <c r="J51" s="132"/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32"/>
      <c r="Q51" s="132"/>
      <c r="R51" s="132"/>
      <c r="S51" s="132"/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24"/>
      <c r="AE51" s="124"/>
      <c r="AF51" s="124"/>
      <c r="AG51" s="124"/>
      <c r="AH51" s="124"/>
      <c r="AI51" s="124"/>
      <c r="AJ51" s="124"/>
      <c r="AK51" s="124"/>
      <c r="AL51" s="124"/>
      <c r="AM51" s="124"/>
      <c r="AN51" s="124"/>
      <c r="AO51" s="124"/>
      <c r="AP51" s="124"/>
      <c r="AQ51" s="124"/>
      <c r="AR51" s="124"/>
      <c r="AS51" s="124"/>
      <c r="AT51" s="124"/>
      <c r="AU51" s="124"/>
      <c r="AV51" s="124"/>
      <c r="AW51" s="124"/>
      <c r="AX51" s="124"/>
      <c r="AY51" s="124"/>
      <c r="AZ51" s="124"/>
      <c r="BA51" s="124"/>
      <c r="BB51" s="136"/>
    </row>
    <row r="52" customFormat="false" ht="15.6" hidden="false" customHeight="false" outlineLevel="0" collapsed="false">
      <c r="A52" s="111" t="n">
        <f aca="false">IF(ISBLANK(VLOOKUP(D52,#REF!,3)),0,1)</f>
        <v>1</v>
      </c>
      <c r="B52" s="112" t="n">
        <f aca="false">IF(ISBLANK(D52),0,IF(ISBLANK(E52),0,IF(ISBLANK(F52),0,1)))</f>
        <v>0</v>
      </c>
      <c r="C52" s="128" t="n">
        <v>18</v>
      </c>
      <c r="D52" s="151"/>
      <c r="E52" s="151"/>
      <c r="F52" s="152"/>
      <c r="G52" s="156"/>
      <c r="H52" s="151"/>
      <c r="I52" s="151"/>
      <c r="J52" s="132"/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32"/>
      <c r="Q52" s="132"/>
      <c r="R52" s="132"/>
      <c r="S52" s="132"/>
      <c r="T52" s="124"/>
      <c r="U52" s="124"/>
      <c r="V52" s="124"/>
      <c r="W52" s="124"/>
      <c r="X52" s="124"/>
      <c r="Y52" s="124"/>
      <c r="Z52" s="124"/>
      <c r="AA52" s="124"/>
      <c r="AB52" s="124"/>
      <c r="AC52" s="124"/>
      <c r="AD52" s="124"/>
      <c r="AE52" s="124"/>
      <c r="AF52" s="124"/>
      <c r="AG52" s="124"/>
      <c r="AH52" s="124"/>
      <c r="AI52" s="124"/>
      <c r="AJ52" s="124"/>
      <c r="AK52" s="124"/>
      <c r="AL52" s="124"/>
      <c r="AM52" s="124"/>
      <c r="AN52" s="124"/>
      <c r="AO52" s="124"/>
      <c r="AP52" s="124"/>
      <c r="AQ52" s="124"/>
      <c r="AR52" s="124"/>
      <c r="AS52" s="124"/>
      <c r="AT52" s="124"/>
      <c r="AU52" s="124"/>
      <c r="AV52" s="124"/>
      <c r="AW52" s="124"/>
      <c r="AX52" s="124"/>
      <c r="AY52" s="124"/>
      <c r="AZ52" s="124"/>
      <c r="BA52" s="124"/>
      <c r="BB52" s="136"/>
    </row>
    <row r="53" customFormat="false" ht="15.6" hidden="false" customHeight="false" outlineLevel="0" collapsed="false">
      <c r="A53" s="111" t="n">
        <f aca="false">IF(ISBLANK(VLOOKUP(D53,#REF!,3)),0,1)</f>
        <v>1</v>
      </c>
      <c r="B53" s="112" t="n">
        <f aca="false">IF(ISBLANK(D53),0,IF(ISBLANK(E53),0,IF(ISBLANK(F53),0,1)))</f>
        <v>0</v>
      </c>
      <c r="C53" s="128" t="n">
        <v>19</v>
      </c>
      <c r="D53" s="151"/>
      <c r="E53" s="151"/>
      <c r="F53" s="152"/>
      <c r="G53" s="156"/>
      <c r="H53" s="151"/>
      <c r="I53" s="151"/>
      <c r="J53" s="132"/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32"/>
      <c r="Q53" s="132"/>
      <c r="R53" s="132"/>
      <c r="S53" s="132"/>
      <c r="T53" s="124"/>
      <c r="U53" s="124"/>
      <c r="V53" s="124"/>
      <c r="W53" s="124"/>
      <c r="X53" s="12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24"/>
      <c r="AJ53" s="124"/>
      <c r="AK53" s="124"/>
      <c r="AL53" s="124"/>
      <c r="AM53" s="124"/>
      <c r="AN53" s="124"/>
      <c r="AO53" s="124"/>
      <c r="AP53" s="124"/>
      <c r="AQ53" s="124"/>
      <c r="AR53" s="124"/>
      <c r="AS53" s="124"/>
      <c r="AT53" s="124"/>
      <c r="AU53" s="124"/>
      <c r="AV53" s="124"/>
      <c r="AW53" s="124"/>
      <c r="AX53" s="124"/>
      <c r="AY53" s="124"/>
      <c r="AZ53" s="124"/>
      <c r="BA53" s="124"/>
      <c r="BB53" s="136"/>
    </row>
    <row r="54" customFormat="false" ht="15.6" hidden="false" customHeight="false" outlineLevel="0" collapsed="false">
      <c r="A54" s="111" t="n">
        <f aca="false">IF(ISBLANK(VLOOKUP(D54,#REF!,3)),0,1)</f>
        <v>1</v>
      </c>
      <c r="B54" s="112" t="n">
        <f aca="false">IF(ISBLANK(D54),0,IF(ISBLANK(E54),0,IF(ISBLANK(F54),0,1)))</f>
        <v>0</v>
      </c>
      <c r="C54" s="128" t="n">
        <v>20</v>
      </c>
      <c r="D54" s="151"/>
      <c r="E54" s="151"/>
      <c r="F54" s="152"/>
      <c r="G54" s="156"/>
      <c r="H54" s="151"/>
      <c r="I54" s="151"/>
      <c r="J54" s="132"/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32"/>
      <c r="Q54" s="132"/>
      <c r="R54" s="132"/>
      <c r="S54" s="132"/>
      <c r="T54" s="124"/>
      <c r="U54" s="124"/>
      <c r="V54" s="124"/>
      <c r="W54" s="124"/>
      <c r="X54" s="124"/>
      <c r="Y54" s="124"/>
      <c r="Z54" s="124"/>
      <c r="AA54" s="124"/>
      <c r="AB54" s="124"/>
      <c r="AC54" s="124"/>
      <c r="AD54" s="124"/>
      <c r="AE54" s="124"/>
      <c r="AF54" s="124"/>
      <c r="AG54" s="124"/>
      <c r="AH54" s="124"/>
      <c r="AI54" s="124"/>
      <c r="AJ54" s="124"/>
      <c r="AK54" s="124"/>
      <c r="AL54" s="124"/>
      <c r="AM54" s="124"/>
      <c r="AN54" s="124"/>
      <c r="AO54" s="124"/>
      <c r="AP54" s="124"/>
      <c r="AQ54" s="124"/>
      <c r="AR54" s="124"/>
      <c r="AS54" s="124"/>
      <c r="AT54" s="124"/>
      <c r="AU54" s="124"/>
      <c r="AV54" s="124"/>
      <c r="AW54" s="124"/>
      <c r="AX54" s="124"/>
      <c r="AY54" s="124"/>
      <c r="AZ54" s="124"/>
      <c r="BA54" s="124"/>
      <c r="BB54" s="136"/>
    </row>
    <row r="55" customFormat="false" ht="15.6" hidden="false" customHeight="false" outlineLevel="0" collapsed="false">
      <c r="A55" s="111" t="n">
        <f aca="false">IF(ISBLANK(VLOOKUP(D55,#REF!,3)),0,1)</f>
        <v>1</v>
      </c>
      <c r="B55" s="112" t="n">
        <f aca="false">IF(ISBLANK(D55),0,IF(ISBLANK(E55),0,IF(ISBLANK(F55),0,1)))</f>
        <v>0</v>
      </c>
      <c r="C55" s="128" t="n">
        <v>21</v>
      </c>
      <c r="D55" s="151"/>
      <c r="E55" s="151"/>
      <c r="F55" s="152"/>
      <c r="G55" s="156"/>
      <c r="H55" s="151"/>
      <c r="I55" s="151"/>
      <c r="J55" s="132"/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32"/>
      <c r="Q55" s="132"/>
      <c r="R55" s="132"/>
      <c r="S55" s="132"/>
      <c r="T55" s="124"/>
      <c r="U55" s="124"/>
      <c r="V55" s="124"/>
      <c r="W55" s="124"/>
      <c r="X55" s="124"/>
      <c r="Y55" s="124"/>
      <c r="Z55" s="124"/>
      <c r="AA55" s="124"/>
      <c r="AB55" s="124"/>
      <c r="AC55" s="124"/>
      <c r="AD55" s="124"/>
      <c r="AE55" s="124"/>
      <c r="AF55" s="124"/>
      <c r="AG55" s="124"/>
      <c r="AH55" s="124"/>
      <c r="AI55" s="124"/>
      <c r="AJ55" s="124"/>
      <c r="AK55" s="124"/>
      <c r="AL55" s="124"/>
      <c r="AM55" s="124"/>
      <c r="AN55" s="124"/>
      <c r="AO55" s="124"/>
      <c r="AP55" s="124"/>
      <c r="AQ55" s="124"/>
      <c r="AR55" s="124"/>
      <c r="AS55" s="124"/>
      <c r="AT55" s="124"/>
      <c r="AU55" s="124"/>
      <c r="AV55" s="124"/>
      <c r="AW55" s="124"/>
      <c r="AX55" s="124"/>
      <c r="AY55" s="124"/>
      <c r="AZ55" s="124"/>
      <c r="BA55" s="124"/>
      <c r="BB55" s="136"/>
    </row>
    <row r="56" customFormat="false" ht="15.6" hidden="false" customHeight="false" outlineLevel="0" collapsed="false">
      <c r="A56" s="111" t="n">
        <f aca="false">IF(ISBLANK(VLOOKUP(D56,#REF!,3)),0,1)</f>
        <v>1</v>
      </c>
      <c r="B56" s="112" t="n">
        <f aca="false">IF(ISBLANK(D56),0,IF(ISBLANK(E56),0,IF(ISBLANK(F56),0,1)))</f>
        <v>0</v>
      </c>
      <c r="C56" s="128" t="n">
        <v>22</v>
      </c>
      <c r="D56" s="151"/>
      <c r="E56" s="151"/>
      <c r="F56" s="152"/>
      <c r="G56" s="156"/>
      <c r="H56" s="151"/>
      <c r="I56" s="151"/>
      <c r="J56" s="132"/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32"/>
      <c r="Q56" s="132"/>
      <c r="R56" s="132"/>
      <c r="S56" s="132"/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24"/>
      <c r="AE56" s="124"/>
      <c r="AF56" s="124"/>
      <c r="AG56" s="124"/>
      <c r="AH56" s="124"/>
      <c r="AI56" s="124"/>
      <c r="AJ56" s="124"/>
      <c r="AK56" s="124"/>
      <c r="AL56" s="124"/>
      <c r="AM56" s="124"/>
      <c r="AN56" s="124"/>
      <c r="AO56" s="124"/>
      <c r="AP56" s="124"/>
      <c r="AQ56" s="124"/>
      <c r="AR56" s="124"/>
      <c r="AS56" s="124"/>
      <c r="AT56" s="124"/>
      <c r="AU56" s="124"/>
      <c r="AV56" s="124"/>
      <c r="AW56" s="124"/>
      <c r="AX56" s="124"/>
      <c r="AY56" s="124"/>
      <c r="AZ56" s="124"/>
      <c r="BA56" s="124"/>
      <c r="BB56" s="136"/>
    </row>
    <row r="57" customFormat="false" ht="15.6" hidden="false" customHeight="false" outlineLevel="0" collapsed="false">
      <c r="A57" s="111" t="n">
        <f aca="false">IF(ISBLANK(VLOOKUP(D57,#REF!,3)),0,1)</f>
        <v>1</v>
      </c>
      <c r="B57" s="112" t="n">
        <f aca="false">IF(ISBLANK(D57),0,IF(ISBLANK(E57),0,IF(ISBLANK(F57),0,1)))</f>
        <v>0</v>
      </c>
      <c r="C57" s="128" t="n">
        <v>23</v>
      </c>
      <c r="D57" s="151"/>
      <c r="E57" s="151"/>
      <c r="F57" s="152"/>
      <c r="G57" s="156"/>
      <c r="H57" s="151"/>
      <c r="I57" s="151"/>
      <c r="J57" s="132"/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32"/>
      <c r="Q57" s="132"/>
      <c r="R57" s="132"/>
      <c r="S57" s="132"/>
      <c r="T57" s="124"/>
      <c r="U57" s="124"/>
      <c r="V57" s="124"/>
      <c r="W57" s="124"/>
      <c r="X57" s="124"/>
      <c r="Y57" s="124"/>
      <c r="Z57" s="124"/>
      <c r="AA57" s="124"/>
      <c r="AB57" s="124"/>
      <c r="AC57" s="124"/>
      <c r="AD57" s="124"/>
      <c r="AE57" s="124"/>
      <c r="AF57" s="124"/>
      <c r="AG57" s="124"/>
      <c r="AH57" s="124"/>
      <c r="AI57" s="124"/>
      <c r="AJ57" s="124"/>
      <c r="AK57" s="124"/>
      <c r="AL57" s="124"/>
      <c r="AM57" s="124"/>
      <c r="AN57" s="124"/>
      <c r="AO57" s="124"/>
      <c r="AP57" s="124"/>
      <c r="AQ57" s="124"/>
      <c r="AR57" s="124"/>
      <c r="AS57" s="124"/>
      <c r="AT57" s="124"/>
      <c r="AU57" s="124"/>
      <c r="AV57" s="124"/>
      <c r="AW57" s="124"/>
      <c r="AX57" s="124"/>
      <c r="AY57" s="124"/>
      <c r="AZ57" s="124"/>
      <c r="BA57" s="124"/>
      <c r="BB57" s="136"/>
    </row>
    <row r="58" customFormat="false" ht="16.2" hidden="false" customHeight="false" outlineLevel="0" collapsed="false">
      <c r="A58" s="111" t="n">
        <f aca="false">IF(ISBLANK(VLOOKUP(D58,#REF!,3)),0,1)</f>
        <v>1</v>
      </c>
      <c r="B58" s="112" t="n">
        <f aca="false">IF(ISBLANK(D58),0,IF(ISBLANK(E58),0,IF(ISBLANK(F58),0,1)))</f>
        <v>0</v>
      </c>
      <c r="C58" s="158" t="n">
        <v>24</v>
      </c>
      <c r="D58" s="159"/>
      <c r="E58" s="159"/>
      <c r="F58" s="160"/>
      <c r="G58" s="161"/>
      <c r="H58" s="159"/>
      <c r="I58" s="159"/>
      <c r="J58" s="132"/>
      <c r="K58" s="163" t="str">
        <f aca="false">IF(ISBLANK(E58),"",(0.000824493-(0.0000040899*E58)+(0.000000076438*E58^2)-(0.00000000082467*E58^3)+(0.0000000000053875*E58^4)))</f>
        <v/>
      </c>
      <c r="L58" s="163" t="str">
        <f aca="false">IF(ISBLANK(E58),"",(-0.00000572466+(0.00000010227*E58)-(0.0000000016546*E58^2)))</f>
        <v/>
      </c>
      <c r="M58" s="163" t="str">
        <f aca="false">IF(ISBLANK(E58),"",IF(ISBLANK(G58),(O58+(K58*35)+(L58*35^1.5)+(0.00000048314*35^2)),(O58+(K58*G58)+(L58*G58^1.5)+(0.00000048314*G58^2))))</f>
        <v/>
      </c>
      <c r="N58" s="164" t="str">
        <f aca="false">IF(ISBLANK(D58),"",IF(ISBLANK(G58),J58*(1+0.00001*(35-20)),J58*(1+0.00001*(G58-20))))</f>
        <v/>
      </c>
      <c r="O58" s="163" t="str">
        <f aca="false">IF(ISBLANK(E58),"",(0.999842594+(0.00006793952*E58)-(0.00000909529*E58^2)+(0.0000001001685*E58^3)-(0.000000001120083*E58^4)+(0.000000000006536332*E58^5)))</f>
        <v/>
      </c>
      <c r="P58" s="132"/>
      <c r="Q58" s="132"/>
      <c r="R58" s="132"/>
      <c r="S58" s="132"/>
      <c r="T58" s="168"/>
      <c r="U58" s="168"/>
      <c r="V58" s="168"/>
      <c r="W58" s="168"/>
      <c r="X58" s="168"/>
      <c r="Y58" s="168"/>
      <c r="Z58" s="168"/>
      <c r="AA58" s="168"/>
      <c r="AB58" s="168"/>
      <c r="AC58" s="168"/>
      <c r="AD58" s="168"/>
      <c r="AE58" s="168"/>
      <c r="AF58" s="168"/>
      <c r="AG58" s="168"/>
      <c r="AH58" s="168"/>
      <c r="AI58" s="168"/>
      <c r="AJ58" s="168"/>
      <c r="AK58" s="168"/>
      <c r="AL58" s="168"/>
      <c r="AM58" s="168"/>
      <c r="AN58" s="168"/>
      <c r="AO58" s="168"/>
      <c r="AP58" s="168"/>
      <c r="AQ58" s="168"/>
      <c r="AR58" s="168"/>
      <c r="AS58" s="168"/>
      <c r="AT58" s="168"/>
      <c r="AU58" s="168"/>
      <c r="AV58" s="168"/>
      <c r="AW58" s="168"/>
      <c r="AX58" s="168"/>
      <c r="AY58" s="168"/>
      <c r="AZ58" s="168"/>
      <c r="BA58" s="168"/>
      <c r="BB58" s="169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8178137651822"/>
    <col collapsed="false" hidden="false" max="32" min="32" style="0" width="9.10526315789474"/>
    <col collapsed="false" hidden="false" max="33" min="33" style="0" width="26.5668016194332"/>
    <col collapsed="false" hidden="false" max="34" min="34" style="0" width="12.8542510121458"/>
    <col collapsed="false" hidden="false" max="35" min="35" style="0" width="11.1417004048583"/>
    <col collapsed="false" hidden="false" max="36" min="36" style="0" width="14.5668016194332"/>
    <col collapsed="false" hidden="false" max="37" min="37" style="0" width="12.2105263157895"/>
    <col collapsed="false" hidden="false" max="38" min="38" style="0" width="26.995951417004"/>
    <col collapsed="false" hidden="false" max="39" min="39" style="0" width="14.6761133603239"/>
    <col collapsed="false" hidden="false" max="40" min="40" style="0" width="11.3562753036437"/>
    <col collapsed="false" hidden="false" max="41" min="41" style="0" width="12.5344129554656"/>
    <col collapsed="false" hidden="false" max="42" min="42" style="0" width="10.7125506072875"/>
    <col collapsed="false" hidden="false" max="43" min="43" style="0" width="6.31983805668016"/>
    <col collapsed="false" hidden="false" max="44" min="44" style="0" width="19.7085020242915"/>
    <col collapsed="false" hidden="false" max="45" min="45" style="0" width="13.0688259109312"/>
    <col collapsed="false" hidden="false" max="46" min="46" style="0" width="17.7813765182186"/>
    <col collapsed="false" hidden="false" max="47" min="47" style="0" width="14.6761133603239"/>
    <col collapsed="false" hidden="false" max="48" min="48" style="0" width="13.6032388663968"/>
    <col collapsed="false" hidden="false" max="49" min="49" style="0" width="13.7125506072874"/>
    <col collapsed="false" hidden="false" max="50" min="50" style="0" width="19.9230769230769"/>
    <col collapsed="false" hidden="false" max="51" min="51" style="0" width="13.2834008097166"/>
    <col collapsed="false" hidden="false" max="52" min="52" style="0" width="17.6761133603239"/>
    <col collapsed="false" hidden="false" max="53" min="53" style="0" width="13.3886639676113"/>
    <col collapsed="false" hidden="false" max="54" min="54" style="0" width="12.6396761133603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40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38728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6</v>
      </c>
      <c r="J9" s="29" t="n">
        <v>1.13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6°1,13</v>
      </c>
      <c r="P9" s="29" t="s">
        <v>13</v>
      </c>
      <c r="Q9" s="33" t="n">
        <f aca="false">IF(ISBLANK(I9),"",IF(ISBLANK(J9),"",IF(J9&gt;60,"ERREUR !!",O11*(I9+(J9/60)))))</f>
        <v>6.01883333333333</v>
      </c>
      <c r="R9" s="33"/>
    </row>
    <row r="10" customFormat="false" ht="15" hidden="false" customHeight="true" outlineLevel="0" collapsed="false">
      <c r="C10" s="21"/>
      <c r="D10" s="18"/>
      <c r="G10" s="27" t="s">
        <v>16</v>
      </c>
      <c r="H10" s="27"/>
      <c r="I10" s="28" t="n">
        <v>2</v>
      </c>
      <c r="J10" s="29" t="n">
        <v>21.28</v>
      </c>
      <c r="K10" s="30" t="s">
        <v>12</v>
      </c>
      <c r="L10" s="31" t="str">
        <f aca="false">IF(P10=N9,"+","-")</f>
        <v>+</v>
      </c>
      <c r="M10" s="30" t="s">
        <v>15</v>
      </c>
      <c r="N10" s="30" t="s">
        <v>17</v>
      </c>
      <c r="O10" s="34" t="str">
        <f aca="false">IF(ISBLANK(I10),"",IF(ISBLANK(J10),"",IF(P10=N10,L10&amp;N12,N12)))</f>
        <v>2°21,28</v>
      </c>
      <c r="P10" s="29" t="s">
        <v>14</v>
      </c>
      <c r="Q10" s="33" t="n">
        <f aca="false">IF(ISBLANK(I10),"",IF(ISBLANK(J10),"",IF(J10&gt;60,"ERREUR !!",O12*(I10+(J10/60)))))</f>
        <v>2.35466666666667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38555</v>
      </c>
      <c r="K11" s="38"/>
      <c r="L11" s="38"/>
      <c r="M11" s="38"/>
      <c r="N11" s="39" t="str">
        <f aca="false">I9&amp;"°"&amp;J9</f>
        <v>6°1,13</v>
      </c>
      <c r="O11" s="40" t="n">
        <f aca="false">IF(P9=M10,-1,1)</f>
        <v>1</v>
      </c>
      <c r="P11" s="41" t="str">
        <f aca="false">TEXT(J11,"aaaa-mm-jj")&amp;"T"&amp;TEXT(J12,"hh:mm:ss")&amp;"z"</f>
        <v>2009-07-23T12:40:00z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0.527777777777778</v>
      </c>
      <c r="K12" s="45"/>
      <c r="L12" s="45"/>
      <c r="M12" s="45"/>
      <c r="N12" s="46" t="str">
        <f aca="false">I10&amp;"°"&amp;J10</f>
        <v>2°21,28</v>
      </c>
      <c r="O12" s="40" t="n">
        <f aca="false">IF(P10=N10,-1,1)</f>
        <v>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e">
        <f aca="false">$P$24*($P$18/#REF!)</f>
        <v>#REF!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e">
        <f aca="false">5+#REF!</f>
        <v>#REF!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e">
        <f aca="false">P20*(1+0.00001*(R14-20))</f>
        <v>#REF!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e">
        <f aca="false">MAX(#REF!)</f>
        <v>#VALUE!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e">
        <f aca="false">2+(#REF!+#REF!)</f>
        <v>#REF!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52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53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IF(ISBLANK(VLOOKUP(D35,#REF!,3)),0,1)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s">
        <v>99</v>
      </c>
      <c r="H35" s="131" t="n">
        <v>1000</v>
      </c>
      <c r="I35" s="125" t="n">
        <v>1001.4</v>
      </c>
      <c r="J35" s="120"/>
      <c r="K35" s="121"/>
      <c r="L35" s="121"/>
      <c r="M35" s="121"/>
      <c r="N35" s="122"/>
      <c r="O35" s="121"/>
      <c r="P35" s="132"/>
      <c r="Q35" s="120"/>
      <c r="R35" s="120"/>
      <c r="S35" s="120"/>
      <c r="T35" s="125" t="n">
        <v>0</v>
      </c>
      <c r="U35" s="32" t="n">
        <v>0.01</v>
      </c>
      <c r="V35" s="32"/>
      <c r="W35" s="32"/>
      <c r="X35" s="125" t="n">
        <v>33.4</v>
      </c>
      <c r="Y35" s="125" t="n">
        <v>32.6</v>
      </c>
      <c r="Z35" s="125" t="n">
        <v>2.4</v>
      </c>
      <c r="AA35" s="32" t="n">
        <v>2.36</v>
      </c>
      <c r="AB35" s="125" t="n">
        <v>32.1</v>
      </c>
      <c r="AC35" s="125" t="n">
        <v>31.4</v>
      </c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7"/>
    </row>
    <row r="36" customFormat="false" ht="15.6" hidden="false" customHeight="false" outlineLevel="0" collapsed="false">
      <c r="A36" s="111" t="n">
        <f aca="false">IF(ISBLANK(VLOOKUP(D36,#REF!,3)),0,1)</f>
        <v>1</v>
      </c>
      <c r="B36" s="112" t="n">
        <f aca="false">IF(ISBLANK(D36),0,IF(ISBLANK(E36),0,IF(ISBLANK(F36),0,1)))</f>
        <v>0</v>
      </c>
      <c r="C36" s="128" t="n">
        <v>2</v>
      </c>
      <c r="D36" s="129"/>
      <c r="E36" s="129"/>
      <c r="F36" s="130"/>
      <c r="G36" s="117" t="s">
        <v>99</v>
      </c>
      <c r="H36" s="131" t="n">
        <v>800</v>
      </c>
      <c r="I36" s="125" t="n">
        <v>782.17</v>
      </c>
      <c r="J36" s="132"/>
      <c r="K36" s="133"/>
      <c r="L36" s="133"/>
      <c r="M36" s="133"/>
      <c r="N36" s="134"/>
      <c r="O36" s="133"/>
      <c r="P36" s="132"/>
      <c r="Q36" s="132"/>
      <c r="R36" s="132"/>
      <c r="S36" s="132"/>
      <c r="T36" s="125" t="n">
        <v>0</v>
      </c>
      <c r="U36" s="32" t="n">
        <v>0.01</v>
      </c>
      <c r="V36" s="32"/>
      <c r="W36" s="32"/>
      <c r="X36" s="125" t="n">
        <v>35.6</v>
      </c>
      <c r="Y36" s="125" t="n">
        <v>34.8</v>
      </c>
      <c r="Z36" s="125" t="n">
        <v>2.5</v>
      </c>
      <c r="AA36" s="32" t="n">
        <v>2.44</v>
      </c>
      <c r="AB36" s="125" t="n">
        <v>30.5</v>
      </c>
      <c r="AC36" s="125" t="n">
        <v>29.8</v>
      </c>
      <c r="AD36" s="124"/>
      <c r="AE36" s="124"/>
      <c r="AF36" s="124"/>
      <c r="AG36" s="124"/>
      <c r="AH36" s="124"/>
      <c r="AI36" s="124"/>
      <c r="AJ36" s="124"/>
      <c r="AK36" s="124"/>
      <c r="AL36" s="124"/>
      <c r="AM36" s="124"/>
      <c r="AN36" s="124"/>
      <c r="AO36" s="124"/>
      <c r="AP36" s="124"/>
      <c r="AQ36" s="124"/>
      <c r="AR36" s="124"/>
      <c r="AS36" s="124"/>
      <c r="AT36" s="124"/>
      <c r="AU36" s="124"/>
      <c r="AV36" s="124"/>
      <c r="AW36" s="124"/>
      <c r="AX36" s="124"/>
      <c r="AY36" s="124"/>
      <c r="AZ36" s="124"/>
      <c r="BA36" s="124"/>
      <c r="BB36" s="136"/>
    </row>
    <row r="37" customFormat="false" ht="15.6" hidden="false" customHeight="false" outlineLevel="0" collapsed="false">
      <c r="A37" s="111" t="n">
        <f aca="false">IF(ISBLANK(VLOOKUP(D37,#REF!,3)),0,1)</f>
        <v>1</v>
      </c>
      <c r="B37" s="112" t="n">
        <f aca="false">IF(ISBLANK(D37),0,IF(ISBLANK(E37),0,IF(ISBLANK(F37),0,1)))</f>
        <v>0</v>
      </c>
      <c r="C37" s="128" t="n">
        <v>3</v>
      </c>
      <c r="D37" s="129"/>
      <c r="E37" s="129"/>
      <c r="F37" s="137"/>
      <c r="G37" s="117" t="s">
        <v>99</v>
      </c>
      <c r="H37" s="131" t="n">
        <v>800</v>
      </c>
      <c r="I37" s="125" t="n">
        <v>783.61</v>
      </c>
      <c r="K37" s="133"/>
      <c r="L37" s="133"/>
      <c r="M37" s="133"/>
      <c r="N37" s="134"/>
      <c r="O37" s="133"/>
      <c r="P37" s="132"/>
      <c r="Q37" s="132"/>
      <c r="R37" s="132"/>
      <c r="S37" s="132"/>
      <c r="T37" s="125" t="n">
        <v>0</v>
      </c>
      <c r="U37" s="32" t="n">
        <v>0.01</v>
      </c>
      <c r="V37" s="32"/>
      <c r="W37" s="32"/>
      <c r="X37" s="125" t="n">
        <v>35.2</v>
      </c>
      <c r="Y37" s="125" t="n">
        <v>34.4</v>
      </c>
      <c r="Z37" s="125" t="n">
        <v>2.5</v>
      </c>
      <c r="AA37" s="32" t="n">
        <v>2.41</v>
      </c>
      <c r="AB37" s="125" t="n">
        <v>29.7</v>
      </c>
      <c r="AC37" s="125" t="n">
        <v>29</v>
      </c>
      <c r="AD37" s="124"/>
      <c r="AE37" s="124"/>
      <c r="AF37" s="124"/>
      <c r="AG37" s="124"/>
      <c r="AH37" s="124"/>
      <c r="AI37" s="124"/>
      <c r="AJ37" s="124"/>
      <c r="AK37" s="124"/>
      <c r="AL37" s="124"/>
      <c r="AM37" s="124"/>
      <c r="AN37" s="124"/>
      <c r="AO37" s="124"/>
      <c r="AP37" s="124"/>
      <c r="AQ37" s="124"/>
      <c r="AR37" s="124"/>
      <c r="AS37" s="124"/>
      <c r="AT37" s="124"/>
      <c r="AU37" s="124"/>
      <c r="AV37" s="124"/>
      <c r="AW37" s="124"/>
      <c r="AX37" s="124"/>
      <c r="AY37" s="124"/>
      <c r="AZ37" s="124"/>
      <c r="BA37" s="124"/>
      <c r="BB37" s="136"/>
    </row>
    <row r="38" customFormat="false" ht="15.6" hidden="false" customHeight="false" outlineLevel="0" collapsed="false">
      <c r="A38" s="111" t="n">
        <f aca="false">IF(ISBLANK(VLOOKUP(D38,#REF!,3)),0,1)</f>
        <v>1</v>
      </c>
      <c r="B38" s="112" t="n">
        <f aca="false">IF(ISBLANK(D38),0,IF(ISBLANK(E38),0,IF(ISBLANK(F38),0,1)))</f>
        <v>0</v>
      </c>
      <c r="C38" s="128" t="n">
        <v>4</v>
      </c>
      <c r="D38" s="138"/>
      <c r="E38" s="138"/>
      <c r="F38" s="139"/>
      <c r="G38" s="117" t="s">
        <v>99</v>
      </c>
      <c r="H38" s="131" t="n">
        <v>650</v>
      </c>
      <c r="I38" s="125" t="n">
        <v>649.39</v>
      </c>
      <c r="J38" s="132"/>
      <c r="K38" s="133"/>
      <c r="L38" s="133"/>
      <c r="M38" s="133"/>
      <c r="N38" s="134"/>
      <c r="O38" s="133"/>
      <c r="P38" s="132"/>
      <c r="Q38" s="132"/>
      <c r="R38" s="132"/>
      <c r="S38" s="132"/>
      <c r="T38" s="125" t="n">
        <v>0</v>
      </c>
      <c r="U38" s="32" t="n">
        <v>0.02</v>
      </c>
      <c r="V38" s="32"/>
      <c r="W38" s="32"/>
      <c r="X38" s="125" t="n">
        <v>36.3</v>
      </c>
      <c r="Y38" s="125" t="n">
        <v>35.5</v>
      </c>
      <c r="Z38" s="125" t="n">
        <v>2.5</v>
      </c>
      <c r="AA38" s="32" t="n">
        <v>2.41</v>
      </c>
      <c r="AB38" s="125" t="n">
        <v>26.8</v>
      </c>
      <c r="AC38" s="125" t="n">
        <v>26.2</v>
      </c>
      <c r="AD38" s="124"/>
      <c r="AE38" s="124"/>
      <c r="AF38" s="124"/>
      <c r="AG38" s="124"/>
      <c r="AH38" s="124"/>
      <c r="AI38" s="124"/>
      <c r="AJ38" s="124"/>
      <c r="AK38" s="124"/>
      <c r="AL38" s="124"/>
      <c r="AM38" s="124"/>
      <c r="AN38" s="124"/>
      <c r="AO38" s="124"/>
      <c r="AP38" s="124"/>
      <c r="AQ38" s="124"/>
      <c r="AR38" s="124"/>
      <c r="AS38" s="124"/>
      <c r="AT38" s="124"/>
      <c r="AU38" s="124"/>
      <c r="AV38" s="124"/>
      <c r="AW38" s="124"/>
      <c r="AX38" s="124"/>
      <c r="AY38" s="124"/>
      <c r="AZ38" s="124"/>
      <c r="BA38" s="124"/>
      <c r="BB38" s="136"/>
    </row>
    <row r="39" customFormat="false" ht="15.6" hidden="false" customHeight="false" outlineLevel="0" collapsed="false">
      <c r="A39" s="111" t="n">
        <f aca="false">IF(ISBLANK(VLOOKUP(D39,#REF!,3)),0,1)</f>
        <v>1</v>
      </c>
      <c r="B39" s="112" t="n">
        <f aca="false">IF(ISBLANK(D39),0,IF(ISBLANK(E39),0,IF(ISBLANK(F39),0,1)))</f>
        <v>0</v>
      </c>
      <c r="C39" s="128" t="n">
        <v>5</v>
      </c>
      <c r="D39" s="129"/>
      <c r="E39" s="129"/>
      <c r="F39" s="137"/>
      <c r="G39" s="117" t="s">
        <v>99</v>
      </c>
      <c r="H39" s="131" t="n">
        <v>500</v>
      </c>
      <c r="I39" s="125" t="n">
        <v>485.93</v>
      </c>
      <c r="J39" s="132"/>
      <c r="K39" s="133"/>
      <c r="L39" s="133"/>
      <c r="M39" s="133"/>
      <c r="N39" s="134"/>
      <c r="O39" s="133"/>
      <c r="P39" s="132"/>
      <c r="Q39" s="132"/>
      <c r="R39" s="132"/>
      <c r="S39" s="132"/>
      <c r="T39" s="125" t="n">
        <v>0</v>
      </c>
      <c r="U39" s="32" t="n">
        <v>0.02</v>
      </c>
      <c r="V39" s="32"/>
      <c r="W39" s="32"/>
      <c r="X39" s="125" t="n">
        <v>36.2</v>
      </c>
      <c r="Y39" s="125" t="n">
        <v>35.4</v>
      </c>
      <c r="Z39" s="125" t="n">
        <v>2.4</v>
      </c>
      <c r="AA39" s="32" t="n">
        <v>2.31</v>
      </c>
      <c r="AB39" s="125" t="n">
        <v>22</v>
      </c>
      <c r="AC39" s="125" t="n">
        <v>21.5</v>
      </c>
      <c r="AD39" s="124"/>
      <c r="AE39" s="124"/>
      <c r="AF39" s="124"/>
      <c r="AG39" s="124"/>
      <c r="AH39" s="124"/>
      <c r="AI39" s="124"/>
      <c r="AJ39" s="124"/>
      <c r="AK39" s="124"/>
      <c r="AL39" s="124"/>
      <c r="AM39" s="124"/>
      <c r="AN39" s="124"/>
      <c r="AO39" s="124"/>
      <c r="AP39" s="124"/>
      <c r="AQ39" s="124"/>
      <c r="AR39" s="124"/>
      <c r="AS39" s="124"/>
      <c r="AT39" s="124"/>
      <c r="AU39" s="124"/>
      <c r="AV39" s="124"/>
      <c r="AW39" s="124"/>
      <c r="AX39" s="124"/>
      <c r="AY39" s="124"/>
      <c r="AZ39" s="124"/>
      <c r="BA39" s="124"/>
      <c r="BB39" s="136"/>
    </row>
    <row r="40" customFormat="false" ht="15.6" hidden="false" customHeight="false" outlineLevel="0" collapsed="false">
      <c r="A40" s="111" t="n">
        <f aca="false">IF(ISBLANK(VLOOKUP(D40,#REF!,3)),0,1)</f>
        <v>1</v>
      </c>
      <c r="B40" s="112" t="n">
        <f aca="false">IF(ISBLANK(D40),0,IF(ISBLANK(E40),0,IF(ISBLANK(F40),0,1)))</f>
        <v>0</v>
      </c>
      <c r="C40" s="128" t="n">
        <v>6</v>
      </c>
      <c r="D40" s="129"/>
      <c r="E40" s="129"/>
      <c r="F40" s="137"/>
      <c r="G40" s="117" t="s">
        <v>99</v>
      </c>
      <c r="H40" s="131" t="n">
        <v>300</v>
      </c>
      <c r="I40" s="125" t="n">
        <v>299.93</v>
      </c>
      <c r="J40" s="132"/>
      <c r="K40" s="133"/>
      <c r="L40" s="133"/>
      <c r="M40" s="133"/>
      <c r="N40" s="134"/>
      <c r="O40" s="133"/>
      <c r="P40" s="132"/>
      <c r="Q40" s="132"/>
      <c r="R40" s="132"/>
      <c r="S40" s="132"/>
      <c r="T40" s="125" t="n">
        <v>0</v>
      </c>
      <c r="U40" s="32" t="n">
        <v>0.02</v>
      </c>
      <c r="V40" s="32"/>
      <c r="W40" s="32"/>
      <c r="X40" s="125" t="n">
        <v>32.6</v>
      </c>
      <c r="Y40" s="125" t="n">
        <v>31.9</v>
      </c>
      <c r="Z40" s="125" t="n">
        <v>2</v>
      </c>
      <c r="AA40" s="32" t="n">
        <v>1.98</v>
      </c>
      <c r="AB40" s="125" t="n">
        <v>15.2</v>
      </c>
      <c r="AC40" s="125" t="n">
        <v>14.8</v>
      </c>
      <c r="AD40" s="124"/>
      <c r="AE40" s="124"/>
      <c r="AF40" s="124"/>
      <c r="AG40" s="124"/>
      <c r="AH40" s="124"/>
      <c r="AI40" s="124"/>
      <c r="AJ40" s="124"/>
      <c r="AK40" s="124"/>
      <c r="AL40" s="124"/>
      <c r="AM40" s="124"/>
      <c r="AN40" s="124"/>
      <c r="AO40" s="124"/>
      <c r="AP40" s="124"/>
      <c r="AQ40" s="124"/>
      <c r="AR40" s="124"/>
      <c r="AS40" s="124"/>
      <c r="AT40" s="124"/>
      <c r="AU40" s="124"/>
      <c r="AV40" s="124"/>
      <c r="AW40" s="124"/>
      <c r="AX40" s="124"/>
      <c r="AY40" s="124"/>
      <c r="AZ40" s="124"/>
      <c r="BA40" s="124"/>
      <c r="BB40" s="136"/>
    </row>
    <row r="41" customFormat="false" ht="15.6" hidden="false" customHeight="false" outlineLevel="0" collapsed="false">
      <c r="A41" s="111" t="n">
        <f aca="false">IF(ISBLANK(VLOOKUP(D41,#REF!,3)),0,1)</f>
        <v>1</v>
      </c>
      <c r="B41" s="112" t="n">
        <f aca="false">IF(ISBLANK(D41),0,IF(ISBLANK(E41),0,IF(ISBLANK(F41),0,1)))</f>
        <v>0</v>
      </c>
      <c r="C41" s="128" t="n">
        <v>7</v>
      </c>
      <c r="D41" s="129"/>
      <c r="E41" s="129"/>
      <c r="F41" s="137"/>
      <c r="G41" s="117" t="s">
        <v>99</v>
      </c>
      <c r="H41" s="131" t="n">
        <v>200</v>
      </c>
      <c r="I41" s="125" t="n">
        <v>198.91</v>
      </c>
      <c r="J41" s="132"/>
      <c r="K41" s="133"/>
      <c r="L41" s="133"/>
      <c r="M41" s="133"/>
      <c r="N41" s="134"/>
      <c r="O41" s="133"/>
      <c r="P41" s="132"/>
      <c r="Q41" s="132"/>
      <c r="R41" s="132"/>
      <c r="S41" s="132"/>
      <c r="T41" s="125" t="n">
        <v>0</v>
      </c>
      <c r="U41" s="32" t="n">
        <v>0.02</v>
      </c>
      <c r="V41" s="32"/>
      <c r="W41" s="32"/>
      <c r="X41" s="125" t="n">
        <v>25.6</v>
      </c>
      <c r="Y41" s="125" t="n">
        <v>25</v>
      </c>
      <c r="Z41" s="125" t="n">
        <v>1.6</v>
      </c>
      <c r="AA41" s="32" t="n">
        <v>1.55</v>
      </c>
      <c r="AB41" s="125" t="n">
        <v>10.5</v>
      </c>
      <c r="AC41" s="125" t="n">
        <v>10.3</v>
      </c>
      <c r="AD41" s="124"/>
      <c r="AE41" s="124"/>
      <c r="AF41" s="124"/>
      <c r="AG41" s="124"/>
      <c r="AH41" s="124"/>
      <c r="AI41" s="124"/>
      <c r="AJ41" s="124"/>
      <c r="AK41" s="124"/>
      <c r="AL41" s="124"/>
      <c r="AM41" s="124"/>
      <c r="AN41" s="124"/>
      <c r="AO41" s="124"/>
      <c r="AP41" s="124"/>
      <c r="AQ41" s="124"/>
      <c r="AR41" s="124"/>
      <c r="AS41" s="124"/>
      <c r="AT41" s="124"/>
      <c r="AU41" s="124"/>
      <c r="AV41" s="124"/>
      <c r="AW41" s="124"/>
      <c r="AX41" s="124"/>
      <c r="AY41" s="124"/>
      <c r="AZ41" s="124"/>
      <c r="BA41" s="124"/>
      <c r="BB41" s="136"/>
    </row>
    <row r="42" customFormat="false" ht="15.6" hidden="false" customHeight="false" outlineLevel="0" collapsed="false">
      <c r="A42" s="111" t="n">
        <f aca="false">IF(ISBLANK(VLOOKUP(D42,#REF!,3)),0,1)</f>
        <v>1</v>
      </c>
      <c r="B42" s="112" t="n">
        <f aca="false">IF(ISBLANK(D42),0,IF(ISBLANK(E42),0,IF(ISBLANK(F42),0,1)))</f>
        <v>0</v>
      </c>
      <c r="C42" s="128" t="n">
        <v>8</v>
      </c>
      <c r="D42" s="129"/>
      <c r="E42" s="129"/>
      <c r="F42" s="137"/>
      <c r="G42" s="117" t="s">
        <v>99</v>
      </c>
      <c r="H42" s="131" t="n">
        <v>100</v>
      </c>
      <c r="I42" s="125" t="n">
        <v>100.84</v>
      </c>
      <c r="J42" s="132"/>
      <c r="K42" s="133"/>
      <c r="L42" s="133"/>
      <c r="M42" s="133"/>
      <c r="N42" s="134"/>
      <c r="O42" s="133"/>
      <c r="P42" s="132"/>
      <c r="Q42" s="132"/>
      <c r="R42" s="132"/>
      <c r="T42" s="125" t="n">
        <v>0.1</v>
      </c>
      <c r="U42" s="32" t="n">
        <v>0.05</v>
      </c>
      <c r="V42" s="32"/>
      <c r="W42" s="32"/>
      <c r="X42" s="125" t="n">
        <v>18.2</v>
      </c>
      <c r="Y42" s="125" t="n">
        <v>17.8</v>
      </c>
      <c r="Z42" s="125" t="n">
        <v>1.2</v>
      </c>
      <c r="AA42" s="32" t="n">
        <v>1.2</v>
      </c>
      <c r="AB42" s="125" t="n">
        <v>7.7</v>
      </c>
      <c r="AC42" s="125" t="n">
        <v>7.5</v>
      </c>
      <c r="AD42" s="124"/>
      <c r="AE42" s="124"/>
      <c r="AF42" s="124"/>
      <c r="AG42" s="124"/>
      <c r="AH42" s="124"/>
      <c r="AI42" s="124"/>
      <c r="AJ42" s="124"/>
      <c r="AK42" s="124"/>
      <c r="AL42" s="124"/>
      <c r="AM42" s="124"/>
      <c r="AN42" s="124"/>
      <c r="AO42" s="124"/>
      <c r="AP42" s="124"/>
      <c r="AQ42" s="124"/>
      <c r="AR42" s="124"/>
      <c r="AS42" s="124"/>
      <c r="AT42" s="124"/>
      <c r="AU42" s="124"/>
      <c r="AV42" s="124"/>
      <c r="AW42" s="124"/>
      <c r="AX42" s="124"/>
      <c r="AY42" s="124"/>
      <c r="AZ42" s="124"/>
      <c r="BA42" s="124"/>
      <c r="BB42" s="136"/>
    </row>
    <row r="43" customFormat="false" ht="15.6" hidden="false" customHeight="false" outlineLevel="0" collapsed="false">
      <c r="A43" s="111" t="n">
        <f aca="false">IF(ISBLANK(VLOOKUP(D43,#REF!,3)),0,1)</f>
        <v>1</v>
      </c>
      <c r="B43" s="112" t="n">
        <f aca="false">IF(ISBLANK(D43),0,IF(ISBLANK(E43),0,IF(ISBLANK(F43),0,1)))</f>
        <v>0</v>
      </c>
      <c r="C43" s="128" t="n">
        <v>9</v>
      </c>
      <c r="D43" s="129"/>
      <c r="E43" s="129"/>
      <c r="F43" s="137"/>
      <c r="G43" s="117" t="s">
        <v>99</v>
      </c>
      <c r="H43" s="131" t="n">
        <v>80</v>
      </c>
      <c r="I43" s="125" t="n">
        <v>80.44</v>
      </c>
      <c r="J43" s="132"/>
      <c r="K43" s="133"/>
      <c r="L43" s="133"/>
      <c r="M43" s="133"/>
      <c r="N43" s="134"/>
      <c r="O43" s="133"/>
      <c r="P43" s="132"/>
      <c r="Q43" s="132"/>
      <c r="R43" s="132"/>
      <c r="S43" s="132"/>
      <c r="T43" s="125" t="n">
        <v>0.1</v>
      </c>
      <c r="U43" s="32" t="n">
        <v>0.05</v>
      </c>
      <c r="V43" s="32"/>
      <c r="W43" s="32"/>
      <c r="X43" s="125" t="n">
        <v>15.8</v>
      </c>
      <c r="Y43" s="125" t="n">
        <v>15.5</v>
      </c>
      <c r="Z43" s="125" t="n">
        <v>1.1</v>
      </c>
      <c r="AA43" s="32" t="n">
        <v>1.09</v>
      </c>
      <c r="AB43" s="125" t="n">
        <v>6.8</v>
      </c>
      <c r="AC43" s="125" t="n">
        <v>6.6</v>
      </c>
      <c r="AD43" s="124"/>
      <c r="AE43" s="124"/>
      <c r="AF43" s="124"/>
      <c r="AG43" s="124"/>
      <c r="AH43" s="124"/>
      <c r="AI43" s="124"/>
      <c r="AJ43" s="124"/>
      <c r="AK43" s="124"/>
      <c r="AL43" s="124"/>
      <c r="AM43" s="124"/>
      <c r="AN43" s="124"/>
      <c r="AO43" s="124"/>
      <c r="AP43" s="124"/>
      <c r="AQ43" s="124"/>
      <c r="AR43" s="124"/>
      <c r="AS43" s="124"/>
      <c r="AT43" s="124"/>
      <c r="AU43" s="124"/>
      <c r="AV43" s="124"/>
      <c r="AW43" s="124"/>
      <c r="AX43" s="124"/>
      <c r="AY43" s="124"/>
      <c r="AZ43" s="124"/>
      <c r="BA43" s="124"/>
      <c r="BB43" s="136"/>
    </row>
    <row r="44" customFormat="false" ht="15.6" hidden="false" customHeight="false" outlineLevel="0" collapsed="false">
      <c r="A44" s="111" t="n">
        <f aca="false">IF(ISBLANK(VLOOKUP(D44,#REF!,3)),0,1)</f>
        <v>1</v>
      </c>
      <c r="B44" s="112" t="n">
        <f aca="false">IF(ISBLANK(D44),0,IF(ISBLANK(E44),0,IF(ISBLANK(F44),0,1)))</f>
        <v>0</v>
      </c>
      <c r="C44" s="128" t="n">
        <v>10</v>
      </c>
      <c r="D44" s="129"/>
      <c r="E44" s="129"/>
      <c r="F44" s="137"/>
      <c r="G44" s="117" t="s">
        <v>99</v>
      </c>
      <c r="H44" s="131" t="n">
        <v>50</v>
      </c>
      <c r="I44" s="125" t="n">
        <v>51.13</v>
      </c>
      <c r="J44" s="132"/>
      <c r="K44" s="133"/>
      <c r="L44" s="133"/>
      <c r="M44" s="133"/>
      <c r="N44" s="134"/>
      <c r="O44" s="133"/>
      <c r="P44" s="132"/>
      <c r="Q44" s="132"/>
      <c r="R44" s="132"/>
      <c r="S44" s="132"/>
      <c r="T44" s="125" t="n">
        <v>0.1</v>
      </c>
      <c r="U44" s="32" t="n">
        <v>0.14</v>
      </c>
      <c r="V44" s="32"/>
      <c r="W44" s="32"/>
      <c r="X44" s="125" t="n">
        <v>8.7</v>
      </c>
      <c r="Y44" s="125" t="n">
        <v>8.5</v>
      </c>
      <c r="Z44" s="125" t="n">
        <v>0.7</v>
      </c>
      <c r="AA44" s="32" t="n">
        <v>0.66</v>
      </c>
      <c r="AB44" s="125" t="n">
        <v>4.3</v>
      </c>
      <c r="AC44" s="125" t="n">
        <v>4.2</v>
      </c>
      <c r="AD44" s="124"/>
      <c r="AE44" s="124"/>
      <c r="AF44" s="124"/>
      <c r="AG44" s="124"/>
      <c r="AH44" s="124"/>
      <c r="AI44" s="124"/>
      <c r="AJ44" s="124"/>
      <c r="AK44" s="124"/>
      <c r="AL44" s="124"/>
      <c r="AM44" s="124"/>
      <c r="AN44" s="124"/>
      <c r="AO44" s="124"/>
      <c r="AP44" s="124"/>
      <c r="AQ44" s="124"/>
      <c r="AR44" s="124"/>
      <c r="AS44" s="124"/>
      <c r="AT44" s="124"/>
      <c r="AU44" s="124"/>
      <c r="AV44" s="124"/>
      <c r="AW44" s="124"/>
      <c r="AX44" s="124"/>
      <c r="AY44" s="124"/>
      <c r="AZ44" s="124"/>
      <c r="BA44" s="124"/>
      <c r="BB44" s="136"/>
    </row>
    <row r="45" customFormat="false" ht="15.6" hidden="false" customHeight="false" outlineLevel="0" collapsed="false">
      <c r="A45" s="111" t="n">
        <f aca="false">IF(ISBLANK(VLOOKUP(D45,#REF!,3)),0,1)</f>
        <v>1</v>
      </c>
      <c r="B45" s="112" t="n">
        <f aca="false">IF(ISBLANK(D45),0,IF(ISBLANK(E45),0,IF(ISBLANK(F45),0,1)))</f>
        <v>0</v>
      </c>
      <c r="C45" s="128" t="n">
        <v>11</v>
      </c>
      <c r="D45" s="129"/>
      <c r="E45" s="129"/>
      <c r="F45" s="137"/>
      <c r="G45" s="117" t="s">
        <v>99</v>
      </c>
      <c r="H45" s="131" t="n">
        <v>20</v>
      </c>
      <c r="I45" s="125" t="n">
        <v>20.48</v>
      </c>
      <c r="J45" s="132"/>
      <c r="K45" s="133"/>
      <c r="L45" s="133"/>
      <c r="M45" s="133"/>
      <c r="N45" s="134"/>
      <c r="O45" s="133"/>
      <c r="P45" s="132"/>
      <c r="Q45" s="132"/>
      <c r="R45" s="132"/>
      <c r="S45" s="132"/>
      <c r="T45" s="125" t="n">
        <v>0</v>
      </c>
      <c r="U45" s="32" t="n">
        <v>0.02</v>
      </c>
      <c r="V45" s="32"/>
      <c r="W45" s="32"/>
      <c r="X45" s="125" t="n">
        <v>0</v>
      </c>
      <c r="Y45" s="125" t="n">
        <v>0</v>
      </c>
      <c r="Z45" s="125" t="n">
        <v>0.1</v>
      </c>
      <c r="AA45" s="32" t="n">
        <v>0.05</v>
      </c>
      <c r="AB45" s="125" t="n">
        <v>2</v>
      </c>
      <c r="AC45" s="125" t="n">
        <v>1.9</v>
      </c>
      <c r="AD45" s="124"/>
      <c r="AE45" s="124"/>
      <c r="AF45" s="124"/>
      <c r="AG45" s="124"/>
      <c r="AH45" s="124"/>
      <c r="AI45" s="124"/>
      <c r="AJ45" s="124"/>
      <c r="AK45" s="124"/>
      <c r="AL45" s="124"/>
      <c r="AM45" s="124"/>
      <c r="AN45" s="124"/>
      <c r="AO45" s="124"/>
      <c r="AP45" s="124"/>
      <c r="AQ45" s="124"/>
      <c r="AR45" s="124"/>
      <c r="AS45" s="124"/>
      <c r="AT45" s="124"/>
      <c r="AU45" s="124"/>
      <c r="AV45" s="124"/>
      <c r="AW45" s="124"/>
      <c r="AX45" s="124"/>
      <c r="AY45" s="124"/>
      <c r="AZ45" s="124"/>
      <c r="BA45" s="124"/>
      <c r="BB45" s="136"/>
    </row>
    <row r="46" customFormat="false" ht="15.6" hidden="false" customHeight="false" outlineLevel="0" collapsed="false">
      <c r="A46" s="111" t="n">
        <f aca="false">IF(ISBLANK(VLOOKUP(D46,#REF!,3)),0,1)</f>
        <v>1</v>
      </c>
      <c r="B46" s="112" t="n">
        <f aca="false">IF(ISBLANK(D46),0,IF(ISBLANK(E46),0,IF(ISBLANK(F46),0,1)))</f>
        <v>0</v>
      </c>
      <c r="C46" s="128" t="n">
        <v>12</v>
      </c>
      <c r="D46" s="142"/>
      <c r="E46" s="142"/>
      <c r="F46" s="143"/>
      <c r="G46" s="117" t="s">
        <v>99</v>
      </c>
      <c r="H46" s="131" t="n">
        <v>0</v>
      </c>
      <c r="I46" s="125" t="n">
        <v>2.17</v>
      </c>
      <c r="J46" s="132"/>
      <c r="K46" s="146" t="str">
        <f aca="false">IF(ISBLANK(E46),"",(0.000824493-(0.0000040899*E46)+(0.000000076438*E46^2)-(0.00000000082467*E46^3)+(0.0000000000053875*E46^4)))</f>
        <v/>
      </c>
      <c r="L46" s="146" t="str">
        <f aca="false">IF(ISBLANK(E46),"",(-0.00000572466+(0.00000010227*E46)-(0.0000000016546*E46^2)))</f>
        <v/>
      </c>
      <c r="M46" s="146" t="str">
        <f aca="false">IF(ISBLANK(E46),"",IF(ISBLANK(G46),(O46+(K46*35)+(L46*35^1.5)+(0.00000048314*35^2)),(O46+(K46*G46)+(L46*G46^1.5)+(0.00000048314*G46^2))))</f>
        <v/>
      </c>
      <c r="N46" s="147" t="str">
        <f aca="false">IF(ISBLANK(D46),"",IF(ISBLANK(G46),J46*(1+0.00001*(35-20)),J46*(1+0.00001*(G46-20))))</f>
        <v/>
      </c>
      <c r="O46" s="146" t="str">
        <f aca="false">IF(ISBLANK(E46),"",(0.999842594+(0.00006793952*E46)-(0.00000909529*E46^2)+(0.0000001001685*E46^3)-(0.000000001120083*E46^4)+(0.000000000006536332*E46^5)))</f>
        <v/>
      </c>
      <c r="P46" s="132"/>
      <c r="Q46" s="132"/>
      <c r="R46" s="132"/>
      <c r="S46" s="132"/>
      <c r="T46" s="125" t="n">
        <v>0</v>
      </c>
      <c r="U46" s="32" t="n">
        <v>0.01</v>
      </c>
      <c r="V46" s="32"/>
      <c r="W46" s="32"/>
      <c r="X46" s="125" t="n">
        <v>0</v>
      </c>
      <c r="Y46" s="125" t="n">
        <v>0</v>
      </c>
      <c r="Z46" s="125" t="n">
        <v>0.1</v>
      </c>
      <c r="AA46" s="32" t="n">
        <v>0.05</v>
      </c>
      <c r="AB46" s="125" t="n">
        <v>2</v>
      </c>
      <c r="AC46" s="125" t="n">
        <v>1.9</v>
      </c>
      <c r="AD46" s="124"/>
      <c r="AE46" s="124"/>
      <c r="AF46" s="124"/>
      <c r="AG46" s="124"/>
      <c r="AH46" s="124"/>
      <c r="AI46" s="124"/>
      <c r="AJ46" s="124"/>
      <c r="AK46" s="124"/>
      <c r="AL46" s="124"/>
      <c r="AM46" s="124"/>
      <c r="AN46" s="124"/>
      <c r="AO46" s="124"/>
      <c r="AP46" s="124"/>
      <c r="AQ46" s="124"/>
      <c r="AR46" s="124"/>
      <c r="AS46" s="124"/>
      <c r="AT46" s="124"/>
      <c r="AU46" s="124"/>
      <c r="AV46" s="124"/>
      <c r="AW46" s="124"/>
      <c r="AX46" s="124"/>
      <c r="AY46" s="124"/>
      <c r="AZ46" s="124"/>
      <c r="BA46" s="124"/>
      <c r="BB46" s="136"/>
    </row>
    <row r="47" customFormat="false" ht="15.6" hidden="false" customHeight="false" outlineLevel="0" collapsed="false">
      <c r="A47" s="111" t="n">
        <f aca="false">IF(ISBLANK(VLOOKUP(D47,#REF!,3)),0,1)</f>
        <v>1</v>
      </c>
      <c r="B47" s="112" t="n">
        <f aca="false">IF(ISBLANK(D47),0,IF(ISBLANK(E47),0,IF(ISBLANK(F47),0,1)))</f>
        <v>0</v>
      </c>
      <c r="C47" s="128" t="n">
        <v>13</v>
      </c>
      <c r="D47" s="151"/>
      <c r="E47" s="151"/>
      <c r="F47" s="152"/>
      <c r="G47" s="153"/>
      <c r="H47" s="151"/>
      <c r="I47" s="151"/>
      <c r="J47" s="132"/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32"/>
      <c r="Q47" s="132"/>
      <c r="R47" s="132"/>
      <c r="S47" s="132"/>
      <c r="T47" s="124"/>
      <c r="U47" s="124"/>
      <c r="V47" s="124"/>
      <c r="W47" s="124"/>
      <c r="X47" s="12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24"/>
      <c r="AJ47" s="124"/>
      <c r="AK47" s="124"/>
      <c r="AL47" s="124"/>
      <c r="AM47" s="124"/>
      <c r="AN47" s="124"/>
      <c r="AO47" s="124"/>
      <c r="AP47" s="124"/>
      <c r="AQ47" s="124"/>
      <c r="AR47" s="124"/>
      <c r="AS47" s="124"/>
      <c r="AT47" s="124"/>
      <c r="AU47" s="124"/>
      <c r="AV47" s="124"/>
      <c r="AW47" s="124"/>
      <c r="AX47" s="124"/>
      <c r="AY47" s="124"/>
      <c r="AZ47" s="124"/>
      <c r="BA47" s="124"/>
      <c r="BB47" s="136"/>
    </row>
    <row r="48" customFormat="false" ht="15.6" hidden="false" customHeight="false" outlineLevel="0" collapsed="false">
      <c r="A48" s="111" t="n">
        <f aca="false">IF(ISBLANK(VLOOKUP(D48,#REF!,3)),0,1)</f>
        <v>1</v>
      </c>
      <c r="B48" s="112" t="n">
        <f aca="false">IF(ISBLANK(D48),0,IF(ISBLANK(E48),0,IF(ISBLANK(F48),0,1)))</f>
        <v>0</v>
      </c>
      <c r="C48" s="128" t="n">
        <v>14</v>
      </c>
      <c r="D48" s="151"/>
      <c r="E48" s="151"/>
      <c r="F48" s="152"/>
      <c r="G48" s="153"/>
      <c r="H48" s="151"/>
      <c r="I48" s="151"/>
      <c r="J48" s="132"/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32"/>
      <c r="Q48" s="132"/>
      <c r="R48" s="132"/>
      <c r="S48" s="132"/>
      <c r="T48" s="124"/>
      <c r="U48" s="124"/>
      <c r="V48" s="124"/>
      <c r="W48" s="124"/>
      <c r="X48" s="124"/>
      <c r="Y48" s="124"/>
      <c r="Z48" s="124"/>
      <c r="AA48" s="124"/>
      <c r="AB48" s="124"/>
      <c r="AC48" s="124"/>
      <c r="AD48" s="124"/>
      <c r="AE48" s="124"/>
      <c r="AF48" s="124"/>
      <c r="AG48" s="124"/>
      <c r="AH48" s="124"/>
      <c r="AI48" s="124"/>
      <c r="AJ48" s="124"/>
      <c r="AK48" s="124"/>
      <c r="AL48" s="124"/>
      <c r="AM48" s="124"/>
      <c r="AN48" s="124"/>
      <c r="AO48" s="124"/>
      <c r="AP48" s="124"/>
      <c r="AQ48" s="124"/>
      <c r="AR48" s="124"/>
      <c r="AS48" s="124"/>
      <c r="AT48" s="124"/>
      <c r="AU48" s="124"/>
      <c r="AV48" s="124"/>
      <c r="AW48" s="124"/>
      <c r="AX48" s="124"/>
      <c r="AY48" s="124"/>
      <c r="AZ48" s="124"/>
      <c r="BA48" s="124"/>
      <c r="BB48" s="136"/>
    </row>
    <row r="49" customFormat="false" ht="15.6" hidden="false" customHeight="false" outlineLevel="0" collapsed="false">
      <c r="A49" s="111" t="n">
        <f aca="false">IF(ISBLANK(VLOOKUP(D49,#REF!,3)),0,1)</f>
        <v>1</v>
      </c>
      <c r="B49" s="112" t="n">
        <f aca="false">IF(ISBLANK(D49),0,IF(ISBLANK(E49),0,IF(ISBLANK(F49),0,1)))</f>
        <v>0</v>
      </c>
      <c r="C49" s="128" t="n">
        <v>15</v>
      </c>
      <c r="D49" s="151"/>
      <c r="E49" s="151"/>
      <c r="F49" s="152"/>
      <c r="G49" s="156"/>
      <c r="H49" s="151"/>
      <c r="I49" s="151"/>
      <c r="J49" s="132"/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32"/>
      <c r="Q49" s="132"/>
      <c r="R49" s="132"/>
      <c r="S49" s="132"/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24"/>
      <c r="AE49" s="124"/>
      <c r="AF49" s="124"/>
      <c r="AG49" s="124"/>
      <c r="AH49" s="124"/>
      <c r="AI49" s="124"/>
      <c r="AJ49" s="124"/>
      <c r="AK49" s="124"/>
      <c r="AL49" s="124"/>
      <c r="AM49" s="124"/>
      <c r="AN49" s="124"/>
      <c r="AO49" s="124"/>
      <c r="AP49" s="124"/>
      <c r="AQ49" s="124"/>
      <c r="AR49" s="124"/>
      <c r="AS49" s="124"/>
      <c r="AT49" s="124"/>
      <c r="AU49" s="124"/>
      <c r="AV49" s="124"/>
      <c r="AW49" s="124"/>
      <c r="AX49" s="124"/>
      <c r="AY49" s="124"/>
      <c r="AZ49" s="124"/>
      <c r="BA49" s="124"/>
      <c r="BB49" s="136"/>
    </row>
    <row r="50" customFormat="false" ht="15.6" hidden="false" customHeight="false" outlineLevel="0" collapsed="false">
      <c r="A50" s="111" t="n">
        <f aca="false">IF(ISBLANK(VLOOKUP(D50,#REF!,3)),0,1)</f>
        <v>1</v>
      </c>
      <c r="B50" s="112" t="n">
        <f aca="false">IF(ISBLANK(D50),0,IF(ISBLANK(E50),0,IF(ISBLANK(F50),0,1)))</f>
        <v>0</v>
      </c>
      <c r="C50" s="128" t="n">
        <v>16</v>
      </c>
      <c r="D50" s="151"/>
      <c r="E50" s="151"/>
      <c r="F50" s="152"/>
      <c r="G50" s="156"/>
      <c r="H50" s="151"/>
      <c r="I50" s="151"/>
      <c r="J50" s="132"/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32"/>
      <c r="Q50" s="132"/>
      <c r="R50" s="132"/>
      <c r="S50" s="132"/>
      <c r="T50" s="124"/>
      <c r="U50" s="124"/>
      <c r="V50" s="124"/>
      <c r="W50" s="124"/>
      <c r="X50" s="124"/>
      <c r="Y50" s="124"/>
      <c r="Z50" s="124"/>
      <c r="AA50" s="124"/>
      <c r="AB50" s="124"/>
      <c r="AC50" s="124"/>
      <c r="AD50" s="124"/>
      <c r="AE50" s="124"/>
      <c r="AF50" s="124"/>
      <c r="AG50" s="124"/>
      <c r="AH50" s="124"/>
      <c r="AI50" s="124"/>
      <c r="AJ50" s="124"/>
      <c r="AK50" s="124"/>
      <c r="AL50" s="124"/>
      <c r="AM50" s="124"/>
      <c r="AN50" s="124"/>
      <c r="AO50" s="124"/>
      <c r="AP50" s="124"/>
      <c r="AQ50" s="124"/>
      <c r="AR50" s="124"/>
      <c r="AS50" s="124"/>
      <c r="AT50" s="124"/>
      <c r="AU50" s="124"/>
      <c r="AV50" s="124"/>
      <c r="AW50" s="124"/>
      <c r="AX50" s="124"/>
      <c r="AY50" s="124"/>
      <c r="AZ50" s="124"/>
      <c r="BA50" s="124"/>
      <c r="BB50" s="136"/>
    </row>
    <row r="51" customFormat="false" ht="15.6" hidden="false" customHeight="false" outlineLevel="0" collapsed="false">
      <c r="A51" s="111" t="n">
        <f aca="false">IF(ISBLANK(VLOOKUP(D51,#REF!,3)),0,1)</f>
        <v>1</v>
      </c>
      <c r="B51" s="112" t="n">
        <f aca="false">IF(ISBLANK(D51),0,IF(ISBLANK(E51),0,IF(ISBLANK(F51),0,1)))</f>
        <v>0</v>
      </c>
      <c r="C51" s="128" t="n">
        <v>17</v>
      </c>
      <c r="D51" s="151"/>
      <c r="E51" s="151"/>
      <c r="F51" s="152"/>
      <c r="G51" s="156"/>
      <c r="H51" s="151"/>
      <c r="I51" s="151"/>
      <c r="J51" s="132"/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32"/>
      <c r="Q51" s="132"/>
      <c r="R51" s="132"/>
      <c r="S51" s="132"/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24"/>
      <c r="AE51" s="124"/>
      <c r="AF51" s="124"/>
      <c r="AG51" s="124"/>
      <c r="AH51" s="124"/>
      <c r="AI51" s="124"/>
      <c r="AJ51" s="124"/>
      <c r="AK51" s="124"/>
      <c r="AL51" s="124"/>
      <c r="AM51" s="124"/>
      <c r="AN51" s="124"/>
      <c r="AO51" s="124"/>
      <c r="AP51" s="124"/>
      <c r="AQ51" s="124"/>
      <c r="AR51" s="124"/>
      <c r="AS51" s="124"/>
      <c r="AT51" s="124"/>
      <c r="AU51" s="124"/>
      <c r="AV51" s="124"/>
      <c r="AW51" s="124"/>
      <c r="AX51" s="124"/>
      <c r="AY51" s="124"/>
      <c r="AZ51" s="124"/>
      <c r="BA51" s="124"/>
      <c r="BB51" s="136"/>
    </row>
    <row r="52" customFormat="false" ht="15.6" hidden="false" customHeight="false" outlineLevel="0" collapsed="false">
      <c r="A52" s="111" t="n">
        <f aca="false">IF(ISBLANK(VLOOKUP(D52,#REF!,3)),0,1)</f>
        <v>1</v>
      </c>
      <c r="B52" s="112" t="n">
        <f aca="false">IF(ISBLANK(D52),0,IF(ISBLANK(E52),0,IF(ISBLANK(F52),0,1)))</f>
        <v>0</v>
      </c>
      <c r="C52" s="128" t="n">
        <v>18</v>
      </c>
      <c r="D52" s="151"/>
      <c r="E52" s="151"/>
      <c r="F52" s="152"/>
      <c r="G52" s="156"/>
      <c r="H52" s="151"/>
      <c r="I52" s="151"/>
      <c r="J52" s="132"/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32"/>
      <c r="Q52" s="132"/>
      <c r="R52" s="132"/>
      <c r="S52" s="132"/>
      <c r="T52" s="124"/>
      <c r="U52" s="124"/>
      <c r="V52" s="124"/>
      <c r="W52" s="124"/>
      <c r="X52" s="124"/>
      <c r="Y52" s="124"/>
      <c r="Z52" s="124"/>
      <c r="AA52" s="124"/>
      <c r="AB52" s="124"/>
      <c r="AC52" s="124"/>
      <c r="AD52" s="124"/>
      <c r="AE52" s="124"/>
      <c r="AF52" s="124"/>
      <c r="AG52" s="124"/>
      <c r="AH52" s="124"/>
      <c r="AI52" s="124"/>
      <c r="AJ52" s="124"/>
      <c r="AK52" s="124"/>
      <c r="AL52" s="124"/>
      <c r="AM52" s="124"/>
      <c r="AN52" s="124"/>
      <c r="AO52" s="124"/>
      <c r="AP52" s="124"/>
      <c r="AQ52" s="124"/>
      <c r="AR52" s="124"/>
      <c r="AS52" s="124"/>
      <c r="AT52" s="124"/>
      <c r="AU52" s="124"/>
      <c r="AV52" s="124"/>
      <c r="AW52" s="124"/>
      <c r="AX52" s="124"/>
      <c r="AY52" s="124"/>
      <c r="AZ52" s="124"/>
      <c r="BA52" s="124"/>
      <c r="BB52" s="136"/>
    </row>
    <row r="53" customFormat="false" ht="15.6" hidden="false" customHeight="false" outlineLevel="0" collapsed="false">
      <c r="A53" s="111" t="n">
        <f aca="false">IF(ISBLANK(VLOOKUP(D53,#REF!,3)),0,1)</f>
        <v>1</v>
      </c>
      <c r="B53" s="112" t="n">
        <f aca="false">IF(ISBLANK(D53),0,IF(ISBLANK(E53),0,IF(ISBLANK(F53),0,1)))</f>
        <v>0</v>
      </c>
      <c r="C53" s="128" t="n">
        <v>19</v>
      </c>
      <c r="D53" s="151"/>
      <c r="E53" s="151"/>
      <c r="F53" s="152"/>
      <c r="G53" s="156"/>
      <c r="H53" s="151"/>
      <c r="I53" s="151"/>
      <c r="J53" s="132"/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32"/>
      <c r="Q53" s="132"/>
      <c r="R53" s="132"/>
      <c r="S53" s="132"/>
      <c r="T53" s="124"/>
      <c r="U53" s="124"/>
      <c r="V53" s="124"/>
      <c r="W53" s="124"/>
      <c r="X53" s="12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24"/>
      <c r="AJ53" s="124"/>
      <c r="AK53" s="124"/>
      <c r="AL53" s="124"/>
      <c r="AM53" s="124"/>
      <c r="AN53" s="124"/>
      <c r="AO53" s="124"/>
      <c r="AP53" s="124"/>
      <c r="AQ53" s="124"/>
      <c r="AR53" s="124"/>
      <c r="AS53" s="124"/>
      <c r="AT53" s="124"/>
      <c r="AU53" s="124"/>
      <c r="AV53" s="124"/>
      <c r="AW53" s="124"/>
      <c r="AX53" s="124"/>
      <c r="AY53" s="124"/>
      <c r="AZ53" s="124"/>
      <c r="BA53" s="124"/>
      <c r="BB53" s="136"/>
    </row>
    <row r="54" customFormat="false" ht="15.6" hidden="false" customHeight="false" outlineLevel="0" collapsed="false">
      <c r="A54" s="111" t="n">
        <f aca="false">IF(ISBLANK(VLOOKUP(D54,#REF!,3)),0,1)</f>
        <v>1</v>
      </c>
      <c r="B54" s="112" t="n">
        <f aca="false">IF(ISBLANK(D54),0,IF(ISBLANK(E54),0,IF(ISBLANK(F54),0,1)))</f>
        <v>0</v>
      </c>
      <c r="C54" s="128" t="n">
        <v>20</v>
      </c>
      <c r="D54" s="151"/>
      <c r="E54" s="151"/>
      <c r="F54" s="152"/>
      <c r="G54" s="156"/>
      <c r="H54" s="151"/>
      <c r="I54" s="151"/>
      <c r="J54" s="132"/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32"/>
      <c r="Q54" s="132"/>
      <c r="R54" s="132"/>
      <c r="S54" s="132"/>
      <c r="T54" s="124"/>
      <c r="U54" s="124"/>
      <c r="V54" s="124"/>
      <c r="W54" s="124"/>
      <c r="X54" s="124"/>
      <c r="Y54" s="124"/>
      <c r="Z54" s="124"/>
      <c r="AA54" s="124"/>
      <c r="AB54" s="124"/>
      <c r="AC54" s="124"/>
      <c r="AD54" s="124"/>
      <c r="AE54" s="124"/>
      <c r="AF54" s="124"/>
      <c r="AG54" s="124"/>
      <c r="AH54" s="124"/>
      <c r="AI54" s="124"/>
      <c r="AJ54" s="124"/>
      <c r="AK54" s="124"/>
      <c r="AL54" s="124"/>
      <c r="AM54" s="124"/>
      <c r="AN54" s="124"/>
      <c r="AO54" s="124"/>
      <c r="AP54" s="124"/>
      <c r="AQ54" s="124"/>
      <c r="AR54" s="124"/>
      <c r="AS54" s="124"/>
      <c r="AT54" s="124"/>
      <c r="AU54" s="124"/>
      <c r="AV54" s="124"/>
      <c r="AW54" s="124"/>
      <c r="AX54" s="124"/>
      <c r="AY54" s="124"/>
      <c r="AZ54" s="124"/>
      <c r="BA54" s="124"/>
      <c r="BB54" s="136"/>
    </row>
    <row r="55" customFormat="false" ht="15.6" hidden="false" customHeight="false" outlineLevel="0" collapsed="false">
      <c r="A55" s="111" t="n">
        <f aca="false">IF(ISBLANK(VLOOKUP(D55,#REF!,3)),0,1)</f>
        <v>1</v>
      </c>
      <c r="B55" s="112" t="n">
        <f aca="false">IF(ISBLANK(D55),0,IF(ISBLANK(E55),0,IF(ISBLANK(F55),0,1)))</f>
        <v>0</v>
      </c>
      <c r="C55" s="128" t="n">
        <v>21</v>
      </c>
      <c r="D55" s="151"/>
      <c r="E55" s="151"/>
      <c r="F55" s="152"/>
      <c r="G55" s="156"/>
      <c r="H55" s="151"/>
      <c r="I55" s="151"/>
      <c r="J55" s="132"/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32"/>
      <c r="Q55" s="132"/>
      <c r="R55" s="132"/>
      <c r="S55" s="132"/>
      <c r="T55" s="124"/>
      <c r="U55" s="124"/>
      <c r="V55" s="124"/>
      <c r="W55" s="124"/>
      <c r="X55" s="124"/>
      <c r="Y55" s="124"/>
      <c r="Z55" s="124"/>
      <c r="AA55" s="124"/>
      <c r="AB55" s="124"/>
      <c r="AC55" s="124"/>
      <c r="AD55" s="124"/>
      <c r="AE55" s="124"/>
      <c r="AF55" s="124"/>
      <c r="AG55" s="124"/>
      <c r="AH55" s="124"/>
      <c r="AI55" s="124"/>
      <c r="AJ55" s="124"/>
      <c r="AK55" s="124"/>
      <c r="AL55" s="124"/>
      <c r="AM55" s="124"/>
      <c r="AN55" s="124"/>
      <c r="AO55" s="124"/>
      <c r="AP55" s="124"/>
      <c r="AQ55" s="124"/>
      <c r="AR55" s="124"/>
      <c r="AS55" s="124"/>
      <c r="AT55" s="124"/>
      <c r="AU55" s="124"/>
      <c r="AV55" s="124"/>
      <c r="AW55" s="124"/>
      <c r="AX55" s="124"/>
      <c r="AY55" s="124"/>
      <c r="AZ55" s="124"/>
      <c r="BA55" s="124"/>
      <c r="BB55" s="136"/>
    </row>
    <row r="56" customFormat="false" ht="15.6" hidden="false" customHeight="false" outlineLevel="0" collapsed="false">
      <c r="A56" s="111" t="n">
        <f aca="false">IF(ISBLANK(VLOOKUP(D56,#REF!,3)),0,1)</f>
        <v>1</v>
      </c>
      <c r="B56" s="112" t="n">
        <f aca="false">IF(ISBLANK(D56),0,IF(ISBLANK(E56),0,IF(ISBLANK(F56),0,1)))</f>
        <v>0</v>
      </c>
      <c r="C56" s="128" t="n">
        <v>22</v>
      </c>
      <c r="D56" s="151"/>
      <c r="E56" s="151"/>
      <c r="F56" s="152"/>
      <c r="G56" s="156"/>
      <c r="H56" s="151"/>
      <c r="I56" s="151"/>
      <c r="J56" s="132"/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32"/>
      <c r="Q56" s="132"/>
      <c r="R56" s="132"/>
      <c r="S56" s="132"/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24"/>
      <c r="AE56" s="124"/>
      <c r="AF56" s="124"/>
      <c r="AG56" s="124"/>
      <c r="AH56" s="124"/>
      <c r="AI56" s="124"/>
      <c r="AJ56" s="124"/>
      <c r="AK56" s="124"/>
      <c r="AL56" s="124"/>
      <c r="AM56" s="124"/>
      <c r="AN56" s="124"/>
      <c r="AO56" s="124"/>
      <c r="AP56" s="124"/>
      <c r="AQ56" s="124"/>
      <c r="AR56" s="124"/>
      <c r="AS56" s="124"/>
      <c r="AT56" s="124"/>
      <c r="AU56" s="124"/>
      <c r="AV56" s="124"/>
      <c r="AW56" s="124"/>
      <c r="AX56" s="124"/>
      <c r="AY56" s="124"/>
      <c r="AZ56" s="124"/>
      <c r="BA56" s="124"/>
      <c r="BB56" s="136"/>
    </row>
    <row r="57" customFormat="false" ht="15.6" hidden="false" customHeight="false" outlineLevel="0" collapsed="false">
      <c r="A57" s="111" t="n">
        <f aca="false">IF(ISBLANK(VLOOKUP(D57,#REF!,3)),0,1)</f>
        <v>1</v>
      </c>
      <c r="B57" s="112" t="n">
        <f aca="false">IF(ISBLANK(D57),0,IF(ISBLANK(E57),0,IF(ISBLANK(F57),0,1)))</f>
        <v>0</v>
      </c>
      <c r="C57" s="128" t="n">
        <v>23</v>
      </c>
      <c r="D57" s="151"/>
      <c r="E57" s="151"/>
      <c r="F57" s="152"/>
      <c r="G57" s="156"/>
      <c r="H57" s="151"/>
      <c r="I57" s="151"/>
      <c r="J57" s="132"/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32"/>
      <c r="Q57" s="132"/>
      <c r="R57" s="132"/>
      <c r="S57" s="132"/>
      <c r="T57" s="124"/>
      <c r="U57" s="124"/>
      <c r="V57" s="124"/>
      <c r="W57" s="124"/>
      <c r="X57" s="124"/>
      <c r="Y57" s="124"/>
      <c r="Z57" s="124"/>
      <c r="AA57" s="124"/>
      <c r="AB57" s="124"/>
      <c r="AC57" s="124"/>
      <c r="AD57" s="124"/>
      <c r="AE57" s="124"/>
      <c r="AF57" s="124"/>
      <c r="AG57" s="124"/>
      <c r="AH57" s="124"/>
      <c r="AI57" s="124"/>
      <c r="AJ57" s="124"/>
      <c r="AK57" s="124"/>
      <c r="AL57" s="124"/>
      <c r="AM57" s="124"/>
      <c r="AN57" s="124"/>
      <c r="AO57" s="124"/>
      <c r="AP57" s="124"/>
      <c r="AQ57" s="124"/>
      <c r="AR57" s="124"/>
      <c r="AS57" s="124"/>
      <c r="AT57" s="124"/>
      <c r="AU57" s="124"/>
      <c r="AV57" s="124"/>
      <c r="AW57" s="124"/>
      <c r="AX57" s="124"/>
      <c r="AY57" s="124"/>
      <c r="AZ57" s="124"/>
      <c r="BA57" s="124"/>
      <c r="BB57" s="136"/>
    </row>
    <row r="58" customFormat="false" ht="16.2" hidden="false" customHeight="false" outlineLevel="0" collapsed="false">
      <c r="A58" s="111" t="n">
        <f aca="false">IF(ISBLANK(VLOOKUP(D58,#REF!,3)),0,1)</f>
        <v>1</v>
      </c>
      <c r="B58" s="112" t="n">
        <f aca="false">IF(ISBLANK(D58),0,IF(ISBLANK(E58),0,IF(ISBLANK(F58),0,1)))</f>
        <v>0</v>
      </c>
      <c r="C58" s="158" t="n">
        <v>24</v>
      </c>
      <c r="D58" s="159"/>
      <c r="E58" s="159"/>
      <c r="F58" s="160"/>
      <c r="G58" s="161"/>
      <c r="H58" s="159"/>
      <c r="I58" s="159"/>
      <c r="J58" s="132"/>
      <c r="K58" s="163" t="str">
        <f aca="false">IF(ISBLANK(E58),"",(0.000824493-(0.0000040899*E58)+(0.000000076438*E58^2)-(0.00000000082467*E58^3)+(0.0000000000053875*E58^4)))</f>
        <v/>
      </c>
      <c r="L58" s="163" t="str">
        <f aca="false">IF(ISBLANK(E58),"",(-0.00000572466+(0.00000010227*E58)-(0.0000000016546*E58^2)))</f>
        <v/>
      </c>
      <c r="M58" s="163" t="str">
        <f aca="false">IF(ISBLANK(E58),"",IF(ISBLANK(G58),(O58+(K58*35)+(L58*35^1.5)+(0.00000048314*35^2)),(O58+(K58*G58)+(L58*G58^1.5)+(0.00000048314*G58^2))))</f>
        <v/>
      </c>
      <c r="N58" s="164" t="str">
        <f aca="false">IF(ISBLANK(D58),"",IF(ISBLANK(G58),J58*(1+0.00001*(35-20)),J58*(1+0.00001*(G58-20))))</f>
        <v/>
      </c>
      <c r="O58" s="163" t="str">
        <f aca="false">IF(ISBLANK(E58),"",(0.999842594+(0.00006793952*E58)-(0.00000909529*E58^2)+(0.0000001001685*E58^3)-(0.000000001120083*E58^4)+(0.000000000006536332*E58^5)))</f>
        <v/>
      </c>
      <c r="P58" s="132"/>
      <c r="Q58" s="132"/>
      <c r="R58" s="132"/>
      <c r="S58" s="132"/>
      <c r="T58" s="168"/>
      <c r="U58" s="168"/>
      <c r="V58" s="168"/>
      <c r="W58" s="168"/>
      <c r="X58" s="168"/>
      <c r="Y58" s="168"/>
      <c r="Z58" s="168"/>
      <c r="AA58" s="168"/>
      <c r="AB58" s="168"/>
      <c r="AC58" s="168"/>
      <c r="AD58" s="168"/>
      <c r="AE58" s="168"/>
      <c r="AF58" s="168"/>
      <c r="AG58" s="168"/>
      <c r="AH58" s="168"/>
      <c r="AI58" s="168"/>
      <c r="AJ58" s="168"/>
      <c r="AK58" s="168"/>
      <c r="AL58" s="168"/>
      <c r="AM58" s="168"/>
      <c r="AN58" s="168"/>
      <c r="AO58" s="168"/>
      <c r="AP58" s="168"/>
      <c r="AQ58" s="168"/>
      <c r="AR58" s="168"/>
      <c r="AS58" s="168"/>
      <c r="AT58" s="168"/>
      <c r="AU58" s="168"/>
      <c r="AV58" s="168"/>
      <c r="AW58" s="168"/>
      <c r="AX58" s="168"/>
      <c r="AY58" s="168"/>
      <c r="AZ58" s="168"/>
      <c r="BA58" s="168"/>
      <c r="BB58" s="169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U1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8178137651822"/>
    <col collapsed="false" hidden="false" max="32" min="32" style="0" width="9.10526315789474"/>
    <col collapsed="false" hidden="false" max="33" min="33" style="0" width="26.5668016194332"/>
    <col collapsed="false" hidden="false" max="34" min="34" style="0" width="12.8542510121458"/>
    <col collapsed="false" hidden="false" max="35" min="35" style="0" width="11.1417004048583"/>
    <col collapsed="false" hidden="false" max="36" min="36" style="0" width="14.5668016194332"/>
    <col collapsed="false" hidden="false" max="37" min="37" style="0" width="12.2105263157895"/>
    <col collapsed="false" hidden="false" max="38" min="38" style="0" width="26.995951417004"/>
    <col collapsed="false" hidden="false" max="39" min="39" style="0" width="14.6761133603239"/>
    <col collapsed="false" hidden="false" max="40" min="40" style="0" width="11.3562753036437"/>
    <col collapsed="false" hidden="false" max="41" min="41" style="0" width="12.5344129554656"/>
    <col collapsed="false" hidden="false" max="42" min="42" style="0" width="10.7125506072875"/>
    <col collapsed="false" hidden="false" max="43" min="43" style="0" width="6.31983805668016"/>
    <col collapsed="false" hidden="false" max="44" min="44" style="0" width="19.7085020242915"/>
    <col collapsed="false" hidden="false" max="45" min="45" style="0" width="13.0688259109312"/>
    <col collapsed="false" hidden="false" max="46" min="46" style="0" width="17.7813765182186"/>
    <col collapsed="false" hidden="false" max="47" min="47" style="0" width="14.6761133603239"/>
    <col collapsed="false" hidden="false" max="48" min="48" style="0" width="13.6032388663968"/>
    <col collapsed="false" hidden="false" max="49" min="49" style="0" width="13.7125506072874"/>
    <col collapsed="false" hidden="false" max="50" min="50" style="0" width="19.9230769230769"/>
    <col collapsed="false" hidden="false" max="51" min="51" style="0" width="13.2834008097166"/>
    <col collapsed="false" hidden="false" max="52" min="52" style="0" width="17.6761133603239"/>
    <col collapsed="false" hidden="false" max="53" min="53" style="0" width="13.3886639676113"/>
    <col collapsed="false" hidden="false" max="54" min="54" style="0" width="12.6396761133603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41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38728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6</v>
      </c>
      <c r="J9" s="29" t="n">
        <v>2.84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6°2,84</v>
      </c>
      <c r="P9" s="29" t="s">
        <v>13</v>
      </c>
      <c r="Q9" s="33" t="n">
        <f aca="false">IF(ISBLANK(I9),"",IF(ISBLANK(J9),"",IF(J9&gt;60,"ERREUR !!",O11*(I9+(J9/60)))))</f>
        <v>6.04733333333333</v>
      </c>
      <c r="R9" s="33"/>
    </row>
    <row r="10" customFormat="false" ht="15" hidden="false" customHeight="true" outlineLevel="0" collapsed="false">
      <c r="C10" s="21"/>
      <c r="D10" s="18"/>
      <c r="G10" s="27" t="s">
        <v>16</v>
      </c>
      <c r="H10" s="27"/>
      <c r="I10" s="28" t="n">
        <v>2</v>
      </c>
      <c r="J10" s="29" t="n">
        <v>22.01</v>
      </c>
      <c r="K10" s="30" t="s">
        <v>12</v>
      </c>
      <c r="L10" s="31" t="str">
        <f aca="false">IF(P10=N9,"+","-")</f>
        <v>+</v>
      </c>
      <c r="M10" s="30" t="s">
        <v>15</v>
      </c>
      <c r="N10" s="30" t="s">
        <v>17</v>
      </c>
      <c r="O10" s="34" t="str">
        <f aca="false">IF(ISBLANK(I10),"",IF(ISBLANK(J10),"",IF(P10=N10,L10&amp;N12,N12)))</f>
        <v>2°22,01</v>
      </c>
      <c r="P10" s="29" t="s">
        <v>14</v>
      </c>
      <c r="Q10" s="33" t="n">
        <f aca="false">IF(ISBLANK(I10),"",IF(ISBLANK(J10),"",IF(J10&gt;60,"ERREUR !!",O12*(I10+(J10/60)))))</f>
        <v>2.36683333333333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38555</v>
      </c>
      <c r="K11" s="38"/>
      <c r="L11" s="38"/>
      <c r="M11" s="38"/>
      <c r="N11" s="39" t="str">
        <f aca="false">I9&amp;"°"&amp;J9</f>
        <v>6°2,84</v>
      </c>
      <c r="O11" s="40" t="n">
        <f aca="false">IF(P9=M10,-1,1)</f>
        <v>1</v>
      </c>
      <c r="P11" s="41" t="str">
        <f aca="false">TEXT(J11,"aaaa-mm-jj")&amp;"T"&amp;TEXT(J12,"hh:mm:ss")&amp;"z"</f>
        <v>2009-07-23T13:30:00z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0.5625</v>
      </c>
      <c r="K12" s="45"/>
      <c r="L12" s="45"/>
      <c r="M12" s="45"/>
      <c r="N12" s="46" t="str">
        <f aca="false">I10&amp;"°"&amp;J10</f>
        <v>2°22,01</v>
      </c>
      <c r="O12" s="40" t="n">
        <f aca="false">IF(P10=N10,-1,1)</f>
        <v>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e">
        <f aca="false">$P$24*($P$18/#REF!)</f>
        <v>#REF!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e">
        <f aca="false">5+#REF!</f>
        <v>#REF!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e">
        <f aca="false">P20*(1+0.00001*(R14-20))</f>
        <v>#REF!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e">
        <f aca="false">MAX(#REF!)</f>
        <v>#VALUE!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e">
        <f aca="false">2+(#REF!+#REF!)</f>
        <v>#REF!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52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53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IF(ISBLANK(VLOOKUP(D35,#REF!,3)),0,1)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s">
        <v>99</v>
      </c>
      <c r="H35" s="131" t="n">
        <v>500</v>
      </c>
      <c r="I35" s="125" t="n">
        <v>503.77</v>
      </c>
      <c r="J35" s="120"/>
      <c r="K35" s="121"/>
      <c r="L35" s="121"/>
      <c r="M35" s="121"/>
      <c r="N35" s="122"/>
      <c r="O35" s="121"/>
      <c r="P35" s="132"/>
      <c r="Q35" s="120"/>
      <c r="R35" s="120"/>
      <c r="S35" s="120"/>
      <c r="T35" s="125" t="n">
        <v>0</v>
      </c>
      <c r="U35" s="32" t="n">
        <v>0.01</v>
      </c>
      <c r="V35" s="32"/>
      <c r="W35" s="32"/>
      <c r="X35" s="125" t="n">
        <v>36.3</v>
      </c>
      <c r="Y35" s="125" t="n">
        <v>35.5</v>
      </c>
      <c r="Z35" s="125" t="n">
        <v>2.4</v>
      </c>
      <c r="AA35" s="32" t="n">
        <v>2.32</v>
      </c>
      <c r="AB35" s="125" t="n">
        <v>22.2</v>
      </c>
      <c r="AC35" s="125" t="n">
        <v>21.7</v>
      </c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7"/>
    </row>
    <row r="36" customFormat="false" ht="15.6" hidden="false" customHeight="false" outlineLevel="0" collapsed="false">
      <c r="A36" s="111" t="n">
        <f aca="false">IF(ISBLANK(VLOOKUP(D36,#REF!,3)),0,1)</f>
        <v>1</v>
      </c>
      <c r="B36" s="112" t="n">
        <f aca="false">IF(ISBLANK(D36),0,IF(ISBLANK(E36),0,IF(ISBLANK(F36),0,1)))</f>
        <v>0</v>
      </c>
      <c r="C36" s="128" t="n">
        <v>2</v>
      </c>
      <c r="D36" s="129"/>
      <c r="E36" s="129"/>
      <c r="F36" s="130"/>
      <c r="G36" s="117" t="s">
        <v>99</v>
      </c>
      <c r="H36" s="131" t="n">
        <v>300</v>
      </c>
      <c r="I36" s="125" t="n">
        <v>298.6</v>
      </c>
      <c r="J36" s="132"/>
      <c r="K36" s="133"/>
      <c r="L36" s="133"/>
      <c r="M36" s="133"/>
      <c r="N36" s="134"/>
      <c r="O36" s="133"/>
      <c r="P36" s="132"/>
      <c r="Q36" s="132"/>
      <c r="R36" s="132"/>
      <c r="S36" s="132"/>
      <c r="T36" s="125" t="n">
        <v>0.3</v>
      </c>
      <c r="U36" s="32" t="n">
        <v>0.26</v>
      </c>
      <c r="V36" s="32"/>
      <c r="W36" s="32"/>
      <c r="X36" s="125" t="n">
        <v>31.8</v>
      </c>
      <c r="Y36" s="125" t="n">
        <v>31</v>
      </c>
      <c r="Z36" s="125" t="n">
        <v>2</v>
      </c>
      <c r="AA36" s="32" t="n">
        <v>1.92</v>
      </c>
      <c r="AB36" s="125" t="n">
        <v>14.7</v>
      </c>
      <c r="AC36" s="125" t="n">
        <v>14.4</v>
      </c>
      <c r="AD36" s="124"/>
      <c r="AE36" s="124"/>
      <c r="AF36" s="124"/>
      <c r="AG36" s="124"/>
      <c r="AH36" s="124"/>
      <c r="AI36" s="124"/>
      <c r="AJ36" s="124"/>
      <c r="AK36" s="124"/>
      <c r="AL36" s="124"/>
      <c r="AM36" s="124"/>
      <c r="AN36" s="124"/>
      <c r="AO36" s="124"/>
      <c r="AP36" s="124"/>
      <c r="AQ36" s="124"/>
      <c r="AR36" s="124"/>
      <c r="AS36" s="124"/>
      <c r="AT36" s="124"/>
      <c r="AU36" s="124"/>
      <c r="AV36" s="124"/>
      <c r="AW36" s="124"/>
      <c r="AX36" s="124"/>
      <c r="AY36" s="124"/>
      <c r="AZ36" s="124"/>
      <c r="BA36" s="124"/>
      <c r="BB36" s="136"/>
    </row>
    <row r="37" customFormat="false" ht="15.6" hidden="false" customHeight="false" outlineLevel="0" collapsed="false">
      <c r="A37" s="111" t="n">
        <f aca="false">IF(ISBLANK(VLOOKUP(D37,#REF!,3)),0,1)</f>
        <v>1</v>
      </c>
      <c r="B37" s="112" t="n">
        <f aca="false">IF(ISBLANK(D37),0,IF(ISBLANK(E37),0,IF(ISBLANK(F37),0,1)))</f>
        <v>0</v>
      </c>
      <c r="C37" s="128" t="n">
        <v>3</v>
      </c>
      <c r="D37" s="129"/>
      <c r="E37" s="129"/>
      <c r="F37" s="137"/>
      <c r="G37" s="117" t="s">
        <v>99</v>
      </c>
      <c r="H37" s="131" t="n">
        <v>200</v>
      </c>
      <c r="I37" s="125" t="n">
        <v>199.83</v>
      </c>
      <c r="K37" s="133"/>
      <c r="L37" s="133"/>
      <c r="M37" s="133"/>
      <c r="N37" s="134"/>
      <c r="O37" s="133"/>
      <c r="P37" s="132"/>
      <c r="Q37" s="132"/>
      <c r="R37" s="132"/>
      <c r="S37" s="132"/>
      <c r="T37" s="125" t="n">
        <v>0</v>
      </c>
      <c r="U37" s="32" t="n">
        <v>0.01</v>
      </c>
      <c r="V37" s="32"/>
      <c r="W37" s="32"/>
      <c r="X37" s="125" t="n">
        <v>25.7</v>
      </c>
      <c r="Y37" s="125" t="n">
        <v>25.1</v>
      </c>
      <c r="Z37" s="125" t="n">
        <v>1.7</v>
      </c>
      <c r="AA37" s="32" t="n">
        <v>1.62</v>
      </c>
      <c r="AB37" s="125" t="n">
        <v>10.7</v>
      </c>
      <c r="AC37" s="125" t="n">
        <v>10.5</v>
      </c>
      <c r="AD37" s="124"/>
      <c r="AE37" s="124"/>
      <c r="AF37" s="124"/>
      <c r="AG37" s="124"/>
      <c r="AH37" s="124"/>
      <c r="AI37" s="124"/>
      <c r="AJ37" s="124"/>
      <c r="AK37" s="124"/>
      <c r="AL37" s="124"/>
      <c r="AM37" s="124"/>
      <c r="AN37" s="124"/>
      <c r="AO37" s="124"/>
      <c r="AP37" s="124"/>
      <c r="AQ37" s="124"/>
      <c r="AR37" s="124"/>
      <c r="AS37" s="124"/>
      <c r="AT37" s="124"/>
      <c r="AU37" s="124"/>
      <c r="AV37" s="124"/>
      <c r="AW37" s="124"/>
      <c r="AX37" s="124"/>
      <c r="AY37" s="124"/>
      <c r="AZ37" s="124"/>
      <c r="BA37" s="124"/>
      <c r="BB37" s="136"/>
    </row>
    <row r="38" customFormat="false" ht="15.6" hidden="false" customHeight="false" outlineLevel="0" collapsed="false">
      <c r="A38" s="111" t="n">
        <f aca="false">IF(ISBLANK(VLOOKUP(D38,#REF!,3)),0,1)</f>
        <v>1</v>
      </c>
      <c r="B38" s="112" t="n">
        <f aca="false">IF(ISBLANK(D38),0,IF(ISBLANK(E38),0,IF(ISBLANK(F38),0,1)))</f>
        <v>0</v>
      </c>
      <c r="C38" s="128" t="n">
        <v>4</v>
      </c>
      <c r="D38" s="138"/>
      <c r="E38" s="138"/>
      <c r="F38" s="139"/>
      <c r="G38" s="117" t="s">
        <v>99</v>
      </c>
      <c r="H38" s="131" t="n">
        <v>100</v>
      </c>
      <c r="I38" s="125" t="n">
        <v>100.1</v>
      </c>
      <c r="J38" s="132"/>
      <c r="K38" s="133"/>
      <c r="L38" s="133"/>
      <c r="M38" s="133"/>
      <c r="N38" s="134"/>
      <c r="O38" s="133"/>
      <c r="P38" s="132"/>
      <c r="Q38" s="132"/>
      <c r="R38" s="132"/>
      <c r="S38" s="132"/>
      <c r="T38" s="125" t="n">
        <v>0</v>
      </c>
      <c r="U38" s="32" t="n">
        <v>0.02</v>
      </c>
      <c r="V38" s="32"/>
      <c r="W38" s="32"/>
      <c r="X38" s="125" t="n">
        <v>17.6</v>
      </c>
      <c r="Y38" s="125" t="n">
        <v>17.2</v>
      </c>
      <c r="Z38" s="125" t="n">
        <v>1.2</v>
      </c>
      <c r="AA38" s="32" t="n">
        <v>1.17</v>
      </c>
      <c r="AB38" s="125" t="n">
        <v>6.8</v>
      </c>
      <c r="AC38" s="125" t="n">
        <v>6.6</v>
      </c>
      <c r="AD38" s="124"/>
      <c r="AE38" s="124"/>
      <c r="AF38" s="124"/>
      <c r="AG38" s="124"/>
      <c r="AH38" s="124"/>
      <c r="AI38" s="124"/>
      <c r="AJ38" s="124"/>
      <c r="AK38" s="124"/>
      <c r="AL38" s="124"/>
      <c r="AM38" s="124"/>
      <c r="AN38" s="124"/>
      <c r="AO38" s="124"/>
      <c r="AP38" s="124"/>
      <c r="AQ38" s="124"/>
      <c r="AR38" s="124"/>
      <c r="AS38" s="124"/>
      <c r="AT38" s="124"/>
      <c r="AU38" s="124"/>
      <c r="AV38" s="124"/>
      <c r="AW38" s="124"/>
      <c r="AX38" s="124"/>
      <c r="AY38" s="124"/>
      <c r="AZ38" s="124"/>
      <c r="BA38" s="124"/>
      <c r="BB38" s="136"/>
    </row>
    <row r="39" customFormat="false" ht="15.6" hidden="false" customHeight="false" outlineLevel="0" collapsed="false">
      <c r="A39" s="111" t="n">
        <f aca="false">IF(ISBLANK(VLOOKUP(D39,#REF!,3)),0,1)</f>
        <v>1</v>
      </c>
      <c r="B39" s="112" t="n">
        <f aca="false">IF(ISBLANK(D39),0,IF(ISBLANK(E39),0,IF(ISBLANK(F39),0,1)))</f>
        <v>0</v>
      </c>
      <c r="C39" s="128" t="n">
        <v>5</v>
      </c>
      <c r="D39" s="129"/>
      <c r="E39" s="129"/>
      <c r="F39" s="137"/>
      <c r="G39" s="117" t="s">
        <v>99</v>
      </c>
      <c r="H39" s="131" t="n">
        <v>80</v>
      </c>
      <c r="I39" s="125" t="n">
        <v>79.69</v>
      </c>
      <c r="J39" s="132"/>
      <c r="K39" s="133"/>
      <c r="L39" s="133"/>
      <c r="M39" s="133"/>
      <c r="N39" s="134"/>
      <c r="O39" s="133"/>
      <c r="P39" s="132"/>
      <c r="Q39" s="132"/>
      <c r="R39" s="132"/>
      <c r="S39" s="132"/>
      <c r="T39" s="125" t="n">
        <v>0</v>
      </c>
      <c r="U39" s="32" t="n">
        <v>0.03</v>
      </c>
      <c r="V39" s="32"/>
      <c r="W39" s="32"/>
      <c r="X39" s="125" t="n">
        <v>16.3</v>
      </c>
      <c r="Y39" s="125" t="n">
        <v>15.9</v>
      </c>
      <c r="Z39" s="125" t="n">
        <v>1.1</v>
      </c>
      <c r="AA39" s="32" t="n">
        <v>1.05</v>
      </c>
      <c r="AB39" s="125" t="n">
        <v>6.2</v>
      </c>
      <c r="AC39" s="125" t="n">
        <v>6</v>
      </c>
      <c r="AD39" s="124"/>
      <c r="AE39" s="124"/>
      <c r="AF39" s="124"/>
      <c r="AG39" s="124"/>
      <c r="AH39" s="124"/>
      <c r="AI39" s="124"/>
      <c r="AJ39" s="124"/>
      <c r="AK39" s="124"/>
      <c r="AL39" s="124"/>
      <c r="AM39" s="124"/>
      <c r="AN39" s="124"/>
      <c r="AO39" s="124"/>
      <c r="AP39" s="124"/>
      <c r="AQ39" s="124"/>
      <c r="AR39" s="124"/>
      <c r="AS39" s="124"/>
      <c r="AT39" s="124"/>
      <c r="AU39" s="124"/>
      <c r="AV39" s="124"/>
      <c r="AW39" s="124"/>
      <c r="AX39" s="124"/>
      <c r="AY39" s="124"/>
      <c r="AZ39" s="124"/>
      <c r="BA39" s="124"/>
      <c r="BB39" s="136"/>
    </row>
    <row r="40" customFormat="false" ht="15.6" hidden="false" customHeight="false" outlineLevel="0" collapsed="false">
      <c r="A40" s="111" t="n">
        <f aca="false">IF(ISBLANK(VLOOKUP(D40,#REF!,3)),0,1)</f>
        <v>1</v>
      </c>
      <c r="B40" s="112" t="n">
        <f aca="false">IF(ISBLANK(D40),0,IF(ISBLANK(E40),0,IF(ISBLANK(F40),0,1)))</f>
        <v>0</v>
      </c>
      <c r="C40" s="128" t="n">
        <v>6</v>
      </c>
      <c r="D40" s="129"/>
      <c r="E40" s="129"/>
      <c r="F40" s="137"/>
      <c r="G40" s="117" t="s">
        <v>99</v>
      </c>
      <c r="H40" s="131" t="n">
        <v>50</v>
      </c>
      <c r="I40" s="125" t="n">
        <v>50.74</v>
      </c>
      <c r="J40" s="132"/>
      <c r="K40" s="133"/>
      <c r="L40" s="133"/>
      <c r="M40" s="133"/>
      <c r="N40" s="134"/>
      <c r="O40" s="133"/>
      <c r="P40" s="132"/>
      <c r="Q40" s="132"/>
      <c r="R40" s="132"/>
      <c r="S40" s="132"/>
      <c r="T40" s="125" t="n">
        <v>0.1</v>
      </c>
      <c r="U40" s="32" t="n">
        <v>0.14</v>
      </c>
      <c r="V40" s="32"/>
      <c r="W40" s="32"/>
      <c r="X40" s="125" t="n">
        <v>8.2</v>
      </c>
      <c r="Y40" s="125" t="n">
        <v>8</v>
      </c>
      <c r="Z40" s="125" t="n">
        <v>0.7</v>
      </c>
      <c r="AA40" s="32" t="n">
        <v>0.67</v>
      </c>
      <c r="AB40" s="125" t="n">
        <v>4.2</v>
      </c>
      <c r="AC40" s="125" t="n">
        <v>4.1</v>
      </c>
      <c r="AD40" s="124"/>
      <c r="AE40" s="124"/>
      <c r="AF40" s="124"/>
      <c r="AG40" s="124"/>
      <c r="AH40" s="124"/>
      <c r="AI40" s="124"/>
      <c r="AJ40" s="124"/>
      <c r="AK40" s="124"/>
      <c r="AL40" s="124"/>
      <c r="AM40" s="124"/>
      <c r="AN40" s="124"/>
      <c r="AO40" s="124"/>
      <c r="AP40" s="124"/>
      <c r="AQ40" s="124"/>
      <c r="AR40" s="124"/>
      <c r="AS40" s="124"/>
      <c r="AT40" s="124"/>
      <c r="AU40" s="124"/>
      <c r="AV40" s="124"/>
      <c r="AW40" s="124"/>
      <c r="AX40" s="124"/>
      <c r="AY40" s="124"/>
      <c r="AZ40" s="124"/>
      <c r="BA40" s="124"/>
      <c r="BB40" s="136"/>
    </row>
    <row r="41" customFormat="false" ht="15.6" hidden="false" customHeight="false" outlineLevel="0" collapsed="false">
      <c r="A41" s="111" t="n">
        <f aca="false">IF(ISBLANK(VLOOKUP(D41,#REF!,3)),0,1)</f>
        <v>1</v>
      </c>
      <c r="B41" s="112" t="n">
        <f aca="false">IF(ISBLANK(D41),0,IF(ISBLANK(E41),0,IF(ISBLANK(F41),0,1)))</f>
        <v>0</v>
      </c>
      <c r="C41" s="128" t="n">
        <v>7</v>
      </c>
      <c r="D41" s="129"/>
      <c r="E41" s="129"/>
      <c r="F41" s="137"/>
      <c r="G41" s="117" t="s">
        <v>99</v>
      </c>
      <c r="H41" s="131" t="n">
        <v>20</v>
      </c>
      <c r="I41" s="125" t="n">
        <v>20.46</v>
      </c>
      <c r="J41" s="132"/>
      <c r="K41" s="133"/>
      <c r="L41" s="133"/>
      <c r="M41" s="133"/>
      <c r="N41" s="134"/>
      <c r="O41" s="133"/>
      <c r="P41" s="132"/>
      <c r="Q41" s="132"/>
      <c r="R41" s="132"/>
      <c r="S41" s="132"/>
      <c r="T41" s="125" t="n">
        <v>0</v>
      </c>
      <c r="U41" s="32" t="n">
        <v>0.01</v>
      </c>
      <c r="V41" s="32"/>
      <c r="W41" s="32"/>
      <c r="X41" s="125" t="n">
        <v>0.1</v>
      </c>
      <c r="Y41" s="125" t="n">
        <v>0</v>
      </c>
      <c r="Z41" s="125" t="n">
        <v>0.1</v>
      </c>
      <c r="AA41" s="32" t="n">
        <v>0.07</v>
      </c>
      <c r="AB41" s="125" t="n">
        <v>2</v>
      </c>
      <c r="AC41" s="125" t="n">
        <v>2</v>
      </c>
      <c r="AD41" s="124"/>
      <c r="AE41" s="124"/>
      <c r="AF41" s="124"/>
      <c r="AG41" s="124"/>
      <c r="AH41" s="124"/>
      <c r="AI41" s="124"/>
      <c r="AJ41" s="124"/>
      <c r="AK41" s="124"/>
      <c r="AL41" s="124"/>
      <c r="AM41" s="124"/>
      <c r="AN41" s="124"/>
      <c r="AO41" s="124"/>
      <c r="AP41" s="124"/>
      <c r="AQ41" s="124"/>
      <c r="AR41" s="124"/>
      <c r="AS41" s="124"/>
      <c r="AT41" s="124"/>
      <c r="AU41" s="124"/>
      <c r="AV41" s="124"/>
      <c r="AW41" s="124"/>
      <c r="AX41" s="124"/>
      <c r="AY41" s="124"/>
      <c r="AZ41" s="124"/>
      <c r="BA41" s="124"/>
      <c r="BB41" s="136"/>
    </row>
    <row r="42" customFormat="false" ht="15.6" hidden="false" customHeight="false" outlineLevel="0" collapsed="false">
      <c r="A42" s="111" t="n">
        <f aca="false">IF(ISBLANK(VLOOKUP(D42,#REF!,3)),0,1)</f>
        <v>1</v>
      </c>
      <c r="B42" s="112" t="n">
        <f aca="false">IF(ISBLANK(D42),0,IF(ISBLANK(E42),0,IF(ISBLANK(F42),0,1)))</f>
        <v>0</v>
      </c>
      <c r="C42" s="128" t="n">
        <v>8</v>
      </c>
      <c r="D42" s="129"/>
      <c r="E42" s="129"/>
      <c r="F42" s="137"/>
      <c r="G42" s="117" t="s">
        <v>99</v>
      </c>
      <c r="H42" s="131" t="n">
        <v>0</v>
      </c>
      <c r="I42" s="125" t="n">
        <v>2.66</v>
      </c>
      <c r="J42" s="132"/>
      <c r="K42" s="133"/>
      <c r="L42" s="133"/>
      <c r="M42" s="133"/>
      <c r="N42" s="134"/>
      <c r="O42" s="133"/>
      <c r="P42" s="132"/>
      <c r="Q42" s="132"/>
      <c r="R42" s="132"/>
      <c r="T42" s="125" t="n">
        <v>0</v>
      </c>
      <c r="U42" s="32" t="n">
        <v>0.01</v>
      </c>
      <c r="V42" s="32"/>
      <c r="W42" s="32"/>
      <c r="X42" s="125" t="n">
        <v>0.1</v>
      </c>
      <c r="Y42" s="125" t="n">
        <v>0.1</v>
      </c>
      <c r="Z42" s="125" t="n">
        <v>0.1</v>
      </c>
      <c r="AA42" s="32" t="n">
        <v>0.05</v>
      </c>
      <c r="AB42" s="125" t="n">
        <v>1.9</v>
      </c>
      <c r="AC42" s="125" t="n">
        <v>1.8</v>
      </c>
      <c r="AD42" s="124"/>
      <c r="AE42" s="124"/>
      <c r="AF42" s="124"/>
      <c r="AG42" s="124"/>
      <c r="AH42" s="124"/>
      <c r="AI42" s="124"/>
      <c r="AJ42" s="124"/>
      <c r="AK42" s="124"/>
      <c r="AL42" s="124"/>
      <c r="AM42" s="124"/>
      <c r="AN42" s="124"/>
      <c r="AO42" s="124"/>
      <c r="AP42" s="124"/>
      <c r="AQ42" s="124"/>
      <c r="AR42" s="124"/>
      <c r="AS42" s="124"/>
      <c r="AT42" s="124"/>
      <c r="AU42" s="124"/>
      <c r="AV42" s="124"/>
      <c r="AW42" s="124"/>
      <c r="AX42" s="124"/>
      <c r="AY42" s="124"/>
      <c r="AZ42" s="124"/>
      <c r="BA42" s="124"/>
      <c r="BB42" s="136"/>
    </row>
    <row r="43" customFormat="false" ht="15.6" hidden="false" customHeight="false" outlineLevel="0" collapsed="false">
      <c r="A43" s="111" t="n">
        <f aca="false">IF(ISBLANK(VLOOKUP(D43,#REF!,3)),0,1)</f>
        <v>1</v>
      </c>
      <c r="B43" s="112" t="n">
        <f aca="false">IF(ISBLANK(D43),0,IF(ISBLANK(E43),0,IF(ISBLANK(F43),0,1)))</f>
        <v>0</v>
      </c>
      <c r="C43" s="128" t="n">
        <v>9</v>
      </c>
      <c r="D43" s="129"/>
      <c r="E43" s="129"/>
      <c r="F43" s="137"/>
      <c r="G43" s="117" t="s">
        <v>99</v>
      </c>
      <c r="H43" s="131" t="s">
        <v>99</v>
      </c>
      <c r="I43" s="125" t="s">
        <v>99</v>
      </c>
      <c r="J43" s="132"/>
      <c r="K43" s="133"/>
      <c r="L43" s="133"/>
      <c r="M43" s="133"/>
      <c r="N43" s="134"/>
      <c r="O43" s="133"/>
      <c r="P43" s="132"/>
      <c r="Q43" s="132"/>
      <c r="R43" s="132"/>
      <c r="S43" s="132"/>
      <c r="T43" s="132"/>
      <c r="U43" s="133"/>
      <c r="V43" s="133"/>
      <c r="W43" s="133"/>
      <c r="X43" s="134"/>
      <c r="Y43" s="133"/>
      <c r="Z43" s="132"/>
      <c r="AA43" s="132"/>
      <c r="AB43" s="132"/>
      <c r="AC43" s="132"/>
      <c r="AD43" s="124"/>
      <c r="AE43" s="124"/>
      <c r="AF43" s="124"/>
      <c r="AG43" s="124"/>
      <c r="AH43" s="124"/>
      <c r="AI43" s="124"/>
      <c r="AJ43" s="124"/>
      <c r="AK43" s="124"/>
      <c r="AL43" s="124"/>
      <c r="AM43" s="124"/>
      <c r="AN43" s="124"/>
      <c r="AO43" s="124"/>
      <c r="AP43" s="124"/>
      <c r="AQ43" s="124"/>
      <c r="AR43" s="124"/>
      <c r="AS43" s="124"/>
      <c r="AT43" s="124"/>
      <c r="AU43" s="124"/>
      <c r="AV43" s="124"/>
      <c r="AW43" s="124"/>
      <c r="AX43" s="124"/>
      <c r="AY43" s="124"/>
      <c r="AZ43" s="124"/>
      <c r="BA43" s="124"/>
      <c r="BB43" s="136"/>
    </row>
    <row r="44" customFormat="false" ht="15.6" hidden="false" customHeight="false" outlineLevel="0" collapsed="false">
      <c r="A44" s="111" t="n">
        <f aca="false">IF(ISBLANK(VLOOKUP(D44,#REF!,3)),0,1)</f>
        <v>1</v>
      </c>
      <c r="B44" s="112" t="n">
        <f aca="false">IF(ISBLANK(D44),0,IF(ISBLANK(E44),0,IF(ISBLANK(F44),0,1)))</f>
        <v>0</v>
      </c>
      <c r="C44" s="128" t="n">
        <v>10</v>
      </c>
      <c r="D44" s="129"/>
      <c r="E44" s="129"/>
      <c r="F44" s="137"/>
      <c r="G44" s="117" t="s">
        <v>99</v>
      </c>
      <c r="H44" s="131" t="s">
        <v>99</v>
      </c>
      <c r="I44" s="125" t="s">
        <v>99</v>
      </c>
      <c r="J44" s="132"/>
      <c r="K44" s="133"/>
      <c r="L44" s="133"/>
      <c r="M44" s="133"/>
      <c r="N44" s="134"/>
      <c r="O44" s="133"/>
      <c r="P44" s="132"/>
      <c r="Q44" s="132"/>
      <c r="R44" s="132"/>
      <c r="S44" s="132"/>
      <c r="T44" s="132"/>
      <c r="U44" s="133"/>
      <c r="V44" s="133"/>
      <c r="W44" s="133"/>
      <c r="X44" s="134"/>
      <c r="Y44" s="133"/>
      <c r="Z44" s="132"/>
      <c r="AA44" s="132"/>
      <c r="AB44" s="132"/>
      <c r="AC44" s="132"/>
      <c r="AD44" s="124"/>
      <c r="AE44" s="124"/>
      <c r="AF44" s="124"/>
      <c r="AG44" s="124"/>
      <c r="AH44" s="124"/>
      <c r="AI44" s="124"/>
      <c r="AJ44" s="124"/>
      <c r="AK44" s="124"/>
      <c r="AL44" s="124"/>
      <c r="AM44" s="124"/>
      <c r="AN44" s="124"/>
      <c r="AO44" s="124"/>
      <c r="AP44" s="124"/>
      <c r="AQ44" s="124"/>
      <c r="AR44" s="124"/>
      <c r="AS44" s="124"/>
      <c r="AT44" s="124"/>
      <c r="AU44" s="124"/>
      <c r="AV44" s="124"/>
      <c r="AW44" s="124"/>
      <c r="AX44" s="124"/>
      <c r="AY44" s="124"/>
      <c r="AZ44" s="124"/>
      <c r="BA44" s="124"/>
      <c r="BB44" s="136"/>
    </row>
    <row r="45" customFormat="false" ht="15.6" hidden="false" customHeight="false" outlineLevel="0" collapsed="false">
      <c r="A45" s="111" t="n">
        <f aca="false">IF(ISBLANK(VLOOKUP(D45,#REF!,3)),0,1)</f>
        <v>1</v>
      </c>
      <c r="B45" s="112" t="n">
        <f aca="false">IF(ISBLANK(D45),0,IF(ISBLANK(E45),0,IF(ISBLANK(F45),0,1)))</f>
        <v>0</v>
      </c>
      <c r="C45" s="128" t="n">
        <v>11</v>
      </c>
      <c r="D45" s="129"/>
      <c r="E45" s="129"/>
      <c r="F45" s="137"/>
      <c r="G45" s="117" t="s">
        <v>99</v>
      </c>
      <c r="H45" s="131" t="s">
        <v>99</v>
      </c>
      <c r="I45" s="125" t="s">
        <v>99</v>
      </c>
      <c r="J45" s="132"/>
      <c r="K45" s="133"/>
      <c r="L45" s="133"/>
      <c r="M45" s="133"/>
      <c r="N45" s="134"/>
      <c r="O45" s="133"/>
      <c r="P45" s="132"/>
      <c r="Q45" s="132"/>
      <c r="R45" s="132"/>
      <c r="S45" s="132"/>
      <c r="T45" s="132"/>
      <c r="U45" s="133"/>
      <c r="V45" s="133"/>
      <c r="W45" s="133"/>
      <c r="X45" s="134"/>
      <c r="Y45" s="133"/>
      <c r="Z45" s="132"/>
      <c r="AA45" s="132"/>
      <c r="AB45" s="132"/>
      <c r="AC45" s="132"/>
      <c r="AD45" s="124"/>
      <c r="AE45" s="124"/>
      <c r="AF45" s="124"/>
      <c r="AG45" s="124"/>
      <c r="AH45" s="124"/>
      <c r="AI45" s="124"/>
      <c r="AJ45" s="124"/>
      <c r="AK45" s="124"/>
      <c r="AL45" s="124"/>
      <c r="AM45" s="124"/>
      <c r="AN45" s="124"/>
      <c r="AO45" s="124"/>
      <c r="AP45" s="124"/>
      <c r="AQ45" s="124"/>
      <c r="AR45" s="124"/>
      <c r="AS45" s="124"/>
      <c r="AT45" s="124"/>
      <c r="AU45" s="124"/>
      <c r="AV45" s="124"/>
      <c r="AW45" s="124"/>
      <c r="AX45" s="124"/>
      <c r="AY45" s="124"/>
      <c r="AZ45" s="124"/>
      <c r="BA45" s="124"/>
      <c r="BB45" s="136"/>
    </row>
    <row r="46" customFormat="false" ht="15.6" hidden="false" customHeight="false" outlineLevel="0" collapsed="false">
      <c r="A46" s="111" t="n">
        <f aca="false">IF(ISBLANK(VLOOKUP(D46,#REF!,3)),0,1)</f>
        <v>1</v>
      </c>
      <c r="B46" s="112" t="n">
        <f aca="false">IF(ISBLANK(D46),0,IF(ISBLANK(E46),0,IF(ISBLANK(F46),0,1)))</f>
        <v>0</v>
      </c>
      <c r="C46" s="128" t="n">
        <v>12</v>
      </c>
      <c r="D46" s="142"/>
      <c r="E46" s="142"/>
      <c r="F46" s="143"/>
      <c r="G46" s="117" t="s">
        <v>99</v>
      </c>
      <c r="H46" s="131" t="s">
        <v>99</v>
      </c>
      <c r="I46" s="125" t="s">
        <v>99</v>
      </c>
      <c r="J46" s="132"/>
      <c r="K46" s="146" t="str">
        <f aca="false">IF(ISBLANK(E46),"",(0.000824493-(0.0000040899*E46)+(0.000000076438*E46^2)-(0.00000000082467*E46^3)+(0.0000000000053875*E46^4)))</f>
        <v/>
      </c>
      <c r="L46" s="146" t="str">
        <f aca="false">IF(ISBLANK(E46),"",(-0.00000572466+(0.00000010227*E46)-(0.0000000016546*E46^2)))</f>
        <v/>
      </c>
      <c r="M46" s="146" t="str">
        <f aca="false">IF(ISBLANK(E46),"",IF(ISBLANK(G46),(O46+(K46*35)+(L46*35^1.5)+(0.00000048314*35^2)),(O46+(K46*G46)+(L46*G46^1.5)+(0.00000048314*G46^2))))</f>
        <v/>
      </c>
      <c r="N46" s="147" t="str">
        <f aca="false">IF(ISBLANK(D46),"",IF(ISBLANK(G46),J46*(1+0.00001*(35-20)),J46*(1+0.00001*(G46-20))))</f>
        <v/>
      </c>
      <c r="O46" s="146" t="str">
        <f aca="false">IF(ISBLANK(E46),"",(0.999842594+(0.00006793952*E46)-(0.00000909529*E46^2)+(0.0000001001685*E46^3)-(0.000000001120083*E46^4)+(0.000000000006536332*E46^5)))</f>
        <v/>
      </c>
      <c r="P46" s="132"/>
      <c r="Q46" s="132"/>
      <c r="R46" s="132"/>
      <c r="S46" s="132"/>
      <c r="T46" s="132"/>
      <c r="U46" s="146" t="s">
        <v>99</v>
      </c>
      <c r="V46" s="146" t="s">
        <v>145</v>
      </c>
      <c r="W46" s="146" t="s">
        <v>99</v>
      </c>
      <c r="X46" s="147" t="s">
        <v>99</v>
      </c>
      <c r="Y46" s="146" t="s">
        <v>99</v>
      </c>
      <c r="Z46" s="132"/>
      <c r="AA46" s="132"/>
      <c r="AB46" s="132"/>
      <c r="AC46" s="132"/>
      <c r="AD46" s="124"/>
      <c r="AE46" s="124"/>
      <c r="AF46" s="124"/>
      <c r="AG46" s="124"/>
      <c r="AH46" s="124"/>
      <c r="AI46" s="124"/>
      <c r="AJ46" s="124"/>
      <c r="AK46" s="124"/>
      <c r="AL46" s="124"/>
      <c r="AM46" s="124"/>
      <c r="AN46" s="124"/>
      <c r="AO46" s="124"/>
      <c r="AP46" s="124"/>
      <c r="AQ46" s="124"/>
      <c r="AR46" s="124"/>
      <c r="AS46" s="124"/>
      <c r="AT46" s="124"/>
      <c r="AU46" s="124"/>
      <c r="AV46" s="124"/>
      <c r="AW46" s="124"/>
      <c r="AX46" s="124"/>
      <c r="AY46" s="124"/>
      <c r="AZ46" s="124"/>
      <c r="BA46" s="124"/>
      <c r="BB46" s="136"/>
    </row>
    <row r="47" customFormat="false" ht="15.6" hidden="false" customHeight="false" outlineLevel="0" collapsed="false">
      <c r="A47" s="111" t="n">
        <f aca="false">IF(ISBLANK(VLOOKUP(D47,#REF!,3)),0,1)</f>
        <v>1</v>
      </c>
      <c r="B47" s="112" t="n">
        <f aca="false">IF(ISBLANK(D47),0,IF(ISBLANK(E47),0,IF(ISBLANK(F47),0,1)))</f>
        <v>0</v>
      </c>
      <c r="C47" s="128" t="n">
        <v>13</v>
      </c>
      <c r="D47" s="151"/>
      <c r="E47" s="151"/>
      <c r="F47" s="152"/>
      <c r="G47" s="153"/>
      <c r="H47" s="151"/>
      <c r="I47" s="151"/>
      <c r="J47" s="132"/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32"/>
      <c r="Q47" s="132"/>
      <c r="R47" s="132"/>
      <c r="S47" s="132"/>
      <c r="T47" s="124"/>
      <c r="U47" s="124"/>
      <c r="V47" s="124"/>
      <c r="W47" s="124"/>
      <c r="X47" s="12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24"/>
      <c r="AJ47" s="124"/>
      <c r="AK47" s="124"/>
      <c r="AL47" s="124"/>
      <c r="AM47" s="124"/>
      <c r="AN47" s="124"/>
      <c r="AO47" s="124"/>
      <c r="AP47" s="124"/>
      <c r="AQ47" s="124"/>
      <c r="AR47" s="124"/>
      <c r="AS47" s="124"/>
      <c r="AT47" s="124"/>
      <c r="AU47" s="124"/>
      <c r="AV47" s="124"/>
      <c r="AW47" s="124"/>
      <c r="AX47" s="124"/>
      <c r="AY47" s="124"/>
      <c r="AZ47" s="124"/>
      <c r="BA47" s="124"/>
      <c r="BB47" s="136"/>
    </row>
    <row r="48" customFormat="false" ht="15.6" hidden="false" customHeight="false" outlineLevel="0" collapsed="false">
      <c r="A48" s="111" t="n">
        <f aca="false">IF(ISBLANK(VLOOKUP(D48,#REF!,3)),0,1)</f>
        <v>1</v>
      </c>
      <c r="B48" s="112" t="n">
        <f aca="false">IF(ISBLANK(D48),0,IF(ISBLANK(E48),0,IF(ISBLANK(F48),0,1)))</f>
        <v>0</v>
      </c>
      <c r="C48" s="128" t="n">
        <v>14</v>
      </c>
      <c r="D48" s="151"/>
      <c r="E48" s="151"/>
      <c r="F48" s="152"/>
      <c r="G48" s="153"/>
      <c r="H48" s="151"/>
      <c r="I48" s="151"/>
      <c r="J48" s="132"/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32"/>
      <c r="Q48" s="132"/>
      <c r="R48" s="132"/>
      <c r="S48" s="132"/>
      <c r="T48" s="124"/>
      <c r="U48" s="124"/>
      <c r="V48" s="124"/>
      <c r="W48" s="124"/>
      <c r="X48" s="124"/>
      <c r="Y48" s="124"/>
      <c r="Z48" s="124"/>
      <c r="AA48" s="124"/>
      <c r="AB48" s="124"/>
      <c r="AC48" s="124"/>
      <c r="AD48" s="124"/>
      <c r="AE48" s="124"/>
      <c r="AF48" s="124"/>
      <c r="AG48" s="124"/>
      <c r="AH48" s="124"/>
      <c r="AI48" s="124"/>
      <c r="AJ48" s="124"/>
      <c r="AK48" s="124"/>
      <c r="AL48" s="124"/>
      <c r="AM48" s="124"/>
      <c r="AN48" s="124"/>
      <c r="AO48" s="124"/>
      <c r="AP48" s="124"/>
      <c r="AQ48" s="124"/>
      <c r="AR48" s="124"/>
      <c r="AS48" s="124"/>
      <c r="AT48" s="124"/>
      <c r="AU48" s="124"/>
      <c r="AV48" s="124"/>
      <c r="AW48" s="124"/>
      <c r="AX48" s="124"/>
      <c r="AY48" s="124"/>
      <c r="AZ48" s="124"/>
      <c r="BA48" s="124"/>
      <c r="BB48" s="136"/>
    </row>
    <row r="49" customFormat="false" ht="15.6" hidden="false" customHeight="false" outlineLevel="0" collapsed="false">
      <c r="A49" s="111" t="n">
        <f aca="false">IF(ISBLANK(VLOOKUP(D49,#REF!,3)),0,1)</f>
        <v>1</v>
      </c>
      <c r="B49" s="112" t="n">
        <f aca="false">IF(ISBLANK(D49),0,IF(ISBLANK(E49),0,IF(ISBLANK(F49),0,1)))</f>
        <v>0</v>
      </c>
      <c r="C49" s="128" t="n">
        <v>15</v>
      </c>
      <c r="D49" s="151"/>
      <c r="E49" s="151"/>
      <c r="F49" s="152"/>
      <c r="G49" s="156"/>
      <c r="H49" s="151"/>
      <c r="I49" s="151"/>
      <c r="J49" s="132"/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32"/>
      <c r="Q49" s="132"/>
      <c r="R49" s="132"/>
      <c r="S49" s="132"/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24"/>
      <c r="AE49" s="124"/>
      <c r="AF49" s="124"/>
      <c r="AG49" s="124"/>
      <c r="AH49" s="124"/>
      <c r="AI49" s="124"/>
      <c r="AJ49" s="124"/>
      <c r="AK49" s="124"/>
      <c r="AL49" s="124"/>
      <c r="AM49" s="124"/>
      <c r="AN49" s="124"/>
      <c r="AO49" s="124"/>
      <c r="AP49" s="124"/>
      <c r="AQ49" s="124"/>
      <c r="AR49" s="124"/>
      <c r="AS49" s="124"/>
      <c r="AT49" s="124"/>
      <c r="AU49" s="124"/>
      <c r="AV49" s="124"/>
      <c r="AW49" s="124"/>
      <c r="AX49" s="124"/>
      <c r="AY49" s="124"/>
      <c r="AZ49" s="124"/>
      <c r="BA49" s="124"/>
      <c r="BB49" s="136"/>
    </row>
    <row r="50" customFormat="false" ht="15.6" hidden="false" customHeight="false" outlineLevel="0" collapsed="false">
      <c r="A50" s="111" t="n">
        <f aca="false">IF(ISBLANK(VLOOKUP(D50,#REF!,3)),0,1)</f>
        <v>1</v>
      </c>
      <c r="B50" s="112" t="n">
        <f aca="false">IF(ISBLANK(D50),0,IF(ISBLANK(E50),0,IF(ISBLANK(F50),0,1)))</f>
        <v>0</v>
      </c>
      <c r="C50" s="128" t="n">
        <v>16</v>
      </c>
      <c r="D50" s="151"/>
      <c r="E50" s="151"/>
      <c r="F50" s="152"/>
      <c r="G50" s="156"/>
      <c r="H50" s="151"/>
      <c r="I50" s="151"/>
      <c r="J50" s="132"/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32"/>
      <c r="Q50" s="132"/>
      <c r="R50" s="132"/>
      <c r="S50" s="132"/>
      <c r="T50" s="124"/>
      <c r="U50" s="124"/>
      <c r="V50" s="124"/>
      <c r="W50" s="124"/>
      <c r="X50" s="124"/>
      <c r="Y50" s="124"/>
      <c r="Z50" s="124"/>
      <c r="AA50" s="124"/>
      <c r="AB50" s="124"/>
      <c r="AC50" s="124"/>
      <c r="AD50" s="124"/>
      <c r="AE50" s="124"/>
      <c r="AF50" s="124"/>
      <c r="AG50" s="124"/>
      <c r="AH50" s="124"/>
      <c r="AI50" s="124"/>
      <c r="AJ50" s="124"/>
      <c r="AK50" s="124"/>
      <c r="AL50" s="124"/>
      <c r="AM50" s="124"/>
      <c r="AN50" s="124"/>
      <c r="AO50" s="124"/>
      <c r="AP50" s="124"/>
      <c r="AQ50" s="124"/>
      <c r="AR50" s="124"/>
      <c r="AS50" s="124"/>
      <c r="AT50" s="124"/>
      <c r="AU50" s="124"/>
      <c r="AV50" s="124"/>
      <c r="AW50" s="124"/>
      <c r="AX50" s="124"/>
      <c r="AY50" s="124"/>
      <c r="AZ50" s="124"/>
      <c r="BA50" s="124"/>
      <c r="BB50" s="136"/>
    </row>
    <row r="51" customFormat="false" ht="15.6" hidden="false" customHeight="false" outlineLevel="0" collapsed="false">
      <c r="A51" s="111" t="n">
        <f aca="false">IF(ISBLANK(VLOOKUP(D51,#REF!,3)),0,1)</f>
        <v>1</v>
      </c>
      <c r="B51" s="112" t="n">
        <f aca="false">IF(ISBLANK(D51),0,IF(ISBLANK(E51),0,IF(ISBLANK(F51),0,1)))</f>
        <v>0</v>
      </c>
      <c r="C51" s="128" t="n">
        <v>17</v>
      </c>
      <c r="D51" s="151"/>
      <c r="E51" s="151"/>
      <c r="F51" s="152"/>
      <c r="G51" s="156"/>
      <c r="H51" s="151"/>
      <c r="I51" s="151"/>
      <c r="J51" s="132"/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32"/>
      <c r="Q51" s="132"/>
      <c r="R51" s="132"/>
      <c r="S51" s="132"/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24"/>
      <c r="AE51" s="124"/>
      <c r="AF51" s="124"/>
      <c r="AG51" s="124"/>
      <c r="AH51" s="124"/>
      <c r="AI51" s="124"/>
      <c r="AJ51" s="124"/>
      <c r="AK51" s="124"/>
      <c r="AL51" s="124"/>
      <c r="AM51" s="124"/>
      <c r="AN51" s="124"/>
      <c r="AO51" s="124"/>
      <c r="AP51" s="124"/>
      <c r="AQ51" s="124"/>
      <c r="AR51" s="124"/>
      <c r="AS51" s="124"/>
      <c r="AT51" s="124"/>
      <c r="AU51" s="124"/>
      <c r="AV51" s="124"/>
      <c r="AW51" s="124"/>
      <c r="AX51" s="124"/>
      <c r="AY51" s="124"/>
      <c r="AZ51" s="124"/>
      <c r="BA51" s="124"/>
      <c r="BB51" s="136"/>
    </row>
    <row r="52" customFormat="false" ht="15.6" hidden="false" customHeight="false" outlineLevel="0" collapsed="false">
      <c r="A52" s="111" t="n">
        <f aca="false">IF(ISBLANK(VLOOKUP(D52,#REF!,3)),0,1)</f>
        <v>1</v>
      </c>
      <c r="B52" s="112" t="n">
        <f aca="false">IF(ISBLANK(D52),0,IF(ISBLANK(E52),0,IF(ISBLANK(F52),0,1)))</f>
        <v>0</v>
      </c>
      <c r="C52" s="128" t="n">
        <v>18</v>
      </c>
      <c r="D52" s="151"/>
      <c r="E52" s="151"/>
      <c r="F52" s="152"/>
      <c r="G52" s="156"/>
      <c r="H52" s="151"/>
      <c r="I52" s="151"/>
      <c r="J52" s="132"/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32"/>
      <c r="Q52" s="132"/>
      <c r="R52" s="132"/>
      <c r="S52" s="132"/>
      <c r="T52" s="124"/>
      <c r="U52" s="124"/>
      <c r="V52" s="124"/>
      <c r="W52" s="124"/>
      <c r="X52" s="124"/>
      <c r="Y52" s="124"/>
      <c r="Z52" s="124"/>
      <c r="AA52" s="124"/>
      <c r="AB52" s="124"/>
      <c r="AC52" s="124"/>
      <c r="AD52" s="124"/>
      <c r="AE52" s="124"/>
      <c r="AF52" s="124"/>
      <c r="AG52" s="124"/>
      <c r="AH52" s="124"/>
      <c r="AI52" s="124"/>
      <c r="AJ52" s="124"/>
      <c r="AK52" s="124"/>
      <c r="AL52" s="124"/>
      <c r="AM52" s="124"/>
      <c r="AN52" s="124"/>
      <c r="AO52" s="124"/>
      <c r="AP52" s="124"/>
      <c r="AQ52" s="124"/>
      <c r="AR52" s="124"/>
      <c r="AS52" s="124"/>
      <c r="AT52" s="124"/>
      <c r="AU52" s="124"/>
      <c r="AV52" s="124"/>
      <c r="AW52" s="124"/>
      <c r="AX52" s="124"/>
      <c r="AY52" s="124"/>
      <c r="AZ52" s="124"/>
      <c r="BA52" s="124"/>
      <c r="BB52" s="136"/>
    </row>
    <row r="53" customFormat="false" ht="15.6" hidden="false" customHeight="false" outlineLevel="0" collapsed="false">
      <c r="A53" s="111" t="n">
        <f aca="false">IF(ISBLANK(VLOOKUP(D53,#REF!,3)),0,1)</f>
        <v>1</v>
      </c>
      <c r="B53" s="112" t="n">
        <f aca="false">IF(ISBLANK(D53),0,IF(ISBLANK(E53),0,IF(ISBLANK(F53),0,1)))</f>
        <v>0</v>
      </c>
      <c r="C53" s="128" t="n">
        <v>19</v>
      </c>
      <c r="D53" s="151"/>
      <c r="E53" s="151"/>
      <c r="F53" s="152"/>
      <c r="G53" s="156"/>
      <c r="H53" s="151"/>
      <c r="I53" s="151"/>
      <c r="J53" s="132"/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32"/>
      <c r="Q53" s="132"/>
      <c r="R53" s="132"/>
      <c r="S53" s="132"/>
      <c r="T53" s="124"/>
      <c r="U53" s="124"/>
      <c r="V53" s="124"/>
      <c r="W53" s="124"/>
      <c r="X53" s="12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24"/>
      <c r="AJ53" s="124"/>
      <c r="AK53" s="124"/>
      <c r="AL53" s="124"/>
      <c r="AM53" s="124"/>
      <c r="AN53" s="124"/>
      <c r="AO53" s="124"/>
      <c r="AP53" s="124"/>
      <c r="AQ53" s="124"/>
      <c r="AR53" s="124"/>
      <c r="AS53" s="124"/>
      <c r="AT53" s="124"/>
      <c r="AU53" s="124"/>
      <c r="AV53" s="124"/>
      <c r="AW53" s="124"/>
      <c r="AX53" s="124"/>
      <c r="AY53" s="124"/>
      <c r="AZ53" s="124"/>
      <c r="BA53" s="124"/>
      <c r="BB53" s="136"/>
    </row>
    <row r="54" customFormat="false" ht="15.6" hidden="false" customHeight="false" outlineLevel="0" collapsed="false">
      <c r="A54" s="111" t="n">
        <f aca="false">IF(ISBLANK(VLOOKUP(D54,#REF!,3)),0,1)</f>
        <v>1</v>
      </c>
      <c r="B54" s="112" t="n">
        <f aca="false">IF(ISBLANK(D54),0,IF(ISBLANK(E54),0,IF(ISBLANK(F54),0,1)))</f>
        <v>0</v>
      </c>
      <c r="C54" s="128" t="n">
        <v>20</v>
      </c>
      <c r="D54" s="151"/>
      <c r="E54" s="151"/>
      <c r="F54" s="152"/>
      <c r="G54" s="156"/>
      <c r="H54" s="151"/>
      <c r="I54" s="151"/>
      <c r="J54" s="132"/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32"/>
      <c r="Q54" s="132"/>
      <c r="R54" s="132"/>
      <c r="S54" s="132"/>
      <c r="T54" s="124"/>
      <c r="U54" s="124"/>
      <c r="V54" s="124"/>
      <c r="W54" s="124"/>
      <c r="X54" s="124"/>
      <c r="Y54" s="124"/>
      <c r="Z54" s="124"/>
      <c r="AA54" s="124"/>
      <c r="AB54" s="124"/>
      <c r="AC54" s="124"/>
      <c r="AD54" s="124"/>
      <c r="AE54" s="124"/>
      <c r="AF54" s="124"/>
      <c r="AG54" s="124"/>
      <c r="AH54" s="124"/>
      <c r="AI54" s="124"/>
      <c r="AJ54" s="124"/>
      <c r="AK54" s="124"/>
      <c r="AL54" s="124"/>
      <c r="AM54" s="124"/>
      <c r="AN54" s="124"/>
      <c r="AO54" s="124"/>
      <c r="AP54" s="124"/>
      <c r="AQ54" s="124"/>
      <c r="AR54" s="124"/>
      <c r="AS54" s="124"/>
      <c r="AT54" s="124"/>
      <c r="AU54" s="124"/>
      <c r="AV54" s="124"/>
      <c r="AW54" s="124"/>
      <c r="AX54" s="124"/>
      <c r="AY54" s="124"/>
      <c r="AZ54" s="124"/>
      <c r="BA54" s="124"/>
      <c r="BB54" s="136"/>
    </row>
    <row r="55" customFormat="false" ht="15.6" hidden="false" customHeight="false" outlineLevel="0" collapsed="false">
      <c r="A55" s="111" t="n">
        <f aca="false">IF(ISBLANK(VLOOKUP(D55,#REF!,3)),0,1)</f>
        <v>1</v>
      </c>
      <c r="B55" s="112" t="n">
        <f aca="false">IF(ISBLANK(D55),0,IF(ISBLANK(E55),0,IF(ISBLANK(F55),0,1)))</f>
        <v>0</v>
      </c>
      <c r="C55" s="128" t="n">
        <v>21</v>
      </c>
      <c r="D55" s="151"/>
      <c r="E55" s="151"/>
      <c r="F55" s="152"/>
      <c r="G55" s="156"/>
      <c r="H55" s="151"/>
      <c r="I55" s="151"/>
      <c r="J55" s="132"/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32"/>
      <c r="Q55" s="132"/>
      <c r="R55" s="132"/>
      <c r="S55" s="132"/>
      <c r="T55" s="124"/>
      <c r="U55" s="124"/>
      <c r="V55" s="124"/>
      <c r="W55" s="124"/>
      <c r="X55" s="124"/>
      <c r="Y55" s="124"/>
      <c r="Z55" s="124"/>
      <c r="AA55" s="124"/>
      <c r="AB55" s="124"/>
      <c r="AC55" s="124"/>
      <c r="AD55" s="124"/>
      <c r="AE55" s="124"/>
      <c r="AF55" s="124"/>
      <c r="AG55" s="124"/>
      <c r="AH55" s="124"/>
      <c r="AI55" s="124"/>
      <c r="AJ55" s="124"/>
      <c r="AK55" s="124"/>
      <c r="AL55" s="124"/>
      <c r="AM55" s="124"/>
      <c r="AN55" s="124"/>
      <c r="AO55" s="124"/>
      <c r="AP55" s="124"/>
      <c r="AQ55" s="124"/>
      <c r="AR55" s="124"/>
      <c r="AS55" s="124"/>
      <c r="AT55" s="124"/>
      <c r="AU55" s="124"/>
      <c r="AV55" s="124"/>
      <c r="AW55" s="124"/>
      <c r="AX55" s="124"/>
      <c r="AY55" s="124"/>
      <c r="AZ55" s="124"/>
      <c r="BA55" s="124"/>
      <c r="BB55" s="136"/>
    </row>
    <row r="56" customFormat="false" ht="15.6" hidden="false" customHeight="false" outlineLevel="0" collapsed="false">
      <c r="A56" s="111" t="n">
        <f aca="false">IF(ISBLANK(VLOOKUP(D56,#REF!,3)),0,1)</f>
        <v>1</v>
      </c>
      <c r="B56" s="112" t="n">
        <f aca="false">IF(ISBLANK(D56),0,IF(ISBLANK(E56),0,IF(ISBLANK(F56),0,1)))</f>
        <v>0</v>
      </c>
      <c r="C56" s="128" t="n">
        <v>22</v>
      </c>
      <c r="D56" s="151"/>
      <c r="E56" s="151"/>
      <c r="F56" s="152"/>
      <c r="G56" s="156"/>
      <c r="H56" s="151"/>
      <c r="I56" s="151"/>
      <c r="J56" s="132"/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32"/>
      <c r="Q56" s="132"/>
      <c r="R56" s="132"/>
      <c r="S56" s="132"/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24"/>
      <c r="AE56" s="124"/>
      <c r="AF56" s="124"/>
      <c r="AG56" s="124"/>
      <c r="AH56" s="124"/>
      <c r="AI56" s="124"/>
      <c r="AJ56" s="124"/>
      <c r="AK56" s="124"/>
      <c r="AL56" s="124"/>
      <c r="AM56" s="124"/>
      <c r="AN56" s="124"/>
      <c r="AO56" s="124"/>
      <c r="AP56" s="124"/>
      <c r="AQ56" s="124"/>
      <c r="AR56" s="124"/>
      <c r="AS56" s="124"/>
      <c r="AT56" s="124"/>
      <c r="AU56" s="124"/>
      <c r="AV56" s="124"/>
      <c r="AW56" s="124"/>
      <c r="AX56" s="124"/>
      <c r="AY56" s="124"/>
      <c r="AZ56" s="124"/>
      <c r="BA56" s="124"/>
      <c r="BB56" s="136"/>
    </row>
    <row r="57" customFormat="false" ht="15.6" hidden="false" customHeight="false" outlineLevel="0" collapsed="false">
      <c r="A57" s="111" t="n">
        <f aca="false">IF(ISBLANK(VLOOKUP(D57,#REF!,3)),0,1)</f>
        <v>1</v>
      </c>
      <c r="B57" s="112" t="n">
        <f aca="false">IF(ISBLANK(D57),0,IF(ISBLANK(E57),0,IF(ISBLANK(F57),0,1)))</f>
        <v>0</v>
      </c>
      <c r="C57" s="128" t="n">
        <v>23</v>
      </c>
      <c r="D57" s="151"/>
      <c r="E57" s="151"/>
      <c r="F57" s="152"/>
      <c r="G57" s="156"/>
      <c r="H57" s="151"/>
      <c r="I57" s="151"/>
      <c r="J57" s="132"/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32"/>
      <c r="Q57" s="132"/>
      <c r="R57" s="132"/>
      <c r="S57" s="132"/>
      <c r="T57" s="124"/>
      <c r="U57" s="124"/>
      <c r="V57" s="124"/>
      <c r="W57" s="124"/>
      <c r="X57" s="124"/>
      <c r="Y57" s="124"/>
      <c r="Z57" s="124"/>
      <c r="AA57" s="124"/>
      <c r="AB57" s="124"/>
      <c r="AC57" s="124"/>
      <c r="AD57" s="124"/>
      <c r="AE57" s="124"/>
      <c r="AF57" s="124"/>
      <c r="AG57" s="124"/>
      <c r="AH57" s="124"/>
      <c r="AI57" s="124"/>
      <c r="AJ57" s="124"/>
      <c r="AK57" s="124"/>
      <c r="AL57" s="124"/>
      <c r="AM57" s="124"/>
      <c r="AN57" s="124"/>
      <c r="AO57" s="124"/>
      <c r="AP57" s="124"/>
      <c r="AQ57" s="124"/>
      <c r="AR57" s="124"/>
      <c r="AS57" s="124"/>
      <c r="AT57" s="124"/>
      <c r="AU57" s="124"/>
      <c r="AV57" s="124"/>
      <c r="AW57" s="124"/>
      <c r="AX57" s="124"/>
      <c r="AY57" s="124"/>
      <c r="AZ57" s="124"/>
      <c r="BA57" s="124"/>
      <c r="BB57" s="136"/>
    </row>
    <row r="58" customFormat="false" ht="16.2" hidden="false" customHeight="false" outlineLevel="0" collapsed="false">
      <c r="A58" s="111" t="n">
        <f aca="false">IF(ISBLANK(VLOOKUP(D58,#REF!,3)),0,1)</f>
        <v>1</v>
      </c>
      <c r="B58" s="112" t="n">
        <f aca="false">IF(ISBLANK(D58),0,IF(ISBLANK(E58),0,IF(ISBLANK(F58),0,1)))</f>
        <v>0</v>
      </c>
      <c r="C58" s="158" t="n">
        <v>24</v>
      </c>
      <c r="D58" s="159"/>
      <c r="E58" s="159"/>
      <c r="F58" s="160"/>
      <c r="G58" s="161"/>
      <c r="H58" s="159"/>
      <c r="I58" s="159"/>
      <c r="J58" s="132"/>
      <c r="K58" s="163" t="str">
        <f aca="false">IF(ISBLANK(E58),"",(0.000824493-(0.0000040899*E58)+(0.000000076438*E58^2)-(0.00000000082467*E58^3)+(0.0000000000053875*E58^4)))</f>
        <v/>
      </c>
      <c r="L58" s="163" t="str">
        <f aca="false">IF(ISBLANK(E58),"",(-0.00000572466+(0.00000010227*E58)-(0.0000000016546*E58^2)))</f>
        <v/>
      </c>
      <c r="M58" s="163" t="str">
        <f aca="false">IF(ISBLANK(E58),"",IF(ISBLANK(G58),(O58+(K58*35)+(L58*35^1.5)+(0.00000048314*35^2)),(O58+(K58*G58)+(L58*G58^1.5)+(0.00000048314*G58^2))))</f>
        <v/>
      </c>
      <c r="N58" s="164" t="str">
        <f aca="false">IF(ISBLANK(D58),"",IF(ISBLANK(G58),J58*(1+0.00001*(35-20)),J58*(1+0.00001*(G58-20))))</f>
        <v/>
      </c>
      <c r="O58" s="163" t="str">
        <f aca="false">IF(ISBLANK(E58),"",(0.999842594+(0.00006793952*E58)-(0.00000909529*E58^2)+(0.0000001001685*E58^3)-(0.000000001120083*E58^4)+(0.000000000006536332*E58^5)))</f>
        <v/>
      </c>
      <c r="P58" s="132"/>
      <c r="Q58" s="132"/>
      <c r="R58" s="132"/>
      <c r="S58" s="132"/>
      <c r="T58" s="168"/>
      <c r="U58" s="168"/>
      <c r="V58" s="168"/>
      <c r="W58" s="168"/>
      <c r="X58" s="168"/>
      <c r="Y58" s="168"/>
      <c r="Z58" s="168"/>
      <c r="AA58" s="168"/>
      <c r="AB58" s="168"/>
      <c r="AC58" s="168"/>
      <c r="AD58" s="168"/>
      <c r="AE58" s="168"/>
      <c r="AF58" s="168"/>
      <c r="AG58" s="168"/>
      <c r="AH58" s="168"/>
      <c r="AI58" s="168"/>
      <c r="AJ58" s="168"/>
      <c r="AK58" s="168"/>
      <c r="AL58" s="168"/>
      <c r="AM58" s="168"/>
      <c r="AN58" s="168"/>
      <c r="AO58" s="168"/>
      <c r="AP58" s="168"/>
      <c r="AQ58" s="168"/>
      <c r="AR58" s="168"/>
      <c r="AS58" s="168"/>
      <c r="AT58" s="168"/>
      <c r="AU58" s="168"/>
      <c r="AV58" s="168"/>
      <c r="AW58" s="168"/>
      <c r="AX58" s="168"/>
      <c r="AY58" s="168"/>
      <c r="AZ58" s="168"/>
      <c r="BA58" s="168"/>
      <c r="BB58" s="169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P7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8178137651822"/>
    <col collapsed="false" hidden="false" max="32" min="32" style="0" width="9.10526315789474"/>
    <col collapsed="false" hidden="false" max="33" min="33" style="0" width="26.5668016194332"/>
    <col collapsed="false" hidden="false" max="34" min="34" style="0" width="12.8542510121458"/>
    <col collapsed="false" hidden="false" max="35" min="35" style="0" width="11.1417004048583"/>
    <col collapsed="false" hidden="false" max="36" min="36" style="0" width="14.5668016194332"/>
    <col collapsed="false" hidden="false" max="37" min="37" style="0" width="12.2105263157895"/>
    <col collapsed="false" hidden="false" max="38" min="38" style="0" width="26.995951417004"/>
    <col collapsed="false" hidden="false" max="39" min="39" style="0" width="14.6761133603239"/>
    <col collapsed="false" hidden="false" max="40" min="40" style="0" width="11.3562753036437"/>
    <col collapsed="false" hidden="false" max="41" min="41" style="0" width="12.5344129554656"/>
    <col collapsed="false" hidden="false" max="42" min="42" style="0" width="10.7125506072875"/>
    <col collapsed="false" hidden="false" max="43" min="43" style="0" width="6.31983805668016"/>
    <col collapsed="false" hidden="false" max="44" min="44" style="0" width="19.7085020242915"/>
    <col collapsed="false" hidden="false" max="45" min="45" style="0" width="13.0688259109312"/>
    <col collapsed="false" hidden="false" max="46" min="46" style="0" width="17.7813765182186"/>
    <col collapsed="false" hidden="false" max="47" min="47" style="0" width="14.6761133603239"/>
    <col collapsed="false" hidden="false" max="48" min="48" style="0" width="13.6032388663968"/>
    <col collapsed="false" hidden="false" max="49" min="49" style="0" width="13.7125506072874"/>
    <col collapsed="false" hidden="false" max="50" min="50" style="0" width="19.9230769230769"/>
    <col collapsed="false" hidden="false" max="51" min="51" style="0" width="13.2834008097166"/>
    <col collapsed="false" hidden="false" max="52" min="52" style="0" width="17.6761133603239"/>
    <col collapsed="false" hidden="false" max="53" min="53" style="0" width="13.3886639676113"/>
    <col collapsed="false" hidden="false" max="54" min="54" style="0" width="12.6396761133603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42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38728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6</v>
      </c>
      <c r="J9" s="29" t="n">
        <v>4.77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6°4,77</v>
      </c>
      <c r="P9" s="29" t="s">
        <v>13</v>
      </c>
      <c r="Q9" s="33" t="n">
        <f aca="false">IF(ISBLANK(I9),"",IF(ISBLANK(J9),"",IF(J9&gt;60,"ERREUR !!",O11*(I9+(J9/60)))))</f>
        <v>6.0795</v>
      </c>
      <c r="R9" s="33"/>
    </row>
    <row r="10" customFormat="false" ht="15" hidden="false" customHeight="true" outlineLevel="0" collapsed="false">
      <c r="C10" s="21"/>
      <c r="D10" s="18"/>
      <c r="G10" s="27" t="s">
        <v>16</v>
      </c>
      <c r="H10" s="27"/>
      <c r="I10" s="28" t="n">
        <v>2</v>
      </c>
      <c r="J10" s="29" t="n">
        <v>22.55</v>
      </c>
      <c r="K10" s="30" t="s">
        <v>12</v>
      </c>
      <c r="L10" s="31" t="str">
        <f aca="false">IF(P10=N9,"+","-")</f>
        <v>+</v>
      </c>
      <c r="M10" s="30" t="s">
        <v>15</v>
      </c>
      <c r="N10" s="30" t="s">
        <v>17</v>
      </c>
      <c r="O10" s="34" t="str">
        <f aca="false">IF(ISBLANK(I10),"",IF(ISBLANK(J10),"",IF(P10=N10,L10&amp;N12,N12)))</f>
        <v>2°22,55</v>
      </c>
      <c r="P10" s="29" t="s">
        <v>14</v>
      </c>
      <c r="Q10" s="33" t="n">
        <f aca="false">IF(ISBLANK(I10),"",IF(ISBLANK(J10),"",IF(J10&gt;60,"ERREUR !!",O12*(I10+(J10/60)))))</f>
        <v>2.37583333333333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38555</v>
      </c>
      <c r="K11" s="38"/>
      <c r="L11" s="38"/>
      <c r="M11" s="38"/>
      <c r="N11" s="39" t="str">
        <f aca="false">I9&amp;"°"&amp;J9</f>
        <v>6°4,77</v>
      </c>
      <c r="O11" s="40" t="n">
        <f aca="false">IF(P9=M10,-1,1)</f>
        <v>1</v>
      </c>
      <c r="P11" s="41" t="str">
        <f aca="false">TEXT(J11,"aaaa-mm-jj")&amp;"T"&amp;TEXT(J12,"hh:mm:ss")&amp;"z"</f>
        <v>2009-07-23T14:30:00z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0.604166666666667</v>
      </c>
      <c r="K12" s="45"/>
      <c r="L12" s="45"/>
      <c r="M12" s="45"/>
      <c r="N12" s="46" t="str">
        <f aca="false">I10&amp;"°"&amp;J10</f>
        <v>2°22,55</v>
      </c>
      <c r="O12" s="40" t="n">
        <f aca="false">IF(P10=N10,-1,1)</f>
        <v>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e">
        <f aca="false">$P$24*($P$18/#REF!)</f>
        <v>#REF!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e">
        <f aca="false">5+#REF!</f>
        <v>#REF!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e">
        <f aca="false">P20*(1+0.00001*(R14-20))</f>
        <v>#REF!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e">
        <f aca="false">MAX(#REF!)</f>
        <v>#VALUE!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e">
        <f aca="false">2+(#REF!+#REF!)</f>
        <v>#REF!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52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53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IF(ISBLANK(VLOOKUP(D35,#REF!,3)),0,1)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s">
        <v>99</v>
      </c>
      <c r="H35" s="131" t="n">
        <v>100</v>
      </c>
      <c r="I35" s="125" t="n">
        <v>101.86</v>
      </c>
      <c r="J35" s="120"/>
      <c r="K35" s="121"/>
      <c r="L35" s="121"/>
      <c r="M35" s="121"/>
      <c r="N35" s="122"/>
      <c r="O35" s="121"/>
      <c r="P35" s="132"/>
      <c r="Q35" s="120"/>
      <c r="R35" s="120"/>
      <c r="S35" s="120"/>
      <c r="T35" s="125" t="n">
        <v>0</v>
      </c>
      <c r="U35" s="32" t="n">
        <v>0.03</v>
      </c>
      <c r="V35" s="32"/>
      <c r="W35" s="32"/>
      <c r="X35" s="125" t="n">
        <v>18.2</v>
      </c>
      <c r="Y35" s="125" t="n">
        <v>17.7</v>
      </c>
      <c r="Z35" s="125" t="n">
        <v>1.3</v>
      </c>
      <c r="AA35" s="32" t="n">
        <v>1.22</v>
      </c>
      <c r="AB35" s="125" t="n">
        <v>7.4</v>
      </c>
      <c r="AC35" s="125" t="n">
        <v>7.2</v>
      </c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7"/>
    </row>
    <row r="36" customFormat="false" ht="15.6" hidden="false" customHeight="false" outlineLevel="0" collapsed="false">
      <c r="A36" s="111" t="n">
        <f aca="false">IF(ISBLANK(VLOOKUP(D36,#REF!,3)),0,1)</f>
        <v>1</v>
      </c>
      <c r="B36" s="112" t="n">
        <f aca="false">IF(ISBLANK(D36),0,IF(ISBLANK(E36),0,IF(ISBLANK(F36),0,1)))</f>
        <v>0</v>
      </c>
      <c r="C36" s="128" t="n">
        <v>2</v>
      </c>
      <c r="D36" s="129"/>
      <c r="E36" s="129"/>
      <c r="F36" s="130"/>
      <c r="G36" s="117" t="s">
        <v>99</v>
      </c>
      <c r="H36" s="131" t="n">
        <v>80</v>
      </c>
      <c r="I36" s="125" t="n">
        <v>79.67</v>
      </c>
      <c r="J36" s="132"/>
      <c r="K36" s="133"/>
      <c r="L36" s="133"/>
      <c r="M36" s="133"/>
      <c r="N36" s="134"/>
      <c r="O36" s="133"/>
      <c r="P36" s="132"/>
      <c r="Q36" s="132"/>
      <c r="R36" s="132"/>
      <c r="S36" s="132"/>
      <c r="T36" s="125" t="n">
        <v>0</v>
      </c>
      <c r="U36" s="32" t="n">
        <v>0.02</v>
      </c>
      <c r="V36" s="32"/>
      <c r="W36" s="32"/>
      <c r="X36" s="125" t="n">
        <v>17.4</v>
      </c>
      <c r="Y36" s="125" t="n">
        <v>17</v>
      </c>
      <c r="Z36" s="125" t="n">
        <v>1.1</v>
      </c>
      <c r="AA36" s="32" t="n">
        <v>1.12</v>
      </c>
      <c r="AB36" s="125" t="n">
        <v>6.9</v>
      </c>
      <c r="AC36" s="125" t="n">
        <v>6.8</v>
      </c>
      <c r="AD36" s="124"/>
      <c r="AE36" s="124"/>
      <c r="AF36" s="124"/>
      <c r="AG36" s="124"/>
      <c r="AH36" s="124"/>
      <c r="AI36" s="124"/>
      <c r="AJ36" s="124"/>
      <c r="AK36" s="124"/>
      <c r="AL36" s="124"/>
      <c r="AM36" s="124"/>
      <c r="AN36" s="124"/>
      <c r="AO36" s="124"/>
      <c r="AP36" s="124"/>
      <c r="AQ36" s="124"/>
      <c r="AR36" s="124"/>
      <c r="AS36" s="124"/>
      <c r="AT36" s="124"/>
      <c r="AU36" s="124"/>
      <c r="AV36" s="124"/>
      <c r="AW36" s="124"/>
      <c r="AX36" s="124"/>
      <c r="AY36" s="124"/>
      <c r="AZ36" s="124"/>
      <c r="BA36" s="124"/>
      <c r="BB36" s="136"/>
    </row>
    <row r="37" customFormat="false" ht="15.6" hidden="false" customHeight="false" outlineLevel="0" collapsed="false">
      <c r="A37" s="111" t="n">
        <f aca="false">IF(ISBLANK(VLOOKUP(D37,#REF!,3)),0,1)</f>
        <v>1</v>
      </c>
      <c r="B37" s="112" t="n">
        <f aca="false">IF(ISBLANK(D37),0,IF(ISBLANK(E37),0,IF(ISBLANK(F37),0,1)))</f>
        <v>0</v>
      </c>
      <c r="C37" s="128" t="n">
        <v>3</v>
      </c>
      <c r="D37" s="129"/>
      <c r="E37" s="129"/>
      <c r="F37" s="137"/>
      <c r="G37" s="117" t="s">
        <v>99</v>
      </c>
      <c r="H37" s="131" t="n">
        <v>50</v>
      </c>
      <c r="I37" s="125" t="n">
        <v>49.72</v>
      </c>
      <c r="K37" s="133"/>
      <c r="L37" s="133"/>
      <c r="M37" s="133"/>
      <c r="N37" s="134"/>
      <c r="O37" s="133"/>
      <c r="P37" s="132"/>
      <c r="Q37" s="132"/>
      <c r="R37" s="132"/>
      <c r="S37" s="132"/>
      <c r="T37" s="125" t="n">
        <v>0.2</v>
      </c>
      <c r="U37" s="32" t="n">
        <v>0.19</v>
      </c>
      <c r="V37" s="32"/>
      <c r="W37" s="32"/>
      <c r="X37" s="125" t="n">
        <v>6.9</v>
      </c>
      <c r="Y37" s="125" t="n">
        <v>6.8</v>
      </c>
      <c r="Z37" s="125" t="n">
        <v>0.6</v>
      </c>
      <c r="AA37" s="32" t="n">
        <v>0.61</v>
      </c>
      <c r="AB37" s="125" t="n">
        <v>4.3</v>
      </c>
      <c r="AC37" s="125" t="n">
        <v>4.2</v>
      </c>
      <c r="AD37" s="124"/>
      <c r="AE37" s="124"/>
      <c r="AF37" s="124"/>
      <c r="AG37" s="124"/>
      <c r="AH37" s="124"/>
      <c r="AI37" s="124"/>
      <c r="AJ37" s="124"/>
      <c r="AK37" s="124"/>
      <c r="AL37" s="124"/>
      <c r="AM37" s="124"/>
      <c r="AN37" s="124"/>
      <c r="AO37" s="124"/>
      <c r="AP37" s="124"/>
      <c r="AQ37" s="124"/>
      <c r="AR37" s="124"/>
      <c r="AS37" s="124"/>
      <c r="AT37" s="124"/>
      <c r="AU37" s="124"/>
      <c r="AV37" s="124"/>
      <c r="AW37" s="124"/>
      <c r="AX37" s="124"/>
      <c r="AY37" s="124"/>
      <c r="AZ37" s="124"/>
      <c r="BA37" s="124"/>
      <c r="BB37" s="136"/>
    </row>
    <row r="38" customFormat="false" ht="15.6" hidden="false" customHeight="false" outlineLevel="0" collapsed="false">
      <c r="A38" s="111" t="n">
        <f aca="false">IF(ISBLANK(VLOOKUP(D38,#REF!,3)),0,1)</f>
        <v>1</v>
      </c>
      <c r="B38" s="112" t="n">
        <f aca="false">IF(ISBLANK(D38),0,IF(ISBLANK(E38),0,IF(ISBLANK(F38),0,1)))</f>
        <v>0</v>
      </c>
      <c r="C38" s="128" t="n">
        <v>4</v>
      </c>
      <c r="D38" s="138"/>
      <c r="E38" s="138"/>
      <c r="F38" s="139"/>
      <c r="G38" s="117" t="s">
        <v>99</v>
      </c>
      <c r="H38" s="131" t="n">
        <v>20</v>
      </c>
      <c r="I38" s="125" t="n">
        <v>20.19</v>
      </c>
      <c r="J38" s="132"/>
      <c r="K38" s="133"/>
      <c r="L38" s="133"/>
      <c r="M38" s="133"/>
      <c r="N38" s="134"/>
      <c r="O38" s="133"/>
      <c r="P38" s="132"/>
      <c r="Q38" s="132"/>
      <c r="R38" s="132"/>
      <c r="S38" s="132"/>
      <c r="T38" s="125" t="n">
        <v>0</v>
      </c>
      <c r="U38" s="32" t="n">
        <v>0.01</v>
      </c>
      <c r="V38" s="32"/>
      <c r="W38" s="32"/>
      <c r="X38" s="125" t="n">
        <v>0.2</v>
      </c>
      <c r="Y38" s="125" t="n">
        <v>0.2</v>
      </c>
      <c r="Z38" s="125" t="n">
        <v>0.1</v>
      </c>
      <c r="AA38" s="32" t="n">
        <v>0.05</v>
      </c>
      <c r="AB38" s="125" t="n">
        <v>1.8</v>
      </c>
      <c r="AC38" s="125" t="n">
        <v>1.8</v>
      </c>
      <c r="AD38" s="124"/>
      <c r="AE38" s="124"/>
      <c r="AF38" s="124"/>
      <c r="AG38" s="124"/>
      <c r="AH38" s="124"/>
      <c r="AI38" s="124"/>
      <c r="AJ38" s="124"/>
      <c r="AK38" s="124"/>
      <c r="AL38" s="124"/>
      <c r="AM38" s="124"/>
      <c r="AN38" s="124"/>
      <c r="AO38" s="124"/>
      <c r="AP38" s="124"/>
      <c r="AQ38" s="124"/>
      <c r="AR38" s="124"/>
      <c r="AS38" s="124"/>
      <c r="AT38" s="124"/>
      <c r="AU38" s="124"/>
      <c r="AV38" s="124"/>
      <c r="AW38" s="124"/>
      <c r="AX38" s="124"/>
      <c r="AY38" s="124"/>
      <c r="AZ38" s="124"/>
      <c r="BA38" s="124"/>
      <c r="BB38" s="136"/>
    </row>
    <row r="39" customFormat="false" ht="15.6" hidden="false" customHeight="false" outlineLevel="0" collapsed="false">
      <c r="A39" s="111" t="n">
        <f aca="false">IF(ISBLANK(VLOOKUP(D39,#REF!,3)),0,1)</f>
        <v>1</v>
      </c>
      <c r="B39" s="112" t="n">
        <f aca="false">IF(ISBLANK(D39),0,IF(ISBLANK(E39),0,IF(ISBLANK(F39),0,1)))</f>
        <v>0</v>
      </c>
      <c r="C39" s="128" t="n">
        <v>5</v>
      </c>
      <c r="D39" s="129"/>
      <c r="E39" s="129"/>
      <c r="F39" s="137"/>
      <c r="G39" s="117" t="s">
        <v>99</v>
      </c>
      <c r="H39" s="131" t="n">
        <v>0</v>
      </c>
      <c r="I39" s="125" t="n">
        <v>3.32</v>
      </c>
      <c r="J39" s="132"/>
      <c r="K39" s="133"/>
      <c r="L39" s="133"/>
      <c r="M39" s="133"/>
      <c r="N39" s="134"/>
      <c r="O39" s="133"/>
      <c r="P39" s="132"/>
      <c r="Q39" s="132"/>
      <c r="R39" s="132"/>
      <c r="S39" s="132"/>
      <c r="T39" s="125" t="n">
        <v>0</v>
      </c>
      <c r="U39" s="32" t="n">
        <v>0.01</v>
      </c>
      <c r="V39" s="32"/>
      <c r="W39" s="32"/>
      <c r="X39" s="125" t="n">
        <v>0</v>
      </c>
      <c r="Y39" s="125" t="n">
        <v>0</v>
      </c>
      <c r="Z39" s="125" t="n">
        <v>0</v>
      </c>
      <c r="AA39" s="32" t="n">
        <v>0.05</v>
      </c>
      <c r="AB39" s="125" t="n">
        <v>2</v>
      </c>
      <c r="AC39" s="125" t="n">
        <v>2</v>
      </c>
      <c r="AD39" s="124"/>
      <c r="AE39" s="124"/>
      <c r="AF39" s="124"/>
      <c r="AG39" s="124"/>
      <c r="AH39" s="124"/>
      <c r="AI39" s="124"/>
      <c r="AJ39" s="124"/>
      <c r="AK39" s="124"/>
      <c r="AL39" s="124"/>
      <c r="AM39" s="124"/>
      <c r="AN39" s="124"/>
      <c r="AO39" s="124"/>
      <c r="AP39" s="124"/>
      <c r="AQ39" s="124"/>
      <c r="AR39" s="124"/>
      <c r="AS39" s="124"/>
      <c r="AT39" s="124"/>
      <c r="AU39" s="124"/>
      <c r="AV39" s="124"/>
      <c r="AW39" s="124"/>
      <c r="AX39" s="124"/>
      <c r="AY39" s="124"/>
      <c r="AZ39" s="124"/>
      <c r="BA39" s="124"/>
      <c r="BB39" s="136"/>
    </row>
    <row r="40" customFormat="false" ht="15.6" hidden="false" customHeight="false" outlineLevel="0" collapsed="false">
      <c r="A40" s="111" t="n">
        <f aca="false">IF(ISBLANK(VLOOKUP(D40,#REF!,3)),0,1)</f>
        <v>1</v>
      </c>
      <c r="B40" s="112" t="n">
        <f aca="false">IF(ISBLANK(D40),0,IF(ISBLANK(E40),0,IF(ISBLANK(F40),0,1)))</f>
        <v>0</v>
      </c>
      <c r="C40" s="128" t="n">
        <v>6</v>
      </c>
      <c r="D40" s="129"/>
      <c r="E40" s="129"/>
      <c r="F40" s="137"/>
      <c r="G40" s="117" t="s">
        <v>99</v>
      </c>
      <c r="H40" s="131" t="s">
        <v>99</v>
      </c>
      <c r="I40" s="125" t="s">
        <v>99</v>
      </c>
      <c r="J40" s="132"/>
      <c r="K40" s="133"/>
      <c r="L40" s="133"/>
      <c r="M40" s="133"/>
      <c r="N40" s="134"/>
      <c r="O40" s="133"/>
      <c r="P40" s="132"/>
      <c r="Q40" s="132"/>
      <c r="R40" s="132"/>
      <c r="S40" s="132"/>
      <c r="T40" s="132"/>
      <c r="U40" s="133"/>
      <c r="V40" s="133"/>
      <c r="W40" s="133"/>
      <c r="X40" s="134"/>
      <c r="Y40" s="133"/>
      <c r="Z40" s="132"/>
      <c r="AA40" s="132"/>
      <c r="AB40" s="132"/>
      <c r="AC40" s="132"/>
      <c r="AD40" s="124"/>
      <c r="AE40" s="124"/>
      <c r="AF40" s="124"/>
      <c r="AG40" s="124"/>
      <c r="AH40" s="124"/>
      <c r="AI40" s="124"/>
      <c r="AJ40" s="124"/>
      <c r="AK40" s="124"/>
      <c r="AL40" s="124"/>
      <c r="AM40" s="124"/>
      <c r="AN40" s="124"/>
      <c r="AO40" s="124"/>
      <c r="AP40" s="124"/>
      <c r="AQ40" s="124"/>
      <c r="AR40" s="124"/>
      <c r="AS40" s="124"/>
      <c r="AT40" s="124"/>
      <c r="AU40" s="124"/>
      <c r="AV40" s="124"/>
      <c r="AW40" s="124"/>
      <c r="AX40" s="124"/>
      <c r="AY40" s="124"/>
      <c r="AZ40" s="124"/>
      <c r="BA40" s="124"/>
      <c r="BB40" s="136"/>
    </row>
    <row r="41" customFormat="false" ht="15.6" hidden="false" customHeight="false" outlineLevel="0" collapsed="false">
      <c r="A41" s="111" t="n">
        <f aca="false">IF(ISBLANK(VLOOKUP(D41,#REF!,3)),0,1)</f>
        <v>1</v>
      </c>
      <c r="B41" s="112" t="n">
        <f aca="false">IF(ISBLANK(D41),0,IF(ISBLANK(E41),0,IF(ISBLANK(F41),0,1)))</f>
        <v>0</v>
      </c>
      <c r="C41" s="128" t="n">
        <v>7</v>
      </c>
      <c r="D41" s="129"/>
      <c r="E41" s="129"/>
      <c r="F41" s="137"/>
      <c r="G41" s="117" t="s">
        <v>99</v>
      </c>
      <c r="H41" s="131" t="s">
        <v>99</v>
      </c>
      <c r="I41" s="125" t="s">
        <v>99</v>
      </c>
      <c r="J41" s="132"/>
      <c r="K41" s="133"/>
      <c r="L41" s="133"/>
      <c r="M41" s="133"/>
      <c r="N41" s="134"/>
      <c r="O41" s="133"/>
      <c r="P41" s="132"/>
      <c r="Q41" s="132"/>
      <c r="R41" s="132"/>
      <c r="S41" s="132"/>
      <c r="T41" s="132"/>
      <c r="U41" s="133"/>
      <c r="V41" s="133"/>
      <c r="W41" s="133"/>
      <c r="X41" s="134"/>
      <c r="Y41" s="133"/>
      <c r="Z41" s="132"/>
      <c r="AA41" s="132"/>
      <c r="AB41" s="132"/>
      <c r="AC41" s="132"/>
      <c r="AD41" s="124"/>
      <c r="AE41" s="124"/>
      <c r="AF41" s="124"/>
      <c r="AG41" s="124"/>
      <c r="AH41" s="124"/>
      <c r="AI41" s="124"/>
      <c r="AJ41" s="124"/>
      <c r="AK41" s="124"/>
      <c r="AL41" s="124"/>
      <c r="AM41" s="124"/>
      <c r="AN41" s="124"/>
      <c r="AO41" s="124"/>
      <c r="AP41" s="124"/>
      <c r="AQ41" s="124"/>
      <c r="AR41" s="124"/>
      <c r="AS41" s="124"/>
      <c r="AT41" s="124"/>
      <c r="AU41" s="124"/>
      <c r="AV41" s="124"/>
      <c r="AW41" s="124"/>
      <c r="AX41" s="124"/>
      <c r="AY41" s="124"/>
      <c r="AZ41" s="124"/>
      <c r="BA41" s="124"/>
      <c r="BB41" s="136"/>
    </row>
    <row r="42" customFormat="false" ht="15.6" hidden="false" customHeight="false" outlineLevel="0" collapsed="false">
      <c r="A42" s="111" t="n">
        <f aca="false">IF(ISBLANK(VLOOKUP(D42,#REF!,3)),0,1)</f>
        <v>1</v>
      </c>
      <c r="B42" s="112" t="n">
        <f aca="false">IF(ISBLANK(D42),0,IF(ISBLANK(E42),0,IF(ISBLANK(F42),0,1)))</f>
        <v>0</v>
      </c>
      <c r="C42" s="128" t="n">
        <v>8</v>
      </c>
      <c r="D42" s="129"/>
      <c r="E42" s="129"/>
      <c r="F42" s="137"/>
      <c r="G42" s="117" t="s">
        <v>99</v>
      </c>
      <c r="H42" s="131" t="s">
        <v>99</v>
      </c>
      <c r="I42" s="125" t="s">
        <v>99</v>
      </c>
      <c r="J42" s="132"/>
      <c r="K42" s="133"/>
      <c r="L42" s="133"/>
      <c r="M42" s="133"/>
      <c r="N42" s="134"/>
      <c r="O42" s="133"/>
      <c r="P42" s="132"/>
      <c r="Q42" s="132"/>
      <c r="R42" s="132"/>
      <c r="T42" s="132"/>
      <c r="U42" s="133"/>
      <c r="V42" s="133"/>
      <c r="W42" s="133"/>
      <c r="X42" s="134"/>
      <c r="Y42" s="133"/>
      <c r="Z42" s="132"/>
      <c r="AA42" s="132"/>
      <c r="AB42" s="132"/>
      <c r="AD42" s="124"/>
      <c r="AE42" s="124"/>
      <c r="AF42" s="124"/>
      <c r="AG42" s="124"/>
      <c r="AH42" s="124"/>
      <c r="AI42" s="124"/>
      <c r="AJ42" s="124"/>
      <c r="AK42" s="124"/>
      <c r="AL42" s="124"/>
      <c r="AM42" s="124"/>
      <c r="AN42" s="124"/>
      <c r="AO42" s="124"/>
      <c r="AP42" s="124"/>
      <c r="AQ42" s="124"/>
      <c r="AR42" s="124"/>
      <c r="AS42" s="124"/>
      <c r="AT42" s="124"/>
      <c r="AU42" s="124"/>
      <c r="AV42" s="124"/>
      <c r="AW42" s="124"/>
      <c r="AX42" s="124"/>
      <c r="AY42" s="124"/>
      <c r="AZ42" s="124"/>
      <c r="BA42" s="124"/>
      <c r="BB42" s="136"/>
    </row>
    <row r="43" customFormat="false" ht="15.6" hidden="false" customHeight="false" outlineLevel="0" collapsed="false">
      <c r="A43" s="111" t="n">
        <f aca="false">IF(ISBLANK(VLOOKUP(D43,#REF!,3)),0,1)</f>
        <v>1</v>
      </c>
      <c r="B43" s="112" t="n">
        <f aca="false">IF(ISBLANK(D43),0,IF(ISBLANK(E43),0,IF(ISBLANK(F43),0,1)))</f>
        <v>0</v>
      </c>
      <c r="C43" s="128" t="n">
        <v>9</v>
      </c>
      <c r="D43" s="129"/>
      <c r="E43" s="129"/>
      <c r="F43" s="137"/>
      <c r="G43" s="117" t="s">
        <v>99</v>
      </c>
      <c r="H43" s="131" t="s">
        <v>99</v>
      </c>
      <c r="I43" s="125" t="s">
        <v>99</v>
      </c>
      <c r="J43" s="132"/>
      <c r="K43" s="133"/>
      <c r="L43" s="133"/>
      <c r="M43" s="133"/>
      <c r="N43" s="134"/>
      <c r="O43" s="133"/>
      <c r="P43" s="132"/>
      <c r="Q43" s="132"/>
      <c r="R43" s="132"/>
      <c r="S43" s="132"/>
      <c r="T43" s="132"/>
      <c r="U43" s="133"/>
      <c r="V43" s="133"/>
      <c r="W43" s="133"/>
      <c r="X43" s="134"/>
      <c r="Y43" s="133"/>
      <c r="Z43" s="132"/>
      <c r="AA43" s="132"/>
      <c r="AB43" s="132"/>
      <c r="AC43" s="132"/>
      <c r="AD43" s="124"/>
      <c r="AE43" s="124"/>
      <c r="AF43" s="124"/>
      <c r="AG43" s="124"/>
      <c r="AH43" s="124"/>
      <c r="AI43" s="124"/>
      <c r="AJ43" s="124"/>
      <c r="AK43" s="124"/>
      <c r="AL43" s="124"/>
      <c r="AM43" s="124"/>
      <c r="AN43" s="124"/>
      <c r="AO43" s="124"/>
      <c r="AP43" s="124"/>
      <c r="AQ43" s="124"/>
      <c r="AR43" s="124"/>
      <c r="AS43" s="124"/>
      <c r="AT43" s="124"/>
      <c r="AU43" s="124"/>
      <c r="AV43" s="124"/>
      <c r="AW43" s="124"/>
      <c r="AX43" s="124"/>
      <c r="AY43" s="124"/>
      <c r="AZ43" s="124"/>
      <c r="BA43" s="124"/>
      <c r="BB43" s="136"/>
    </row>
    <row r="44" customFormat="false" ht="15.6" hidden="false" customHeight="false" outlineLevel="0" collapsed="false">
      <c r="A44" s="111" t="n">
        <f aca="false">IF(ISBLANK(VLOOKUP(D44,#REF!,3)),0,1)</f>
        <v>1</v>
      </c>
      <c r="B44" s="112" t="n">
        <f aca="false">IF(ISBLANK(D44),0,IF(ISBLANK(E44),0,IF(ISBLANK(F44),0,1)))</f>
        <v>0</v>
      </c>
      <c r="C44" s="128" t="n">
        <v>10</v>
      </c>
      <c r="D44" s="129"/>
      <c r="E44" s="129"/>
      <c r="F44" s="137"/>
      <c r="G44" s="117" t="s">
        <v>99</v>
      </c>
      <c r="H44" s="131" t="s">
        <v>99</v>
      </c>
      <c r="I44" s="125" t="s">
        <v>99</v>
      </c>
      <c r="J44" s="132"/>
      <c r="K44" s="133"/>
      <c r="L44" s="133"/>
      <c r="M44" s="133"/>
      <c r="N44" s="134"/>
      <c r="O44" s="133"/>
      <c r="P44" s="132"/>
      <c r="Q44" s="132"/>
      <c r="R44" s="132"/>
      <c r="S44" s="132"/>
      <c r="T44" s="132"/>
      <c r="U44" s="133"/>
      <c r="V44" s="133"/>
      <c r="W44" s="133"/>
      <c r="X44" s="134"/>
      <c r="Y44" s="133"/>
      <c r="Z44" s="132"/>
      <c r="AA44" s="132"/>
      <c r="AB44" s="132"/>
      <c r="AC44" s="132"/>
      <c r="AD44" s="124"/>
      <c r="AE44" s="124"/>
      <c r="AF44" s="124"/>
      <c r="AG44" s="124"/>
      <c r="AH44" s="124"/>
      <c r="AI44" s="124"/>
      <c r="AJ44" s="124"/>
      <c r="AK44" s="124"/>
      <c r="AL44" s="124"/>
      <c r="AM44" s="124"/>
      <c r="AN44" s="124"/>
      <c r="AO44" s="124"/>
      <c r="AP44" s="124"/>
      <c r="AQ44" s="124"/>
      <c r="AR44" s="124"/>
      <c r="AS44" s="124"/>
      <c r="AT44" s="124"/>
      <c r="AU44" s="124"/>
      <c r="AV44" s="124"/>
      <c r="AW44" s="124"/>
      <c r="AX44" s="124"/>
      <c r="AY44" s="124"/>
      <c r="AZ44" s="124"/>
      <c r="BA44" s="124"/>
      <c r="BB44" s="136"/>
    </row>
    <row r="45" customFormat="false" ht="15.6" hidden="false" customHeight="false" outlineLevel="0" collapsed="false">
      <c r="A45" s="111" t="n">
        <f aca="false">IF(ISBLANK(VLOOKUP(D45,#REF!,3)),0,1)</f>
        <v>1</v>
      </c>
      <c r="B45" s="112" t="n">
        <f aca="false">IF(ISBLANK(D45),0,IF(ISBLANK(E45),0,IF(ISBLANK(F45),0,1)))</f>
        <v>0</v>
      </c>
      <c r="C45" s="128" t="n">
        <v>11</v>
      </c>
      <c r="D45" s="129"/>
      <c r="E45" s="129"/>
      <c r="F45" s="137"/>
      <c r="G45" s="117" t="s">
        <v>99</v>
      </c>
      <c r="H45" s="131" t="s">
        <v>99</v>
      </c>
      <c r="I45" s="125" t="s">
        <v>99</v>
      </c>
      <c r="J45" s="132"/>
      <c r="K45" s="133"/>
      <c r="L45" s="133"/>
      <c r="M45" s="133"/>
      <c r="N45" s="134"/>
      <c r="O45" s="133"/>
      <c r="P45" s="132"/>
      <c r="Q45" s="132"/>
      <c r="R45" s="132"/>
      <c r="S45" s="132"/>
      <c r="T45" s="132"/>
      <c r="U45" s="133"/>
      <c r="V45" s="133"/>
      <c r="W45" s="133"/>
      <c r="X45" s="134"/>
      <c r="Y45" s="133"/>
      <c r="Z45" s="132"/>
      <c r="AA45" s="132"/>
      <c r="AB45" s="132"/>
      <c r="AC45" s="132"/>
      <c r="AD45" s="124"/>
      <c r="AE45" s="124"/>
      <c r="AF45" s="124"/>
      <c r="AG45" s="124"/>
      <c r="AH45" s="124"/>
      <c r="AI45" s="124"/>
      <c r="AJ45" s="124"/>
      <c r="AK45" s="124"/>
      <c r="AL45" s="124"/>
      <c r="AM45" s="124"/>
      <c r="AN45" s="124"/>
      <c r="AO45" s="124"/>
      <c r="AP45" s="124"/>
      <c r="AQ45" s="124"/>
      <c r="AR45" s="124"/>
      <c r="AS45" s="124"/>
      <c r="AT45" s="124"/>
      <c r="AU45" s="124"/>
      <c r="AV45" s="124"/>
      <c r="AW45" s="124"/>
      <c r="AX45" s="124"/>
      <c r="AY45" s="124"/>
      <c r="AZ45" s="124"/>
      <c r="BA45" s="124"/>
      <c r="BB45" s="136"/>
    </row>
    <row r="46" customFormat="false" ht="15.6" hidden="false" customHeight="false" outlineLevel="0" collapsed="false">
      <c r="A46" s="111" t="n">
        <f aca="false">IF(ISBLANK(VLOOKUP(D46,#REF!,3)),0,1)</f>
        <v>1</v>
      </c>
      <c r="B46" s="112" t="n">
        <f aca="false">IF(ISBLANK(D46),0,IF(ISBLANK(E46),0,IF(ISBLANK(F46),0,1)))</f>
        <v>0</v>
      </c>
      <c r="C46" s="128" t="n">
        <v>12</v>
      </c>
      <c r="D46" s="142"/>
      <c r="E46" s="142"/>
      <c r="F46" s="143"/>
      <c r="G46" s="117" t="s">
        <v>99</v>
      </c>
      <c r="H46" s="131" t="s">
        <v>99</v>
      </c>
      <c r="I46" s="125" t="s">
        <v>99</v>
      </c>
      <c r="J46" s="132"/>
      <c r="K46" s="146" t="str">
        <f aca="false">IF(ISBLANK(E46),"",(0.000824493-(0.0000040899*E46)+(0.000000076438*E46^2)-(0.00000000082467*E46^3)+(0.0000000000053875*E46^4)))</f>
        <v/>
      </c>
      <c r="L46" s="146" t="str">
        <f aca="false">IF(ISBLANK(E46),"",(-0.00000572466+(0.00000010227*E46)-(0.0000000016546*E46^2)))</f>
        <v/>
      </c>
      <c r="M46" s="146" t="str">
        <f aca="false">IF(ISBLANK(E46),"",IF(ISBLANK(G46),(O46+(K46*35)+(L46*35^1.5)+(0.00000048314*35^2)),(O46+(K46*G46)+(L46*G46^1.5)+(0.00000048314*G46^2))))</f>
        <v/>
      </c>
      <c r="N46" s="147" t="str">
        <f aca="false">IF(ISBLANK(D46),"",IF(ISBLANK(G46),J46*(1+0.00001*(35-20)),J46*(1+0.00001*(G46-20))))</f>
        <v/>
      </c>
      <c r="O46" s="146" t="str">
        <f aca="false">IF(ISBLANK(E46),"",(0.999842594+(0.00006793952*E46)-(0.00000909529*E46^2)+(0.0000001001685*E46^3)-(0.000000001120083*E46^4)+(0.000000000006536332*E46^5)))</f>
        <v/>
      </c>
      <c r="P46" s="132"/>
      <c r="Q46" s="132"/>
      <c r="R46" s="132"/>
      <c r="S46" s="132"/>
      <c r="T46" s="132"/>
      <c r="U46" s="146" t="s">
        <v>99</v>
      </c>
      <c r="V46" s="146" t="s">
        <v>145</v>
      </c>
      <c r="W46" s="146" t="s">
        <v>99</v>
      </c>
      <c r="X46" s="147" t="s">
        <v>99</v>
      </c>
      <c r="Y46" s="146" t="s">
        <v>99</v>
      </c>
      <c r="Z46" s="132"/>
      <c r="AA46" s="132"/>
      <c r="AB46" s="132"/>
      <c r="AC46" s="132"/>
      <c r="AD46" s="124"/>
      <c r="AE46" s="124"/>
      <c r="AF46" s="124"/>
      <c r="AG46" s="124"/>
      <c r="AH46" s="124"/>
      <c r="AI46" s="124"/>
      <c r="AJ46" s="124"/>
      <c r="AK46" s="124"/>
      <c r="AL46" s="124"/>
      <c r="AM46" s="124"/>
      <c r="AN46" s="124"/>
      <c r="AO46" s="124"/>
      <c r="AP46" s="124"/>
      <c r="AQ46" s="124"/>
      <c r="AR46" s="124"/>
      <c r="AS46" s="124"/>
      <c r="AT46" s="124"/>
      <c r="AU46" s="124"/>
      <c r="AV46" s="124"/>
      <c r="AW46" s="124"/>
      <c r="AX46" s="124"/>
      <c r="AY46" s="124"/>
      <c r="AZ46" s="124"/>
      <c r="BA46" s="124"/>
      <c r="BB46" s="136"/>
    </row>
    <row r="47" customFormat="false" ht="15.6" hidden="false" customHeight="false" outlineLevel="0" collapsed="false">
      <c r="A47" s="111" t="n">
        <f aca="false">IF(ISBLANK(VLOOKUP(D47,#REF!,3)),0,1)</f>
        <v>1</v>
      </c>
      <c r="B47" s="112" t="n">
        <f aca="false">IF(ISBLANK(D47),0,IF(ISBLANK(E47),0,IF(ISBLANK(F47),0,1)))</f>
        <v>0</v>
      </c>
      <c r="C47" s="128" t="n">
        <v>13</v>
      </c>
      <c r="D47" s="151"/>
      <c r="E47" s="151"/>
      <c r="F47" s="152"/>
      <c r="G47" s="153"/>
      <c r="H47" s="151"/>
      <c r="I47" s="151"/>
      <c r="J47" s="132"/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32"/>
      <c r="Q47" s="132"/>
      <c r="R47" s="132"/>
      <c r="S47" s="132"/>
      <c r="T47" s="124"/>
      <c r="U47" s="124"/>
      <c r="V47" s="124"/>
      <c r="W47" s="124"/>
      <c r="X47" s="12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24"/>
      <c r="AJ47" s="124"/>
      <c r="AK47" s="124"/>
      <c r="AL47" s="124"/>
      <c r="AM47" s="124"/>
      <c r="AN47" s="124"/>
      <c r="AO47" s="124"/>
      <c r="AP47" s="124"/>
      <c r="AQ47" s="124"/>
      <c r="AR47" s="124"/>
      <c r="AS47" s="124"/>
      <c r="AT47" s="124"/>
      <c r="AU47" s="124"/>
      <c r="AV47" s="124"/>
      <c r="AW47" s="124"/>
      <c r="AX47" s="124"/>
      <c r="AY47" s="124"/>
      <c r="AZ47" s="124"/>
      <c r="BA47" s="124"/>
      <c r="BB47" s="136"/>
    </row>
    <row r="48" customFormat="false" ht="15.6" hidden="false" customHeight="false" outlineLevel="0" collapsed="false">
      <c r="A48" s="111" t="n">
        <f aca="false">IF(ISBLANK(VLOOKUP(D48,#REF!,3)),0,1)</f>
        <v>1</v>
      </c>
      <c r="B48" s="112" t="n">
        <f aca="false">IF(ISBLANK(D48),0,IF(ISBLANK(E48),0,IF(ISBLANK(F48),0,1)))</f>
        <v>0</v>
      </c>
      <c r="C48" s="128" t="n">
        <v>14</v>
      </c>
      <c r="D48" s="151"/>
      <c r="E48" s="151"/>
      <c r="F48" s="152"/>
      <c r="G48" s="153"/>
      <c r="H48" s="151"/>
      <c r="I48" s="151"/>
      <c r="J48" s="132"/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32"/>
      <c r="Q48" s="132"/>
      <c r="R48" s="132"/>
      <c r="S48" s="132"/>
      <c r="T48" s="124"/>
      <c r="U48" s="124"/>
      <c r="V48" s="124"/>
      <c r="W48" s="124"/>
      <c r="X48" s="124"/>
      <c r="Y48" s="124"/>
      <c r="Z48" s="124"/>
      <c r="AA48" s="124"/>
      <c r="AB48" s="124"/>
      <c r="AC48" s="124"/>
      <c r="AD48" s="124"/>
      <c r="AE48" s="124"/>
      <c r="AF48" s="124"/>
      <c r="AG48" s="124"/>
      <c r="AH48" s="124"/>
      <c r="AI48" s="124"/>
      <c r="AJ48" s="124"/>
      <c r="AK48" s="124"/>
      <c r="AL48" s="124"/>
      <c r="AM48" s="124"/>
      <c r="AN48" s="124"/>
      <c r="AO48" s="124"/>
      <c r="AP48" s="124"/>
      <c r="AQ48" s="124"/>
      <c r="AR48" s="124"/>
      <c r="AS48" s="124"/>
      <c r="AT48" s="124"/>
      <c r="AU48" s="124"/>
      <c r="AV48" s="124"/>
      <c r="AW48" s="124"/>
      <c r="AX48" s="124"/>
      <c r="AY48" s="124"/>
      <c r="AZ48" s="124"/>
      <c r="BA48" s="124"/>
      <c r="BB48" s="136"/>
    </row>
    <row r="49" customFormat="false" ht="15.6" hidden="false" customHeight="false" outlineLevel="0" collapsed="false">
      <c r="A49" s="111" t="n">
        <f aca="false">IF(ISBLANK(VLOOKUP(D49,#REF!,3)),0,1)</f>
        <v>1</v>
      </c>
      <c r="B49" s="112" t="n">
        <f aca="false">IF(ISBLANK(D49),0,IF(ISBLANK(E49),0,IF(ISBLANK(F49),0,1)))</f>
        <v>0</v>
      </c>
      <c r="C49" s="128" t="n">
        <v>15</v>
      </c>
      <c r="D49" s="151"/>
      <c r="E49" s="151"/>
      <c r="F49" s="152"/>
      <c r="G49" s="156"/>
      <c r="H49" s="151"/>
      <c r="I49" s="151"/>
      <c r="J49" s="132"/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32"/>
      <c r="Q49" s="132"/>
      <c r="R49" s="132"/>
      <c r="S49" s="132"/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24"/>
      <c r="AE49" s="124"/>
      <c r="AF49" s="124"/>
      <c r="AG49" s="124"/>
      <c r="AH49" s="124"/>
      <c r="AI49" s="124"/>
      <c r="AJ49" s="124"/>
      <c r="AK49" s="124"/>
      <c r="AL49" s="124"/>
      <c r="AM49" s="124"/>
      <c r="AN49" s="124"/>
      <c r="AO49" s="124"/>
      <c r="AP49" s="124"/>
      <c r="AQ49" s="124"/>
      <c r="AR49" s="124"/>
      <c r="AS49" s="124"/>
      <c r="AT49" s="124"/>
      <c r="AU49" s="124"/>
      <c r="AV49" s="124"/>
      <c r="AW49" s="124"/>
      <c r="AX49" s="124"/>
      <c r="AY49" s="124"/>
      <c r="AZ49" s="124"/>
      <c r="BA49" s="124"/>
      <c r="BB49" s="136"/>
    </row>
    <row r="50" customFormat="false" ht="15.6" hidden="false" customHeight="false" outlineLevel="0" collapsed="false">
      <c r="A50" s="111" t="n">
        <f aca="false">IF(ISBLANK(VLOOKUP(D50,#REF!,3)),0,1)</f>
        <v>1</v>
      </c>
      <c r="B50" s="112" t="n">
        <f aca="false">IF(ISBLANK(D50),0,IF(ISBLANK(E50),0,IF(ISBLANK(F50),0,1)))</f>
        <v>0</v>
      </c>
      <c r="C50" s="128" t="n">
        <v>16</v>
      </c>
      <c r="D50" s="151"/>
      <c r="E50" s="151"/>
      <c r="F50" s="152"/>
      <c r="G50" s="156"/>
      <c r="H50" s="151"/>
      <c r="I50" s="151"/>
      <c r="J50" s="132"/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32"/>
      <c r="Q50" s="132"/>
      <c r="R50" s="132"/>
      <c r="S50" s="132"/>
      <c r="T50" s="124"/>
      <c r="U50" s="124"/>
      <c r="V50" s="124"/>
      <c r="W50" s="124"/>
      <c r="X50" s="124"/>
      <c r="Y50" s="124"/>
      <c r="Z50" s="124"/>
      <c r="AA50" s="124"/>
      <c r="AB50" s="124"/>
      <c r="AC50" s="124"/>
      <c r="AD50" s="124"/>
      <c r="AE50" s="124"/>
      <c r="AF50" s="124"/>
      <c r="AG50" s="124"/>
      <c r="AH50" s="124"/>
      <c r="AI50" s="124"/>
      <c r="AJ50" s="124"/>
      <c r="AK50" s="124"/>
      <c r="AL50" s="124"/>
      <c r="AM50" s="124"/>
      <c r="AN50" s="124"/>
      <c r="AO50" s="124"/>
      <c r="AP50" s="124"/>
      <c r="AQ50" s="124"/>
      <c r="AR50" s="124"/>
      <c r="AS50" s="124"/>
      <c r="AT50" s="124"/>
      <c r="AU50" s="124"/>
      <c r="AV50" s="124"/>
      <c r="AW50" s="124"/>
      <c r="AX50" s="124"/>
      <c r="AY50" s="124"/>
      <c r="AZ50" s="124"/>
      <c r="BA50" s="124"/>
      <c r="BB50" s="136"/>
    </row>
    <row r="51" customFormat="false" ht="15.6" hidden="false" customHeight="false" outlineLevel="0" collapsed="false">
      <c r="A51" s="111" t="n">
        <f aca="false">IF(ISBLANK(VLOOKUP(D51,#REF!,3)),0,1)</f>
        <v>1</v>
      </c>
      <c r="B51" s="112" t="n">
        <f aca="false">IF(ISBLANK(D51),0,IF(ISBLANK(E51),0,IF(ISBLANK(F51),0,1)))</f>
        <v>0</v>
      </c>
      <c r="C51" s="128" t="n">
        <v>17</v>
      </c>
      <c r="D51" s="151"/>
      <c r="E51" s="151"/>
      <c r="F51" s="152"/>
      <c r="G51" s="156"/>
      <c r="H51" s="151"/>
      <c r="I51" s="151"/>
      <c r="J51" s="132"/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32"/>
      <c r="Q51" s="132"/>
      <c r="R51" s="132"/>
      <c r="S51" s="132"/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24"/>
      <c r="AE51" s="124"/>
      <c r="AF51" s="124"/>
      <c r="AG51" s="124"/>
      <c r="AH51" s="124"/>
      <c r="AI51" s="124"/>
      <c r="AJ51" s="124"/>
      <c r="AK51" s="124"/>
      <c r="AL51" s="124"/>
      <c r="AM51" s="124"/>
      <c r="AN51" s="124"/>
      <c r="AO51" s="124"/>
      <c r="AP51" s="124"/>
      <c r="AQ51" s="124"/>
      <c r="AR51" s="124"/>
      <c r="AS51" s="124"/>
      <c r="AT51" s="124"/>
      <c r="AU51" s="124"/>
      <c r="AV51" s="124"/>
      <c r="AW51" s="124"/>
      <c r="AX51" s="124"/>
      <c r="AY51" s="124"/>
      <c r="AZ51" s="124"/>
      <c r="BA51" s="124"/>
      <c r="BB51" s="136"/>
    </row>
    <row r="52" customFormat="false" ht="15.6" hidden="false" customHeight="false" outlineLevel="0" collapsed="false">
      <c r="A52" s="111" t="n">
        <f aca="false">IF(ISBLANK(VLOOKUP(D52,#REF!,3)),0,1)</f>
        <v>1</v>
      </c>
      <c r="B52" s="112" t="n">
        <f aca="false">IF(ISBLANK(D52),0,IF(ISBLANK(E52),0,IF(ISBLANK(F52),0,1)))</f>
        <v>0</v>
      </c>
      <c r="C52" s="128" t="n">
        <v>18</v>
      </c>
      <c r="D52" s="151"/>
      <c r="E52" s="151"/>
      <c r="F52" s="152"/>
      <c r="G52" s="156"/>
      <c r="H52" s="151"/>
      <c r="I52" s="151"/>
      <c r="J52" s="132"/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32"/>
      <c r="Q52" s="132"/>
      <c r="R52" s="132"/>
      <c r="S52" s="132"/>
      <c r="T52" s="124"/>
      <c r="U52" s="124"/>
      <c r="V52" s="124"/>
      <c r="W52" s="124"/>
      <c r="X52" s="124"/>
      <c r="Y52" s="124"/>
      <c r="Z52" s="124"/>
      <c r="AA52" s="124"/>
      <c r="AB52" s="124"/>
      <c r="AC52" s="124"/>
      <c r="AD52" s="124"/>
      <c r="AE52" s="124"/>
      <c r="AF52" s="124"/>
      <c r="AG52" s="124"/>
      <c r="AH52" s="124"/>
      <c r="AI52" s="124"/>
      <c r="AJ52" s="124"/>
      <c r="AK52" s="124"/>
      <c r="AL52" s="124"/>
      <c r="AM52" s="124"/>
      <c r="AN52" s="124"/>
      <c r="AO52" s="124"/>
      <c r="AP52" s="124"/>
      <c r="AQ52" s="124"/>
      <c r="AR52" s="124"/>
      <c r="AS52" s="124"/>
      <c r="AT52" s="124"/>
      <c r="AU52" s="124"/>
      <c r="AV52" s="124"/>
      <c r="AW52" s="124"/>
      <c r="AX52" s="124"/>
      <c r="AY52" s="124"/>
      <c r="AZ52" s="124"/>
      <c r="BA52" s="124"/>
      <c r="BB52" s="136"/>
    </row>
    <row r="53" customFormat="false" ht="15.6" hidden="false" customHeight="false" outlineLevel="0" collapsed="false">
      <c r="A53" s="111" t="n">
        <f aca="false">IF(ISBLANK(VLOOKUP(D53,#REF!,3)),0,1)</f>
        <v>1</v>
      </c>
      <c r="B53" s="112" t="n">
        <f aca="false">IF(ISBLANK(D53),0,IF(ISBLANK(E53),0,IF(ISBLANK(F53),0,1)))</f>
        <v>0</v>
      </c>
      <c r="C53" s="128" t="n">
        <v>19</v>
      </c>
      <c r="D53" s="151"/>
      <c r="E53" s="151"/>
      <c r="F53" s="152"/>
      <c r="G53" s="156"/>
      <c r="H53" s="151"/>
      <c r="I53" s="151"/>
      <c r="J53" s="132"/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32"/>
      <c r="Q53" s="132"/>
      <c r="R53" s="132"/>
      <c r="S53" s="132"/>
      <c r="T53" s="124"/>
      <c r="U53" s="124"/>
      <c r="V53" s="124"/>
      <c r="W53" s="124"/>
      <c r="X53" s="12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24"/>
      <c r="AJ53" s="124"/>
      <c r="AK53" s="124"/>
      <c r="AL53" s="124"/>
      <c r="AM53" s="124"/>
      <c r="AN53" s="124"/>
      <c r="AO53" s="124"/>
      <c r="AP53" s="124"/>
      <c r="AQ53" s="124"/>
      <c r="AR53" s="124"/>
      <c r="AS53" s="124"/>
      <c r="AT53" s="124"/>
      <c r="AU53" s="124"/>
      <c r="AV53" s="124"/>
      <c r="AW53" s="124"/>
      <c r="AX53" s="124"/>
      <c r="AY53" s="124"/>
      <c r="AZ53" s="124"/>
      <c r="BA53" s="124"/>
      <c r="BB53" s="136"/>
    </row>
    <row r="54" customFormat="false" ht="15.6" hidden="false" customHeight="false" outlineLevel="0" collapsed="false">
      <c r="A54" s="111" t="n">
        <f aca="false">IF(ISBLANK(VLOOKUP(D54,#REF!,3)),0,1)</f>
        <v>1</v>
      </c>
      <c r="B54" s="112" t="n">
        <f aca="false">IF(ISBLANK(D54),0,IF(ISBLANK(E54),0,IF(ISBLANK(F54),0,1)))</f>
        <v>0</v>
      </c>
      <c r="C54" s="128" t="n">
        <v>20</v>
      </c>
      <c r="D54" s="151"/>
      <c r="E54" s="151"/>
      <c r="F54" s="152"/>
      <c r="G54" s="156"/>
      <c r="H54" s="151"/>
      <c r="I54" s="151"/>
      <c r="J54" s="132"/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32"/>
      <c r="Q54" s="132"/>
      <c r="R54" s="132"/>
      <c r="S54" s="132"/>
      <c r="T54" s="124"/>
      <c r="U54" s="124"/>
      <c r="V54" s="124"/>
      <c r="W54" s="124"/>
      <c r="X54" s="124"/>
      <c r="Y54" s="124"/>
      <c r="Z54" s="124"/>
      <c r="AA54" s="124"/>
      <c r="AB54" s="124"/>
      <c r="AC54" s="124"/>
      <c r="AD54" s="124"/>
      <c r="AE54" s="124"/>
      <c r="AF54" s="124"/>
      <c r="AG54" s="124"/>
      <c r="AH54" s="124"/>
      <c r="AI54" s="124"/>
      <c r="AJ54" s="124"/>
      <c r="AK54" s="124"/>
      <c r="AL54" s="124"/>
      <c r="AM54" s="124"/>
      <c r="AN54" s="124"/>
      <c r="AO54" s="124"/>
      <c r="AP54" s="124"/>
      <c r="AQ54" s="124"/>
      <c r="AR54" s="124"/>
      <c r="AS54" s="124"/>
      <c r="AT54" s="124"/>
      <c r="AU54" s="124"/>
      <c r="AV54" s="124"/>
      <c r="AW54" s="124"/>
      <c r="AX54" s="124"/>
      <c r="AY54" s="124"/>
      <c r="AZ54" s="124"/>
      <c r="BA54" s="124"/>
      <c r="BB54" s="136"/>
    </row>
    <row r="55" customFormat="false" ht="15.6" hidden="false" customHeight="false" outlineLevel="0" collapsed="false">
      <c r="A55" s="111" t="n">
        <f aca="false">IF(ISBLANK(VLOOKUP(D55,#REF!,3)),0,1)</f>
        <v>1</v>
      </c>
      <c r="B55" s="112" t="n">
        <f aca="false">IF(ISBLANK(D55),0,IF(ISBLANK(E55),0,IF(ISBLANK(F55),0,1)))</f>
        <v>0</v>
      </c>
      <c r="C55" s="128" t="n">
        <v>21</v>
      </c>
      <c r="D55" s="151"/>
      <c r="E55" s="151"/>
      <c r="F55" s="152"/>
      <c r="G55" s="156"/>
      <c r="H55" s="151"/>
      <c r="I55" s="151"/>
      <c r="J55" s="132"/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32"/>
      <c r="Q55" s="132"/>
      <c r="R55" s="132"/>
      <c r="S55" s="132"/>
      <c r="T55" s="124"/>
      <c r="U55" s="124"/>
      <c r="V55" s="124"/>
      <c r="W55" s="124"/>
      <c r="X55" s="124"/>
      <c r="Y55" s="124"/>
      <c r="Z55" s="124"/>
      <c r="AA55" s="124"/>
      <c r="AB55" s="124"/>
      <c r="AC55" s="124"/>
      <c r="AD55" s="124"/>
      <c r="AE55" s="124"/>
      <c r="AF55" s="124"/>
      <c r="AG55" s="124"/>
      <c r="AH55" s="124"/>
      <c r="AI55" s="124"/>
      <c r="AJ55" s="124"/>
      <c r="AK55" s="124"/>
      <c r="AL55" s="124"/>
      <c r="AM55" s="124"/>
      <c r="AN55" s="124"/>
      <c r="AO55" s="124"/>
      <c r="AP55" s="124"/>
      <c r="AQ55" s="124"/>
      <c r="AR55" s="124"/>
      <c r="AS55" s="124"/>
      <c r="AT55" s="124"/>
      <c r="AU55" s="124"/>
      <c r="AV55" s="124"/>
      <c r="AW55" s="124"/>
      <c r="AX55" s="124"/>
      <c r="AY55" s="124"/>
      <c r="AZ55" s="124"/>
      <c r="BA55" s="124"/>
      <c r="BB55" s="136"/>
    </row>
    <row r="56" customFormat="false" ht="15.6" hidden="false" customHeight="false" outlineLevel="0" collapsed="false">
      <c r="A56" s="111" t="n">
        <f aca="false">IF(ISBLANK(VLOOKUP(D56,#REF!,3)),0,1)</f>
        <v>1</v>
      </c>
      <c r="B56" s="112" t="n">
        <f aca="false">IF(ISBLANK(D56),0,IF(ISBLANK(E56),0,IF(ISBLANK(F56),0,1)))</f>
        <v>0</v>
      </c>
      <c r="C56" s="128" t="n">
        <v>22</v>
      </c>
      <c r="D56" s="151"/>
      <c r="E56" s="151"/>
      <c r="F56" s="152"/>
      <c r="G56" s="156"/>
      <c r="H56" s="151"/>
      <c r="I56" s="151"/>
      <c r="J56" s="132"/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32"/>
      <c r="Q56" s="132"/>
      <c r="R56" s="132"/>
      <c r="S56" s="132"/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24"/>
      <c r="AE56" s="124"/>
      <c r="AF56" s="124"/>
      <c r="AG56" s="124"/>
      <c r="AH56" s="124"/>
      <c r="AI56" s="124"/>
      <c r="AJ56" s="124"/>
      <c r="AK56" s="124"/>
      <c r="AL56" s="124"/>
      <c r="AM56" s="124"/>
      <c r="AN56" s="124"/>
      <c r="AO56" s="124"/>
      <c r="AP56" s="124"/>
      <c r="AQ56" s="124"/>
      <c r="AR56" s="124"/>
      <c r="AS56" s="124"/>
      <c r="AT56" s="124"/>
      <c r="AU56" s="124"/>
      <c r="AV56" s="124"/>
      <c r="AW56" s="124"/>
      <c r="AX56" s="124"/>
      <c r="AY56" s="124"/>
      <c r="AZ56" s="124"/>
      <c r="BA56" s="124"/>
      <c r="BB56" s="136"/>
    </row>
    <row r="57" customFormat="false" ht="15.6" hidden="false" customHeight="false" outlineLevel="0" collapsed="false">
      <c r="A57" s="111" t="n">
        <f aca="false">IF(ISBLANK(VLOOKUP(D57,#REF!,3)),0,1)</f>
        <v>1</v>
      </c>
      <c r="B57" s="112" t="n">
        <f aca="false">IF(ISBLANK(D57),0,IF(ISBLANK(E57),0,IF(ISBLANK(F57),0,1)))</f>
        <v>0</v>
      </c>
      <c r="C57" s="128" t="n">
        <v>23</v>
      </c>
      <c r="D57" s="151"/>
      <c r="E57" s="151"/>
      <c r="F57" s="152"/>
      <c r="G57" s="156"/>
      <c r="H57" s="151"/>
      <c r="I57" s="151"/>
      <c r="J57" s="132"/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32"/>
      <c r="Q57" s="132"/>
      <c r="R57" s="132"/>
      <c r="S57" s="132"/>
      <c r="T57" s="124"/>
      <c r="U57" s="124"/>
      <c r="V57" s="124"/>
      <c r="W57" s="124"/>
      <c r="X57" s="124"/>
      <c r="Y57" s="124"/>
      <c r="Z57" s="124"/>
      <c r="AA57" s="124"/>
      <c r="AB57" s="124"/>
      <c r="AC57" s="124"/>
      <c r="AD57" s="124"/>
      <c r="AE57" s="124"/>
      <c r="AF57" s="124"/>
      <c r="AG57" s="124"/>
      <c r="AH57" s="124"/>
      <c r="AI57" s="124"/>
      <c r="AJ57" s="124"/>
      <c r="AK57" s="124"/>
      <c r="AL57" s="124"/>
      <c r="AM57" s="124"/>
      <c r="AN57" s="124"/>
      <c r="AO57" s="124"/>
      <c r="AP57" s="124"/>
      <c r="AQ57" s="124"/>
      <c r="AR57" s="124"/>
      <c r="AS57" s="124"/>
      <c r="AT57" s="124"/>
      <c r="AU57" s="124"/>
      <c r="AV57" s="124"/>
      <c r="AW57" s="124"/>
      <c r="AX57" s="124"/>
      <c r="AY57" s="124"/>
      <c r="AZ57" s="124"/>
      <c r="BA57" s="124"/>
      <c r="BB57" s="136"/>
    </row>
    <row r="58" customFormat="false" ht="16.2" hidden="false" customHeight="false" outlineLevel="0" collapsed="false">
      <c r="A58" s="111" t="n">
        <f aca="false">IF(ISBLANK(VLOOKUP(D58,#REF!,3)),0,1)</f>
        <v>1</v>
      </c>
      <c r="B58" s="112" t="n">
        <f aca="false">IF(ISBLANK(D58),0,IF(ISBLANK(E58),0,IF(ISBLANK(F58),0,1)))</f>
        <v>0</v>
      </c>
      <c r="C58" s="158" t="n">
        <v>24</v>
      </c>
      <c r="D58" s="159"/>
      <c r="E58" s="159"/>
      <c r="F58" s="160"/>
      <c r="G58" s="161"/>
      <c r="H58" s="159"/>
      <c r="I58" s="159"/>
      <c r="J58" s="132"/>
      <c r="K58" s="163" t="str">
        <f aca="false">IF(ISBLANK(E58),"",(0.000824493-(0.0000040899*E58)+(0.000000076438*E58^2)-(0.00000000082467*E58^3)+(0.0000000000053875*E58^4)))</f>
        <v/>
      </c>
      <c r="L58" s="163" t="str">
        <f aca="false">IF(ISBLANK(E58),"",(-0.00000572466+(0.00000010227*E58)-(0.0000000016546*E58^2)))</f>
        <v/>
      </c>
      <c r="M58" s="163" t="str">
        <f aca="false">IF(ISBLANK(E58),"",IF(ISBLANK(G58),(O58+(K58*35)+(L58*35^1.5)+(0.00000048314*35^2)),(O58+(K58*G58)+(L58*G58^1.5)+(0.00000048314*G58^2))))</f>
        <v/>
      </c>
      <c r="N58" s="164" t="str">
        <f aca="false">IF(ISBLANK(D58),"",IF(ISBLANK(G58),J58*(1+0.00001*(35-20)),J58*(1+0.00001*(G58-20))))</f>
        <v/>
      </c>
      <c r="O58" s="163" t="str">
        <f aca="false">IF(ISBLANK(E58),"",(0.999842594+(0.00006793952*E58)-(0.00000909529*E58^2)+(0.0000001001685*E58^3)-(0.000000001120083*E58^4)+(0.000000000006536332*E58^5)))</f>
        <v/>
      </c>
      <c r="P58" s="132"/>
      <c r="Q58" s="132"/>
      <c r="R58" s="132"/>
      <c r="S58" s="132"/>
      <c r="T58" s="168"/>
      <c r="U58" s="168"/>
      <c r="V58" s="168"/>
      <c r="W58" s="168"/>
      <c r="X58" s="168"/>
      <c r="Y58" s="168"/>
      <c r="Z58" s="168"/>
      <c r="AA58" s="168"/>
      <c r="AB58" s="168"/>
      <c r="AC58" s="168"/>
      <c r="AD58" s="168"/>
      <c r="AE58" s="168"/>
      <c r="AF58" s="168"/>
      <c r="AG58" s="168"/>
      <c r="AH58" s="168"/>
      <c r="AI58" s="168"/>
      <c r="AJ58" s="168"/>
      <c r="AK58" s="168"/>
      <c r="AL58" s="168"/>
      <c r="AM58" s="168"/>
      <c r="AN58" s="168"/>
      <c r="AO58" s="168"/>
      <c r="AP58" s="168"/>
      <c r="AQ58" s="168"/>
      <c r="AR58" s="168"/>
      <c r="AS58" s="168"/>
      <c r="AT58" s="168"/>
      <c r="AU58" s="168"/>
      <c r="AV58" s="168"/>
      <c r="AW58" s="168"/>
      <c r="AX58" s="168"/>
      <c r="AY58" s="168"/>
      <c r="AZ58" s="168"/>
      <c r="BA58" s="168"/>
      <c r="BB58" s="169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P7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8178137651822"/>
    <col collapsed="false" hidden="false" max="32" min="32" style="0" width="9.10526315789474"/>
    <col collapsed="false" hidden="false" max="33" min="33" style="0" width="26.5668016194332"/>
    <col collapsed="false" hidden="false" max="34" min="34" style="0" width="12.8542510121458"/>
    <col collapsed="false" hidden="false" max="35" min="35" style="0" width="11.1417004048583"/>
    <col collapsed="false" hidden="false" max="36" min="36" style="0" width="14.5668016194332"/>
    <col collapsed="false" hidden="false" max="37" min="37" style="0" width="12.2105263157895"/>
    <col collapsed="false" hidden="false" max="38" min="38" style="0" width="26.995951417004"/>
    <col collapsed="false" hidden="false" max="39" min="39" style="0" width="14.6761133603239"/>
    <col collapsed="false" hidden="false" max="40" min="40" style="0" width="11.3562753036437"/>
    <col collapsed="false" hidden="false" max="41" min="41" style="0" width="12.5344129554656"/>
    <col collapsed="false" hidden="false" max="42" min="42" style="0" width="10.7125506072875"/>
    <col collapsed="false" hidden="false" max="43" min="43" style="0" width="6.31983805668016"/>
    <col collapsed="false" hidden="false" max="44" min="44" style="0" width="19.7085020242915"/>
    <col collapsed="false" hidden="false" max="45" min="45" style="0" width="13.0688259109312"/>
    <col collapsed="false" hidden="false" max="46" min="46" style="0" width="17.7813765182186"/>
    <col collapsed="false" hidden="false" max="47" min="47" style="0" width="14.6761133603239"/>
    <col collapsed="false" hidden="false" max="48" min="48" style="0" width="13.6032388663968"/>
    <col collapsed="false" hidden="false" max="49" min="49" style="0" width="13.7125506072874"/>
    <col collapsed="false" hidden="false" max="50" min="50" style="0" width="19.9230769230769"/>
    <col collapsed="false" hidden="false" max="51" min="51" style="0" width="13.2834008097166"/>
    <col collapsed="false" hidden="false" max="52" min="52" style="0" width="17.6761133603239"/>
    <col collapsed="false" hidden="false" max="53" min="53" style="0" width="13.3886639676113"/>
    <col collapsed="false" hidden="false" max="54" min="54" style="0" width="12.6396761133603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43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38728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6</v>
      </c>
      <c r="J9" s="29" t="n">
        <v>9.55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6°9,55</v>
      </c>
      <c r="P9" s="29" t="s">
        <v>13</v>
      </c>
      <c r="Q9" s="33" t="n">
        <f aca="false">IF(ISBLANK(I9),"",IF(ISBLANK(J9),"",IF(J9&gt;60,"ERREUR !!",O11*(I9+(J9/60)))))</f>
        <v>6.15916666666667</v>
      </c>
      <c r="R9" s="33"/>
    </row>
    <row r="10" customFormat="false" ht="15" hidden="false" customHeight="true" outlineLevel="0" collapsed="false">
      <c r="C10" s="21"/>
      <c r="D10" s="18"/>
      <c r="G10" s="27" t="s">
        <v>16</v>
      </c>
      <c r="H10" s="27"/>
      <c r="I10" s="28" t="n">
        <v>2</v>
      </c>
      <c r="J10" s="29" t="n">
        <v>24.43</v>
      </c>
      <c r="K10" s="30" t="s">
        <v>12</v>
      </c>
      <c r="L10" s="31" t="str">
        <f aca="false">IF(P10=N9,"+","-")</f>
        <v>+</v>
      </c>
      <c r="M10" s="30" t="s">
        <v>15</v>
      </c>
      <c r="N10" s="30" t="s">
        <v>17</v>
      </c>
      <c r="O10" s="34" t="str">
        <f aca="false">IF(ISBLANK(I10),"",IF(ISBLANK(J10),"",IF(P10=N10,L10&amp;N12,N12)))</f>
        <v>2°24,43</v>
      </c>
      <c r="P10" s="29" t="s">
        <v>14</v>
      </c>
      <c r="Q10" s="33" t="n">
        <f aca="false">IF(ISBLANK(I10),"",IF(ISBLANK(J10),"",IF(J10&gt;60,"ERREUR !!",O12*(I10+(J10/60)))))</f>
        <v>2.40716666666667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38555</v>
      </c>
      <c r="K11" s="38"/>
      <c r="L11" s="38"/>
      <c r="M11" s="38"/>
      <c r="N11" s="39" t="str">
        <f aca="false">I9&amp;"°"&amp;J9</f>
        <v>6°9,55</v>
      </c>
      <c r="O11" s="40" t="n">
        <f aca="false">IF(P9=M10,-1,1)</f>
        <v>1</v>
      </c>
      <c r="P11" s="41" t="str">
        <f aca="false">TEXT(J11,"aaaa-mm-jj")&amp;"T"&amp;TEXT(J12,"hh:mm:ss")&amp;"z"</f>
        <v>2009-07-23T15:10:00z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0.631944444444444</v>
      </c>
      <c r="K12" s="45"/>
      <c r="L12" s="45"/>
      <c r="M12" s="45"/>
      <c r="N12" s="46" t="str">
        <f aca="false">I10&amp;"°"&amp;J10</f>
        <v>2°24,43</v>
      </c>
      <c r="O12" s="40" t="n">
        <f aca="false">IF(P10=N10,-1,1)</f>
        <v>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e">
        <f aca="false">$P$24*($P$18/#REF!)</f>
        <v>#REF!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e">
        <f aca="false">5+#REF!</f>
        <v>#REF!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e">
        <f aca="false">P20*(1+0.00001*(R14-20))</f>
        <v>#REF!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e">
        <f aca="false">MAX(#REF!)</f>
        <v>#VALUE!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e">
        <f aca="false">2+(#REF!+#REF!)</f>
        <v>#REF!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52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53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IF(ISBLANK(VLOOKUP(D35,#REF!,3)),0,1)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s">
        <v>99</v>
      </c>
      <c r="H35" s="131" t="n">
        <v>50</v>
      </c>
      <c r="I35" s="125" t="n">
        <v>49.92</v>
      </c>
      <c r="J35" s="120"/>
      <c r="K35" s="121"/>
      <c r="L35" s="121"/>
      <c r="M35" s="121"/>
      <c r="N35" s="122"/>
      <c r="O35" s="121"/>
      <c r="P35" s="132"/>
      <c r="Q35" s="120"/>
      <c r="R35" s="120"/>
      <c r="S35" s="120"/>
      <c r="T35" s="125" t="n">
        <v>0.2</v>
      </c>
      <c r="U35" s="32" t="n">
        <v>0.18</v>
      </c>
      <c r="V35" s="32"/>
      <c r="W35" s="32"/>
      <c r="X35" s="125" t="n">
        <v>7.6</v>
      </c>
      <c r="Y35" s="125" t="n">
        <v>7.5</v>
      </c>
      <c r="Z35" s="125" t="n">
        <v>0.7</v>
      </c>
      <c r="AA35" s="32" t="n">
        <v>0.65</v>
      </c>
      <c r="AB35" s="125" t="n">
        <v>4.9</v>
      </c>
      <c r="AC35" s="125" t="n">
        <v>4.8</v>
      </c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7"/>
    </row>
    <row r="36" customFormat="false" ht="15.6" hidden="false" customHeight="false" outlineLevel="0" collapsed="false">
      <c r="A36" s="111" t="n">
        <f aca="false">IF(ISBLANK(VLOOKUP(D36,#REF!,3)),0,1)</f>
        <v>1</v>
      </c>
      <c r="B36" s="112" t="n">
        <f aca="false">IF(ISBLANK(D36),0,IF(ISBLANK(E36),0,IF(ISBLANK(F36),0,1)))</f>
        <v>0</v>
      </c>
      <c r="C36" s="128" t="n">
        <v>2</v>
      </c>
      <c r="D36" s="129"/>
      <c r="E36" s="129"/>
      <c r="F36" s="130"/>
      <c r="G36" s="117" t="s">
        <v>99</v>
      </c>
      <c r="H36" s="131" t="n">
        <v>20</v>
      </c>
      <c r="I36" s="125" t="n">
        <v>20.06</v>
      </c>
      <c r="J36" s="132"/>
      <c r="K36" s="133"/>
      <c r="L36" s="133"/>
      <c r="M36" s="133"/>
      <c r="N36" s="134"/>
      <c r="O36" s="133"/>
      <c r="P36" s="132"/>
      <c r="Q36" s="132"/>
      <c r="R36" s="132"/>
      <c r="S36" s="132"/>
      <c r="T36" s="125" t="n">
        <v>0</v>
      </c>
      <c r="U36" s="32" t="n">
        <v>0.02</v>
      </c>
      <c r="V36" s="32"/>
      <c r="W36" s="32"/>
      <c r="X36" s="125" t="n">
        <v>0</v>
      </c>
      <c r="Y36" s="125" t="n">
        <v>0</v>
      </c>
      <c r="Z36" s="125" t="n">
        <v>0.1</v>
      </c>
      <c r="AA36" s="32" t="n">
        <v>0.09</v>
      </c>
      <c r="AB36" s="125" t="n">
        <v>1.7</v>
      </c>
      <c r="AC36" s="125" t="n">
        <v>1.6</v>
      </c>
      <c r="AD36" s="124"/>
      <c r="AE36" s="124"/>
      <c r="AF36" s="124"/>
      <c r="AG36" s="124"/>
      <c r="AH36" s="124"/>
      <c r="AI36" s="124"/>
      <c r="AJ36" s="124"/>
      <c r="AK36" s="124"/>
      <c r="AL36" s="124"/>
      <c r="AM36" s="124"/>
      <c r="AN36" s="124"/>
      <c r="AO36" s="124"/>
      <c r="AP36" s="124"/>
      <c r="AQ36" s="124"/>
      <c r="AR36" s="124"/>
      <c r="AS36" s="124"/>
      <c r="AT36" s="124"/>
      <c r="AU36" s="124"/>
      <c r="AV36" s="124"/>
      <c r="AW36" s="124"/>
      <c r="AX36" s="124"/>
      <c r="AY36" s="124"/>
      <c r="AZ36" s="124"/>
      <c r="BA36" s="124"/>
      <c r="BB36" s="136"/>
    </row>
    <row r="37" customFormat="false" ht="15.6" hidden="false" customHeight="false" outlineLevel="0" collapsed="false">
      <c r="A37" s="111" t="n">
        <f aca="false">IF(ISBLANK(VLOOKUP(D37,#REF!,3)),0,1)</f>
        <v>1</v>
      </c>
      <c r="B37" s="112" t="n">
        <f aca="false">IF(ISBLANK(D37),0,IF(ISBLANK(E37),0,IF(ISBLANK(F37),0,1)))</f>
        <v>0</v>
      </c>
      <c r="C37" s="128" t="n">
        <v>3</v>
      </c>
      <c r="D37" s="129"/>
      <c r="E37" s="129"/>
      <c r="F37" s="137"/>
      <c r="G37" s="117" t="s">
        <v>99</v>
      </c>
      <c r="H37" s="131" t="n">
        <v>0</v>
      </c>
      <c r="I37" s="125" t="n">
        <v>2.61</v>
      </c>
      <c r="K37" s="133"/>
      <c r="L37" s="133"/>
      <c r="M37" s="133"/>
      <c r="N37" s="134"/>
      <c r="O37" s="133"/>
      <c r="P37" s="132"/>
      <c r="Q37" s="132"/>
      <c r="R37" s="132"/>
      <c r="S37" s="132"/>
      <c r="T37" s="125" t="n">
        <v>0</v>
      </c>
      <c r="U37" s="32" t="n">
        <v>0.01</v>
      </c>
      <c r="V37" s="32"/>
      <c r="W37" s="32"/>
      <c r="X37" s="125" t="n">
        <v>0</v>
      </c>
      <c r="Y37" s="125" t="n">
        <v>0</v>
      </c>
      <c r="Z37" s="125" t="n">
        <v>0.1</v>
      </c>
      <c r="AA37" s="32" t="n">
        <v>0.05</v>
      </c>
      <c r="AB37" s="125" t="n">
        <v>1.7</v>
      </c>
      <c r="AC37" s="125" t="n">
        <v>1.6</v>
      </c>
      <c r="AD37" s="124"/>
      <c r="AE37" s="124"/>
      <c r="AF37" s="124"/>
      <c r="AG37" s="124"/>
      <c r="AH37" s="124"/>
      <c r="AI37" s="124"/>
      <c r="AJ37" s="124"/>
      <c r="AK37" s="124"/>
      <c r="AL37" s="124"/>
      <c r="AM37" s="124"/>
      <c r="AN37" s="124"/>
      <c r="AO37" s="124"/>
      <c r="AP37" s="124"/>
      <c r="AQ37" s="124"/>
      <c r="AR37" s="124"/>
      <c r="AS37" s="124"/>
      <c r="AT37" s="124"/>
      <c r="AU37" s="124"/>
      <c r="AV37" s="124"/>
      <c r="AW37" s="124"/>
      <c r="AX37" s="124"/>
      <c r="AY37" s="124"/>
      <c r="AZ37" s="124"/>
      <c r="BA37" s="124"/>
      <c r="BB37" s="136"/>
    </row>
    <row r="38" customFormat="false" ht="15.6" hidden="false" customHeight="false" outlineLevel="0" collapsed="false">
      <c r="A38" s="111" t="n">
        <f aca="false">IF(ISBLANK(VLOOKUP(D38,#REF!,3)),0,1)</f>
        <v>1</v>
      </c>
      <c r="B38" s="112" t="n">
        <f aca="false">IF(ISBLANK(D38),0,IF(ISBLANK(E38),0,IF(ISBLANK(F38),0,1)))</f>
        <v>0</v>
      </c>
      <c r="C38" s="128" t="n">
        <v>4</v>
      </c>
      <c r="D38" s="138"/>
      <c r="E38" s="138"/>
      <c r="F38" s="139"/>
      <c r="G38" s="117" t="s">
        <v>99</v>
      </c>
      <c r="H38" s="131" t="s">
        <v>99</v>
      </c>
      <c r="I38" s="125" t="s">
        <v>99</v>
      </c>
      <c r="J38" s="132"/>
      <c r="K38" s="133"/>
      <c r="L38" s="133"/>
      <c r="M38" s="133"/>
      <c r="N38" s="134"/>
      <c r="O38" s="133"/>
      <c r="P38" s="132"/>
      <c r="Q38" s="132"/>
      <c r="R38" s="132"/>
      <c r="S38" s="132"/>
      <c r="T38" s="132"/>
      <c r="U38" s="133"/>
      <c r="V38" s="133"/>
      <c r="W38" s="133"/>
      <c r="X38" s="134"/>
      <c r="Y38" s="133"/>
      <c r="Z38" s="132"/>
      <c r="AA38" s="132"/>
      <c r="AB38" s="132"/>
      <c r="AC38" s="132"/>
      <c r="AD38" s="124"/>
      <c r="AE38" s="124"/>
      <c r="AF38" s="124"/>
      <c r="AG38" s="124"/>
      <c r="AH38" s="124"/>
      <c r="AI38" s="124"/>
      <c r="AJ38" s="124"/>
      <c r="AK38" s="124"/>
      <c r="AL38" s="124"/>
      <c r="AM38" s="124"/>
      <c r="AN38" s="124"/>
      <c r="AO38" s="124"/>
      <c r="AP38" s="124"/>
      <c r="AQ38" s="124"/>
      <c r="AR38" s="124"/>
      <c r="AS38" s="124"/>
      <c r="AT38" s="124"/>
      <c r="AU38" s="124"/>
      <c r="AV38" s="124"/>
      <c r="AW38" s="124"/>
      <c r="AX38" s="124"/>
      <c r="AY38" s="124"/>
      <c r="AZ38" s="124"/>
      <c r="BA38" s="124"/>
      <c r="BB38" s="136"/>
    </row>
    <row r="39" customFormat="false" ht="15.6" hidden="false" customHeight="false" outlineLevel="0" collapsed="false">
      <c r="A39" s="111" t="n">
        <f aca="false">IF(ISBLANK(VLOOKUP(D39,#REF!,3)),0,1)</f>
        <v>1</v>
      </c>
      <c r="B39" s="112" t="n">
        <f aca="false">IF(ISBLANK(D39),0,IF(ISBLANK(E39),0,IF(ISBLANK(F39),0,1)))</f>
        <v>0</v>
      </c>
      <c r="C39" s="128" t="n">
        <v>5</v>
      </c>
      <c r="D39" s="129"/>
      <c r="E39" s="129"/>
      <c r="F39" s="137"/>
      <c r="G39" s="117" t="s">
        <v>99</v>
      </c>
      <c r="H39" s="131" t="s">
        <v>99</v>
      </c>
      <c r="I39" s="125" t="s">
        <v>99</v>
      </c>
      <c r="J39" s="132"/>
      <c r="K39" s="133"/>
      <c r="L39" s="133"/>
      <c r="M39" s="133"/>
      <c r="N39" s="134"/>
      <c r="O39" s="133"/>
      <c r="P39" s="132"/>
      <c r="Q39" s="132"/>
      <c r="R39" s="132"/>
      <c r="S39" s="132"/>
      <c r="T39" s="132"/>
      <c r="U39" s="133"/>
      <c r="V39" s="133"/>
      <c r="W39" s="133"/>
      <c r="X39" s="134"/>
      <c r="Y39" s="133"/>
      <c r="Z39" s="132"/>
      <c r="AA39" s="132"/>
      <c r="AB39" s="132"/>
      <c r="AC39" s="132"/>
      <c r="AD39" s="124"/>
      <c r="AE39" s="124"/>
      <c r="AF39" s="124"/>
      <c r="AG39" s="124"/>
      <c r="AH39" s="124"/>
      <c r="AI39" s="124"/>
      <c r="AJ39" s="124"/>
      <c r="AK39" s="124"/>
      <c r="AL39" s="124"/>
      <c r="AM39" s="124"/>
      <c r="AN39" s="124"/>
      <c r="AO39" s="124"/>
      <c r="AP39" s="124"/>
      <c r="AQ39" s="124"/>
      <c r="AR39" s="124"/>
      <c r="AS39" s="124"/>
      <c r="AT39" s="124"/>
      <c r="AU39" s="124"/>
      <c r="AV39" s="124"/>
      <c r="AW39" s="124"/>
      <c r="AX39" s="124"/>
      <c r="AY39" s="124"/>
      <c r="AZ39" s="124"/>
      <c r="BA39" s="124"/>
      <c r="BB39" s="136"/>
    </row>
    <row r="40" customFormat="false" ht="15.6" hidden="false" customHeight="false" outlineLevel="0" collapsed="false">
      <c r="A40" s="111" t="n">
        <f aca="false">IF(ISBLANK(VLOOKUP(D40,#REF!,3)),0,1)</f>
        <v>1</v>
      </c>
      <c r="B40" s="112" t="n">
        <f aca="false">IF(ISBLANK(D40),0,IF(ISBLANK(E40),0,IF(ISBLANK(F40),0,1)))</f>
        <v>0</v>
      </c>
      <c r="C40" s="128" t="n">
        <v>6</v>
      </c>
      <c r="D40" s="129"/>
      <c r="E40" s="129"/>
      <c r="F40" s="137"/>
      <c r="G40" s="117" t="s">
        <v>99</v>
      </c>
      <c r="H40" s="131" t="s">
        <v>99</v>
      </c>
      <c r="I40" s="125" t="s">
        <v>99</v>
      </c>
      <c r="J40" s="132"/>
      <c r="K40" s="133"/>
      <c r="L40" s="133"/>
      <c r="M40" s="133"/>
      <c r="N40" s="134"/>
      <c r="O40" s="133"/>
      <c r="P40" s="132"/>
      <c r="Q40" s="132"/>
      <c r="R40" s="132"/>
      <c r="S40" s="132"/>
      <c r="T40" s="132"/>
      <c r="U40" s="133"/>
      <c r="V40" s="133"/>
      <c r="W40" s="133"/>
      <c r="X40" s="134"/>
      <c r="Y40" s="133"/>
      <c r="Z40" s="132"/>
      <c r="AA40" s="132"/>
      <c r="AB40" s="132"/>
      <c r="AC40" s="132"/>
      <c r="AD40" s="124"/>
      <c r="AE40" s="124"/>
      <c r="AF40" s="124"/>
      <c r="AG40" s="124"/>
      <c r="AH40" s="124"/>
      <c r="AI40" s="124"/>
      <c r="AJ40" s="124"/>
      <c r="AK40" s="124"/>
      <c r="AL40" s="124"/>
      <c r="AM40" s="124"/>
      <c r="AN40" s="124"/>
      <c r="AO40" s="124"/>
      <c r="AP40" s="124"/>
      <c r="AQ40" s="124"/>
      <c r="AR40" s="124"/>
      <c r="AS40" s="124"/>
      <c r="AT40" s="124"/>
      <c r="AU40" s="124"/>
      <c r="AV40" s="124"/>
      <c r="AW40" s="124"/>
      <c r="AX40" s="124"/>
      <c r="AY40" s="124"/>
      <c r="AZ40" s="124"/>
      <c r="BA40" s="124"/>
      <c r="BB40" s="136"/>
    </row>
    <row r="41" customFormat="false" ht="15.6" hidden="false" customHeight="false" outlineLevel="0" collapsed="false">
      <c r="A41" s="111" t="n">
        <f aca="false">IF(ISBLANK(VLOOKUP(D41,#REF!,3)),0,1)</f>
        <v>1</v>
      </c>
      <c r="B41" s="112" t="n">
        <f aca="false">IF(ISBLANK(D41),0,IF(ISBLANK(E41),0,IF(ISBLANK(F41),0,1)))</f>
        <v>0</v>
      </c>
      <c r="C41" s="128" t="n">
        <v>7</v>
      </c>
      <c r="D41" s="129"/>
      <c r="E41" s="129"/>
      <c r="F41" s="137"/>
      <c r="G41" s="117" t="s">
        <v>99</v>
      </c>
      <c r="H41" s="131" t="s">
        <v>99</v>
      </c>
      <c r="I41" s="125" t="s">
        <v>99</v>
      </c>
      <c r="J41" s="132"/>
      <c r="K41" s="133"/>
      <c r="L41" s="133"/>
      <c r="M41" s="133"/>
      <c r="N41" s="134"/>
      <c r="O41" s="133"/>
      <c r="P41" s="132"/>
      <c r="Q41" s="132"/>
      <c r="R41" s="132"/>
      <c r="S41" s="132"/>
      <c r="T41" s="132"/>
      <c r="U41" s="133"/>
      <c r="V41" s="133"/>
      <c r="W41" s="133"/>
      <c r="X41" s="134"/>
      <c r="Y41" s="133"/>
      <c r="Z41" s="132"/>
      <c r="AA41" s="132"/>
      <c r="AB41" s="132"/>
      <c r="AC41" s="132"/>
      <c r="AD41" s="124"/>
      <c r="AE41" s="124"/>
      <c r="AF41" s="124"/>
      <c r="AG41" s="124"/>
      <c r="AH41" s="124"/>
      <c r="AI41" s="124"/>
      <c r="AJ41" s="124"/>
      <c r="AK41" s="124"/>
      <c r="AL41" s="124"/>
      <c r="AM41" s="124"/>
      <c r="AN41" s="124"/>
      <c r="AO41" s="124"/>
      <c r="AP41" s="124"/>
      <c r="AQ41" s="124"/>
      <c r="AR41" s="124"/>
      <c r="AS41" s="124"/>
      <c r="AT41" s="124"/>
      <c r="AU41" s="124"/>
      <c r="AV41" s="124"/>
      <c r="AW41" s="124"/>
      <c r="AX41" s="124"/>
      <c r="AY41" s="124"/>
      <c r="AZ41" s="124"/>
      <c r="BA41" s="124"/>
      <c r="BB41" s="136"/>
    </row>
    <row r="42" customFormat="false" ht="15.6" hidden="false" customHeight="false" outlineLevel="0" collapsed="false">
      <c r="A42" s="111" t="n">
        <f aca="false">IF(ISBLANK(VLOOKUP(D42,#REF!,3)),0,1)</f>
        <v>1</v>
      </c>
      <c r="B42" s="112" t="n">
        <f aca="false">IF(ISBLANK(D42),0,IF(ISBLANK(E42),0,IF(ISBLANK(F42),0,1)))</f>
        <v>0</v>
      </c>
      <c r="C42" s="128" t="n">
        <v>8</v>
      </c>
      <c r="D42" s="129"/>
      <c r="E42" s="129"/>
      <c r="F42" s="137"/>
      <c r="G42" s="117" t="s">
        <v>99</v>
      </c>
      <c r="H42" s="131" t="s">
        <v>99</v>
      </c>
      <c r="I42" s="125" t="s">
        <v>99</v>
      </c>
      <c r="J42" s="132"/>
      <c r="K42" s="133"/>
      <c r="L42" s="133"/>
      <c r="M42" s="133"/>
      <c r="N42" s="134"/>
      <c r="O42" s="133"/>
      <c r="P42" s="132"/>
      <c r="Q42" s="132"/>
      <c r="R42" s="132"/>
      <c r="T42" s="132"/>
      <c r="U42" s="133"/>
      <c r="V42" s="133"/>
      <c r="W42" s="133"/>
      <c r="X42" s="134"/>
      <c r="Y42" s="133"/>
      <c r="Z42" s="132"/>
      <c r="AA42" s="132"/>
      <c r="AB42" s="132"/>
      <c r="AD42" s="124"/>
      <c r="AE42" s="124"/>
      <c r="AF42" s="124"/>
      <c r="AG42" s="124"/>
      <c r="AH42" s="124"/>
      <c r="AI42" s="124"/>
      <c r="AJ42" s="124"/>
      <c r="AK42" s="124"/>
      <c r="AL42" s="124"/>
      <c r="AM42" s="124"/>
      <c r="AN42" s="124"/>
      <c r="AO42" s="124"/>
      <c r="AP42" s="124"/>
      <c r="AQ42" s="124"/>
      <c r="AR42" s="124"/>
      <c r="AS42" s="124"/>
      <c r="AT42" s="124"/>
      <c r="AU42" s="124"/>
      <c r="AV42" s="124"/>
      <c r="AW42" s="124"/>
      <c r="AX42" s="124"/>
      <c r="AY42" s="124"/>
      <c r="AZ42" s="124"/>
      <c r="BA42" s="124"/>
      <c r="BB42" s="136"/>
    </row>
    <row r="43" customFormat="false" ht="15.6" hidden="false" customHeight="false" outlineLevel="0" collapsed="false">
      <c r="A43" s="111" t="n">
        <f aca="false">IF(ISBLANK(VLOOKUP(D43,#REF!,3)),0,1)</f>
        <v>1</v>
      </c>
      <c r="B43" s="112" t="n">
        <f aca="false">IF(ISBLANK(D43),0,IF(ISBLANK(E43),0,IF(ISBLANK(F43),0,1)))</f>
        <v>0</v>
      </c>
      <c r="C43" s="128" t="n">
        <v>9</v>
      </c>
      <c r="D43" s="129"/>
      <c r="E43" s="129"/>
      <c r="F43" s="137"/>
      <c r="G43" s="117" t="s">
        <v>99</v>
      </c>
      <c r="H43" s="131" t="s">
        <v>99</v>
      </c>
      <c r="I43" s="125" t="s">
        <v>99</v>
      </c>
      <c r="J43" s="132"/>
      <c r="K43" s="133"/>
      <c r="L43" s="133"/>
      <c r="M43" s="133"/>
      <c r="N43" s="134"/>
      <c r="O43" s="133"/>
      <c r="P43" s="132"/>
      <c r="Q43" s="132"/>
      <c r="R43" s="132"/>
      <c r="S43" s="132"/>
      <c r="T43" s="132"/>
      <c r="U43" s="133"/>
      <c r="V43" s="133"/>
      <c r="W43" s="133"/>
      <c r="X43" s="134"/>
      <c r="Y43" s="133"/>
      <c r="Z43" s="132"/>
      <c r="AA43" s="132"/>
      <c r="AB43" s="132"/>
      <c r="AC43" s="132"/>
      <c r="AD43" s="124"/>
      <c r="AE43" s="124"/>
      <c r="AF43" s="124"/>
      <c r="AG43" s="124"/>
      <c r="AH43" s="124"/>
      <c r="AI43" s="124"/>
      <c r="AJ43" s="124"/>
      <c r="AK43" s="124"/>
      <c r="AL43" s="124"/>
      <c r="AM43" s="124"/>
      <c r="AN43" s="124"/>
      <c r="AO43" s="124"/>
      <c r="AP43" s="124"/>
      <c r="AQ43" s="124"/>
      <c r="AR43" s="124"/>
      <c r="AS43" s="124"/>
      <c r="AT43" s="124"/>
      <c r="AU43" s="124"/>
      <c r="AV43" s="124"/>
      <c r="AW43" s="124"/>
      <c r="AX43" s="124"/>
      <c r="AY43" s="124"/>
      <c r="AZ43" s="124"/>
      <c r="BA43" s="124"/>
      <c r="BB43" s="136"/>
    </row>
    <row r="44" customFormat="false" ht="15.6" hidden="false" customHeight="false" outlineLevel="0" collapsed="false">
      <c r="A44" s="111" t="n">
        <f aca="false">IF(ISBLANK(VLOOKUP(D44,#REF!,3)),0,1)</f>
        <v>1</v>
      </c>
      <c r="B44" s="112" t="n">
        <f aca="false">IF(ISBLANK(D44),0,IF(ISBLANK(E44),0,IF(ISBLANK(F44),0,1)))</f>
        <v>0</v>
      </c>
      <c r="C44" s="128" t="n">
        <v>10</v>
      </c>
      <c r="D44" s="129"/>
      <c r="E44" s="129"/>
      <c r="F44" s="137"/>
      <c r="G44" s="117" t="s">
        <v>99</v>
      </c>
      <c r="H44" s="131" t="s">
        <v>99</v>
      </c>
      <c r="I44" s="125" t="s">
        <v>99</v>
      </c>
      <c r="J44" s="132"/>
      <c r="K44" s="133"/>
      <c r="L44" s="133"/>
      <c r="M44" s="133"/>
      <c r="N44" s="134"/>
      <c r="O44" s="133"/>
      <c r="P44" s="132"/>
      <c r="Q44" s="132"/>
      <c r="R44" s="132"/>
      <c r="S44" s="132"/>
      <c r="T44" s="132"/>
      <c r="U44" s="133"/>
      <c r="V44" s="133"/>
      <c r="W44" s="133"/>
      <c r="X44" s="134"/>
      <c r="Y44" s="133"/>
      <c r="Z44" s="132"/>
      <c r="AA44" s="132"/>
      <c r="AB44" s="132"/>
      <c r="AC44" s="132"/>
      <c r="AD44" s="124"/>
      <c r="AE44" s="124"/>
      <c r="AF44" s="124"/>
      <c r="AG44" s="124"/>
      <c r="AH44" s="124"/>
      <c r="AI44" s="124"/>
      <c r="AJ44" s="124"/>
      <c r="AK44" s="124"/>
      <c r="AL44" s="124"/>
      <c r="AM44" s="124"/>
      <c r="AN44" s="124"/>
      <c r="AO44" s="124"/>
      <c r="AP44" s="124"/>
      <c r="AQ44" s="124"/>
      <c r="AR44" s="124"/>
      <c r="AS44" s="124"/>
      <c r="AT44" s="124"/>
      <c r="AU44" s="124"/>
      <c r="AV44" s="124"/>
      <c r="AW44" s="124"/>
      <c r="AX44" s="124"/>
      <c r="AY44" s="124"/>
      <c r="AZ44" s="124"/>
      <c r="BA44" s="124"/>
      <c r="BB44" s="136"/>
    </row>
    <row r="45" customFormat="false" ht="15.6" hidden="false" customHeight="false" outlineLevel="0" collapsed="false">
      <c r="A45" s="111" t="n">
        <f aca="false">IF(ISBLANK(VLOOKUP(D45,#REF!,3)),0,1)</f>
        <v>1</v>
      </c>
      <c r="B45" s="112" t="n">
        <f aca="false">IF(ISBLANK(D45),0,IF(ISBLANK(E45),0,IF(ISBLANK(F45),0,1)))</f>
        <v>0</v>
      </c>
      <c r="C45" s="128" t="n">
        <v>11</v>
      </c>
      <c r="D45" s="129"/>
      <c r="E45" s="129"/>
      <c r="F45" s="137"/>
      <c r="G45" s="117" t="s">
        <v>99</v>
      </c>
      <c r="H45" s="131" t="s">
        <v>99</v>
      </c>
      <c r="I45" s="125" t="s">
        <v>99</v>
      </c>
      <c r="J45" s="132"/>
      <c r="K45" s="133"/>
      <c r="L45" s="133"/>
      <c r="M45" s="133"/>
      <c r="N45" s="134"/>
      <c r="O45" s="133"/>
      <c r="P45" s="132"/>
      <c r="Q45" s="132"/>
      <c r="R45" s="132"/>
      <c r="S45" s="132"/>
      <c r="T45" s="132"/>
      <c r="U45" s="133"/>
      <c r="V45" s="133"/>
      <c r="W45" s="133"/>
      <c r="X45" s="134"/>
      <c r="Y45" s="133"/>
      <c r="Z45" s="132"/>
      <c r="AA45" s="132"/>
      <c r="AB45" s="132"/>
      <c r="AC45" s="132"/>
      <c r="AD45" s="124"/>
      <c r="AE45" s="124"/>
      <c r="AF45" s="124"/>
      <c r="AG45" s="124"/>
      <c r="AH45" s="124"/>
      <c r="AI45" s="124"/>
      <c r="AJ45" s="124"/>
      <c r="AK45" s="124"/>
      <c r="AL45" s="124"/>
      <c r="AM45" s="124"/>
      <c r="AN45" s="124"/>
      <c r="AO45" s="124"/>
      <c r="AP45" s="124"/>
      <c r="AQ45" s="124"/>
      <c r="AR45" s="124"/>
      <c r="AS45" s="124"/>
      <c r="AT45" s="124"/>
      <c r="AU45" s="124"/>
      <c r="AV45" s="124"/>
      <c r="AW45" s="124"/>
      <c r="AX45" s="124"/>
      <c r="AY45" s="124"/>
      <c r="AZ45" s="124"/>
      <c r="BA45" s="124"/>
      <c r="BB45" s="136"/>
    </row>
    <row r="46" customFormat="false" ht="15.6" hidden="false" customHeight="false" outlineLevel="0" collapsed="false">
      <c r="A46" s="111" t="n">
        <f aca="false">IF(ISBLANK(VLOOKUP(D46,#REF!,3)),0,1)</f>
        <v>1</v>
      </c>
      <c r="B46" s="112" t="n">
        <f aca="false">IF(ISBLANK(D46),0,IF(ISBLANK(E46),0,IF(ISBLANK(F46),0,1)))</f>
        <v>0</v>
      </c>
      <c r="C46" s="128" t="n">
        <v>12</v>
      </c>
      <c r="D46" s="142"/>
      <c r="E46" s="142"/>
      <c r="F46" s="143"/>
      <c r="G46" s="117" t="s">
        <v>99</v>
      </c>
      <c r="H46" s="131" t="s">
        <v>99</v>
      </c>
      <c r="I46" s="125" t="s">
        <v>99</v>
      </c>
      <c r="J46" s="132"/>
      <c r="K46" s="146" t="str">
        <f aca="false">IF(ISBLANK(E46),"",(0.000824493-(0.0000040899*E46)+(0.000000076438*E46^2)-(0.00000000082467*E46^3)+(0.0000000000053875*E46^4)))</f>
        <v/>
      </c>
      <c r="L46" s="146" t="str">
        <f aca="false">IF(ISBLANK(E46),"",(-0.00000572466+(0.00000010227*E46)-(0.0000000016546*E46^2)))</f>
        <v/>
      </c>
      <c r="M46" s="146" t="str">
        <f aca="false">IF(ISBLANK(E46),"",IF(ISBLANK(G46),(O46+(K46*35)+(L46*35^1.5)+(0.00000048314*35^2)),(O46+(K46*G46)+(L46*G46^1.5)+(0.00000048314*G46^2))))</f>
        <v/>
      </c>
      <c r="N46" s="147" t="str">
        <f aca="false">IF(ISBLANK(D46),"",IF(ISBLANK(G46),J46*(1+0.00001*(35-20)),J46*(1+0.00001*(G46-20))))</f>
        <v/>
      </c>
      <c r="O46" s="146" t="str">
        <f aca="false">IF(ISBLANK(E46),"",(0.999842594+(0.00006793952*E46)-(0.00000909529*E46^2)+(0.0000001001685*E46^3)-(0.000000001120083*E46^4)+(0.000000000006536332*E46^5)))</f>
        <v/>
      </c>
      <c r="P46" s="132"/>
      <c r="Q46" s="132"/>
      <c r="R46" s="132"/>
      <c r="S46" s="132"/>
      <c r="T46" s="132"/>
      <c r="U46" s="146" t="s">
        <v>99</v>
      </c>
      <c r="V46" s="146" t="s">
        <v>145</v>
      </c>
      <c r="W46" s="146" t="s">
        <v>99</v>
      </c>
      <c r="X46" s="147" t="s">
        <v>99</v>
      </c>
      <c r="Y46" s="146" t="s">
        <v>99</v>
      </c>
      <c r="Z46" s="132"/>
      <c r="AA46" s="132"/>
      <c r="AB46" s="132"/>
      <c r="AC46" s="132"/>
      <c r="AD46" s="124"/>
      <c r="AE46" s="124"/>
      <c r="AF46" s="124"/>
      <c r="AG46" s="124"/>
      <c r="AH46" s="124"/>
      <c r="AI46" s="124"/>
      <c r="AJ46" s="124"/>
      <c r="AK46" s="124"/>
      <c r="AL46" s="124"/>
      <c r="AM46" s="124"/>
      <c r="AN46" s="124"/>
      <c r="AO46" s="124"/>
      <c r="AP46" s="124"/>
      <c r="AQ46" s="124"/>
      <c r="AR46" s="124"/>
      <c r="AS46" s="124"/>
      <c r="AT46" s="124"/>
      <c r="AU46" s="124"/>
      <c r="AV46" s="124"/>
      <c r="AW46" s="124"/>
      <c r="AX46" s="124"/>
      <c r="AY46" s="124"/>
      <c r="AZ46" s="124"/>
      <c r="BA46" s="124"/>
      <c r="BB46" s="136"/>
    </row>
    <row r="47" customFormat="false" ht="15.6" hidden="false" customHeight="false" outlineLevel="0" collapsed="false">
      <c r="A47" s="111" t="n">
        <f aca="false">IF(ISBLANK(VLOOKUP(D47,#REF!,3)),0,1)</f>
        <v>1</v>
      </c>
      <c r="B47" s="112" t="n">
        <f aca="false">IF(ISBLANK(D47),0,IF(ISBLANK(E47),0,IF(ISBLANK(F47),0,1)))</f>
        <v>0</v>
      </c>
      <c r="C47" s="128" t="n">
        <v>13</v>
      </c>
      <c r="D47" s="151"/>
      <c r="E47" s="151"/>
      <c r="F47" s="152"/>
      <c r="G47" s="153"/>
      <c r="H47" s="151"/>
      <c r="I47" s="151"/>
      <c r="J47" s="132"/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32"/>
      <c r="Q47" s="132"/>
      <c r="R47" s="132"/>
      <c r="S47" s="132"/>
      <c r="T47" s="124"/>
      <c r="U47" s="124"/>
      <c r="V47" s="124"/>
      <c r="W47" s="124"/>
      <c r="X47" s="12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24"/>
      <c r="AJ47" s="124"/>
      <c r="AK47" s="124"/>
      <c r="AL47" s="124"/>
      <c r="AM47" s="124"/>
      <c r="AN47" s="124"/>
      <c r="AO47" s="124"/>
      <c r="AP47" s="124"/>
      <c r="AQ47" s="124"/>
      <c r="AR47" s="124"/>
      <c r="AS47" s="124"/>
      <c r="AT47" s="124"/>
      <c r="AU47" s="124"/>
      <c r="AV47" s="124"/>
      <c r="AW47" s="124"/>
      <c r="AX47" s="124"/>
      <c r="AY47" s="124"/>
      <c r="AZ47" s="124"/>
      <c r="BA47" s="124"/>
      <c r="BB47" s="136"/>
    </row>
    <row r="48" customFormat="false" ht="15.6" hidden="false" customHeight="false" outlineLevel="0" collapsed="false">
      <c r="A48" s="111" t="n">
        <f aca="false">IF(ISBLANK(VLOOKUP(D48,#REF!,3)),0,1)</f>
        <v>1</v>
      </c>
      <c r="B48" s="112" t="n">
        <f aca="false">IF(ISBLANK(D48),0,IF(ISBLANK(E48),0,IF(ISBLANK(F48),0,1)))</f>
        <v>0</v>
      </c>
      <c r="C48" s="128" t="n">
        <v>14</v>
      </c>
      <c r="D48" s="151"/>
      <c r="E48" s="151"/>
      <c r="F48" s="152"/>
      <c r="G48" s="153"/>
      <c r="H48" s="151"/>
      <c r="I48" s="151"/>
      <c r="J48" s="132"/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32"/>
      <c r="Q48" s="132"/>
      <c r="R48" s="132"/>
      <c r="S48" s="132"/>
      <c r="T48" s="124"/>
      <c r="U48" s="124"/>
      <c r="V48" s="124"/>
      <c r="W48" s="124"/>
      <c r="X48" s="124"/>
      <c r="Y48" s="124"/>
      <c r="Z48" s="124"/>
      <c r="AA48" s="124"/>
      <c r="AB48" s="124"/>
      <c r="AC48" s="124"/>
      <c r="AD48" s="124"/>
      <c r="AE48" s="124"/>
      <c r="AF48" s="124"/>
      <c r="AG48" s="124"/>
      <c r="AH48" s="124"/>
      <c r="AI48" s="124"/>
      <c r="AJ48" s="124"/>
      <c r="AK48" s="124"/>
      <c r="AL48" s="124"/>
      <c r="AM48" s="124"/>
      <c r="AN48" s="124"/>
      <c r="AO48" s="124"/>
      <c r="AP48" s="124"/>
      <c r="AQ48" s="124"/>
      <c r="AR48" s="124"/>
      <c r="AS48" s="124"/>
      <c r="AT48" s="124"/>
      <c r="AU48" s="124"/>
      <c r="AV48" s="124"/>
      <c r="AW48" s="124"/>
      <c r="AX48" s="124"/>
      <c r="AY48" s="124"/>
      <c r="AZ48" s="124"/>
      <c r="BA48" s="124"/>
      <c r="BB48" s="136"/>
    </row>
    <row r="49" customFormat="false" ht="15.6" hidden="false" customHeight="false" outlineLevel="0" collapsed="false">
      <c r="A49" s="111" t="n">
        <f aca="false">IF(ISBLANK(VLOOKUP(D49,#REF!,3)),0,1)</f>
        <v>1</v>
      </c>
      <c r="B49" s="112" t="n">
        <f aca="false">IF(ISBLANK(D49),0,IF(ISBLANK(E49),0,IF(ISBLANK(F49),0,1)))</f>
        <v>0</v>
      </c>
      <c r="C49" s="128" t="n">
        <v>15</v>
      </c>
      <c r="D49" s="151"/>
      <c r="E49" s="151"/>
      <c r="F49" s="152"/>
      <c r="G49" s="156"/>
      <c r="H49" s="151"/>
      <c r="I49" s="151"/>
      <c r="J49" s="132"/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32"/>
      <c r="Q49" s="132"/>
      <c r="R49" s="132"/>
      <c r="S49" s="132"/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24"/>
      <c r="AE49" s="124"/>
      <c r="AF49" s="124"/>
      <c r="AG49" s="124"/>
      <c r="AH49" s="124"/>
      <c r="AI49" s="124"/>
      <c r="AJ49" s="124"/>
      <c r="AK49" s="124"/>
      <c r="AL49" s="124"/>
      <c r="AM49" s="124"/>
      <c r="AN49" s="124"/>
      <c r="AO49" s="124"/>
      <c r="AP49" s="124"/>
      <c r="AQ49" s="124"/>
      <c r="AR49" s="124"/>
      <c r="AS49" s="124"/>
      <c r="AT49" s="124"/>
      <c r="AU49" s="124"/>
      <c r="AV49" s="124"/>
      <c r="AW49" s="124"/>
      <c r="AX49" s="124"/>
      <c r="AY49" s="124"/>
      <c r="AZ49" s="124"/>
      <c r="BA49" s="124"/>
      <c r="BB49" s="136"/>
    </row>
    <row r="50" customFormat="false" ht="15.6" hidden="false" customHeight="false" outlineLevel="0" collapsed="false">
      <c r="A50" s="111" t="n">
        <f aca="false">IF(ISBLANK(VLOOKUP(D50,#REF!,3)),0,1)</f>
        <v>1</v>
      </c>
      <c r="B50" s="112" t="n">
        <f aca="false">IF(ISBLANK(D50),0,IF(ISBLANK(E50),0,IF(ISBLANK(F50),0,1)))</f>
        <v>0</v>
      </c>
      <c r="C50" s="128" t="n">
        <v>16</v>
      </c>
      <c r="D50" s="151"/>
      <c r="E50" s="151"/>
      <c r="F50" s="152"/>
      <c r="G50" s="156"/>
      <c r="H50" s="151"/>
      <c r="I50" s="151"/>
      <c r="J50" s="132"/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32"/>
      <c r="Q50" s="132"/>
      <c r="R50" s="132"/>
      <c r="S50" s="132"/>
      <c r="T50" s="124"/>
      <c r="U50" s="124"/>
      <c r="V50" s="124"/>
      <c r="W50" s="124"/>
      <c r="X50" s="124"/>
      <c r="Y50" s="124"/>
      <c r="Z50" s="124"/>
      <c r="AA50" s="124"/>
      <c r="AB50" s="124"/>
      <c r="AC50" s="124"/>
      <c r="AD50" s="124"/>
      <c r="AE50" s="124"/>
      <c r="AF50" s="124"/>
      <c r="AG50" s="124"/>
      <c r="AH50" s="124"/>
      <c r="AI50" s="124"/>
      <c r="AJ50" s="124"/>
      <c r="AK50" s="124"/>
      <c r="AL50" s="124"/>
      <c r="AM50" s="124"/>
      <c r="AN50" s="124"/>
      <c r="AO50" s="124"/>
      <c r="AP50" s="124"/>
      <c r="AQ50" s="124"/>
      <c r="AR50" s="124"/>
      <c r="AS50" s="124"/>
      <c r="AT50" s="124"/>
      <c r="AU50" s="124"/>
      <c r="AV50" s="124"/>
      <c r="AW50" s="124"/>
      <c r="AX50" s="124"/>
      <c r="AY50" s="124"/>
      <c r="AZ50" s="124"/>
      <c r="BA50" s="124"/>
      <c r="BB50" s="136"/>
    </row>
    <row r="51" customFormat="false" ht="15.6" hidden="false" customHeight="false" outlineLevel="0" collapsed="false">
      <c r="A51" s="111" t="n">
        <f aca="false">IF(ISBLANK(VLOOKUP(D51,#REF!,3)),0,1)</f>
        <v>1</v>
      </c>
      <c r="B51" s="112" t="n">
        <f aca="false">IF(ISBLANK(D51),0,IF(ISBLANK(E51),0,IF(ISBLANK(F51),0,1)))</f>
        <v>0</v>
      </c>
      <c r="C51" s="128" t="n">
        <v>17</v>
      </c>
      <c r="D51" s="151"/>
      <c r="E51" s="151"/>
      <c r="F51" s="152"/>
      <c r="G51" s="156"/>
      <c r="H51" s="151"/>
      <c r="I51" s="151"/>
      <c r="J51" s="132"/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32"/>
      <c r="Q51" s="132"/>
      <c r="R51" s="132"/>
      <c r="S51" s="132"/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24"/>
      <c r="AE51" s="124"/>
      <c r="AF51" s="124"/>
      <c r="AG51" s="124"/>
      <c r="AH51" s="124"/>
      <c r="AI51" s="124"/>
      <c r="AJ51" s="124"/>
      <c r="AK51" s="124"/>
      <c r="AL51" s="124"/>
      <c r="AM51" s="124"/>
      <c r="AN51" s="124"/>
      <c r="AO51" s="124"/>
      <c r="AP51" s="124"/>
      <c r="AQ51" s="124"/>
      <c r="AR51" s="124"/>
      <c r="AS51" s="124"/>
      <c r="AT51" s="124"/>
      <c r="AU51" s="124"/>
      <c r="AV51" s="124"/>
      <c r="AW51" s="124"/>
      <c r="AX51" s="124"/>
      <c r="AY51" s="124"/>
      <c r="AZ51" s="124"/>
      <c r="BA51" s="124"/>
      <c r="BB51" s="136"/>
    </row>
    <row r="52" customFormat="false" ht="15.6" hidden="false" customHeight="false" outlineLevel="0" collapsed="false">
      <c r="A52" s="111" t="n">
        <f aca="false">IF(ISBLANK(VLOOKUP(D52,#REF!,3)),0,1)</f>
        <v>1</v>
      </c>
      <c r="B52" s="112" t="n">
        <f aca="false">IF(ISBLANK(D52),0,IF(ISBLANK(E52),0,IF(ISBLANK(F52),0,1)))</f>
        <v>0</v>
      </c>
      <c r="C52" s="128" t="n">
        <v>18</v>
      </c>
      <c r="D52" s="151"/>
      <c r="E52" s="151"/>
      <c r="F52" s="152"/>
      <c r="G52" s="156"/>
      <c r="H52" s="151"/>
      <c r="I52" s="151"/>
      <c r="J52" s="132"/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32"/>
      <c r="Q52" s="132"/>
      <c r="R52" s="132"/>
      <c r="S52" s="132"/>
      <c r="T52" s="124"/>
      <c r="U52" s="124"/>
      <c r="V52" s="124"/>
      <c r="W52" s="124"/>
      <c r="X52" s="124"/>
      <c r="Y52" s="124"/>
      <c r="Z52" s="124"/>
      <c r="AA52" s="124"/>
      <c r="AB52" s="124"/>
      <c r="AC52" s="124"/>
      <c r="AD52" s="124"/>
      <c r="AE52" s="124"/>
      <c r="AF52" s="124"/>
      <c r="AG52" s="124"/>
      <c r="AH52" s="124"/>
      <c r="AI52" s="124"/>
      <c r="AJ52" s="124"/>
      <c r="AK52" s="124"/>
      <c r="AL52" s="124"/>
      <c r="AM52" s="124"/>
      <c r="AN52" s="124"/>
      <c r="AO52" s="124"/>
      <c r="AP52" s="124"/>
      <c r="AQ52" s="124"/>
      <c r="AR52" s="124"/>
      <c r="AS52" s="124"/>
      <c r="AT52" s="124"/>
      <c r="AU52" s="124"/>
      <c r="AV52" s="124"/>
      <c r="AW52" s="124"/>
      <c r="AX52" s="124"/>
      <c r="AY52" s="124"/>
      <c r="AZ52" s="124"/>
      <c r="BA52" s="124"/>
      <c r="BB52" s="136"/>
    </row>
    <row r="53" customFormat="false" ht="15.6" hidden="false" customHeight="false" outlineLevel="0" collapsed="false">
      <c r="A53" s="111" t="n">
        <f aca="false">IF(ISBLANK(VLOOKUP(D53,#REF!,3)),0,1)</f>
        <v>1</v>
      </c>
      <c r="B53" s="112" t="n">
        <f aca="false">IF(ISBLANK(D53),0,IF(ISBLANK(E53),0,IF(ISBLANK(F53),0,1)))</f>
        <v>0</v>
      </c>
      <c r="C53" s="128" t="n">
        <v>19</v>
      </c>
      <c r="D53" s="151"/>
      <c r="E53" s="151"/>
      <c r="F53" s="152"/>
      <c r="G53" s="156"/>
      <c r="H53" s="151"/>
      <c r="I53" s="151"/>
      <c r="J53" s="132"/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32"/>
      <c r="Q53" s="132"/>
      <c r="R53" s="132"/>
      <c r="S53" s="132"/>
      <c r="T53" s="124"/>
      <c r="U53" s="124"/>
      <c r="V53" s="124"/>
      <c r="W53" s="124"/>
      <c r="X53" s="12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24"/>
      <c r="AJ53" s="124"/>
      <c r="AK53" s="124"/>
      <c r="AL53" s="124"/>
      <c r="AM53" s="124"/>
      <c r="AN53" s="124"/>
      <c r="AO53" s="124"/>
      <c r="AP53" s="124"/>
      <c r="AQ53" s="124"/>
      <c r="AR53" s="124"/>
      <c r="AS53" s="124"/>
      <c r="AT53" s="124"/>
      <c r="AU53" s="124"/>
      <c r="AV53" s="124"/>
      <c r="AW53" s="124"/>
      <c r="AX53" s="124"/>
      <c r="AY53" s="124"/>
      <c r="AZ53" s="124"/>
      <c r="BA53" s="124"/>
      <c r="BB53" s="136"/>
    </row>
    <row r="54" customFormat="false" ht="15.6" hidden="false" customHeight="false" outlineLevel="0" collapsed="false">
      <c r="A54" s="111" t="n">
        <f aca="false">IF(ISBLANK(VLOOKUP(D54,#REF!,3)),0,1)</f>
        <v>1</v>
      </c>
      <c r="B54" s="112" t="n">
        <f aca="false">IF(ISBLANK(D54),0,IF(ISBLANK(E54),0,IF(ISBLANK(F54),0,1)))</f>
        <v>0</v>
      </c>
      <c r="C54" s="128" t="n">
        <v>20</v>
      </c>
      <c r="D54" s="151"/>
      <c r="E54" s="151"/>
      <c r="F54" s="152"/>
      <c r="G54" s="156"/>
      <c r="H54" s="151"/>
      <c r="I54" s="151"/>
      <c r="J54" s="132"/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32"/>
      <c r="Q54" s="132"/>
      <c r="R54" s="132"/>
      <c r="S54" s="132"/>
      <c r="T54" s="124"/>
      <c r="U54" s="124"/>
      <c r="V54" s="124"/>
      <c r="W54" s="124"/>
      <c r="X54" s="124"/>
      <c r="Y54" s="124"/>
      <c r="Z54" s="124"/>
      <c r="AA54" s="124"/>
      <c r="AB54" s="124"/>
      <c r="AC54" s="124"/>
      <c r="AD54" s="124"/>
      <c r="AE54" s="124"/>
      <c r="AF54" s="124"/>
      <c r="AG54" s="124"/>
      <c r="AH54" s="124"/>
      <c r="AI54" s="124"/>
      <c r="AJ54" s="124"/>
      <c r="AK54" s="124"/>
      <c r="AL54" s="124"/>
      <c r="AM54" s="124"/>
      <c r="AN54" s="124"/>
      <c r="AO54" s="124"/>
      <c r="AP54" s="124"/>
      <c r="AQ54" s="124"/>
      <c r="AR54" s="124"/>
      <c r="AS54" s="124"/>
      <c r="AT54" s="124"/>
      <c r="AU54" s="124"/>
      <c r="AV54" s="124"/>
      <c r="AW54" s="124"/>
      <c r="AX54" s="124"/>
      <c r="AY54" s="124"/>
      <c r="AZ54" s="124"/>
      <c r="BA54" s="124"/>
      <c r="BB54" s="136"/>
    </row>
    <row r="55" customFormat="false" ht="15.6" hidden="false" customHeight="false" outlineLevel="0" collapsed="false">
      <c r="A55" s="111" t="n">
        <f aca="false">IF(ISBLANK(VLOOKUP(D55,#REF!,3)),0,1)</f>
        <v>1</v>
      </c>
      <c r="B55" s="112" t="n">
        <f aca="false">IF(ISBLANK(D55),0,IF(ISBLANK(E55),0,IF(ISBLANK(F55),0,1)))</f>
        <v>0</v>
      </c>
      <c r="C55" s="128" t="n">
        <v>21</v>
      </c>
      <c r="D55" s="151"/>
      <c r="E55" s="151"/>
      <c r="F55" s="152"/>
      <c r="G55" s="156"/>
      <c r="H55" s="151"/>
      <c r="I55" s="151"/>
      <c r="J55" s="132"/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32"/>
      <c r="Q55" s="132"/>
      <c r="R55" s="132"/>
      <c r="S55" s="132"/>
      <c r="T55" s="124"/>
      <c r="U55" s="124"/>
      <c r="V55" s="124"/>
      <c r="W55" s="124"/>
      <c r="X55" s="124"/>
      <c r="Y55" s="124"/>
      <c r="Z55" s="124"/>
      <c r="AA55" s="124"/>
      <c r="AB55" s="124"/>
      <c r="AC55" s="124"/>
      <c r="AD55" s="124"/>
      <c r="AE55" s="124"/>
      <c r="AF55" s="124"/>
      <c r="AG55" s="124"/>
      <c r="AH55" s="124"/>
      <c r="AI55" s="124"/>
      <c r="AJ55" s="124"/>
      <c r="AK55" s="124"/>
      <c r="AL55" s="124"/>
      <c r="AM55" s="124"/>
      <c r="AN55" s="124"/>
      <c r="AO55" s="124"/>
      <c r="AP55" s="124"/>
      <c r="AQ55" s="124"/>
      <c r="AR55" s="124"/>
      <c r="AS55" s="124"/>
      <c r="AT55" s="124"/>
      <c r="AU55" s="124"/>
      <c r="AV55" s="124"/>
      <c r="AW55" s="124"/>
      <c r="AX55" s="124"/>
      <c r="AY55" s="124"/>
      <c r="AZ55" s="124"/>
      <c r="BA55" s="124"/>
      <c r="BB55" s="136"/>
    </row>
    <row r="56" customFormat="false" ht="15.6" hidden="false" customHeight="false" outlineLevel="0" collapsed="false">
      <c r="A56" s="111" t="n">
        <f aca="false">IF(ISBLANK(VLOOKUP(D56,#REF!,3)),0,1)</f>
        <v>1</v>
      </c>
      <c r="B56" s="112" t="n">
        <f aca="false">IF(ISBLANK(D56),0,IF(ISBLANK(E56),0,IF(ISBLANK(F56),0,1)))</f>
        <v>0</v>
      </c>
      <c r="C56" s="128" t="n">
        <v>22</v>
      </c>
      <c r="D56" s="151"/>
      <c r="E56" s="151"/>
      <c r="F56" s="152"/>
      <c r="G56" s="156"/>
      <c r="H56" s="151"/>
      <c r="I56" s="151"/>
      <c r="J56" s="132"/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32"/>
      <c r="Q56" s="132"/>
      <c r="R56" s="132"/>
      <c r="S56" s="132"/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24"/>
      <c r="AE56" s="124"/>
      <c r="AF56" s="124"/>
      <c r="AG56" s="124"/>
      <c r="AH56" s="124"/>
      <c r="AI56" s="124"/>
      <c r="AJ56" s="124"/>
      <c r="AK56" s="124"/>
      <c r="AL56" s="124"/>
      <c r="AM56" s="124"/>
      <c r="AN56" s="124"/>
      <c r="AO56" s="124"/>
      <c r="AP56" s="124"/>
      <c r="AQ56" s="124"/>
      <c r="AR56" s="124"/>
      <c r="AS56" s="124"/>
      <c r="AT56" s="124"/>
      <c r="AU56" s="124"/>
      <c r="AV56" s="124"/>
      <c r="AW56" s="124"/>
      <c r="AX56" s="124"/>
      <c r="AY56" s="124"/>
      <c r="AZ56" s="124"/>
      <c r="BA56" s="124"/>
      <c r="BB56" s="136"/>
    </row>
    <row r="57" customFormat="false" ht="15.6" hidden="false" customHeight="false" outlineLevel="0" collapsed="false">
      <c r="A57" s="111" t="n">
        <f aca="false">IF(ISBLANK(VLOOKUP(D57,#REF!,3)),0,1)</f>
        <v>1</v>
      </c>
      <c r="B57" s="112" t="n">
        <f aca="false">IF(ISBLANK(D57),0,IF(ISBLANK(E57),0,IF(ISBLANK(F57),0,1)))</f>
        <v>0</v>
      </c>
      <c r="C57" s="128" t="n">
        <v>23</v>
      </c>
      <c r="D57" s="151"/>
      <c r="E57" s="151"/>
      <c r="F57" s="152"/>
      <c r="G57" s="156"/>
      <c r="H57" s="151"/>
      <c r="I57" s="151"/>
      <c r="J57" s="132"/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32"/>
      <c r="Q57" s="132"/>
      <c r="R57" s="132"/>
      <c r="S57" s="132"/>
      <c r="T57" s="124"/>
      <c r="U57" s="124"/>
      <c r="V57" s="124"/>
      <c r="W57" s="124"/>
      <c r="X57" s="124"/>
      <c r="Y57" s="124"/>
      <c r="Z57" s="124"/>
      <c r="AA57" s="124"/>
      <c r="AB57" s="124"/>
      <c r="AC57" s="124"/>
      <c r="AD57" s="124"/>
      <c r="AE57" s="124"/>
      <c r="AF57" s="124"/>
      <c r="AG57" s="124"/>
      <c r="AH57" s="124"/>
      <c r="AI57" s="124"/>
      <c r="AJ57" s="124"/>
      <c r="AK57" s="124"/>
      <c r="AL57" s="124"/>
      <c r="AM57" s="124"/>
      <c r="AN57" s="124"/>
      <c r="AO57" s="124"/>
      <c r="AP57" s="124"/>
      <c r="AQ57" s="124"/>
      <c r="AR57" s="124"/>
      <c r="AS57" s="124"/>
      <c r="AT57" s="124"/>
      <c r="AU57" s="124"/>
      <c r="AV57" s="124"/>
      <c r="AW57" s="124"/>
      <c r="AX57" s="124"/>
      <c r="AY57" s="124"/>
      <c r="AZ57" s="124"/>
      <c r="BA57" s="124"/>
      <c r="BB57" s="136"/>
    </row>
    <row r="58" customFormat="false" ht="16.2" hidden="false" customHeight="false" outlineLevel="0" collapsed="false">
      <c r="A58" s="111" t="n">
        <f aca="false">IF(ISBLANK(VLOOKUP(D58,#REF!,3)),0,1)</f>
        <v>1</v>
      </c>
      <c r="B58" s="112" t="n">
        <f aca="false">IF(ISBLANK(D58),0,IF(ISBLANK(E58),0,IF(ISBLANK(F58),0,1)))</f>
        <v>0</v>
      </c>
      <c r="C58" s="158" t="n">
        <v>24</v>
      </c>
      <c r="D58" s="159"/>
      <c r="E58" s="159"/>
      <c r="F58" s="160"/>
      <c r="G58" s="161"/>
      <c r="H58" s="159"/>
      <c r="I58" s="159"/>
      <c r="J58" s="132"/>
      <c r="K58" s="163" t="str">
        <f aca="false">IF(ISBLANK(E58),"",(0.000824493-(0.0000040899*E58)+(0.000000076438*E58^2)-(0.00000000082467*E58^3)+(0.0000000000053875*E58^4)))</f>
        <v/>
      </c>
      <c r="L58" s="163" t="str">
        <f aca="false">IF(ISBLANK(E58),"",(-0.00000572466+(0.00000010227*E58)-(0.0000000016546*E58^2)))</f>
        <v/>
      </c>
      <c r="M58" s="163" t="str">
        <f aca="false">IF(ISBLANK(E58),"",IF(ISBLANK(G58),(O58+(K58*35)+(L58*35^1.5)+(0.00000048314*35^2)),(O58+(K58*G58)+(L58*G58^1.5)+(0.00000048314*G58^2))))</f>
        <v/>
      </c>
      <c r="N58" s="164" t="str">
        <f aca="false">IF(ISBLANK(D58),"",IF(ISBLANK(G58),J58*(1+0.00001*(35-20)),J58*(1+0.00001*(G58-20))))</f>
        <v/>
      </c>
      <c r="O58" s="163" t="str">
        <f aca="false">IF(ISBLANK(E58),"",(0.999842594+(0.00006793952*E58)-(0.00000909529*E58^2)+(0.0000001001685*E58^3)-(0.000000001120083*E58^4)+(0.000000000006536332*E58^5)))</f>
        <v/>
      </c>
      <c r="P58" s="132"/>
      <c r="Q58" s="132"/>
      <c r="R58" s="132"/>
      <c r="S58" s="132"/>
      <c r="T58" s="168"/>
      <c r="U58" s="168"/>
      <c r="V58" s="168"/>
      <c r="W58" s="168"/>
      <c r="X58" s="168"/>
      <c r="Y58" s="168"/>
      <c r="Z58" s="168"/>
      <c r="AA58" s="168"/>
      <c r="AB58" s="168"/>
      <c r="AC58" s="168"/>
      <c r="AD58" s="168"/>
      <c r="AE58" s="168"/>
      <c r="AF58" s="168"/>
      <c r="AG58" s="168"/>
      <c r="AH58" s="168"/>
      <c r="AI58" s="168"/>
      <c r="AJ58" s="168"/>
      <c r="AK58" s="168"/>
      <c r="AL58" s="168"/>
      <c r="AM58" s="168"/>
      <c r="AN58" s="168"/>
      <c r="AO58" s="168"/>
      <c r="AP58" s="168"/>
      <c r="AQ58" s="168"/>
      <c r="AR58" s="168"/>
      <c r="AS58" s="168"/>
      <c r="AT58" s="168"/>
      <c r="AU58" s="168"/>
      <c r="AV58" s="168"/>
      <c r="AW58" s="168"/>
      <c r="AX58" s="168"/>
      <c r="AY58" s="168"/>
      <c r="AZ58" s="168"/>
      <c r="BA58" s="168"/>
      <c r="BB58" s="169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J4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8178137651822"/>
    <col collapsed="false" hidden="false" max="32" min="32" style="0" width="9.10526315789474"/>
    <col collapsed="false" hidden="false" max="33" min="33" style="0" width="26.5668016194332"/>
    <col collapsed="false" hidden="false" max="34" min="34" style="0" width="12.8542510121458"/>
    <col collapsed="false" hidden="false" max="35" min="35" style="0" width="11.1417004048583"/>
    <col collapsed="false" hidden="false" max="36" min="36" style="0" width="14.5668016194332"/>
    <col collapsed="false" hidden="false" max="37" min="37" style="0" width="12.2105263157895"/>
    <col collapsed="false" hidden="false" max="38" min="38" style="0" width="26.995951417004"/>
    <col collapsed="false" hidden="false" max="39" min="39" style="0" width="14.6761133603239"/>
    <col collapsed="false" hidden="false" max="40" min="40" style="0" width="11.3562753036437"/>
    <col collapsed="false" hidden="false" max="41" min="41" style="0" width="12.5344129554656"/>
    <col collapsed="false" hidden="false" max="42" min="42" style="0" width="10.7125506072875"/>
    <col collapsed="false" hidden="false" max="43" min="43" style="0" width="6.31983805668016"/>
    <col collapsed="false" hidden="false" max="44" min="44" style="0" width="19.7085020242915"/>
    <col collapsed="false" hidden="false" max="45" min="45" style="0" width="13.0688259109312"/>
    <col collapsed="false" hidden="false" max="46" min="46" style="0" width="17.7813765182186"/>
    <col collapsed="false" hidden="false" max="47" min="47" style="0" width="14.6761133603239"/>
    <col collapsed="false" hidden="false" max="48" min="48" style="0" width="13.6032388663968"/>
    <col collapsed="false" hidden="false" max="49" min="49" style="0" width="13.7125506072874"/>
    <col collapsed="false" hidden="false" max="50" min="50" style="0" width="19.9230769230769"/>
    <col collapsed="false" hidden="false" max="51" min="51" style="0" width="13.2834008097166"/>
    <col collapsed="false" hidden="false" max="52" min="52" style="0" width="17.6761133603239"/>
    <col collapsed="false" hidden="false" max="53" min="53" style="0" width="13.3886639676113"/>
    <col collapsed="false" hidden="false" max="54" min="54" style="0" width="12.6396761133603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44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38728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6</v>
      </c>
      <c r="J9" s="29" t="n">
        <v>11.96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6°11,96</v>
      </c>
      <c r="P9" s="29" t="s">
        <v>13</v>
      </c>
      <c r="Q9" s="33" t="n">
        <f aca="false">IF(ISBLANK(I9),"",IF(ISBLANK(J9),"",IF(J9&gt;60,"ERREUR !!",O11*(I9+(J9/60)))))</f>
        <v>6.19933333333333</v>
      </c>
      <c r="R9" s="33"/>
    </row>
    <row r="10" customFormat="false" ht="15" hidden="false" customHeight="true" outlineLevel="0" collapsed="false">
      <c r="C10" s="21"/>
      <c r="D10" s="18"/>
      <c r="G10" s="27" t="s">
        <v>16</v>
      </c>
      <c r="H10" s="27"/>
      <c r="I10" s="28" t="n">
        <v>2</v>
      </c>
      <c r="J10" s="29" t="n">
        <v>25.37</v>
      </c>
      <c r="K10" s="30" t="s">
        <v>12</v>
      </c>
      <c r="L10" s="31" t="str">
        <f aca="false">IF(P10=N9,"+","-")</f>
        <v>+</v>
      </c>
      <c r="M10" s="30" t="s">
        <v>15</v>
      </c>
      <c r="N10" s="30" t="s">
        <v>17</v>
      </c>
      <c r="O10" s="34" t="str">
        <f aca="false">IF(ISBLANK(I10),"",IF(ISBLANK(J10),"",IF(P10=N10,L10&amp;N12,N12)))</f>
        <v>2°25,37</v>
      </c>
      <c r="P10" s="29" t="s">
        <v>14</v>
      </c>
      <c r="Q10" s="33" t="n">
        <f aca="false">IF(ISBLANK(I10),"",IF(ISBLANK(J10),"",IF(J10&gt;60,"ERREUR !!",O12*(I10+(J10/60)))))</f>
        <v>2.42283333333333</v>
      </c>
      <c r="R10" s="33"/>
      <c r="S10" s="35"/>
      <c r="T10" s="35"/>
    </row>
    <row r="11" customFormat="false" ht="14.4" hidden="false" customHeight="false" outlineLevel="0" collapsed="false">
      <c r="G11" s="36" t="s">
        <v>18</v>
      </c>
      <c r="H11" s="36"/>
      <c r="I11" s="37" t="s">
        <v>19</v>
      </c>
      <c r="J11" s="38" t="n">
        <v>38555</v>
      </c>
      <c r="K11" s="38"/>
      <c r="L11" s="38"/>
      <c r="M11" s="38"/>
      <c r="N11" s="39" t="str">
        <f aca="false">I9&amp;"°"&amp;J9</f>
        <v>6°11,96</v>
      </c>
      <c r="O11" s="40" t="n">
        <f aca="false">IF(P9=M10,-1,1)</f>
        <v>1</v>
      </c>
      <c r="P11" s="41" t="str">
        <f aca="false">TEXT(J11,"aaaa-mm-jj")&amp;"T"&amp;TEXT(J12,"hh:mm:ss")&amp;"z"</f>
        <v>2009-07-23T16:00:00z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3" t="s">
        <v>20</v>
      </c>
      <c r="J12" s="44" t="n">
        <v>0.666666666666667</v>
      </c>
      <c r="K12" s="45"/>
      <c r="L12" s="45"/>
      <c r="M12" s="45"/>
      <c r="N12" s="46" t="str">
        <f aca="false">I10&amp;"°"&amp;J10</f>
        <v>2°25,37</v>
      </c>
      <c r="O12" s="40" t="n">
        <f aca="false">IF(P10=N10,-1,1)</f>
        <v>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6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4.4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4.4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e">
        <f aca="false">$P$24*($P$18/#REF!)</f>
        <v>#REF!</v>
      </c>
      <c r="Q19" s="71" t="s">
        <v>13</v>
      </c>
      <c r="R19" s="6"/>
    </row>
    <row r="20" customFormat="false" ht="14.4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e">
        <f aca="false">5+#REF!</f>
        <v>#REF!</v>
      </c>
      <c r="Q20" s="71" t="s">
        <v>29</v>
      </c>
      <c r="R20" s="6"/>
    </row>
    <row r="21" customFormat="false" ht="14.4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e">
        <f aca="false">P20*(1+0.00001*(R14-20))</f>
        <v>#REF!</v>
      </c>
      <c r="Q21" s="71" t="s">
        <v>29</v>
      </c>
      <c r="R21" s="6"/>
    </row>
    <row r="22" customFormat="false" ht="14.4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4.4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4.4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e">
        <f aca="false">MAX(#REF!)</f>
        <v>#VALUE!</v>
      </c>
      <c r="Q24" s="71" t="s">
        <v>13</v>
      </c>
      <c r="R24" s="6"/>
    </row>
    <row r="25" customFormat="false" ht="14.4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4.4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e">
        <f aca="false">2+(#REF!+#REF!)</f>
        <v>#REF!</v>
      </c>
      <c r="Q26" s="71" t="s">
        <v>29</v>
      </c>
      <c r="R26" s="6"/>
    </row>
    <row r="27" customFormat="false" ht="1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6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52</v>
      </c>
    </row>
    <row r="30" customFormat="false" ht="16.2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53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6" hidden="false" customHeight="false" outlineLevel="0" collapsed="false">
      <c r="A35" s="111" t="n">
        <f aca="false">IF(ISBLANK(VLOOKUP(D35,#REF!,3)),0,1)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s">
        <v>99</v>
      </c>
      <c r="H35" s="131" t="n">
        <v>30</v>
      </c>
      <c r="I35" s="125" t="n">
        <v>30.07</v>
      </c>
      <c r="J35" s="120"/>
      <c r="K35" s="121"/>
      <c r="L35" s="121"/>
      <c r="M35" s="121"/>
      <c r="N35" s="122"/>
      <c r="O35" s="121"/>
      <c r="P35" s="132"/>
      <c r="Q35" s="120"/>
      <c r="R35" s="120"/>
      <c r="S35" s="120"/>
      <c r="T35" s="125" t="n">
        <v>0</v>
      </c>
      <c r="U35" s="32" t="n">
        <v>0.02</v>
      </c>
      <c r="V35" s="32"/>
      <c r="W35" s="32"/>
      <c r="X35" s="125" t="n">
        <v>0.1</v>
      </c>
      <c r="Y35" s="125" t="n">
        <v>0.1</v>
      </c>
      <c r="Z35" s="125" t="n">
        <v>0.1</v>
      </c>
      <c r="AA35" s="32" t="n">
        <v>0.09</v>
      </c>
      <c r="AB35" s="125" t="n">
        <v>2.1</v>
      </c>
      <c r="AC35" s="125" t="n">
        <v>2</v>
      </c>
      <c r="AD35" s="125" t="n">
        <v>4.9</v>
      </c>
      <c r="AE35" s="125" t="n">
        <v>4.8</v>
      </c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7"/>
    </row>
    <row r="36" customFormat="false" ht="15.6" hidden="false" customHeight="false" outlineLevel="0" collapsed="false">
      <c r="A36" s="111" t="n">
        <f aca="false">IF(ISBLANK(VLOOKUP(D36,#REF!,3)),0,1)</f>
        <v>1</v>
      </c>
      <c r="B36" s="112" t="n">
        <f aca="false">IF(ISBLANK(D36),0,IF(ISBLANK(E36),0,IF(ISBLANK(F36),0,1)))</f>
        <v>0</v>
      </c>
      <c r="C36" s="128" t="n">
        <v>2</v>
      </c>
      <c r="D36" s="129"/>
      <c r="E36" s="129"/>
      <c r="F36" s="130"/>
      <c r="G36" s="117" t="s">
        <v>99</v>
      </c>
      <c r="H36" s="131" t="n">
        <v>20</v>
      </c>
      <c r="I36" s="125" t="n">
        <v>20.13</v>
      </c>
      <c r="J36" s="132"/>
      <c r="K36" s="133"/>
      <c r="L36" s="133"/>
      <c r="M36" s="133"/>
      <c r="N36" s="134"/>
      <c r="O36" s="133"/>
      <c r="P36" s="132"/>
      <c r="Q36" s="132"/>
      <c r="R36" s="132"/>
      <c r="S36" s="132"/>
      <c r="T36" s="125" t="n">
        <v>0</v>
      </c>
      <c r="U36" s="32" t="n">
        <v>0.02</v>
      </c>
      <c r="V36" s="32"/>
      <c r="W36" s="32"/>
      <c r="X36" s="125" t="n">
        <v>0.1</v>
      </c>
      <c r="Y36" s="125" t="n">
        <v>0</v>
      </c>
      <c r="Z36" s="125" t="n">
        <v>0.1</v>
      </c>
      <c r="AA36" s="32" t="n">
        <v>0.08</v>
      </c>
      <c r="AB36" s="125" t="n">
        <v>1.9</v>
      </c>
      <c r="AC36" s="125" t="n">
        <v>1.9</v>
      </c>
      <c r="AD36" s="125" t="n">
        <v>1.7</v>
      </c>
      <c r="AE36" s="125" t="n">
        <v>1.6</v>
      </c>
      <c r="AF36" s="124"/>
      <c r="AG36" s="124"/>
      <c r="AH36" s="124"/>
      <c r="AI36" s="124"/>
      <c r="AJ36" s="124"/>
      <c r="AK36" s="124"/>
      <c r="AL36" s="124"/>
      <c r="AM36" s="124"/>
      <c r="AN36" s="124"/>
      <c r="AO36" s="124"/>
      <c r="AP36" s="124"/>
      <c r="AQ36" s="124"/>
      <c r="AR36" s="124"/>
      <c r="AS36" s="124"/>
      <c r="AT36" s="124"/>
      <c r="AU36" s="124"/>
      <c r="AV36" s="124"/>
      <c r="AW36" s="124"/>
      <c r="AX36" s="124"/>
      <c r="AY36" s="124"/>
      <c r="AZ36" s="124"/>
      <c r="BA36" s="124"/>
      <c r="BB36" s="136"/>
    </row>
    <row r="37" customFormat="false" ht="15.6" hidden="false" customHeight="false" outlineLevel="0" collapsed="false">
      <c r="A37" s="111" t="n">
        <f aca="false">IF(ISBLANK(VLOOKUP(D37,#REF!,3)),0,1)</f>
        <v>1</v>
      </c>
      <c r="B37" s="112" t="n">
        <f aca="false">IF(ISBLANK(D37),0,IF(ISBLANK(E37),0,IF(ISBLANK(F37),0,1)))</f>
        <v>0</v>
      </c>
      <c r="C37" s="128" t="n">
        <v>3</v>
      </c>
      <c r="D37" s="129"/>
      <c r="E37" s="129"/>
      <c r="F37" s="137"/>
      <c r="G37" s="117" t="s">
        <v>99</v>
      </c>
      <c r="H37" s="131" t="n">
        <v>0</v>
      </c>
      <c r="I37" s="125" t="n">
        <v>2.79</v>
      </c>
      <c r="K37" s="133"/>
      <c r="L37" s="133"/>
      <c r="M37" s="133"/>
      <c r="N37" s="134"/>
      <c r="O37" s="133"/>
      <c r="P37" s="132"/>
      <c r="Q37" s="132"/>
      <c r="R37" s="132"/>
      <c r="S37" s="132"/>
      <c r="T37" s="125" t="n">
        <v>0</v>
      </c>
      <c r="U37" s="32" t="n">
        <v>0.02</v>
      </c>
      <c r="V37" s="32"/>
      <c r="W37" s="32"/>
      <c r="X37" s="125" t="n">
        <v>0.1</v>
      </c>
      <c r="Y37" s="125" t="n">
        <v>0</v>
      </c>
      <c r="Z37" s="125" t="n">
        <v>0.1</v>
      </c>
      <c r="AA37" s="32" t="n">
        <v>0.1</v>
      </c>
      <c r="AB37" s="125" t="n">
        <v>3</v>
      </c>
      <c r="AC37" s="125" t="n">
        <v>2.9</v>
      </c>
      <c r="AD37" s="125" t="n">
        <v>1.7</v>
      </c>
      <c r="AE37" s="125" t="n">
        <v>1.6</v>
      </c>
      <c r="AF37" s="124"/>
      <c r="AG37" s="124"/>
      <c r="AH37" s="124"/>
      <c r="AI37" s="124"/>
      <c r="AJ37" s="124"/>
      <c r="AK37" s="124"/>
      <c r="AL37" s="124"/>
      <c r="AM37" s="124"/>
      <c r="AN37" s="124"/>
      <c r="AO37" s="124"/>
      <c r="AP37" s="124"/>
      <c r="AQ37" s="124"/>
      <c r="AR37" s="124"/>
      <c r="AS37" s="124"/>
      <c r="AT37" s="124"/>
      <c r="AU37" s="124"/>
      <c r="AV37" s="124"/>
      <c r="AW37" s="124"/>
      <c r="AX37" s="124"/>
      <c r="AY37" s="124"/>
      <c r="AZ37" s="124"/>
      <c r="BA37" s="124"/>
      <c r="BB37" s="136"/>
    </row>
    <row r="38" customFormat="false" ht="15.6" hidden="false" customHeight="false" outlineLevel="0" collapsed="false">
      <c r="A38" s="111" t="n">
        <f aca="false">IF(ISBLANK(VLOOKUP(D38,#REF!,3)),0,1)</f>
        <v>1</v>
      </c>
      <c r="B38" s="112" t="n">
        <f aca="false">IF(ISBLANK(D38),0,IF(ISBLANK(E38),0,IF(ISBLANK(F38),0,1)))</f>
        <v>0</v>
      </c>
      <c r="C38" s="128" t="n">
        <v>4</v>
      </c>
      <c r="D38" s="138"/>
      <c r="E38" s="138"/>
      <c r="F38" s="139"/>
      <c r="G38" s="117" t="s">
        <v>99</v>
      </c>
      <c r="H38" s="131" t="s">
        <v>99</v>
      </c>
      <c r="I38" s="125" t="s">
        <v>99</v>
      </c>
      <c r="J38" s="132"/>
      <c r="K38" s="133"/>
      <c r="L38" s="133"/>
      <c r="M38" s="133"/>
      <c r="N38" s="134"/>
      <c r="O38" s="133"/>
      <c r="P38" s="132"/>
      <c r="Q38" s="132"/>
      <c r="R38" s="132"/>
      <c r="S38" s="132"/>
      <c r="T38" s="132"/>
      <c r="U38" s="133"/>
      <c r="V38" s="133"/>
      <c r="W38" s="133"/>
      <c r="X38" s="134"/>
      <c r="Y38" s="133"/>
      <c r="Z38" s="132"/>
      <c r="AA38" s="132"/>
      <c r="AB38" s="132"/>
      <c r="AC38" s="132"/>
      <c r="AD38" s="124"/>
      <c r="AE38" s="124"/>
      <c r="AF38" s="124"/>
      <c r="AG38" s="124"/>
      <c r="AH38" s="124"/>
      <c r="AI38" s="124"/>
      <c r="AJ38" s="124"/>
      <c r="AK38" s="124"/>
      <c r="AL38" s="124"/>
      <c r="AM38" s="124"/>
      <c r="AN38" s="124"/>
      <c r="AO38" s="124"/>
      <c r="AP38" s="124"/>
      <c r="AQ38" s="124"/>
      <c r="AR38" s="124"/>
      <c r="AS38" s="124"/>
      <c r="AT38" s="124"/>
      <c r="AU38" s="124"/>
      <c r="AV38" s="124"/>
      <c r="AW38" s="124"/>
      <c r="AX38" s="124"/>
      <c r="AY38" s="124"/>
      <c r="AZ38" s="124"/>
      <c r="BA38" s="124"/>
      <c r="BB38" s="136"/>
    </row>
    <row r="39" customFormat="false" ht="15.6" hidden="false" customHeight="false" outlineLevel="0" collapsed="false">
      <c r="A39" s="111" t="n">
        <f aca="false">IF(ISBLANK(VLOOKUP(D39,#REF!,3)),0,1)</f>
        <v>1</v>
      </c>
      <c r="B39" s="112" t="n">
        <f aca="false">IF(ISBLANK(D39),0,IF(ISBLANK(E39),0,IF(ISBLANK(F39),0,1)))</f>
        <v>0</v>
      </c>
      <c r="C39" s="128" t="n">
        <v>5</v>
      </c>
      <c r="D39" s="129"/>
      <c r="E39" s="129"/>
      <c r="F39" s="137"/>
      <c r="G39" s="117" t="s">
        <v>99</v>
      </c>
      <c r="H39" s="131" t="s">
        <v>99</v>
      </c>
      <c r="I39" s="125" t="s">
        <v>99</v>
      </c>
      <c r="J39" s="132"/>
      <c r="K39" s="133"/>
      <c r="L39" s="133"/>
      <c r="M39" s="133"/>
      <c r="N39" s="134"/>
      <c r="O39" s="133"/>
      <c r="P39" s="132"/>
      <c r="Q39" s="132"/>
      <c r="R39" s="132"/>
      <c r="S39" s="132"/>
      <c r="T39" s="132"/>
      <c r="U39" s="133"/>
      <c r="V39" s="133"/>
      <c r="W39" s="133"/>
      <c r="X39" s="134"/>
      <c r="Y39" s="133"/>
      <c r="Z39" s="132"/>
      <c r="AA39" s="132"/>
      <c r="AB39" s="132"/>
      <c r="AC39" s="132"/>
      <c r="AD39" s="124"/>
      <c r="AE39" s="124"/>
      <c r="AF39" s="124"/>
      <c r="AG39" s="124"/>
      <c r="AH39" s="124"/>
      <c r="AI39" s="124"/>
      <c r="AJ39" s="124"/>
      <c r="AK39" s="124"/>
      <c r="AL39" s="124"/>
      <c r="AM39" s="124"/>
      <c r="AN39" s="124"/>
      <c r="AO39" s="124"/>
      <c r="AP39" s="124"/>
      <c r="AQ39" s="124"/>
      <c r="AR39" s="124"/>
      <c r="AS39" s="124"/>
      <c r="AT39" s="124"/>
      <c r="AU39" s="124"/>
      <c r="AV39" s="124"/>
      <c r="AW39" s="124"/>
      <c r="AX39" s="124"/>
      <c r="AY39" s="124"/>
      <c r="AZ39" s="124"/>
      <c r="BA39" s="124"/>
      <c r="BB39" s="136"/>
    </row>
    <row r="40" customFormat="false" ht="15.6" hidden="false" customHeight="false" outlineLevel="0" collapsed="false">
      <c r="A40" s="111" t="n">
        <f aca="false">IF(ISBLANK(VLOOKUP(D40,#REF!,3)),0,1)</f>
        <v>1</v>
      </c>
      <c r="B40" s="112" t="n">
        <f aca="false">IF(ISBLANK(D40),0,IF(ISBLANK(E40),0,IF(ISBLANK(F40),0,1)))</f>
        <v>0</v>
      </c>
      <c r="C40" s="128" t="n">
        <v>6</v>
      </c>
      <c r="D40" s="129"/>
      <c r="E40" s="129"/>
      <c r="F40" s="137"/>
      <c r="G40" s="117" t="s">
        <v>99</v>
      </c>
      <c r="H40" s="131" t="s">
        <v>99</v>
      </c>
      <c r="I40" s="125" t="s">
        <v>99</v>
      </c>
      <c r="J40" s="132"/>
      <c r="K40" s="133"/>
      <c r="L40" s="133"/>
      <c r="M40" s="133"/>
      <c r="N40" s="134"/>
      <c r="O40" s="133"/>
      <c r="P40" s="132"/>
      <c r="Q40" s="132"/>
      <c r="R40" s="132"/>
      <c r="S40" s="132"/>
      <c r="T40" s="132"/>
      <c r="U40" s="133"/>
      <c r="V40" s="133"/>
      <c r="W40" s="133"/>
      <c r="X40" s="134"/>
      <c r="Y40" s="133"/>
      <c r="Z40" s="132"/>
      <c r="AA40" s="132"/>
      <c r="AB40" s="132"/>
      <c r="AC40" s="132"/>
      <c r="AD40" s="124"/>
      <c r="AE40" s="124"/>
      <c r="AF40" s="124"/>
      <c r="AG40" s="124"/>
      <c r="AH40" s="124"/>
      <c r="AI40" s="124"/>
      <c r="AJ40" s="124"/>
      <c r="AK40" s="124"/>
      <c r="AL40" s="124"/>
      <c r="AM40" s="124"/>
      <c r="AN40" s="124"/>
      <c r="AO40" s="124"/>
      <c r="AP40" s="124"/>
      <c r="AQ40" s="124"/>
      <c r="AR40" s="124"/>
      <c r="AS40" s="124"/>
      <c r="AT40" s="124"/>
      <c r="AU40" s="124"/>
      <c r="AV40" s="124"/>
      <c r="AW40" s="124"/>
      <c r="AX40" s="124"/>
      <c r="AY40" s="124"/>
      <c r="AZ40" s="124"/>
      <c r="BA40" s="124"/>
      <c r="BB40" s="136"/>
    </row>
    <row r="41" customFormat="false" ht="15.6" hidden="false" customHeight="false" outlineLevel="0" collapsed="false">
      <c r="A41" s="111" t="n">
        <f aca="false">IF(ISBLANK(VLOOKUP(D41,#REF!,3)),0,1)</f>
        <v>1</v>
      </c>
      <c r="B41" s="112" t="n">
        <f aca="false">IF(ISBLANK(D41),0,IF(ISBLANK(E41),0,IF(ISBLANK(F41),0,1)))</f>
        <v>0</v>
      </c>
      <c r="C41" s="128" t="n">
        <v>7</v>
      </c>
      <c r="D41" s="129"/>
      <c r="E41" s="129"/>
      <c r="F41" s="137"/>
      <c r="G41" s="117" t="s">
        <v>99</v>
      </c>
      <c r="H41" s="131" t="s">
        <v>99</v>
      </c>
      <c r="I41" s="125" t="s">
        <v>99</v>
      </c>
      <c r="J41" s="132"/>
      <c r="K41" s="133"/>
      <c r="L41" s="133"/>
      <c r="M41" s="133"/>
      <c r="N41" s="134"/>
      <c r="O41" s="133"/>
      <c r="P41" s="132"/>
      <c r="Q41" s="132"/>
      <c r="R41" s="132"/>
      <c r="S41" s="132"/>
      <c r="T41" s="132"/>
      <c r="U41" s="133"/>
      <c r="V41" s="133"/>
      <c r="W41" s="133"/>
      <c r="X41" s="134"/>
      <c r="Y41" s="133"/>
      <c r="Z41" s="132"/>
      <c r="AA41" s="132"/>
      <c r="AB41" s="132"/>
      <c r="AC41" s="132"/>
      <c r="AD41" s="124"/>
      <c r="AE41" s="124"/>
      <c r="AF41" s="124"/>
      <c r="AG41" s="124"/>
      <c r="AH41" s="124"/>
      <c r="AI41" s="124"/>
      <c r="AJ41" s="124"/>
      <c r="AK41" s="124"/>
      <c r="AL41" s="124"/>
      <c r="AM41" s="124"/>
      <c r="AN41" s="124"/>
      <c r="AO41" s="124"/>
      <c r="AP41" s="124"/>
      <c r="AQ41" s="124"/>
      <c r="AR41" s="124"/>
      <c r="AS41" s="124"/>
      <c r="AT41" s="124"/>
      <c r="AU41" s="124"/>
      <c r="AV41" s="124"/>
      <c r="AW41" s="124"/>
      <c r="AX41" s="124"/>
      <c r="AY41" s="124"/>
      <c r="AZ41" s="124"/>
      <c r="BA41" s="124"/>
      <c r="BB41" s="136"/>
    </row>
    <row r="42" customFormat="false" ht="15.6" hidden="false" customHeight="false" outlineLevel="0" collapsed="false">
      <c r="A42" s="111" t="n">
        <f aca="false">IF(ISBLANK(VLOOKUP(D42,#REF!,3)),0,1)</f>
        <v>1</v>
      </c>
      <c r="B42" s="112" t="n">
        <f aca="false">IF(ISBLANK(D42),0,IF(ISBLANK(E42),0,IF(ISBLANK(F42),0,1)))</f>
        <v>0</v>
      </c>
      <c r="C42" s="128" t="n">
        <v>8</v>
      </c>
      <c r="D42" s="129"/>
      <c r="E42" s="129"/>
      <c r="F42" s="137"/>
      <c r="G42" s="117" t="s">
        <v>99</v>
      </c>
      <c r="H42" s="131" t="s">
        <v>99</v>
      </c>
      <c r="I42" s="125" t="s">
        <v>99</v>
      </c>
      <c r="J42" s="132"/>
      <c r="K42" s="133"/>
      <c r="L42" s="133"/>
      <c r="M42" s="133"/>
      <c r="N42" s="134"/>
      <c r="O42" s="133"/>
      <c r="P42" s="132"/>
      <c r="Q42" s="132"/>
      <c r="R42" s="132"/>
      <c r="T42" s="132"/>
      <c r="U42" s="133"/>
      <c r="V42" s="133"/>
      <c r="W42" s="133"/>
      <c r="X42" s="134"/>
      <c r="Y42" s="133"/>
      <c r="Z42" s="132"/>
      <c r="AA42" s="132"/>
      <c r="AB42" s="132"/>
      <c r="AD42" s="124"/>
      <c r="AE42" s="124"/>
      <c r="AF42" s="124"/>
      <c r="AG42" s="124"/>
      <c r="AH42" s="124"/>
      <c r="AI42" s="124"/>
      <c r="AJ42" s="124"/>
      <c r="AK42" s="124"/>
      <c r="AL42" s="124"/>
      <c r="AM42" s="124"/>
      <c r="AN42" s="124"/>
      <c r="AO42" s="124"/>
      <c r="AP42" s="124"/>
      <c r="AQ42" s="124"/>
      <c r="AR42" s="124"/>
      <c r="AS42" s="124"/>
      <c r="AT42" s="124"/>
      <c r="AU42" s="124"/>
      <c r="AV42" s="124"/>
      <c r="AW42" s="124"/>
      <c r="AX42" s="124"/>
      <c r="AY42" s="124"/>
      <c r="AZ42" s="124"/>
      <c r="BA42" s="124"/>
      <c r="BB42" s="136"/>
    </row>
    <row r="43" customFormat="false" ht="15.6" hidden="false" customHeight="false" outlineLevel="0" collapsed="false">
      <c r="A43" s="111" t="n">
        <f aca="false">IF(ISBLANK(VLOOKUP(D43,#REF!,3)),0,1)</f>
        <v>1</v>
      </c>
      <c r="B43" s="112" t="n">
        <f aca="false">IF(ISBLANK(D43),0,IF(ISBLANK(E43),0,IF(ISBLANK(F43),0,1)))</f>
        <v>0</v>
      </c>
      <c r="C43" s="128" t="n">
        <v>9</v>
      </c>
      <c r="D43" s="129"/>
      <c r="E43" s="129"/>
      <c r="F43" s="137"/>
      <c r="G43" s="117" t="s">
        <v>99</v>
      </c>
      <c r="H43" s="131" t="s">
        <v>99</v>
      </c>
      <c r="I43" s="125" t="s">
        <v>99</v>
      </c>
      <c r="J43" s="132"/>
      <c r="K43" s="133"/>
      <c r="L43" s="133"/>
      <c r="M43" s="133"/>
      <c r="N43" s="134"/>
      <c r="O43" s="133"/>
      <c r="P43" s="132"/>
      <c r="Q43" s="132"/>
      <c r="R43" s="132"/>
      <c r="S43" s="132"/>
      <c r="T43" s="132"/>
      <c r="U43" s="133"/>
      <c r="V43" s="133"/>
      <c r="W43" s="133"/>
      <c r="X43" s="134"/>
      <c r="Y43" s="133"/>
      <c r="Z43" s="132"/>
      <c r="AA43" s="132"/>
      <c r="AB43" s="132"/>
      <c r="AC43" s="132"/>
      <c r="AD43" s="124"/>
      <c r="AE43" s="124"/>
      <c r="AF43" s="124"/>
      <c r="AG43" s="124"/>
      <c r="AH43" s="124"/>
      <c r="AI43" s="124"/>
      <c r="AJ43" s="124"/>
      <c r="AK43" s="124"/>
      <c r="AL43" s="124"/>
      <c r="AM43" s="124"/>
      <c r="AN43" s="124"/>
      <c r="AO43" s="124"/>
      <c r="AP43" s="124"/>
      <c r="AQ43" s="124"/>
      <c r="AR43" s="124"/>
      <c r="AS43" s="124"/>
      <c r="AT43" s="124"/>
      <c r="AU43" s="124"/>
      <c r="AV43" s="124"/>
      <c r="AW43" s="124"/>
      <c r="AX43" s="124"/>
      <c r="AY43" s="124"/>
      <c r="AZ43" s="124"/>
      <c r="BA43" s="124"/>
      <c r="BB43" s="136"/>
    </row>
    <row r="44" customFormat="false" ht="15.6" hidden="false" customHeight="false" outlineLevel="0" collapsed="false">
      <c r="A44" s="111" t="n">
        <f aca="false">IF(ISBLANK(VLOOKUP(D44,#REF!,3)),0,1)</f>
        <v>1</v>
      </c>
      <c r="B44" s="112" t="n">
        <f aca="false">IF(ISBLANK(D44),0,IF(ISBLANK(E44),0,IF(ISBLANK(F44),0,1)))</f>
        <v>0</v>
      </c>
      <c r="C44" s="128" t="n">
        <v>10</v>
      </c>
      <c r="D44" s="129"/>
      <c r="E44" s="129"/>
      <c r="F44" s="137"/>
      <c r="G44" s="117" t="s">
        <v>99</v>
      </c>
      <c r="H44" s="131" t="s">
        <v>99</v>
      </c>
      <c r="I44" s="125" t="s">
        <v>99</v>
      </c>
      <c r="J44" s="132"/>
      <c r="K44" s="133"/>
      <c r="L44" s="133"/>
      <c r="M44" s="133"/>
      <c r="N44" s="134"/>
      <c r="O44" s="133"/>
      <c r="P44" s="132"/>
      <c r="Q44" s="132"/>
      <c r="R44" s="132"/>
      <c r="S44" s="132"/>
      <c r="T44" s="132"/>
      <c r="U44" s="133"/>
      <c r="V44" s="133"/>
      <c r="W44" s="133"/>
      <c r="X44" s="134"/>
      <c r="Y44" s="133"/>
      <c r="Z44" s="132"/>
      <c r="AA44" s="132"/>
      <c r="AB44" s="132"/>
      <c r="AC44" s="132"/>
      <c r="AD44" s="124"/>
      <c r="AE44" s="124"/>
      <c r="AF44" s="124"/>
      <c r="AG44" s="124"/>
      <c r="AH44" s="124"/>
      <c r="AI44" s="124"/>
      <c r="AJ44" s="124"/>
      <c r="AK44" s="124"/>
      <c r="AL44" s="124"/>
      <c r="AM44" s="124"/>
      <c r="AN44" s="124"/>
      <c r="AO44" s="124"/>
      <c r="AP44" s="124"/>
      <c r="AQ44" s="124"/>
      <c r="AR44" s="124"/>
      <c r="AS44" s="124"/>
      <c r="AT44" s="124"/>
      <c r="AU44" s="124"/>
      <c r="AV44" s="124"/>
      <c r="AW44" s="124"/>
      <c r="AX44" s="124"/>
      <c r="AY44" s="124"/>
      <c r="AZ44" s="124"/>
      <c r="BA44" s="124"/>
      <c r="BB44" s="136"/>
    </row>
    <row r="45" customFormat="false" ht="15.6" hidden="false" customHeight="false" outlineLevel="0" collapsed="false">
      <c r="A45" s="111" t="n">
        <f aca="false">IF(ISBLANK(VLOOKUP(D45,#REF!,3)),0,1)</f>
        <v>1</v>
      </c>
      <c r="B45" s="112" t="n">
        <f aca="false">IF(ISBLANK(D45),0,IF(ISBLANK(E45),0,IF(ISBLANK(F45),0,1)))</f>
        <v>0</v>
      </c>
      <c r="C45" s="128" t="n">
        <v>11</v>
      </c>
      <c r="D45" s="129"/>
      <c r="E45" s="129"/>
      <c r="F45" s="137"/>
      <c r="G45" s="117" t="s">
        <v>99</v>
      </c>
      <c r="H45" s="131" t="s">
        <v>99</v>
      </c>
      <c r="I45" s="125" t="s">
        <v>99</v>
      </c>
      <c r="J45" s="132"/>
      <c r="K45" s="133"/>
      <c r="L45" s="133"/>
      <c r="M45" s="133"/>
      <c r="N45" s="134"/>
      <c r="O45" s="133"/>
      <c r="P45" s="132"/>
      <c r="Q45" s="132"/>
      <c r="R45" s="132"/>
      <c r="S45" s="132"/>
      <c r="T45" s="132"/>
      <c r="U45" s="133"/>
      <c r="V45" s="133"/>
      <c r="W45" s="133"/>
      <c r="X45" s="134"/>
      <c r="Y45" s="133"/>
      <c r="Z45" s="132"/>
      <c r="AA45" s="132"/>
      <c r="AB45" s="132"/>
      <c r="AC45" s="132"/>
      <c r="AD45" s="124"/>
      <c r="AE45" s="124"/>
      <c r="AF45" s="124"/>
      <c r="AG45" s="124"/>
      <c r="AH45" s="124"/>
      <c r="AI45" s="124"/>
      <c r="AJ45" s="124"/>
      <c r="AK45" s="124"/>
      <c r="AL45" s="124"/>
      <c r="AM45" s="124"/>
      <c r="AN45" s="124"/>
      <c r="AO45" s="124"/>
      <c r="AP45" s="124"/>
      <c r="AQ45" s="124"/>
      <c r="AR45" s="124"/>
      <c r="AS45" s="124"/>
      <c r="AT45" s="124"/>
      <c r="AU45" s="124"/>
      <c r="AV45" s="124"/>
      <c r="AW45" s="124"/>
      <c r="AX45" s="124"/>
      <c r="AY45" s="124"/>
      <c r="AZ45" s="124"/>
      <c r="BA45" s="124"/>
      <c r="BB45" s="136"/>
    </row>
    <row r="46" customFormat="false" ht="15.6" hidden="false" customHeight="false" outlineLevel="0" collapsed="false">
      <c r="A46" s="111" t="n">
        <f aca="false">IF(ISBLANK(VLOOKUP(D46,#REF!,3)),0,1)</f>
        <v>1</v>
      </c>
      <c r="B46" s="112" t="n">
        <f aca="false">IF(ISBLANK(D46),0,IF(ISBLANK(E46),0,IF(ISBLANK(F46),0,1)))</f>
        <v>0</v>
      </c>
      <c r="C46" s="128" t="n">
        <v>12</v>
      </c>
      <c r="D46" s="142"/>
      <c r="E46" s="142"/>
      <c r="F46" s="143"/>
      <c r="G46" s="117" t="s">
        <v>99</v>
      </c>
      <c r="H46" s="131" t="s">
        <v>99</v>
      </c>
      <c r="I46" s="125" t="s">
        <v>99</v>
      </c>
      <c r="J46" s="132"/>
      <c r="K46" s="146" t="str">
        <f aca="false">IF(ISBLANK(E46),"",(0.000824493-(0.0000040899*E46)+(0.000000076438*E46^2)-(0.00000000082467*E46^3)+(0.0000000000053875*E46^4)))</f>
        <v/>
      </c>
      <c r="L46" s="146" t="str">
        <f aca="false">IF(ISBLANK(E46),"",(-0.00000572466+(0.00000010227*E46)-(0.0000000016546*E46^2)))</f>
        <v/>
      </c>
      <c r="M46" s="146" t="str">
        <f aca="false">IF(ISBLANK(E46),"",IF(ISBLANK(G46),(O46+(K46*35)+(L46*35^1.5)+(0.00000048314*35^2)),(O46+(K46*G46)+(L46*G46^1.5)+(0.00000048314*G46^2))))</f>
        <v/>
      </c>
      <c r="N46" s="147" t="str">
        <f aca="false">IF(ISBLANK(D46),"",IF(ISBLANK(G46),J46*(1+0.00001*(35-20)),J46*(1+0.00001*(G46-20))))</f>
        <v/>
      </c>
      <c r="O46" s="146" t="str">
        <f aca="false">IF(ISBLANK(E46),"",(0.999842594+(0.00006793952*E46)-(0.00000909529*E46^2)+(0.0000001001685*E46^3)-(0.000000001120083*E46^4)+(0.000000000006536332*E46^5)))</f>
        <v/>
      </c>
      <c r="P46" s="132"/>
      <c r="Q46" s="132"/>
      <c r="R46" s="132"/>
      <c r="S46" s="132"/>
      <c r="T46" s="132"/>
      <c r="U46" s="146" t="s">
        <v>99</v>
      </c>
      <c r="V46" s="146" t="s">
        <v>145</v>
      </c>
      <c r="W46" s="146" t="s">
        <v>99</v>
      </c>
      <c r="X46" s="147" t="s">
        <v>99</v>
      </c>
      <c r="Y46" s="146" t="s">
        <v>99</v>
      </c>
      <c r="Z46" s="132"/>
      <c r="AA46" s="132"/>
      <c r="AB46" s="132"/>
      <c r="AC46" s="132"/>
      <c r="AD46" s="124"/>
      <c r="AE46" s="124"/>
      <c r="AF46" s="124"/>
      <c r="AG46" s="124"/>
      <c r="AH46" s="124"/>
      <c r="AI46" s="124"/>
      <c r="AJ46" s="124"/>
      <c r="AK46" s="124"/>
      <c r="AL46" s="124"/>
      <c r="AM46" s="124"/>
      <c r="AN46" s="124"/>
      <c r="AO46" s="124"/>
      <c r="AP46" s="124"/>
      <c r="AQ46" s="124"/>
      <c r="AR46" s="124"/>
      <c r="AS46" s="124"/>
      <c r="AT46" s="124"/>
      <c r="AU46" s="124"/>
      <c r="AV46" s="124"/>
      <c r="AW46" s="124"/>
      <c r="AX46" s="124"/>
      <c r="AY46" s="124"/>
      <c r="AZ46" s="124"/>
      <c r="BA46" s="124"/>
      <c r="BB46" s="136"/>
    </row>
    <row r="47" customFormat="false" ht="15.6" hidden="false" customHeight="false" outlineLevel="0" collapsed="false">
      <c r="A47" s="111" t="n">
        <f aca="false">IF(ISBLANK(VLOOKUP(D47,#REF!,3)),0,1)</f>
        <v>1</v>
      </c>
      <c r="B47" s="112" t="n">
        <f aca="false">IF(ISBLANK(D47),0,IF(ISBLANK(E47),0,IF(ISBLANK(F47),0,1)))</f>
        <v>0</v>
      </c>
      <c r="C47" s="128" t="n">
        <v>13</v>
      </c>
      <c r="D47" s="151"/>
      <c r="E47" s="151"/>
      <c r="F47" s="152"/>
      <c r="G47" s="153"/>
      <c r="H47" s="151"/>
      <c r="I47" s="151"/>
      <c r="J47" s="132"/>
      <c r="K47" s="133" t="str">
        <f aca="false">IF(ISBLANK(E47),"",(0.000824493-(0.0000040899*E47)+(0.000000076438*E47^2)-(0.00000000082467*E47^3)+(0.0000000000053875*E47^4)))</f>
        <v/>
      </c>
      <c r="L47" s="133" t="str">
        <f aca="false">IF(ISBLANK(E47),"",(-0.00000572466+(0.00000010227*E47)-(0.0000000016546*E47^2)))</f>
        <v/>
      </c>
      <c r="M47" s="133" t="str">
        <f aca="false">IF(ISBLANK(E47),"",IF(ISBLANK(G47),(O47+(K47*35)+(L47*35^1.5)+(0.00000048314*35^2)),(O47+(K47*G47)+(L47*G47^1.5)+(0.00000048314*G47^2))))</f>
        <v/>
      </c>
      <c r="N47" s="134" t="str">
        <f aca="false">IF(ISBLANK(D47),"",IF(ISBLANK(G47),J47*(1+0.00001*(35-20)),J47*(1+0.00001*(G47-20))))</f>
        <v/>
      </c>
      <c r="O47" s="133" t="str">
        <f aca="false">IF(ISBLANK(E47),"",(0.999842594+(0.00006793952*E47)-(0.00000909529*E47^2)+(0.0000001001685*E47^3)-(0.000000001120083*E47^4)+(0.000000000006536332*E47^5)))</f>
        <v/>
      </c>
      <c r="P47" s="132"/>
      <c r="Q47" s="132"/>
      <c r="R47" s="132"/>
      <c r="S47" s="132"/>
      <c r="T47" s="124"/>
      <c r="U47" s="124"/>
      <c r="V47" s="124"/>
      <c r="W47" s="124"/>
      <c r="X47" s="12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24"/>
      <c r="AJ47" s="124"/>
      <c r="AK47" s="124"/>
      <c r="AL47" s="124"/>
      <c r="AM47" s="124"/>
      <c r="AN47" s="124"/>
      <c r="AO47" s="124"/>
      <c r="AP47" s="124"/>
      <c r="AQ47" s="124"/>
      <c r="AR47" s="124"/>
      <c r="AS47" s="124"/>
      <c r="AT47" s="124"/>
      <c r="AU47" s="124"/>
      <c r="AV47" s="124"/>
      <c r="AW47" s="124"/>
      <c r="AX47" s="124"/>
      <c r="AY47" s="124"/>
      <c r="AZ47" s="124"/>
      <c r="BA47" s="124"/>
      <c r="BB47" s="136"/>
    </row>
    <row r="48" customFormat="false" ht="15.6" hidden="false" customHeight="false" outlineLevel="0" collapsed="false">
      <c r="A48" s="111" t="n">
        <f aca="false">IF(ISBLANK(VLOOKUP(D48,#REF!,3)),0,1)</f>
        <v>1</v>
      </c>
      <c r="B48" s="112" t="n">
        <f aca="false">IF(ISBLANK(D48),0,IF(ISBLANK(E48),0,IF(ISBLANK(F48),0,1)))</f>
        <v>0</v>
      </c>
      <c r="C48" s="128" t="n">
        <v>14</v>
      </c>
      <c r="D48" s="151"/>
      <c r="E48" s="151"/>
      <c r="F48" s="152"/>
      <c r="G48" s="153"/>
      <c r="H48" s="151"/>
      <c r="I48" s="151"/>
      <c r="J48" s="132"/>
      <c r="K48" s="133" t="str">
        <f aca="false">IF(ISBLANK(E48),"",(0.000824493-(0.0000040899*E48)+(0.000000076438*E48^2)-(0.00000000082467*E48^3)+(0.0000000000053875*E48^4)))</f>
        <v/>
      </c>
      <c r="L48" s="133" t="str">
        <f aca="false">IF(ISBLANK(E48),"",(-0.00000572466+(0.00000010227*E48)-(0.0000000016546*E48^2)))</f>
        <v/>
      </c>
      <c r="M48" s="133" t="str">
        <f aca="false">IF(ISBLANK(E48),"",IF(ISBLANK(G48),(O48+(K48*35)+(L48*35^1.5)+(0.00000048314*35^2)),(O48+(K48*G48)+(L48*G48^1.5)+(0.00000048314*G48^2))))</f>
        <v/>
      </c>
      <c r="N48" s="134" t="str">
        <f aca="false">IF(ISBLANK(D48),"",IF(ISBLANK(G48),J48*(1+0.00001*(35-20)),J48*(1+0.00001*(G48-20))))</f>
        <v/>
      </c>
      <c r="O48" s="133" t="str">
        <f aca="false">IF(ISBLANK(E48),"",(0.999842594+(0.00006793952*E48)-(0.00000909529*E48^2)+(0.0000001001685*E48^3)-(0.000000001120083*E48^4)+(0.000000000006536332*E48^5)))</f>
        <v/>
      </c>
      <c r="P48" s="132"/>
      <c r="Q48" s="132"/>
      <c r="R48" s="132"/>
      <c r="S48" s="132"/>
      <c r="T48" s="124"/>
      <c r="U48" s="124"/>
      <c r="V48" s="124"/>
      <c r="W48" s="124"/>
      <c r="X48" s="124"/>
      <c r="Y48" s="124"/>
      <c r="Z48" s="124"/>
      <c r="AA48" s="124"/>
      <c r="AB48" s="124"/>
      <c r="AC48" s="124"/>
      <c r="AD48" s="124"/>
      <c r="AE48" s="124"/>
      <c r="AF48" s="124"/>
      <c r="AG48" s="124"/>
      <c r="AH48" s="124"/>
      <c r="AI48" s="124"/>
      <c r="AJ48" s="124"/>
      <c r="AK48" s="124"/>
      <c r="AL48" s="124"/>
      <c r="AM48" s="124"/>
      <c r="AN48" s="124"/>
      <c r="AO48" s="124"/>
      <c r="AP48" s="124"/>
      <c r="AQ48" s="124"/>
      <c r="AR48" s="124"/>
      <c r="AS48" s="124"/>
      <c r="AT48" s="124"/>
      <c r="AU48" s="124"/>
      <c r="AV48" s="124"/>
      <c r="AW48" s="124"/>
      <c r="AX48" s="124"/>
      <c r="AY48" s="124"/>
      <c r="AZ48" s="124"/>
      <c r="BA48" s="124"/>
      <c r="BB48" s="136"/>
    </row>
    <row r="49" customFormat="false" ht="15.6" hidden="false" customHeight="false" outlineLevel="0" collapsed="false">
      <c r="A49" s="111" t="n">
        <f aca="false">IF(ISBLANK(VLOOKUP(D49,#REF!,3)),0,1)</f>
        <v>1</v>
      </c>
      <c r="B49" s="112" t="n">
        <f aca="false">IF(ISBLANK(D49),0,IF(ISBLANK(E49),0,IF(ISBLANK(F49),0,1)))</f>
        <v>0</v>
      </c>
      <c r="C49" s="128" t="n">
        <v>15</v>
      </c>
      <c r="D49" s="151"/>
      <c r="E49" s="151"/>
      <c r="F49" s="152"/>
      <c r="G49" s="156"/>
      <c r="H49" s="151"/>
      <c r="I49" s="151"/>
      <c r="J49" s="132"/>
      <c r="K49" s="133" t="str">
        <f aca="false">IF(ISBLANK(E49),"",(0.000824493-(0.0000040899*E49)+(0.000000076438*E49^2)-(0.00000000082467*E49^3)+(0.0000000000053875*E49^4)))</f>
        <v/>
      </c>
      <c r="L49" s="133" t="str">
        <f aca="false">IF(ISBLANK(E49),"",(-0.00000572466+(0.00000010227*E49)-(0.0000000016546*E49^2)))</f>
        <v/>
      </c>
      <c r="M49" s="133" t="str">
        <f aca="false">IF(ISBLANK(E49),"",IF(ISBLANK(G49),(O49+(K49*35)+(L49*35^1.5)+(0.00000048314*35^2)),(O49+(K49*G49)+(L49*G49^1.5)+(0.00000048314*G49^2))))</f>
        <v/>
      </c>
      <c r="N49" s="134" t="str">
        <f aca="false">IF(ISBLANK(D49),"",IF(ISBLANK(G49),J49*(1+0.00001*(35-20)),J49*(1+0.00001*(G49-20))))</f>
        <v/>
      </c>
      <c r="O49" s="133" t="str">
        <f aca="false">IF(ISBLANK(E49),"",(0.999842594+(0.00006793952*E49)-(0.00000909529*E49^2)+(0.0000001001685*E49^3)-(0.000000001120083*E49^4)+(0.000000000006536332*E49^5)))</f>
        <v/>
      </c>
      <c r="P49" s="132"/>
      <c r="Q49" s="132"/>
      <c r="R49" s="132"/>
      <c r="S49" s="132"/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24"/>
      <c r="AE49" s="124"/>
      <c r="AF49" s="124"/>
      <c r="AG49" s="124"/>
      <c r="AH49" s="124"/>
      <c r="AI49" s="124"/>
      <c r="AJ49" s="124"/>
      <c r="AK49" s="124"/>
      <c r="AL49" s="124"/>
      <c r="AM49" s="124"/>
      <c r="AN49" s="124"/>
      <c r="AO49" s="124"/>
      <c r="AP49" s="124"/>
      <c r="AQ49" s="124"/>
      <c r="AR49" s="124"/>
      <c r="AS49" s="124"/>
      <c r="AT49" s="124"/>
      <c r="AU49" s="124"/>
      <c r="AV49" s="124"/>
      <c r="AW49" s="124"/>
      <c r="AX49" s="124"/>
      <c r="AY49" s="124"/>
      <c r="AZ49" s="124"/>
      <c r="BA49" s="124"/>
      <c r="BB49" s="136"/>
    </row>
    <row r="50" customFormat="false" ht="15.6" hidden="false" customHeight="false" outlineLevel="0" collapsed="false">
      <c r="A50" s="111" t="n">
        <f aca="false">IF(ISBLANK(VLOOKUP(D50,#REF!,3)),0,1)</f>
        <v>1</v>
      </c>
      <c r="B50" s="112" t="n">
        <f aca="false">IF(ISBLANK(D50),0,IF(ISBLANK(E50),0,IF(ISBLANK(F50),0,1)))</f>
        <v>0</v>
      </c>
      <c r="C50" s="128" t="n">
        <v>16</v>
      </c>
      <c r="D50" s="151"/>
      <c r="E50" s="151"/>
      <c r="F50" s="152"/>
      <c r="G50" s="156"/>
      <c r="H50" s="151"/>
      <c r="I50" s="151"/>
      <c r="J50" s="132"/>
      <c r="K50" s="133" t="str">
        <f aca="false">IF(ISBLANK(E50),"",(0.000824493-(0.0000040899*E50)+(0.000000076438*E50^2)-(0.00000000082467*E50^3)+(0.0000000000053875*E50^4)))</f>
        <v/>
      </c>
      <c r="L50" s="133" t="str">
        <f aca="false">IF(ISBLANK(E50),"",(-0.00000572466+(0.00000010227*E50)-(0.0000000016546*E50^2)))</f>
        <v/>
      </c>
      <c r="M50" s="133" t="str">
        <f aca="false">IF(ISBLANK(E50),"",IF(ISBLANK(G50),(O50+(K50*35)+(L50*35^1.5)+(0.00000048314*35^2)),(O50+(K50*G50)+(L50*G50^1.5)+(0.00000048314*G50^2))))</f>
        <v/>
      </c>
      <c r="N50" s="134" t="str">
        <f aca="false">IF(ISBLANK(D50),"",IF(ISBLANK(G50),J50*(1+0.00001*(35-20)),J50*(1+0.00001*(G50-20))))</f>
        <v/>
      </c>
      <c r="O50" s="133" t="str">
        <f aca="false">IF(ISBLANK(E50),"",(0.999842594+(0.00006793952*E50)-(0.00000909529*E50^2)+(0.0000001001685*E50^3)-(0.000000001120083*E50^4)+(0.000000000006536332*E50^5)))</f>
        <v/>
      </c>
      <c r="P50" s="132"/>
      <c r="Q50" s="132"/>
      <c r="R50" s="132"/>
      <c r="S50" s="132"/>
      <c r="T50" s="124"/>
      <c r="U50" s="124"/>
      <c r="V50" s="124"/>
      <c r="W50" s="124"/>
      <c r="X50" s="124"/>
      <c r="Y50" s="124"/>
      <c r="Z50" s="124"/>
      <c r="AA50" s="124"/>
      <c r="AB50" s="124"/>
      <c r="AC50" s="124"/>
      <c r="AD50" s="124"/>
      <c r="AE50" s="124"/>
      <c r="AF50" s="124"/>
      <c r="AG50" s="124"/>
      <c r="AH50" s="124"/>
      <c r="AI50" s="124"/>
      <c r="AJ50" s="124"/>
      <c r="AK50" s="124"/>
      <c r="AL50" s="124"/>
      <c r="AM50" s="124"/>
      <c r="AN50" s="124"/>
      <c r="AO50" s="124"/>
      <c r="AP50" s="124"/>
      <c r="AQ50" s="124"/>
      <c r="AR50" s="124"/>
      <c r="AS50" s="124"/>
      <c r="AT50" s="124"/>
      <c r="AU50" s="124"/>
      <c r="AV50" s="124"/>
      <c r="AW50" s="124"/>
      <c r="AX50" s="124"/>
      <c r="AY50" s="124"/>
      <c r="AZ50" s="124"/>
      <c r="BA50" s="124"/>
      <c r="BB50" s="136"/>
    </row>
    <row r="51" customFormat="false" ht="15.6" hidden="false" customHeight="false" outlineLevel="0" collapsed="false">
      <c r="A51" s="111" t="n">
        <f aca="false">IF(ISBLANK(VLOOKUP(D51,#REF!,3)),0,1)</f>
        <v>1</v>
      </c>
      <c r="B51" s="112" t="n">
        <f aca="false">IF(ISBLANK(D51),0,IF(ISBLANK(E51),0,IF(ISBLANK(F51),0,1)))</f>
        <v>0</v>
      </c>
      <c r="C51" s="128" t="n">
        <v>17</v>
      </c>
      <c r="D51" s="151"/>
      <c r="E51" s="151"/>
      <c r="F51" s="152"/>
      <c r="G51" s="156"/>
      <c r="H51" s="151"/>
      <c r="I51" s="151"/>
      <c r="J51" s="132"/>
      <c r="K51" s="133" t="str">
        <f aca="false">IF(ISBLANK(E51),"",(0.000824493-(0.0000040899*E51)+(0.000000076438*E51^2)-(0.00000000082467*E51^3)+(0.0000000000053875*E51^4)))</f>
        <v/>
      </c>
      <c r="L51" s="133" t="str">
        <f aca="false">IF(ISBLANK(E51),"",(-0.00000572466+(0.00000010227*E51)-(0.0000000016546*E51^2)))</f>
        <v/>
      </c>
      <c r="M51" s="133" t="str">
        <f aca="false">IF(ISBLANK(E51),"",IF(ISBLANK(G51),(O51+(K51*35)+(L51*35^1.5)+(0.00000048314*35^2)),(O51+(K51*G51)+(L51*G51^1.5)+(0.00000048314*G51^2))))</f>
        <v/>
      </c>
      <c r="N51" s="134" t="str">
        <f aca="false">IF(ISBLANK(D51),"",IF(ISBLANK(G51),J51*(1+0.00001*(35-20)),J51*(1+0.00001*(G51-20))))</f>
        <v/>
      </c>
      <c r="O51" s="133" t="str">
        <f aca="false">IF(ISBLANK(E51),"",(0.999842594+(0.00006793952*E51)-(0.00000909529*E51^2)+(0.0000001001685*E51^3)-(0.000000001120083*E51^4)+(0.000000000006536332*E51^5)))</f>
        <v/>
      </c>
      <c r="P51" s="132"/>
      <c r="Q51" s="132"/>
      <c r="R51" s="132"/>
      <c r="S51" s="132"/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24"/>
      <c r="AE51" s="124"/>
      <c r="AF51" s="124"/>
      <c r="AG51" s="124"/>
      <c r="AH51" s="124"/>
      <c r="AI51" s="124"/>
      <c r="AJ51" s="124"/>
      <c r="AK51" s="124"/>
      <c r="AL51" s="124"/>
      <c r="AM51" s="124"/>
      <c r="AN51" s="124"/>
      <c r="AO51" s="124"/>
      <c r="AP51" s="124"/>
      <c r="AQ51" s="124"/>
      <c r="AR51" s="124"/>
      <c r="AS51" s="124"/>
      <c r="AT51" s="124"/>
      <c r="AU51" s="124"/>
      <c r="AV51" s="124"/>
      <c r="AW51" s="124"/>
      <c r="AX51" s="124"/>
      <c r="AY51" s="124"/>
      <c r="AZ51" s="124"/>
      <c r="BA51" s="124"/>
      <c r="BB51" s="136"/>
    </row>
    <row r="52" customFormat="false" ht="15.6" hidden="false" customHeight="false" outlineLevel="0" collapsed="false">
      <c r="A52" s="111" t="n">
        <f aca="false">IF(ISBLANK(VLOOKUP(D52,#REF!,3)),0,1)</f>
        <v>1</v>
      </c>
      <c r="B52" s="112" t="n">
        <f aca="false">IF(ISBLANK(D52),0,IF(ISBLANK(E52),0,IF(ISBLANK(F52),0,1)))</f>
        <v>0</v>
      </c>
      <c r="C52" s="128" t="n">
        <v>18</v>
      </c>
      <c r="D52" s="151"/>
      <c r="E52" s="151"/>
      <c r="F52" s="152"/>
      <c r="G52" s="156"/>
      <c r="H52" s="151"/>
      <c r="I52" s="151"/>
      <c r="J52" s="132"/>
      <c r="K52" s="133" t="str">
        <f aca="false">IF(ISBLANK(E52),"",(0.000824493-(0.0000040899*E52)+(0.000000076438*E52^2)-(0.00000000082467*E52^3)+(0.0000000000053875*E52^4)))</f>
        <v/>
      </c>
      <c r="L52" s="133" t="str">
        <f aca="false">IF(ISBLANK(E52),"",(-0.00000572466+(0.00000010227*E52)-(0.0000000016546*E52^2)))</f>
        <v/>
      </c>
      <c r="M52" s="133" t="str">
        <f aca="false">IF(ISBLANK(E52),"",IF(ISBLANK(G52),(O52+(K52*35)+(L52*35^1.5)+(0.00000048314*35^2)),(O52+(K52*G52)+(L52*G52^1.5)+(0.00000048314*G52^2))))</f>
        <v/>
      </c>
      <c r="N52" s="134" t="str">
        <f aca="false">IF(ISBLANK(D52),"",IF(ISBLANK(G52),J52*(1+0.00001*(35-20)),J52*(1+0.00001*(G52-20))))</f>
        <v/>
      </c>
      <c r="O52" s="133" t="str">
        <f aca="false">IF(ISBLANK(E52),"",(0.999842594+(0.00006793952*E52)-(0.00000909529*E52^2)+(0.0000001001685*E52^3)-(0.000000001120083*E52^4)+(0.000000000006536332*E52^5)))</f>
        <v/>
      </c>
      <c r="P52" s="132"/>
      <c r="Q52" s="132"/>
      <c r="R52" s="132"/>
      <c r="S52" s="132"/>
      <c r="T52" s="124"/>
      <c r="U52" s="124"/>
      <c r="V52" s="124"/>
      <c r="W52" s="124"/>
      <c r="X52" s="124"/>
      <c r="Y52" s="124"/>
      <c r="Z52" s="124"/>
      <c r="AA52" s="124"/>
      <c r="AB52" s="124"/>
      <c r="AC52" s="124"/>
      <c r="AD52" s="124"/>
      <c r="AE52" s="124"/>
      <c r="AF52" s="124"/>
      <c r="AG52" s="124"/>
      <c r="AH52" s="124"/>
      <c r="AI52" s="124"/>
      <c r="AJ52" s="124"/>
      <c r="AK52" s="124"/>
      <c r="AL52" s="124"/>
      <c r="AM52" s="124"/>
      <c r="AN52" s="124"/>
      <c r="AO52" s="124"/>
      <c r="AP52" s="124"/>
      <c r="AQ52" s="124"/>
      <c r="AR52" s="124"/>
      <c r="AS52" s="124"/>
      <c r="AT52" s="124"/>
      <c r="AU52" s="124"/>
      <c r="AV52" s="124"/>
      <c r="AW52" s="124"/>
      <c r="AX52" s="124"/>
      <c r="AY52" s="124"/>
      <c r="AZ52" s="124"/>
      <c r="BA52" s="124"/>
      <c r="BB52" s="136"/>
    </row>
    <row r="53" customFormat="false" ht="15.6" hidden="false" customHeight="false" outlineLevel="0" collapsed="false">
      <c r="A53" s="111" t="n">
        <f aca="false">IF(ISBLANK(VLOOKUP(D53,#REF!,3)),0,1)</f>
        <v>1</v>
      </c>
      <c r="B53" s="112" t="n">
        <f aca="false">IF(ISBLANK(D53),0,IF(ISBLANK(E53),0,IF(ISBLANK(F53),0,1)))</f>
        <v>0</v>
      </c>
      <c r="C53" s="128" t="n">
        <v>19</v>
      </c>
      <c r="D53" s="151"/>
      <c r="E53" s="151"/>
      <c r="F53" s="152"/>
      <c r="G53" s="156"/>
      <c r="H53" s="151"/>
      <c r="I53" s="151"/>
      <c r="J53" s="132"/>
      <c r="K53" s="133" t="str">
        <f aca="false">IF(ISBLANK(E53),"",(0.000824493-(0.0000040899*E53)+(0.000000076438*E53^2)-(0.00000000082467*E53^3)+(0.0000000000053875*E53^4)))</f>
        <v/>
      </c>
      <c r="L53" s="133" t="str">
        <f aca="false">IF(ISBLANK(E53),"",(-0.00000572466+(0.00000010227*E53)-(0.0000000016546*E53^2)))</f>
        <v/>
      </c>
      <c r="M53" s="133" t="str">
        <f aca="false">IF(ISBLANK(E53),"",IF(ISBLANK(G53),(O53+(K53*35)+(L53*35^1.5)+(0.00000048314*35^2)),(O53+(K53*G53)+(L53*G53^1.5)+(0.00000048314*G53^2))))</f>
        <v/>
      </c>
      <c r="N53" s="134" t="str">
        <f aca="false">IF(ISBLANK(D53),"",IF(ISBLANK(G53),J53*(1+0.00001*(35-20)),J53*(1+0.00001*(G53-20))))</f>
        <v/>
      </c>
      <c r="O53" s="133" t="str">
        <f aca="false">IF(ISBLANK(E53),"",(0.999842594+(0.00006793952*E53)-(0.00000909529*E53^2)+(0.0000001001685*E53^3)-(0.000000001120083*E53^4)+(0.000000000006536332*E53^5)))</f>
        <v/>
      </c>
      <c r="P53" s="132"/>
      <c r="Q53" s="132"/>
      <c r="R53" s="132"/>
      <c r="S53" s="132"/>
      <c r="T53" s="124"/>
      <c r="U53" s="124"/>
      <c r="V53" s="124"/>
      <c r="W53" s="124"/>
      <c r="X53" s="12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24"/>
      <c r="AJ53" s="124"/>
      <c r="AK53" s="124"/>
      <c r="AL53" s="124"/>
      <c r="AM53" s="124"/>
      <c r="AN53" s="124"/>
      <c r="AO53" s="124"/>
      <c r="AP53" s="124"/>
      <c r="AQ53" s="124"/>
      <c r="AR53" s="124"/>
      <c r="AS53" s="124"/>
      <c r="AT53" s="124"/>
      <c r="AU53" s="124"/>
      <c r="AV53" s="124"/>
      <c r="AW53" s="124"/>
      <c r="AX53" s="124"/>
      <c r="AY53" s="124"/>
      <c r="AZ53" s="124"/>
      <c r="BA53" s="124"/>
      <c r="BB53" s="136"/>
    </row>
    <row r="54" customFormat="false" ht="15.6" hidden="false" customHeight="false" outlineLevel="0" collapsed="false">
      <c r="A54" s="111" t="n">
        <f aca="false">IF(ISBLANK(VLOOKUP(D54,#REF!,3)),0,1)</f>
        <v>1</v>
      </c>
      <c r="B54" s="112" t="n">
        <f aca="false">IF(ISBLANK(D54),0,IF(ISBLANK(E54),0,IF(ISBLANK(F54),0,1)))</f>
        <v>0</v>
      </c>
      <c r="C54" s="128" t="n">
        <v>20</v>
      </c>
      <c r="D54" s="151"/>
      <c r="E54" s="151"/>
      <c r="F54" s="152"/>
      <c r="G54" s="156"/>
      <c r="H54" s="151"/>
      <c r="I54" s="151"/>
      <c r="J54" s="132"/>
      <c r="K54" s="133" t="str">
        <f aca="false">IF(ISBLANK(E54),"",(0.000824493-(0.0000040899*E54)+(0.000000076438*E54^2)-(0.00000000082467*E54^3)+(0.0000000000053875*E54^4)))</f>
        <v/>
      </c>
      <c r="L54" s="133" t="str">
        <f aca="false">IF(ISBLANK(E54),"",(-0.00000572466+(0.00000010227*E54)-(0.0000000016546*E54^2)))</f>
        <v/>
      </c>
      <c r="M54" s="133" t="str">
        <f aca="false">IF(ISBLANK(E54),"",IF(ISBLANK(G54),(O54+(K54*35)+(L54*35^1.5)+(0.00000048314*35^2)),(O54+(K54*G54)+(L54*G54^1.5)+(0.00000048314*G54^2))))</f>
        <v/>
      </c>
      <c r="N54" s="134" t="str">
        <f aca="false">IF(ISBLANK(D54),"",IF(ISBLANK(G54),J54*(1+0.00001*(35-20)),J54*(1+0.00001*(G54-20))))</f>
        <v/>
      </c>
      <c r="O54" s="133" t="str">
        <f aca="false">IF(ISBLANK(E54),"",(0.999842594+(0.00006793952*E54)-(0.00000909529*E54^2)+(0.0000001001685*E54^3)-(0.000000001120083*E54^4)+(0.000000000006536332*E54^5)))</f>
        <v/>
      </c>
      <c r="P54" s="132"/>
      <c r="Q54" s="132"/>
      <c r="R54" s="132"/>
      <c r="S54" s="132"/>
      <c r="T54" s="124"/>
      <c r="U54" s="124"/>
      <c r="V54" s="124"/>
      <c r="W54" s="124"/>
      <c r="X54" s="124"/>
      <c r="Y54" s="124"/>
      <c r="Z54" s="124"/>
      <c r="AA54" s="124"/>
      <c r="AB54" s="124"/>
      <c r="AC54" s="124"/>
      <c r="AD54" s="124"/>
      <c r="AE54" s="124"/>
      <c r="AF54" s="124"/>
      <c r="AG54" s="124"/>
      <c r="AH54" s="124"/>
      <c r="AI54" s="124"/>
      <c r="AJ54" s="124"/>
      <c r="AK54" s="124"/>
      <c r="AL54" s="124"/>
      <c r="AM54" s="124"/>
      <c r="AN54" s="124"/>
      <c r="AO54" s="124"/>
      <c r="AP54" s="124"/>
      <c r="AQ54" s="124"/>
      <c r="AR54" s="124"/>
      <c r="AS54" s="124"/>
      <c r="AT54" s="124"/>
      <c r="AU54" s="124"/>
      <c r="AV54" s="124"/>
      <c r="AW54" s="124"/>
      <c r="AX54" s="124"/>
      <c r="AY54" s="124"/>
      <c r="AZ54" s="124"/>
      <c r="BA54" s="124"/>
      <c r="BB54" s="136"/>
    </row>
    <row r="55" customFormat="false" ht="15.6" hidden="false" customHeight="false" outlineLevel="0" collapsed="false">
      <c r="A55" s="111" t="n">
        <f aca="false">IF(ISBLANK(VLOOKUP(D55,#REF!,3)),0,1)</f>
        <v>1</v>
      </c>
      <c r="B55" s="112" t="n">
        <f aca="false">IF(ISBLANK(D55),0,IF(ISBLANK(E55),0,IF(ISBLANK(F55),0,1)))</f>
        <v>0</v>
      </c>
      <c r="C55" s="128" t="n">
        <v>21</v>
      </c>
      <c r="D55" s="151"/>
      <c r="E55" s="151"/>
      <c r="F55" s="152"/>
      <c r="G55" s="156"/>
      <c r="H55" s="151"/>
      <c r="I55" s="151"/>
      <c r="J55" s="132"/>
      <c r="K55" s="133" t="str">
        <f aca="false">IF(ISBLANK(E55),"",(0.000824493-(0.0000040899*E55)+(0.000000076438*E55^2)-(0.00000000082467*E55^3)+(0.0000000000053875*E55^4)))</f>
        <v/>
      </c>
      <c r="L55" s="133" t="str">
        <f aca="false">IF(ISBLANK(E55),"",(-0.00000572466+(0.00000010227*E55)-(0.0000000016546*E55^2)))</f>
        <v/>
      </c>
      <c r="M55" s="133" t="str">
        <f aca="false">IF(ISBLANK(E55),"",IF(ISBLANK(G55),(O55+(K55*35)+(L55*35^1.5)+(0.00000048314*35^2)),(O55+(K55*G55)+(L55*G55^1.5)+(0.00000048314*G55^2))))</f>
        <v/>
      </c>
      <c r="N55" s="134" t="str">
        <f aca="false">IF(ISBLANK(D55),"",IF(ISBLANK(G55),J55*(1+0.00001*(35-20)),J55*(1+0.00001*(G55-20))))</f>
        <v/>
      </c>
      <c r="O55" s="133" t="str">
        <f aca="false">IF(ISBLANK(E55),"",(0.999842594+(0.00006793952*E55)-(0.00000909529*E55^2)+(0.0000001001685*E55^3)-(0.000000001120083*E55^4)+(0.000000000006536332*E55^5)))</f>
        <v/>
      </c>
      <c r="P55" s="132"/>
      <c r="Q55" s="132"/>
      <c r="R55" s="132"/>
      <c r="S55" s="132"/>
      <c r="T55" s="124"/>
      <c r="U55" s="124"/>
      <c r="V55" s="124"/>
      <c r="W55" s="124"/>
      <c r="X55" s="124"/>
      <c r="Y55" s="124"/>
      <c r="Z55" s="124"/>
      <c r="AA55" s="124"/>
      <c r="AB55" s="124"/>
      <c r="AC55" s="124"/>
      <c r="AD55" s="124"/>
      <c r="AE55" s="124"/>
      <c r="AF55" s="124"/>
      <c r="AG55" s="124"/>
      <c r="AH55" s="124"/>
      <c r="AI55" s="124"/>
      <c r="AJ55" s="124"/>
      <c r="AK55" s="124"/>
      <c r="AL55" s="124"/>
      <c r="AM55" s="124"/>
      <c r="AN55" s="124"/>
      <c r="AO55" s="124"/>
      <c r="AP55" s="124"/>
      <c r="AQ55" s="124"/>
      <c r="AR55" s="124"/>
      <c r="AS55" s="124"/>
      <c r="AT55" s="124"/>
      <c r="AU55" s="124"/>
      <c r="AV55" s="124"/>
      <c r="AW55" s="124"/>
      <c r="AX55" s="124"/>
      <c r="AY55" s="124"/>
      <c r="AZ55" s="124"/>
      <c r="BA55" s="124"/>
      <c r="BB55" s="136"/>
    </row>
    <row r="56" customFormat="false" ht="15.6" hidden="false" customHeight="false" outlineLevel="0" collapsed="false">
      <c r="A56" s="111" t="n">
        <f aca="false">IF(ISBLANK(VLOOKUP(D56,#REF!,3)),0,1)</f>
        <v>1</v>
      </c>
      <c r="B56" s="112" t="n">
        <f aca="false">IF(ISBLANK(D56),0,IF(ISBLANK(E56),0,IF(ISBLANK(F56),0,1)))</f>
        <v>0</v>
      </c>
      <c r="C56" s="128" t="n">
        <v>22</v>
      </c>
      <c r="D56" s="151"/>
      <c r="E56" s="151"/>
      <c r="F56" s="152"/>
      <c r="G56" s="156"/>
      <c r="H56" s="151"/>
      <c r="I56" s="151"/>
      <c r="J56" s="132"/>
      <c r="K56" s="133" t="str">
        <f aca="false">IF(ISBLANK(E56),"",(0.000824493-(0.0000040899*E56)+(0.000000076438*E56^2)-(0.00000000082467*E56^3)+(0.0000000000053875*E56^4)))</f>
        <v/>
      </c>
      <c r="L56" s="133" t="str">
        <f aca="false">IF(ISBLANK(E56),"",(-0.00000572466+(0.00000010227*E56)-(0.0000000016546*E56^2)))</f>
        <v/>
      </c>
      <c r="M56" s="133" t="str">
        <f aca="false">IF(ISBLANK(E56),"",IF(ISBLANK(G56),(O56+(K56*35)+(L56*35^1.5)+(0.00000048314*35^2)),(O56+(K56*G56)+(L56*G56^1.5)+(0.00000048314*G56^2))))</f>
        <v/>
      </c>
      <c r="N56" s="134" t="str">
        <f aca="false">IF(ISBLANK(D56),"",IF(ISBLANK(G56),J56*(1+0.00001*(35-20)),J56*(1+0.00001*(G56-20))))</f>
        <v/>
      </c>
      <c r="O56" s="133" t="str">
        <f aca="false">IF(ISBLANK(E56),"",(0.999842594+(0.00006793952*E56)-(0.00000909529*E56^2)+(0.0000001001685*E56^3)-(0.000000001120083*E56^4)+(0.000000000006536332*E56^5)))</f>
        <v/>
      </c>
      <c r="P56" s="132"/>
      <c r="Q56" s="132"/>
      <c r="R56" s="132"/>
      <c r="S56" s="132"/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24"/>
      <c r="AE56" s="124"/>
      <c r="AF56" s="124"/>
      <c r="AG56" s="124"/>
      <c r="AH56" s="124"/>
      <c r="AI56" s="124"/>
      <c r="AJ56" s="124"/>
      <c r="AK56" s="124"/>
      <c r="AL56" s="124"/>
      <c r="AM56" s="124"/>
      <c r="AN56" s="124"/>
      <c r="AO56" s="124"/>
      <c r="AP56" s="124"/>
      <c r="AQ56" s="124"/>
      <c r="AR56" s="124"/>
      <c r="AS56" s="124"/>
      <c r="AT56" s="124"/>
      <c r="AU56" s="124"/>
      <c r="AV56" s="124"/>
      <c r="AW56" s="124"/>
      <c r="AX56" s="124"/>
      <c r="AY56" s="124"/>
      <c r="AZ56" s="124"/>
      <c r="BA56" s="124"/>
      <c r="BB56" s="136"/>
    </row>
    <row r="57" customFormat="false" ht="15.6" hidden="false" customHeight="false" outlineLevel="0" collapsed="false">
      <c r="A57" s="111" t="n">
        <f aca="false">IF(ISBLANK(VLOOKUP(D57,#REF!,3)),0,1)</f>
        <v>1</v>
      </c>
      <c r="B57" s="112" t="n">
        <f aca="false">IF(ISBLANK(D57),0,IF(ISBLANK(E57),0,IF(ISBLANK(F57),0,1)))</f>
        <v>0</v>
      </c>
      <c r="C57" s="128" t="n">
        <v>23</v>
      </c>
      <c r="D57" s="151"/>
      <c r="E57" s="151"/>
      <c r="F57" s="152"/>
      <c r="G57" s="156"/>
      <c r="H57" s="151"/>
      <c r="I57" s="151"/>
      <c r="J57" s="132"/>
      <c r="K57" s="133" t="str">
        <f aca="false">IF(ISBLANK(E57),"",(0.000824493-(0.0000040899*E57)+(0.000000076438*E57^2)-(0.00000000082467*E57^3)+(0.0000000000053875*E57^4)))</f>
        <v/>
      </c>
      <c r="L57" s="133" t="str">
        <f aca="false">IF(ISBLANK(E57),"",(-0.00000572466+(0.00000010227*E57)-(0.0000000016546*E57^2)))</f>
        <v/>
      </c>
      <c r="M57" s="133" t="str">
        <f aca="false">IF(ISBLANK(E57),"",IF(ISBLANK(G57),(O57+(K57*35)+(L57*35^1.5)+(0.00000048314*35^2)),(O57+(K57*G57)+(L57*G57^1.5)+(0.00000048314*G57^2))))</f>
        <v/>
      </c>
      <c r="N57" s="134" t="str">
        <f aca="false">IF(ISBLANK(D57),"",IF(ISBLANK(G57),J57*(1+0.00001*(35-20)),J57*(1+0.00001*(G57-20))))</f>
        <v/>
      </c>
      <c r="O57" s="133" t="str">
        <f aca="false">IF(ISBLANK(E57),"",(0.999842594+(0.00006793952*E57)-(0.00000909529*E57^2)+(0.0000001001685*E57^3)-(0.000000001120083*E57^4)+(0.000000000006536332*E57^5)))</f>
        <v/>
      </c>
      <c r="P57" s="132"/>
      <c r="Q57" s="132"/>
      <c r="R57" s="132"/>
      <c r="S57" s="132"/>
      <c r="T57" s="124"/>
      <c r="U57" s="124"/>
      <c r="V57" s="124"/>
      <c r="W57" s="124"/>
      <c r="X57" s="124"/>
      <c r="Y57" s="124"/>
      <c r="Z57" s="124"/>
      <c r="AA57" s="124"/>
      <c r="AB57" s="124"/>
      <c r="AC57" s="124"/>
      <c r="AD57" s="124"/>
      <c r="AE57" s="124"/>
      <c r="AF57" s="124"/>
      <c r="AG57" s="124"/>
      <c r="AH57" s="124"/>
      <c r="AI57" s="124"/>
      <c r="AJ57" s="124"/>
      <c r="AK57" s="124"/>
      <c r="AL57" s="124"/>
      <c r="AM57" s="124"/>
      <c r="AN57" s="124"/>
      <c r="AO57" s="124"/>
      <c r="AP57" s="124"/>
      <c r="AQ57" s="124"/>
      <c r="AR57" s="124"/>
      <c r="AS57" s="124"/>
      <c r="AT57" s="124"/>
      <c r="AU57" s="124"/>
      <c r="AV57" s="124"/>
      <c r="AW57" s="124"/>
      <c r="AX57" s="124"/>
      <c r="AY57" s="124"/>
      <c r="AZ57" s="124"/>
      <c r="BA57" s="124"/>
      <c r="BB57" s="136"/>
    </row>
    <row r="58" customFormat="false" ht="16.2" hidden="false" customHeight="false" outlineLevel="0" collapsed="false">
      <c r="A58" s="111" t="n">
        <f aca="false">IF(ISBLANK(VLOOKUP(D58,#REF!,3)),0,1)</f>
        <v>1</v>
      </c>
      <c r="B58" s="112" t="n">
        <f aca="false">IF(ISBLANK(D58),0,IF(ISBLANK(E58),0,IF(ISBLANK(F58),0,1)))</f>
        <v>0</v>
      </c>
      <c r="C58" s="158" t="n">
        <v>24</v>
      </c>
      <c r="D58" s="159"/>
      <c r="E58" s="159"/>
      <c r="F58" s="160"/>
      <c r="G58" s="161"/>
      <c r="H58" s="159"/>
      <c r="I58" s="159"/>
      <c r="J58" s="132"/>
      <c r="K58" s="163" t="str">
        <f aca="false">IF(ISBLANK(E58),"",(0.000824493-(0.0000040899*E58)+(0.000000076438*E58^2)-(0.00000000082467*E58^3)+(0.0000000000053875*E58^4)))</f>
        <v/>
      </c>
      <c r="L58" s="163" t="str">
        <f aca="false">IF(ISBLANK(E58),"",(-0.00000572466+(0.00000010227*E58)-(0.0000000016546*E58^2)))</f>
        <v/>
      </c>
      <c r="M58" s="163" t="str">
        <f aca="false">IF(ISBLANK(E58),"",IF(ISBLANK(G58),(O58+(K58*35)+(L58*35^1.5)+(0.00000048314*35^2)),(O58+(K58*G58)+(L58*G58^1.5)+(0.00000048314*G58^2))))</f>
        <v/>
      </c>
      <c r="N58" s="164" t="str">
        <f aca="false">IF(ISBLANK(D58),"",IF(ISBLANK(G58),J58*(1+0.00001*(35-20)),J58*(1+0.00001*(G58-20))))</f>
        <v/>
      </c>
      <c r="O58" s="163" t="str">
        <f aca="false">IF(ISBLANK(E58),"",(0.999842594+(0.00006793952*E58)-(0.00000909529*E58^2)+(0.0000001001685*E58^3)-(0.000000001120083*E58^4)+(0.000000000006536332*E58^5)))</f>
        <v/>
      </c>
      <c r="P58" s="132"/>
      <c r="Q58" s="132"/>
      <c r="R58" s="132"/>
      <c r="S58" s="132"/>
      <c r="T58" s="168"/>
      <c r="U58" s="168"/>
      <c r="V58" s="168"/>
      <c r="W58" s="168"/>
      <c r="X58" s="168"/>
      <c r="Y58" s="168"/>
      <c r="Z58" s="168"/>
      <c r="AA58" s="168"/>
      <c r="AB58" s="168"/>
      <c r="AC58" s="168"/>
      <c r="AD58" s="168"/>
      <c r="AE58" s="168"/>
      <c r="AF58" s="168"/>
      <c r="AG58" s="168"/>
      <c r="AH58" s="168"/>
      <c r="AI58" s="168"/>
      <c r="AJ58" s="168"/>
      <c r="AK58" s="168"/>
      <c r="AL58" s="168"/>
      <c r="AM58" s="168"/>
      <c r="AN58" s="168"/>
      <c r="AO58" s="168"/>
      <c r="AP58" s="168"/>
      <c r="AQ58" s="168"/>
      <c r="AR58" s="168"/>
      <c r="AS58" s="168"/>
      <c r="AT58" s="168"/>
      <c r="AU58" s="168"/>
      <c r="AV58" s="168"/>
      <c r="AW58" s="168"/>
      <c r="AX58" s="168"/>
      <c r="AY58" s="168"/>
      <c r="AZ58" s="168"/>
      <c r="BA58" s="168"/>
      <c r="BB58" s="169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2015-01-20T10:06:39Z</dcterms:created>
  <dc:creator>Jean-Philippe</dc:creator>
  <dc:description/>
  <dc:language>fr-FR</dc:language>
  <cp:lastModifiedBy/>
  <cp:lastPrinted>2015-02-05T12:58:17Z</cp:lastPrinted>
  <dcterms:modified xsi:type="dcterms:W3CDTF">2018-02-09T14:36:00Z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