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4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39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051_01" sheetId="51" state="visible" r:id="rId52"/>
    <sheet name="052_01" sheetId="52" state="visible" r:id="rId53"/>
    <sheet name="053_01" sheetId="53" state="visible" r:id="rId54"/>
    <sheet name="054_01" sheetId="54" state="visible" r:id="rId55"/>
    <sheet name="055_01" sheetId="55" state="visible" r:id="rId56"/>
    <sheet name="056_01" sheetId="56" state="visible" r:id="rId57"/>
    <sheet name="057_01" sheetId="57" state="visible" r:id="rId58"/>
    <sheet name="058_01" sheetId="58" state="visible" r:id="rId59"/>
    <sheet name="059_01" sheetId="59" state="visible" r:id="rId60"/>
    <sheet name="060_01" sheetId="60" state="visible" r:id="rId61"/>
    <sheet name="061_01" sheetId="61" state="visible" r:id="rId62"/>
  </sheets>
  <externalReferences>
    <externalReference r:id="rId63"/>
  </externalReferences>
  <definedNames>
    <definedName function="false" hidden="false" name="Blanc___24_27" vbProcedure="false">#REF!</definedName>
    <definedName function="false" hidden="false" name="Blanc___27" vbProcedure="false">001_01!$O$15</definedName>
    <definedName function="false" hidden="false" name="Correction_10ml" vbProcedure="false">[1]corrections_de_vol_!$G$9</definedName>
    <definedName function="false" hidden="false" name="NORMALITE___24_27" vbProcedure="false">#REF!</definedName>
    <definedName function="false" hidden="false" name="NORMALITE___27" vbProcedure="false">001_01!$O$11</definedName>
    <definedName function="false" hidden="false" name="vol_iodate_tc___24_27" vbProcedure="false">#REF!</definedName>
    <definedName function="false" hidden="false" name="vol_iodate_tc___27" vbProcedure="false">001_01!$O$13</definedName>
    <definedName function="false" hidden="false" name="Vol_reactif___24_27" vbProcedure="false">#REF!</definedName>
    <definedName function="false" hidden="false" name="Vol_reactif___27" vbProcedure="false">001_01!$N$20</definedName>
    <definedName function="false" hidden="false" name="Vol_thio_iodate___24_27" vbProcedure="false">#REF!</definedName>
    <definedName function="false" hidden="false" name="Vol_thio_iodate___27" vbProcedure="false">001_01!$O$14</definedName>
    <definedName function="false" hidden="false" localSheetId="1" name="Blanc___27" vbProcedure="false">002_01!$O$15</definedName>
    <definedName function="false" hidden="false" localSheetId="1" name="NORMALITE___27" vbProcedure="false">002_01!$O$11</definedName>
    <definedName function="false" hidden="false" localSheetId="1" name="vol_iodate_tc___27" vbProcedure="false">002_01!$O$13</definedName>
    <definedName function="false" hidden="false" localSheetId="1" name="Vol_reactif___27" vbProcedure="false">002_01!$N$20</definedName>
    <definedName function="false" hidden="false" localSheetId="1" name="Vol_thio_iodate___27" vbProcedure="false">002_01!$O$14</definedName>
    <definedName function="false" hidden="false" localSheetId="2" name="Blanc___27" vbProcedure="false">003_01!$O$15</definedName>
    <definedName function="false" hidden="false" localSheetId="2" name="NORMALITE___27" vbProcedure="false">003_01!$O$11</definedName>
    <definedName function="false" hidden="false" localSheetId="2" name="vol_iodate_tc___27" vbProcedure="false">003_01!$O$13</definedName>
    <definedName function="false" hidden="false" localSheetId="2" name="Vol_reactif___27" vbProcedure="false">003_01!$N$20</definedName>
    <definedName function="false" hidden="false" localSheetId="2" name="Vol_thio_iodate___27" vbProcedure="false">003_01!$O$14</definedName>
    <definedName function="false" hidden="false" localSheetId="3" name="Blanc___27" vbProcedure="false">004_01!$O$15</definedName>
    <definedName function="false" hidden="false" localSheetId="3" name="NORMALITE___27" vbProcedure="false">004_01!$O$11</definedName>
    <definedName function="false" hidden="false" localSheetId="3" name="vol_iodate_tc___27" vbProcedure="false">004_01!$O$13</definedName>
    <definedName function="false" hidden="false" localSheetId="3" name="Vol_reactif___27" vbProcedure="false">004_01!$N$20</definedName>
    <definedName function="false" hidden="false" localSheetId="3" name="Vol_thio_iodate___27" vbProcedure="false">004_01!$O$14</definedName>
    <definedName function="false" hidden="false" localSheetId="4" name="Blanc___27" vbProcedure="false">005_01!$O$15</definedName>
    <definedName function="false" hidden="false" localSheetId="4" name="NORMALITE___27" vbProcedure="false">005_01!$O$11</definedName>
    <definedName function="false" hidden="false" localSheetId="4" name="vol_iodate_tc___27" vbProcedure="false">005_01!$O$13</definedName>
    <definedName function="false" hidden="false" localSheetId="4" name="Vol_reactif___27" vbProcedure="false">005_01!$N$20</definedName>
    <definedName function="false" hidden="false" localSheetId="4" name="Vol_thio_iodate___27" vbProcedure="false">005_01!$O$14</definedName>
    <definedName function="false" hidden="false" localSheetId="5" name="Blanc___27" vbProcedure="false">006_01!$O$15</definedName>
    <definedName function="false" hidden="false" localSheetId="5" name="NORMALITE___27" vbProcedure="false">006_01!$O$11</definedName>
    <definedName function="false" hidden="false" localSheetId="5" name="vol_iodate_tc___27" vbProcedure="false">006_01!$O$13</definedName>
    <definedName function="false" hidden="false" localSheetId="5" name="Vol_reactif___27" vbProcedure="false">006_01!$N$20</definedName>
    <definedName function="false" hidden="false" localSheetId="5" name="Vol_thio_iodate___27" vbProcedure="false">006_01!$O$14</definedName>
    <definedName function="false" hidden="false" localSheetId="6" name="Blanc___27" vbProcedure="false">007_01!$O$15</definedName>
    <definedName function="false" hidden="false" localSheetId="6" name="NORMALITE___27" vbProcedure="false">007_01!$O$11</definedName>
    <definedName function="false" hidden="false" localSheetId="6" name="vol_iodate_tc___27" vbProcedure="false">007_01!$O$13</definedName>
    <definedName function="false" hidden="false" localSheetId="6" name="Vol_reactif___27" vbProcedure="false">007_01!$N$20</definedName>
    <definedName function="false" hidden="false" localSheetId="6" name="Vol_thio_iodate___27" vbProcedure="false">007_01!$O$14</definedName>
    <definedName function="false" hidden="false" localSheetId="7" name="Blanc___27" vbProcedure="false">008_01!$O$15</definedName>
    <definedName function="false" hidden="false" localSheetId="7" name="NORMALITE___27" vbProcedure="false">008_01!$O$11</definedName>
    <definedName function="false" hidden="false" localSheetId="7" name="vol_iodate_tc___27" vbProcedure="false">008_01!$O$13</definedName>
    <definedName function="false" hidden="false" localSheetId="7" name="Vol_reactif___27" vbProcedure="false">008_01!$N$20</definedName>
    <definedName function="false" hidden="false" localSheetId="7" name="Vol_thio_iodate___27" vbProcedure="false">008_01!$O$14</definedName>
    <definedName function="false" hidden="false" localSheetId="8" name="Blanc___27" vbProcedure="false">009_01!$O$15</definedName>
    <definedName function="false" hidden="false" localSheetId="8" name="NORMALITE___27" vbProcedure="false">009_01!$O$11</definedName>
    <definedName function="false" hidden="false" localSheetId="8" name="vol_iodate_tc___27" vbProcedure="false">009_01!$O$13</definedName>
    <definedName function="false" hidden="false" localSheetId="8" name="Vol_reactif___27" vbProcedure="false">009_01!$N$20</definedName>
    <definedName function="false" hidden="false" localSheetId="8" name="Vol_thio_iodate___27" vbProcedure="false">009_01!$O$14</definedName>
    <definedName function="false" hidden="false" localSheetId="9" name="Blanc___27" vbProcedure="false">010_01!$O$15</definedName>
    <definedName function="false" hidden="false" localSheetId="9" name="NORMALITE___27" vbProcedure="false">010_01!$O$11</definedName>
    <definedName function="false" hidden="false" localSheetId="9" name="vol_iodate_tc___27" vbProcedure="false">010_01!$O$13</definedName>
    <definedName function="false" hidden="false" localSheetId="9" name="Vol_reactif___27" vbProcedure="false">010_01!$N$20</definedName>
    <definedName function="false" hidden="false" localSheetId="9" name="Vol_thio_iodate___27" vbProcedure="false">010_01!$O$14</definedName>
    <definedName function="false" hidden="false" localSheetId="10" name="Blanc___27" vbProcedure="false">011_01!$O$15</definedName>
    <definedName function="false" hidden="false" localSheetId="10" name="NORMALITE___27" vbProcedure="false">011_01!$O$11</definedName>
    <definedName function="false" hidden="false" localSheetId="10" name="vol_iodate_tc___27" vbProcedure="false">011_01!$O$13</definedName>
    <definedName function="false" hidden="false" localSheetId="10" name="Vol_reactif___27" vbProcedure="false">011_01!$N$20</definedName>
    <definedName function="false" hidden="false" localSheetId="10" name="Vol_thio_iodate___27" vbProcedure="false">011_01!$O$14</definedName>
    <definedName function="false" hidden="false" localSheetId="11" name="Blanc___27" vbProcedure="false">012_01!$O$15</definedName>
    <definedName function="false" hidden="false" localSheetId="11" name="NORMALITE___27" vbProcedure="false">012_01!$O$11</definedName>
    <definedName function="false" hidden="false" localSheetId="11" name="vol_iodate_tc___27" vbProcedure="false">012_01!$O$13</definedName>
    <definedName function="false" hidden="false" localSheetId="11" name="Vol_reactif___27" vbProcedure="false">012_01!$N$20</definedName>
    <definedName function="false" hidden="false" localSheetId="11" name="Vol_thio_iodate___27" vbProcedure="false">012_01!$O$14</definedName>
    <definedName function="false" hidden="false" localSheetId="12" name="Blanc___27" vbProcedure="false">013_01!$O$15</definedName>
    <definedName function="false" hidden="false" localSheetId="12" name="NORMALITE___27" vbProcedure="false">013_01!$O$11</definedName>
    <definedName function="false" hidden="false" localSheetId="12" name="vol_iodate_tc___27" vbProcedure="false">013_01!$O$13</definedName>
    <definedName function="false" hidden="false" localSheetId="12" name="Vol_reactif___27" vbProcedure="false">013_01!$N$20</definedName>
    <definedName function="false" hidden="false" localSheetId="12" name="Vol_thio_iodate___27" vbProcedure="false">013_01!$O$14</definedName>
    <definedName function="false" hidden="false" localSheetId="13" name="Blanc___27" vbProcedure="false">014_01!$O$15</definedName>
    <definedName function="false" hidden="false" localSheetId="13" name="NORMALITE___27" vbProcedure="false">014_01!$O$11</definedName>
    <definedName function="false" hidden="false" localSheetId="13" name="vol_iodate_tc___27" vbProcedure="false">014_01!$O$13</definedName>
    <definedName function="false" hidden="false" localSheetId="13" name="Vol_reactif___27" vbProcedure="false">014_01!$N$20</definedName>
    <definedName function="false" hidden="false" localSheetId="13" name="Vol_thio_iodate___27" vbProcedure="false">014_01!$O$14</definedName>
    <definedName function="false" hidden="false" localSheetId="14" name="Blanc___27" vbProcedure="false">015_01!$O$15</definedName>
    <definedName function="false" hidden="false" localSheetId="14" name="NORMALITE___27" vbProcedure="false">015_01!$O$11</definedName>
    <definedName function="false" hidden="false" localSheetId="14" name="vol_iodate_tc___27" vbProcedure="false">015_01!$O$13</definedName>
    <definedName function="false" hidden="false" localSheetId="14" name="Vol_reactif___27" vbProcedure="false">015_01!$N$20</definedName>
    <definedName function="false" hidden="false" localSheetId="14" name="Vol_thio_iodate___27" vbProcedure="false">015_01!$O$14</definedName>
    <definedName function="false" hidden="false" localSheetId="15" name="Blanc___27" vbProcedure="false">016_01!$O$15</definedName>
    <definedName function="false" hidden="false" localSheetId="15" name="NORMALITE___27" vbProcedure="false">016_01!$O$11</definedName>
    <definedName function="false" hidden="false" localSheetId="15" name="vol_iodate_tc___27" vbProcedure="false">016_01!$O$13</definedName>
    <definedName function="false" hidden="false" localSheetId="15" name="Vol_reactif___27" vbProcedure="false">016_01!$N$20</definedName>
    <definedName function="false" hidden="false" localSheetId="15" name="Vol_thio_iodate___27" vbProcedure="false">016_01!$O$14</definedName>
    <definedName function="false" hidden="false" localSheetId="16" name="Blanc___27" vbProcedure="false">017_01!$O$15</definedName>
    <definedName function="false" hidden="false" localSheetId="16" name="NORMALITE___27" vbProcedure="false">017_01!$O$11</definedName>
    <definedName function="false" hidden="false" localSheetId="16" name="vol_iodate_tc___27" vbProcedure="false">017_01!$O$13</definedName>
    <definedName function="false" hidden="false" localSheetId="16" name="Vol_reactif___27" vbProcedure="false">017_01!$N$20</definedName>
    <definedName function="false" hidden="false" localSheetId="16" name="Vol_thio_iodate___27" vbProcedure="false">017_01!$O$14</definedName>
    <definedName function="false" hidden="false" localSheetId="17" name="Blanc___27" vbProcedure="false">018_01!$O$15</definedName>
    <definedName function="false" hidden="false" localSheetId="17" name="NORMALITE___27" vbProcedure="false">018_01!$O$11</definedName>
    <definedName function="false" hidden="false" localSheetId="17" name="vol_iodate_tc___27" vbProcedure="false">018_01!$O$13</definedName>
    <definedName function="false" hidden="false" localSheetId="17" name="Vol_reactif___27" vbProcedure="false">018_01!$N$20</definedName>
    <definedName function="false" hidden="false" localSheetId="17" name="Vol_thio_iodate___27" vbProcedure="false">018_01!$O$14</definedName>
    <definedName function="false" hidden="false" localSheetId="18" name="Blanc___27" vbProcedure="false">019_01!$O$15</definedName>
    <definedName function="false" hidden="false" localSheetId="18" name="NORMALITE___27" vbProcedure="false">019_01!$O$11</definedName>
    <definedName function="false" hidden="false" localSheetId="18" name="vol_iodate_tc___27" vbProcedure="false">019_01!$O$13</definedName>
    <definedName function="false" hidden="false" localSheetId="18" name="Vol_reactif___27" vbProcedure="false">019_01!$N$20</definedName>
    <definedName function="false" hidden="false" localSheetId="18" name="Vol_thio_iodate___27" vbProcedure="false">019_01!$O$14</definedName>
    <definedName function="false" hidden="false" localSheetId="19" name="Blanc___27" vbProcedure="false">020_01!$O$15</definedName>
    <definedName function="false" hidden="false" localSheetId="19" name="NORMALITE___27" vbProcedure="false">020_01!$O$11</definedName>
    <definedName function="false" hidden="false" localSheetId="19" name="vol_iodate_tc___27" vbProcedure="false">020_01!$O$13</definedName>
    <definedName function="false" hidden="false" localSheetId="19" name="Vol_reactif___27" vbProcedure="false">020_01!$N$20</definedName>
    <definedName function="false" hidden="false" localSheetId="19" name="Vol_thio_iodate___27" vbProcedure="false">020_01!$O$14</definedName>
    <definedName function="false" hidden="false" localSheetId="20" name="Blanc___27" vbProcedure="false">021_01!$O$15</definedName>
    <definedName function="false" hidden="false" localSheetId="20" name="NORMALITE___27" vbProcedure="false">021_01!$O$11</definedName>
    <definedName function="false" hidden="false" localSheetId="20" name="vol_iodate_tc___27" vbProcedure="false">021_01!$O$13</definedName>
    <definedName function="false" hidden="false" localSheetId="20" name="Vol_reactif___27" vbProcedure="false">021_01!$N$20</definedName>
    <definedName function="false" hidden="false" localSheetId="20" name="Vol_thio_iodate___27" vbProcedure="false">021_01!$O$14</definedName>
    <definedName function="false" hidden="false" localSheetId="21" name="Blanc___27" vbProcedure="false">022_01!$O$15</definedName>
    <definedName function="false" hidden="false" localSheetId="21" name="NORMALITE___27" vbProcedure="false">022_01!$O$11</definedName>
    <definedName function="false" hidden="false" localSheetId="21" name="vol_iodate_tc___27" vbProcedure="false">022_01!$O$13</definedName>
    <definedName function="false" hidden="false" localSheetId="21" name="Vol_reactif___27" vbProcedure="false">022_01!$N$20</definedName>
    <definedName function="false" hidden="false" localSheetId="21" name="Vol_thio_iodate___27" vbProcedure="false">022_01!$O$14</definedName>
    <definedName function="false" hidden="false" localSheetId="22" name="Blanc___27" vbProcedure="false">023_01!$O$15</definedName>
    <definedName function="false" hidden="false" localSheetId="22" name="NORMALITE___27" vbProcedure="false">023_01!$O$11</definedName>
    <definedName function="false" hidden="false" localSheetId="22" name="vol_iodate_tc___27" vbProcedure="false">023_01!$O$13</definedName>
    <definedName function="false" hidden="false" localSheetId="22" name="Vol_reactif___27" vbProcedure="false">023_01!$N$20</definedName>
    <definedName function="false" hidden="false" localSheetId="22" name="Vol_thio_iodate___27" vbProcedure="false">023_01!$O$14</definedName>
    <definedName function="false" hidden="false" localSheetId="23" name="Blanc___27" vbProcedure="false">024_01!$O$15</definedName>
    <definedName function="false" hidden="false" localSheetId="23" name="NORMALITE___27" vbProcedure="false">024_01!$O$11</definedName>
    <definedName function="false" hidden="false" localSheetId="23" name="vol_iodate_tc___27" vbProcedure="false">024_01!$O$13</definedName>
    <definedName function="false" hidden="false" localSheetId="23" name="Vol_reactif___27" vbProcedure="false">024_01!$N$20</definedName>
    <definedName function="false" hidden="false" localSheetId="23" name="Vol_thio_iodate___27" vbProcedure="false">024_01!$O$14</definedName>
    <definedName function="false" hidden="false" localSheetId="24" name="Blanc___27" vbProcedure="false">025_01!$O$15</definedName>
    <definedName function="false" hidden="false" localSheetId="24" name="NORMALITE___27" vbProcedure="false">025_01!$O$11</definedName>
    <definedName function="false" hidden="false" localSheetId="24" name="vol_iodate_tc___27" vbProcedure="false">025_01!$O$13</definedName>
    <definedName function="false" hidden="false" localSheetId="24" name="Vol_reactif___27" vbProcedure="false">025_01!$N$20</definedName>
    <definedName function="false" hidden="false" localSheetId="24" name="Vol_thio_iodate___27" vbProcedure="false">025_01!$O$14</definedName>
    <definedName function="false" hidden="false" localSheetId="25" name="Blanc___27" vbProcedure="false">026_01!$O$15</definedName>
    <definedName function="false" hidden="false" localSheetId="25" name="NORMALITE___27" vbProcedure="false">026_01!$O$11</definedName>
    <definedName function="false" hidden="false" localSheetId="25" name="vol_iodate_tc___27" vbProcedure="false">026_01!$O$13</definedName>
    <definedName function="false" hidden="false" localSheetId="25" name="Vol_reactif___27" vbProcedure="false">026_01!$N$20</definedName>
    <definedName function="false" hidden="false" localSheetId="25" name="Vol_thio_iodate___27" vbProcedure="false">026_01!$O$14</definedName>
    <definedName function="false" hidden="false" localSheetId="26" name="Blanc___27" vbProcedure="false">027_01!$O$15</definedName>
    <definedName function="false" hidden="false" localSheetId="26" name="NORMALITE___27" vbProcedure="false">027_01!$O$11</definedName>
    <definedName function="false" hidden="false" localSheetId="26" name="vol_iodate_tc___27" vbProcedure="false">027_01!$O$13</definedName>
    <definedName function="false" hidden="false" localSheetId="26" name="Vol_reactif___27" vbProcedure="false">027_01!$N$20</definedName>
    <definedName function="false" hidden="false" localSheetId="26" name="Vol_thio_iodate___27" vbProcedure="false">027_01!$O$14</definedName>
    <definedName function="false" hidden="false" localSheetId="27" name="Blanc___27" vbProcedure="false">028_01!$O$15</definedName>
    <definedName function="false" hidden="false" localSheetId="27" name="NORMALITE___27" vbProcedure="false">028_01!$O$11</definedName>
    <definedName function="false" hidden="false" localSheetId="27" name="vol_iodate_tc___27" vbProcedure="false">028_01!$O$13</definedName>
    <definedName function="false" hidden="false" localSheetId="27" name="Vol_reactif___27" vbProcedure="false">028_01!$N$20</definedName>
    <definedName function="false" hidden="false" localSheetId="27" name="Vol_thio_iodate___27" vbProcedure="false">028_01!$O$14</definedName>
    <definedName function="false" hidden="false" localSheetId="28" name="Blanc___27" vbProcedure="false">029_01!$O$15</definedName>
    <definedName function="false" hidden="false" localSheetId="28" name="NORMALITE___27" vbProcedure="false">029_01!$O$11</definedName>
    <definedName function="false" hidden="false" localSheetId="28" name="vol_iodate_tc___27" vbProcedure="false">029_01!$O$13</definedName>
    <definedName function="false" hidden="false" localSheetId="28" name="Vol_reactif___27" vbProcedure="false">029_01!$N$20</definedName>
    <definedName function="false" hidden="false" localSheetId="28" name="Vol_thio_iodate___27" vbProcedure="false">029_01!$O$14</definedName>
    <definedName function="false" hidden="false" localSheetId="29" name="Blanc___27" vbProcedure="false">030_01!$O$15</definedName>
    <definedName function="false" hidden="false" localSheetId="29" name="NORMALITE___27" vbProcedure="false">030_01!$O$11</definedName>
    <definedName function="false" hidden="false" localSheetId="29" name="vol_iodate_tc___27" vbProcedure="false">030_01!$O$13</definedName>
    <definedName function="false" hidden="false" localSheetId="29" name="Vol_reactif___27" vbProcedure="false">030_01!$N$20</definedName>
    <definedName function="false" hidden="false" localSheetId="29" name="Vol_thio_iodate___27" vbProcedure="false">030_01!$O$14</definedName>
    <definedName function="false" hidden="false" localSheetId="30" name="Blanc___27" vbProcedure="false">031_01!$O$15</definedName>
    <definedName function="false" hidden="false" localSheetId="30" name="NORMALITE___27" vbProcedure="false">031_01!$O$11</definedName>
    <definedName function="false" hidden="false" localSheetId="30" name="vol_iodate_tc___27" vbProcedure="false">031_01!$O$13</definedName>
    <definedName function="false" hidden="false" localSheetId="30" name="Vol_reactif___27" vbProcedure="false">031_01!$N$20</definedName>
    <definedName function="false" hidden="false" localSheetId="30" name="Vol_thio_iodate___27" vbProcedure="false">031_01!$O$14</definedName>
    <definedName function="false" hidden="false" localSheetId="31" name="Blanc___27" vbProcedure="false">032_01!$O$15</definedName>
    <definedName function="false" hidden="false" localSheetId="31" name="NORMALITE___27" vbProcedure="false">032_01!$O$11</definedName>
    <definedName function="false" hidden="false" localSheetId="31" name="vol_iodate_tc___27" vbProcedure="false">032_01!$O$13</definedName>
    <definedName function="false" hidden="false" localSheetId="31" name="Vol_reactif___27" vbProcedure="false">032_01!$N$20</definedName>
    <definedName function="false" hidden="false" localSheetId="31" name="Vol_thio_iodate___27" vbProcedure="false">032_01!$O$14</definedName>
    <definedName function="false" hidden="false" localSheetId="32" name="Blanc___27" vbProcedure="false">033_01!$O$15</definedName>
    <definedName function="false" hidden="false" localSheetId="32" name="NORMALITE___27" vbProcedure="false">033_01!$O$11</definedName>
    <definedName function="false" hidden="false" localSheetId="32" name="vol_iodate_tc___27" vbProcedure="false">033_01!$O$13</definedName>
    <definedName function="false" hidden="false" localSheetId="32" name="Vol_reactif___27" vbProcedure="false">033_01!$N$20</definedName>
    <definedName function="false" hidden="false" localSheetId="32" name="Vol_thio_iodate___27" vbProcedure="false">033_01!$O$14</definedName>
    <definedName function="false" hidden="false" localSheetId="33" name="Blanc___27" vbProcedure="false">034_01!$O$15</definedName>
    <definedName function="false" hidden="false" localSheetId="33" name="NORMALITE___27" vbProcedure="false">034_01!$O$11</definedName>
    <definedName function="false" hidden="false" localSheetId="33" name="vol_iodate_tc___27" vbProcedure="false">034_01!$O$13</definedName>
    <definedName function="false" hidden="false" localSheetId="33" name="Vol_reactif___27" vbProcedure="false">034_01!$N$20</definedName>
    <definedName function="false" hidden="false" localSheetId="33" name="Vol_thio_iodate___27" vbProcedure="false">034_01!$O$14</definedName>
    <definedName function="false" hidden="false" localSheetId="34" name="Blanc___27" vbProcedure="false">035_01!$O$15</definedName>
    <definedName function="false" hidden="false" localSheetId="34" name="NORMALITE___27" vbProcedure="false">035_01!$O$11</definedName>
    <definedName function="false" hidden="false" localSheetId="34" name="vol_iodate_tc___27" vbProcedure="false">035_01!$O$13</definedName>
    <definedName function="false" hidden="false" localSheetId="34" name="Vol_reactif___27" vbProcedure="false">035_01!$N$20</definedName>
    <definedName function="false" hidden="false" localSheetId="34" name="Vol_thio_iodate___27" vbProcedure="false">035_01!$O$14</definedName>
    <definedName function="false" hidden="false" localSheetId="35" name="Blanc___27" vbProcedure="false">036_01!$O$15</definedName>
    <definedName function="false" hidden="false" localSheetId="35" name="NORMALITE___27" vbProcedure="false">036_01!$O$11</definedName>
    <definedName function="false" hidden="false" localSheetId="35" name="vol_iodate_tc___27" vbProcedure="false">036_01!$O$13</definedName>
    <definedName function="false" hidden="false" localSheetId="35" name="Vol_reactif___27" vbProcedure="false">036_01!$N$20</definedName>
    <definedName function="false" hidden="false" localSheetId="35" name="Vol_thio_iodate___27" vbProcedure="false">036_01!$O$14</definedName>
    <definedName function="false" hidden="false" localSheetId="36" name="Blanc___27" vbProcedure="false">037_01!$O$15</definedName>
    <definedName function="false" hidden="false" localSheetId="36" name="NORMALITE___27" vbProcedure="false">037_01!$O$11</definedName>
    <definedName function="false" hidden="false" localSheetId="36" name="vol_iodate_tc___27" vbProcedure="false">037_01!$O$13</definedName>
    <definedName function="false" hidden="false" localSheetId="36" name="Vol_reactif___27" vbProcedure="false">037_01!$N$20</definedName>
    <definedName function="false" hidden="false" localSheetId="36" name="Vol_thio_iodate___27" vbProcedure="false">037_01!$O$14</definedName>
    <definedName function="false" hidden="false" localSheetId="37" name="Blanc___27" vbProcedure="false">038_01!$O$15</definedName>
    <definedName function="false" hidden="false" localSheetId="37" name="NORMALITE___27" vbProcedure="false">038_01!$O$11</definedName>
    <definedName function="false" hidden="false" localSheetId="37" name="vol_iodate_tc___27" vbProcedure="false">038_01!$O$13</definedName>
    <definedName function="false" hidden="false" localSheetId="37" name="Vol_reactif___27" vbProcedure="false">038_01!$N$20</definedName>
    <definedName function="false" hidden="false" localSheetId="37" name="Vol_thio_iodate___27" vbProcedure="false">038_01!$O$14</definedName>
    <definedName function="false" hidden="false" localSheetId="38" name="Blanc___27" vbProcedure="false">039_01!$O$15</definedName>
    <definedName function="false" hidden="false" localSheetId="38" name="NORMALITE___27" vbProcedure="false">039_01!$O$11</definedName>
    <definedName function="false" hidden="false" localSheetId="38" name="vol_iodate_tc___27" vbProcedure="false">039_01!$O$13</definedName>
    <definedName function="false" hidden="false" localSheetId="38" name="Vol_reactif___27" vbProcedure="false">039_01!$N$20</definedName>
    <definedName function="false" hidden="false" localSheetId="38" name="Vol_thio_iodate___27" vbProcedure="false">039_01!$O$14</definedName>
    <definedName function="false" hidden="false" localSheetId="39" name="Blanc___27" vbProcedure="false">040_01!$O$15</definedName>
    <definedName function="false" hidden="false" localSheetId="39" name="NORMALITE___27" vbProcedure="false">040_01!$O$11</definedName>
    <definedName function="false" hidden="false" localSheetId="39" name="vol_iodate_tc___27" vbProcedure="false">040_01!$O$13</definedName>
    <definedName function="false" hidden="false" localSheetId="39" name="Vol_reactif___27" vbProcedure="false">040_01!$N$20</definedName>
    <definedName function="false" hidden="false" localSheetId="39" name="Vol_thio_iodate___27" vbProcedure="false">040_01!$O$14</definedName>
    <definedName function="false" hidden="false" localSheetId="40" name="Blanc___27" vbProcedure="false">041_01!$O$15</definedName>
    <definedName function="false" hidden="false" localSheetId="40" name="NORMALITE___27" vbProcedure="false">041_01!$O$11</definedName>
    <definedName function="false" hidden="false" localSheetId="40" name="vol_iodate_tc___27" vbProcedure="false">041_01!$O$13</definedName>
    <definedName function="false" hidden="false" localSheetId="40" name="Vol_reactif___27" vbProcedure="false">041_01!$N$20</definedName>
    <definedName function="false" hidden="false" localSheetId="40" name="Vol_thio_iodate___27" vbProcedure="false">041_01!$O$14</definedName>
    <definedName function="false" hidden="false" localSheetId="41" name="Blanc___27" vbProcedure="false">042_01!$O$15</definedName>
    <definedName function="false" hidden="false" localSheetId="41" name="NORMALITE___27" vbProcedure="false">042_01!$O$11</definedName>
    <definedName function="false" hidden="false" localSheetId="41" name="vol_iodate_tc___27" vbProcedure="false">042_01!$O$13</definedName>
    <definedName function="false" hidden="false" localSheetId="41" name="Vol_reactif___27" vbProcedure="false">042_01!$N$20</definedName>
    <definedName function="false" hidden="false" localSheetId="41" name="Vol_thio_iodate___27" vbProcedure="false">042_01!$O$14</definedName>
    <definedName function="false" hidden="false" localSheetId="42" name="Blanc___27" vbProcedure="false">043_01!$O$15</definedName>
    <definedName function="false" hidden="false" localSheetId="42" name="NORMALITE___27" vbProcedure="false">043_01!$O$11</definedName>
    <definedName function="false" hidden="false" localSheetId="42" name="vol_iodate_tc___27" vbProcedure="false">043_01!$O$13</definedName>
    <definedName function="false" hidden="false" localSheetId="42" name="Vol_reactif___27" vbProcedure="false">043_01!$N$20</definedName>
    <definedName function="false" hidden="false" localSheetId="42" name="Vol_thio_iodate___27" vbProcedure="false">043_01!$O$14</definedName>
    <definedName function="false" hidden="false" localSheetId="43" name="Blanc___27" vbProcedure="false">044_01!$O$15</definedName>
    <definedName function="false" hidden="false" localSheetId="43" name="NORMALITE___27" vbProcedure="false">044_01!$O$11</definedName>
    <definedName function="false" hidden="false" localSheetId="43" name="vol_iodate_tc___27" vbProcedure="false">044_01!$O$13</definedName>
    <definedName function="false" hidden="false" localSheetId="43" name="Vol_reactif___27" vbProcedure="false">044_01!$N$20</definedName>
    <definedName function="false" hidden="false" localSheetId="43" name="Vol_thio_iodate___27" vbProcedure="false">044_01!$O$14</definedName>
    <definedName function="false" hidden="false" localSheetId="44" name="Blanc___27" vbProcedure="false">045_01!$O$15</definedName>
    <definedName function="false" hidden="false" localSheetId="44" name="NORMALITE___27" vbProcedure="false">045_01!$O$11</definedName>
    <definedName function="false" hidden="false" localSheetId="44" name="vol_iodate_tc___27" vbProcedure="false">045_01!$O$13</definedName>
    <definedName function="false" hidden="false" localSheetId="44" name="Vol_reactif___27" vbProcedure="false">045_01!$N$20</definedName>
    <definedName function="false" hidden="false" localSheetId="44" name="Vol_thio_iodate___27" vbProcedure="false">045_01!$O$14</definedName>
    <definedName function="false" hidden="false" localSheetId="45" name="Blanc___27" vbProcedure="false">046_01!$O$15</definedName>
    <definedName function="false" hidden="false" localSheetId="45" name="NORMALITE___27" vbProcedure="false">046_01!$O$11</definedName>
    <definedName function="false" hidden="false" localSheetId="45" name="vol_iodate_tc___27" vbProcedure="false">046_01!$O$13</definedName>
    <definedName function="false" hidden="false" localSheetId="45" name="Vol_reactif___27" vbProcedure="false">046_01!$N$20</definedName>
    <definedName function="false" hidden="false" localSheetId="45" name="Vol_thio_iodate___27" vbProcedure="false">046_01!$O$14</definedName>
    <definedName function="false" hidden="false" localSheetId="46" name="Blanc___27" vbProcedure="false">047_01!$O$15</definedName>
    <definedName function="false" hidden="false" localSheetId="46" name="NORMALITE___27" vbProcedure="false">047_01!$O$11</definedName>
    <definedName function="false" hidden="false" localSheetId="46" name="vol_iodate_tc___27" vbProcedure="false">047_01!$O$13</definedName>
    <definedName function="false" hidden="false" localSheetId="46" name="Vol_reactif___27" vbProcedure="false">047_01!$N$20</definedName>
    <definedName function="false" hidden="false" localSheetId="46" name="Vol_thio_iodate___27" vbProcedure="false">047_01!$O$14</definedName>
    <definedName function="false" hidden="false" localSheetId="47" name="Blanc___27" vbProcedure="false">048_01!$O$15</definedName>
    <definedName function="false" hidden="false" localSheetId="47" name="NORMALITE___27" vbProcedure="false">048_01!$O$11</definedName>
    <definedName function="false" hidden="false" localSheetId="47" name="vol_iodate_tc___27" vbProcedure="false">048_01!$O$13</definedName>
    <definedName function="false" hidden="false" localSheetId="47" name="Vol_reactif___27" vbProcedure="false">048_01!$N$20</definedName>
    <definedName function="false" hidden="false" localSheetId="47" name="Vol_thio_iodate___27" vbProcedure="false">048_01!$O$14</definedName>
    <definedName function="false" hidden="false" localSheetId="48" name="Blanc___27" vbProcedure="false">049_01!$O$15</definedName>
    <definedName function="false" hidden="false" localSheetId="48" name="NORMALITE___27" vbProcedure="false">049_01!$O$11</definedName>
    <definedName function="false" hidden="false" localSheetId="48" name="vol_iodate_tc___27" vbProcedure="false">049_01!$O$13</definedName>
    <definedName function="false" hidden="false" localSheetId="48" name="Vol_reactif___27" vbProcedure="false">049_01!$N$20</definedName>
    <definedName function="false" hidden="false" localSheetId="48" name="Vol_thio_iodate___27" vbProcedure="false">049_01!$O$14</definedName>
    <definedName function="false" hidden="false" localSheetId="49" name="Blanc___27" vbProcedure="false">050_01!$O$15</definedName>
    <definedName function="false" hidden="false" localSheetId="49" name="NORMALITE___27" vbProcedure="false">050_01!$O$11</definedName>
    <definedName function="false" hidden="false" localSheetId="49" name="vol_iodate_tc___27" vbProcedure="false">050_01!$O$13</definedName>
    <definedName function="false" hidden="false" localSheetId="49" name="Vol_reactif___27" vbProcedure="false">050_01!$N$20</definedName>
    <definedName function="false" hidden="false" localSheetId="49" name="Vol_thio_iodate___27" vbProcedure="false">050_01!$O$14</definedName>
    <definedName function="false" hidden="false" localSheetId="50" name="Blanc___27" vbProcedure="false">051_01!$O$15</definedName>
    <definedName function="false" hidden="false" localSheetId="50" name="NORMALITE___27" vbProcedure="false">051_01!$O$11</definedName>
    <definedName function="false" hidden="false" localSheetId="50" name="vol_iodate_tc___27" vbProcedure="false">051_01!$O$13</definedName>
    <definedName function="false" hidden="false" localSheetId="50" name="Vol_reactif___27" vbProcedure="false">051_01!$N$20</definedName>
    <definedName function="false" hidden="false" localSheetId="50" name="Vol_thio_iodate___27" vbProcedure="false">051_01!$O$14</definedName>
    <definedName function="false" hidden="false" localSheetId="51" name="Blanc___27" vbProcedure="false">052_01!$O$15</definedName>
    <definedName function="false" hidden="false" localSheetId="51" name="NORMALITE___27" vbProcedure="false">052_01!$O$11</definedName>
    <definedName function="false" hidden="false" localSheetId="51" name="vol_iodate_tc___27" vbProcedure="false">052_01!$O$13</definedName>
    <definedName function="false" hidden="false" localSheetId="51" name="Vol_reactif___27" vbProcedure="false">052_01!$N$20</definedName>
    <definedName function="false" hidden="false" localSheetId="51" name="Vol_thio_iodate___27" vbProcedure="false">052_01!$O$14</definedName>
    <definedName function="false" hidden="false" localSheetId="52" name="Blanc___27" vbProcedure="false">053_01!$O$15</definedName>
    <definedName function="false" hidden="false" localSheetId="52" name="NORMALITE___27" vbProcedure="false">053_01!$O$11</definedName>
    <definedName function="false" hidden="false" localSheetId="52" name="vol_iodate_tc___27" vbProcedure="false">053_01!$O$13</definedName>
    <definedName function="false" hidden="false" localSheetId="52" name="Vol_reactif___27" vbProcedure="false">053_01!$N$20</definedName>
    <definedName function="false" hidden="false" localSheetId="52" name="Vol_thio_iodate___27" vbProcedure="false">053_01!$O$14</definedName>
    <definedName function="false" hidden="false" localSheetId="53" name="Blanc___27" vbProcedure="false">054_01!$O$15</definedName>
    <definedName function="false" hidden="false" localSheetId="53" name="NORMALITE___27" vbProcedure="false">054_01!$O$11</definedName>
    <definedName function="false" hidden="false" localSheetId="53" name="vol_iodate_tc___27" vbProcedure="false">054_01!$O$13</definedName>
    <definedName function="false" hidden="false" localSheetId="53" name="Vol_reactif___27" vbProcedure="false">054_01!$N$20</definedName>
    <definedName function="false" hidden="false" localSheetId="53" name="Vol_thio_iodate___27" vbProcedure="false">054_01!$O$14</definedName>
    <definedName function="false" hidden="false" localSheetId="54" name="Blanc___27" vbProcedure="false">055_01!$O$15</definedName>
    <definedName function="false" hidden="false" localSheetId="54" name="NORMALITE___27" vbProcedure="false">055_01!$O$11</definedName>
    <definedName function="false" hidden="false" localSheetId="54" name="vol_iodate_tc___27" vbProcedure="false">055_01!$O$13</definedName>
    <definedName function="false" hidden="false" localSheetId="54" name="Vol_reactif___27" vbProcedure="false">055_01!$N$20</definedName>
    <definedName function="false" hidden="false" localSheetId="54" name="Vol_thio_iodate___27" vbProcedure="false">055_01!$O$14</definedName>
    <definedName function="false" hidden="false" localSheetId="55" name="Blanc___27" vbProcedure="false">056_01!$O$15</definedName>
    <definedName function="false" hidden="false" localSheetId="55" name="NORMALITE___27" vbProcedure="false">056_01!$O$11</definedName>
    <definedName function="false" hidden="false" localSheetId="55" name="vol_iodate_tc___27" vbProcedure="false">056_01!$O$13</definedName>
    <definedName function="false" hidden="false" localSheetId="55" name="Vol_reactif___27" vbProcedure="false">056_01!$N$20</definedName>
    <definedName function="false" hidden="false" localSheetId="55" name="Vol_thio_iodate___27" vbProcedure="false">056_01!$O$14</definedName>
    <definedName function="false" hidden="false" localSheetId="56" name="Blanc___27" vbProcedure="false">057_01!$O$15</definedName>
    <definedName function="false" hidden="false" localSheetId="56" name="NORMALITE___27" vbProcedure="false">057_01!$O$11</definedName>
    <definedName function="false" hidden="false" localSheetId="56" name="vol_iodate_tc___27" vbProcedure="false">057_01!$O$13</definedName>
    <definedName function="false" hidden="false" localSheetId="56" name="Vol_reactif___27" vbProcedure="false">057_01!$N$20</definedName>
    <definedName function="false" hidden="false" localSheetId="56" name="Vol_thio_iodate___27" vbProcedure="false">057_01!$O$14</definedName>
    <definedName function="false" hidden="false" localSheetId="57" name="Blanc___27" vbProcedure="false">058_01!$O$15</definedName>
    <definedName function="false" hidden="false" localSheetId="57" name="NORMALITE___27" vbProcedure="false">058_01!$O$11</definedName>
    <definedName function="false" hidden="false" localSheetId="57" name="vol_iodate_tc___27" vbProcedure="false">058_01!$O$13</definedName>
    <definedName function="false" hidden="false" localSheetId="57" name="Vol_reactif___27" vbProcedure="false">058_01!$N$20</definedName>
    <definedName function="false" hidden="false" localSheetId="57" name="Vol_thio_iodate___27" vbProcedure="false">058_01!$O$14</definedName>
    <definedName function="false" hidden="false" localSheetId="58" name="Blanc___27" vbProcedure="false">059_01!$O$15</definedName>
    <definedName function="false" hidden="false" localSheetId="58" name="NORMALITE___27" vbProcedure="false">059_01!$O$11</definedName>
    <definedName function="false" hidden="false" localSheetId="58" name="vol_iodate_tc___27" vbProcedure="false">059_01!$O$13</definedName>
    <definedName function="false" hidden="false" localSheetId="58" name="Vol_reactif___27" vbProcedure="false">059_01!$N$20</definedName>
    <definedName function="false" hidden="false" localSheetId="58" name="Vol_thio_iodate___27" vbProcedure="false">059_01!$O$14</definedName>
    <definedName function="false" hidden="false" localSheetId="59" name="Blanc___27" vbProcedure="false">060_01!$O$15</definedName>
    <definedName function="false" hidden="false" localSheetId="59" name="NORMALITE___27" vbProcedure="false">060_01!$O$11</definedName>
    <definedName function="false" hidden="false" localSheetId="59" name="vol_iodate_tc___27" vbProcedure="false">060_01!$O$13</definedName>
    <definedName function="false" hidden="false" localSheetId="59" name="Vol_reactif___27" vbProcedure="false">060_01!$N$20</definedName>
    <definedName function="false" hidden="false" localSheetId="59" name="Vol_thio_iodate___27" vbProcedure="false">060_01!$O$14</definedName>
    <definedName function="false" hidden="false" localSheetId="60" name="Blanc___27" vbProcedure="false">061_01!$O$15</definedName>
    <definedName function="false" hidden="false" localSheetId="60" name="NORMALITE___27" vbProcedure="false">061_01!$O$11</definedName>
    <definedName function="false" hidden="false" localSheetId="60" name="vol_iodate_tc___27" vbProcedure="false">061_01!$O$13</definedName>
    <definedName function="false" hidden="false" localSheetId="60" name="Vol_reactif___27" vbProcedure="false">061_01!$N$20</definedName>
    <definedName function="false" hidden="false" localSheetId="60" name="Vol_thio_iodate___27" vbProcedure="false">061_01!$O$14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<sst xmlns="http://schemas.openxmlformats.org/spreadsheetml/2006/main" count="12042" uniqueCount="147">
  <si>
    <t xml:space="preserve">Campagne :</t>
  </si>
  <si>
    <t xml:space="preserve">EGEE 2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</si>
  <si>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</si>
  <si>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</si>
  <si>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</si>
  <si>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</si>
  <si>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</si>
  <si>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</si>
  <si>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</si>
  <si>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</si>
  <si>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</si>
  <si>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</si>
  <si>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</si>
  <si>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</si>
  <si>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</si>
  <si>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</si>
  <si>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</si>
  <si>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</si>
  <si>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</si>
  <si>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</si>
  <si>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</si>
  <si>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</si>
  <si>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</si>
  <si>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</si>
  <si>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</si>
  <si>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</si>
  <si>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</si>
  <si>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</si>
  <si>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</si>
  <si>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</si>
  <si>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</si>
  <si>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</si>
  <si>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</si>
  <si>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</si>
  <si>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</si>
  <si>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</si>
  <si>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</si>
  <si>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</si>
  <si>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</si>
  <si>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</si>
  <si>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</si>
  <si>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</si>
  <si>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</si>
  <si>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</si>
  <si>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</si>
  <si>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</si>
  <si>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</si>
  <si>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</si>
  <si>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</si>
  <si>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</si>
  <si>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</si>
  <si>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</si>
  <si>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</si>
  <si>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</si>
  <si>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</si>
  <si>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</si>
  <si>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</si>
  <si>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</si>
  <si>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</si>
  <si>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</si>
  <si>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</si>
  <si>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</si>
  <si>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</si>
  <si>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</si>
  <si>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</si>
  <si>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</si>
  <si>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</si>
  <si>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</si>
  <si>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</si>
  <si>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</si>
  <si>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</si>
  <si>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</si>
  <si>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</si>
  <si>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</si>
  <si>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</si>
  <si>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</si>
  <si>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</si>
  <si>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</si>
  <si>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</si>
  <si>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</si>
  <si>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</si>
  <si>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</si>
  <si>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</si>
  <si>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</si>
  <si>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</si>
  <si>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</si>
  <si>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</si>
  <si>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</si>
  <si>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</si>
  <si>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</si>
  <si>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</si>
  <si>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</si>
  <si>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</si>
  <si>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</si>
  <si>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</si>
  <si>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</si>
  <si>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</si>
  <si>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</si>
  <si>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</si>
  <si>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</si>
  <si>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</si>
  <si>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</si>
  <si>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</si>
  <si>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</si>
  <si>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</si>
  <si>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</si>
  <si>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</si>
  <si>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</si>
  <si>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</si>
  <si>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</si>
  <si>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</si>
  <si>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</si>
  <si>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</si>
  <si>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</si>
  <si>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</si>
  <si>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</si>
  <si>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</si>
  <si>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</si>
  <si>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</si>
  <si>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</si>
  <si>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</si>
  <si>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</si>
  <si>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</si>
  <si>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</si>
  <si>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</si>
  <si>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</si>
  <si>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</si>
  <si>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</si>
  <si>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</si>
  <si>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</si>
  <si>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</si>
  <si>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</si>
  <si>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</si>
  <si>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</si>
  <si>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</si>
  <si>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</si>
  <si>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</si>
  <si>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</si>
  <si>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</si>
  <si>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</si>
  <si>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</si>
  <si>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</si>
  <si>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</si>
  <si>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</si>
  <si>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</si>
  <si>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 03:30:00</t>
  </si>
  <si>
    <t xml:space="preserve"> 07:50:00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</si>
</sst>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h:mm:ss"/>
    <numFmt numFmtId="175" formatCode="yyyy\-mm\-dd\Thh:mm:ss\z"/>
    <numFmt numFmtId="176" formatCode="[$-F800]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#,##0.0;[RED]#,##0.0"/>
    <numFmt numFmtId="183" formatCode="0.0"/>
  </numFmts>
  <fonts count="3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0"/>
      <color rgb="FFFF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4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1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28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1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29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4" fillId="1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externalLink" Target="externalLinks/externalLink1.xml"/><Relationship Id="rId6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proussel/Documents/OUTILS/CTD/chimie/conversion/egee5_St1-25_nettoye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tion_1"/>
      <sheetName val="Station_2"/>
      <sheetName val="Station_3"/>
      <sheetName val="Station_4"/>
      <sheetName val="Station_5"/>
      <sheetName val="Station_6"/>
      <sheetName val="Station_7"/>
      <sheetName val="Station_8"/>
      <sheetName val="Station_9"/>
      <sheetName val="Station_10"/>
      <sheetName val="Station_11"/>
      <sheetName val="Station_12"/>
      <sheetName val="Station_13"/>
      <sheetName val="Station_14"/>
      <sheetName val="Station_15"/>
      <sheetName val="Station_16"/>
      <sheetName val="Station_17"/>
      <sheetName val="Station_18"/>
      <sheetName val="Station_19"/>
      <sheetName val="Station_20"/>
      <sheetName val="Station_21"/>
      <sheetName val="Station_22"/>
      <sheetName val="Station_23"/>
      <sheetName val="Station_24"/>
      <sheetName val="Station_25"/>
      <sheetName val="TITRE_IODATE"/>
      <sheetName val="volumes"/>
      <sheetName val="corrections_de_vol_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46" activeCellId="0" sqref="B4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4.4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1.53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0°1,53</v>
      </c>
      <c r="P9" s="31" t="s">
        <v>13</v>
      </c>
      <c r="Q9" s="35" t="n">
        <f aca="false">IF(ISBLANK(I9),"",IF(ISBLANK(J9),"",IF(J9&gt;60,"ERREUR !!",O11*(I9+(J9/60)))))</f>
        <v>0.0255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0</v>
      </c>
      <c r="J10" s="31" t="n">
        <v>2.85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-0°2,85</v>
      </c>
      <c r="P10" s="31" t="s">
        <v>17</v>
      </c>
      <c r="Q10" s="35" t="n">
        <f aca="false">IF(ISBLANK(I10),"",IF(ISBLANK(J10),"",IF(J10&gt;60,"ERREUR !!",O12*(I10+(J10/60)))))</f>
        <v>-0.0475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37138</v>
      </c>
      <c r="K11" s="40"/>
      <c r="L11" s="40"/>
      <c r="M11" s="40"/>
      <c r="N11" s="41" t="str">
        <f aca="false">I9&amp;"°"&amp;J9</f>
        <v>0°1,53</v>
      </c>
      <c r="O11" s="42" t="n">
        <f aca="false">IF(P9=M10,-1,1)</f>
        <v>1</v>
      </c>
      <c r="P11" s="43" t="str">
        <f aca="false">TEXT(J11,"aaaa-mm-jj")&amp;"T"&amp;TEXT(J12,"hh:mm:ss")&amp;"z"</f>
        <v>2005-09-05T18:00:00z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0.75</v>
      </c>
      <c r="K12" s="48"/>
      <c r="L12" s="48"/>
      <c r="M12" s="48"/>
      <c r="N12" s="49" t="str">
        <f aca="false">I10&amp;"°"&amp;J10</f>
        <v>0°2,85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4.4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4.4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4.4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4.4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4.4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4.4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4.4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4.4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4.4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1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34.6673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3.68</v>
      </c>
      <c r="Q35" s="125"/>
      <c r="S35" s="128" t="n">
        <v>160</v>
      </c>
      <c r="T35" s="129" t="n">
        <v>0.028</v>
      </c>
      <c r="U35" s="129" t="n">
        <v>0.0273613034518454</v>
      </c>
      <c r="X35" s="130" t="n">
        <v>33.197</v>
      </c>
      <c r="Y35" s="130" t="n">
        <v>32.4397568103897</v>
      </c>
      <c r="Z35" s="129" t="n">
        <v>2.1885</v>
      </c>
      <c r="AA35" s="129" t="n">
        <v>2.13857902158441</v>
      </c>
      <c r="AB35" s="130" t="n">
        <v>30.88</v>
      </c>
      <c r="AC35" s="130" t="n">
        <v>30.1756089497495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35.0533</v>
      </c>
      <c r="H36" s="124" t="n">
        <v>300</v>
      </c>
      <c r="I36" s="124" t="n">
        <v>298.9</v>
      </c>
      <c r="J36" s="136"/>
      <c r="K36" s="137"/>
      <c r="L36" s="137"/>
      <c r="M36" s="137"/>
      <c r="N36" s="138"/>
      <c r="O36" s="137"/>
      <c r="P36" s="136" t="n">
        <v>2.195</v>
      </c>
      <c r="Q36" s="136"/>
      <c r="S36" s="139" t="n">
        <v>95.5</v>
      </c>
      <c r="T36" s="129" t="n">
        <v>0.042</v>
      </c>
      <c r="U36" s="129" t="n">
        <v>0.0410419551777681</v>
      </c>
      <c r="X36" s="130" t="n">
        <v>29.528</v>
      </c>
      <c r="Y36" s="130" t="n">
        <v>28.8544488687889</v>
      </c>
      <c r="Z36" s="129" t="n">
        <v>1.834</v>
      </c>
      <c r="AA36" s="129" t="n">
        <v>1.79216537609587</v>
      </c>
      <c r="AB36" s="130" t="n">
        <v>12.42</v>
      </c>
      <c r="AC36" s="130" t="n">
        <v>12.1366924597114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35.4827</v>
      </c>
      <c r="H37" s="124" t="n">
        <v>160</v>
      </c>
      <c r="I37" s="124" t="n">
        <v>159.6</v>
      </c>
      <c r="J37" s="136"/>
      <c r="K37" s="137"/>
      <c r="L37" s="137"/>
      <c r="M37" s="137"/>
      <c r="N37" s="138"/>
      <c r="O37" s="137"/>
      <c r="P37" s="136" t="n">
        <v>3.086</v>
      </c>
      <c r="Q37" s="136"/>
      <c r="S37" s="139" t="n">
        <v>134.3</v>
      </c>
      <c r="T37" s="129" t="n">
        <v>0.049</v>
      </c>
      <c r="U37" s="129" t="n">
        <v>0.0478822810407294</v>
      </c>
      <c r="X37" s="130" t="n">
        <v>17.661</v>
      </c>
      <c r="Y37" s="130" t="n">
        <v>17.2581421522515</v>
      </c>
      <c r="Z37" s="129" t="n">
        <v>1.209</v>
      </c>
      <c r="AA37" s="129" t="n">
        <v>1.18142199547432</v>
      </c>
      <c r="AB37" s="130" t="n">
        <v>6.76</v>
      </c>
      <c r="AC37" s="130" t="n">
        <v>6.60580040480267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35.4993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3.359</v>
      </c>
      <c r="Q38" s="136"/>
      <c r="S38" s="139" t="n">
        <v>146.2</v>
      </c>
      <c r="T38" s="129" t="n">
        <v>0.04</v>
      </c>
      <c r="U38" s="129" t="n">
        <v>0.0390875763597791</v>
      </c>
      <c r="X38" s="130" t="n">
        <v>17.21</v>
      </c>
      <c r="Y38" s="130" t="n">
        <v>16.817429728795</v>
      </c>
      <c r="Z38" s="129" t="n">
        <v>1.176</v>
      </c>
      <c r="AA38" s="129" t="n">
        <v>1.14917474497751</v>
      </c>
      <c r="AB38" s="130" t="n">
        <v>6.7</v>
      </c>
      <c r="AC38" s="130" t="n">
        <v>6.547169040263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42"/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3.286</v>
      </c>
      <c r="Q39" s="136"/>
      <c r="S39" s="139" t="n">
        <v>143.1</v>
      </c>
      <c r="X39" s="130" t="n">
        <v>14.34</v>
      </c>
      <c r="Y39" s="130" t="n">
        <v>14.0128961249808</v>
      </c>
      <c r="Z39" s="129" t="n">
        <v>1.001</v>
      </c>
      <c r="AA39" s="129" t="n">
        <v>0.978166598403472</v>
      </c>
      <c r="AB39" s="130" t="n">
        <v>5.5</v>
      </c>
      <c r="AC39" s="130" t="n">
        <v>5.37454174946963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35.7022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3.551</v>
      </c>
      <c r="Q40" s="136"/>
      <c r="S40" s="139" t="n">
        <v>154.6</v>
      </c>
      <c r="T40" s="129" t="n">
        <v>0.07</v>
      </c>
      <c r="U40" s="129" t="n">
        <v>0.0684032586296134</v>
      </c>
      <c r="X40" s="130" t="n">
        <v>14.34</v>
      </c>
      <c r="Y40" s="130" t="n">
        <v>14.0128961249808</v>
      </c>
      <c r="Z40" s="129" t="n">
        <v>1.001</v>
      </c>
      <c r="AA40" s="129" t="n">
        <v>0.978166598403472</v>
      </c>
      <c r="AB40" s="130" t="n">
        <v>5.5</v>
      </c>
      <c r="AC40" s="130" t="n">
        <v>5.37454174946963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35.9727</v>
      </c>
      <c r="H41" s="124" t="n">
        <v>60</v>
      </c>
      <c r="I41" s="124" t="n">
        <v>59</v>
      </c>
      <c r="J41" s="136"/>
      <c r="K41" s="137"/>
      <c r="L41" s="137"/>
      <c r="M41" s="137"/>
      <c r="N41" s="138"/>
      <c r="O41" s="137"/>
      <c r="P41" s="136" t="n">
        <v>3.552</v>
      </c>
      <c r="Q41" s="136"/>
      <c r="S41" s="139" t="n">
        <v>154.7</v>
      </c>
      <c r="T41" s="129" t="n">
        <v>0.155</v>
      </c>
      <c r="U41" s="129" t="n">
        <v>0.151464358394144</v>
      </c>
      <c r="X41" s="130" t="n">
        <v>9.975</v>
      </c>
      <c r="Y41" s="130" t="n">
        <v>9.74746435471991</v>
      </c>
      <c r="Z41" s="129" t="n">
        <v>0.763</v>
      </c>
      <c r="AA41" s="129" t="n">
        <v>0.745595519062786</v>
      </c>
      <c r="AB41" s="130" t="n">
        <v>3.92</v>
      </c>
      <c r="AC41" s="130" t="n">
        <v>3.83058248325835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35.733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4.305</v>
      </c>
      <c r="Q42" s="136"/>
      <c r="S42" s="139" t="n">
        <v>187.6</v>
      </c>
      <c r="T42" s="129" t="n">
        <v>0.171</v>
      </c>
      <c r="U42" s="129" t="n">
        <v>0.167099388938056</v>
      </c>
      <c r="X42" s="130" t="n">
        <v>4.639</v>
      </c>
      <c r="Y42" s="130" t="n">
        <v>4.53318166832538</v>
      </c>
      <c r="Z42" s="129" t="n">
        <v>0.404</v>
      </c>
      <c r="AA42" s="129" t="n">
        <v>0.394784521233769</v>
      </c>
      <c r="AB42" s="130" t="n">
        <v>2.81</v>
      </c>
      <c r="AC42" s="130" t="n">
        <v>2.74590223927448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35.6306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4.788</v>
      </c>
      <c r="Q43" s="136"/>
      <c r="S43" s="139" t="n">
        <v>208.9</v>
      </c>
      <c r="T43" s="129" t="n">
        <v>0.03</v>
      </c>
      <c r="U43" s="129" t="n">
        <v>0.0293156822698343</v>
      </c>
      <c r="X43" s="130" t="n">
        <v>0.03</v>
      </c>
      <c r="Y43" s="130" t="n">
        <v>0.0293156822698343</v>
      </c>
      <c r="Z43" s="129" t="n">
        <v>0.049</v>
      </c>
      <c r="AA43" s="129" t="n">
        <v>0.0478822810407294</v>
      </c>
      <c r="AB43" s="130" t="n">
        <v>1.06</v>
      </c>
      <c r="AC43" s="130" t="n">
        <v>1.03582077353415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35.645</v>
      </c>
      <c r="H44" s="124" t="n">
        <v>10</v>
      </c>
      <c r="I44" s="124" t="n">
        <v>9</v>
      </c>
      <c r="J44" s="136"/>
      <c r="K44" s="137"/>
      <c r="L44" s="137"/>
      <c r="M44" s="137"/>
      <c r="N44" s="138"/>
      <c r="O44" s="137"/>
      <c r="P44" s="136" t="n">
        <v>4.76</v>
      </c>
      <c r="Q44" s="136"/>
      <c r="S44" s="139" t="n">
        <v>207.6</v>
      </c>
      <c r="T44" s="129" t="n">
        <v>0.027</v>
      </c>
      <c r="U44" s="129" t="n">
        <v>0.0263841140428509</v>
      </c>
      <c r="X44" s="130" t="n">
        <v>0.053</v>
      </c>
      <c r="Y44" s="130" t="n">
        <v>0.0517910386767073</v>
      </c>
      <c r="Z44" s="129" t="n">
        <v>0.047</v>
      </c>
      <c r="AA44" s="129" t="n">
        <v>0.0459279022227404</v>
      </c>
      <c r="AB44" s="130" t="n">
        <v>1.06</v>
      </c>
      <c r="AC44" s="130" t="n">
        <v>1.03582077353415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35.638</v>
      </c>
      <c r="H45" s="124" t="n">
        <v>0</v>
      </c>
      <c r="I45" s="124" t="n">
        <v>0</v>
      </c>
      <c r="J45" s="136"/>
      <c r="K45" s="137"/>
      <c r="L45" s="137"/>
      <c r="M45" s="137"/>
      <c r="N45" s="138"/>
      <c r="O45" s="137"/>
      <c r="P45" s="136" t="n">
        <v>4.74</v>
      </c>
      <c r="Q45" s="136"/>
      <c r="S45" s="139" t="n">
        <v>206.8</v>
      </c>
      <c r="T45" s="129" t="n">
        <v>0.026</v>
      </c>
      <c r="U45" s="129" t="n">
        <v>0.0254069246338564</v>
      </c>
      <c r="X45" s="130" t="n">
        <v>0.054</v>
      </c>
      <c r="Y45" s="130" t="n">
        <v>0.0527682280857018</v>
      </c>
      <c r="Z45" s="129" t="n">
        <v>0.053</v>
      </c>
      <c r="AA45" s="129" t="n">
        <v>0.0517910386767073</v>
      </c>
      <c r="AB45" s="130" t="n">
        <v>1.11</v>
      </c>
      <c r="AC45" s="130" t="n">
        <v>1.08468024398387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6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6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6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U12" activeCellId="0" sqref="U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57.49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-9°57,49</v>
      </c>
      <c r="P9" s="31" t="s">
        <v>16</v>
      </c>
      <c r="Q9" s="35" t="n">
        <f aca="false">IF(ISBLANK(I9),"",IF(ISBLANK(J9),"",IF(J9&gt;60,"ERREUR !!",O11*(I9+(J9/60)))))</f>
        <v>-9.95816666666667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57.85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-9°57,85</v>
      </c>
      <c r="P10" s="31" t="s">
        <v>17</v>
      </c>
      <c r="Q10" s="35" t="n">
        <f aca="false">IF(ISBLANK(I10),"",IF(ISBLANK(J10),"",IF(J10&gt;60,"ERREUR !!",O12*(I10+(J10/60)))))</f>
        <v>-9.96416666666667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37142</v>
      </c>
      <c r="K11" s="40"/>
      <c r="L11" s="40"/>
      <c r="M11" s="40"/>
      <c r="N11" s="41" t="str">
        <f aca="false">I9&amp;"°"&amp;J9</f>
        <v>9°57,49</v>
      </c>
      <c r="O11" s="42" t="n">
        <f aca="false">IF(P9=M10,-1,1)</f>
        <v>-1</v>
      </c>
      <c r="P11" s="43" t="str">
        <f aca="false">TEXT(J11,"aaaa-mm-jj")&amp;"T"&amp;TEXT(J12,"hh:mm:ss")&amp;"z"</f>
        <v>2005-09-09T18:30:00z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0.770833333333333</v>
      </c>
      <c r="K12" s="48"/>
      <c r="L12" s="48"/>
      <c r="M12" s="48"/>
      <c r="N12" s="49" t="str">
        <f aca="false">I10&amp;"°"&amp;J10</f>
        <v>9°57,85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34.5803</v>
      </c>
      <c r="H35" s="123" t="n">
        <v>1000</v>
      </c>
      <c r="I35" s="124" t="n">
        <v>1001.7</v>
      </c>
      <c r="J35" s="125"/>
      <c r="K35" s="126"/>
      <c r="L35" s="126"/>
      <c r="M35" s="126"/>
      <c r="N35" s="127"/>
      <c r="O35" s="126"/>
      <c r="P35" s="125" t="n">
        <v>3.605</v>
      </c>
      <c r="Q35" s="125"/>
      <c r="R35" s="125"/>
      <c r="S35" s="128" t="n">
        <v>156.7</v>
      </c>
      <c r="T35" s="129" t="n">
        <v>0.023</v>
      </c>
      <c r="U35" s="129" t="n">
        <v>0.022475356406873</v>
      </c>
      <c r="X35" s="130" t="n">
        <v>34.547</v>
      </c>
      <c r="Y35" s="130" t="n">
        <v>33.7589625125322</v>
      </c>
      <c r="Z35" s="129" t="n">
        <v>2.303</v>
      </c>
      <c r="AA35" s="129" t="n">
        <v>2.25046720891428</v>
      </c>
      <c r="AB35" s="130" t="n">
        <v>34.97</v>
      </c>
      <c r="AC35" s="130" t="n">
        <v>34.1723136325369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34.8784</v>
      </c>
      <c r="H36" s="124" t="n">
        <v>300</v>
      </c>
      <c r="I36" s="124" t="n">
        <v>299.1</v>
      </c>
      <c r="J36" s="136"/>
      <c r="K36" s="137"/>
      <c r="L36" s="137"/>
      <c r="M36" s="137"/>
      <c r="N36" s="138"/>
      <c r="O36" s="137"/>
      <c r="P36" s="136" t="n">
        <v>1.727</v>
      </c>
      <c r="Q36" s="136"/>
      <c r="R36" s="136"/>
      <c r="S36" s="139" t="n">
        <v>75.1</v>
      </c>
      <c r="T36" s="129" t="n">
        <v>0.028</v>
      </c>
      <c r="U36" s="129" t="n">
        <v>0.0273613034518454</v>
      </c>
      <c r="X36" s="130" t="n">
        <v>33.527</v>
      </c>
      <c r="Y36" s="130" t="n">
        <v>32.7622293153578</v>
      </c>
      <c r="Z36" s="129" t="n">
        <v>2.072</v>
      </c>
      <c r="AA36" s="129" t="n">
        <v>2.02473645543656</v>
      </c>
      <c r="AB36" s="130" t="n">
        <v>14.825</v>
      </c>
      <c r="AC36" s="130" t="n">
        <v>14.4868329883431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35.3629</v>
      </c>
      <c r="H37" s="124" t="n">
        <v>160</v>
      </c>
      <c r="I37" s="124" t="n">
        <v>159.1</v>
      </c>
      <c r="J37" s="136"/>
      <c r="K37" s="137"/>
      <c r="L37" s="137"/>
      <c r="M37" s="137"/>
      <c r="N37" s="138"/>
      <c r="O37" s="137"/>
      <c r="P37" s="136" t="n">
        <v>2.306</v>
      </c>
      <c r="Q37" s="136"/>
      <c r="R37" s="136"/>
      <c r="S37" s="139" t="n">
        <v>100.4</v>
      </c>
      <c r="T37" s="129" t="n">
        <v>0.034</v>
      </c>
      <c r="U37" s="129" t="n">
        <v>0.0332244399058122</v>
      </c>
      <c r="X37" s="130" t="n">
        <v>23.526</v>
      </c>
      <c r="Y37" s="130" t="n">
        <v>22.9893580360041</v>
      </c>
      <c r="Z37" s="129" t="n">
        <v>1.546</v>
      </c>
      <c r="AA37" s="129" t="n">
        <v>1.51073482630546</v>
      </c>
      <c r="AB37" s="130" t="n">
        <v>8.49</v>
      </c>
      <c r="AC37" s="130" t="n">
        <v>8.29633808236311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35.5779</v>
      </c>
      <c r="H38" s="124" t="n">
        <v>130</v>
      </c>
      <c r="I38" s="124" t="n">
        <v>129.8</v>
      </c>
      <c r="J38" s="136"/>
      <c r="K38" s="137"/>
      <c r="L38" s="137"/>
      <c r="M38" s="137"/>
      <c r="N38" s="138"/>
      <c r="O38" s="137"/>
      <c r="P38" s="136" t="n">
        <v>2.58</v>
      </c>
      <c r="Q38" s="136"/>
      <c r="R38" s="136"/>
      <c r="S38" s="139" t="n">
        <v>112.3</v>
      </c>
      <c r="T38" s="129" t="n">
        <v>0.051</v>
      </c>
      <c r="U38" s="129" t="n">
        <v>0.0498366598587183</v>
      </c>
      <c r="X38" s="130" t="n">
        <v>18.819</v>
      </c>
      <c r="Y38" s="130" t="n">
        <v>18.3897274878671</v>
      </c>
      <c r="Z38" s="129" t="n">
        <v>1.273</v>
      </c>
      <c r="AA38" s="129" t="n">
        <v>1.24396211764997</v>
      </c>
      <c r="AB38" s="130" t="n">
        <v>5.87</v>
      </c>
      <c r="AC38" s="130" t="n">
        <v>5.73610183079758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36.367</v>
      </c>
      <c r="H39" s="124" t="n">
        <v>100</v>
      </c>
      <c r="I39" s="124" t="n">
        <v>99.9</v>
      </c>
      <c r="J39" s="136"/>
      <c r="K39" s="137"/>
      <c r="L39" s="137"/>
      <c r="M39" s="137"/>
      <c r="N39" s="138"/>
      <c r="O39" s="137"/>
      <c r="P39" s="136" t="n">
        <v>4.099</v>
      </c>
      <c r="Q39" s="136"/>
      <c r="R39" s="136"/>
      <c r="S39" s="139" t="n">
        <v>178.5</v>
      </c>
      <c r="T39" s="129" t="n">
        <v>0.431</v>
      </c>
      <c r="U39" s="129" t="n">
        <v>0.42116863527662</v>
      </c>
      <c r="X39" s="130" t="n">
        <v>4.619</v>
      </c>
      <c r="Y39" s="130" t="n">
        <v>4.51363788014549</v>
      </c>
      <c r="Z39" s="129" t="n">
        <v>0.559</v>
      </c>
      <c r="AA39" s="129" t="n">
        <v>0.546248879627913</v>
      </c>
      <c r="AB39" s="130" t="n">
        <v>2.24</v>
      </c>
      <c r="AC39" s="130" t="n">
        <v>2.18890427614763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36.6796</v>
      </c>
      <c r="H40" s="124" t="n">
        <v>80</v>
      </c>
      <c r="I40" s="124" t="n">
        <v>80.9</v>
      </c>
      <c r="J40" s="136"/>
      <c r="K40" s="137"/>
      <c r="L40" s="137"/>
      <c r="M40" s="137"/>
      <c r="N40" s="138"/>
      <c r="O40" s="137"/>
      <c r="P40" s="136" t="n">
        <v>4.769</v>
      </c>
      <c r="Q40" s="136"/>
      <c r="R40" s="136"/>
      <c r="S40" s="139" t="n">
        <v>207.7</v>
      </c>
      <c r="T40" s="129" t="n">
        <v>0</v>
      </c>
      <c r="U40" s="129" t="n">
        <v>0</v>
      </c>
      <c r="X40" s="130" t="n">
        <v>0</v>
      </c>
      <c r="Y40" s="130" t="n">
        <v>0</v>
      </c>
      <c r="Z40" s="129" t="n">
        <v>0.167</v>
      </c>
      <c r="AA40" s="129" t="n">
        <v>0.163190631302078</v>
      </c>
      <c r="AB40" s="130" t="n">
        <v>1.16</v>
      </c>
      <c r="AC40" s="130" t="n">
        <v>1.13353971443359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36.4883</v>
      </c>
      <c r="H41" s="124" t="n">
        <v>60</v>
      </c>
      <c r="I41" s="124" t="n">
        <v>59.5</v>
      </c>
      <c r="J41" s="136"/>
      <c r="K41" s="137"/>
      <c r="L41" s="137"/>
      <c r="M41" s="137"/>
      <c r="N41" s="138"/>
      <c r="O41" s="137"/>
      <c r="P41" s="136" t="n">
        <v>4.852</v>
      </c>
      <c r="Q41" s="136"/>
      <c r="R41" s="136"/>
      <c r="S41" s="139" t="n">
        <v>211.4</v>
      </c>
      <c r="T41" s="129" t="n">
        <v>0</v>
      </c>
      <c r="U41" s="129" t="n">
        <v>0</v>
      </c>
      <c r="X41" s="130" t="n">
        <v>0</v>
      </c>
      <c r="Y41" s="130" t="n">
        <v>0</v>
      </c>
      <c r="Z41" s="129" t="n">
        <v>0.158</v>
      </c>
      <c r="AA41" s="129" t="n">
        <v>0.154395926621127</v>
      </c>
      <c r="AB41" s="130" t="n">
        <v>1.2</v>
      </c>
      <c r="AC41" s="130" t="n">
        <v>1.17262729079337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36.1428</v>
      </c>
      <c r="H42" s="124" t="n">
        <v>40</v>
      </c>
      <c r="I42" s="124" t="n">
        <v>39.6</v>
      </c>
      <c r="J42" s="136"/>
      <c r="K42" s="137"/>
      <c r="L42" s="137"/>
      <c r="M42" s="137"/>
      <c r="N42" s="138"/>
      <c r="O42" s="137"/>
      <c r="P42" s="136" t="n">
        <v>4.897</v>
      </c>
      <c r="Q42" s="136"/>
      <c r="R42" s="136"/>
      <c r="S42" s="139" t="n">
        <v>213.4</v>
      </c>
      <c r="T42" s="129" t="n">
        <v>0</v>
      </c>
      <c r="U42" s="129" t="n">
        <v>0</v>
      </c>
      <c r="X42" s="130" t="n">
        <v>0</v>
      </c>
      <c r="Y42" s="130" t="n">
        <v>0</v>
      </c>
      <c r="Z42" s="129" t="n">
        <v>0.167</v>
      </c>
      <c r="AA42" s="129" t="n">
        <v>0.163190631302078</v>
      </c>
      <c r="AB42" s="130" t="n">
        <v>1.18</v>
      </c>
      <c r="AC42" s="130" t="n">
        <v>1.15308350261348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36.1501</v>
      </c>
      <c r="H43" s="124" t="n">
        <v>20</v>
      </c>
      <c r="I43" s="124" t="n">
        <v>19.5</v>
      </c>
      <c r="J43" s="136"/>
      <c r="K43" s="137"/>
      <c r="L43" s="137"/>
      <c r="M43" s="137"/>
      <c r="N43" s="138"/>
      <c r="O43" s="137"/>
      <c r="P43" s="136" t="n">
        <v>4.876</v>
      </c>
      <c r="Q43" s="136"/>
      <c r="R43" s="136"/>
      <c r="S43" s="139" t="n">
        <v>212.5</v>
      </c>
      <c r="T43" s="129" t="n">
        <v>0</v>
      </c>
      <c r="U43" s="129" t="n">
        <v>0</v>
      </c>
      <c r="X43" s="130" t="n">
        <v>0</v>
      </c>
      <c r="Y43" s="130" t="n">
        <v>0</v>
      </c>
      <c r="Z43" s="129" t="n">
        <v>0.175</v>
      </c>
      <c r="AA43" s="129" t="n">
        <v>0.171008146574034</v>
      </c>
      <c r="AB43" s="130" t="n">
        <v>1.18</v>
      </c>
      <c r="AC43" s="130" t="n">
        <v>1.15308350261348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36.1496</v>
      </c>
      <c r="H44" s="124" t="n">
        <v>10</v>
      </c>
      <c r="I44" s="124" t="n">
        <v>10.8</v>
      </c>
      <c r="J44" s="136"/>
      <c r="K44" s="137"/>
      <c r="L44" s="137"/>
      <c r="M44" s="137"/>
      <c r="N44" s="138"/>
      <c r="O44" s="137"/>
      <c r="P44" s="136" t="n">
        <v>4.878</v>
      </c>
      <c r="Q44" s="136"/>
      <c r="R44" s="136"/>
      <c r="S44" s="139" t="n">
        <v>212.6</v>
      </c>
      <c r="T44" s="129" t="n">
        <v>0</v>
      </c>
      <c r="U44" s="129" t="n">
        <v>0</v>
      </c>
      <c r="X44" s="130" t="n">
        <v>0</v>
      </c>
      <c r="Y44" s="130" t="n">
        <v>0</v>
      </c>
      <c r="Z44" s="129" t="n">
        <v>0.167</v>
      </c>
      <c r="AA44" s="129" t="n">
        <v>0.163190631302078</v>
      </c>
      <c r="AB44" s="130" t="n">
        <v>1.22</v>
      </c>
      <c r="AC44" s="130" t="n">
        <v>1.19217107897326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36.1494</v>
      </c>
      <c r="H45" s="124" t="n">
        <v>0</v>
      </c>
      <c r="I45" s="124" t="n">
        <v>1.3</v>
      </c>
      <c r="J45" s="136"/>
      <c r="K45" s="137"/>
      <c r="L45" s="137"/>
      <c r="M45" s="137"/>
      <c r="N45" s="138"/>
      <c r="O45" s="137"/>
      <c r="P45" s="136" t="n">
        <v>4.882</v>
      </c>
      <c r="Q45" s="136"/>
      <c r="R45" s="136"/>
      <c r="S45" s="139" t="n">
        <v>212.7</v>
      </c>
      <c r="T45" s="129" t="n">
        <v>0</v>
      </c>
      <c r="U45" s="129" t="n">
        <v>0</v>
      </c>
      <c r="X45" s="130" t="n">
        <v>0</v>
      </c>
      <c r="Y45" s="130" t="n">
        <v>0</v>
      </c>
      <c r="Z45" s="129" t="n">
        <v>0.153</v>
      </c>
      <c r="AA45" s="129" t="n">
        <v>0.149509979576155</v>
      </c>
      <c r="AB45" s="130" t="n">
        <v>1.16</v>
      </c>
      <c r="AC45" s="130" t="n">
        <v>1.13353971443359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6" activeCellId="0" sqref="T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9</v>
      </c>
      <c r="J9" s="31" t="n">
        <v>29.23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-9°29,23</v>
      </c>
      <c r="P9" s="31" t="s">
        <v>16</v>
      </c>
      <c r="Q9" s="35" t="n">
        <f aca="false">IF(ISBLANK(I9),"",IF(ISBLANK(J9),"",IF(J9&gt;60,"ERREUR !!",O11*(I9+(J9/60)))))</f>
        <v>-9.48716666666667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0.46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-10°0,46</v>
      </c>
      <c r="P10" s="31" t="s">
        <v>17</v>
      </c>
      <c r="Q10" s="35" t="n">
        <f aca="false">IF(ISBLANK(I10),"",IF(ISBLANK(J10),"",IF(J10&gt;60,"ERREUR !!",O12*(I10+(J10/60)))))</f>
        <v>-10.0076666666667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37142</v>
      </c>
      <c r="K11" s="40"/>
      <c r="L11" s="40"/>
      <c r="M11" s="40"/>
      <c r="N11" s="41" t="str">
        <f aca="false">I9&amp;"°"&amp;J9</f>
        <v>9°29,23</v>
      </c>
      <c r="O11" s="42" t="n">
        <f aca="false">IF(P9=M10,-1,1)</f>
        <v>-1</v>
      </c>
      <c r="P11" s="43" t="str">
        <f aca="false">TEXT(J11,"aaaa-mm-jj")&amp;"T"&amp;TEXT(J12,"hh:mm:ss")&amp;"z"</f>
        <v>2005-09-09T23:30:00z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0.979166666666667</v>
      </c>
      <c r="K12" s="48"/>
      <c r="L12" s="48"/>
      <c r="M12" s="48"/>
      <c r="N12" s="49" t="str">
        <f aca="false">I10&amp;"°"&amp;J10</f>
        <v>10°0,46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34.5748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3.671</v>
      </c>
      <c r="Q35" s="125"/>
      <c r="R35" s="125"/>
      <c r="S35" s="128" t="n">
        <v>159.6</v>
      </c>
      <c r="T35" s="129" t="n">
        <v>0.023</v>
      </c>
      <c r="U35" s="129" t="n">
        <v>0.022475356406873</v>
      </c>
      <c r="X35" s="130" t="n">
        <v>34.247</v>
      </c>
      <c r="Y35" s="130" t="n">
        <v>33.4658056898339</v>
      </c>
      <c r="Z35" s="129" t="n">
        <v>2.279</v>
      </c>
      <c r="AA35" s="129" t="n">
        <v>2.22701466309841</v>
      </c>
      <c r="AB35" s="130" t="n">
        <v>34.37</v>
      </c>
      <c r="AC35" s="130" t="n">
        <v>33.5859999871402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34.8754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1.542</v>
      </c>
      <c r="Q36" s="136"/>
      <c r="R36" s="136"/>
      <c r="S36" s="139" t="n">
        <v>67.1</v>
      </c>
      <c r="T36" s="129" t="n">
        <v>0.03</v>
      </c>
      <c r="U36" s="129" t="n">
        <v>0.0293156822698343</v>
      </c>
      <c r="X36" s="130" t="n">
        <v>34.17</v>
      </c>
      <c r="Y36" s="130" t="n">
        <v>33.3905621053413</v>
      </c>
      <c r="Z36" s="129" t="n">
        <v>2.128</v>
      </c>
      <c r="AA36" s="129" t="n">
        <v>2.07945906234025</v>
      </c>
      <c r="AB36" s="130" t="n">
        <v>14.92</v>
      </c>
      <c r="AC36" s="130" t="n">
        <v>14.5796659821976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35.2946</v>
      </c>
      <c r="H37" s="124" t="n">
        <v>160</v>
      </c>
      <c r="I37" s="124" t="n">
        <v>160.5</v>
      </c>
      <c r="J37" s="136"/>
      <c r="K37" s="137"/>
      <c r="L37" s="137"/>
      <c r="M37" s="137"/>
      <c r="N37" s="138"/>
      <c r="O37" s="137"/>
      <c r="P37" s="136" t="n">
        <v>2.134</v>
      </c>
      <c r="Q37" s="136"/>
      <c r="R37" s="136"/>
      <c r="S37" s="139" t="n">
        <v>92.9</v>
      </c>
      <c r="T37" s="129" t="n">
        <v>0.0295</v>
      </c>
      <c r="U37" s="129" t="n">
        <v>0.0288270875653371</v>
      </c>
      <c r="X37" s="130" t="n">
        <v>24.7405</v>
      </c>
      <c r="Y37" s="130" t="n">
        <v>24.1761545732279</v>
      </c>
      <c r="Z37" s="129" t="n">
        <v>1.6205</v>
      </c>
      <c r="AA37" s="129" t="n">
        <v>1.58353543727555</v>
      </c>
      <c r="AB37" s="130" t="n">
        <v>8.675</v>
      </c>
      <c r="AC37" s="130" t="n">
        <v>8.47711812302709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35.5474</v>
      </c>
      <c r="H38" s="124" t="n">
        <v>130</v>
      </c>
      <c r="I38" s="124" t="n">
        <v>131.2</v>
      </c>
      <c r="J38" s="136"/>
      <c r="K38" s="137"/>
      <c r="L38" s="137"/>
      <c r="M38" s="137"/>
      <c r="N38" s="138"/>
      <c r="O38" s="137"/>
      <c r="P38" s="136" t="n">
        <v>2.331</v>
      </c>
      <c r="Q38" s="136"/>
      <c r="R38" s="136"/>
      <c r="S38" s="139" t="n">
        <v>101.4</v>
      </c>
      <c r="T38" s="129" t="n">
        <v>0.037</v>
      </c>
      <c r="U38" s="129" t="n">
        <v>0.0361560081327957</v>
      </c>
      <c r="X38" s="130" t="n">
        <v>21.143</v>
      </c>
      <c r="Y38" s="130" t="n">
        <v>20.6607156743702</v>
      </c>
      <c r="Z38" s="129" t="n">
        <v>1.405</v>
      </c>
      <c r="AA38" s="129" t="n">
        <v>1.37295111963724</v>
      </c>
      <c r="AB38" s="130" t="n">
        <v>6.7</v>
      </c>
      <c r="AC38" s="130" t="n">
        <v>6.547169040263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36.0729</v>
      </c>
      <c r="H39" s="124" t="n">
        <v>100</v>
      </c>
      <c r="I39" s="124" t="n">
        <v>100.1</v>
      </c>
      <c r="J39" s="136"/>
      <c r="K39" s="137"/>
      <c r="L39" s="137"/>
      <c r="M39" s="137"/>
      <c r="N39" s="138"/>
      <c r="O39" s="137"/>
      <c r="P39" s="136" t="n">
        <v>3.309</v>
      </c>
      <c r="Q39" s="136"/>
      <c r="R39" s="136"/>
      <c r="S39" s="139" t="n">
        <v>144.1</v>
      </c>
      <c r="T39" s="129" t="n">
        <v>0.139</v>
      </c>
      <c r="U39" s="129" t="n">
        <v>0.135829327850232</v>
      </c>
      <c r="X39" s="130" t="n">
        <v>11.281</v>
      </c>
      <c r="Y39" s="130" t="n">
        <v>11.0236737228667</v>
      </c>
      <c r="Z39" s="129" t="n">
        <v>0.874</v>
      </c>
      <c r="AA39" s="129" t="n">
        <v>0.854063543461173</v>
      </c>
      <c r="AB39" s="130" t="n">
        <v>3.49</v>
      </c>
      <c r="AC39" s="130" t="n">
        <v>3.41039103739073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36.3678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4.116</v>
      </c>
      <c r="Q40" s="136"/>
      <c r="R40" s="136"/>
      <c r="S40" s="139" t="n">
        <v>179.2</v>
      </c>
      <c r="T40" s="129" t="n">
        <v>0.482</v>
      </c>
      <c r="U40" s="129" t="n">
        <v>0.471005295135338</v>
      </c>
      <c r="X40" s="130" t="n">
        <v>4.618</v>
      </c>
      <c r="Y40" s="130" t="n">
        <v>4.5126606907365</v>
      </c>
      <c r="Z40" s="129" t="n">
        <v>0.525</v>
      </c>
      <c r="AA40" s="129" t="n">
        <v>0.513024439722101</v>
      </c>
      <c r="AB40" s="130" t="n">
        <v>2.07</v>
      </c>
      <c r="AC40" s="130" t="n">
        <v>2.02278207661857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36.5551</v>
      </c>
      <c r="H41" s="124" t="n">
        <v>60</v>
      </c>
      <c r="I41" s="124" t="n">
        <v>60.3</v>
      </c>
      <c r="J41" s="136"/>
      <c r="K41" s="137"/>
      <c r="L41" s="137"/>
      <c r="M41" s="137"/>
      <c r="N41" s="138"/>
      <c r="O41" s="137"/>
      <c r="P41" s="136" t="n">
        <v>4.652</v>
      </c>
      <c r="Q41" s="136"/>
      <c r="R41" s="136"/>
      <c r="S41" s="139" t="n">
        <v>202.7</v>
      </c>
      <c r="T41" s="129" t="n">
        <v>0.069</v>
      </c>
      <c r="U41" s="129" t="n">
        <v>0.067426069220619</v>
      </c>
      <c r="X41" s="130" t="n">
        <v>0.001</v>
      </c>
      <c r="Y41" s="130" t="n">
        <v>0.000977189408994478</v>
      </c>
      <c r="Z41" s="129" t="n">
        <v>0.183</v>
      </c>
      <c r="AA41" s="129" t="n">
        <v>0.178825661845989</v>
      </c>
      <c r="AB41" s="130" t="n">
        <v>1.16</v>
      </c>
      <c r="AC41" s="130" t="n">
        <v>1.13353971443359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36.0394</v>
      </c>
      <c r="H42" s="124" t="n">
        <v>40</v>
      </c>
      <c r="I42" s="124" t="n">
        <v>40.2</v>
      </c>
      <c r="J42" s="136"/>
      <c r="K42" s="137"/>
      <c r="L42" s="137"/>
      <c r="M42" s="137"/>
      <c r="N42" s="138"/>
      <c r="O42" s="137"/>
      <c r="P42" s="136" t="n">
        <v>4.868</v>
      </c>
      <c r="Q42" s="136"/>
      <c r="R42" s="136"/>
      <c r="S42" s="139" t="n">
        <v>212.2</v>
      </c>
      <c r="T42" s="129" t="n">
        <v>0.032</v>
      </c>
      <c r="U42" s="129" t="n">
        <v>0.0312700610878233</v>
      </c>
      <c r="X42" s="130" t="n">
        <v>0.008</v>
      </c>
      <c r="Y42" s="130" t="n">
        <v>0.00781751527195582</v>
      </c>
      <c r="Z42" s="129" t="n">
        <v>0.203</v>
      </c>
      <c r="AA42" s="129" t="n">
        <v>0.198369450025879</v>
      </c>
      <c r="AB42" s="130" t="n">
        <v>1.21</v>
      </c>
      <c r="AC42" s="130" t="n">
        <v>1.18239918488332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35.9816</v>
      </c>
      <c r="H43" s="124" t="n">
        <v>20</v>
      </c>
      <c r="I43" s="124" t="n">
        <v>20.2</v>
      </c>
      <c r="J43" s="136"/>
      <c r="K43" s="137"/>
      <c r="L43" s="137"/>
      <c r="M43" s="137"/>
      <c r="N43" s="138"/>
      <c r="O43" s="137"/>
      <c r="P43" s="136" t="n">
        <v>4.908</v>
      </c>
      <c r="Q43" s="136"/>
      <c r="R43" s="136"/>
      <c r="S43" s="139" t="n">
        <v>213.9</v>
      </c>
      <c r="T43" s="129" t="n">
        <v>0.035</v>
      </c>
      <c r="U43" s="129" t="n">
        <v>0.0342016293148067</v>
      </c>
      <c r="X43" s="130" t="n">
        <v>0.075</v>
      </c>
      <c r="Y43" s="130" t="n">
        <v>0.0732892056745858</v>
      </c>
      <c r="Z43" s="129" t="n">
        <v>0.195</v>
      </c>
      <c r="AA43" s="129" t="n">
        <v>0.190551934753923</v>
      </c>
      <c r="AB43" s="130" t="n">
        <v>1.31</v>
      </c>
      <c r="AC43" s="130" t="n">
        <v>1.28011812578277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35.9811</v>
      </c>
      <c r="H44" s="124" t="n">
        <v>10</v>
      </c>
      <c r="I44" s="124" t="n">
        <v>10.5</v>
      </c>
      <c r="J44" s="136"/>
      <c r="K44" s="137"/>
      <c r="L44" s="137"/>
      <c r="M44" s="137"/>
      <c r="N44" s="138"/>
      <c r="O44" s="137"/>
      <c r="P44" s="136" t="n">
        <v>4.906</v>
      </c>
      <c r="Q44" s="136"/>
      <c r="R44" s="136"/>
      <c r="S44" s="139" t="n">
        <v>213.8</v>
      </c>
      <c r="T44" s="129" t="n">
        <v>0.037</v>
      </c>
      <c r="U44" s="129" t="n">
        <v>0.0361560081327957</v>
      </c>
      <c r="X44" s="130" t="n">
        <v>0.043</v>
      </c>
      <c r="Y44" s="130" t="n">
        <v>0.0420191445867625</v>
      </c>
      <c r="Z44" s="129" t="n">
        <v>0.192</v>
      </c>
      <c r="AA44" s="129" t="n">
        <v>0.18762036652694</v>
      </c>
      <c r="AB44" s="130" t="n">
        <v>1.34</v>
      </c>
      <c r="AC44" s="130" t="n">
        <v>1.3094338080526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35.9804</v>
      </c>
      <c r="H45" s="124" t="n">
        <v>0</v>
      </c>
      <c r="I45" s="124" t="n">
        <v>0.4</v>
      </c>
      <c r="J45" s="136"/>
      <c r="K45" s="137"/>
      <c r="L45" s="137"/>
      <c r="M45" s="137"/>
      <c r="N45" s="138"/>
      <c r="O45" s="137"/>
      <c r="P45" s="136" t="n">
        <v>4.925</v>
      </c>
      <c r="Q45" s="136"/>
      <c r="R45" s="136"/>
      <c r="S45" s="139" t="n">
        <v>214.6</v>
      </c>
      <c r="T45" s="129" t="n">
        <v>0.038</v>
      </c>
      <c r="U45" s="129" t="n">
        <v>0.0371331975417901</v>
      </c>
      <c r="X45" s="130" t="n">
        <v>0.042</v>
      </c>
      <c r="Y45" s="130" t="n">
        <v>0.0410419551777681</v>
      </c>
      <c r="Z45" s="129" t="n">
        <v>0.182</v>
      </c>
      <c r="AA45" s="129" t="n">
        <v>0.177848472436995</v>
      </c>
      <c r="AB45" s="130" t="n">
        <v>1.37</v>
      </c>
      <c r="AC45" s="130" t="n">
        <v>1.33874949032243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6" activeCellId="0" sqref="T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59.94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-8°59,94</v>
      </c>
      <c r="P9" s="31" t="s">
        <v>16</v>
      </c>
      <c r="Q9" s="35" t="n">
        <f aca="false">IF(ISBLANK(I9),"",IF(ISBLANK(J9),"",IF(J9&gt;60,"ERREUR !!",O11*(I9+(J9/60)))))</f>
        <v>-8.999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-9°59,99</v>
      </c>
      <c r="P10" s="31" t="s">
        <v>17</v>
      </c>
      <c r="Q10" s="35" t="n">
        <f aca="false">IF(ISBLANK(I10),"",IF(ISBLANK(J10),"",IF(J10&gt;60,"ERREUR !!",O12*(I10+(J10/60)))))</f>
        <v>-9.99983333333333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37143</v>
      </c>
      <c r="K11" s="40"/>
      <c r="L11" s="40"/>
      <c r="M11" s="40"/>
      <c r="N11" s="41" t="str">
        <f aca="false">I9&amp;"°"&amp;J9</f>
        <v>8°59,94</v>
      </c>
      <c r="O11" s="42" t="n">
        <f aca="false">IF(P9=M10,-1,1)</f>
        <v>-1</v>
      </c>
      <c r="P11" s="43" t="str">
        <f aca="false">TEXT(J11,"aaaa-mm-jj")&amp;"T"&amp;TEXT(J12,"hh:mm:ss")&amp;"z"</f>
        <v>2005-09-10T04:00:00z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0.166666666666667</v>
      </c>
      <c r="K12" s="48"/>
      <c r="L12" s="48"/>
      <c r="M12" s="48"/>
      <c r="N12" s="49" t="str">
        <f aca="false">I10&amp;"°"&amp;J10</f>
        <v>9°59,99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34.609</v>
      </c>
      <c r="H35" s="123" t="n">
        <v>1000</v>
      </c>
      <c r="I35" s="124" t="n">
        <v>1017</v>
      </c>
      <c r="J35" s="125"/>
      <c r="K35" s="126"/>
      <c r="L35" s="126"/>
      <c r="M35" s="126"/>
      <c r="N35" s="127"/>
      <c r="O35" s="126"/>
      <c r="P35" s="125" t="n">
        <v>3.919</v>
      </c>
      <c r="Q35" s="125"/>
      <c r="R35" s="125"/>
      <c r="S35" s="128" t="n">
        <v>170.4</v>
      </c>
      <c r="T35" s="129" t="n">
        <v>0.042</v>
      </c>
      <c r="U35" s="129" t="n">
        <v>0.0410419551777681</v>
      </c>
      <c r="X35" s="130" t="n">
        <v>33.478</v>
      </c>
      <c r="Y35" s="130" t="n">
        <v>32.7143470343171</v>
      </c>
      <c r="Z35" s="129" t="n">
        <v>2.199</v>
      </c>
      <c r="AA35" s="129" t="n">
        <v>2.14883951037886</v>
      </c>
      <c r="AB35" s="130" t="n">
        <v>34.11</v>
      </c>
      <c r="AC35" s="130" t="n">
        <v>33.3319307408016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34.8738</v>
      </c>
      <c r="H36" s="124" t="n">
        <v>300</v>
      </c>
      <c r="I36" s="124" t="n">
        <v>300.7</v>
      </c>
      <c r="J36" s="136"/>
      <c r="K36" s="137"/>
      <c r="L36" s="137"/>
      <c r="M36" s="137"/>
      <c r="N36" s="138"/>
      <c r="O36" s="137"/>
      <c r="P36" s="136" t="n">
        <v>1.695</v>
      </c>
      <c r="Q36" s="136"/>
      <c r="R36" s="136"/>
      <c r="S36" s="139" t="n">
        <v>73.7</v>
      </c>
      <c r="T36" s="129" t="n">
        <v>0.038</v>
      </c>
      <c r="U36" s="129" t="n">
        <v>0.0371331975417901</v>
      </c>
      <c r="X36" s="130" t="n">
        <v>33.612</v>
      </c>
      <c r="Y36" s="130" t="n">
        <v>32.8452904151224</v>
      </c>
      <c r="Z36" s="129" t="n">
        <v>2.077</v>
      </c>
      <c r="AA36" s="129" t="n">
        <v>2.02962240248153</v>
      </c>
      <c r="AB36" s="130" t="n">
        <v>14.83</v>
      </c>
      <c r="AC36" s="130" t="n">
        <v>14.4917189353881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35.2655</v>
      </c>
      <c r="H37" s="124" t="n">
        <v>160</v>
      </c>
      <c r="I37" s="124" t="n">
        <v>159.8</v>
      </c>
      <c r="J37" s="136"/>
      <c r="K37" s="137"/>
      <c r="L37" s="137"/>
      <c r="M37" s="137"/>
      <c r="N37" s="138"/>
      <c r="O37" s="137"/>
      <c r="P37" s="136" t="n">
        <v>2.179</v>
      </c>
      <c r="Q37" s="136"/>
      <c r="R37" s="136"/>
      <c r="S37" s="139" t="n">
        <v>94.8</v>
      </c>
      <c r="T37" s="129" t="n">
        <v>0.04</v>
      </c>
      <c r="U37" s="129" t="n">
        <v>0.0390875763597791</v>
      </c>
      <c r="X37" s="130" t="n">
        <v>25.24</v>
      </c>
      <c r="Y37" s="130" t="n">
        <v>24.6642606830206</v>
      </c>
      <c r="Z37" s="129" t="n">
        <v>1.613</v>
      </c>
      <c r="AA37" s="129" t="n">
        <v>1.57620651670809</v>
      </c>
      <c r="AB37" s="130" t="n">
        <v>9.09</v>
      </c>
      <c r="AC37" s="130" t="n">
        <v>8.8826517277598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35.538</v>
      </c>
      <c r="H38" s="124" t="n">
        <v>130</v>
      </c>
      <c r="I38" s="124" t="n">
        <v>129.2</v>
      </c>
      <c r="J38" s="136"/>
      <c r="K38" s="137"/>
      <c r="L38" s="137"/>
      <c r="M38" s="137"/>
      <c r="N38" s="138"/>
      <c r="O38" s="137"/>
      <c r="P38" s="136" t="n">
        <v>2.449</v>
      </c>
      <c r="Q38" s="136"/>
      <c r="R38" s="136"/>
      <c r="S38" s="139" t="n">
        <v>106.6</v>
      </c>
      <c r="T38" s="129" t="n">
        <v>0.0445</v>
      </c>
      <c r="U38" s="129" t="n">
        <v>0.0434849287002543</v>
      </c>
      <c r="X38" s="130" t="n">
        <v>20.7705</v>
      </c>
      <c r="Y38" s="130" t="n">
        <v>20.2967126195198</v>
      </c>
      <c r="Z38" s="129" t="n">
        <v>1.368</v>
      </c>
      <c r="AA38" s="129" t="n">
        <v>1.33679511150445</v>
      </c>
      <c r="AB38" s="130" t="n">
        <v>6.82</v>
      </c>
      <c r="AC38" s="130" t="n">
        <v>6.66443176934234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36.1291</v>
      </c>
      <c r="H39" s="124" t="n">
        <v>100</v>
      </c>
      <c r="I39" s="124" t="n">
        <v>100.1</v>
      </c>
      <c r="J39" s="136"/>
      <c r="K39" s="137"/>
      <c r="L39" s="137"/>
      <c r="M39" s="137"/>
      <c r="N39" s="138"/>
      <c r="O39" s="137"/>
      <c r="P39" s="136" t="n">
        <v>3.481</v>
      </c>
      <c r="Q39" s="136"/>
      <c r="R39" s="136"/>
      <c r="S39" s="139" t="n">
        <v>151.6</v>
      </c>
      <c r="T39" s="129" t="n">
        <v>0.154</v>
      </c>
      <c r="U39" s="129" t="n">
        <v>0.15048716898515</v>
      </c>
      <c r="X39" s="130" t="n">
        <v>10.126</v>
      </c>
      <c r="Y39" s="130" t="n">
        <v>9.89501995547808</v>
      </c>
      <c r="Z39" s="129" t="n">
        <v>0.806</v>
      </c>
      <c r="AA39" s="129" t="n">
        <v>0.787614663649549</v>
      </c>
      <c r="AB39" s="130" t="n">
        <v>3.3</v>
      </c>
      <c r="AC39" s="130" t="n">
        <v>3.22472504968178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36.3228</v>
      </c>
      <c r="H40" s="124" t="n">
        <v>80</v>
      </c>
      <c r="I40" s="124" t="n">
        <v>80.1</v>
      </c>
      <c r="J40" s="136"/>
      <c r="K40" s="137"/>
      <c r="L40" s="137"/>
      <c r="M40" s="137"/>
      <c r="N40" s="138"/>
      <c r="O40" s="137"/>
      <c r="P40" s="136" t="n">
        <v>4.139</v>
      </c>
      <c r="Q40" s="136"/>
      <c r="R40" s="136"/>
      <c r="S40" s="139" t="n">
        <v>180.2</v>
      </c>
      <c r="T40" s="129" t="n">
        <v>0.591</v>
      </c>
      <c r="U40" s="129" t="n">
        <v>0.577518940715736</v>
      </c>
      <c r="X40" s="130" t="n">
        <v>5.539</v>
      </c>
      <c r="Y40" s="130" t="n">
        <v>5.41265213642041</v>
      </c>
      <c r="Z40" s="129" t="n">
        <v>0.571</v>
      </c>
      <c r="AA40" s="129" t="n">
        <v>0.557975152535847</v>
      </c>
      <c r="AB40" s="130" t="n">
        <v>2.31</v>
      </c>
      <c r="AC40" s="130" t="n">
        <v>2.25730753477724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36.3272</v>
      </c>
      <c r="H41" s="124" t="n">
        <v>60</v>
      </c>
      <c r="I41" s="124" t="n">
        <v>60.6</v>
      </c>
      <c r="J41" s="136"/>
      <c r="K41" s="137"/>
      <c r="L41" s="137"/>
      <c r="M41" s="137"/>
      <c r="N41" s="138"/>
      <c r="O41" s="137"/>
      <c r="P41" s="136" t="n">
        <v>4.439</v>
      </c>
      <c r="Q41" s="136"/>
      <c r="R41" s="136"/>
      <c r="S41" s="139" t="n">
        <v>193.4</v>
      </c>
      <c r="T41" s="129" t="n">
        <v>0.712</v>
      </c>
      <c r="U41" s="129" t="n">
        <v>0.695758859204068</v>
      </c>
      <c r="X41" s="130" t="n">
        <v>1.158</v>
      </c>
      <c r="Y41" s="130" t="n">
        <v>1.13158533561561</v>
      </c>
      <c r="Z41" s="129" t="n">
        <v>0.33</v>
      </c>
      <c r="AA41" s="129" t="n">
        <v>0.322472504968178</v>
      </c>
      <c r="AB41" s="130" t="n">
        <v>1.62</v>
      </c>
      <c r="AC41" s="130" t="n">
        <v>1.58304684257105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35.9902</v>
      </c>
      <c r="H42" s="124" t="n">
        <v>40</v>
      </c>
      <c r="I42" s="124" t="n">
        <v>40.1</v>
      </c>
      <c r="J42" s="136"/>
      <c r="K42" s="137"/>
      <c r="L42" s="137"/>
      <c r="M42" s="137"/>
      <c r="N42" s="138"/>
      <c r="O42" s="137"/>
      <c r="P42" s="136" t="n">
        <v>4.864</v>
      </c>
      <c r="Q42" s="136"/>
      <c r="R42" s="136"/>
      <c r="S42" s="139" t="n">
        <v>212</v>
      </c>
      <c r="T42" s="129" t="n">
        <v>0.057</v>
      </c>
      <c r="U42" s="129" t="n">
        <v>0.0556997963126852</v>
      </c>
      <c r="X42" s="130" t="n">
        <v>0.233</v>
      </c>
      <c r="Y42" s="130" t="n">
        <v>0.227685132295713</v>
      </c>
      <c r="Z42" s="129" t="n">
        <v>0.172</v>
      </c>
      <c r="AA42" s="129" t="n">
        <v>0.16807657834705</v>
      </c>
      <c r="AB42" s="130" t="n">
        <v>1.52</v>
      </c>
      <c r="AC42" s="130" t="n">
        <v>1.48532790167161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35.9904</v>
      </c>
      <c r="H43" s="124" t="n">
        <v>20</v>
      </c>
      <c r="I43" s="124" t="n">
        <v>20.3</v>
      </c>
      <c r="J43" s="136"/>
      <c r="K43" s="137"/>
      <c r="L43" s="137"/>
      <c r="M43" s="137"/>
      <c r="N43" s="138"/>
      <c r="O43" s="137"/>
      <c r="P43" s="136" t="n">
        <v>4.871</v>
      </c>
      <c r="Q43" s="136"/>
      <c r="R43" s="136"/>
      <c r="S43" s="139" t="n">
        <v>212.3</v>
      </c>
      <c r="T43" s="129" t="n">
        <v>0.053</v>
      </c>
      <c r="U43" s="129" t="n">
        <v>0.0517910386767073</v>
      </c>
      <c r="X43" s="130" t="n">
        <v>0.247</v>
      </c>
      <c r="Y43" s="130" t="n">
        <v>0.241365784021636</v>
      </c>
      <c r="Z43" s="129" t="n">
        <v>0.187</v>
      </c>
      <c r="AA43" s="129" t="n">
        <v>0.182734419481967</v>
      </c>
      <c r="AB43" s="130" t="n">
        <v>1.45</v>
      </c>
      <c r="AC43" s="130" t="n">
        <v>1.41692464304199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35.9902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4.873</v>
      </c>
      <c r="Q44" s="136"/>
      <c r="R44" s="136"/>
      <c r="S44" s="139" t="n">
        <v>212.4</v>
      </c>
      <c r="T44" s="129" t="n">
        <v>0.051</v>
      </c>
      <c r="U44" s="129" t="n">
        <v>0.0498366598587183</v>
      </c>
      <c r="X44" s="130" t="n">
        <v>0.239</v>
      </c>
      <c r="Y44" s="130" t="n">
        <v>0.23354826874968</v>
      </c>
      <c r="Z44" s="129" t="n">
        <v>0.18</v>
      </c>
      <c r="AA44" s="129" t="n">
        <v>0.175894093619006</v>
      </c>
      <c r="AB44" s="130" t="n">
        <v>1.58</v>
      </c>
      <c r="AC44" s="130" t="n">
        <v>1.54395926621127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35.991</v>
      </c>
      <c r="H45" s="124" t="n">
        <v>0</v>
      </c>
      <c r="I45" s="124" t="n">
        <v>0.5</v>
      </c>
      <c r="J45" s="136"/>
      <c r="K45" s="137"/>
      <c r="L45" s="137"/>
      <c r="M45" s="137"/>
      <c r="N45" s="138"/>
      <c r="O45" s="137"/>
      <c r="P45" s="136" t="n">
        <v>4.871</v>
      </c>
      <c r="Q45" s="136"/>
      <c r="R45" s="136"/>
      <c r="S45" s="139" t="n">
        <v>212.3</v>
      </c>
      <c r="T45" s="129" t="n">
        <v>0.051</v>
      </c>
      <c r="U45" s="129" t="n">
        <v>0.0498366598587183</v>
      </c>
      <c r="X45" s="130" t="n">
        <v>0.239</v>
      </c>
      <c r="Y45" s="130" t="n">
        <v>0.23354826874968</v>
      </c>
      <c r="Z45" s="129" t="n">
        <v>0.173</v>
      </c>
      <c r="AA45" s="129" t="n">
        <v>0.169053767756045</v>
      </c>
      <c r="AB45" s="130" t="n">
        <v>1.68</v>
      </c>
      <c r="AC45" s="130" t="n">
        <v>1.64167820711072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5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0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8</v>
      </c>
      <c r="J9" s="31" t="n">
        <v>29.68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-8°29,68</v>
      </c>
      <c r="P9" s="31" t="s">
        <v>16</v>
      </c>
      <c r="Q9" s="35" t="n">
        <f aca="false">IF(ISBLANK(I9),"",IF(ISBLANK(J9),"",IF(J9&gt;60,"ERREUR !!",O11*(I9+(J9/60)))))</f>
        <v>-8.49466666666667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0.02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-10°0,02</v>
      </c>
      <c r="P10" s="31" t="s">
        <v>17</v>
      </c>
      <c r="Q10" s="35" t="n">
        <f aca="false">IF(ISBLANK(I10),"",IF(ISBLANK(J10),"",IF(J10&gt;60,"ERREUR !!",O12*(I10+(J10/60)))))</f>
        <v>-10.0003333333333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37143</v>
      </c>
      <c r="K11" s="40"/>
      <c r="L11" s="40"/>
      <c r="M11" s="40"/>
      <c r="N11" s="41" t="str">
        <f aca="false">I9&amp;"°"&amp;J9</f>
        <v>8°29,68</v>
      </c>
      <c r="O11" s="42" t="n">
        <f aca="false">IF(P9=M10,-1,1)</f>
        <v>-1</v>
      </c>
      <c r="P11" s="43" t="str">
        <f aca="false">TEXT(J11,"aaaa-mm-jj")&amp;"T"&amp;TEXT(J12,"hh:mm:ss")&amp;"z"</f>
        <v>2005-09-10T08:30:00z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0.354166666666667</v>
      </c>
      <c r="K12" s="48"/>
      <c r="L12" s="48"/>
      <c r="M12" s="48"/>
      <c r="N12" s="49" t="str">
        <f aca="false">I10&amp;"°"&amp;J10</f>
        <v>10°0,02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34.5581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3.466</v>
      </c>
      <c r="Q35" s="125"/>
      <c r="R35" s="125"/>
      <c r="S35" s="128" t="n">
        <v>150.7</v>
      </c>
      <c r="T35" s="129" t="n">
        <v>0.026</v>
      </c>
      <c r="U35" s="129" t="n">
        <v>0.0254069246338564</v>
      </c>
      <c r="X35" s="130" t="n">
        <v>35.234</v>
      </c>
      <c r="Y35" s="130" t="n">
        <v>34.4302916365114</v>
      </c>
      <c r="Z35" s="129" t="n">
        <v>2.344</v>
      </c>
      <c r="AA35" s="129" t="n">
        <v>2.29053197468305</v>
      </c>
      <c r="AB35" s="130" t="n">
        <v>33.97</v>
      </c>
      <c r="AC35" s="130" t="n">
        <v>33.1951242235424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34.8852</v>
      </c>
      <c r="H36" s="124" t="n">
        <v>300</v>
      </c>
      <c r="I36" s="124" t="n">
        <v>298.9</v>
      </c>
      <c r="J36" s="136"/>
      <c r="K36" s="137"/>
      <c r="L36" s="137"/>
      <c r="M36" s="137"/>
      <c r="N36" s="138"/>
      <c r="O36" s="137"/>
      <c r="P36" s="136" t="n">
        <v>1.806</v>
      </c>
      <c r="Q36" s="136"/>
      <c r="R36" s="136"/>
      <c r="S36" s="139" t="n">
        <v>78.6</v>
      </c>
      <c r="T36" s="129" t="n">
        <v>0.013</v>
      </c>
      <c r="U36" s="129" t="n">
        <v>0.0127034623169282</v>
      </c>
      <c r="X36" s="130" t="n">
        <v>32.877</v>
      </c>
      <c r="Y36" s="130" t="n">
        <v>32.1270561995114</v>
      </c>
      <c r="Z36" s="129" t="n">
        <v>2.061</v>
      </c>
      <c r="AA36" s="129" t="n">
        <v>2.01398737193762</v>
      </c>
      <c r="AB36" s="130" t="n">
        <v>14.21</v>
      </c>
      <c r="AC36" s="130" t="n">
        <v>13.8858615018115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35.2636</v>
      </c>
      <c r="H37" s="124" t="n">
        <v>160</v>
      </c>
      <c r="I37" s="124" t="n">
        <v>159.6</v>
      </c>
      <c r="J37" s="136"/>
      <c r="K37" s="137"/>
      <c r="L37" s="137"/>
      <c r="M37" s="137"/>
      <c r="N37" s="138"/>
      <c r="O37" s="137"/>
      <c r="P37" s="136" t="n">
        <v>2.118</v>
      </c>
      <c r="Q37" s="136"/>
      <c r="R37" s="136"/>
      <c r="S37" s="139" t="n">
        <v>92.2</v>
      </c>
      <c r="T37" s="129" t="n">
        <v>0.025</v>
      </c>
      <c r="U37" s="129" t="n">
        <v>0.0244297352248619</v>
      </c>
      <c r="X37" s="130" t="n">
        <v>25.625</v>
      </c>
      <c r="Y37" s="130" t="n">
        <v>25.0404786054835</v>
      </c>
      <c r="Z37" s="129" t="n">
        <v>1.642</v>
      </c>
      <c r="AA37" s="129" t="n">
        <v>1.60454500956893</v>
      </c>
      <c r="AB37" s="130" t="n">
        <v>8.95</v>
      </c>
      <c r="AC37" s="130" t="n">
        <v>8.74584521050057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35.4979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2.348</v>
      </c>
      <c r="Q38" s="136"/>
      <c r="R38" s="136"/>
      <c r="S38" s="139" t="n">
        <v>102.2</v>
      </c>
      <c r="T38" s="129" t="n">
        <v>0.045</v>
      </c>
      <c r="U38" s="129" t="n">
        <v>0.0439735234047515</v>
      </c>
      <c r="X38" s="130" t="n">
        <v>21.935</v>
      </c>
      <c r="Y38" s="130" t="n">
        <v>21.4346496862939</v>
      </c>
      <c r="Z38" s="129" t="n">
        <v>1.44</v>
      </c>
      <c r="AA38" s="129" t="n">
        <v>1.40715274895205</v>
      </c>
      <c r="AB38" s="130" t="n">
        <v>7.06</v>
      </c>
      <c r="AC38" s="130" t="n">
        <v>6.89895722750101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36.172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3.556</v>
      </c>
      <c r="Q39" s="136"/>
      <c r="R39" s="136"/>
      <c r="S39" s="139" t="n">
        <v>154.8</v>
      </c>
      <c r="T39" s="129" t="n">
        <v>0.185</v>
      </c>
      <c r="U39" s="129" t="n">
        <v>0.180780040663978</v>
      </c>
      <c r="X39" s="130" t="n">
        <v>9.16</v>
      </c>
      <c r="Y39" s="130" t="n">
        <v>8.95105498638941</v>
      </c>
      <c r="Z39" s="129" t="n">
        <v>0.7725</v>
      </c>
      <c r="AA39" s="129" t="n">
        <v>0.754878818448234</v>
      </c>
      <c r="AB39" s="130" t="n">
        <v>3.02</v>
      </c>
      <c r="AC39" s="130" t="n">
        <v>2.95111201516332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36.5149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4.472</v>
      </c>
      <c r="Q40" s="136"/>
      <c r="R40" s="136"/>
      <c r="S40" s="139" t="n">
        <v>194.8</v>
      </c>
      <c r="T40" s="129" t="n">
        <v>0.33</v>
      </c>
      <c r="U40" s="129" t="n">
        <v>0.322472504968178</v>
      </c>
      <c r="X40" s="130" t="n">
        <v>1.42</v>
      </c>
      <c r="Y40" s="130" t="n">
        <v>1.38760896077216</v>
      </c>
      <c r="Z40" s="129" t="n">
        <v>0.309</v>
      </c>
      <c r="AA40" s="129" t="n">
        <v>0.301951527379294</v>
      </c>
      <c r="AB40" s="130" t="n">
        <v>1.52</v>
      </c>
      <c r="AC40" s="130" t="n">
        <v>1.48532790167161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36.2968</v>
      </c>
      <c r="H41" s="124" t="n">
        <v>60</v>
      </c>
      <c r="I41" s="124" t="n">
        <v>59</v>
      </c>
      <c r="J41" s="136"/>
      <c r="K41" s="137"/>
      <c r="L41" s="137"/>
      <c r="M41" s="137"/>
      <c r="N41" s="138"/>
      <c r="O41" s="137"/>
      <c r="P41" s="136" t="n">
        <v>4.726</v>
      </c>
      <c r="Q41" s="136"/>
      <c r="R41" s="136"/>
      <c r="S41" s="139" t="n">
        <v>206</v>
      </c>
      <c r="T41" s="129" t="n">
        <v>0.058</v>
      </c>
      <c r="U41" s="129" t="n">
        <v>0.0566769857216797</v>
      </c>
      <c r="X41" s="130" t="n">
        <v>0.132</v>
      </c>
      <c r="Y41" s="130" t="n">
        <v>0.128989001987271</v>
      </c>
      <c r="Z41" s="129" t="n">
        <v>0.198</v>
      </c>
      <c r="AA41" s="129" t="n">
        <v>0.193483502980907</v>
      </c>
      <c r="AB41" s="130" t="n">
        <v>1.32</v>
      </c>
      <c r="AC41" s="130" t="n">
        <v>1.28989001987271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35.914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4.847</v>
      </c>
      <c r="Q42" s="136"/>
      <c r="R42" s="136"/>
      <c r="S42" s="139" t="n">
        <v>211.3</v>
      </c>
      <c r="T42" s="129" t="n">
        <v>0.111</v>
      </c>
      <c r="U42" s="129" t="n">
        <v>0.108468024398387</v>
      </c>
      <c r="X42" s="130" t="n">
        <v>0.489</v>
      </c>
      <c r="Y42" s="130" t="n">
        <v>0.477845620998299</v>
      </c>
      <c r="Z42" s="129" t="n">
        <v>0.233</v>
      </c>
      <c r="AA42" s="129" t="n">
        <v>0.227685132295713</v>
      </c>
      <c r="AB42" s="130" t="n">
        <v>1.49</v>
      </c>
      <c r="AC42" s="130" t="n">
        <v>1.45601221940177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35.9099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4.854</v>
      </c>
      <c r="Q43" s="136"/>
      <c r="R43" s="136"/>
      <c r="S43" s="139" t="n">
        <v>211.6</v>
      </c>
      <c r="T43" s="129" t="n">
        <v>0.108</v>
      </c>
      <c r="U43" s="129" t="n">
        <v>0.105536456171404</v>
      </c>
      <c r="X43" s="130" t="n">
        <v>0.512</v>
      </c>
      <c r="Y43" s="130" t="n">
        <v>0.500320977405173</v>
      </c>
      <c r="Z43" s="129" t="n">
        <v>0.234</v>
      </c>
      <c r="AA43" s="129" t="n">
        <v>0.228662321704708</v>
      </c>
      <c r="AB43" s="130" t="n">
        <v>1.49</v>
      </c>
      <c r="AC43" s="130" t="n">
        <v>1.45601221940177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35.9088</v>
      </c>
      <c r="H44" s="124" t="n">
        <v>10</v>
      </c>
      <c r="I44" s="124" t="n">
        <v>9</v>
      </c>
      <c r="J44" s="136"/>
      <c r="K44" s="137"/>
      <c r="L44" s="137"/>
      <c r="M44" s="137"/>
      <c r="N44" s="138"/>
      <c r="O44" s="137"/>
      <c r="P44" s="136" t="n">
        <v>4.853</v>
      </c>
      <c r="Q44" s="136"/>
      <c r="R44" s="136"/>
      <c r="S44" s="139" t="n">
        <v>211.6</v>
      </c>
      <c r="T44" s="129" t="n">
        <v>0.104</v>
      </c>
      <c r="U44" s="129" t="n">
        <v>0.101627698535426</v>
      </c>
      <c r="X44" s="130" t="n">
        <v>0.526</v>
      </c>
      <c r="Y44" s="130" t="n">
        <v>0.514001629131095</v>
      </c>
      <c r="Z44" s="129" t="n">
        <v>0.234</v>
      </c>
      <c r="AA44" s="129" t="n">
        <v>0.228662321704708</v>
      </c>
      <c r="AB44" s="130" t="n">
        <v>1.49</v>
      </c>
      <c r="AC44" s="130" t="n">
        <v>1.45601221940177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35.9096</v>
      </c>
      <c r="H45" s="124" t="n">
        <v>0</v>
      </c>
      <c r="I45" s="124" t="n">
        <v>0</v>
      </c>
      <c r="J45" s="136"/>
      <c r="K45" s="137"/>
      <c r="L45" s="137"/>
      <c r="M45" s="137"/>
      <c r="N45" s="138"/>
      <c r="O45" s="137"/>
      <c r="P45" s="136" t="n">
        <v>4.852</v>
      </c>
      <c r="Q45" s="136"/>
      <c r="R45" s="136"/>
      <c r="S45" s="139" t="n">
        <v>211.5</v>
      </c>
      <c r="T45" s="129" t="n">
        <v>0.106</v>
      </c>
      <c r="U45" s="129" t="n">
        <v>0.103582077353415</v>
      </c>
      <c r="X45" s="130" t="n">
        <v>0.524</v>
      </c>
      <c r="Y45" s="130" t="n">
        <v>0.512047250313106</v>
      </c>
      <c r="Z45" s="129" t="n">
        <v>0.225</v>
      </c>
      <c r="AA45" s="129" t="n">
        <v>0.219867617023757</v>
      </c>
      <c r="AB45" s="130" t="n">
        <v>1.47</v>
      </c>
      <c r="AC45" s="130" t="n">
        <v>1.43646843122188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59.86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-7°59,86</v>
      </c>
      <c r="P9" s="31" t="s">
        <v>16</v>
      </c>
      <c r="Q9" s="35" t="n">
        <f aca="false">IF(ISBLANK(I9),"",IF(ISBLANK(J9),"",IF(J9&gt;60,"ERREUR !!",O11*(I9+(J9/60)))))</f>
        <v>-7.99766666666667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-9°59,97</v>
      </c>
      <c r="P10" s="31" t="s">
        <v>17</v>
      </c>
      <c r="Q10" s="35" t="n">
        <f aca="false">IF(ISBLANK(I10),"",IF(ISBLANK(J10),"",IF(J10&gt;60,"ERREUR !!",O12*(I10+(J10/60)))))</f>
        <v>-9.9995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37143</v>
      </c>
      <c r="K11" s="40"/>
      <c r="L11" s="40"/>
      <c r="M11" s="40"/>
      <c r="N11" s="41" t="str">
        <f aca="false">I9&amp;"°"&amp;J9</f>
        <v>7°59,86</v>
      </c>
      <c r="O11" s="42" t="n">
        <f aca="false">IF(P9=M10,-1,1)</f>
        <v>-1</v>
      </c>
      <c r="P11" s="43" t="str">
        <f aca="false">TEXT(J11,"aaaa-mm-jj")&amp;"T"&amp;TEXT(J12,"hh:mm:ss")&amp;"z"</f>
        <v>2005-09-10T13:00:00z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0.541666666666667</v>
      </c>
      <c r="K12" s="48"/>
      <c r="L12" s="48"/>
      <c r="M12" s="48"/>
      <c r="N12" s="49" t="str">
        <f aca="false">I10&amp;"°"&amp;J10</f>
        <v>9°59,97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34.5953</v>
      </c>
      <c r="H35" s="123" t="n">
        <v>1000</v>
      </c>
      <c r="I35" s="124" t="n">
        <v>1005</v>
      </c>
      <c r="J35" s="125"/>
      <c r="K35" s="126"/>
      <c r="L35" s="126"/>
      <c r="M35" s="126"/>
      <c r="N35" s="127"/>
      <c r="O35" s="126"/>
      <c r="P35" s="125" t="n">
        <v>3.569</v>
      </c>
      <c r="Q35" s="125"/>
      <c r="R35" s="125"/>
      <c r="S35" s="128" t="n">
        <v>155.2</v>
      </c>
      <c r="T35" s="129" t="n">
        <v>0.046</v>
      </c>
      <c r="U35" s="129" t="n">
        <v>0.044950712813746</v>
      </c>
      <c r="X35" s="130" t="n">
        <v>34.644</v>
      </c>
      <c r="Y35" s="130" t="n">
        <v>33.8537498852047</v>
      </c>
      <c r="Z35" s="129" t="n">
        <v>2.326</v>
      </c>
      <c r="AA35" s="129" t="n">
        <v>2.27294256532115</v>
      </c>
      <c r="AB35" s="130" t="n">
        <v>34.38</v>
      </c>
      <c r="AC35" s="130" t="n">
        <v>33.5957718812301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34.9277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1.841</v>
      </c>
      <c r="Q36" s="136"/>
      <c r="R36" s="136"/>
      <c r="S36" s="139" t="n">
        <v>80.1</v>
      </c>
      <c r="T36" s="129" t="n">
        <v>0.045</v>
      </c>
      <c r="U36" s="129" t="n">
        <v>0.0439735234047515</v>
      </c>
      <c r="X36" s="130" t="n">
        <v>32.025</v>
      </c>
      <c r="Y36" s="130" t="n">
        <v>31.2944908230481</v>
      </c>
      <c r="Z36" s="129" t="n">
        <v>2.009</v>
      </c>
      <c r="AA36" s="129" t="n">
        <v>1.96317352266991</v>
      </c>
      <c r="AB36" s="130" t="n">
        <v>13.5</v>
      </c>
      <c r="AC36" s="130" t="n">
        <v>13.1920570214254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35.3282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1.992</v>
      </c>
      <c r="Q37" s="136"/>
      <c r="R37" s="136"/>
      <c r="S37" s="139" t="n">
        <v>86.7</v>
      </c>
      <c r="T37" s="129" t="n">
        <v>0.047</v>
      </c>
      <c r="U37" s="129" t="n">
        <v>0.0459279022227404</v>
      </c>
      <c r="X37" s="130" t="n">
        <v>24.983</v>
      </c>
      <c r="Y37" s="130" t="n">
        <v>24.413123004909</v>
      </c>
      <c r="Z37" s="129" t="n">
        <v>1.605</v>
      </c>
      <c r="AA37" s="129" t="n">
        <v>1.56838900143614</v>
      </c>
      <c r="AB37" s="130" t="n">
        <v>8.24</v>
      </c>
      <c r="AC37" s="130" t="n">
        <v>8.05204073011449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35.4888</v>
      </c>
      <c r="H38" s="124" t="n">
        <v>130</v>
      </c>
      <c r="I38" s="124" t="n">
        <v>129</v>
      </c>
      <c r="J38" s="136"/>
      <c r="K38" s="137"/>
      <c r="L38" s="137"/>
      <c r="M38" s="137"/>
      <c r="N38" s="138"/>
      <c r="O38" s="137"/>
      <c r="P38" s="136" t="n">
        <v>2.055</v>
      </c>
      <c r="Q38" s="136"/>
      <c r="R38" s="136"/>
      <c r="S38" s="139" t="n">
        <v>89.5</v>
      </c>
      <c r="T38" s="129" t="n">
        <v>0.044</v>
      </c>
      <c r="U38" s="129" t="n">
        <v>0.042996333995757</v>
      </c>
      <c r="X38" s="130" t="n">
        <v>22.816</v>
      </c>
      <c r="Y38" s="130" t="n">
        <v>22.295553555618</v>
      </c>
      <c r="Z38" s="129" t="n">
        <v>1.608</v>
      </c>
      <c r="AA38" s="129" t="n">
        <v>1.57132056966312</v>
      </c>
      <c r="AB38" s="130" t="n">
        <v>7.06</v>
      </c>
      <c r="AC38" s="130" t="n">
        <v>6.89895722750101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35.6755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2.23</v>
      </c>
      <c r="Q39" s="136"/>
      <c r="R39" s="136"/>
      <c r="S39" s="139" t="n">
        <v>97.1</v>
      </c>
      <c r="T39" s="129" t="n">
        <v>0.057</v>
      </c>
      <c r="U39" s="129" t="n">
        <v>0.0556997963126852</v>
      </c>
      <c r="X39" s="130" t="n">
        <v>19.943</v>
      </c>
      <c r="Y39" s="130" t="n">
        <v>19.4880883835769</v>
      </c>
      <c r="Z39" s="129" t="n">
        <v>1.336</v>
      </c>
      <c r="AA39" s="129" t="n">
        <v>1.30552505041662</v>
      </c>
      <c r="AB39" s="130" t="n">
        <v>5.77</v>
      </c>
      <c r="AC39" s="130" t="n">
        <v>5.63838288989813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35.9904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3.229</v>
      </c>
      <c r="Q40" s="136"/>
      <c r="R40" s="136"/>
      <c r="S40" s="139" t="n">
        <v>140.6</v>
      </c>
      <c r="T40" s="129" t="n">
        <v>0.5585</v>
      </c>
      <c r="U40" s="129" t="n">
        <v>0.545760284923416</v>
      </c>
      <c r="X40" s="130" t="n">
        <v>10.8365</v>
      </c>
      <c r="Y40" s="130" t="n">
        <v>10.5893130305687</v>
      </c>
      <c r="Z40" s="129" t="n">
        <v>0.8605</v>
      </c>
      <c r="AA40" s="129" t="n">
        <v>0.840871486439748</v>
      </c>
      <c r="AB40" s="130" t="n">
        <v>3.53</v>
      </c>
      <c r="AC40" s="130" t="n">
        <v>3.44947861375051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36.1281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4.63</v>
      </c>
      <c r="Q41" s="136"/>
      <c r="R41" s="136"/>
      <c r="S41" s="139" t="n">
        <v>201.8</v>
      </c>
      <c r="T41" s="129" t="n">
        <v>0.176</v>
      </c>
      <c r="U41" s="129" t="n">
        <v>0.171985335983028</v>
      </c>
      <c r="X41" s="130" t="n">
        <v>0.834</v>
      </c>
      <c r="Y41" s="130" t="n">
        <v>0.814975967101394</v>
      </c>
      <c r="Z41" s="129" t="n">
        <v>0.263</v>
      </c>
      <c r="AA41" s="129" t="n">
        <v>0.257000814565548</v>
      </c>
      <c r="AB41" s="130" t="n">
        <v>1.37</v>
      </c>
      <c r="AC41" s="130" t="n">
        <v>1.33874949032243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35.9779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4.856</v>
      </c>
      <c r="Q42" s="136"/>
      <c r="R42" s="136"/>
      <c r="S42" s="139" t="n">
        <v>211.7</v>
      </c>
      <c r="T42" s="129" t="n">
        <v>0.06</v>
      </c>
      <c r="U42" s="129" t="n">
        <v>0.0586313645396686</v>
      </c>
      <c r="X42" s="130" t="n">
        <v>0.14</v>
      </c>
      <c r="Y42" s="130" t="n">
        <v>0.136806517259227</v>
      </c>
      <c r="Z42" s="129" t="n">
        <v>0.205</v>
      </c>
      <c r="AA42" s="129" t="n">
        <v>0.200323828843868</v>
      </c>
      <c r="AB42" s="130" t="n">
        <v>1.31</v>
      </c>
      <c r="AC42" s="130" t="n">
        <v>1.28011812578277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35.9773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4.865</v>
      </c>
      <c r="Q43" s="136"/>
      <c r="R43" s="136"/>
      <c r="S43" s="139" t="n">
        <v>212.1</v>
      </c>
      <c r="T43" s="129" t="n">
        <v>0.065</v>
      </c>
      <c r="U43" s="129" t="n">
        <v>0.063517311584641</v>
      </c>
      <c r="X43" s="130" t="n">
        <v>0.145</v>
      </c>
      <c r="Y43" s="130" t="n">
        <v>0.141692464304199</v>
      </c>
      <c r="Z43" s="129" t="n">
        <v>0.2</v>
      </c>
      <c r="AA43" s="129" t="n">
        <v>0.195437881798895</v>
      </c>
      <c r="AB43" s="130" t="n">
        <v>1.31</v>
      </c>
      <c r="AC43" s="130" t="n">
        <v>1.28011812578277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35.9777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4.864</v>
      </c>
      <c r="Q44" s="136"/>
      <c r="R44" s="136"/>
      <c r="S44" s="139" t="n">
        <v>212.1</v>
      </c>
      <c r="T44" s="129" t="n">
        <v>0.057</v>
      </c>
      <c r="U44" s="129" t="n">
        <v>0.0556997963126852</v>
      </c>
      <c r="X44" s="130" t="n">
        <v>0.143</v>
      </c>
      <c r="Y44" s="130" t="n">
        <v>0.13973808548621</v>
      </c>
      <c r="Z44" s="129" t="n">
        <v>0.205</v>
      </c>
      <c r="AA44" s="129" t="n">
        <v>0.200323828843868</v>
      </c>
      <c r="AB44" s="130" t="n">
        <v>1.33</v>
      </c>
      <c r="AC44" s="130" t="n">
        <v>1.29966191396266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35.9784</v>
      </c>
      <c r="H45" s="124" t="n">
        <v>0</v>
      </c>
      <c r="I45" s="124" t="n">
        <v>1</v>
      </c>
      <c r="J45" s="136"/>
      <c r="K45" s="137"/>
      <c r="L45" s="137"/>
      <c r="M45" s="137"/>
      <c r="N45" s="138"/>
      <c r="O45" s="137"/>
      <c r="P45" s="136" t="n">
        <v>4.878</v>
      </c>
      <c r="Q45" s="136"/>
      <c r="R45" s="136"/>
      <c r="S45" s="139" t="n">
        <v>212.7</v>
      </c>
      <c r="T45" s="129" t="n">
        <v>0.056</v>
      </c>
      <c r="U45" s="129" t="n">
        <v>0.0547226069036907</v>
      </c>
      <c r="X45" s="130" t="n">
        <v>0.144</v>
      </c>
      <c r="Y45" s="130" t="n">
        <v>0.140715274895205</v>
      </c>
      <c r="Z45" s="129" t="n">
        <v>0.19</v>
      </c>
      <c r="AA45" s="129" t="n">
        <v>0.185665987708951</v>
      </c>
      <c r="AB45" s="130" t="n">
        <v>1.32</v>
      </c>
      <c r="AC45" s="130" t="n">
        <v>1.28989001987271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I29" type="list">
      <formula1>$O$28:$O$30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7" activeCellId="0" sqref="T7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7</v>
      </c>
      <c r="J9" s="31" t="n">
        <v>29.97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-7°29,97</v>
      </c>
      <c r="P9" s="31" t="s">
        <v>16</v>
      </c>
      <c r="Q9" s="35" t="n">
        <f aca="false">IF(ISBLANK(I9),"",IF(ISBLANK(J9),"",IF(J9&gt;60,"ERREUR !!",O11*(I9+(J9/60)))))</f>
        <v>-7.4995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0.02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-10°0,02</v>
      </c>
      <c r="P10" s="31" t="s">
        <v>17</v>
      </c>
      <c r="Q10" s="35" t="n">
        <f aca="false">IF(ISBLANK(I10),"",IF(ISBLANK(J10),"",IF(J10&gt;60,"ERREUR !!",O12*(I10+(J10/60)))))</f>
        <v>-10.0003333333333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37143</v>
      </c>
      <c r="K11" s="40"/>
      <c r="L11" s="40"/>
      <c r="M11" s="40"/>
      <c r="N11" s="41" t="str">
        <f aca="false">I9&amp;"°"&amp;J9</f>
        <v>7°29,97</v>
      </c>
      <c r="O11" s="42" t="n">
        <f aca="false">IF(P9=M10,-1,1)</f>
        <v>-1</v>
      </c>
      <c r="P11" s="43" t="str">
        <f aca="false">TEXT(J11,"aaaa-mm-jj")&amp;"T"&amp;TEXT(J12,"hh:mm:ss")&amp;"z"</f>
        <v>2005-09-10T17:30:00z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0.729166666666667</v>
      </c>
      <c r="K12" s="48"/>
      <c r="L12" s="48"/>
      <c r="M12" s="48"/>
      <c r="N12" s="49" t="str">
        <f aca="false">I10&amp;"°"&amp;J10</f>
        <v>10°0,02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34.5615</v>
      </c>
      <c r="H35" s="123" t="n">
        <v>1000</v>
      </c>
      <c r="I35" s="124" t="n">
        <v>1000.7</v>
      </c>
      <c r="J35" s="125"/>
      <c r="K35" s="126"/>
      <c r="L35" s="126"/>
      <c r="M35" s="126"/>
      <c r="N35" s="127"/>
      <c r="O35" s="126"/>
      <c r="P35" s="125" t="n">
        <v>3.551</v>
      </c>
      <c r="Q35" s="125"/>
      <c r="R35" s="125"/>
      <c r="S35" s="128" t="n">
        <v>154.4</v>
      </c>
      <c r="T35" s="129" t="n">
        <v>0.023</v>
      </c>
      <c r="U35" s="129" t="n">
        <v>0.022475356406873</v>
      </c>
      <c r="X35" s="130" t="n">
        <v>35.117</v>
      </c>
      <c r="Y35" s="130" t="n">
        <v>34.3159604756591</v>
      </c>
      <c r="Z35" s="129" t="n">
        <v>2.336</v>
      </c>
      <c r="AA35" s="129" t="n">
        <v>2.2827144594111</v>
      </c>
      <c r="AB35" s="130" t="n">
        <v>34.16</v>
      </c>
      <c r="AC35" s="130" t="n">
        <v>33.3807902112513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34.8884</v>
      </c>
      <c r="H36" s="124" t="n">
        <v>300</v>
      </c>
      <c r="I36" s="124" t="n">
        <v>299.2</v>
      </c>
      <c r="J36" s="136"/>
      <c r="K36" s="137"/>
      <c r="L36" s="137"/>
      <c r="M36" s="137"/>
      <c r="N36" s="138"/>
      <c r="O36" s="137"/>
      <c r="P36" s="136" t="n">
        <v>1.649</v>
      </c>
      <c r="Q36" s="136"/>
      <c r="R36" s="136"/>
      <c r="S36" s="139" t="n">
        <v>71.7</v>
      </c>
      <c r="T36" s="129" t="n">
        <v>0.025</v>
      </c>
      <c r="U36" s="129" t="n">
        <v>0.0244297352248619</v>
      </c>
      <c r="X36" s="130" t="n">
        <v>33.575</v>
      </c>
      <c r="Y36" s="130" t="n">
        <v>32.8091344069896</v>
      </c>
      <c r="Z36" s="129" t="n">
        <v>2.078</v>
      </c>
      <c r="AA36" s="129" t="n">
        <v>2.03059959189052</v>
      </c>
      <c r="AB36" s="130" t="n">
        <v>14.77</v>
      </c>
      <c r="AC36" s="130" t="n">
        <v>14.4330875708484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35.2154</v>
      </c>
      <c r="H37" s="124" t="n">
        <v>160</v>
      </c>
      <c r="I37" s="124" t="n">
        <v>160.5</v>
      </c>
      <c r="J37" s="136"/>
      <c r="K37" s="137"/>
      <c r="L37" s="137"/>
      <c r="M37" s="137"/>
      <c r="N37" s="138"/>
      <c r="O37" s="137"/>
      <c r="P37" s="136" t="n">
        <v>1.966</v>
      </c>
      <c r="Q37" s="136"/>
      <c r="R37" s="136"/>
      <c r="S37" s="139" t="n">
        <v>85.6</v>
      </c>
      <c r="T37" s="129" t="n">
        <v>0.034</v>
      </c>
      <c r="U37" s="129" t="n">
        <v>0.0332244399058122</v>
      </c>
      <c r="X37" s="130" t="n">
        <v>26.376</v>
      </c>
      <c r="Y37" s="130" t="n">
        <v>25.7743478516383</v>
      </c>
      <c r="Z37" s="129" t="n">
        <v>1.696</v>
      </c>
      <c r="AA37" s="129" t="n">
        <v>1.65731323765463</v>
      </c>
      <c r="AB37" s="130" t="n">
        <v>9.61</v>
      </c>
      <c r="AC37" s="130" t="n">
        <v>9.39079022043693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35.3777</v>
      </c>
      <c r="H38" s="124" t="n">
        <v>130</v>
      </c>
      <c r="I38" s="124" t="n">
        <v>130.2</v>
      </c>
      <c r="J38" s="136"/>
      <c r="K38" s="137"/>
      <c r="L38" s="137"/>
      <c r="M38" s="137"/>
      <c r="N38" s="138"/>
      <c r="O38" s="137"/>
      <c r="P38" s="136" t="n">
        <v>1.96</v>
      </c>
      <c r="Q38" s="136"/>
      <c r="R38" s="136"/>
      <c r="S38" s="139" t="n">
        <v>85.3</v>
      </c>
      <c r="T38" s="129" t="n">
        <v>0.042</v>
      </c>
      <c r="U38" s="129" t="n">
        <v>0.0410419551777681</v>
      </c>
      <c r="X38" s="130" t="n">
        <v>24.518</v>
      </c>
      <c r="Y38" s="130" t="n">
        <v>23.9587299297266</v>
      </c>
      <c r="Z38" s="129" t="n">
        <v>1.584</v>
      </c>
      <c r="AA38" s="129" t="n">
        <v>1.54786802384725</v>
      </c>
      <c r="AB38" s="130" t="n">
        <v>8.14</v>
      </c>
      <c r="AC38" s="130" t="n">
        <v>7.95432178921505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35.9058</v>
      </c>
      <c r="H39" s="124" t="n">
        <v>100</v>
      </c>
      <c r="I39" s="124" t="n">
        <v>100.1</v>
      </c>
      <c r="J39" s="136"/>
      <c r="K39" s="137"/>
      <c r="L39" s="137"/>
      <c r="M39" s="137"/>
      <c r="N39" s="138"/>
      <c r="O39" s="137"/>
      <c r="P39" s="136" t="n">
        <v>2.877</v>
      </c>
      <c r="Q39" s="136"/>
      <c r="R39" s="136"/>
      <c r="S39" s="139" t="n">
        <v>125.3</v>
      </c>
      <c r="T39" s="129" t="n">
        <v>0.103</v>
      </c>
      <c r="U39" s="129" t="n">
        <v>0.100650509126431</v>
      </c>
      <c r="X39" s="130" t="n">
        <v>14.507</v>
      </c>
      <c r="Y39" s="130" t="n">
        <v>14.1760867562829</v>
      </c>
      <c r="Z39" s="129" t="n">
        <v>1.046</v>
      </c>
      <c r="AA39" s="129" t="n">
        <v>1.02214012180822</v>
      </c>
      <c r="AB39" s="130" t="n">
        <v>4.5</v>
      </c>
      <c r="AC39" s="130" t="n">
        <v>4.39735234047515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35.9993</v>
      </c>
      <c r="H40" s="124" t="n">
        <v>80</v>
      </c>
      <c r="I40" s="124" t="n">
        <v>80.7</v>
      </c>
      <c r="J40" s="136"/>
      <c r="K40" s="137"/>
      <c r="L40" s="137"/>
      <c r="M40" s="137"/>
      <c r="N40" s="138"/>
      <c r="O40" s="137"/>
      <c r="P40" s="136" t="n">
        <v>4.621</v>
      </c>
      <c r="Q40" s="136"/>
      <c r="R40" s="136"/>
      <c r="S40" s="139" t="n">
        <v>201.4</v>
      </c>
      <c r="T40" s="129" t="n">
        <v>0.316</v>
      </c>
      <c r="U40" s="129" t="n">
        <v>0.308791853242255</v>
      </c>
      <c r="X40" s="130" t="n">
        <v>1.104</v>
      </c>
      <c r="Y40" s="130" t="n">
        <v>1.0788171075299</v>
      </c>
      <c r="Z40" s="129" t="n">
        <v>0.314</v>
      </c>
      <c r="AA40" s="129" t="n">
        <v>0.306837474424266</v>
      </c>
      <c r="AB40" s="130" t="n">
        <v>2.22</v>
      </c>
      <c r="AC40" s="130" t="n">
        <v>2.16936048796774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35.9739</v>
      </c>
      <c r="H41" s="124" t="n">
        <v>60</v>
      </c>
      <c r="I41" s="124" t="n">
        <v>60.7</v>
      </c>
      <c r="J41" s="136"/>
      <c r="K41" s="137"/>
      <c r="L41" s="137"/>
      <c r="M41" s="137"/>
      <c r="N41" s="138"/>
      <c r="O41" s="137"/>
      <c r="P41" s="136" t="n">
        <v>4.877</v>
      </c>
      <c r="Q41" s="136"/>
      <c r="R41" s="136"/>
      <c r="S41" s="139" t="n">
        <v>212.6</v>
      </c>
      <c r="T41" s="129" t="n">
        <v>0.0825</v>
      </c>
      <c r="U41" s="129" t="n">
        <v>0.0806181262420444</v>
      </c>
      <c r="X41" s="130" t="n">
        <v>0.2575</v>
      </c>
      <c r="Y41" s="130" t="n">
        <v>0.251626272816078</v>
      </c>
      <c r="Z41" s="129" t="n">
        <v>0.236</v>
      </c>
      <c r="AA41" s="129" t="n">
        <v>0.230616700522697</v>
      </c>
      <c r="AB41" s="130" t="n">
        <v>1.35</v>
      </c>
      <c r="AC41" s="130" t="n">
        <v>1.31920570214254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35.9686</v>
      </c>
      <c r="H42" s="124" t="n">
        <v>40</v>
      </c>
      <c r="I42" s="124" t="n">
        <v>39.8</v>
      </c>
      <c r="J42" s="136"/>
      <c r="K42" s="137"/>
      <c r="L42" s="137"/>
      <c r="M42" s="137"/>
      <c r="N42" s="138"/>
      <c r="O42" s="137"/>
      <c r="P42" s="136" t="n">
        <v>4.91</v>
      </c>
      <c r="Q42" s="136"/>
      <c r="R42" s="136"/>
      <c r="S42" s="139" t="n">
        <v>214</v>
      </c>
      <c r="T42" s="129" t="n">
        <v>0.087</v>
      </c>
      <c r="U42" s="129" t="n">
        <v>0.0850154785825195</v>
      </c>
      <c r="X42" s="130" t="n">
        <v>0.213</v>
      </c>
      <c r="Y42" s="130" t="n">
        <v>0.208141344115824</v>
      </c>
      <c r="Z42" s="129" t="n">
        <v>0.219</v>
      </c>
      <c r="AA42" s="129" t="n">
        <v>0.21400448056979</v>
      </c>
      <c r="AB42" s="130" t="n">
        <v>1.86</v>
      </c>
      <c r="AC42" s="130" t="n">
        <v>1.81757230072973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35.9688</v>
      </c>
      <c r="H43" s="124" t="n">
        <v>20</v>
      </c>
      <c r="I43" s="124" t="n">
        <v>19.7</v>
      </c>
      <c r="J43" s="136"/>
      <c r="K43" s="137"/>
      <c r="L43" s="137"/>
      <c r="M43" s="137"/>
      <c r="N43" s="138"/>
      <c r="O43" s="137"/>
      <c r="P43" s="136" t="n">
        <v>4.886</v>
      </c>
      <c r="Q43" s="136"/>
      <c r="R43" s="136"/>
      <c r="S43" s="139" t="n">
        <v>213</v>
      </c>
      <c r="T43" s="129" t="n">
        <v>0.074</v>
      </c>
      <c r="U43" s="129" t="n">
        <v>0.0723120162655913</v>
      </c>
      <c r="X43" s="130" t="n">
        <v>0.196</v>
      </c>
      <c r="Y43" s="130" t="n">
        <v>0.191529124162918</v>
      </c>
      <c r="Z43" s="129" t="n">
        <v>0.213</v>
      </c>
      <c r="AA43" s="129" t="n">
        <v>0.208141344115824</v>
      </c>
      <c r="AB43" s="130" t="n">
        <v>1.46</v>
      </c>
      <c r="AC43" s="130" t="n">
        <v>1.42669653713194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35.9684</v>
      </c>
      <c r="H44" s="124" t="n">
        <v>10</v>
      </c>
      <c r="I44" s="124" t="n">
        <v>10.5</v>
      </c>
      <c r="J44" s="136"/>
      <c r="K44" s="137"/>
      <c r="L44" s="137"/>
      <c r="M44" s="137"/>
      <c r="N44" s="138"/>
      <c r="O44" s="137"/>
      <c r="P44" s="136" t="n">
        <v>4.918</v>
      </c>
      <c r="Q44" s="136"/>
      <c r="R44" s="136"/>
      <c r="S44" s="139" t="n">
        <v>214.4</v>
      </c>
      <c r="T44" s="129" t="n">
        <v>0.071</v>
      </c>
      <c r="U44" s="129" t="n">
        <v>0.0693804480386079</v>
      </c>
      <c r="X44" s="130" t="n">
        <v>0.209</v>
      </c>
      <c r="Y44" s="130" t="n">
        <v>0.204232586479846</v>
      </c>
      <c r="Z44" s="129" t="n">
        <v>0.231</v>
      </c>
      <c r="AA44" s="129" t="n">
        <v>0.225730753477724</v>
      </c>
      <c r="AB44" s="130" t="n">
        <v>1.45</v>
      </c>
      <c r="AC44" s="130" t="n">
        <v>1.41692464304199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35.9708</v>
      </c>
      <c r="H45" s="124" t="n">
        <v>0</v>
      </c>
      <c r="I45" s="124" t="n">
        <v>0.6</v>
      </c>
      <c r="J45" s="136"/>
      <c r="K45" s="137"/>
      <c r="L45" s="137"/>
      <c r="M45" s="137"/>
      <c r="N45" s="138"/>
      <c r="O45" s="137"/>
      <c r="P45" s="136" t="n">
        <v>4.927</v>
      </c>
      <c r="Q45" s="136"/>
      <c r="R45" s="136"/>
      <c r="S45" s="139" t="n">
        <v>214.8</v>
      </c>
      <c r="T45" s="129" t="n">
        <v>0.066</v>
      </c>
      <c r="U45" s="129" t="n">
        <v>0.0644945009936355</v>
      </c>
      <c r="X45" s="130" t="n">
        <v>0.184</v>
      </c>
      <c r="Y45" s="130" t="n">
        <v>0.179802851254984</v>
      </c>
      <c r="Z45" s="129" t="n">
        <v>0.209</v>
      </c>
      <c r="AA45" s="129" t="n">
        <v>0.204232586479846</v>
      </c>
      <c r="AB45" s="130" t="n">
        <v>1.67</v>
      </c>
      <c r="AC45" s="130" t="n">
        <v>1.63190631302078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59.95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-6°59,95</v>
      </c>
      <c r="P9" s="31" t="s">
        <v>16</v>
      </c>
      <c r="Q9" s="35" t="n">
        <f aca="false">IF(ISBLANK(I9),"",IF(ISBLANK(J9),"",IF(J9&gt;60,"ERREUR !!",O11*(I9+(J9/60)))))</f>
        <v>-6.99916666666667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-9°59,95</v>
      </c>
      <c r="P10" s="31" t="s">
        <v>17</v>
      </c>
      <c r="Q10" s="35" t="n">
        <f aca="false">IF(ISBLANK(I10),"",IF(ISBLANK(J10),"",IF(J10&gt;60,"ERREUR !!",O12*(I10+(J10/60)))))</f>
        <v>-9.99916666666667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37143</v>
      </c>
      <c r="K11" s="40"/>
      <c r="L11" s="40"/>
      <c r="M11" s="40"/>
      <c r="N11" s="41" t="str">
        <f aca="false">I9&amp;"°"&amp;J9</f>
        <v>6°59,95</v>
      </c>
      <c r="O11" s="42" t="n">
        <f aca="false">IF(P9=M10,-1,1)</f>
        <v>-1</v>
      </c>
      <c r="P11" s="43" t="str">
        <f aca="false">TEXT(J11,"aaaa-mm-jj")&amp;"T"&amp;TEXT(J12,"hh:mm:ss")&amp;"z"</f>
        <v>2005-09-10T21:40:00z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0.902777777777778</v>
      </c>
      <c r="K12" s="48"/>
      <c r="L12" s="48"/>
      <c r="M12" s="48"/>
      <c r="N12" s="49" t="str">
        <f aca="false">I10&amp;"°"&amp;J10</f>
        <v>9°59,95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34.5698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3.471</v>
      </c>
      <c r="Q35" s="125"/>
      <c r="R35" s="125"/>
      <c r="S35" s="128" t="n">
        <v>150.9</v>
      </c>
      <c r="T35" s="129" t="n">
        <v>0.026</v>
      </c>
      <c r="U35" s="129" t="n">
        <v>0.0254069246338564</v>
      </c>
      <c r="X35" s="130" t="n">
        <v>34.674</v>
      </c>
      <c r="Y35" s="130" t="n">
        <v>33.8830655674745</v>
      </c>
      <c r="Z35" s="129" t="n">
        <v>2.319</v>
      </c>
      <c r="AA35" s="129" t="n">
        <v>2.26610223945819</v>
      </c>
      <c r="AB35" s="130" t="n">
        <v>33.82</v>
      </c>
      <c r="AC35" s="130" t="n">
        <v>33.0485458121932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34.891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1.617</v>
      </c>
      <c r="Q36" s="136"/>
      <c r="R36" s="136"/>
      <c r="S36" s="139" t="n">
        <v>70.4</v>
      </c>
      <c r="T36" s="129" t="n">
        <v>0.028</v>
      </c>
      <c r="U36" s="129" t="n">
        <v>0.0273613034518454</v>
      </c>
      <c r="X36" s="130" t="n">
        <v>33.792</v>
      </c>
      <c r="Y36" s="130" t="n">
        <v>33.0211845087414</v>
      </c>
      <c r="Z36" s="129" t="n">
        <v>2.074</v>
      </c>
      <c r="AA36" s="129" t="n">
        <v>2.02669083425455</v>
      </c>
      <c r="AB36" s="130" t="n">
        <v>14.49</v>
      </c>
      <c r="AC36" s="130" t="n">
        <v>14.15947453633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35.1531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2.167</v>
      </c>
      <c r="Q37" s="136"/>
      <c r="R37" s="136"/>
      <c r="S37" s="139" t="n">
        <v>94.3</v>
      </c>
      <c r="T37" s="129" t="n">
        <v>0.015</v>
      </c>
      <c r="U37" s="129" t="n">
        <v>0.0146578411349172</v>
      </c>
      <c r="X37" s="130" t="n">
        <v>26.325</v>
      </c>
      <c r="Y37" s="130" t="n">
        <v>25.7245111917796</v>
      </c>
      <c r="Z37" s="129" t="n">
        <v>1.677</v>
      </c>
      <c r="AA37" s="129" t="n">
        <v>1.63874663888374</v>
      </c>
      <c r="AB37" s="130" t="n">
        <v>9.76</v>
      </c>
      <c r="AC37" s="130" t="n">
        <v>9.5373686317861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35.3906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2.118</v>
      </c>
      <c r="Q38" s="136"/>
      <c r="R38" s="136"/>
      <c r="S38" s="139" t="n">
        <v>92.2</v>
      </c>
      <c r="T38" s="129" t="n">
        <v>0.023</v>
      </c>
      <c r="U38" s="129" t="n">
        <v>0.022475356406873</v>
      </c>
      <c r="X38" s="130" t="n">
        <v>23.807</v>
      </c>
      <c r="Y38" s="130" t="n">
        <v>23.2639482599315</v>
      </c>
      <c r="Z38" s="129" t="n">
        <v>1.543</v>
      </c>
      <c r="AA38" s="129" t="n">
        <v>1.50780325807848</v>
      </c>
      <c r="AB38" s="130" t="n">
        <v>7.8</v>
      </c>
      <c r="AC38" s="130" t="n">
        <v>7.62207739015692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35.8124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2.632</v>
      </c>
      <c r="Q39" s="136"/>
      <c r="R39" s="136"/>
      <c r="S39" s="139" t="n">
        <v>114.6</v>
      </c>
      <c r="T39" s="129" t="n">
        <v>0.048</v>
      </c>
      <c r="U39" s="129" t="n">
        <v>0.0469050916317349</v>
      </c>
      <c r="X39" s="130" t="n">
        <v>16.202</v>
      </c>
      <c r="Y39" s="130" t="n">
        <v>15.8324228045285</v>
      </c>
      <c r="Z39" s="129" t="n">
        <v>1.123</v>
      </c>
      <c r="AA39" s="129" t="n">
        <v>1.0973837063008</v>
      </c>
      <c r="AB39" s="130" t="n">
        <v>4.69</v>
      </c>
      <c r="AC39" s="130" t="n">
        <v>4.5830183281841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36.0138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3.576</v>
      </c>
      <c r="Q40" s="136"/>
      <c r="R40" s="136"/>
      <c r="S40" s="139" t="n">
        <v>155.8</v>
      </c>
      <c r="T40" s="129" t="n">
        <v>0.371</v>
      </c>
      <c r="U40" s="129" t="n">
        <v>0.362537270736951</v>
      </c>
      <c r="X40" s="130" t="n">
        <v>8.549</v>
      </c>
      <c r="Y40" s="130" t="n">
        <v>8.35399225749379</v>
      </c>
      <c r="Z40" s="129" t="n">
        <v>0.702</v>
      </c>
      <c r="AA40" s="129" t="n">
        <v>0.685986965114123</v>
      </c>
      <c r="AB40" s="130" t="n">
        <v>2.96</v>
      </c>
      <c r="AC40" s="130" t="n">
        <v>2.89248065062365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35.9446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4.728</v>
      </c>
      <c r="Q41" s="136"/>
      <c r="R41" s="136"/>
      <c r="S41" s="139" t="n">
        <v>206.1</v>
      </c>
      <c r="T41" s="129" t="n">
        <v>0.214</v>
      </c>
      <c r="U41" s="129" t="n">
        <v>0.209118533524818</v>
      </c>
      <c r="X41" s="130" t="n">
        <v>0.876</v>
      </c>
      <c r="Y41" s="130" t="n">
        <v>0.856017922279163</v>
      </c>
      <c r="Z41" s="129" t="n">
        <v>0.273</v>
      </c>
      <c r="AA41" s="129" t="n">
        <v>0.266772708655492</v>
      </c>
      <c r="AB41" s="130" t="n">
        <v>1.49</v>
      </c>
      <c r="AC41" s="130" t="n">
        <v>1.45601221940177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35.9317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4.873</v>
      </c>
      <c r="Q42" s="136"/>
      <c r="R42" s="136"/>
      <c r="S42" s="139" t="n">
        <v>212.4</v>
      </c>
      <c r="T42" s="129" t="n">
        <v>0.0695</v>
      </c>
      <c r="U42" s="129" t="n">
        <v>0.0679146639251162</v>
      </c>
      <c r="X42" s="130" t="n">
        <v>0.1505</v>
      </c>
      <c r="Y42" s="130" t="n">
        <v>0.147067006053669</v>
      </c>
      <c r="Z42" s="129" t="n">
        <v>0.2135</v>
      </c>
      <c r="AA42" s="129" t="n">
        <v>0.208629938820321</v>
      </c>
      <c r="AB42" s="130" t="n">
        <v>1.235</v>
      </c>
      <c r="AC42" s="130" t="n">
        <v>1.20682892010818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35.9283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4.92</v>
      </c>
      <c r="Q43" s="136"/>
      <c r="R43" s="136"/>
      <c r="S43" s="139" t="n">
        <v>214.5</v>
      </c>
      <c r="T43" s="129" t="n">
        <v>0.059</v>
      </c>
      <c r="U43" s="129" t="n">
        <v>0.0576541751306742</v>
      </c>
      <c r="X43" s="130" t="n">
        <v>0.071</v>
      </c>
      <c r="Y43" s="130" t="n">
        <v>0.0693804480386079</v>
      </c>
      <c r="Z43" s="129" t="n">
        <v>0.209</v>
      </c>
      <c r="AA43" s="129" t="n">
        <v>0.204232586479846</v>
      </c>
      <c r="AB43" s="130" t="n">
        <v>1.27</v>
      </c>
      <c r="AC43" s="130" t="n">
        <v>1.24103054942299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35.9275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4.917</v>
      </c>
      <c r="Q44" s="136"/>
      <c r="R44" s="136"/>
      <c r="S44" s="139" t="n">
        <v>214.3</v>
      </c>
      <c r="T44" s="129" t="n">
        <v>0.057</v>
      </c>
      <c r="U44" s="129" t="n">
        <v>0.0556997963126852</v>
      </c>
      <c r="X44" s="130" t="n">
        <v>0.063</v>
      </c>
      <c r="Y44" s="130" t="n">
        <v>0.0615629327666521</v>
      </c>
      <c r="Z44" s="129" t="n">
        <v>0.199</v>
      </c>
      <c r="AA44" s="129" t="n">
        <v>0.194460692389901</v>
      </c>
      <c r="AB44" s="130" t="n">
        <v>1.34</v>
      </c>
      <c r="AC44" s="130" t="n">
        <v>1.3094338080526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35.9281</v>
      </c>
      <c r="H45" s="124" t="n">
        <v>0</v>
      </c>
      <c r="I45" s="124" t="n">
        <v>0</v>
      </c>
      <c r="J45" s="136"/>
      <c r="K45" s="137"/>
      <c r="L45" s="137"/>
      <c r="M45" s="137"/>
      <c r="N45" s="138"/>
      <c r="O45" s="137"/>
      <c r="P45" s="136" t="n">
        <v>4.92</v>
      </c>
      <c r="Q45" s="136"/>
      <c r="R45" s="136"/>
      <c r="S45" s="139" t="n">
        <v>214.5</v>
      </c>
      <c r="T45" s="129" t="n">
        <v>0.057</v>
      </c>
      <c r="U45" s="129" t="n">
        <v>0.0556997963126852</v>
      </c>
      <c r="X45" s="130" t="n">
        <v>0.113</v>
      </c>
      <c r="Y45" s="130" t="n">
        <v>0.110422403216376</v>
      </c>
      <c r="Z45" s="129" t="n">
        <v>0.2</v>
      </c>
      <c r="AA45" s="129" t="n">
        <v>0.195437881798895</v>
      </c>
      <c r="AB45" s="130" t="n">
        <v>1.33</v>
      </c>
      <c r="AC45" s="130" t="n">
        <v>1.29966191396266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6</v>
      </c>
      <c r="J9" s="31" t="n">
        <v>30.01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-6°30,01</v>
      </c>
      <c r="P9" s="31" t="s">
        <v>16</v>
      </c>
      <c r="Q9" s="35" t="n">
        <f aca="false">IF(ISBLANK(I9),"",IF(ISBLANK(J9),"",IF(J9&gt;60,"ERREUR !!",O11*(I9+(J9/60)))))</f>
        <v>-6.50016666666667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59.77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-9°59,77</v>
      </c>
      <c r="P10" s="31" t="s">
        <v>17</v>
      </c>
      <c r="Q10" s="35" t="n">
        <f aca="false">IF(ISBLANK(I10),"",IF(ISBLANK(J10),"",IF(J10&gt;60,"ERREUR !!",O12*(I10+(J10/60)))))</f>
        <v>-9.99616666666667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37144</v>
      </c>
      <c r="K11" s="40"/>
      <c r="L11" s="40"/>
      <c r="M11" s="40"/>
      <c r="N11" s="41" t="str">
        <f aca="false">I9&amp;"°"&amp;J9</f>
        <v>6°30,01</v>
      </c>
      <c r="O11" s="42" t="n">
        <f aca="false">IF(P9=M10,-1,1)</f>
        <v>-1</v>
      </c>
      <c r="P11" s="43" t="str">
        <f aca="false">TEXT(J11,"aaaa-mm-jj")&amp;"T"&amp;TEXT(J12,"hh:mm:ss")&amp;"z"</f>
        <v>2005-09-11T05:00:00z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0.208333333333333</v>
      </c>
      <c r="K12" s="48"/>
      <c r="L12" s="48"/>
      <c r="M12" s="48"/>
      <c r="N12" s="49" t="str">
        <f aca="false">I10&amp;"°"&amp;J10</f>
        <v>9°59,77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34.5806</v>
      </c>
      <c r="H35" s="123" t="n">
        <v>1000</v>
      </c>
      <c r="I35" s="124" t="n">
        <v>1004.2</v>
      </c>
      <c r="J35" s="125"/>
      <c r="K35" s="126"/>
      <c r="L35" s="126"/>
      <c r="M35" s="126"/>
      <c r="N35" s="127"/>
      <c r="O35" s="126"/>
      <c r="P35" s="125" t="n">
        <v>3.54</v>
      </c>
      <c r="Q35" s="125"/>
      <c r="R35" s="125"/>
      <c r="S35" s="128" t="n">
        <v>153.9</v>
      </c>
      <c r="T35" s="129" t="n">
        <v>0.026</v>
      </c>
      <c r="U35" s="129" t="n">
        <v>0.0254069246338564</v>
      </c>
      <c r="X35" s="130" t="n">
        <v>34.944</v>
      </c>
      <c r="Y35" s="130" t="n">
        <v>34.146906707903</v>
      </c>
      <c r="Z35" s="129" t="n">
        <v>2.317</v>
      </c>
      <c r="AA35" s="129" t="n">
        <v>2.2641478606402</v>
      </c>
      <c r="AB35" s="130" t="n">
        <v>33.79</v>
      </c>
      <c r="AC35" s="130" t="n">
        <v>33.0192301299234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34.8625</v>
      </c>
      <c r="H36" s="124" t="n">
        <v>300</v>
      </c>
      <c r="I36" s="124" t="n">
        <v>299</v>
      </c>
      <c r="J36" s="136"/>
      <c r="K36" s="137"/>
      <c r="L36" s="137"/>
      <c r="M36" s="137"/>
      <c r="N36" s="138"/>
      <c r="O36" s="137"/>
      <c r="P36" s="136" t="n">
        <v>1.728</v>
      </c>
      <c r="Q36" s="136"/>
      <c r="R36" s="136"/>
      <c r="S36" s="139" t="n">
        <v>75.2</v>
      </c>
      <c r="T36" s="129" t="n">
        <v>0.034</v>
      </c>
      <c r="U36" s="129" t="n">
        <v>0.0332244399058122</v>
      </c>
      <c r="X36" s="130" t="n">
        <v>34.096</v>
      </c>
      <c r="Y36" s="130" t="n">
        <v>33.3182500890757</v>
      </c>
      <c r="Z36" s="129" t="n">
        <v>2.08</v>
      </c>
      <c r="AA36" s="129" t="n">
        <v>2.03255397070851</v>
      </c>
      <c r="AB36" s="130" t="n">
        <v>15.01</v>
      </c>
      <c r="AC36" s="130" t="n">
        <v>14.6676130290071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35.143</v>
      </c>
      <c r="H37" s="124" t="n">
        <v>160</v>
      </c>
      <c r="I37" s="124" t="n">
        <v>158</v>
      </c>
      <c r="J37" s="136"/>
      <c r="K37" s="137"/>
      <c r="L37" s="137"/>
      <c r="M37" s="137"/>
      <c r="N37" s="138"/>
      <c r="O37" s="137"/>
      <c r="P37" s="136" t="n">
        <v>2.046</v>
      </c>
      <c r="Q37" s="136"/>
      <c r="R37" s="136"/>
      <c r="S37" s="139" t="n">
        <v>89.1</v>
      </c>
      <c r="T37" s="129" t="n">
        <v>0.045</v>
      </c>
      <c r="U37" s="129" t="n">
        <v>0.0439735234047515</v>
      </c>
      <c r="X37" s="130" t="n">
        <v>27.435</v>
      </c>
      <c r="Y37" s="130" t="n">
        <v>26.8091914357635</v>
      </c>
      <c r="Z37" s="129" t="n">
        <v>1.739</v>
      </c>
      <c r="AA37" s="129" t="n">
        <v>1.6993323822414</v>
      </c>
      <c r="AB37" s="130" t="n">
        <v>10.44</v>
      </c>
      <c r="AC37" s="130" t="n">
        <v>10.2018574299023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35.3575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1.993</v>
      </c>
      <c r="Q38" s="136"/>
      <c r="R38" s="136"/>
      <c r="S38" s="139" t="n">
        <v>86.8</v>
      </c>
      <c r="T38" s="129" t="n">
        <v>0.035</v>
      </c>
      <c r="U38" s="129" t="n">
        <v>0.0342016293148067</v>
      </c>
      <c r="X38" s="130" t="n">
        <v>24.935</v>
      </c>
      <c r="Y38" s="130" t="n">
        <v>24.3662179132773</v>
      </c>
      <c r="Z38" s="129" t="n">
        <v>1.572</v>
      </c>
      <c r="AA38" s="129" t="n">
        <v>1.53614175093932</v>
      </c>
      <c r="AB38" s="130" t="n">
        <v>9.5</v>
      </c>
      <c r="AC38" s="130" t="n">
        <v>9.28329938544754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35.753</v>
      </c>
      <c r="H39" s="124" t="n">
        <v>100</v>
      </c>
      <c r="I39" s="124" t="n">
        <v>101</v>
      </c>
      <c r="J39" s="136"/>
      <c r="K39" s="137"/>
      <c r="L39" s="137"/>
      <c r="M39" s="137"/>
      <c r="N39" s="138"/>
      <c r="O39" s="137"/>
      <c r="P39" s="136" t="n">
        <v>2.692</v>
      </c>
      <c r="Q39" s="136"/>
      <c r="R39" s="136"/>
      <c r="S39" s="139" t="n">
        <v>117.2</v>
      </c>
      <c r="T39" s="129" t="n">
        <v>0.053</v>
      </c>
      <c r="U39" s="129" t="n">
        <v>0.0517910386767073</v>
      </c>
      <c r="X39" s="130" t="n">
        <v>16.597</v>
      </c>
      <c r="Y39" s="130" t="n">
        <v>16.2184126210813</v>
      </c>
      <c r="Z39" s="129" t="n">
        <v>1.142</v>
      </c>
      <c r="AA39" s="129" t="n">
        <v>1.11595030507169</v>
      </c>
      <c r="AB39" s="130" t="n">
        <v>4.97</v>
      </c>
      <c r="AC39" s="130" t="n">
        <v>4.85663136270255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35.8677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3.217</v>
      </c>
      <c r="Q40" s="136"/>
      <c r="R40" s="136"/>
      <c r="S40" s="139" t="n">
        <v>140.1</v>
      </c>
      <c r="T40" s="129" t="n">
        <v>0.103</v>
      </c>
      <c r="U40" s="129" t="n">
        <v>0.100650509126431</v>
      </c>
      <c r="X40" s="130" t="n">
        <v>11.787</v>
      </c>
      <c r="Y40" s="130" t="n">
        <v>11.5181315638179</v>
      </c>
      <c r="Z40" s="129" t="n">
        <v>0.859</v>
      </c>
      <c r="AA40" s="129" t="n">
        <v>0.839405702326256</v>
      </c>
      <c r="AB40" s="130" t="n">
        <v>3.53</v>
      </c>
      <c r="AC40" s="130" t="n">
        <v>3.44947861375051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35.9453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4.609</v>
      </c>
      <c r="Q41" s="136"/>
      <c r="R41" s="136"/>
      <c r="S41" s="139" t="n">
        <v>200.9</v>
      </c>
      <c r="T41" s="129" t="n">
        <v>0.33</v>
      </c>
      <c r="U41" s="129" t="n">
        <v>0.322472504968178</v>
      </c>
      <c r="X41" s="130" t="n">
        <v>1.58</v>
      </c>
      <c r="Y41" s="130" t="n">
        <v>1.54395926621127</v>
      </c>
      <c r="Z41" s="129" t="n">
        <v>0.325</v>
      </c>
      <c r="AA41" s="129" t="n">
        <v>0.317586557923205</v>
      </c>
      <c r="AB41" s="130" t="n">
        <v>1.46</v>
      </c>
      <c r="AC41" s="130" t="n">
        <v>1.42669653713194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35.9473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4.849</v>
      </c>
      <c r="Q42" s="136"/>
      <c r="R42" s="136"/>
      <c r="S42" s="139" t="n">
        <v>211.4</v>
      </c>
      <c r="T42" s="129" t="n">
        <v>0.084</v>
      </c>
      <c r="U42" s="129" t="n">
        <v>0.0820839103555361</v>
      </c>
      <c r="X42" s="130" t="n">
        <v>0.196</v>
      </c>
      <c r="Y42" s="130" t="n">
        <v>0.191529124162918</v>
      </c>
      <c r="Z42" s="129" t="n">
        <v>0.205</v>
      </c>
      <c r="AA42" s="129" t="n">
        <v>0.200323828843868</v>
      </c>
      <c r="AB42" s="130" t="n">
        <v>1.01</v>
      </c>
      <c r="AC42" s="130" t="n">
        <v>0.986961303084422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35.9396</v>
      </c>
      <c r="H43" s="124" t="n">
        <v>20</v>
      </c>
      <c r="I43" s="124" t="n">
        <v>21</v>
      </c>
      <c r="J43" s="136"/>
      <c r="K43" s="137"/>
      <c r="L43" s="137"/>
      <c r="M43" s="137"/>
      <c r="N43" s="138"/>
      <c r="O43" s="137"/>
      <c r="P43" s="136" t="n">
        <v>4.895</v>
      </c>
      <c r="Q43" s="136"/>
      <c r="R43" s="136"/>
      <c r="S43" s="139" t="n">
        <v>213.4</v>
      </c>
      <c r="T43" s="129" t="n">
        <v>0.0625</v>
      </c>
      <c r="U43" s="129" t="n">
        <v>0.0610743380621548</v>
      </c>
      <c r="X43" s="130" t="n">
        <v>0.1175</v>
      </c>
      <c r="Y43" s="130" t="n">
        <v>0.114819755556851</v>
      </c>
      <c r="Z43" s="129" t="n">
        <v>0.199</v>
      </c>
      <c r="AA43" s="129" t="n">
        <v>0.194460692389901</v>
      </c>
      <c r="AB43" s="130" t="n">
        <v>1.04</v>
      </c>
      <c r="AC43" s="130" t="n">
        <v>1.01627698535426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35.9384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4.9</v>
      </c>
      <c r="Q44" s="136"/>
      <c r="R44" s="136"/>
      <c r="S44" s="139" t="n">
        <v>213.6</v>
      </c>
      <c r="T44" s="129" t="n">
        <v>0.071</v>
      </c>
      <c r="U44" s="129" t="n">
        <v>0.0693804480386079</v>
      </c>
      <c r="X44" s="130" t="n">
        <v>0.129</v>
      </c>
      <c r="Y44" s="130" t="n">
        <v>0.126057433760288</v>
      </c>
      <c r="Z44" s="129" t="n">
        <v>0.204</v>
      </c>
      <c r="AA44" s="129" t="n">
        <v>0.199346639434873</v>
      </c>
      <c r="AB44" s="130" t="n">
        <v>1.08</v>
      </c>
      <c r="AC44" s="130" t="n">
        <v>1.05536456171404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35.938</v>
      </c>
      <c r="H45" s="124" t="n">
        <v>0</v>
      </c>
      <c r="I45" s="124" t="n">
        <v>1</v>
      </c>
      <c r="J45" s="136"/>
      <c r="K45" s="137"/>
      <c r="L45" s="137"/>
      <c r="M45" s="137"/>
      <c r="N45" s="138"/>
      <c r="O45" s="137"/>
      <c r="P45" s="136" t="n">
        <v>4.895</v>
      </c>
      <c r="Q45" s="136"/>
      <c r="R45" s="136"/>
      <c r="S45" s="139" t="n">
        <v>213.4</v>
      </c>
      <c r="T45" s="129" t="n">
        <v>0.056</v>
      </c>
      <c r="U45" s="129" t="n">
        <v>0.0547226069036907</v>
      </c>
      <c r="X45" s="130" t="n">
        <v>0.114</v>
      </c>
      <c r="Y45" s="130" t="n">
        <v>0.11139959262537</v>
      </c>
      <c r="Z45" s="129" t="n">
        <v>0.195</v>
      </c>
      <c r="AA45" s="129" t="n">
        <v>0.190551934753923</v>
      </c>
      <c r="AB45" s="130" t="n">
        <v>1.15</v>
      </c>
      <c r="AC45" s="130" t="n">
        <v>1.12376782034365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59.96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-5°59,96</v>
      </c>
      <c r="P9" s="31" t="s">
        <v>16</v>
      </c>
      <c r="Q9" s="35" t="n">
        <f aca="false">IF(ISBLANK(I9),"",IF(ISBLANK(J9),"",IF(J9&gt;60,"ERREUR !!",O11*(I9+(J9/60)))))</f>
        <v>-5.99933333333333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0.03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-10°0,03</v>
      </c>
      <c r="P10" s="31" t="s">
        <v>17</v>
      </c>
      <c r="Q10" s="35" t="n">
        <f aca="false">IF(ISBLANK(I10),"",IF(ISBLANK(J10),"",IF(J10&gt;60,"ERREUR !!",O12*(I10+(J10/60)))))</f>
        <v>-10.0005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37144</v>
      </c>
      <c r="K11" s="40"/>
      <c r="L11" s="40"/>
      <c r="M11" s="40"/>
      <c r="N11" s="41" t="str">
        <f aca="false">I9&amp;"°"&amp;J9</f>
        <v>5°59,96</v>
      </c>
      <c r="O11" s="42" t="n">
        <f aca="false">IF(P9=M10,-1,1)</f>
        <v>-1</v>
      </c>
      <c r="P11" s="43" t="str">
        <f aca="false">TEXT(J11,"aaaa-mm-jj")&amp;"T"&amp;TEXT(J12,"hh:mm:ss")&amp;"z"</f>
        <v>2005-09-11T06:30:00z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0.270833333333333</v>
      </c>
      <c r="K12" s="48"/>
      <c r="L12" s="48"/>
      <c r="M12" s="48"/>
      <c r="N12" s="49" t="str">
        <f aca="false">I10&amp;"°"&amp;J10</f>
        <v>10°0,03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34.607</v>
      </c>
      <c r="H35" s="123" t="n">
        <v>1000</v>
      </c>
      <c r="I35" s="124" t="n">
        <v>1000.6</v>
      </c>
      <c r="J35" s="125"/>
      <c r="K35" s="126"/>
      <c r="L35" s="126"/>
      <c r="M35" s="126"/>
      <c r="N35" s="127"/>
      <c r="O35" s="126"/>
      <c r="P35" s="125" t="n">
        <v>3.642</v>
      </c>
      <c r="Q35" s="125"/>
      <c r="R35" s="125"/>
      <c r="S35" s="128" t="n">
        <v>158.4</v>
      </c>
      <c r="T35" s="129" t="n">
        <v>0.028</v>
      </c>
      <c r="U35" s="129" t="n">
        <v>0.0273613034518454</v>
      </c>
      <c r="X35" s="130" t="n">
        <v>34.172</v>
      </c>
      <c r="Y35" s="130" t="n">
        <v>33.3925164841593</v>
      </c>
      <c r="Z35" s="129" t="n">
        <v>2.283</v>
      </c>
      <c r="AA35" s="129" t="n">
        <v>2.23092342073439</v>
      </c>
      <c r="AB35" s="130" t="n">
        <v>34.41</v>
      </c>
      <c r="AC35" s="130" t="n">
        <v>33.6250875635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34.8868</v>
      </c>
      <c r="H36" s="124" t="n">
        <v>300</v>
      </c>
      <c r="I36" s="124" t="n">
        <v>300.3</v>
      </c>
      <c r="J36" s="136"/>
      <c r="K36" s="137"/>
      <c r="L36" s="137"/>
      <c r="M36" s="137"/>
      <c r="N36" s="138"/>
      <c r="O36" s="137"/>
      <c r="P36" s="136" t="n">
        <v>1.846</v>
      </c>
      <c r="Q36" s="136"/>
      <c r="R36" s="136"/>
      <c r="S36" s="139" t="n">
        <v>80.3</v>
      </c>
      <c r="T36" s="129" t="n">
        <v>0.024</v>
      </c>
      <c r="U36" s="129" t="n">
        <v>0.0234525458158675</v>
      </c>
      <c r="X36" s="130" t="n">
        <v>33.016</v>
      </c>
      <c r="Y36" s="130" t="n">
        <v>32.2628855273617</v>
      </c>
      <c r="Z36" s="129" t="n">
        <v>2.044</v>
      </c>
      <c r="AA36" s="129" t="n">
        <v>1.99737515198471</v>
      </c>
      <c r="AB36" s="130" t="n">
        <v>14.32</v>
      </c>
      <c r="AC36" s="130" t="n">
        <v>13.9933523368009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35.244</v>
      </c>
      <c r="H37" s="124" t="n">
        <v>160</v>
      </c>
      <c r="I37" s="124" t="n">
        <v>160.1</v>
      </c>
      <c r="J37" s="136"/>
      <c r="K37" s="137"/>
      <c r="L37" s="137"/>
      <c r="M37" s="137"/>
      <c r="N37" s="138"/>
      <c r="O37" s="137"/>
      <c r="P37" s="136" t="n">
        <v>2.014</v>
      </c>
      <c r="Q37" s="136"/>
      <c r="R37" s="136"/>
      <c r="S37" s="139" t="n">
        <v>87.6</v>
      </c>
      <c r="T37" s="129" t="n">
        <v>0.035</v>
      </c>
      <c r="U37" s="129" t="n">
        <v>0.0342016293148067</v>
      </c>
      <c r="X37" s="130" t="n">
        <v>26.015</v>
      </c>
      <c r="Y37" s="130" t="n">
        <v>25.4215824749913</v>
      </c>
      <c r="Z37" s="129" t="n">
        <v>1.671</v>
      </c>
      <c r="AA37" s="129" t="n">
        <v>1.63288350242977</v>
      </c>
      <c r="AB37" s="130" t="n">
        <v>9.27</v>
      </c>
      <c r="AC37" s="130" t="n">
        <v>9.05854582137881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35.4188</v>
      </c>
      <c r="H38" s="124" t="n">
        <v>130</v>
      </c>
      <c r="I38" s="124" t="n">
        <v>129.3</v>
      </c>
      <c r="J38" s="136"/>
      <c r="K38" s="137"/>
      <c r="L38" s="137"/>
      <c r="M38" s="137"/>
      <c r="N38" s="138"/>
      <c r="O38" s="137"/>
      <c r="P38" s="136" t="n">
        <v>2.035</v>
      </c>
      <c r="Q38" s="136"/>
      <c r="R38" s="136"/>
      <c r="S38" s="139" t="n">
        <v>88.6</v>
      </c>
      <c r="T38" s="129" t="n">
        <v>0.048</v>
      </c>
      <c r="U38" s="129" t="n">
        <v>0.0469050916317349</v>
      </c>
      <c r="X38" s="130" t="n">
        <v>23.802</v>
      </c>
      <c r="Y38" s="130" t="n">
        <v>23.2590623128866</v>
      </c>
      <c r="Z38" s="129" t="n">
        <v>1.543</v>
      </c>
      <c r="AA38" s="129" t="n">
        <v>1.50780325807848</v>
      </c>
      <c r="AB38" s="130" t="n">
        <v>7.64</v>
      </c>
      <c r="AC38" s="130" t="n">
        <v>7.46572708471781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35.598</v>
      </c>
      <c r="H39" s="124" t="n">
        <v>100</v>
      </c>
      <c r="I39" s="124" t="n">
        <v>99.8</v>
      </c>
      <c r="J39" s="136"/>
      <c r="K39" s="137"/>
      <c r="L39" s="137"/>
      <c r="M39" s="137"/>
      <c r="N39" s="138"/>
      <c r="O39" s="137"/>
      <c r="P39" s="136" t="n">
        <v>2.266</v>
      </c>
      <c r="Q39" s="136"/>
      <c r="R39" s="136"/>
      <c r="S39" s="139" t="n">
        <v>98.6</v>
      </c>
      <c r="T39" s="129" t="n">
        <v>0.056</v>
      </c>
      <c r="U39" s="129" t="n">
        <v>0.0547226069036907</v>
      </c>
      <c r="X39" s="130" t="n">
        <v>20.784</v>
      </c>
      <c r="Y39" s="130" t="n">
        <v>20.3099046765412</v>
      </c>
      <c r="Z39" s="129" t="n">
        <v>1.366</v>
      </c>
      <c r="AA39" s="129" t="n">
        <v>1.33484073268646</v>
      </c>
      <c r="AB39" s="130" t="n">
        <v>6.21</v>
      </c>
      <c r="AC39" s="130" t="n">
        <v>6.0683462298557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35.7375</v>
      </c>
      <c r="H40" s="124" t="n">
        <v>80</v>
      </c>
      <c r="I40" s="124" t="n">
        <v>79.5</v>
      </c>
      <c r="J40" s="136"/>
      <c r="K40" s="137"/>
      <c r="L40" s="137"/>
      <c r="M40" s="137"/>
      <c r="N40" s="138"/>
      <c r="O40" s="137"/>
      <c r="P40" s="136" t="n">
        <v>3.022</v>
      </c>
      <c r="Q40" s="136"/>
      <c r="R40" s="136"/>
      <c r="S40" s="139" t="n">
        <v>131.6</v>
      </c>
      <c r="T40" s="129" t="n">
        <v>1.503</v>
      </c>
      <c r="U40" s="129" t="n">
        <v>1.4687156817187</v>
      </c>
      <c r="X40" s="130" t="n">
        <v>12.847</v>
      </c>
      <c r="Y40" s="130" t="n">
        <v>12.5539523373521</v>
      </c>
      <c r="Z40" s="129" t="n">
        <v>1.017</v>
      </c>
      <c r="AA40" s="129" t="n">
        <v>0.993801628947383</v>
      </c>
      <c r="AB40" s="130" t="n">
        <v>5.08</v>
      </c>
      <c r="AC40" s="130" t="n">
        <v>4.96412219769195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35.9325</v>
      </c>
      <c r="H41" s="124" t="n">
        <v>60</v>
      </c>
      <c r="I41" s="124" t="n">
        <v>60.3</v>
      </c>
      <c r="J41" s="136"/>
      <c r="K41" s="137"/>
      <c r="L41" s="137"/>
      <c r="M41" s="137"/>
      <c r="N41" s="138"/>
      <c r="O41" s="137"/>
      <c r="P41" s="136" t="n">
        <v>4.583</v>
      </c>
      <c r="Q41" s="136"/>
      <c r="R41" s="136"/>
      <c r="S41" s="139" t="n">
        <v>199.7</v>
      </c>
      <c r="T41" s="129" t="n">
        <v>0.361</v>
      </c>
      <c r="U41" s="129" t="n">
        <v>0.352765376647006</v>
      </c>
      <c r="X41" s="130" t="n">
        <v>1.999</v>
      </c>
      <c r="Y41" s="130" t="n">
        <v>1.95340162857996</v>
      </c>
      <c r="Z41" s="129" t="n">
        <v>0.347</v>
      </c>
      <c r="AA41" s="129" t="n">
        <v>0.339084724921084</v>
      </c>
      <c r="AB41" s="130" t="n">
        <v>1.81</v>
      </c>
      <c r="AC41" s="130" t="n">
        <v>1.76871283028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35.967</v>
      </c>
      <c r="H42" s="124" t="n">
        <v>40</v>
      </c>
      <c r="I42" s="124" t="n">
        <v>40.1</v>
      </c>
      <c r="J42" s="136"/>
      <c r="K42" s="137"/>
      <c r="L42" s="137"/>
      <c r="M42" s="137"/>
      <c r="N42" s="138"/>
      <c r="O42" s="137"/>
      <c r="P42" s="136" t="n">
        <v>4.84</v>
      </c>
      <c r="Q42" s="136"/>
      <c r="R42" s="136"/>
      <c r="S42" s="139" t="n">
        <v>211</v>
      </c>
      <c r="T42" s="129" t="n">
        <v>0.109</v>
      </c>
      <c r="U42" s="129" t="n">
        <v>0.106513645580398</v>
      </c>
      <c r="X42" s="130" t="n">
        <v>0.401</v>
      </c>
      <c r="Y42" s="130" t="n">
        <v>0.391852953006785</v>
      </c>
      <c r="Z42" s="129" t="n">
        <v>0.209</v>
      </c>
      <c r="AA42" s="129" t="n">
        <v>0.204232586479846</v>
      </c>
      <c r="AB42" s="130" t="n">
        <v>1.12</v>
      </c>
      <c r="AC42" s="130" t="n">
        <v>1.09445213807381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35.9486</v>
      </c>
      <c r="H43" s="124" t="n">
        <v>10</v>
      </c>
      <c r="I43" s="124" t="n">
        <v>9.4</v>
      </c>
      <c r="J43" s="136"/>
      <c r="K43" s="137"/>
      <c r="L43" s="137"/>
      <c r="M43" s="137"/>
      <c r="N43" s="138"/>
      <c r="O43" s="137"/>
      <c r="P43" s="136" t="n">
        <v>4.858</v>
      </c>
      <c r="Q43" s="136"/>
      <c r="R43" s="136"/>
      <c r="S43" s="139" t="n">
        <v>211.8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35.9486</v>
      </c>
      <c r="H44" s="124" t="n">
        <v>10</v>
      </c>
      <c r="I44" s="124" t="n">
        <v>9.4</v>
      </c>
      <c r="J44" s="136"/>
      <c r="K44" s="137"/>
      <c r="L44" s="137"/>
      <c r="M44" s="137"/>
      <c r="N44" s="138"/>
      <c r="O44" s="137"/>
      <c r="P44" s="136" t="n">
        <v>4.861</v>
      </c>
      <c r="Q44" s="136"/>
      <c r="R44" s="136"/>
      <c r="S44" s="139" t="n">
        <v>211.9</v>
      </c>
      <c r="T44" s="129" t="n">
        <v>0.094</v>
      </c>
      <c r="U44" s="129" t="n">
        <v>0.0918558044454809</v>
      </c>
      <c r="X44" s="130" t="n">
        <v>0.276</v>
      </c>
      <c r="Y44" s="130" t="n">
        <v>0.269704276882476</v>
      </c>
      <c r="Z44" s="129" t="n">
        <v>0.215</v>
      </c>
      <c r="AA44" s="129" t="n">
        <v>0.210095722933813</v>
      </c>
      <c r="AB44" s="130" t="n">
        <v>1.23</v>
      </c>
      <c r="AC44" s="130" t="n">
        <v>1.20194297306321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35.9489</v>
      </c>
      <c r="H45" s="124" t="n">
        <v>0</v>
      </c>
      <c r="I45" s="124" t="n">
        <v>0.4</v>
      </c>
      <c r="J45" s="136"/>
      <c r="K45" s="137"/>
      <c r="L45" s="137"/>
      <c r="M45" s="137"/>
      <c r="N45" s="138"/>
      <c r="O45" s="137"/>
      <c r="P45" s="136" t="n">
        <v>4.886</v>
      </c>
      <c r="Q45" s="136"/>
      <c r="R45" s="136"/>
      <c r="S45" s="139" t="n">
        <v>213</v>
      </c>
      <c r="T45" s="129" t="n">
        <v>0.094</v>
      </c>
      <c r="U45" s="129" t="n">
        <v>0.0918558044454809</v>
      </c>
      <c r="X45" s="130" t="n">
        <v>0.266</v>
      </c>
      <c r="Y45" s="130" t="n">
        <v>0.259932382792531</v>
      </c>
      <c r="Z45" s="129" t="n">
        <v>0.261</v>
      </c>
      <c r="AA45" s="129" t="n">
        <v>0.255046435747559</v>
      </c>
      <c r="AB45" s="130" t="n">
        <v>1.47</v>
      </c>
      <c r="AC45" s="130" t="n">
        <v>1.43646843122188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29.48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-5°29,48</v>
      </c>
      <c r="P9" s="31" t="s">
        <v>16</v>
      </c>
      <c r="Q9" s="35" t="n">
        <f aca="false">IF(ISBLANK(I9),"",IF(ISBLANK(J9),"",IF(J9&gt;60,"ERREUR !!",O11*(I9+(J9/60)))))</f>
        <v>-5.49133333333333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10</v>
      </c>
      <c r="J10" s="31" t="n">
        <v>0.35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-10°0,35</v>
      </c>
      <c r="P10" s="31" t="s">
        <v>17</v>
      </c>
      <c r="Q10" s="35" t="n">
        <f aca="false">IF(ISBLANK(I10),"",IF(ISBLANK(J10),"",IF(J10&gt;60,"ERREUR !!",O12*(I10+(J10/60)))))</f>
        <v>-10.0058333333333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37144</v>
      </c>
      <c r="K11" s="40"/>
      <c r="L11" s="40"/>
      <c r="M11" s="40"/>
      <c r="N11" s="41" t="str">
        <f aca="false">I9&amp;"°"&amp;J9</f>
        <v>5°29,48</v>
      </c>
      <c r="O11" s="42" t="n">
        <f aca="false">IF(P9=M10,-1,1)</f>
        <v>-1</v>
      </c>
      <c r="P11" s="43" t="str">
        <f aca="false">TEXT(J11,"aaaa-mm-jj")&amp;"T"&amp;TEXT(J12,"hh:mm:ss")&amp;"z"</f>
        <v>2005-09-11T13:30:00z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0.5625</v>
      </c>
      <c r="K12" s="48"/>
      <c r="L12" s="48"/>
      <c r="M12" s="48"/>
      <c r="N12" s="49" t="str">
        <f aca="false">I10&amp;"°"&amp;J10</f>
        <v>10°0,35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34.5895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3.588</v>
      </c>
      <c r="Q35" s="125"/>
      <c r="R35" s="125"/>
      <c r="S35" s="128" t="n">
        <v>156</v>
      </c>
      <c r="T35" s="129" t="n">
        <v>0.035</v>
      </c>
      <c r="U35" s="129" t="n">
        <v>0.0342016293148067</v>
      </c>
      <c r="X35" s="130" t="n">
        <v>34.185</v>
      </c>
      <c r="Y35" s="130" t="n">
        <v>33.4052199464762</v>
      </c>
      <c r="Z35" s="129" t="n">
        <v>2.268</v>
      </c>
      <c r="AA35" s="129" t="n">
        <v>2.21626557959947</v>
      </c>
      <c r="AB35" s="130" t="n">
        <v>33.63</v>
      </c>
      <c r="AC35" s="130" t="n">
        <v>32.8628798244843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34.9846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1.608</v>
      </c>
      <c r="Q36" s="136"/>
      <c r="R36" s="136"/>
      <c r="S36" s="139" t="n">
        <v>70</v>
      </c>
      <c r="T36" s="129" t="n">
        <v>0.038</v>
      </c>
      <c r="U36" s="129" t="n">
        <v>0.0371331975417901</v>
      </c>
      <c r="X36" s="130" t="n">
        <v>24.752</v>
      </c>
      <c r="Y36" s="130" t="n">
        <v>24.1873922514313</v>
      </c>
      <c r="Z36" s="129" t="n">
        <v>1.581</v>
      </c>
      <c r="AA36" s="129" t="n">
        <v>1.54493645562027</v>
      </c>
      <c r="AB36" s="130" t="n">
        <v>8.41</v>
      </c>
      <c r="AC36" s="130" t="n">
        <v>8.21816292964355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35.3162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2.079</v>
      </c>
      <c r="Q37" s="136"/>
      <c r="R37" s="136"/>
      <c r="S37" s="139" t="n">
        <v>90.5</v>
      </c>
      <c r="T37" s="129" t="n">
        <v>0.042</v>
      </c>
      <c r="U37" s="129" t="n">
        <v>0.0410419551777681</v>
      </c>
      <c r="X37" s="130" t="n">
        <v>24.658</v>
      </c>
      <c r="Y37" s="130" t="n">
        <v>24.0955364469858</v>
      </c>
      <c r="Z37" s="129" t="n">
        <v>1.574</v>
      </c>
      <c r="AA37" s="129" t="n">
        <v>1.53809612975731</v>
      </c>
      <c r="AB37" s="130" t="n">
        <v>8.81</v>
      </c>
      <c r="AC37" s="130" t="n">
        <v>8.60903869324135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35.4384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2.187</v>
      </c>
      <c r="Q38" s="136"/>
      <c r="R38" s="136"/>
      <c r="S38" s="139" t="n">
        <v>95.2</v>
      </c>
      <c r="T38" s="129" t="n">
        <v>0.032</v>
      </c>
      <c r="U38" s="129" t="n">
        <v>0.0312700610878233</v>
      </c>
      <c r="X38" s="130" t="n">
        <v>22.688</v>
      </c>
      <c r="Y38" s="130" t="n">
        <v>22.1704733112667</v>
      </c>
      <c r="Z38" s="129" t="n">
        <v>1.473</v>
      </c>
      <c r="AA38" s="129" t="n">
        <v>1.43939999944887</v>
      </c>
      <c r="AB38" s="130" t="n">
        <v>8.24</v>
      </c>
      <c r="AC38" s="130" t="n">
        <v>8.05204073011449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35.555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2.392</v>
      </c>
      <c r="Q39" s="136"/>
      <c r="R39" s="136"/>
      <c r="S39" s="139" t="n">
        <v>104.1</v>
      </c>
      <c r="T39" s="129" t="n">
        <v>0.055</v>
      </c>
      <c r="U39" s="129" t="n">
        <v>0.0537454174946963</v>
      </c>
      <c r="X39" s="130" t="n">
        <v>20.485</v>
      </c>
      <c r="Y39" s="130" t="n">
        <v>20.0177250432519</v>
      </c>
      <c r="Z39" s="129" t="n">
        <v>1.337</v>
      </c>
      <c r="AA39" s="129" t="n">
        <v>1.30650223982562</v>
      </c>
      <c r="AB39" s="130" t="n">
        <v>6</v>
      </c>
      <c r="AC39" s="130" t="n">
        <v>5.86313645396686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35.6482</v>
      </c>
      <c r="H40" s="124" t="n">
        <v>80</v>
      </c>
      <c r="I40" s="124" t="n">
        <v>81</v>
      </c>
      <c r="J40" s="136"/>
      <c r="K40" s="137"/>
      <c r="L40" s="137"/>
      <c r="M40" s="137"/>
      <c r="N40" s="138"/>
      <c r="O40" s="137"/>
      <c r="P40" s="136" t="n">
        <v>2.489</v>
      </c>
      <c r="Q40" s="136"/>
      <c r="R40" s="136"/>
      <c r="S40" s="139" t="n">
        <v>108.4</v>
      </c>
      <c r="T40" s="129" t="n">
        <v>0.306</v>
      </c>
      <c r="U40" s="129" t="n">
        <v>0.29901995915231</v>
      </c>
      <c r="X40" s="130" t="n">
        <v>18.474</v>
      </c>
      <c r="Y40" s="130" t="n">
        <v>18.052597141764</v>
      </c>
      <c r="Z40" s="129" t="n">
        <v>1.239</v>
      </c>
      <c r="AA40" s="129" t="n">
        <v>1.21073767774416</v>
      </c>
      <c r="AB40" s="130" t="n">
        <v>5.29</v>
      </c>
      <c r="AC40" s="130" t="n">
        <v>5.16933197358079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35.7273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2.994</v>
      </c>
      <c r="Q41" s="136"/>
      <c r="R41" s="136"/>
      <c r="S41" s="139" t="n">
        <v>130.4</v>
      </c>
      <c r="T41" s="129" t="n">
        <v>1.003</v>
      </c>
      <c r="U41" s="129" t="n">
        <v>0.980120977221461</v>
      </c>
      <c r="X41" s="130" t="n">
        <v>13.647</v>
      </c>
      <c r="Y41" s="130" t="n">
        <v>13.3357038645476</v>
      </c>
      <c r="Z41" s="129" t="n">
        <v>1.025</v>
      </c>
      <c r="AA41" s="129" t="n">
        <v>1.00161914421934</v>
      </c>
      <c r="AB41" s="130" t="n">
        <v>4.13</v>
      </c>
      <c r="AC41" s="130" t="n">
        <v>4.03579225914719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35.8971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4.898</v>
      </c>
      <c r="Q42" s="136"/>
      <c r="R42" s="136"/>
      <c r="S42" s="139" t="n">
        <v>213.5</v>
      </c>
      <c r="T42" s="129" t="n">
        <v>0.11</v>
      </c>
      <c r="U42" s="129" t="n">
        <v>0.107490834989393</v>
      </c>
      <c r="X42" s="130" t="n">
        <v>0.93</v>
      </c>
      <c r="Y42" s="130" t="n">
        <v>0.908786150364864</v>
      </c>
      <c r="Z42" s="129" t="n">
        <v>0.252</v>
      </c>
      <c r="AA42" s="129" t="n">
        <v>0.246251731066608</v>
      </c>
      <c r="AB42" s="130" t="n">
        <v>1.25</v>
      </c>
      <c r="AC42" s="130" t="n">
        <v>1.2214867612431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35.888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4.946</v>
      </c>
      <c r="Q43" s="136"/>
      <c r="R43" s="136"/>
      <c r="S43" s="139" t="n">
        <v>215.6</v>
      </c>
      <c r="T43" s="129" t="n">
        <v>0.09</v>
      </c>
      <c r="U43" s="129" t="n">
        <v>0.087947046809503</v>
      </c>
      <c r="X43" s="130" t="n">
        <v>0.72</v>
      </c>
      <c r="Y43" s="130" t="n">
        <v>0.703576374476024</v>
      </c>
      <c r="Z43" s="129" t="n">
        <v>0.242</v>
      </c>
      <c r="AA43" s="129" t="n">
        <v>0.236479836976664</v>
      </c>
      <c r="AB43" s="130" t="n">
        <v>1.46</v>
      </c>
      <c r="AC43" s="130" t="n">
        <v>1.42669653713194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35.8871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4.991</v>
      </c>
      <c r="Q44" s="136"/>
      <c r="R44" s="136"/>
      <c r="S44" s="139" t="n">
        <v>217.6</v>
      </c>
      <c r="T44" s="129" t="n">
        <v>0.088</v>
      </c>
      <c r="U44" s="129" t="n">
        <v>0.085992667991514</v>
      </c>
      <c r="X44" s="130" t="n">
        <v>0.742</v>
      </c>
      <c r="Y44" s="130" t="n">
        <v>0.725074541473902</v>
      </c>
      <c r="Z44" s="129" t="n">
        <v>0.276</v>
      </c>
      <c r="AA44" s="129" t="n">
        <v>0.269704276882476</v>
      </c>
      <c r="AB44" s="130" t="n">
        <v>1.31</v>
      </c>
      <c r="AC44" s="130" t="n">
        <v>1.28011812578277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35.8887</v>
      </c>
      <c r="H45" s="124" t="n">
        <v>0</v>
      </c>
      <c r="I45" s="124" t="n">
        <v>0.4</v>
      </c>
      <c r="J45" s="136"/>
      <c r="K45" s="137"/>
      <c r="L45" s="137"/>
      <c r="M45" s="137"/>
      <c r="N45" s="138"/>
      <c r="O45" s="137"/>
      <c r="P45" s="136" t="n">
        <v>4.951</v>
      </c>
      <c r="Q45" s="136"/>
      <c r="R45" s="136"/>
      <c r="S45" s="139" t="n">
        <v>215.8</v>
      </c>
      <c r="T45" s="129" t="n">
        <v>0.0795</v>
      </c>
      <c r="U45" s="129" t="n">
        <v>0.077686558015061</v>
      </c>
      <c r="X45" s="130" t="n">
        <v>0.7405</v>
      </c>
      <c r="Y45" s="130" t="n">
        <v>0.723608757360411</v>
      </c>
      <c r="Z45" s="129" t="n">
        <v>0.2515</v>
      </c>
      <c r="AA45" s="129" t="n">
        <v>0.245763136362111</v>
      </c>
      <c r="AB45" s="130" t="n">
        <v>1.045</v>
      </c>
      <c r="AC45" s="130" t="n">
        <v>1.02116293239923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H43" activeCellId="0" sqref="H4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59.81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-4°59,81</v>
      </c>
      <c r="P9" s="31" t="s">
        <v>16</v>
      </c>
      <c r="Q9" s="35" t="n">
        <f aca="false">IF(ISBLANK(I9),"",IF(ISBLANK(J9),"",IF(J9&gt;60,"ERREUR !!",O11*(I9+(J9/60)))))</f>
        <v>-4.99683333333333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-9°59,97</v>
      </c>
      <c r="P10" s="31" t="s">
        <v>17</v>
      </c>
      <c r="Q10" s="35" t="n">
        <f aca="false">IF(ISBLANK(I10),"",IF(ISBLANK(J10),"",IF(J10&gt;60,"ERREUR !!",O12*(I10+(J10/60)))))</f>
        <v>-9.9995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37144</v>
      </c>
      <c r="K11" s="40"/>
      <c r="L11" s="40"/>
      <c r="M11" s="40"/>
      <c r="N11" s="41" t="str">
        <f aca="false">I9&amp;"°"&amp;J9</f>
        <v>4°59,81</v>
      </c>
      <c r="O11" s="42" t="n">
        <f aca="false">IF(P9=M10,-1,1)</f>
        <v>-1</v>
      </c>
      <c r="P11" s="43" t="str">
        <f aca="false">TEXT(J11,"aaaa-mm-jj")&amp;"T"&amp;TEXT(J12,"hh:mm:ss")&amp;"z"</f>
        <v>2005-09-11T17:30:00z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0.729166666666667</v>
      </c>
      <c r="K12" s="48"/>
      <c r="L12" s="48"/>
      <c r="M12" s="48"/>
      <c r="N12" s="49" t="str">
        <f aca="false">I10&amp;"°"&amp;J10</f>
        <v>9°59,97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34.6242</v>
      </c>
      <c r="H35" s="123" t="n">
        <v>1000</v>
      </c>
      <c r="I35" s="124" t="n">
        <v>1000.8</v>
      </c>
      <c r="J35" s="125"/>
      <c r="K35" s="126"/>
      <c r="L35" s="126"/>
      <c r="M35" s="126"/>
      <c r="N35" s="127"/>
      <c r="O35" s="126"/>
      <c r="P35" s="125" t="n">
        <v>3.758</v>
      </c>
      <c r="Q35" s="125"/>
      <c r="R35" s="125"/>
      <c r="S35" s="128" t="n">
        <v>163.4</v>
      </c>
      <c r="T35" s="129" t="n">
        <v>0.017</v>
      </c>
      <c r="U35" s="129" t="n">
        <v>0.0166122199529061</v>
      </c>
      <c r="X35" s="130" t="n">
        <v>33.468</v>
      </c>
      <c r="Y35" s="130" t="n">
        <v>32.7045751402272</v>
      </c>
      <c r="Z35" s="129" t="n">
        <v>2.209</v>
      </c>
      <c r="AA35" s="129" t="n">
        <v>2.1586114044688</v>
      </c>
      <c r="AB35" s="130" t="n">
        <v>32.67</v>
      </c>
      <c r="AC35" s="130" t="n">
        <v>31.9247779918496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35.1219</v>
      </c>
      <c r="H36" s="124" t="n">
        <v>300</v>
      </c>
      <c r="I36" s="124" t="n">
        <v>299.8</v>
      </c>
      <c r="J36" s="136"/>
      <c r="K36" s="137"/>
      <c r="L36" s="137"/>
      <c r="M36" s="137"/>
      <c r="N36" s="138"/>
      <c r="O36" s="137"/>
      <c r="P36" s="136" t="n">
        <v>1.964</v>
      </c>
      <c r="Q36" s="136"/>
      <c r="R36" s="136"/>
      <c r="S36" s="139" t="n">
        <v>85.4</v>
      </c>
      <c r="T36" s="129" t="n">
        <v>0.019</v>
      </c>
      <c r="U36" s="129" t="n">
        <v>0.0185665987708951</v>
      </c>
      <c r="X36" s="130" t="n">
        <v>27.861</v>
      </c>
      <c r="Y36" s="130" t="n">
        <v>27.2254741239951</v>
      </c>
      <c r="Z36" s="129" t="n">
        <v>1.72</v>
      </c>
      <c r="AA36" s="129" t="n">
        <v>1.6807657834705</v>
      </c>
      <c r="AB36" s="130" t="n">
        <v>10.62</v>
      </c>
      <c r="AC36" s="130" t="n">
        <v>10.3777515235213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35.4903</v>
      </c>
      <c r="H37" s="124" t="n">
        <v>160</v>
      </c>
      <c r="I37" s="124" t="n">
        <v>160.3</v>
      </c>
      <c r="J37" s="136"/>
      <c r="K37" s="137"/>
      <c r="L37" s="137"/>
      <c r="M37" s="137"/>
      <c r="N37" s="138"/>
      <c r="O37" s="137"/>
      <c r="P37" s="136" t="n">
        <v>2.343</v>
      </c>
      <c r="Q37" s="136"/>
      <c r="R37" s="136"/>
      <c r="S37" s="139" t="n">
        <v>102</v>
      </c>
      <c r="T37" s="129" t="n">
        <v>0.022</v>
      </c>
      <c r="U37" s="129" t="n">
        <v>0.0214981669978785</v>
      </c>
      <c r="X37" s="130" t="n">
        <v>21.358</v>
      </c>
      <c r="Y37" s="130" t="n">
        <v>20.870811397304</v>
      </c>
      <c r="Z37" s="129" t="n">
        <v>1.389</v>
      </c>
      <c r="AA37" s="129" t="n">
        <v>1.35731608909333</v>
      </c>
      <c r="AB37" s="130" t="n">
        <v>6.93</v>
      </c>
      <c r="AC37" s="130" t="n">
        <v>6.77192260433173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35.5492</v>
      </c>
      <c r="H38" s="124" t="n">
        <v>130</v>
      </c>
      <c r="I38" s="124" t="n">
        <v>129.4</v>
      </c>
      <c r="J38" s="136"/>
      <c r="K38" s="137"/>
      <c r="L38" s="137"/>
      <c r="M38" s="137"/>
      <c r="N38" s="138"/>
      <c r="O38" s="137"/>
      <c r="P38" s="136" t="n">
        <v>2.399</v>
      </c>
      <c r="Q38" s="136"/>
      <c r="R38" s="136"/>
      <c r="S38" s="139" t="n">
        <v>104.4</v>
      </c>
      <c r="T38" s="129" t="n">
        <v>0.031</v>
      </c>
      <c r="U38" s="129" t="n">
        <v>0.0302928716788288</v>
      </c>
      <c r="X38" s="130" t="n">
        <v>20.579</v>
      </c>
      <c r="Y38" s="130" t="n">
        <v>20.1095808476974</v>
      </c>
      <c r="Z38" s="129" t="n">
        <v>1.335</v>
      </c>
      <c r="AA38" s="129" t="n">
        <v>1.30454786100763</v>
      </c>
      <c r="AB38" s="130" t="n">
        <v>6.5</v>
      </c>
      <c r="AC38" s="130" t="n">
        <v>6.3517311584641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35.6209</v>
      </c>
      <c r="H39" s="124" t="n">
        <v>100</v>
      </c>
      <c r="I39" s="124" t="n">
        <v>99.2</v>
      </c>
      <c r="J39" s="136"/>
      <c r="K39" s="137"/>
      <c r="L39" s="137"/>
      <c r="M39" s="137"/>
      <c r="N39" s="138"/>
      <c r="O39" s="137"/>
      <c r="P39" s="136" t="n">
        <v>2.479</v>
      </c>
      <c r="Q39" s="136"/>
      <c r="R39" s="136"/>
      <c r="S39" s="139" t="n">
        <v>107.9</v>
      </c>
      <c r="T39" s="129" t="n">
        <v>0.061</v>
      </c>
      <c r="U39" s="129" t="n">
        <v>0.0596085539486631</v>
      </c>
      <c r="X39" s="130" t="n">
        <v>19.039</v>
      </c>
      <c r="Y39" s="130" t="n">
        <v>18.6047091578459</v>
      </c>
      <c r="Z39" s="129" t="n">
        <v>1.268</v>
      </c>
      <c r="AA39" s="129" t="n">
        <v>1.239076170605</v>
      </c>
      <c r="AB39" s="130" t="n">
        <v>6.06</v>
      </c>
      <c r="AC39" s="130" t="n">
        <v>5.92176781850653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35.6708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2.5</v>
      </c>
      <c r="Q40" s="136"/>
      <c r="R40" s="136"/>
      <c r="S40" s="139" t="n">
        <v>108.8</v>
      </c>
      <c r="T40" s="129" t="n">
        <v>0.097</v>
      </c>
      <c r="U40" s="129" t="n">
        <v>0.0947873726724643</v>
      </c>
      <c r="X40" s="130" t="n">
        <v>18.553</v>
      </c>
      <c r="Y40" s="130" t="n">
        <v>18.1297951050745</v>
      </c>
      <c r="Z40" s="129" t="n">
        <v>1.236</v>
      </c>
      <c r="AA40" s="129" t="n">
        <v>1.20780610951717</v>
      </c>
      <c r="AB40" s="130" t="n">
        <v>5.27</v>
      </c>
      <c r="AC40" s="130" t="n">
        <v>5.1497881854009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35.7266</v>
      </c>
      <c r="H41" s="124" t="n">
        <v>60</v>
      </c>
      <c r="I41" s="124" t="n">
        <v>60.2</v>
      </c>
      <c r="J41" s="136"/>
      <c r="K41" s="137"/>
      <c r="L41" s="137"/>
      <c r="M41" s="137"/>
      <c r="N41" s="138"/>
      <c r="O41" s="137"/>
      <c r="P41" s="136" t="n">
        <v>2.621</v>
      </c>
      <c r="Q41" s="136"/>
      <c r="R41" s="136"/>
      <c r="S41" s="139" t="n">
        <v>114.1</v>
      </c>
      <c r="T41" s="129" t="n">
        <v>0.437</v>
      </c>
      <c r="U41" s="129" t="n">
        <v>0.427031771730587</v>
      </c>
      <c r="X41" s="130" t="n">
        <v>16.913</v>
      </c>
      <c r="Y41" s="130" t="n">
        <v>16.5272044743236</v>
      </c>
      <c r="Z41" s="129" t="n">
        <v>1.169</v>
      </c>
      <c r="AA41" s="129" t="n">
        <v>1.14233441911454</v>
      </c>
      <c r="AB41" s="130" t="n">
        <v>4.76</v>
      </c>
      <c r="AC41" s="130" t="n">
        <v>4.65142158681371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35.7797</v>
      </c>
      <c r="H42" s="124" t="n">
        <v>40</v>
      </c>
      <c r="I42" s="124" t="n">
        <v>39.9</v>
      </c>
      <c r="J42" s="136"/>
      <c r="K42" s="137"/>
      <c r="L42" s="137"/>
      <c r="M42" s="137"/>
      <c r="N42" s="138"/>
      <c r="O42" s="137"/>
      <c r="P42" s="136" t="n">
        <v>3.952</v>
      </c>
      <c r="Q42" s="136"/>
      <c r="R42" s="136"/>
      <c r="S42" s="139" t="n">
        <v>172.2</v>
      </c>
      <c r="T42" s="129" t="n">
        <v>0.903</v>
      </c>
      <c r="U42" s="129" t="n">
        <v>0.882402036322013</v>
      </c>
      <c r="X42" s="130" t="n">
        <v>6.607</v>
      </c>
      <c r="Y42" s="130" t="n">
        <v>6.45629042522651</v>
      </c>
      <c r="Z42" s="129" t="n">
        <v>0.655</v>
      </c>
      <c r="AA42" s="129" t="n">
        <v>0.640059062891383</v>
      </c>
      <c r="AB42" s="130" t="n">
        <v>2.5</v>
      </c>
      <c r="AC42" s="130" t="n">
        <v>2.44297352248619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35.8048</v>
      </c>
      <c r="H43" s="124" t="n">
        <v>20</v>
      </c>
      <c r="I43" s="124" t="n">
        <v>20.4</v>
      </c>
      <c r="J43" s="136"/>
      <c r="K43" s="137"/>
      <c r="L43" s="137"/>
      <c r="M43" s="137"/>
      <c r="N43" s="138"/>
      <c r="O43" s="137"/>
      <c r="P43" s="136" t="n">
        <v>4.97</v>
      </c>
      <c r="Q43" s="136"/>
      <c r="R43" s="136"/>
      <c r="S43" s="139" t="n">
        <v>216.7</v>
      </c>
      <c r="T43" s="129" t="n">
        <v>0.107</v>
      </c>
      <c r="U43" s="129" t="n">
        <v>0.104559266762409</v>
      </c>
      <c r="X43" s="130" t="n">
        <v>1.003</v>
      </c>
      <c r="Y43" s="130" t="n">
        <v>0.980120977221461</v>
      </c>
      <c r="Z43" s="129" t="n">
        <v>0.248</v>
      </c>
      <c r="AA43" s="129" t="n">
        <v>0.24234297343063</v>
      </c>
      <c r="AB43" s="130" t="n">
        <v>1.05</v>
      </c>
      <c r="AC43" s="130" t="n">
        <v>1.0260488794442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42"/>
      <c r="H44" s="124" t="s">
        <v>99</v>
      </c>
      <c r="I44" s="124"/>
      <c r="J44" s="136"/>
      <c r="K44" s="137"/>
      <c r="L44" s="137"/>
      <c r="M44" s="137"/>
      <c r="N44" s="138"/>
      <c r="O44" s="137"/>
      <c r="P44" s="136"/>
      <c r="Q44" s="136"/>
      <c r="R44" s="136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35.8372</v>
      </c>
      <c r="H45" s="124" t="n">
        <v>0</v>
      </c>
      <c r="I45" s="124" t="n">
        <v>0.1</v>
      </c>
      <c r="J45" s="136"/>
      <c r="K45" s="137"/>
      <c r="L45" s="137"/>
      <c r="M45" s="137"/>
      <c r="N45" s="138"/>
      <c r="O45" s="137"/>
      <c r="P45" s="136" t="n">
        <v>4.956</v>
      </c>
      <c r="Q45" s="136"/>
      <c r="R45" s="136"/>
      <c r="S45" s="139" t="n">
        <v>216.1</v>
      </c>
      <c r="T45" s="129" t="n">
        <v>0.089</v>
      </c>
      <c r="U45" s="129" t="n">
        <v>0.0869698574005085</v>
      </c>
      <c r="X45" s="130" t="n">
        <v>0.941</v>
      </c>
      <c r="Y45" s="130" t="n">
        <v>0.919535233863803</v>
      </c>
      <c r="Z45" s="129" t="n">
        <v>0.2455</v>
      </c>
      <c r="AA45" s="129" t="n">
        <v>0.239899999908144</v>
      </c>
      <c r="AB45" s="130" t="n">
        <v>1.13</v>
      </c>
      <c r="AC45" s="130" t="n">
        <v>1.10422403216376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29.69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-4°29,69</v>
      </c>
      <c r="P9" s="31" t="s">
        <v>16</v>
      </c>
      <c r="Q9" s="35" t="n">
        <f aca="false">IF(ISBLANK(I9),"",IF(ISBLANK(J9),"",IF(J9&gt;60,"ERREUR !!",O11*(I9+(J9/60)))))</f>
        <v>-4.49483333333333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-9°59,97</v>
      </c>
      <c r="P10" s="31" t="s">
        <v>17</v>
      </c>
      <c r="Q10" s="35" t="n">
        <f aca="false">IF(ISBLANK(I10),"",IF(ISBLANK(J10),"",IF(J10&gt;60,"ERREUR !!",O12*(I10+(J10/60)))))</f>
        <v>-9.9995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37144</v>
      </c>
      <c r="K11" s="40"/>
      <c r="L11" s="40"/>
      <c r="M11" s="40"/>
      <c r="N11" s="41" t="str">
        <f aca="false">I9&amp;"°"&amp;J9</f>
        <v>4°29,69</v>
      </c>
      <c r="O11" s="42" t="n">
        <f aca="false">IF(P9=M10,-1,1)</f>
        <v>-1</v>
      </c>
      <c r="P11" s="43" t="str">
        <f aca="false">TEXT(J11,"aaaa-mm-jj")&amp;"T"&amp;TEXT(J12,"hh:mm:ss")&amp;"z"</f>
        <v>2005-09-11T22:30:00z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0.9375</v>
      </c>
      <c r="K12" s="48"/>
      <c r="L12" s="48"/>
      <c r="M12" s="48"/>
      <c r="N12" s="49" t="str">
        <f aca="false">I10&amp;"°"&amp;J10</f>
        <v>9°59,97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34.6441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3.667</v>
      </c>
      <c r="Q35" s="125"/>
      <c r="R35" s="125"/>
      <c r="S35" s="128" t="n">
        <v>159.5</v>
      </c>
      <c r="T35" s="129" t="n">
        <v>0.019</v>
      </c>
      <c r="U35" s="129" t="n">
        <v>0.0185665987708951</v>
      </c>
      <c r="X35" s="130" t="n">
        <v>33.511</v>
      </c>
      <c r="Y35" s="130" t="n">
        <v>32.7465942848139</v>
      </c>
      <c r="Z35" s="129" t="n">
        <v>2.224</v>
      </c>
      <c r="AA35" s="129" t="n">
        <v>2.17326924560372</v>
      </c>
      <c r="AB35" s="130" t="n">
        <v>31.77</v>
      </c>
      <c r="AC35" s="130" t="n">
        <v>31.0453075237545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35.0823</v>
      </c>
      <c r="H36" s="124" t="n">
        <v>300</v>
      </c>
      <c r="I36" s="124" t="n">
        <v>299</v>
      </c>
      <c r="J36" s="136"/>
      <c r="K36" s="137"/>
      <c r="L36" s="137"/>
      <c r="M36" s="137"/>
      <c r="N36" s="138"/>
      <c r="O36" s="137"/>
      <c r="P36" s="136" t="n">
        <v>1.65</v>
      </c>
      <c r="Q36" s="136"/>
      <c r="R36" s="136"/>
      <c r="S36" s="139" t="n">
        <v>71.8</v>
      </c>
      <c r="T36" s="129" t="n">
        <v>0.023</v>
      </c>
      <c r="U36" s="129" t="n">
        <v>0.022475356406873</v>
      </c>
      <c r="X36" s="130" t="n">
        <v>30.017</v>
      </c>
      <c r="Y36" s="130" t="n">
        <v>29.3322944897872</v>
      </c>
      <c r="Z36" s="129" t="n">
        <v>1.878</v>
      </c>
      <c r="AA36" s="129" t="n">
        <v>1.83516171009163</v>
      </c>
      <c r="AB36" s="130" t="n">
        <v>11.87</v>
      </c>
      <c r="AC36" s="130" t="n">
        <v>11.5992382847644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35.4708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2.433</v>
      </c>
      <c r="Q37" s="136"/>
      <c r="R37" s="136"/>
      <c r="S37" s="139" t="n">
        <v>105.9</v>
      </c>
      <c r="T37" s="129" t="n">
        <v>0.023</v>
      </c>
      <c r="U37" s="129" t="n">
        <v>0.022475356406873</v>
      </c>
      <c r="X37" s="130" t="n">
        <v>21.337</v>
      </c>
      <c r="Y37" s="130" t="n">
        <v>20.8502904197152</v>
      </c>
      <c r="Z37" s="129" t="n">
        <v>1.398</v>
      </c>
      <c r="AA37" s="129" t="n">
        <v>1.36611079377428</v>
      </c>
      <c r="AB37" s="130" t="n">
        <v>7.45</v>
      </c>
      <c r="AC37" s="130" t="n">
        <v>7.28006109700886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35.5081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2.403</v>
      </c>
      <c r="Q38" s="136"/>
      <c r="R38" s="136"/>
      <c r="S38" s="139" t="n">
        <v>104.6</v>
      </c>
      <c r="T38" s="129" t="n">
        <v>0.025</v>
      </c>
      <c r="U38" s="129" t="n">
        <v>0.0244297352248619</v>
      </c>
      <c r="X38" s="130" t="n">
        <v>21.215</v>
      </c>
      <c r="Y38" s="130" t="n">
        <v>20.7310733118178</v>
      </c>
      <c r="Z38" s="129" t="n">
        <v>1.376</v>
      </c>
      <c r="AA38" s="129" t="n">
        <v>1.3446126267764</v>
      </c>
      <c r="AB38" s="130" t="n">
        <v>7.01</v>
      </c>
      <c r="AC38" s="130" t="n">
        <v>6.85009775705129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35.5267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2.326</v>
      </c>
      <c r="Q39" s="136"/>
      <c r="R39" s="136"/>
      <c r="S39" s="139" t="n">
        <v>101.2</v>
      </c>
      <c r="T39" s="129" t="n">
        <v>0.042</v>
      </c>
      <c r="U39" s="129" t="n">
        <v>0.0410419551777681</v>
      </c>
      <c r="X39" s="130" t="n">
        <v>20.908</v>
      </c>
      <c r="Y39" s="130" t="n">
        <v>20.4310761632565</v>
      </c>
      <c r="Z39" s="129" t="n">
        <v>1.351</v>
      </c>
      <c r="AA39" s="129" t="n">
        <v>1.32018289155154</v>
      </c>
      <c r="AB39" s="130" t="n">
        <v>6.79</v>
      </c>
      <c r="AC39" s="130" t="n">
        <v>6.6351160870725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35.6096</v>
      </c>
      <c r="H40" s="124" t="n">
        <v>80</v>
      </c>
      <c r="I40" s="124" t="n">
        <v>79</v>
      </c>
      <c r="J40" s="136"/>
      <c r="K40" s="137"/>
      <c r="L40" s="137"/>
      <c r="M40" s="137"/>
      <c r="N40" s="138"/>
      <c r="O40" s="137"/>
      <c r="P40" s="136" t="n">
        <v>2.427</v>
      </c>
      <c r="Q40" s="136"/>
      <c r="R40" s="136"/>
      <c r="S40" s="139" t="n">
        <v>105.7</v>
      </c>
      <c r="T40" s="129" t="n">
        <v>0.084</v>
      </c>
      <c r="U40" s="129" t="n">
        <v>0.0820839103555361</v>
      </c>
      <c r="X40" s="130" t="n">
        <v>19.636</v>
      </c>
      <c r="Y40" s="130" t="n">
        <v>19.1880912350156</v>
      </c>
      <c r="Z40" s="129" t="n">
        <v>1.286</v>
      </c>
      <c r="AA40" s="129" t="n">
        <v>1.2566655799669</v>
      </c>
      <c r="AB40" s="130" t="n">
        <v>6.1</v>
      </c>
      <c r="AC40" s="130" t="n">
        <v>5.96085539486631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35.7089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2.635</v>
      </c>
      <c r="Q41" s="136"/>
      <c r="R41" s="136"/>
      <c r="S41" s="139" t="n">
        <v>114.7</v>
      </c>
      <c r="T41" s="129" t="n">
        <v>0.386</v>
      </c>
      <c r="U41" s="129" t="n">
        <v>0.377195111871868</v>
      </c>
      <c r="X41" s="130" t="n">
        <v>17.094</v>
      </c>
      <c r="Y41" s="130" t="n">
        <v>16.7040757573516</v>
      </c>
      <c r="Z41" s="129" t="n">
        <v>1.153</v>
      </c>
      <c r="AA41" s="129" t="n">
        <v>1.12669938857063</v>
      </c>
      <c r="AB41" s="130" t="n">
        <v>5.08</v>
      </c>
      <c r="AC41" s="130" t="n">
        <v>4.96412219769195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35.7652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4.771</v>
      </c>
      <c r="Q42" s="136"/>
      <c r="R42" s="136"/>
      <c r="S42" s="139" t="n">
        <v>207.9</v>
      </c>
      <c r="T42" s="129" t="n">
        <v>0.235</v>
      </c>
      <c r="U42" s="129" t="n">
        <v>0.229639511113702</v>
      </c>
      <c r="X42" s="130" t="n">
        <v>2.405</v>
      </c>
      <c r="Y42" s="130" t="n">
        <v>2.35014052863172</v>
      </c>
      <c r="Z42" s="129" t="n">
        <v>0.331</v>
      </c>
      <c r="AA42" s="129" t="n">
        <v>0.323449694377172</v>
      </c>
      <c r="AB42" s="130" t="n">
        <v>1.82</v>
      </c>
      <c r="AC42" s="130" t="n">
        <v>1.77848472436995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35.7877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4.947</v>
      </c>
      <c r="Q43" s="136"/>
      <c r="R43" s="136"/>
      <c r="S43" s="139" t="n">
        <v>215.6</v>
      </c>
      <c r="T43" s="129" t="n">
        <v>0.127</v>
      </c>
      <c r="U43" s="129" t="n">
        <v>0.124103054942299</v>
      </c>
      <c r="X43" s="130" t="n">
        <v>1.803</v>
      </c>
      <c r="Y43" s="130" t="n">
        <v>1.76187250441704</v>
      </c>
      <c r="Z43" s="129" t="n">
        <v>0.283</v>
      </c>
      <c r="AA43" s="129" t="n">
        <v>0.276544602745437</v>
      </c>
      <c r="AB43" s="130" t="n">
        <v>1.76</v>
      </c>
      <c r="AC43" s="130" t="n">
        <v>1.71985335983028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35.7829</v>
      </c>
      <c r="H44" s="124" t="n">
        <v>10</v>
      </c>
      <c r="I44" s="124" t="n">
        <v>9</v>
      </c>
      <c r="J44" s="136"/>
      <c r="K44" s="137"/>
      <c r="L44" s="137"/>
      <c r="M44" s="137"/>
      <c r="N44" s="138"/>
      <c r="O44" s="137"/>
      <c r="P44" s="136" t="n">
        <v>4.949</v>
      </c>
      <c r="Q44" s="136"/>
      <c r="R44" s="136"/>
      <c r="S44" s="139" t="n">
        <v>215.7</v>
      </c>
      <c r="T44" s="129" t="n">
        <v>0.126</v>
      </c>
      <c r="U44" s="129" t="n">
        <v>0.123125865533304</v>
      </c>
      <c r="X44" s="130" t="n">
        <v>1.754</v>
      </c>
      <c r="Y44" s="130" t="n">
        <v>1.71399022337631</v>
      </c>
      <c r="Z44" s="129" t="n">
        <v>0.311</v>
      </c>
      <c r="AA44" s="129" t="n">
        <v>0.303905906197282</v>
      </c>
      <c r="AB44" s="130" t="n">
        <v>1.84</v>
      </c>
      <c r="AC44" s="130" t="n">
        <v>1.79802851254984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35.7824</v>
      </c>
      <c r="H45" s="124" t="n">
        <v>0</v>
      </c>
      <c r="I45" s="124" t="n">
        <v>0</v>
      </c>
      <c r="J45" s="136"/>
      <c r="K45" s="137"/>
      <c r="L45" s="137"/>
      <c r="M45" s="137"/>
      <c r="N45" s="138"/>
      <c r="O45" s="137"/>
      <c r="P45" s="136" t="n">
        <v>4.949</v>
      </c>
      <c r="Q45" s="136"/>
      <c r="R45" s="136"/>
      <c r="S45" s="139" t="n">
        <v>215.7</v>
      </c>
      <c r="T45" s="129" t="n">
        <v>0.119</v>
      </c>
      <c r="U45" s="129" t="n">
        <v>0.116285539670343</v>
      </c>
      <c r="X45" s="130" t="n">
        <v>1.711</v>
      </c>
      <c r="Y45" s="130" t="n">
        <v>1.67197107878955</v>
      </c>
      <c r="Z45" s="129" t="n">
        <v>0.265</v>
      </c>
      <c r="AA45" s="129" t="n">
        <v>0.258955193383536</v>
      </c>
      <c r="AB45" s="130" t="n">
        <v>1.79</v>
      </c>
      <c r="AC45" s="130" t="n">
        <v>1.74916904210011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0.29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-4°0,29</v>
      </c>
      <c r="P9" s="31" t="s">
        <v>16</v>
      </c>
      <c r="Q9" s="35" t="n">
        <f aca="false">IF(ISBLANK(I9),"",IF(ISBLANK(J9),"",IF(J9&gt;60,"ERREUR !!",O11*(I9+(J9/60)))))</f>
        <v>-4.00483333333333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</v>
      </c>
      <c r="P10" s="31" t="s">
        <v>17</v>
      </c>
      <c r="Q10" s="35" t="n">
        <f aca="false">IF(ISBLANK(I10),"",IF(ISBLANK(J10),"",IF(J10&gt;60,"ERREUR !!",O12*(I10+(J10/60)))))</f>
        <v>-9.99833333333333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37145</v>
      </c>
      <c r="K11" s="40"/>
      <c r="L11" s="40"/>
      <c r="M11" s="40"/>
      <c r="N11" s="41" t="str">
        <f aca="false">I9&amp;"°"&amp;J9</f>
        <v>4°0,29</v>
      </c>
      <c r="O11" s="42" t="n">
        <f aca="false">IF(P9=M10,-1,1)</f>
        <v>-1</v>
      </c>
      <c r="P11" s="43" t="str">
        <f aca="false">TEXT(J11,"aaaa-mm-jj")&amp;"T"&amp;TEXT(J12,"hh:mm:ss")&amp;"z"</f>
        <v>2005-09-12T03:30:00z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0.145833333333333</v>
      </c>
      <c r="K12" s="48"/>
      <c r="L12" s="48"/>
      <c r="M12" s="48"/>
      <c r="N12" s="49" t="str">
        <f aca="false">I10&amp;"°"&amp;J10</f>
        <v>9°59,9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34.6599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3.665</v>
      </c>
      <c r="Q35" s="125"/>
      <c r="R35" s="125"/>
      <c r="S35" s="128" t="n">
        <v>159.3</v>
      </c>
      <c r="T35" s="129" t="n">
        <v>0.013</v>
      </c>
      <c r="U35" s="129" t="n">
        <v>0.0127034623169282</v>
      </c>
      <c r="X35" s="130" t="n">
        <v>33.297</v>
      </c>
      <c r="Y35" s="130" t="n">
        <v>32.5374757512891</v>
      </c>
      <c r="Z35" s="129" t="n">
        <v>2.222</v>
      </c>
      <c r="AA35" s="129" t="n">
        <v>2.17131486678573</v>
      </c>
      <c r="AB35" s="130" t="n">
        <v>31.42</v>
      </c>
      <c r="AC35" s="130" t="n">
        <v>30.7032912306065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35.1069</v>
      </c>
      <c r="H36" s="124" t="n">
        <v>300</v>
      </c>
      <c r="I36" s="124" t="n">
        <v>299</v>
      </c>
      <c r="J36" s="136"/>
      <c r="K36" s="137"/>
      <c r="L36" s="137"/>
      <c r="M36" s="137"/>
      <c r="N36" s="138"/>
      <c r="O36" s="137"/>
      <c r="P36" s="136" t="n">
        <v>1.831</v>
      </c>
      <c r="Q36" s="136"/>
      <c r="R36" s="136"/>
      <c r="S36" s="139" t="n">
        <v>79.7</v>
      </c>
      <c r="T36" s="129" t="n">
        <v>0.034</v>
      </c>
      <c r="U36" s="129" t="n">
        <v>0.0332244399058122</v>
      </c>
      <c r="X36" s="130" t="n">
        <v>28.856</v>
      </c>
      <c r="Y36" s="130" t="n">
        <v>28.1977775859446</v>
      </c>
      <c r="Z36" s="129" t="n">
        <v>1.824</v>
      </c>
      <c r="AA36" s="129" t="n">
        <v>1.78239348200593</v>
      </c>
      <c r="AB36" s="130" t="n">
        <v>10.95</v>
      </c>
      <c r="AC36" s="130" t="n">
        <v>10.7002240284895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35.3991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1.891</v>
      </c>
      <c r="Q37" s="136"/>
      <c r="R37" s="136"/>
      <c r="S37" s="139" t="n">
        <v>82.3</v>
      </c>
      <c r="T37" s="129" t="n">
        <v>0.0285</v>
      </c>
      <c r="U37" s="129" t="n">
        <v>0.0278498981563426</v>
      </c>
      <c r="X37" s="130" t="n">
        <v>24.6015</v>
      </c>
      <c r="Y37" s="130" t="n">
        <v>24.0403252453776</v>
      </c>
      <c r="Z37" s="129" t="n">
        <v>1.5915</v>
      </c>
      <c r="AA37" s="129" t="n">
        <v>1.55519694441471</v>
      </c>
      <c r="AB37" s="130" t="n">
        <v>8.16</v>
      </c>
      <c r="AC37" s="130" t="n">
        <v>7.97386557739494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35.4452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1.803</v>
      </c>
      <c r="Q38" s="136"/>
      <c r="R38" s="136"/>
      <c r="S38" s="139" t="n">
        <v>78.5</v>
      </c>
      <c r="T38" s="129" t="n">
        <v>0.032</v>
      </c>
      <c r="U38" s="129" t="n">
        <v>0.0312700610878233</v>
      </c>
      <c r="X38" s="130" t="n">
        <v>24.618</v>
      </c>
      <c r="Y38" s="130" t="n">
        <v>24.056448870626</v>
      </c>
      <c r="Z38" s="129" t="n">
        <v>1.577</v>
      </c>
      <c r="AA38" s="129" t="n">
        <v>1.54102769798429</v>
      </c>
      <c r="AB38" s="130" t="n">
        <v>7.98</v>
      </c>
      <c r="AC38" s="130" t="n">
        <v>7.79797148377593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35.4968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1.831</v>
      </c>
      <c r="Q39" s="136"/>
      <c r="R39" s="136"/>
      <c r="S39" s="139" t="n">
        <v>79.7</v>
      </c>
      <c r="T39" s="129" t="n">
        <v>0.051</v>
      </c>
      <c r="U39" s="129" t="n">
        <v>0.0498366598587183</v>
      </c>
      <c r="X39" s="130" t="n">
        <v>23.669</v>
      </c>
      <c r="Y39" s="130" t="n">
        <v>23.1290961214903</v>
      </c>
      <c r="Z39" s="129" t="n">
        <v>1.532</v>
      </c>
      <c r="AA39" s="129" t="n">
        <v>1.49705417457954</v>
      </c>
      <c r="AB39" s="130" t="n">
        <v>7.14</v>
      </c>
      <c r="AC39" s="130" t="n">
        <v>6.97713238022057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35.5694</v>
      </c>
      <c r="H40" s="124" t="n">
        <v>80</v>
      </c>
      <c r="I40" s="124" t="n">
        <v>79</v>
      </c>
      <c r="J40" s="136"/>
      <c r="K40" s="137"/>
      <c r="L40" s="137"/>
      <c r="M40" s="137"/>
      <c r="N40" s="138"/>
      <c r="O40" s="137"/>
      <c r="P40" s="136" t="n">
        <v>2.016</v>
      </c>
      <c r="Q40" s="136"/>
      <c r="R40" s="136"/>
      <c r="S40" s="139" t="n">
        <v>87.7</v>
      </c>
      <c r="T40" s="129" t="n">
        <v>0.105</v>
      </c>
      <c r="U40" s="129" t="n">
        <v>0.10260488794442</v>
      </c>
      <c r="X40" s="130" t="n">
        <v>21.755</v>
      </c>
      <c r="Y40" s="130" t="n">
        <v>21.2587555926749</v>
      </c>
      <c r="Z40" s="129" t="n">
        <v>1.443</v>
      </c>
      <c r="AA40" s="129" t="n">
        <v>1.41008431717903</v>
      </c>
      <c r="AB40" s="130" t="n">
        <v>6.35</v>
      </c>
      <c r="AC40" s="130" t="n">
        <v>6.20515274711493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35.674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2.555</v>
      </c>
      <c r="Q41" s="136"/>
      <c r="R41" s="136"/>
      <c r="S41" s="139" t="n">
        <v>111.2</v>
      </c>
      <c r="T41" s="129" t="n">
        <v>0.88</v>
      </c>
      <c r="U41" s="129" t="n">
        <v>0.85992667991514</v>
      </c>
      <c r="X41" s="130" t="n">
        <v>17.02</v>
      </c>
      <c r="Y41" s="130" t="n">
        <v>16.631763741086</v>
      </c>
      <c r="Z41" s="129" t="n">
        <v>1.214</v>
      </c>
      <c r="AA41" s="129" t="n">
        <v>1.1863079425193</v>
      </c>
      <c r="AB41" s="130" t="n">
        <v>5.14</v>
      </c>
      <c r="AC41" s="130" t="n">
        <v>5.02275356223162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35.7704</v>
      </c>
      <c r="H42" s="124" t="n">
        <v>40</v>
      </c>
      <c r="I42" s="124" t="n">
        <v>40</v>
      </c>
      <c r="J42" s="136"/>
      <c r="K42" s="137"/>
      <c r="L42" s="137"/>
      <c r="M42" s="137"/>
      <c r="N42" s="138"/>
      <c r="O42" s="137"/>
      <c r="P42" s="136" t="n">
        <v>4.018</v>
      </c>
      <c r="Q42" s="136"/>
      <c r="R42" s="136"/>
      <c r="S42" s="139" t="n">
        <v>175.1</v>
      </c>
      <c r="T42" s="129" t="n">
        <v>0.821</v>
      </c>
      <c r="U42" s="129" t="n">
        <v>0.802272504784466</v>
      </c>
      <c r="X42" s="130" t="n">
        <v>6.479</v>
      </c>
      <c r="Y42" s="130" t="n">
        <v>6.33121018087522</v>
      </c>
      <c r="Z42" s="129" t="n">
        <v>0.641</v>
      </c>
      <c r="AA42" s="129" t="n">
        <v>0.62637841116546</v>
      </c>
      <c r="AB42" s="130" t="n">
        <v>2.78</v>
      </c>
      <c r="AC42" s="130" t="n">
        <v>2.71658655700465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35.8221</v>
      </c>
      <c r="H43" s="124" t="n">
        <v>20</v>
      </c>
      <c r="I43" s="124" t="n">
        <v>20</v>
      </c>
      <c r="J43" s="136"/>
      <c r="K43" s="137"/>
      <c r="L43" s="137"/>
      <c r="M43" s="137"/>
      <c r="N43" s="138"/>
      <c r="O43" s="137"/>
      <c r="P43" s="136" t="n">
        <v>4.981</v>
      </c>
      <c r="Q43" s="136"/>
      <c r="R43" s="136"/>
      <c r="S43" s="139" t="n">
        <v>217.1</v>
      </c>
      <c r="T43" s="129" t="n">
        <v>0.113</v>
      </c>
      <c r="U43" s="129" t="n">
        <v>0.110422403216376</v>
      </c>
      <c r="X43" s="130" t="n">
        <v>2.257</v>
      </c>
      <c r="Y43" s="130" t="n">
        <v>2.20551649610054</v>
      </c>
      <c r="Z43" s="129" t="n">
        <v>0.335</v>
      </c>
      <c r="AA43" s="129" t="n">
        <v>0.32735845201315</v>
      </c>
      <c r="AB43" s="130" t="n">
        <v>1.91</v>
      </c>
      <c r="AC43" s="130" t="n">
        <v>1.86643177117945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35.8222</v>
      </c>
      <c r="H44" s="124" t="n">
        <v>10</v>
      </c>
      <c r="I44" s="124" t="n">
        <v>10</v>
      </c>
      <c r="J44" s="136"/>
      <c r="K44" s="137"/>
      <c r="L44" s="137"/>
      <c r="M44" s="137"/>
      <c r="N44" s="138"/>
      <c r="O44" s="137"/>
      <c r="P44" s="136" t="n">
        <v>4.972</v>
      </c>
      <c r="Q44" s="136"/>
      <c r="R44" s="136"/>
      <c r="S44" s="139" t="n">
        <v>216.7</v>
      </c>
      <c r="T44" s="129" t="n">
        <v>0.11</v>
      </c>
      <c r="U44" s="129" t="n">
        <v>0.107490834989393</v>
      </c>
      <c r="X44" s="130" t="n">
        <v>2.25</v>
      </c>
      <c r="Y44" s="130" t="n">
        <v>2.19867617023757</v>
      </c>
      <c r="Z44" s="129" t="n">
        <v>0.337</v>
      </c>
      <c r="AA44" s="129" t="n">
        <v>0.329312830831139</v>
      </c>
      <c r="AB44" s="130" t="n">
        <v>2.04</v>
      </c>
      <c r="AC44" s="130" t="n">
        <v>1.99346639434873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35.8217</v>
      </c>
      <c r="H45" s="124" t="n">
        <v>0</v>
      </c>
      <c r="I45" s="124" t="n">
        <v>1</v>
      </c>
      <c r="J45" s="136"/>
      <c r="K45" s="137"/>
      <c r="L45" s="137"/>
      <c r="M45" s="137"/>
      <c r="N45" s="138"/>
      <c r="O45" s="137"/>
      <c r="P45" s="136" t="n">
        <v>4.844</v>
      </c>
      <c r="Q45" s="136"/>
      <c r="R45" s="136"/>
      <c r="S45" s="139" t="n">
        <v>211.2</v>
      </c>
      <c r="T45" s="129" t="n">
        <v>0.11</v>
      </c>
      <c r="U45" s="129" t="n">
        <v>0.107490834989393</v>
      </c>
      <c r="X45" s="130" t="n">
        <v>2.25</v>
      </c>
      <c r="Y45" s="130" t="n">
        <v>2.19867617023757</v>
      </c>
      <c r="Z45" s="129" t="n">
        <v>0.334</v>
      </c>
      <c r="AA45" s="129" t="n">
        <v>0.326381262604155</v>
      </c>
      <c r="AB45" s="130" t="n">
        <v>1.73</v>
      </c>
      <c r="AC45" s="130" t="n">
        <v>1.69053767756045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9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30.11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-3°30,11</v>
      </c>
      <c r="P9" s="31" t="s">
        <v>16</v>
      </c>
      <c r="Q9" s="35" t="n">
        <f aca="false">IF(ISBLANK(I9),"",IF(ISBLANK(J9),"",IF(J9&gt;60,"ERREUR !!",O11*(I9+(J9/60)))))</f>
        <v>-3.50183333333333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59.88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-9°59,88</v>
      </c>
      <c r="P10" s="31" t="s">
        <v>17</v>
      </c>
      <c r="Q10" s="35" t="n">
        <f aca="false">IF(ISBLANK(I10),"",IF(ISBLANK(J10),"",IF(J10&gt;60,"ERREUR !!",O12*(I10+(J10/60)))))</f>
        <v>-9.998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37145</v>
      </c>
      <c r="K11" s="40"/>
      <c r="L11" s="40"/>
      <c r="M11" s="40"/>
      <c r="N11" s="41" t="str">
        <f aca="false">I9&amp;"°"&amp;J9</f>
        <v>3°30,11</v>
      </c>
      <c r="O11" s="42" t="n">
        <f aca="false">IF(P9=M10,-1,1)</f>
        <v>-1</v>
      </c>
      <c r="P11" s="43" t="str">
        <f aca="false">TEXT(J11,"aaaa-mm-jj")&amp;"T"&amp;TEXT(J12,"hh:mm:ss")&amp;"z"</f>
        <v>2005-09-12T08:00:00z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0.333333333333333</v>
      </c>
      <c r="K12" s="48"/>
      <c r="L12" s="48"/>
      <c r="M12" s="48"/>
      <c r="N12" s="49" t="str">
        <f aca="false">I10&amp;"°"&amp;J10</f>
        <v>9°59,88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34.6148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3.635</v>
      </c>
      <c r="Q35" s="125"/>
      <c r="R35" s="125"/>
      <c r="S35" s="128" t="n">
        <v>158.1</v>
      </c>
      <c r="T35" s="129" t="n">
        <v>0.024</v>
      </c>
      <c r="U35" s="129" t="n">
        <v>0.0234525458158675</v>
      </c>
      <c r="X35" s="130" t="n">
        <v>34.246</v>
      </c>
      <c r="Y35" s="130" t="n">
        <v>33.4648285004249</v>
      </c>
      <c r="Z35" s="129" t="n">
        <v>2.291</v>
      </c>
      <c r="AA35" s="129" t="n">
        <v>2.23874093600635</v>
      </c>
      <c r="AB35" s="130" t="n">
        <v>32.06</v>
      </c>
      <c r="AC35" s="130" t="n">
        <v>31.3286924523629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35.0956</v>
      </c>
      <c r="H36" s="124" t="n">
        <v>300</v>
      </c>
      <c r="I36" s="124" t="n">
        <v>300.1</v>
      </c>
      <c r="J36" s="136"/>
      <c r="K36" s="137"/>
      <c r="L36" s="137"/>
      <c r="M36" s="137"/>
      <c r="N36" s="138"/>
      <c r="O36" s="137"/>
      <c r="P36" s="136" t="n">
        <v>2.135</v>
      </c>
      <c r="Q36" s="136"/>
      <c r="R36" s="136"/>
      <c r="S36" s="139" t="n">
        <v>92.9</v>
      </c>
      <c r="T36" s="129" t="n">
        <v>0.021</v>
      </c>
      <c r="U36" s="129" t="n">
        <v>0.020520977588884</v>
      </c>
      <c r="X36" s="130" t="n">
        <v>27.689</v>
      </c>
      <c r="Y36" s="130" t="n">
        <v>27.0573975456481</v>
      </c>
      <c r="Z36" s="129" t="n">
        <v>1.768</v>
      </c>
      <c r="AA36" s="129" t="n">
        <v>1.72767087510224</v>
      </c>
      <c r="AB36" s="130" t="n">
        <v>10.64</v>
      </c>
      <c r="AC36" s="130" t="n">
        <v>10.3972953117012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35.412</v>
      </c>
      <c r="H37" s="124" t="n">
        <v>160</v>
      </c>
      <c r="I37" s="124" t="n">
        <v>159.6</v>
      </c>
      <c r="J37" s="136"/>
      <c r="K37" s="137"/>
      <c r="L37" s="137"/>
      <c r="M37" s="137"/>
      <c r="N37" s="138"/>
      <c r="O37" s="137"/>
      <c r="P37" s="136" t="n">
        <v>1.854</v>
      </c>
      <c r="Q37" s="136"/>
      <c r="R37" s="136"/>
      <c r="S37" s="139" t="n">
        <v>80.7</v>
      </c>
      <c r="T37" s="129" t="n">
        <v>0.026</v>
      </c>
      <c r="U37" s="129" t="n">
        <v>0.0254069246338564</v>
      </c>
      <c r="X37" s="130" t="n">
        <v>24.484</v>
      </c>
      <c r="Y37" s="130" t="n">
        <v>23.9255054898208</v>
      </c>
      <c r="Z37" s="129" t="n">
        <v>1.595</v>
      </c>
      <c r="AA37" s="129" t="n">
        <v>1.55861710734619</v>
      </c>
      <c r="AB37" s="130" t="n">
        <v>8.12</v>
      </c>
      <c r="AC37" s="130" t="n">
        <v>7.93477800103516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35.4699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2.042</v>
      </c>
      <c r="Q38" s="136"/>
      <c r="R38" s="136"/>
      <c r="S38" s="139" t="n">
        <v>88.9</v>
      </c>
      <c r="T38" s="129" t="n">
        <v>0.0285</v>
      </c>
      <c r="U38" s="129" t="n">
        <v>0.0278498981563426</v>
      </c>
      <c r="X38" s="130" t="n">
        <v>23.4615</v>
      </c>
      <c r="Y38" s="130" t="n">
        <v>22.9263293191239</v>
      </c>
      <c r="Z38" s="129" t="n">
        <v>1.5165</v>
      </c>
      <c r="AA38" s="129" t="n">
        <v>1.48190773874013</v>
      </c>
      <c r="AB38" s="130" t="n">
        <v>7.315</v>
      </c>
      <c r="AC38" s="130" t="n">
        <v>7.1481405267946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35.5675</v>
      </c>
      <c r="H39" s="124" t="n">
        <v>100</v>
      </c>
      <c r="I39" s="124" t="n">
        <v>100.3</v>
      </c>
      <c r="J39" s="136"/>
      <c r="K39" s="137"/>
      <c r="L39" s="137"/>
      <c r="M39" s="137"/>
      <c r="N39" s="138"/>
      <c r="O39" s="137"/>
      <c r="P39" s="136" t="n">
        <v>2.27</v>
      </c>
      <c r="Q39" s="136"/>
      <c r="R39" s="136"/>
      <c r="S39" s="139" t="n">
        <v>98.8</v>
      </c>
      <c r="T39" s="129" t="n">
        <v>0.051</v>
      </c>
      <c r="U39" s="129" t="n">
        <v>0.0498366598587183</v>
      </c>
      <c r="X39" s="130" t="n">
        <v>20.849</v>
      </c>
      <c r="Y39" s="130" t="n">
        <v>20.3734219881259</v>
      </c>
      <c r="Z39" s="129" t="n">
        <v>1.366</v>
      </c>
      <c r="AA39" s="129" t="n">
        <v>1.33484073268646</v>
      </c>
      <c r="AB39" s="130" t="n">
        <v>6.23</v>
      </c>
      <c r="AC39" s="130" t="n">
        <v>6.0878900180356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35.625</v>
      </c>
      <c r="H40" s="124" t="n">
        <v>80</v>
      </c>
      <c r="I40" s="124" t="n">
        <v>80.3</v>
      </c>
      <c r="J40" s="136"/>
      <c r="K40" s="137"/>
      <c r="L40" s="137"/>
      <c r="M40" s="137"/>
      <c r="N40" s="138"/>
      <c r="O40" s="137"/>
      <c r="P40" s="136" t="n">
        <v>2.456</v>
      </c>
      <c r="Q40" s="136"/>
      <c r="R40" s="136"/>
      <c r="S40" s="139" t="n">
        <v>106.9</v>
      </c>
      <c r="T40" s="129" t="n">
        <v>0.129</v>
      </c>
      <c r="U40" s="129" t="n">
        <v>0.126057433760288</v>
      </c>
      <c r="X40" s="130" t="n">
        <v>19.161</v>
      </c>
      <c r="Y40" s="130" t="n">
        <v>18.7239262657432</v>
      </c>
      <c r="Z40" s="129" t="n">
        <v>1.282</v>
      </c>
      <c r="AA40" s="129" t="n">
        <v>1.25275682233092</v>
      </c>
      <c r="AB40" s="130" t="n">
        <v>5.83</v>
      </c>
      <c r="AC40" s="130" t="n">
        <v>5.6970142544378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35.7537</v>
      </c>
      <c r="H41" s="124" t="n">
        <v>60</v>
      </c>
      <c r="I41" s="124" t="n">
        <v>60.3</v>
      </c>
      <c r="J41" s="136"/>
      <c r="K41" s="137"/>
      <c r="L41" s="137"/>
      <c r="M41" s="137"/>
      <c r="N41" s="138"/>
      <c r="O41" s="137"/>
      <c r="P41" s="136" t="n">
        <v>3.381</v>
      </c>
      <c r="Q41" s="136"/>
      <c r="R41" s="136"/>
      <c r="S41" s="139" t="n">
        <v>147.2</v>
      </c>
      <c r="T41" s="129" t="n">
        <v>1.343</v>
      </c>
      <c r="U41" s="129" t="n">
        <v>1.31236537627958</v>
      </c>
      <c r="X41" s="130" t="n">
        <v>11.077</v>
      </c>
      <c r="Y41" s="130" t="n">
        <v>10.8243270834318</v>
      </c>
      <c r="Z41" s="129" t="n">
        <v>0.916</v>
      </c>
      <c r="AA41" s="129" t="n">
        <v>0.895105498638941</v>
      </c>
      <c r="AB41" s="130" t="n">
        <v>3.7</v>
      </c>
      <c r="AC41" s="130" t="n">
        <v>3.61560081327957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35.7922</v>
      </c>
      <c r="H42" s="124" t="n">
        <v>40</v>
      </c>
      <c r="I42" s="124" t="n">
        <v>40.5</v>
      </c>
      <c r="J42" s="136"/>
      <c r="K42" s="137"/>
      <c r="L42" s="137"/>
      <c r="M42" s="137"/>
      <c r="N42" s="138"/>
      <c r="O42" s="137"/>
      <c r="P42" s="136" t="n">
        <v>4.352</v>
      </c>
      <c r="Q42" s="136"/>
      <c r="R42" s="136"/>
      <c r="S42" s="139" t="n">
        <v>189.6</v>
      </c>
      <c r="T42" s="129" t="n">
        <v>0.456</v>
      </c>
      <c r="U42" s="129" t="n">
        <v>0.445598370501482</v>
      </c>
      <c r="X42" s="130" t="n">
        <v>5.404</v>
      </c>
      <c r="Y42" s="130" t="n">
        <v>5.28073156620616</v>
      </c>
      <c r="Z42" s="129" t="n">
        <v>0.543</v>
      </c>
      <c r="AA42" s="129" t="n">
        <v>0.530613849084001</v>
      </c>
      <c r="AB42" s="130" t="n">
        <v>2.44</v>
      </c>
      <c r="AC42" s="130" t="n">
        <v>2.38434215794652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35.8466</v>
      </c>
      <c r="H43" s="124" t="n">
        <v>20</v>
      </c>
      <c r="I43" s="124" t="n">
        <v>20.1</v>
      </c>
      <c r="J43" s="136"/>
      <c r="K43" s="137"/>
      <c r="L43" s="137"/>
      <c r="M43" s="137"/>
      <c r="N43" s="138"/>
      <c r="O43" s="137"/>
      <c r="P43" s="136" t="n">
        <v>4.949</v>
      </c>
      <c r="Q43" s="136"/>
      <c r="R43" s="136"/>
      <c r="S43" s="139" t="n">
        <v>215.7</v>
      </c>
      <c r="T43" s="129" t="n">
        <v>0.113</v>
      </c>
      <c r="U43" s="129" t="n">
        <v>0.110422403216376</v>
      </c>
      <c r="X43" s="130" t="n">
        <v>2.217</v>
      </c>
      <c r="Y43" s="130" t="n">
        <v>2.16642891974076</v>
      </c>
      <c r="Z43" s="129" t="n">
        <v>0.322</v>
      </c>
      <c r="AA43" s="129" t="n">
        <v>0.314654989696222</v>
      </c>
      <c r="AB43" s="130" t="n">
        <v>1.83</v>
      </c>
      <c r="AC43" s="130" t="n">
        <v>1.78825661845989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35.8457</v>
      </c>
      <c r="H44" s="124" t="n">
        <v>10</v>
      </c>
      <c r="I44" s="124" t="n">
        <v>10.6</v>
      </c>
      <c r="J44" s="136"/>
      <c r="K44" s="137"/>
      <c r="L44" s="137"/>
      <c r="M44" s="137"/>
      <c r="N44" s="138"/>
      <c r="O44" s="137"/>
      <c r="P44" s="136" t="n">
        <v>4.922</v>
      </c>
      <c r="Q44" s="136"/>
      <c r="R44" s="136"/>
      <c r="S44" s="139" t="n">
        <v>214.6</v>
      </c>
      <c r="T44" s="129" t="n">
        <v>0.106</v>
      </c>
      <c r="U44" s="129" t="n">
        <v>0.103582077353415</v>
      </c>
      <c r="X44" s="130" t="n">
        <v>2.164</v>
      </c>
      <c r="Y44" s="130" t="n">
        <v>2.11463788106405</v>
      </c>
      <c r="Z44" s="129" t="n">
        <v>0.318</v>
      </c>
      <c r="AA44" s="129" t="n">
        <v>0.310746232060244</v>
      </c>
      <c r="AB44" s="130" t="n">
        <v>1.82</v>
      </c>
      <c r="AC44" s="130" t="n">
        <v>1.77848472436995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35.8472</v>
      </c>
      <c r="H45" s="124" t="n">
        <v>0</v>
      </c>
      <c r="I45" s="124" t="n">
        <v>0.2</v>
      </c>
      <c r="J45" s="136"/>
      <c r="K45" s="137"/>
      <c r="L45" s="137"/>
      <c r="M45" s="137"/>
      <c r="N45" s="138"/>
      <c r="O45" s="137"/>
      <c r="P45" s="136" t="n">
        <v>4.925</v>
      </c>
      <c r="Q45" s="136"/>
      <c r="R45" s="136"/>
      <c r="S45" s="139" t="n">
        <v>214.7</v>
      </c>
      <c r="T45" s="129" t="n">
        <v>0.112</v>
      </c>
      <c r="U45" s="129" t="n">
        <v>0.109445213807381</v>
      </c>
      <c r="X45" s="130" t="n">
        <v>2.248</v>
      </c>
      <c r="Y45" s="130" t="n">
        <v>2.19672179141959</v>
      </c>
      <c r="Z45" s="129" t="n">
        <v>0.31</v>
      </c>
      <c r="AA45" s="129" t="n">
        <v>0.302928716788288</v>
      </c>
      <c r="AB45" s="130" t="n">
        <v>1.88</v>
      </c>
      <c r="AC45" s="130" t="n">
        <v>1.83711608890962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38" activeCellId="0" sqref="V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59.82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-2°59,82</v>
      </c>
      <c r="P9" s="31" t="s">
        <v>16</v>
      </c>
      <c r="Q9" s="35" t="n">
        <f aca="false">IF(ISBLANK(I9),"",IF(ISBLANK(J9),"",IF(J9&gt;60,"ERREUR !!",O11*(I9+(J9/60)))))</f>
        <v>-2.997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-9°59,85</v>
      </c>
      <c r="P10" s="31" t="s">
        <v>17</v>
      </c>
      <c r="Q10" s="35" t="n">
        <f aca="false">IF(ISBLANK(I10),"",IF(ISBLANK(J10),"",IF(J10&gt;60,"ERREUR !!",O12*(I10+(J10/60)))))</f>
        <v>-9.9975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37145</v>
      </c>
      <c r="K11" s="40"/>
      <c r="L11" s="40"/>
      <c r="M11" s="40"/>
      <c r="N11" s="41" t="str">
        <f aca="false">I9&amp;"°"&amp;J9</f>
        <v>2°59,82</v>
      </c>
      <c r="O11" s="42" t="n">
        <f aca="false">IF(P9=M10,-1,1)</f>
        <v>-1</v>
      </c>
      <c r="P11" s="43" t="str">
        <f aca="false">TEXT(J11,"aaaa-mm-jj")&amp;"T"&amp;TEXT(J12,"hh:mm:ss")&amp;"z"</f>
        <v>2005-09-12T12:00:00z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</v>
      </c>
      <c r="K12" s="48"/>
      <c r="L12" s="48"/>
      <c r="M12" s="48"/>
      <c r="N12" s="49" t="str">
        <f aca="false">I10&amp;"°"&amp;J10</f>
        <v>9°59,85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34.6146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3.658</v>
      </c>
      <c r="Q35" s="125"/>
      <c r="R35" s="125"/>
      <c r="S35" s="128" t="n">
        <v>159.1</v>
      </c>
      <c r="T35" s="129" t="n">
        <v>0.022</v>
      </c>
      <c r="U35" s="129" t="n">
        <v>0.0214981669978785</v>
      </c>
      <c r="X35" s="130" t="n">
        <v>33.998</v>
      </c>
      <c r="Y35" s="130" t="n">
        <v>33.2224855269942</v>
      </c>
      <c r="Z35" s="129" t="n">
        <v>2.265</v>
      </c>
      <c r="AA35" s="129" t="n">
        <v>2.21333401137249</v>
      </c>
      <c r="AB35" s="130" t="n">
        <v>32.18</v>
      </c>
      <c r="AC35" s="130" t="n">
        <v>31.4459551814423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35.0068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1.869</v>
      </c>
      <c r="Q36" s="136"/>
      <c r="R36" s="136"/>
      <c r="S36" s="139" t="n">
        <v>81.3</v>
      </c>
      <c r="T36" s="129" t="n">
        <v>0.019</v>
      </c>
      <c r="U36" s="129" t="n">
        <v>0.0185665987708951</v>
      </c>
      <c r="X36" s="130" t="n">
        <v>30.361</v>
      </c>
      <c r="Y36" s="130" t="n">
        <v>29.6684476464813</v>
      </c>
      <c r="Z36" s="129" t="n">
        <v>1.91</v>
      </c>
      <c r="AA36" s="129" t="n">
        <v>1.86643177117945</v>
      </c>
      <c r="AB36" s="130" t="n">
        <v>12.23</v>
      </c>
      <c r="AC36" s="130" t="n">
        <v>11.9510264720025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35.3844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1.955</v>
      </c>
      <c r="Q37" s="136"/>
      <c r="R37" s="136"/>
      <c r="S37" s="139" t="n">
        <v>85.1</v>
      </c>
      <c r="T37" s="129" t="n">
        <v>0.028</v>
      </c>
      <c r="U37" s="129" t="n">
        <v>0.0273613034518454</v>
      </c>
      <c r="X37" s="130" t="n">
        <v>24.332</v>
      </c>
      <c r="Y37" s="130" t="n">
        <v>23.7769726996536</v>
      </c>
      <c r="Z37" s="129" t="n">
        <v>1.595</v>
      </c>
      <c r="AA37" s="129" t="n">
        <v>1.55861710734619</v>
      </c>
      <c r="AB37" s="130" t="n">
        <v>8.26</v>
      </c>
      <c r="AC37" s="130" t="n">
        <v>8.07158451829438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35.4439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1.922</v>
      </c>
      <c r="Q38" s="136"/>
      <c r="R38" s="136"/>
      <c r="S38" s="139" t="n">
        <v>83.7</v>
      </c>
      <c r="T38" s="129" t="n">
        <v>0.046</v>
      </c>
      <c r="U38" s="129" t="n">
        <v>0.044950712813746</v>
      </c>
      <c r="X38" s="130" t="n">
        <v>23.739</v>
      </c>
      <c r="Y38" s="130" t="n">
        <v>23.1974993801199</v>
      </c>
      <c r="Z38" s="129" t="n">
        <v>1.54</v>
      </c>
      <c r="AA38" s="129" t="n">
        <v>1.5048716898515</v>
      </c>
      <c r="AB38" s="130" t="n">
        <v>7.34</v>
      </c>
      <c r="AC38" s="130" t="n">
        <v>7.17257026201946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35.5038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1.894</v>
      </c>
      <c r="Q39" s="136"/>
      <c r="R39" s="136"/>
      <c r="S39" s="139" t="n">
        <v>82.5</v>
      </c>
      <c r="T39" s="129" t="n">
        <v>0.046</v>
      </c>
      <c r="U39" s="129" t="n">
        <v>0.044950712813746</v>
      </c>
      <c r="X39" s="130" t="n">
        <v>23.584</v>
      </c>
      <c r="Y39" s="130" t="n">
        <v>23.0460350217258</v>
      </c>
      <c r="Z39" s="129" t="n">
        <v>1.532</v>
      </c>
      <c r="AA39" s="129" t="n">
        <v>1.49705417457954</v>
      </c>
      <c r="AB39" s="130" t="n">
        <v>7.32</v>
      </c>
      <c r="AC39" s="130" t="n">
        <v>7.15302647383958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35.5354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1.852</v>
      </c>
      <c r="Q40" s="136"/>
      <c r="R40" s="136"/>
      <c r="S40" s="139" t="n">
        <v>80.6</v>
      </c>
      <c r="T40" s="129" t="n">
        <v>0.068</v>
      </c>
      <c r="U40" s="129" t="n">
        <v>0.0664488798116245</v>
      </c>
      <c r="X40" s="130" t="n">
        <v>23.002</v>
      </c>
      <c r="Y40" s="130" t="n">
        <v>22.477310785691</v>
      </c>
      <c r="Z40" s="129" t="n">
        <v>1.499</v>
      </c>
      <c r="AA40" s="129" t="n">
        <v>1.46480692408272</v>
      </c>
      <c r="AB40" s="130" t="n">
        <v>6.87</v>
      </c>
      <c r="AC40" s="130" t="n">
        <v>6.71329123979206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35.745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3.436</v>
      </c>
      <c r="Q41" s="136"/>
      <c r="R41" s="136"/>
      <c r="S41" s="139" t="n">
        <v>149.7</v>
      </c>
      <c r="T41" s="129" t="n">
        <v>1.051</v>
      </c>
      <c r="U41" s="129" t="n">
        <v>1.0270260688532</v>
      </c>
      <c r="X41" s="130" t="n">
        <v>10.699</v>
      </c>
      <c r="Y41" s="130" t="n">
        <v>10.4549494868319</v>
      </c>
      <c r="Z41" s="129" t="n">
        <v>0.879</v>
      </c>
      <c r="AA41" s="129" t="n">
        <v>0.858949490506146</v>
      </c>
      <c r="AB41" s="130" t="n">
        <v>3.92</v>
      </c>
      <c r="AC41" s="130" t="n">
        <v>3.83058248325835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35.9422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29" t="n">
        <v>0.097</v>
      </c>
      <c r="U42" s="129" t="n">
        <v>0.0947873726724643</v>
      </c>
      <c r="X42" s="130" t="n">
        <v>1.443</v>
      </c>
      <c r="Y42" s="130" t="n">
        <v>1.41008431717903</v>
      </c>
      <c r="Z42" s="129" t="n">
        <v>0.276</v>
      </c>
      <c r="AA42" s="129" t="n">
        <v>0.269704276882476</v>
      </c>
      <c r="AB42" s="130" t="n">
        <v>1.82</v>
      </c>
      <c r="AC42" s="130" t="n">
        <v>1.77848472436995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35.9389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29" t="n">
        <v>0.075</v>
      </c>
      <c r="U43" s="129" t="n">
        <v>0.0732892056745858</v>
      </c>
      <c r="X43" s="130" t="n">
        <v>1.245</v>
      </c>
      <c r="Y43" s="130" t="n">
        <v>1.21660081419812</v>
      </c>
      <c r="Z43" s="129" t="n">
        <v>0.262</v>
      </c>
      <c r="AA43" s="129" t="n">
        <v>0.256023625156553</v>
      </c>
      <c r="AB43" s="130" t="n">
        <v>1.71</v>
      </c>
      <c r="AC43" s="130" t="n">
        <v>1.67099388938056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35.9386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29" t="n">
        <v>0.08</v>
      </c>
      <c r="U44" s="129" t="n">
        <v>0.0781751527195582</v>
      </c>
      <c r="X44" s="130" t="n">
        <v>1.24</v>
      </c>
      <c r="Y44" s="130" t="n">
        <v>1.21171486715315</v>
      </c>
      <c r="Z44" s="129" t="n">
        <v>0.262</v>
      </c>
      <c r="AA44" s="129" t="n">
        <v>0.256023625156553</v>
      </c>
      <c r="AB44" s="130" t="n">
        <v>1.78</v>
      </c>
      <c r="AC44" s="130" t="n">
        <v>1.73939714801017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42"/>
      <c r="H45" s="124" t="n">
        <v>0</v>
      </c>
      <c r="I45" s="124" t="n">
        <v>0.2</v>
      </c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29" t="n">
        <v>0.078</v>
      </c>
      <c r="U45" s="129" t="n">
        <v>0.0762207739015692</v>
      </c>
      <c r="X45" s="130" t="n">
        <v>1.212</v>
      </c>
      <c r="Y45" s="130" t="n">
        <v>1.18435356370131</v>
      </c>
      <c r="Z45" s="129" t="n">
        <v>0.244</v>
      </c>
      <c r="AA45" s="129" t="n">
        <v>0.238434215794652</v>
      </c>
      <c r="AB45" s="130" t="n">
        <v>1.86</v>
      </c>
      <c r="AC45" s="130" t="n">
        <v>1.81757230072973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30.24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-2°30,24</v>
      </c>
      <c r="P9" s="31" t="s">
        <v>16</v>
      </c>
      <c r="Q9" s="35" t="n">
        <f aca="false">IF(ISBLANK(I9),"",IF(ISBLANK(J9),"",IF(J9&gt;60,"ERREUR !!",O11*(I9+(J9/60)))))</f>
        <v>-2.504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59.9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-9°59,9</v>
      </c>
      <c r="P10" s="31" t="s">
        <v>17</v>
      </c>
      <c r="Q10" s="35" t="n">
        <f aca="false">IF(ISBLANK(I10),"",IF(ISBLANK(J10),"",IF(J10&gt;60,"ERREUR !!",O12*(I10+(J10/60)))))</f>
        <v>-9.99833333333333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37145</v>
      </c>
      <c r="K11" s="40"/>
      <c r="L11" s="40"/>
      <c r="M11" s="40"/>
      <c r="N11" s="41" t="str">
        <f aca="false">I9&amp;"°"&amp;J9</f>
        <v>2°30,24</v>
      </c>
      <c r="O11" s="42" t="n">
        <f aca="false">IF(P9=M10,-1,1)</f>
        <v>-1</v>
      </c>
      <c r="P11" s="43" t="str">
        <f aca="false">TEXT(J11,"aaaa-mm-jj")&amp;"T"&amp;TEXT(J12,"hh:mm:ss")&amp;"z"</f>
        <v>2005-09-12T16:00:00z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0.666666666666667</v>
      </c>
      <c r="K12" s="48"/>
      <c r="L12" s="48"/>
      <c r="M12" s="48"/>
      <c r="N12" s="49" t="str">
        <f aca="false">I10&amp;"°"&amp;J10</f>
        <v>9°59,9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34.6031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3.644</v>
      </c>
      <c r="Q35" s="125"/>
      <c r="R35" s="125"/>
      <c r="S35" s="128" t="n">
        <v>158.4</v>
      </c>
      <c r="T35" s="129" t="n">
        <v>0.023</v>
      </c>
      <c r="U35" s="129" t="n">
        <v>0.022475356406873</v>
      </c>
      <c r="X35" s="130" t="n">
        <v>34.047</v>
      </c>
      <c r="Y35" s="130" t="n">
        <v>33.270367808035</v>
      </c>
      <c r="Z35" s="129" t="n">
        <v>2.253</v>
      </c>
      <c r="AA35" s="129" t="n">
        <v>2.20160773846456</v>
      </c>
      <c r="AB35" s="130" t="n">
        <v>32.91</v>
      </c>
      <c r="AC35" s="130" t="n">
        <v>32.1593034500083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35.0588</v>
      </c>
      <c r="H36" s="124" t="n">
        <v>300</v>
      </c>
      <c r="I36" s="124" t="n">
        <v>299.8</v>
      </c>
      <c r="J36" s="136"/>
      <c r="K36" s="137"/>
      <c r="L36" s="137"/>
      <c r="M36" s="137"/>
      <c r="N36" s="138"/>
      <c r="O36" s="137"/>
      <c r="P36" s="136" t="n">
        <v>1.868</v>
      </c>
      <c r="Q36" s="136"/>
      <c r="R36" s="136"/>
      <c r="S36" s="139" t="n">
        <v>81.3</v>
      </c>
      <c r="T36" s="129" t="n">
        <v>0.023</v>
      </c>
      <c r="U36" s="129" t="n">
        <v>0.022475356406873</v>
      </c>
      <c r="X36" s="130" t="n">
        <v>29.797</v>
      </c>
      <c r="Y36" s="130" t="n">
        <v>29.1173128198084</v>
      </c>
      <c r="Z36" s="129" t="n">
        <v>1.858</v>
      </c>
      <c r="AA36" s="129" t="n">
        <v>1.81561792191174</v>
      </c>
      <c r="AB36" s="130" t="n">
        <v>11.82</v>
      </c>
      <c r="AC36" s="130" t="n">
        <v>11.5503788143147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35.4347</v>
      </c>
      <c r="H37" s="124" t="n">
        <v>160</v>
      </c>
      <c r="I37" s="124" t="n">
        <v>160.2</v>
      </c>
      <c r="J37" s="136"/>
      <c r="K37" s="137"/>
      <c r="L37" s="137"/>
      <c r="M37" s="137"/>
      <c r="N37" s="138"/>
      <c r="O37" s="137"/>
      <c r="P37" s="136" t="n">
        <v>2.362</v>
      </c>
      <c r="Q37" s="136"/>
      <c r="R37" s="136"/>
      <c r="S37" s="139" t="n">
        <v>102.8</v>
      </c>
      <c r="T37" s="129" t="n">
        <v>0.03</v>
      </c>
      <c r="U37" s="129" t="n">
        <v>0.0293156822698343</v>
      </c>
      <c r="X37" s="130" t="n">
        <v>21.99</v>
      </c>
      <c r="Y37" s="130" t="n">
        <v>21.4883951037886</v>
      </c>
      <c r="Z37" s="129" t="n">
        <v>1.431</v>
      </c>
      <c r="AA37" s="129" t="n">
        <v>1.3983580442711</v>
      </c>
      <c r="AB37" s="130" t="n">
        <v>7.56</v>
      </c>
      <c r="AC37" s="130" t="n">
        <v>7.38755193199825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35.4773</v>
      </c>
      <c r="H38" s="124" t="n">
        <v>130</v>
      </c>
      <c r="I38" s="124" t="n">
        <v>129.8</v>
      </c>
      <c r="J38" s="136"/>
      <c r="K38" s="137"/>
      <c r="L38" s="137"/>
      <c r="M38" s="137"/>
      <c r="N38" s="138"/>
      <c r="O38" s="137"/>
      <c r="P38" s="136" t="n">
        <v>2.229</v>
      </c>
      <c r="Q38" s="136"/>
      <c r="R38" s="136"/>
      <c r="S38" s="139" t="n">
        <v>97</v>
      </c>
      <c r="T38" s="129" t="n">
        <v>0.044</v>
      </c>
      <c r="U38" s="129" t="n">
        <v>0.042996333995757</v>
      </c>
      <c r="X38" s="130" t="n">
        <v>21.976</v>
      </c>
      <c r="Y38" s="130" t="n">
        <v>21.4747144520626</v>
      </c>
      <c r="Z38" s="129" t="n">
        <v>1.443</v>
      </c>
      <c r="AA38" s="129" t="n">
        <v>1.41008431717903</v>
      </c>
      <c r="AB38" s="130" t="n">
        <v>7.07</v>
      </c>
      <c r="AC38" s="130" t="n">
        <v>6.90872912159096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35.5566</v>
      </c>
      <c r="H39" s="124" t="n">
        <v>100</v>
      </c>
      <c r="I39" s="124" t="n">
        <v>100.3</v>
      </c>
      <c r="J39" s="136"/>
      <c r="K39" s="137"/>
      <c r="L39" s="137"/>
      <c r="M39" s="137"/>
      <c r="N39" s="138"/>
      <c r="O39" s="137"/>
      <c r="P39" s="136" t="n">
        <v>2.363</v>
      </c>
      <c r="Q39" s="136"/>
      <c r="R39" s="136"/>
      <c r="S39" s="139" t="n">
        <v>102.9</v>
      </c>
      <c r="T39" s="129" t="n">
        <v>0.055</v>
      </c>
      <c r="U39" s="129" t="n">
        <v>0.0537454174946963</v>
      </c>
      <c r="X39" s="130" t="n">
        <v>20.345</v>
      </c>
      <c r="Y39" s="130" t="n">
        <v>19.8809185259926</v>
      </c>
      <c r="Z39" s="129" t="n">
        <v>1.362</v>
      </c>
      <c r="AA39" s="129" t="n">
        <v>1.33093197505048</v>
      </c>
      <c r="AB39" s="130" t="n">
        <v>6.47</v>
      </c>
      <c r="AC39" s="130" t="n">
        <v>6.32241547619427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35.7074</v>
      </c>
      <c r="H40" s="124" t="n">
        <v>80</v>
      </c>
      <c r="I40" s="124" t="n">
        <v>80.3</v>
      </c>
      <c r="J40" s="136"/>
      <c r="K40" s="137"/>
      <c r="L40" s="137"/>
      <c r="M40" s="137"/>
      <c r="N40" s="138"/>
      <c r="O40" s="137"/>
      <c r="P40" s="136" t="n">
        <v>2.865</v>
      </c>
      <c r="Q40" s="136"/>
      <c r="R40" s="136"/>
      <c r="S40" s="139" t="n">
        <v>124.7</v>
      </c>
      <c r="T40" s="129" t="n">
        <v>0.965</v>
      </c>
      <c r="U40" s="129" t="n">
        <v>0.942987779679671</v>
      </c>
      <c r="X40" s="130" t="n">
        <v>14.695</v>
      </c>
      <c r="Y40" s="130" t="n">
        <v>14.3597983651738</v>
      </c>
      <c r="Z40" s="129" t="n">
        <v>1.1075</v>
      </c>
      <c r="AA40" s="129" t="n">
        <v>1.08223727046138</v>
      </c>
      <c r="AB40" s="130" t="n">
        <v>4.71</v>
      </c>
      <c r="AC40" s="130" t="n">
        <v>4.60256211636399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35.7981</v>
      </c>
      <c r="H41" s="124" t="n">
        <v>60</v>
      </c>
      <c r="I41" s="124" t="n">
        <v>60.3</v>
      </c>
      <c r="J41" s="136"/>
      <c r="K41" s="137"/>
      <c r="L41" s="137"/>
      <c r="M41" s="137"/>
      <c r="N41" s="138"/>
      <c r="O41" s="137"/>
      <c r="P41" s="136" t="n">
        <v>3.461</v>
      </c>
      <c r="Q41" s="136"/>
      <c r="R41" s="136"/>
      <c r="S41" s="139" t="n">
        <v>150.8</v>
      </c>
      <c r="T41" s="129" t="n">
        <v>1.277</v>
      </c>
      <c r="U41" s="129" t="n">
        <v>1.24787087528595</v>
      </c>
      <c r="X41" s="130" t="n">
        <v>9.583</v>
      </c>
      <c r="Y41" s="130" t="n">
        <v>9.36440610639408</v>
      </c>
      <c r="Z41" s="129" t="n">
        <v>0.826</v>
      </c>
      <c r="AA41" s="129" t="n">
        <v>0.807158451829438</v>
      </c>
      <c r="AB41" s="130" t="n">
        <v>3.49</v>
      </c>
      <c r="AC41" s="130" t="n">
        <v>3.41039103739073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36.0239</v>
      </c>
      <c r="H42" s="124" t="n">
        <v>40</v>
      </c>
      <c r="I42" s="124" t="n">
        <v>39.8</v>
      </c>
      <c r="J42" s="136"/>
      <c r="K42" s="136"/>
      <c r="L42" s="136"/>
      <c r="M42" s="136"/>
      <c r="N42" s="136"/>
      <c r="O42" s="136"/>
      <c r="P42" s="136" t="n">
        <v>4.713</v>
      </c>
      <c r="Q42" s="136"/>
      <c r="R42" s="136"/>
      <c r="S42" s="139" t="n">
        <v>205.4</v>
      </c>
      <c r="T42" s="129" t="n">
        <v>0.184</v>
      </c>
      <c r="U42" s="129" t="n">
        <v>0.179802851254984</v>
      </c>
      <c r="X42" s="130" t="n">
        <v>1.466</v>
      </c>
      <c r="Y42" s="130" t="n">
        <v>1.4325596735859</v>
      </c>
      <c r="Z42" s="129" t="n">
        <v>0.286</v>
      </c>
      <c r="AA42" s="129" t="n">
        <v>0.27947617097242</v>
      </c>
      <c r="AB42" s="130" t="n">
        <v>1.84</v>
      </c>
      <c r="AC42" s="130" t="n">
        <v>1.79802851254984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36.0251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4.777</v>
      </c>
      <c r="Q43" s="136"/>
      <c r="R43" s="136"/>
      <c r="S43" s="139" t="n">
        <v>208.2</v>
      </c>
      <c r="T43" s="129" t="n">
        <v>0.15</v>
      </c>
      <c r="U43" s="129" t="n">
        <v>0.146578411349172</v>
      </c>
      <c r="X43" s="130" t="n">
        <v>1.29</v>
      </c>
      <c r="Y43" s="130" t="n">
        <v>1.26057433760288</v>
      </c>
      <c r="Z43" s="129" t="n">
        <v>0.281</v>
      </c>
      <c r="AA43" s="129" t="n">
        <v>0.274590223927448</v>
      </c>
      <c r="AB43" s="130" t="n">
        <v>1.78</v>
      </c>
      <c r="AC43" s="130" t="n">
        <v>1.73939714801017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36.0263</v>
      </c>
      <c r="H44" s="124" t="n">
        <v>10</v>
      </c>
      <c r="I44" s="124" t="n">
        <v>10.2</v>
      </c>
      <c r="J44" s="136"/>
      <c r="K44" s="136"/>
      <c r="L44" s="136"/>
      <c r="M44" s="136"/>
      <c r="N44" s="136"/>
      <c r="O44" s="136"/>
      <c r="P44" s="136" t="n">
        <v>4.788</v>
      </c>
      <c r="Q44" s="136"/>
      <c r="R44" s="136"/>
      <c r="S44" s="139" t="n">
        <v>208.7</v>
      </c>
      <c r="T44" s="129" t="n">
        <v>0.145</v>
      </c>
      <c r="U44" s="129" t="n">
        <v>0.141692464304199</v>
      </c>
      <c r="X44" s="130" t="n">
        <v>1.285</v>
      </c>
      <c r="Y44" s="130" t="n">
        <v>1.2556883905579</v>
      </c>
      <c r="Z44" s="129" t="n">
        <v>0.274</v>
      </c>
      <c r="AA44" s="129" t="n">
        <v>0.267749898064487</v>
      </c>
      <c r="AB44" s="130" t="n">
        <v>1.74</v>
      </c>
      <c r="AC44" s="130" t="n">
        <v>1.70030957165039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36.0274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4.784</v>
      </c>
      <c r="Q45" s="136"/>
      <c r="R45" s="136"/>
      <c r="S45" s="139" t="n">
        <v>208.6</v>
      </c>
      <c r="T45" s="129" t="n">
        <v>0.141</v>
      </c>
      <c r="U45" s="129" t="n">
        <v>0.137783706668221</v>
      </c>
      <c r="X45" s="130" t="n">
        <v>1.289</v>
      </c>
      <c r="Y45" s="130" t="n">
        <v>1.25959714819388</v>
      </c>
      <c r="Z45" s="129" t="n">
        <v>0.27</v>
      </c>
      <c r="AA45" s="129" t="n">
        <v>0.263841140428509</v>
      </c>
      <c r="AB45" s="130" t="n">
        <v>1.82</v>
      </c>
      <c r="AC45" s="130" t="n">
        <v>1.77848472436995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0.09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-2°0,09</v>
      </c>
      <c r="P9" s="31" t="s">
        <v>16</v>
      </c>
      <c r="Q9" s="35" t="n">
        <f aca="false">IF(ISBLANK(I9),"",IF(ISBLANK(J9),"",IF(J9&gt;60,"ERREUR !!",O11*(I9+(J9/60)))))</f>
        <v>-2.0015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59.82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-9°59,82</v>
      </c>
      <c r="P10" s="31" t="s">
        <v>17</v>
      </c>
      <c r="Q10" s="35" t="n">
        <f aca="false">IF(ISBLANK(I10),"",IF(ISBLANK(J10),"",IF(J10&gt;60,"ERREUR !!",O12*(I10+(J10/60)))))</f>
        <v>-9.997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37145</v>
      </c>
      <c r="K11" s="40"/>
      <c r="L11" s="40"/>
      <c r="M11" s="40"/>
      <c r="N11" s="41" t="str">
        <f aca="false">I9&amp;"°"&amp;J9</f>
        <v>2°0,09</v>
      </c>
      <c r="O11" s="42" t="n">
        <f aca="false">IF(P9=M10,-1,1)</f>
        <v>-1</v>
      </c>
      <c r="P11" s="43" t="str">
        <f aca="false">TEXT(J11,"aaaa-mm-jj")&amp;"T"&amp;TEXT(J12,"hh:mm:ss")&amp;"z"</f>
        <v>2005-09-12T20:30:00z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0.854166666666667</v>
      </c>
      <c r="K12" s="48"/>
      <c r="L12" s="48"/>
      <c r="M12" s="48"/>
      <c r="N12" s="49" t="str">
        <f aca="false">I10&amp;"°"&amp;J10</f>
        <v>9°59,82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34.6113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3.641</v>
      </c>
      <c r="Q35" s="125"/>
      <c r="R35" s="125"/>
      <c r="S35" s="128" t="n">
        <v>158.3</v>
      </c>
      <c r="T35" s="129" t="n">
        <v>0</v>
      </c>
      <c r="U35" s="129" t="n">
        <v>0</v>
      </c>
      <c r="X35" s="130" t="n">
        <v>33.79</v>
      </c>
      <c r="Y35" s="130" t="n">
        <v>33.0192301299234</v>
      </c>
      <c r="Z35" s="129" t="n">
        <v>2.244</v>
      </c>
      <c r="AA35" s="129" t="n">
        <v>2.19281303378361</v>
      </c>
      <c r="AB35" s="130" t="n">
        <v>32.11</v>
      </c>
      <c r="AC35" s="130" t="n">
        <v>31.3775519228127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35.0914</v>
      </c>
      <c r="H36" s="124" t="n">
        <v>300</v>
      </c>
      <c r="I36" s="124" t="n">
        <v>302</v>
      </c>
      <c r="J36" s="136"/>
      <c r="K36" s="137"/>
      <c r="L36" s="137"/>
      <c r="M36" s="137"/>
      <c r="N36" s="138"/>
      <c r="O36" s="137"/>
      <c r="P36" s="136" t="n">
        <v>1.919</v>
      </c>
      <c r="Q36" s="136"/>
      <c r="R36" s="136"/>
      <c r="S36" s="139" t="n">
        <v>83.5</v>
      </c>
      <c r="T36" s="129" t="n">
        <v>0.016</v>
      </c>
      <c r="U36" s="129" t="n">
        <v>0.0156350305439116</v>
      </c>
      <c r="X36" s="130" t="n">
        <v>29.314</v>
      </c>
      <c r="Y36" s="130" t="n">
        <v>28.6453303352641</v>
      </c>
      <c r="Z36" s="129" t="n">
        <v>1.831</v>
      </c>
      <c r="AA36" s="129" t="n">
        <v>1.78923380786889</v>
      </c>
      <c r="AB36" s="130" t="n">
        <v>11.22</v>
      </c>
      <c r="AC36" s="130" t="n">
        <v>10.964065168918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35.416</v>
      </c>
      <c r="H37" s="124" t="n">
        <v>160</v>
      </c>
      <c r="I37" s="124" t="n">
        <v>161</v>
      </c>
      <c r="J37" s="136"/>
      <c r="K37" s="137"/>
      <c r="L37" s="137"/>
      <c r="M37" s="137"/>
      <c r="N37" s="138"/>
      <c r="O37" s="137"/>
      <c r="P37" s="136" t="n">
        <v>2.294</v>
      </c>
      <c r="Q37" s="136"/>
      <c r="R37" s="136"/>
      <c r="S37" s="139" t="n">
        <v>99.8</v>
      </c>
      <c r="T37" s="129" t="n">
        <v>0.015</v>
      </c>
      <c r="U37" s="129" t="n">
        <v>0.0146578411349172</v>
      </c>
      <c r="X37" s="130" t="n">
        <v>22.435</v>
      </c>
      <c r="Y37" s="130" t="n">
        <v>21.9232443907911</v>
      </c>
      <c r="Z37" s="129" t="n">
        <v>1.494</v>
      </c>
      <c r="AA37" s="129" t="n">
        <v>1.45992097703775</v>
      </c>
      <c r="AB37" s="130" t="n">
        <v>7.74</v>
      </c>
      <c r="AC37" s="130" t="n">
        <v>7.56344602561726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35.4698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2.367</v>
      </c>
      <c r="Q38" s="136"/>
      <c r="R38" s="136"/>
      <c r="S38" s="139" t="n">
        <v>103</v>
      </c>
      <c r="T38" s="129" t="n">
        <v>0.013</v>
      </c>
      <c r="U38" s="129" t="n">
        <v>0.0127034623169282</v>
      </c>
      <c r="X38" s="130" t="n">
        <v>21.727</v>
      </c>
      <c r="Y38" s="130" t="n">
        <v>21.231394289223</v>
      </c>
      <c r="Z38" s="129" t="n">
        <v>1.417</v>
      </c>
      <c r="AA38" s="129" t="n">
        <v>1.38467739254517</v>
      </c>
      <c r="AB38" s="130" t="n">
        <v>7.3</v>
      </c>
      <c r="AC38" s="130" t="n">
        <v>7.13348268565968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35.5386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2.346</v>
      </c>
      <c r="Q39" s="136"/>
      <c r="R39" s="136"/>
      <c r="S39" s="139" t="n">
        <v>102.1</v>
      </c>
      <c r="T39" s="129" t="n">
        <v>0.036</v>
      </c>
      <c r="U39" s="129" t="n">
        <v>0.0351788187238012</v>
      </c>
      <c r="X39" s="130" t="n">
        <v>20.874</v>
      </c>
      <c r="Y39" s="130" t="n">
        <v>20.3978517233507</v>
      </c>
      <c r="Z39" s="129" t="n">
        <v>1.369</v>
      </c>
      <c r="AA39" s="129" t="n">
        <v>1.33777230091344</v>
      </c>
      <c r="AB39" s="130" t="n">
        <v>6.37</v>
      </c>
      <c r="AC39" s="130" t="n">
        <v>6.22469653529482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35.6668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2.65</v>
      </c>
      <c r="Q40" s="136"/>
      <c r="R40" s="136"/>
      <c r="S40" s="139" t="n">
        <v>115.4</v>
      </c>
      <c r="T40" s="129" t="n">
        <v>0.127</v>
      </c>
      <c r="U40" s="129" t="n">
        <v>0.124103054942299</v>
      </c>
      <c r="X40" s="130" t="n">
        <v>17.393</v>
      </c>
      <c r="Y40" s="130" t="n">
        <v>16.9962553906409</v>
      </c>
      <c r="Z40" s="129" t="n">
        <v>1.18</v>
      </c>
      <c r="AA40" s="129" t="n">
        <v>1.15308350261348</v>
      </c>
      <c r="AB40" s="130" t="n">
        <v>5.12</v>
      </c>
      <c r="AC40" s="130" t="n">
        <v>5.00320977405172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35.9838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3.994</v>
      </c>
      <c r="Q41" s="136"/>
      <c r="R41" s="136"/>
      <c r="S41" s="139" t="n">
        <v>174</v>
      </c>
      <c r="T41" s="129" t="n">
        <v>0.607</v>
      </c>
      <c r="U41" s="129" t="n">
        <v>0.593153971259648</v>
      </c>
      <c r="X41" s="130" t="n">
        <v>5.638</v>
      </c>
      <c r="Y41" s="130" t="n">
        <v>5.50939388791086</v>
      </c>
      <c r="Z41" s="129" t="n">
        <v>0.532</v>
      </c>
      <c r="AA41" s="129" t="n">
        <v>0.519864765585062</v>
      </c>
      <c r="AB41" s="130" t="n">
        <v>2.545</v>
      </c>
      <c r="AC41" s="130" t="n">
        <v>2.48694704589094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35.9946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4.81</v>
      </c>
      <c r="Q42" s="136"/>
      <c r="R42" s="136"/>
      <c r="S42" s="139" t="n">
        <v>209.7</v>
      </c>
      <c r="T42" s="129" t="n">
        <v>0.164</v>
      </c>
      <c r="U42" s="129" t="n">
        <v>0.160259063075094</v>
      </c>
      <c r="X42" s="130" t="n">
        <v>1.306</v>
      </c>
      <c r="Y42" s="130" t="n">
        <v>1.27620936814679</v>
      </c>
      <c r="Z42" s="129" t="n">
        <v>0.251</v>
      </c>
      <c r="AA42" s="129" t="n">
        <v>0.245274541657614</v>
      </c>
      <c r="AB42" s="130" t="n">
        <v>1.82</v>
      </c>
      <c r="AC42" s="130" t="n">
        <v>1.77848472436995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35.9904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4.929</v>
      </c>
      <c r="Q43" s="136"/>
      <c r="R43" s="136"/>
      <c r="S43" s="139" t="n">
        <v>214.9</v>
      </c>
      <c r="T43" s="129" t="n">
        <v>0.15</v>
      </c>
      <c r="U43" s="129" t="n">
        <v>0.146578411349172</v>
      </c>
      <c r="X43" s="130" t="n">
        <v>1.06</v>
      </c>
      <c r="Y43" s="130" t="n">
        <v>1.03582077353415</v>
      </c>
      <c r="Z43" s="129" t="n">
        <v>0.239</v>
      </c>
      <c r="AA43" s="129" t="n">
        <v>0.23354826874968</v>
      </c>
      <c r="AB43" s="130" t="n">
        <v>1.82</v>
      </c>
      <c r="AC43" s="130" t="n">
        <v>1.77848472436995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35.9901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4.923</v>
      </c>
      <c r="Q44" s="136"/>
      <c r="R44" s="136"/>
      <c r="S44" s="139" t="n">
        <v>214.6</v>
      </c>
      <c r="T44" s="129" t="n">
        <v>0.14</v>
      </c>
      <c r="U44" s="129" t="n">
        <v>0.136806517259227</v>
      </c>
      <c r="X44" s="130" t="n">
        <v>1.03</v>
      </c>
      <c r="Y44" s="130" t="n">
        <v>1.00650509126431</v>
      </c>
      <c r="Z44" s="129" t="n">
        <v>0.236</v>
      </c>
      <c r="AA44" s="129" t="n">
        <v>0.230616700522697</v>
      </c>
      <c r="AB44" s="130" t="n">
        <v>1.9</v>
      </c>
      <c r="AC44" s="130" t="n">
        <v>1.85665987708951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35.9891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4.918</v>
      </c>
      <c r="Q45" s="136"/>
      <c r="R45" s="136"/>
      <c r="S45" s="139" t="n">
        <v>214.4</v>
      </c>
      <c r="T45" s="129" t="n">
        <v>0.149</v>
      </c>
      <c r="U45" s="129" t="n">
        <v>0.145601221940177</v>
      </c>
      <c r="X45" s="130" t="n">
        <v>1.001</v>
      </c>
      <c r="Y45" s="130" t="n">
        <v>0.978166598403472</v>
      </c>
      <c r="Z45" s="129" t="n">
        <v>0.259</v>
      </c>
      <c r="AA45" s="129" t="n">
        <v>0.25309205692957</v>
      </c>
      <c r="AB45" s="130" t="n">
        <v>1.95</v>
      </c>
      <c r="AC45" s="130" t="n">
        <v>1.90551934753923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29.56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-1°29,56</v>
      </c>
      <c r="P9" s="31" t="s">
        <v>16</v>
      </c>
      <c r="Q9" s="35" t="n">
        <f aca="false">IF(ISBLANK(I9),"",IF(ISBLANK(J9),"",IF(J9&gt;60,"ERREUR !!",O11*(I9+(J9/60)))))</f>
        <v>-1.49266666666667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59.867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-9°59,867</v>
      </c>
      <c r="P10" s="31" t="s">
        <v>17</v>
      </c>
      <c r="Q10" s="35" t="n">
        <f aca="false">IF(ISBLANK(I10),"",IF(ISBLANK(J10),"",IF(J10&gt;60,"ERREUR !!",O12*(I10+(J10/60)))))</f>
        <v>-9.99778333333333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37146</v>
      </c>
      <c r="K11" s="40"/>
      <c r="L11" s="40"/>
      <c r="M11" s="40"/>
      <c r="N11" s="41" t="str">
        <f aca="false">I9&amp;"°"&amp;J9</f>
        <v>1°29,56</v>
      </c>
      <c r="O11" s="42" t="n">
        <f aca="false">IF(P9=M10,-1,1)</f>
        <v>-1</v>
      </c>
      <c r="P11" s="43" t="str">
        <f aca="false">TEXT(J11,"aaaa-mm-jj")&amp;"T"&amp;TEXT(J12,"hh:mm:ss")&amp;"z"</f>
        <v>2005-09-13T03:00:00z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0.125</v>
      </c>
      <c r="K12" s="48"/>
      <c r="L12" s="48"/>
      <c r="M12" s="48"/>
      <c r="N12" s="49" t="str">
        <f aca="false">I10&amp;"°"&amp;J10</f>
        <v>9°59,867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34.6204</v>
      </c>
      <c r="H35" s="123" t="n">
        <v>1000</v>
      </c>
      <c r="I35" s="124" t="n">
        <v>1006</v>
      </c>
      <c r="J35" s="125"/>
      <c r="K35" s="126"/>
      <c r="L35" s="126"/>
      <c r="M35" s="126"/>
      <c r="N35" s="127"/>
      <c r="O35" s="126"/>
      <c r="P35" s="125" t="n">
        <v>3.601</v>
      </c>
      <c r="Q35" s="125"/>
      <c r="R35" s="125"/>
      <c r="S35" s="128" t="n">
        <v>156.6</v>
      </c>
      <c r="T35" s="129" t="n">
        <v>0.015</v>
      </c>
      <c r="U35" s="129" t="n">
        <v>0.0146578411349172</v>
      </c>
      <c r="X35" s="130" t="n">
        <v>33.305</v>
      </c>
      <c r="Y35" s="130" t="n">
        <v>32.5452932665611</v>
      </c>
      <c r="Z35" s="129" t="n">
        <v>2.24</v>
      </c>
      <c r="AA35" s="129" t="n">
        <v>2.18890427614763</v>
      </c>
      <c r="AB35" s="130" t="n">
        <v>31.12</v>
      </c>
      <c r="AC35" s="130" t="n">
        <v>30.4101344079081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35.0984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1.986</v>
      </c>
      <c r="Q36" s="136"/>
      <c r="R36" s="136"/>
      <c r="S36" s="139" t="n">
        <v>86.4</v>
      </c>
      <c r="T36" s="129" t="n">
        <v>0.036</v>
      </c>
      <c r="U36" s="129" t="n">
        <v>0.0351788187238012</v>
      </c>
      <c r="X36" s="130" t="n">
        <v>28.214</v>
      </c>
      <c r="Y36" s="130" t="n">
        <v>27.5704219853702</v>
      </c>
      <c r="Z36" s="129" t="n">
        <v>1.755</v>
      </c>
      <c r="AA36" s="129" t="n">
        <v>1.71496741278531</v>
      </c>
      <c r="AB36" s="130" t="n">
        <v>10.96</v>
      </c>
      <c r="AC36" s="130" t="n">
        <v>10.7099959225795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35.4034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3.1</v>
      </c>
      <c r="Q37" s="136"/>
      <c r="R37" s="136"/>
      <c r="S37" s="139" t="n">
        <v>134.9</v>
      </c>
      <c r="T37" s="129" t="n">
        <v>0.03</v>
      </c>
      <c r="U37" s="129" t="n">
        <v>0.0293156822698343</v>
      </c>
      <c r="X37" s="130" t="n">
        <v>18.15</v>
      </c>
      <c r="Y37" s="130" t="n">
        <v>17.7359877732498</v>
      </c>
      <c r="Z37" s="129" t="n">
        <v>1.236</v>
      </c>
      <c r="AA37" s="129" t="n">
        <v>1.20780610951717</v>
      </c>
      <c r="AB37" s="130" t="n">
        <v>6.82</v>
      </c>
      <c r="AC37" s="130" t="n">
        <v>6.66443176934234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35.4568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2.627</v>
      </c>
      <c r="Q38" s="136"/>
      <c r="R38" s="136"/>
      <c r="S38" s="139" t="n">
        <v>114.3</v>
      </c>
      <c r="T38" s="129" t="n">
        <v>0.036</v>
      </c>
      <c r="U38" s="129" t="n">
        <v>0.0351788187238012</v>
      </c>
      <c r="X38" s="130" t="n">
        <v>19.914</v>
      </c>
      <c r="Y38" s="130" t="n">
        <v>19.459749890716</v>
      </c>
      <c r="Z38" s="129" t="n">
        <v>1.338</v>
      </c>
      <c r="AA38" s="129" t="n">
        <v>1.30747942923461</v>
      </c>
      <c r="AB38" s="130" t="n">
        <v>6.84</v>
      </c>
      <c r="AC38" s="130" t="n">
        <v>6.68397555752223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35.5362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2.443</v>
      </c>
      <c r="Q39" s="136"/>
      <c r="R39" s="136"/>
      <c r="S39" s="139" t="n">
        <v>106.3</v>
      </c>
      <c r="T39" s="129" t="n">
        <v>0.035</v>
      </c>
      <c r="U39" s="129" t="n">
        <v>0.0342016293148067</v>
      </c>
      <c r="X39" s="130" t="n">
        <v>20.035</v>
      </c>
      <c r="Y39" s="130" t="n">
        <v>19.5779898092044</v>
      </c>
      <c r="Z39" s="129" t="n">
        <v>1.329</v>
      </c>
      <c r="AA39" s="129" t="n">
        <v>1.29868472455366</v>
      </c>
      <c r="AB39" s="130" t="n">
        <v>6.61</v>
      </c>
      <c r="AC39" s="130" t="n">
        <v>6.4592219934535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35.696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2.716</v>
      </c>
      <c r="Q40" s="136"/>
      <c r="R40" s="136"/>
      <c r="S40" s="139" t="n">
        <v>118.2</v>
      </c>
      <c r="T40" s="129" t="n">
        <v>0.071</v>
      </c>
      <c r="U40" s="129" t="n">
        <v>0.0693804480386079</v>
      </c>
      <c r="X40" s="130" t="n">
        <v>16.219</v>
      </c>
      <c r="Y40" s="130" t="n">
        <v>15.8490350244814</v>
      </c>
      <c r="Z40" s="129" t="n">
        <v>1.145</v>
      </c>
      <c r="AA40" s="129" t="n">
        <v>1.11888187329868</v>
      </c>
      <c r="AB40" s="130" t="n">
        <v>5.29</v>
      </c>
      <c r="AC40" s="130" t="n">
        <v>5.16933197358079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35.9953</v>
      </c>
      <c r="H41" s="124" t="n">
        <v>60</v>
      </c>
      <c r="I41" s="124" t="n">
        <v>58</v>
      </c>
      <c r="J41" s="136"/>
      <c r="K41" s="137"/>
      <c r="L41" s="137"/>
      <c r="M41" s="137"/>
      <c r="N41" s="138"/>
      <c r="O41" s="137"/>
      <c r="P41" s="136" t="n">
        <v>4.247</v>
      </c>
      <c r="Q41" s="136"/>
      <c r="R41" s="136"/>
      <c r="S41" s="139" t="n">
        <v>185.1</v>
      </c>
      <c r="T41" s="129" t="n">
        <v>0.623</v>
      </c>
      <c r="U41" s="129" t="n">
        <v>0.608789001803559</v>
      </c>
      <c r="X41" s="130" t="n">
        <v>3.167</v>
      </c>
      <c r="Y41" s="130" t="n">
        <v>3.09475885828551</v>
      </c>
      <c r="Z41" s="129" t="n">
        <v>0.396</v>
      </c>
      <c r="AA41" s="129" t="n">
        <v>0.386967005961813</v>
      </c>
      <c r="AB41" s="130" t="n">
        <v>2.01</v>
      </c>
      <c r="AC41" s="130" t="n">
        <v>1.9641507120789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35.9263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4.808</v>
      </c>
      <c r="Q42" s="136"/>
      <c r="R42" s="136"/>
      <c r="S42" s="139" t="n">
        <v>209.6</v>
      </c>
      <c r="T42" s="129" t="n">
        <v>0.208</v>
      </c>
      <c r="U42" s="129" t="n">
        <v>0.203255397070851</v>
      </c>
      <c r="X42" s="130" t="n">
        <v>1.092</v>
      </c>
      <c r="Y42" s="130" t="n">
        <v>1.06709083462197</v>
      </c>
      <c r="Z42" s="129" t="n">
        <v>0.2565</v>
      </c>
      <c r="AA42" s="129" t="n">
        <v>0.250649083407083</v>
      </c>
      <c r="AB42" s="130" t="n">
        <v>1.755</v>
      </c>
      <c r="AC42" s="130" t="n">
        <v>1.71496741278531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35.9098</v>
      </c>
      <c r="H43" s="124" t="n">
        <v>20</v>
      </c>
      <c r="I43" s="124" t="n">
        <v>21</v>
      </c>
      <c r="J43" s="136"/>
      <c r="K43" s="136"/>
      <c r="L43" s="136"/>
      <c r="M43" s="136"/>
      <c r="N43" s="136"/>
      <c r="O43" s="136"/>
      <c r="P43" s="136" t="n">
        <v>4.901</v>
      </c>
      <c r="Q43" s="136"/>
      <c r="R43" s="136"/>
      <c r="S43" s="139" t="n">
        <v>213.6</v>
      </c>
      <c r="T43" s="129" t="n">
        <v>0.151</v>
      </c>
      <c r="U43" s="129" t="n">
        <v>0.147555600758166</v>
      </c>
      <c r="X43" s="130" t="n">
        <v>0.839</v>
      </c>
      <c r="Y43" s="130" t="n">
        <v>0.819861914146367</v>
      </c>
      <c r="Z43" s="129" t="n">
        <v>0.232</v>
      </c>
      <c r="AA43" s="129" t="n">
        <v>0.226707942886719</v>
      </c>
      <c r="AB43" s="130" t="n">
        <v>1.79</v>
      </c>
      <c r="AC43" s="130" t="n">
        <v>1.74916904210011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35.9071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4.894</v>
      </c>
      <c r="Q44" s="136"/>
      <c r="R44" s="136"/>
      <c r="S44" s="139" t="n">
        <v>213.4</v>
      </c>
      <c r="T44" s="129" t="n">
        <v>0.164</v>
      </c>
      <c r="U44" s="129" t="n">
        <v>0.160259063075094</v>
      </c>
      <c r="X44" s="130" t="n">
        <v>0.806</v>
      </c>
      <c r="Y44" s="130" t="n">
        <v>0.787614663649549</v>
      </c>
      <c r="Z44" s="129" t="n">
        <v>0.234</v>
      </c>
      <c r="AA44" s="129" t="n">
        <v>0.228662321704708</v>
      </c>
      <c r="AB44" s="130" t="n">
        <v>1.81</v>
      </c>
      <c r="AC44" s="130" t="n">
        <v>1.76871283028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35.9066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4.898</v>
      </c>
      <c r="Q45" s="136"/>
      <c r="R45" s="136"/>
      <c r="S45" s="139" t="n">
        <v>213.5</v>
      </c>
      <c r="T45" s="129" t="n">
        <v>0.154</v>
      </c>
      <c r="U45" s="129" t="n">
        <v>0.15048716898515</v>
      </c>
      <c r="X45" s="130" t="n">
        <v>0.866</v>
      </c>
      <c r="Y45" s="130" t="n">
        <v>0.846246028189217</v>
      </c>
      <c r="Z45" s="129" t="n">
        <v>0.159</v>
      </c>
      <c r="AA45" s="129" t="n">
        <v>0.155373116030122</v>
      </c>
      <c r="AB45" s="130" t="n">
        <v>1.84</v>
      </c>
      <c r="AC45" s="130" t="n">
        <v>1.79802851254984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59.65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-0°59,65</v>
      </c>
      <c r="P9" s="31" t="s">
        <v>16</v>
      </c>
      <c r="Q9" s="35" t="n">
        <f aca="false">IF(ISBLANK(I9),"",IF(ISBLANK(J9),"",IF(J9&gt;60,"ERREUR !!",O11*(I9+(J9/60)))))</f>
        <v>-0.994166666666667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59.48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-9°59,48</v>
      </c>
      <c r="P10" s="31" t="s">
        <v>17</v>
      </c>
      <c r="Q10" s="35" t="n">
        <f aca="false">IF(ISBLANK(I10),"",IF(ISBLANK(J10),"",IF(J10&gt;60,"ERREUR !!",O12*(I10+(J10/60)))))</f>
        <v>-9.99133333333333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37146</v>
      </c>
      <c r="K11" s="40"/>
      <c r="L11" s="40"/>
      <c r="M11" s="40"/>
      <c r="N11" s="41" t="str">
        <f aca="false">I9&amp;"°"&amp;J9</f>
        <v>0°59,65</v>
      </c>
      <c r="O11" s="42" t="n">
        <f aca="false">IF(P9=M10,-1,1)</f>
        <v>-1</v>
      </c>
      <c r="P11" s="43" t="str">
        <f aca="false">TEXT(J11,"aaaa-mm-jj")&amp;"T"&amp;TEXT(J12,"hh:mm:ss")&amp;"z"</f>
        <v>2005-09-13T08:30:00z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0.354166666666667</v>
      </c>
      <c r="K12" s="48"/>
      <c r="L12" s="48"/>
      <c r="M12" s="48"/>
      <c r="N12" s="49" t="str">
        <f aca="false">I10&amp;"°"&amp;J10</f>
        <v>9°59,48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34.6095</v>
      </c>
      <c r="H35" s="123" t="n">
        <v>1000</v>
      </c>
      <c r="I35" s="124" t="n">
        <v>1003</v>
      </c>
      <c r="J35" s="125"/>
      <c r="K35" s="126"/>
      <c r="L35" s="126"/>
      <c r="M35" s="126"/>
      <c r="N35" s="127"/>
      <c r="O35" s="126"/>
      <c r="P35" s="125" t="n">
        <v>3.648</v>
      </c>
      <c r="Q35" s="125"/>
      <c r="R35" s="125"/>
      <c r="S35" s="128" t="n">
        <v>158.6</v>
      </c>
      <c r="T35" s="129" t="n">
        <v>0.006</v>
      </c>
      <c r="U35" s="129" t="n">
        <v>0.00586313645396687</v>
      </c>
      <c r="X35" s="130" t="n">
        <v>33.724</v>
      </c>
      <c r="Y35" s="130" t="n">
        <v>32.9547356289298</v>
      </c>
      <c r="Z35" s="129" t="n">
        <v>2.239</v>
      </c>
      <c r="AA35" s="129" t="n">
        <v>2.18792708673863</v>
      </c>
      <c r="AB35" s="130" t="n">
        <v>31.13</v>
      </c>
      <c r="AC35" s="130" t="n">
        <v>30.4199063019981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35.0573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2.281</v>
      </c>
      <c r="Q36" s="136"/>
      <c r="R36" s="136"/>
      <c r="S36" s="139" t="n">
        <v>99.2</v>
      </c>
      <c r="T36" s="129" t="n">
        <v>0.017</v>
      </c>
      <c r="U36" s="129" t="n">
        <v>0.0166122199529061</v>
      </c>
      <c r="X36" s="130" t="n">
        <v>27.403</v>
      </c>
      <c r="Y36" s="130" t="n">
        <v>26.7779213746757</v>
      </c>
      <c r="Z36" s="129" t="n">
        <v>1.752</v>
      </c>
      <c r="AA36" s="129" t="n">
        <v>1.71203584455832</v>
      </c>
      <c r="AB36" s="130" t="n">
        <v>11.23</v>
      </c>
      <c r="AC36" s="130" t="n">
        <v>10.973837063008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35.4227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3.443</v>
      </c>
      <c r="Q37" s="136"/>
      <c r="R37" s="136"/>
      <c r="S37" s="139" t="n">
        <v>149.8</v>
      </c>
      <c r="T37" s="129" t="n">
        <v>0.012</v>
      </c>
      <c r="U37" s="129" t="n">
        <v>0.0117262729079337</v>
      </c>
      <c r="X37" s="130" t="n">
        <v>16.238</v>
      </c>
      <c r="Y37" s="130" t="n">
        <v>15.8676016232523</v>
      </c>
      <c r="Z37" s="129" t="n">
        <v>1.124</v>
      </c>
      <c r="AA37" s="129" t="n">
        <v>1.09836089570979</v>
      </c>
      <c r="AB37" s="130" t="n">
        <v>6</v>
      </c>
      <c r="AC37" s="130" t="n">
        <v>5.86313645396686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35.4589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3.617</v>
      </c>
      <c r="Q38" s="136"/>
      <c r="R38" s="136"/>
      <c r="S38" s="139" t="n">
        <v>157.4</v>
      </c>
      <c r="T38" s="129" t="n">
        <v>0.018</v>
      </c>
      <c r="U38" s="129" t="n">
        <v>0.0175894093619006</v>
      </c>
      <c r="X38" s="130" t="n">
        <v>15.222</v>
      </c>
      <c r="Y38" s="130" t="n">
        <v>14.8747771837139</v>
      </c>
      <c r="Z38" s="129" t="n">
        <v>1.087</v>
      </c>
      <c r="AA38" s="129" t="n">
        <v>1.062204887577</v>
      </c>
      <c r="AB38" s="130" t="n">
        <v>5.86</v>
      </c>
      <c r="AC38" s="130" t="n">
        <v>5.72632993670764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35.8086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3.434</v>
      </c>
      <c r="Q39" s="136"/>
      <c r="R39" s="136"/>
      <c r="S39" s="139" t="n">
        <v>149.5</v>
      </c>
      <c r="T39" s="129" t="n">
        <v>0.051</v>
      </c>
      <c r="U39" s="129" t="n">
        <v>0.0498366598587183</v>
      </c>
      <c r="X39" s="130" t="n">
        <v>12.129</v>
      </c>
      <c r="Y39" s="130" t="n">
        <v>11.852330341694</v>
      </c>
      <c r="Z39" s="129" t="n">
        <v>0.906</v>
      </c>
      <c r="AA39" s="129" t="n">
        <v>0.885333604548996</v>
      </c>
      <c r="AB39" s="130" t="n">
        <v>4.18</v>
      </c>
      <c r="AC39" s="130" t="n">
        <v>4.08465172959692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36.085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3.571</v>
      </c>
      <c r="Q40" s="136"/>
      <c r="R40" s="136"/>
      <c r="S40" s="139" t="n">
        <v>155.5</v>
      </c>
      <c r="T40" s="129" t="n">
        <v>0.071</v>
      </c>
      <c r="U40" s="129" t="n">
        <v>0.0693804480386079</v>
      </c>
      <c r="X40" s="130" t="n">
        <v>9.169</v>
      </c>
      <c r="Y40" s="130" t="n">
        <v>8.95984969107036</v>
      </c>
      <c r="Z40" s="129" t="n">
        <v>0.735</v>
      </c>
      <c r="AA40" s="129" t="n">
        <v>0.718234215610941</v>
      </c>
      <c r="AB40" s="130" t="n">
        <v>3.17</v>
      </c>
      <c r="AC40" s="130" t="n">
        <v>3.09769042651249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36.1374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3.923</v>
      </c>
      <c r="Q41" s="136"/>
      <c r="R41" s="136"/>
      <c r="S41" s="139" t="n">
        <v>170.9</v>
      </c>
      <c r="T41" s="129" t="n">
        <v>0.428</v>
      </c>
      <c r="U41" s="129" t="n">
        <v>0.418237067049636</v>
      </c>
      <c r="X41" s="130" t="n">
        <v>5.012</v>
      </c>
      <c r="Y41" s="130" t="n">
        <v>4.89767331788032</v>
      </c>
      <c r="Z41" s="129" t="n">
        <v>0.471</v>
      </c>
      <c r="AA41" s="129" t="n">
        <v>0.460256211636399</v>
      </c>
      <c r="AB41" s="130" t="n">
        <v>2.05</v>
      </c>
      <c r="AC41" s="130" t="n">
        <v>2.00323828843868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35.9546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4.29</v>
      </c>
      <c r="Q42" s="136"/>
      <c r="R42" s="136"/>
      <c r="S42" s="139" t="n">
        <v>187</v>
      </c>
      <c r="T42" s="129" t="n">
        <v>0.622</v>
      </c>
      <c r="U42" s="129" t="n">
        <v>0.607811812394565</v>
      </c>
      <c r="X42" s="130" t="n">
        <v>3.188</v>
      </c>
      <c r="Y42" s="130" t="n">
        <v>3.11527983587439</v>
      </c>
      <c r="Z42" s="129" t="n">
        <v>0.408</v>
      </c>
      <c r="AA42" s="129" t="n">
        <v>0.398693278869747</v>
      </c>
      <c r="AB42" s="130" t="n">
        <v>1.98</v>
      </c>
      <c r="AC42" s="130" t="n">
        <v>1.93483502980907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35.9107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4.871</v>
      </c>
      <c r="Q43" s="136"/>
      <c r="R43" s="136"/>
      <c r="S43" s="139" t="n">
        <v>212.3</v>
      </c>
      <c r="T43" s="129" t="n">
        <v>0.1455</v>
      </c>
      <c r="U43" s="129" t="n">
        <v>0.142181059008696</v>
      </c>
      <c r="X43" s="130" t="n">
        <v>1.0445</v>
      </c>
      <c r="Y43" s="130" t="n">
        <v>1.02067433769473</v>
      </c>
      <c r="Z43" s="129" t="n">
        <v>0.2335</v>
      </c>
      <c r="AA43" s="129" t="n">
        <v>0.22817372700021</v>
      </c>
      <c r="AB43" s="130" t="n">
        <v>1.5</v>
      </c>
      <c r="AC43" s="130" t="n">
        <v>1.46578411349172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35.9087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4.892</v>
      </c>
      <c r="Q44" s="136"/>
      <c r="R44" s="136"/>
      <c r="S44" s="139" t="n">
        <v>213.3</v>
      </c>
      <c r="T44" s="129" t="n">
        <v>0.144</v>
      </c>
      <c r="U44" s="129" t="n">
        <v>0.140715274895205</v>
      </c>
      <c r="X44" s="130" t="n">
        <v>1.056</v>
      </c>
      <c r="Y44" s="130" t="n">
        <v>1.03191201589817</v>
      </c>
      <c r="Z44" s="129" t="n">
        <v>0.224</v>
      </c>
      <c r="AA44" s="129" t="n">
        <v>0.218890427614763</v>
      </c>
      <c r="AB44" s="130" t="n">
        <v>1.58</v>
      </c>
      <c r="AC44" s="130" t="n">
        <v>1.54395926621127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35.9087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4.753</v>
      </c>
      <c r="Q45" s="136"/>
      <c r="R45" s="136"/>
      <c r="S45" s="139" t="n">
        <v>207.2</v>
      </c>
      <c r="T45" s="129" t="n">
        <v>0.151</v>
      </c>
      <c r="U45" s="129" t="n">
        <v>0.147555600758166</v>
      </c>
      <c r="X45" s="130" t="n">
        <v>1.029</v>
      </c>
      <c r="Y45" s="130" t="n">
        <v>1.00552790185532</v>
      </c>
      <c r="Z45" s="129" t="n">
        <v>0.229</v>
      </c>
      <c r="AA45" s="129" t="n">
        <v>0.223776374659735</v>
      </c>
      <c r="AB45" s="130" t="n">
        <v>1.58</v>
      </c>
      <c r="AC45" s="130" t="n">
        <v>1.54395926621127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30.45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-0°30,45</v>
      </c>
      <c r="P9" s="31" t="s">
        <v>16</v>
      </c>
      <c r="Q9" s="35" t="n">
        <f aca="false">IF(ISBLANK(I9),"",IF(ISBLANK(J9),"",IF(J9&gt;60,"ERREUR !!",O11*(I9+(J9/60)))))</f>
        <v>-0.5075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59.43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-9°59,43</v>
      </c>
      <c r="P10" s="31" t="s">
        <v>17</v>
      </c>
      <c r="Q10" s="35" t="n">
        <f aca="false">IF(ISBLANK(I10),"",IF(ISBLANK(J10),"",IF(J10&gt;60,"ERREUR !!",O12*(I10+(J10/60)))))</f>
        <v>-9.9905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37146</v>
      </c>
      <c r="K11" s="40"/>
      <c r="L11" s="40"/>
      <c r="M11" s="40"/>
      <c r="N11" s="41" t="str">
        <f aca="false">I9&amp;"°"&amp;J9</f>
        <v>0°30,45</v>
      </c>
      <c r="O11" s="42" t="n">
        <f aca="false">IF(P9=M10,-1,1)</f>
        <v>-1</v>
      </c>
      <c r="P11" s="43" t="str">
        <f aca="false">TEXT(J11,"aaaa-mm-jj")&amp;"T"&amp;TEXT(J12,"hh:mm:ss")&amp;"z"</f>
        <v>2005-09-13T13:30:00z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0.5625</v>
      </c>
      <c r="K12" s="48"/>
      <c r="L12" s="48"/>
      <c r="M12" s="48"/>
      <c r="N12" s="49" t="str">
        <f aca="false">I10&amp;"°"&amp;J10</f>
        <v>9°59,43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34.6232</v>
      </c>
      <c r="H35" s="123" t="n">
        <v>1000</v>
      </c>
      <c r="I35" s="124" t="n">
        <v>1004</v>
      </c>
      <c r="J35" s="125"/>
      <c r="K35" s="126"/>
      <c r="L35" s="126"/>
      <c r="M35" s="126"/>
      <c r="N35" s="127"/>
      <c r="O35" s="126"/>
      <c r="P35" s="125" t="n">
        <v>3.658</v>
      </c>
      <c r="Q35" s="125"/>
      <c r="R35" s="125"/>
      <c r="S35" s="128" t="n">
        <v>159</v>
      </c>
      <c r="T35" s="129" t="n">
        <v>0.007</v>
      </c>
      <c r="U35" s="129" t="n">
        <v>0.00684032586296134</v>
      </c>
      <c r="X35" s="130" t="n">
        <v>34.273</v>
      </c>
      <c r="Y35" s="130" t="n">
        <v>33.4912126144677</v>
      </c>
      <c r="Z35" s="129" t="n">
        <v>2.257</v>
      </c>
      <c r="AA35" s="129" t="n">
        <v>2.20551649610054</v>
      </c>
      <c r="AB35" s="130" t="n">
        <v>31.3</v>
      </c>
      <c r="AC35" s="130" t="n">
        <v>30.5860285015271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35.0105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2.299</v>
      </c>
      <c r="Q36" s="136"/>
      <c r="R36" s="136"/>
      <c r="S36" s="139" t="n">
        <v>100</v>
      </c>
      <c r="T36" s="129" t="n">
        <v>0.028</v>
      </c>
      <c r="U36" s="129" t="n">
        <v>0.0273613034518454</v>
      </c>
      <c r="X36" s="130" t="n">
        <v>28.302</v>
      </c>
      <c r="Y36" s="130" t="n">
        <v>27.6564146533617</v>
      </c>
      <c r="Z36" s="129" t="n">
        <v>1.792</v>
      </c>
      <c r="AA36" s="129" t="n">
        <v>1.7511234209181</v>
      </c>
      <c r="AB36" s="130" t="n">
        <v>11.77</v>
      </c>
      <c r="AC36" s="130" t="n">
        <v>11.501519343865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35.423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3.377</v>
      </c>
      <c r="Q37" s="136"/>
      <c r="R37" s="136"/>
      <c r="S37" s="139" t="n">
        <v>147</v>
      </c>
      <c r="T37" s="129" t="n">
        <v>0.026</v>
      </c>
      <c r="U37" s="129" t="n">
        <v>0.0254069246338564</v>
      </c>
      <c r="X37" s="130" t="n">
        <v>17.094</v>
      </c>
      <c r="Y37" s="130" t="n">
        <v>16.7040757573516</v>
      </c>
      <c r="Z37" s="129" t="n">
        <v>1.178</v>
      </c>
      <c r="AA37" s="129" t="n">
        <v>1.15112912379549</v>
      </c>
      <c r="AB37" s="130" t="n">
        <v>6.4</v>
      </c>
      <c r="AC37" s="130" t="n">
        <v>6.25401221756466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35.5447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3.67</v>
      </c>
      <c r="Q38" s="136"/>
      <c r="R38" s="136"/>
      <c r="S38" s="139" t="n">
        <v>159.7</v>
      </c>
      <c r="T38" s="129" t="n">
        <v>0.036</v>
      </c>
      <c r="U38" s="129" t="n">
        <v>0.0351788187238012</v>
      </c>
      <c r="X38" s="130" t="n">
        <v>14.294</v>
      </c>
      <c r="Y38" s="130" t="n">
        <v>13.9679454121671</v>
      </c>
      <c r="Z38" s="129" t="n">
        <v>1.012</v>
      </c>
      <c r="AA38" s="129" t="n">
        <v>0.988915681902411</v>
      </c>
      <c r="AB38" s="130" t="n">
        <v>5.55</v>
      </c>
      <c r="AC38" s="130" t="n">
        <v>5.42340121991935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35.7447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3.624</v>
      </c>
      <c r="Q39" s="136"/>
      <c r="R39" s="136"/>
      <c r="S39" s="139" t="n">
        <v>157.8</v>
      </c>
      <c r="T39" s="129" t="n">
        <v>0.048</v>
      </c>
      <c r="U39" s="129" t="n">
        <v>0.0469050916317349</v>
      </c>
      <c r="X39" s="130" t="n">
        <v>12.672</v>
      </c>
      <c r="Y39" s="130" t="n">
        <v>12.382944190778</v>
      </c>
      <c r="Z39" s="129" t="n">
        <v>0.919</v>
      </c>
      <c r="AA39" s="129" t="n">
        <v>0.898037066865925</v>
      </c>
      <c r="AB39" s="130" t="n">
        <v>4.87</v>
      </c>
      <c r="AC39" s="130" t="n">
        <v>4.75891242180311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36.0653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3.652</v>
      </c>
      <c r="Q40" s="136"/>
      <c r="R40" s="136"/>
      <c r="S40" s="139" t="n">
        <v>159.1</v>
      </c>
      <c r="T40" s="129" t="n">
        <v>0.204</v>
      </c>
      <c r="U40" s="129" t="n">
        <v>0.199346639434873</v>
      </c>
      <c r="X40" s="130" t="n">
        <v>8.306</v>
      </c>
      <c r="Y40" s="130" t="n">
        <v>8.11653523110813</v>
      </c>
      <c r="Z40" s="129" t="n">
        <v>0.643</v>
      </c>
      <c r="AA40" s="129" t="n">
        <v>0.628332789983449</v>
      </c>
      <c r="AB40" s="130" t="n">
        <v>3.27</v>
      </c>
      <c r="AC40" s="130" t="n">
        <v>3.19540936741194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35.9474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3.799</v>
      </c>
      <c r="Q41" s="136"/>
      <c r="R41" s="136"/>
      <c r="S41" s="139" t="n">
        <v>165.5</v>
      </c>
      <c r="T41" s="129" t="n">
        <v>0.605</v>
      </c>
      <c r="U41" s="129" t="n">
        <v>0.591199592441659</v>
      </c>
      <c r="X41" s="130" t="n">
        <v>6.745</v>
      </c>
      <c r="Y41" s="130" t="n">
        <v>6.59114256366775</v>
      </c>
      <c r="Z41" s="129" t="n">
        <v>0.569</v>
      </c>
      <c r="AA41" s="129" t="n">
        <v>0.556020773717858</v>
      </c>
      <c r="AB41" s="130" t="n">
        <v>2.83</v>
      </c>
      <c r="AC41" s="130" t="n">
        <v>2.76544602745437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35.9332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4.749</v>
      </c>
      <c r="Q42" s="136"/>
      <c r="R42" s="136"/>
      <c r="S42" s="139" t="n">
        <v>207</v>
      </c>
      <c r="T42" s="129" t="n">
        <v>0.165</v>
      </c>
      <c r="U42" s="129" t="n">
        <v>0.161236252484089</v>
      </c>
      <c r="X42" s="130" t="n">
        <v>1.305</v>
      </c>
      <c r="Y42" s="130" t="n">
        <v>1.27523217873779</v>
      </c>
      <c r="Z42" s="129" t="n">
        <v>0.252</v>
      </c>
      <c r="AA42" s="129" t="n">
        <v>0.246251731066608</v>
      </c>
      <c r="AB42" s="130" t="n">
        <v>1.84</v>
      </c>
      <c r="AC42" s="130" t="n">
        <v>1.79802851254984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35.9275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4.857</v>
      </c>
      <c r="Q43" s="136"/>
      <c r="R43" s="136"/>
      <c r="S43" s="139" t="n">
        <v>211.8</v>
      </c>
      <c r="T43" s="129" t="n">
        <v>0.124</v>
      </c>
      <c r="U43" s="129" t="n">
        <v>0.121171486715315</v>
      </c>
      <c r="X43" s="130" t="n">
        <v>1.016</v>
      </c>
      <c r="Y43" s="130" t="n">
        <v>0.992824439538389</v>
      </c>
      <c r="Z43" s="129" t="n">
        <v>0.223</v>
      </c>
      <c r="AA43" s="129" t="n">
        <v>0.217913238205768</v>
      </c>
      <c r="AB43" s="130" t="n">
        <v>1.75</v>
      </c>
      <c r="AC43" s="130" t="n">
        <v>1.71008146574034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35.9272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4.865</v>
      </c>
      <c r="Q44" s="136"/>
      <c r="R44" s="136"/>
      <c r="S44" s="139" t="n">
        <v>212.1</v>
      </c>
      <c r="T44" s="129" t="n">
        <v>0.113</v>
      </c>
      <c r="U44" s="129" t="n">
        <v>0.110422403216376</v>
      </c>
      <c r="X44" s="130" t="n">
        <v>0.917</v>
      </c>
      <c r="Y44" s="130" t="n">
        <v>0.896082688047936</v>
      </c>
      <c r="Z44" s="129" t="n">
        <v>0.226</v>
      </c>
      <c r="AA44" s="129" t="n">
        <v>0.220844806432752</v>
      </c>
      <c r="AB44" s="130" t="n">
        <v>1.785</v>
      </c>
      <c r="AC44" s="130" t="n">
        <v>1.74428309505514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35.9302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4.86</v>
      </c>
      <c r="Q45" s="136"/>
      <c r="R45" s="136"/>
      <c r="S45" s="139" t="n">
        <v>211.9</v>
      </c>
      <c r="T45" s="129" t="n">
        <v>0.115</v>
      </c>
      <c r="U45" s="129" t="n">
        <v>0.112376782034365</v>
      </c>
      <c r="X45" s="130" t="n">
        <v>0.985</v>
      </c>
      <c r="Y45" s="130" t="n">
        <v>0.96253156785956</v>
      </c>
      <c r="Z45" s="129" t="n">
        <v>0.229</v>
      </c>
      <c r="AA45" s="129" t="n">
        <v>0.223776374659735</v>
      </c>
      <c r="AB45" s="130" t="n">
        <v>1.89</v>
      </c>
      <c r="AC45" s="130" t="n">
        <v>1.84688798299956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3.45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0°3,45</v>
      </c>
      <c r="P9" s="31" t="s">
        <v>13</v>
      </c>
      <c r="Q9" s="35" t="n">
        <f aca="false">IF(ISBLANK(I9),"",IF(ISBLANK(J9),"",IF(J9&gt;60,"ERREUR !!",O11*(I9+(J9/60)))))</f>
        <v>0.0575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56.16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-9°56,16</v>
      </c>
      <c r="P10" s="31" t="s">
        <v>17</v>
      </c>
      <c r="Q10" s="35" t="n">
        <f aca="false">IF(ISBLANK(I10),"",IF(ISBLANK(J10),"",IF(J10&gt;60,"ERREUR !!",O12*(I10+(J10/60)))))</f>
        <v>-9.936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37146</v>
      </c>
      <c r="K11" s="40"/>
      <c r="L11" s="40"/>
      <c r="M11" s="40"/>
      <c r="N11" s="41" t="str">
        <f aca="false">I9&amp;"°"&amp;J9</f>
        <v>0°3,45</v>
      </c>
      <c r="O11" s="42" t="n">
        <f aca="false">IF(P9=M10,-1,1)</f>
        <v>1</v>
      </c>
      <c r="P11" s="43" t="str">
        <f aca="false">TEXT(J11,"aaaa-mm-jj")&amp;"T"&amp;TEXT(J12,"hh:mm:ss")&amp;"z"</f>
        <v>2005-09-13T20:30:00z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0.854166666666667</v>
      </c>
      <c r="K12" s="48"/>
      <c r="L12" s="48"/>
      <c r="M12" s="48"/>
      <c r="N12" s="49" t="str">
        <f aca="false">I10&amp;"°"&amp;J10</f>
        <v>9°56,16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34.6291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3.638</v>
      </c>
      <c r="Q35" s="125"/>
      <c r="R35" s="125"/>
      <c r="S35" s="128" t="n">
        <v>158.2</v>
      </c>
      <c r="T35" s="129" t="n">
        <v>0.003</v>
      </c>
      <c r="U35" s="129" t="n">
        <v>0.00293156822698343</v>
      </c>
      <c r="X35" s="130" t="n">
        <v>33.387</v>
      </c>
      <c r="Y35" s="130" t="n">
        <v>32.6254227980986</v>
      </c>
      <c r="Z35" s="129" t="n">
        <v>2.246</v>
      </c>
      <c r="AA35" s="129" t="n">
        <v>2.1947674126016</v>
      </c>
      <c r="AB35" s="130" t="n">
        <v>30.35</v>
      </c>
      <c r="AC35" s="130" t="n">
        <v>29.6576985629824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34.944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2.475</v>
      </c>
      <c r="Q36" s="136"/>
      <c r="R36" s="136"/>
      <c r="S36" s="139" t="n">
        <v>107.7</v>
      </c>
      <c r="T36" s="129" t="n">
        <v>0.007</v>
      </c>
      <c r="U36" s="129" t="n">
        <v>0.00684032586296134</v>
      </c>
      <c r="X36" s="130" t="n">
        <v>28.643</v>
      </c>
      <c r="Y36" s="130" t="n">
        <v>27.9896362418288</v>
      </c>
      <c r="Z36" s="129" t="n">
        <v>1.819</v>
      </c>
      <c r="AA36" s="129" t="n">
        <v>1.77750753496095</v>
      </c>
      <c r="AB36" s="130" t="n">
        <v>12.6</v>
      </c>
      <c r="AC36" s="130" t="n">
        <v>12.3125865533304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35.4126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3.319</v>
      </c>
      <c r="Q37" s="136"/>
      <c r="R37" s="136"/>
      <c r="S37" s="139" t="n">
        <v>144.4</v>
      </c>
      <c r="T37" s="129" t="n">
        <v>0.004</v>
      </c>
      <c r="U37" s="129" t="n">
        <v>0.00390875763597791</v>
      </c>
      <c r="X37" s="130" t="n">
        <v>17.326</v>
      </c>
      <c r="Y37" s="130" t="n">
        <v>16.9307837002383</v>
      </c>
      <c r="Z37" s="129" t="n">
        <v>1.17</v>
      </c>
      <c r="AA37" s="129" t="n">
        <v>1.14331160852354</v>
      </c>
      <c r="AB37" s="130" t="n">
        <v>6.42</v>
      </c>
      <c r="AC37" s="130" t="n">
        <v>6.27355600574454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35.5441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3.678</v>
      </c>
      <c r="Q38" s="136"/>
      <c r="R38" s="136"/>
      <c r="S38" s="139" t="n">
        <v>160.1</v>
      </c>
      <c r="T38" s="129" t="n">
        <v>0.011</v>
      </c>
      <c r="U38" s="129" t="n">
        <v>0.0107490834989393</v>
      </c>
      <c r="X38" s="130" t="n">
        <v>14.189</v>
      </c>
      <c r="Y38" s="130" t="n">
        <v>13.8653405242226</v>
      </c>
      <c r="Z38" s="129" t="n">
        <v>1.031</v>
      </c>
      <c r="AA38" s="129" t="n">
        <v>1.00748228067331</v>
      </c>
      <c r="AB38" s="130" t="n">
        <v>5.44</v>
      </c>
      <c r="AC38" s="130" t="n">
        <v>5.31591038492996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3.333</v>
      </c>
      <c r="Q39" s="136"/>
      <c r="R39" s="136"/>
      <c r="S39" s="139" t="n">
        <v>145.1</v>
      </c>
      <c r="T39" s="129" t="n">
        <v>0.045</v>
      </c>
      <c r="U39" s="129" t="n">
        <v>0.0439735234047515</v>
      </c>
      <c r="X39" s="130" t="n">
        <v>13.425</v>
      </c>
      <c r="Y39" s="130" t="n">
        <v>13.1187678157509</v>
      </c>
      <c r="Z39" s="129" t="n">
        <v>0.938</v>
      </c>
      <c r="AA39" s="129" t="n">
        <v>0.91660366563682</v>
      </c>
      <c r="AB39" s="130" t="n">
        <v>4.69</v>
      </c>
      <c r="AC39" s="130" t="n">
        <v>4.5830183281841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35.8277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3.162</v>
      </c>
      <c r="Q40" s="136"/>
      <c r="R40" s="136"/>
      <c r="S40" s="139" t="n">
        <v>137.7</v>
      </c>
      <c r="T40" s="129" t="n">
        <v>0.063</v>
      </c>
      <c r="U40" s="129" t="n">
        <v>0.0615629327666521</v>
      </c>
      <c r="X40" s="130" t="n">
        <v>12.157</v>
      </c>
      <c r="Y40" s="130" t="n">
        <v>11.8796916451459</v>
      </c>
      <c r="Z40" s="129" t="n">
        <v>0.868</v>
      </c>
      <c r="AA40" s="129" t="n">
        <v>0.848200407007206</v>
      </c>
      <c r="AB40" s="130" t="n">
        <v>3.84</v>
      </c>
      <c r="AC40" s="130" t="n">
        <v>3.75240733053879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35.9394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4.332</v>
      </c>
      <c r="Q41" s="136"/>
      <c r="R41" s="136"/>
      <c r="S41" s="139" t="n">
        <v>188.8</v>
      </c>
      <c r="T41" s="129" t="n">
        <v>0.327</v>
      </c>
      <c r="U41" s="129" t="n">
        <v>0.319540936741194</v>
      </c>
      <c r="X41" s="130" t="n">
        <v>3.333</v>
      </c>
      <c r="Y41" s="130" t="n">
        <v>3.25697230017859</v>
      </c>
      <c r="Z41" s="129" t="n">
        <v>0.395</v>
      </c>
      <c r="AA41" s="129" t="n">
        <v>0.385989816552819</v>
      </c>
      <c r="AB41" s="130" t="n">
        <v>2.02</v>
      </c>
      <c r="AC41" s="130" t="n">
        <v>1.97392260616884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35.94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4.767</v>
      </c>
      <c r="Q42" s="136"/>
      <c r="R42" s="136"/>
      <c r="S42" s="139" t="n">
        <v>207.8</v>
      </c>
      <c r="T42" s="129" t="n">
        <v>0.139</v>
      </c>
      <c r="U42" s="129" t="n">
        <v>0.135829327850232</v>
      </c>
      <c r="X42" s="130" t="n">
        <v>1.181</v>
      </c>
      <c r="Y42" s="130" t="n">
        <v>1.15406069202248</v>
      </c>
      <c r="Z42" s="129" t="n">
        <v>0.244</v>
      </c>
      <c r="AA42" s="129" t="n">
        <v>0.238434215794652</v>
      </c>
      <c r="AB42" s="130" t="n">
        <v>1.48</v>
      </c>
      <c r="AC42" s="130" t="n">
        <v>1.44624032531183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35.9134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4.903</v>
      </c>
      <c r="Q43" s="136"/>
      <c r="R43" s="136"/>
      <c r="S43" s="139" t="n">
        <v>213.7</v>
      </c>
      <c r="T43" s="129" t="n">
        <v>0.087</v>
      </c>
      <c r="U43" s="129" t="n">
        <v>0.0850154785825195</v>
      </c>
      <c r="X43" s="130" t="n">
        <v>0.933</v>
      </c>
      <c r="Y43" s="130" t="n">
        <v>0.911717718591847</v>
      </c>
      <c r="Z43" s="129" t="n">
        <v>0.219</v>
      </c>
      <c r="AA43" s="129" t="n">
        <v>0.21400448056979</v>
      </c>
      <c r="AB43" s="130" t="n">
        <v>1.38</v>
      </c>
      <c r="AC43" s="130" t="n">
        <v>1.34852138441238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35.9159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4.908</v>
      </c>
      <c r="Q44" s="136"/>
      <c r="R44" s="136"/>
      <c r="S44" s="139" t="n">
        <v>214</v>
      </c>
      <c r="T44" s="129" t="n">
        <v>0.082</v>
      </c>
      <c r="U44" s="129" t="n">
        <v>0.0801295315375472</v>
      </c>
      <c r="X44" s="130" t="n">
        <v>0.888</v>
      </c>
      <c r="Y44" s="130" t="n">
        <v>0.867744195187096</v>
      </c>
      <c r="Z44" s="129" t="n">
        <v>0.221</v>
      </c>
      <c r="AA44" s="129" t="n">
        <v>0.215958859387779</v>
      </c>
      <c r="AB44" s="130" t="n">
        <v>1.4</v>
      </c>
      <c r="AC44" s="130" t="n">
        <v>1.36806517259227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35.9171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4.911</v>
      </c>
      <c r="Q45" s="136"/>
      <c r="R45" s="136"/>
      <c r="S45" s="139" t="n">
        <v>214.1</v>
      </c>
      <c r="T45" s="129" t="n">
        <v>0.0835</v>
      </c>
      <c r="U45" s="129" t="n">
        <v>0.0815953156510389</v>
      </c>
      <c r="X45" s="130" t="n">
        <v>0.8565</v>
      </c>
      <c r="Y45" s="130" t="n">
        <v>0.83696272880377</v>
      </c>
      <c r="Z45" s="129" t="n">
        <v>0.2275</v>
      </c>
      <c r="AA45" s="129" t="n">
        <v>0.222310590546244</v>
      </c>
      <c r="AB45" s="130" t="n">
        <v>1.5</v>
      </c>
      <c r="AC45" s="130" t="n">
        <v>1.46578411349172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29.9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0°29,9</v>
      </c>
      <c r="P9" s="31" t="s">
        <v>13</v>
      </c>
      <c r="Q9" s="35" t="n">
        <f aca="false">IF(ISBLANK(I9),"",IF(ISBLANK(J9),"",IF(J9&gt;60,"ERREUR !!",O11*(I9+(J9/60)))))</f>
        <v>0.498333333333333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59.41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-9°59,41</v>
      </c>
      <c r="P10" s="31" t="s">
        <v>17</v>
      </c>
      <c r="Q10" s="35" t="n">
        <f aca="false">IF(ISBLANK(I10),"",IF(ISBLANK(J10),"",IF(J10&gt;60,"ERREUR !!",O12*(I10+(J10/60)))))</f>
        <v>-9.99016666666667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37147</v>
      </c>
      <c r="K11" s="40"/>
      <c r="L11" s="40"/>
      <c r="M11" s="40"/>
      <c r="N11" s="41" t="str">
        <f aca="false">I9&amp;"°"&amp;J9</f>
        <v>0°29,9</v>
      </c>
      <c r="O11" s="42" t="n">
        <f aca="false">IF(P9=M10,-1,1)</f>
        <v>1</v>
      </c>
      <c r="P11" s="43" t="str">
        <f aca="false">TEXT(J11,"aaaa-mm-jj")&amp;"T"&amp;TEXT(J12,"hh:mm:ss")&amp;"z"</f>
        <v>2005-09-14T01:30:00z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0.0625</v>
      </c>
      <c r="K12" s="48"/>
      <c r="L12" s="48"/>
      <c r="M12" s="48"/>
      <c r="N12" s="49" t="str">
        <f aca="false">I10&amp;"°"&amp;J10</f>
        <v>9°59,41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34.6323</v>
      </c>
      <c r="H35" s="123" t="n">
        <v>1000</v>
      </c>
      <c r="I35" s="124" t="n">
        <v>992</v>
      </c>
      <c r="J35" s="125"/>
      <c r="K35" s="126"/>
      <c r="L35" s="126"/>
      <c r="M35" s="126"/>
      <c r="N35" s="127"/>
      <c r="O35" s="126"/>
      <c r="P35" s="125" t="n">
        <v>3.607</v>
      </c>
      <c r="Q35" s="125"/>
      <c r="R35" s="125"/>
      <c r="S35" s="128" t="n">
        <v>156.8</v>
      </c>
      <c r="T35" s="129" t="n">
        <v>0.012</v>
      </c>
      <c r="U35" s="129" t="n">
        <v>0.0117262729079337</v>
      </c>
      <c r="X35" s="130" t="n">
        <v>33.563</v>
      </c>
      <c r="Y35" s="130" t="n">
        <v>32.7974081340816</v>
      </c>
      <c r="Z35" s="129" t="n">
        <v>2.236</v>
      </c>
      <c r="AA35" s="129" t="n">
        <v>2.18499551851165</v>
      </c>
      <c r="AB35" s="130" t="n">
        <v>30.575</v>
      </c>
      <c r="AC35" s="130" t="n">
        <v>29.8775661800061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34.9409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2.593</v>
      </c>
      <c r="Q36" s="136"/>
      <c r="R36" s="136"/>
      <c r="S36" s="139" t="n">
        <v>112.8</v>
      </c>
      <c r="T36" s="129" t="n">
        <v>0.049</v>
      </c>
      <c r="U36" s="129" t="n">
        <v>0.0478822810407294</v>
      </c>
      <c r="X36" s="130" t="n">
        <v>28.401</v>
      </c>
      <c r="Y36" s="130" t="n">
        <v>27.7531564048521</v>
      </c>
      <c r="Z36" s="129" t="n">
        <v>1.806</v>
      </c>
      <c r="AA36" s="129" t="n">
        <v>1.76480407264403</v>
      </c>
      <c r="AB36" s="130" t="n">
        <v>12.83</v>
      </c>
      <c r="AC36" s="130" t="n">
        <v>12.5373401173991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35.454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3.147</v>
      </c>
      <c r="Q37" s="136"/>
      <c r="R37" s="136"/>
      <c r="S37" s="139" t="n">
        <v>136.9</v>
      </c>
      <c r="T37" s="129" t="n">
        <v>0.019</v>
      </c>
      <c r="U37" s="129" t="n">
        <v>0.0185665987708951</v>
      </c>
      <c r="X37" s="130" t="n">
        <v>17.671</v>
      </c>
      <c r="Y37" s="130" t="n">
        <v>17.2679140463414</v>
      </c>
      <c r="Z37" s="129" t="n">
        <v>1.216</v>
      </c>
      <c r="AA37" s="129" t="n">
        <v>1.18826232133728</v>
      </c>
      <c r="AB37" s="130" t="n">
        <v>6.54</v>
      </c>
      <c r="AC37" s="130" t="n">
        <v>6.39081873482388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35.521</v>
      </c>
      <c r="H38" s="124" t="n">
        <v>130</v>
      </c>
      <c r="I38" s="124" t="n">
        <v>129</v>
      </c>
      <c r="J38" s="136"/>
      <c r="K38" s="137"/>
      <c r="L38" s="137"/>
      <c r="M38" s="137"/>
      <c r="N38" s="138"/>
      <c r="O38" s="137"/>
      <c r="P38" s="136" t="n">
        <v>3.203</v>
      </c>
      <c r="Q38" s="136"/>
      <c r="R38" s="136"/>
      <c r="S38" s="139" t="n">
        <v>139.4</v>
      </c>
      <c r="T38" s="129" t="n">
        <v>0.022</v>
      </c>
      <c r="U38" s="129" t="n">
        <v>0.0214981669978785</v>
      </c>
      <c r="X38" s="130" t="n">
        <v>16.858</v>
      </c>
      <c r="Y38" s="130" t="n">
        <v>16.4734590568289</v>
      </c>
      <c r="Z38" s="129" t="n">
        <v>1.165</v>
      </c>
      <c r="AA38" s="129" t="n">
        <v>1.13842566147857</v>
      </c>
      <c r="AB38" s="130" t="n">
        <v>6.19</v>
      </c>
      <c r="AC38" s="130" t="n">
        <v>6.04880244167582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35.6412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3.07</v>
      </c>
      <c r="Q39" s="136"/>
      <c r="R39" s="136"/>
      <c r="S39" s="139" t="n">
        <v>133.6</v>
      </c>
      <c r="T39" s="129" t="n">
        <v>0.041</v>
      </c>
      <c r="U39" s="129" t="n">
        <v>0.0400647657687736</v>
      </c>
      <c r="X39" s="130" t="n">
        <v>16.359</v>
      </c>
      <c r="Y39" s="130" t="n">
        <v>15.9858415417407</v>
      </c>
      <c r="Z39" s="129" t="n">
        <v>1.13</v>
      </c>
      <c r="AA39" s="129" t="n">
        <v>1.10422403216376</v>
      </c>
      <c r="AB39" s="130" t="n">
        <v>5.63</v>
      </c>
      <c r="AC39" s="130" t="n">
        <v>5.50157637263891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35.7353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3.009</v>
      </c>
      <c r="Q40" s="136"/>
      <c r="R40" s="136"/>
      <c r="S40" s="139" t="n">
        <v>131</v>
      </c>
      <c r="T40" s="129" t="n">
        <v>0.201</v>
      </c>
      <c r="U40" s="129" t="n">
        <v>0.19641507120789</v>
      </c>
      <c r="X40" s="130" t="n">
        <v>14.079</v>
      </c>
      <c r="Y40" s="130" t="n">
        <v>13.7578496892332</v>
      </c>
      <c r="Z40" s="129" t="n">
        <v>0.999</v>
      </c>
      <c r="AA40" s="129" t="n">
        <v>0.976212219585483</v>
      </c>
      <c r="AB40" s="130" t="n">
        <v>4.35</v>
      </c>
      <c r="AC40" s="130" t="n">
        <v>4.25077392912598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35.8783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4.141</v>
      </c>
      <c r="Q41" s="136"/>
      <c r="R41" s="136"/>
      <c r="S41" s="139" t="n">
        <v>180.5</v>
      </c>
      <c r="T41" s="129" t="n">
        <v>0.245</v>
      </c>
      <c r="U41" s="129" t="n">
        <v>0.239411405203647</v>
      </c>
      <c r="X41" s="130" t="n">
        <v>5.005</v>
      </c>
      <c r="Y41" s="130" t="n">
        <v>4.89083299201736</v>
      </c>
      <c r="Z41" s="129" t="n">
        <v>0.488</v>
      </c>
      <c r="AA41" s="129" t="n">
        <v>0.476868431589305</v>
      </c>
      <c r="AB41" s="130" t="n">
        <v>2.37</v>
      </c>
      <c r="AC41" s="130" t="n">
        <v>2.31593889931691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35.8893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4.878</v>
      </c>
      <c r="Q42" s="136"/>
      <c r="R42" s="136"/>
      <c r="S42" s="139" t="n">
        <v>212.7</v>
      </c>
      <c r="T42" s="129" t="n">
        <v>0.084</v>
      </c>
      <c r="U42" s="129" t="n">
        <v>0.0820839103555361</v>
      </c>
      <c r="X42" s="130" t="n">
        <v>0.776</v>
      </c>
      <c r="Y42" s="130" t="n">
        <v>0.758298981379715</v>
      </c>
      <c r="Z42" s="129" t="n">
        <v>0.218</v>
      </c>
      <c r="AA42" s="129" t="n">
        <v>0.213027291160796</v>
      </c>
      <c r="AB42" s="130" t="n">
        <v>1.29</v>
      </c>
      <c r="AC42" s="130" t="n">
        <v>1.26057433760288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35.8934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4.864</v>
      </c>
      <c r="Q43" s="136"/>
      <c r="R43" s="136"/>
      <c r="S43" s="139" t="n">
        <v>212.1</v>
      </c>
      <c r="T43" s="129" t="n">
        <v>0.064</v>
      </c>
      <c r="U43" s="129" t="n">
        <v>0.0625401221756466</v>
      </c>
      <c r="X43" s="130" t="n">
        <v>0.646</v>
      </c>
      <c r="Y43" s="130" t="n">
        <v>0.631264358210432</v>
      </c>
      <c r="Z43" s="129" t="n">
        <v>0.198</v>
      </c>
      <c r="AA43" s="129" t="n">
        <v>0.193483502980907</v>
      </c>
      <c r="AB43" s="130" t="n">
        <v>1.29</v>
      </c>
      <c r="AC43" s="130" t="n">
        <v>1.26057433760288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35.895</v>
      </c>
      <c r="H44" s="124" t="n">
        <v>10</v>
      </c>
      <c r="I44" s="124" t="n">
        <v>11</v>
      </c>
      <c r="J44" s="136"/>
      <c r="K44" s="136"/>
      <c r="L44" s="136"/>
      <c r="M44" s="136"/>
      <c r="N44" s="136"/>
      <c r="O44" s="136"/>
      <c r="P44" s="136" t="n">
        <v>4.852</v>
      </c>
      <c r="Q44" s="136"/>
      <c r="R44" s="136"/>
      <c r="S44" s="139" t="n">
        <v>211.5</v>
      </c>
      <c r="T44" s="129" t="n">
        <v>0.065</v>
      </c>
      <c r="U44" s="129" t="n">
        <v>0.063517311584641</v>
      </c>
      <c r="X44" s="130" t="n">
        <v>0.645</v>
      </c>
      <c r="Y44" s="130" t="n">
        <v>0.630287168801438</v>
      </c>
      <c r="Z44" s="129" t="n">
        <v>0.199</v>
      </c>
      <c r="AA44" s="129" t="n">
        <v>0.194460692389901</v>
      </c>
      <c r="AB44" s="130" t="n">
        <v>1.3</v>
      </c>
      <c r="AC44" s="130" t="n">
        <v>1.27034623169282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35.8935</v>
      </c>
      <c r="H45" s="124" t="n">
        <v>0</v>
      </c>
      <c r="I45" s="124" t="n">
        <v>2</v>
      </c>
      <c r="J45" s="136"/>
      <c r="K45" s="136"/>
      <c r="L45" s="136"/>
      <c r="M45" s="136"/>
      <c r="N45" s="136"/>
      <c r="O45" s="136"/>
      <c r="P45" s="136" t="n">
        <v>4.859</v>
      </c>
      <c r="Q45" s="136"/>
      <c r="R45" s="136"/>
      <c r="S45" s="139" t="n">
        <v>211.8</v>
      </c>
      <c r="T45" s="129" t="n">
        <v>0.097</v>
      </c>
      <c r="U45" s="129" t="n">
        <v>0.0947873726724643</v>
      </c>
      <c r="X45" s="130" t="n">
        <v>0.673</v>
      </c>
      <c r="Y45" s="130" t="n">
        <v>0.657648472253283</v>
      </c>
      <c r="Z45" s="129" t="n">
        <v>0.194</v>
      </c>
      <c r="AA45" s="129" t="n">
        <v>0.189574745344929</v>
      </c>
      <c r="AB45" s="130" t="n">
        <v>1.3</v>
      </c>
      <c r="AC45" s="130" t="n">
        <v>1.27034623169282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37149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0.4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1°0,4</v>
      </c>
      <c r="P9" s="31" t="s">
        <v>13</v>
      </c>
      <c r="Q9" s="35" t="n">
        <f aca="false">IF(ISBLANK(I9),"",IF(ISBLANK(J9),"",IF(J9&gt;60,"ERREUR !!",O11*(I9+(J9/60)))))</f>
        <v>1.00666666666667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59.84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-9°59,84</v>
      </c>
      <c r="P10" s="31" t="s">
        <v>17</v>
      </c>
      <c r="Q10" s="35" t="n">
        <f aca="false">IF(ISBLANK(I10),"",IF(ISBLANK(J10),"",IF(J10&gt;60,"ERREUR !!",O12*(I10+(J10/60)))))</f>
        <v>-9.99733333333333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37147</v>
      </c>
      <c r="K11" s="40"/>
      <c r="L11" s="40"/>
      <c r="M11" s="40"/>
      <c r="N11" s="41" t="str">
        <f aca="false">I9&amp;"°"&amp;J9</f>
        <v>1°0,4</v>
      </c>
      <c r="O11" s="42" t="n">
        <f aca="false">IF(P9=M10,-1,1)</f>
        <v>1</v>
      </c>
      <c r="P11" s="43" t="str">
        <f aca="false">TEXT(J11,"aaaa-mm-jj")&amp;"T"&amp;TEXT(J12,"hh:mm:ss")&amp;"z"</f>
        <v>2005-09-14T06:30:00z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0.270833333333333</v>
      </c>
      <c r="K12" s="48"/>
      <c r="L12" s="48"/>
      <c r="M12" s="48"/>
      <c r="N12" s="49" t="str">
        <f aca="false">I10&amp;"°"&amp;J10</f>
        <v>9°59,84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34.6325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3.615</v>
      </c>
      <c r="Q35" s="125"/>
      <c r="R35" s="125"/>
      <c r="S35" s="128" t="n">
        <v>157.2</v>
      </c>
      <c r="T35" s="129" t="n">
        <v>0.003</v>
      </c>
      <c r="U35" s="129" t="n">
        <v>0.00293156822698343</v>
      </c>
      <c r="X35" s="130" t="n">
        <v>33.697</v>
      </c>
      <c r="Y35" s="130" t="n">
        <v>32.9283515148869</v>
      </c>
      <c r="Z35" s="129" t="n">
        <v>2.245</v>
      </c>
      <c r="AA35" s="129" t="n">
        <v>2.1937902231926</v>
      </c>
      <c r="AB35" s="130" t="n">
        <v>31.24</v>
      </c>
      <c r="AC35" s="130" t="n">
        <v>30.5273971369875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34.9101</v>
      </c>
      <c r="H36" s="124" t="n">
        <v>300</v>
      </c>
      <c r="I36" s="124" t="n">
        <v>300.5</v>
      </c>
      <c r="J36" s="136"/>
      <c r="K36" s="137"/>
      <c r="L36" s="137"/>
      <c r="M36" s="137"/>
      <c r="N36" s="138"/>
      <c r="O36" s="137"/>
      <c r="P36" s="136" t="n">
        <v>2.544</v>
      </c>
      <c r="Q36" s="136"/>
      <c r="R36" s="136"/>
      <c r="S36" s="139" t="n">
        <v>110.7</v>
      </c>
      <c r="T36" s="129" t="n">
        <v>0.0085</v>
      </c>
      <c r="U36" s="129" t="n">
        <v>0.00830610997645306</v>
      </c>
      <c r="X36" s="130" t="n">
        <v>29.1215</v>
      </c>
      <c r="Y36" s="130" t="n">
        <v>28.4572213740327</v>
      </c>
      <c r="Z36" s="129" t="n">
        <v>1.826</v>
      </c>
      <c r="AA36" s="129" t="n">
        <v>1.78434786082392</v>
      </c>
      <c r="AB36" s="130" t="n">
        <v>13.165</v>
      </c>
      <c r="AC36" s="130" t="n">
        <v>12.8646985694123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35.612</v>
      </c>
      <c r="H37" s="124" t="n">
        <v>160</v>
      </c>
      <c r="I37" s="124" t="n">
        <v>159.5</v>
      </c>
      <c r="J37" s="136"/>
      <c r="K37" s="137"/>
      <c r="L37" s="137"/>
      <c r="M37" s="137"/>
      <c r="N37" s="138"/>
      <c r="O37" s="137"/>
      <c r="P37" s="136" t="n">
        <v>2.61</v>
      </c>
      <c r="Q37" s="136"/>
      <c r="R37" s="136"/>
      <c r="S37" s="139" t="n">
        <v>113.6</v>
      </c>
      <c r="T37" s="129" t="n">
        <v>0.007</v>
      </c>
      <c r="U37" s="129" t="n">
        <v>0.00684032586296134</v>
      </c>
      <c r="X37" s="130" t="n">
        <v>20.633</v>
      </c>
      <c r="Y37" s="130" t="n">
        <v>20.1623490757831</v>
      </c>
      <c r="Z37" s="129" t="n">
        <v>1.373</v>
      </c>
      <c r="AA37" s="129" t="n">
        <v>1.34168105854942</v>
      </c>
      <c r="AB37" s="130" t="n">
        <v>7.36</v>
      </c>
      <c r="AC37" s="130" t="n">
        <v>7.19211405019935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35.6116</v>
      </c>
      <c r="H38" s="124" t="n">
        <v>130</v>
      </c>
      <c r="I38" s="124" t="n">
        <v>130.5</v>
      </c>
      <c r="J38" s="136"/>
      <c r="K38" s="137"/>
      <c r="L38" s="137"/>
      <c r="M38" s="137"/>
      <c r="N38" s="138"/>
      <c r="O38" s="137"/>
      <c r="P38" s="136" t="n">
        <v>2.584</v>
      </c>
      <c r="Q38" s="136"/>
      <c r="R38" s="136"/>
      <c r="S38" s="139" t="n">
        <v>112.5</v>
      </c>
      <c r="T38" s="129" t="n">
        <v>0.027</v>
      </c>
      <c r="U38" s="129" t="n">
        <v>0.0263841140428509</v>
      </c>
      <c r="X38" s="130" t="n">
        <v>18.973</v>
      </c>
      <c r="Y38" s="130" t="n">
        <v>18.5402146568522</v>
      </c>
      <c r="Z38" s="129" t="n">
        <v>1.285</v>
      </c>
      <c r="AA38" s="129" t="n">
        <v>1.2556883905579</v>
      </c>
      <c r="AB38" s="130" t="n">
        <v>6.2</v>
      </c>
      <c r="AC38" s="130" t="n">
        <v>6.05857433576576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35.7045</v>
      </c>
      <c r="H39" s="124" t="n">
        <v>100</v>
      </c>
      <c r="I39" s="124" t="n">
        <v>99.8</v>
      </c>
      <c r="J39" s="136"/>
      <c r="K39" s="137"/>
      <c r="L39" s="137"/>
      <c r="M39" s="137"/>
      <c r="N39" s="138"/>
      <c r="O39" s="137"/>
      <c r="P39" s="136" t="n">
        <v>2.771</v>
      </c>
      <c r="Q39" s="136"/>
      <c r="R39" s="136"/>
      <c r="S39" s="139" t="n">
        <v>120.6</v>
      </c>
      <c r="T39" s="129" t="n">
        <v>0.049</v>
      </c>
      <c r="U39" s="129" t="n">
        <v>0.0478822810407294</v>
      </c>
      <c r="X39" s="130" t="n">
        <v>17.031</v>
      </c>
      <c r="Y39" s="130" t="n">
        <v>16.6425128245849</v>
      </c>
      <c r="Z39" s="129" t="n">
        <v>1.158</v>
      </c>
      <c r="AA39" s="129" t="n">
        <v>1.1315853356156</v>
      </c>
      <c r="AB39" s="130" t="n">
        <v>5.42</v>
      </c>
      <c r="AC39" s="130" t="n">
        <v>5.29636659675007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35.7713</v>
      </c>
      <c r="H40" s="124" t="n">
        <v>80</v>
      </c>
      <c r="I40" s="124" t="n">
        <v>80.2</v>
      </c>
      <c r="J40" s="136"/>
      <c r="K40" s="137"/>
      <c r="L40" s="137"/>
      <c r="M40" s="137"/>
      <c r="N40" s="138"/>
      <c r="O40" s="137"/>
      <c r="P40" s="136" t="n">
        <v>2.809</v>
      </c>
      <c r="Q40" s="136"/>
      <c r="R40" s="136"/>
      <c r="S40" s="139" t="n">
        <v>122.3</v>
      </c>
      <c r="T40" s="129" t="n">
        <v>0.075</v>
      </c>
      <c r="U40" s="129" t="n">
        <v>0.0732892056745858</v>
      </c>
      <c r="X40" s="130" t="n">
        <v>15.845</v>
      </c>
      <c r="Y40" s="130" t="n">
        <v>15.4835661855175</v>
      </c>
      <c r="Z40" s="129" t="n">
        <v>1.091</v>
      </c>
      <c r="AA40" s="129" t="n">
        <v>1.06611364521298</v>
      </c>
      <c r="AB40" s="130" t="n">
        <v>4.88</v>
      </c>
      <c r="AC40" s="130" t="n">
        <v>4.76868431589305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35.9291</v>
      </c>
      <c r="H41" s="124" t="n">
        <v>60</v>
      </c>
      <c r="I41" s="124" t="n">
        <v>59.5</v>
      </c>
      <c r="J41" s="136"/>
      <c r="K41" s="137"/>
      <c r="L41" s="137"/>
      <c r="M41" s="137"/>
      <c r="N41" s="138"/>
      <c r="O41" s="137"/>
      <c r="P41" s="136" t="n">
        <v>4.626</v>
      </c>
      <c r="Q41" s="136"/>
      <c r="R41" s="136"/>
      <c r="S41" s="139" t="n">
        <v>201.7</v>
      </c>
      <c r="T41" s="129" t="n">
        <v>0.138</v>
      </c>
      <c r="U41" s="129" t="n">
        <v>0.134852138441238</v>
      </c>
      <c r="X41" s="130" t="n">
        <v>2.042</v>
      </c>
      <c r="Y41" s="130" t="n">
        <v>1.99542077316672</v>
      </c>
      <c r="Z41" s="129" t="n">
        <v>0.301</v>
      </c>
      <c r="AA41" s="129" t="n">
        <v>0.294134012107338</v>
      </c>
      <c r="AB41" s="130" t="n">
        <v>1.65</v>
      </c>
      <c r="AC41" s="130" t="n">
        <v>1.61236252484089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35.7685</v>
      </c>
      <c r="H42" s="124" t="n">
        <v>40</v>
      </c>
      <c r="I42" s="124" t="n">
        <v>40.8</v>
      </c>
      <c r="J42" s="136"/>
      <c r="K42" s="136"/>
      <c r="L42" s="136"/>
      <c r="M42" s="136"/>
      <c r="N42" s="136"/>
      <c r="O42" s="136"/>
      <c r="P42" s="136" t="n">
        <v>4.863</v>
      </c>
      <c r="Q42" s="136"/>
      <c r="R42" s="136"/>
      <c r="S42" s="139" t="n">
        <v>212.1</v>
      </c>
      <c r="T42" s="129" t="n">
        <v>0.006</v>
      </c>
      <c r="U42" s="129" t="n">
        <v>0.00586313645396686</v>
      </c>
      <c r="X42" s="130" t="n">
        <v>0.194</v>
      </c>
      <c r="Y42" s="130" t="n">
        <v>0.189574745344929</v>
      </c>
      <c r="Z42" s="129" t="n">
        <v>0.129</v>
      </c>
      <c r="AA42" s="129" t="n">
        <v>0.126057433760288</v>
      </c>
      <c r="AB42" s="130" t="n">
        <v>1.1</v>
      </c>
      <c r="AC42" s="130" t="n">
        <v>1.07490834989393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35.7458</v>
      </c>
      <c r="H43" s="124" t="n">
        <v>20</v>
      </c>
      <c r="I43" s="124" t="n">
        <v>20.5</v>
      </c>
      <c r="J43" s="136"/>
      <c r="K43" s="136"/>
      <c r="L43" s="136"/>
      <c r="M43" s="136"/>
      <c r="N43" s="136"/>
      <c r="O43" s="136"/>
      <c r="P43" s="136" t="n">
        <v>4.886</v>
      </c>
      <c r="Q43" s="136"/>
      <c r="R43" s="136"/>
      <c r="S43" s="139" t="n">
        <v>213.1</v>
      </c>
      <c r="T43" s="129" t="n">
        <v>0.001</v>
      </c>
      <c r="U43" s="129" t="n">
        <v>0.000977189408994478</v>
      </c>
      <c r="X43" s="130" t="n">
        <v>0.099</v>
      </c>
      <c r="Y43" s="130" t="n">
        <v>0.0967417514904533</v>
      </c>
      <c r="Z43" s="129" t="n">
        <v>0.124</v>
      </c>
      <c r="AA43" s="129" t="n">
        <v>0.121171486715315</v>
      </c>
      <c r="AB43" s="130" t="n">
        <v>1.02</v>
      </c>
      <c r="AC43" s="130" t="n">
        <v>0.996733197174367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35.746</v>
      </c>
      <c r="H44" s="124" t="n">
        <v>10</v>
      </c>
      <c r="I44" s="124" t="n">
        <v>10.6</v>
      </c>
      <c r="J44" s="136"/>
      <c r="K44" s="136"/>
      <c r="L44" s="136"/>
      <c r="M44" s="136"/>
      <c r="N44" s="136"/>
      <c r="O44" s="136"/>
      <c r="P44" s="136" t="n">
        <v>4.885</v>
      </c>
      <c r="Q44" s="136"/>
      <c r="R44" s="136"/>
      <c r="S44" s="139" t="n">
        <v>213.1</v>
      </c>
      <c r="T44" s="129" t="n">
        <v>0.003</v>
      </c>
      <c r="U44" s="129" t="n">
        <v>0.00293156822698343</v>
      </c>
      <c r="X44" s="130" t="n">
        <v>0.097</v>
      </c>
      <c r="Y44" s="130" t="n">
        <v>0.0947873726724643</v>
      </c>
      <c r="Z44" s="129" t="n">
        <v>0.13</v>
      </c>
      <c r="AA44" s="129" t="n">
        <v>0.127034623169282</v>
      </c>
      <c r="AB44" s="130" t="n">
        <v>1.03</v>
      </c>
      <c r="AC44" s="130" t="n">
        <v>1.00650509126431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35.7466</v>
      </c>
      <c r="H45" s="124" t="n">
        <v>0</v>
      </c>
      <c r="I45" s="124" t="n">
        <v>0.3</v>
      </c>
      <c r="J45" s="136"/>
      <c r="K45" s="136"/>
      <c r="L45" s="136"/>
      <c r="M45" s="136"/>
      <c r="N45" s="136"/>
      <c r="O45" s="136"/>
      <c r="P45" s="136" t="n">
        <v>4.878</v>
      </c>
      <c r="Q45" s="136"/>
      <c r="R45" s="136"/>
      <c r="S45" s="139" t="n">
        <v>212.7</v>
      </c>
      <c r="T45" s="129" t="n">
        <v>0.008</v>
      </c>
      <c r="U45" s="129" t="n">
        <v>0.00781751527195582</v>
      </c>
      <c r="X45" s="130" t="n">
        <v>0.112</v>
      </c>
      <c r="Y45" s="130" t="n">
        <v>0.109445213807381</v>
      </c>
      <c r="Z45" s="129" t="n">
        <v>0.123</v>
      </c>
      <c r="AA45" s="129" t="n">
        <v>0.120194297306321</v>
      </c>
      <c r="AB45" s="130" t="n">
        <v>1.07</v>
      </c>
      <c r="AC45" s="130" t="n">
        <v>1.04559266762409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30.59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1°30,59</v>
      </c>
      <c r="P9" s="31" t="s">
        <v>13</v>
      </c>
      <c r="Q9" s="35" t="n">
        <f aca="false">IF(ISBLANK(I9),"",IF(ISBLANK(J9),"",IF(J9&gt;60,"ERREUR !!",O11*(I9+(J9/60)))))</f>
        <v>1.50983333333333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9</v>
      </c>
      <c r="J10" s="31" t="n">
        <v>59.5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-9°59,5</v>
      </c>
      <c r="P10" s="31" t="s">
        <v>17</v>
      </c>
      <c r="Q10" s="35" t="n">
        <f aca="false">IF(ISBLANK(I10),"",IF(ISBLANK(J10),"",IF(J10&gt;60,"ERREUR !!",O12*(I10+(J10/60)))))</f>
        <v>-9.99166666666667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37147</v>
      </c>
      <c r="K11" s="40"/>
      <c r="L11" s="40"/>
      <c r="M11" s="40"/>
      <c r="N11" s="41" t="str">
        <f aca="false">I9&amp;"°"&amp;J9</f>
        <v>1°30,59</v>
      </c>
      <c r="O11" s="42" t="n">
        <f aca="false">IF(P9=M10,-1,1)</f>
        <v>1</v>
      </c>
      <c r="P11" s="43" t="str">
        <f aca="false">TEXT(J11,"aaaa-mm-jj")&amp;"T"&amp;TEXT(J12,"hh:mm:ss")&amp;"z"</f>
        <v>2005-09-14T12:00:00z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</v>
      </c>
      <c r="K12" s="48"/>
      <c r="L12" s="48"/>
      <c r="M12" s="48"/>
      <c r="N12" s="49" t="str">
        <f aca="false">I10&amp;"°"&amp;J10</f>
        <v>9°59,5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34.6412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3.567</v>
      </c>
      <c r="Q35" s="125"/>
      <c r="R35" s="125"/>
      <c r="S35" s="128" t="n">
        <v>155.1</v>
      </c>
      <c r="T35" s="129" t="n">
        <v>0.009</v>
      </c>
      <c r="U35" s="129" t="n">
        <v>0.00879470468095029</v>
      </c>
      <c r="X35" s="130" t="n">
        <v>33.161</v>
      </c>
      <c r="Y35" s="130" t="n">
        <v>32.4045779916659</v>
      </c>
      <c r="Z35" s="129" t="n">
        <v>2.232</v>
      </c>
      <c r="AA35" s="129" t="n">
        <v>2.18108676087567</v>
      </c>
      <c r="AB35" s="130" t="n">
        <v>29.87</v>
      </c>
      <c r="AC35" s="130" t="n">
        <v>29.188647646665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34.8707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2.237</v>
      </c>
      <c r="Q36" s="136"/>
      <c r="R36" s="136"/>
      <c r="S36" s="139" t="n">
        <v>97.3</v>
      </c>
      <c r="T36" s="129" t="n">
        <v>0.013</v>
      </c>
      <c r="U36" s="129" t="n">
        <v>0.0127034623169282</v>
      </c>
      <c r="X36" s="130" t="n">
        <v>31.187</v>
      </c>
      <c r="Y36" s="130" t="n">
        <v>30.4756060983108</v>
      </c>
      <c r="Z36" s="129" t="n">
        <v>1.964</v>
      </c>
      <c r="AA36" s="129" t="n">
        <v>1.91919999926515</v>
      </c>
      <c r="AB36" s="130" t="n">
        <v>14.54</v>
      </c>
      <c r="AC36" s="130" t="n">
        <v>14.2083340067797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35.4556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2.116</v>
      </c>
      <c r="Q37" s="136"/>
      <c r="R37" s="136"/>
      <c r="S37" s="139" t="n">
        <v>92.1</v>
      </c>
      <c r="T37" s="129" t="n">
        <v>0.0095</v>
      </c>
      <c r="U37" s="129" t="n">
        <v>0.00928329938544753</v>
      </c>
      <c r="X37" s="130" t="n">
        <v>22.7355</v>
      </c>
      <c r="Y37" s="130" t="n">
        <v>22.2168898081939</v>
      </c>
      <c r="Z37" s="129" t="n">
        <v>1.481</v>
      </c>
      <c r="AA37" s="129" t="n">
        <v>1.44721751472082</v>
      </c>
      <c r="AB37" s="130" t="n">
        <v>7.74</v>
      </c>
      <c r="AC37" s="130" t="n">
        <v>7.56344602561726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35.5463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2.446</v>
      </c>
      <c r="Q38" s="136"/>
      <c r="R38" s="136"/>
      <c r="S38" s="139" t="n">
        <v>106.5</v>
      </c>
      <c r="T38" s="129" t="n">
        <v>0.021</v>
      </c>
      <c r="U38" s="129" t="n">
        <v>0.020520977588884</v>
      </c>
      <c r="X38" s="130" t="n">
        <v>20.139</v>
      </c>
      <c r="Y38" s="130" t="n">
        <v>19.6796175077398</v>
      </c>
      <c r="Z38" s="129" t="n">
        <v>1.356</v>
      </c>
      <c r="AA38" s="129" t="n">
        <v>1.32506883859651</v>
      </c>
      <c r="AB38" s="130" t="n">
        <v>6.91</v>
      </c>
      <c r="AC38" s="130" t="n">
        <v>6.75237881615184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35.6421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2.682</v>
      </c>
      <c r="Q39" s="136"/>
      <c r="R39" s="136"/>
      <c r="S39" s="139" t="n">
        <v>116.8</v>
      </c>
      <c r="T39" s="129" t="n">
        <v>0.052</v>
      </c>
      <c r="U39" s="129" t="n">
        <v>0.0508138492677128</v>
      </c>
      <c r="X39" s="130" t="n">
        <v>17.908</v>
      </c>
      <c r="Y39" s="130" t="n">
        <v>17.4995079362731</v>
      </c>
      <c r="Z39" s="129" t="n">
        <v>1.219</v>
      </c>
      <c r="AA39" s="129" t="n">
        <v>1.19119388956427</v>
      </c>
      <c r="AB39" s="130" t="n">
        <v>6.01</v>
      </c>
      <c r="AC39" s="130" t="n">
        <v>5.87290834805681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35.7512</v>
      </c>
      <c r="H40" s="124" t="n">
        <v>80</v>
      </c>
      <c r="I40" s="124" t="n">
        <v>79</v>
      </c>
      <c r="J40" s="136"/>
      <c r="K40" s="137"/>
      <c r="L40" s="137"/>
      <c r="M40" s="137"/>
      <c r="N40" s="138"/>
      <c r="O40" s="137"/>
      <c r="P40" s="136" t="n">
        <v>2.804</v>
      </c>
      <c r="Q40" s="136"/>
      <c r="R40" s="136"/>
      <c r="S40" s="139" t="n">
        <v>122.1</v>
      </c>
      <c r="T40" s="129" t="n">
        <v>0.087</v>
      </c>
      <c r="U40" s="129" t="n">
        <v>0.0850154785825195</v>
      </c>
      <c r="X40" s="130" t="n">
        <v>15.983</v>
      </c>
      <c r="Y40" s="130" t="n">
        <v>15.6184183239587</v>
      </c>
      <c r="Z40" s="129" t="n">
        <v>1.106</v>
      </c>
      <c r="AA40" s="129" t="n">
        <v>1.08077148634789</v>
      </c>
      <c r="AB40" s="130" t="n">
        <v>5.11</v>
      </c>
      <c r="AC40" s="130" t="n">
        <v>4.99343787996178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35.8242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3.546</v>
      </c>
      <c r="Q41" s="136"/>
      <c r="R41" s="136"/>
      <c r="S41" s="139" t="n">
        <v>154.5</v>
      </c>
      <c r="T41" s="129" t="n">
        <v>0.248</v>
      </c>
      <c r="U41" s="129" t="n">
        <v>0.24234297343063</v>
      </c>
      <c r="X41" s="130" t="n">
        <v>7.702</v>
      </c>
      <c r="Y41" s="130" t="n">
        <v>7.52631282807547</v>
      </c>
      <c r="Z41" s="129" t="n">
        <v>0.637</v>
      </c>
      <c r="AA41" s="129" t="n">
        <v>0.622469653529482</v>
      </c>
      <c r="AB41" s="130" t="n">
        <v>3.05</v>
      </c>
      <c r="AC41" s="130" t="n">
        <v>2.98042769743316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35.8391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4.819</v>
      </c>
      <c r="Q42" s="136"/>
      <c r="R42" s="136"/>
      <c r="S42" s="139" t="n">
        <v>210.2</v>
      </c>
      <c r="T42" s="129" t="n">
        <v>0.051</v>
      </c>
      <c r="U42" s="129" t="n">
        <v>0.0498366598587184</v>
      </c>
      <c r="X42" s="130" t="n">
        <v>0.439</v>
      </c>
      <c r="Y42" s="130" t="n">
        <v>0.428986150548576</v>
      </c>
      <c r="Z42" s="129" t="n">
        <v>0.133</v>
      </c>
      <c r="AA42" s="129" t="n">
        <v>0.129966191396265</v>
      </c>
      <c r="AB42" s="130" t="n">
        <v>1.34</v>
      </c>
      <c r="AC42" s="130" t="n">
        <v>1.3094338080526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35.691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4.712</v>
      </c>
      <c r="Q43" s="136"/>
      <c r="R43" s="136"/>
      <c r="S43" s="139" t="n">
        <v>205.6</v>
      </c>
      <c r="T43" s="129" t="n">
        <v>0.011</v>
      </c>
      <c r="U43" s="129" t="n">
        <v>0.0107490834989392</v>
      </c>
      <c r="X43" s="130" t="n">
        <v>0.069</v>
      </c>
      <c r="Y43" s="130" t="n">
        <v>0.067426069220619</v>
      </c>
      <c r="Z43" s="129" t="n">
        <v>0.037</v>
      </c>
      <c r="AA43" s="129" t="n">
        <v>0.0361560081327957</v>
      </c>
      <c r="AB43" s="130" t="n">
        <v>0.95</v>
      </c>
      <c r="AC43" s="130" t="n">
        <v>0.928329938544754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35.6914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4.713</v>
      </c>
      <c r="Q44" s="136"/>
      <c r="R44" s="136"/>
      <c r="S44" s="139" t="n">
        <v>205.6</v>
      </c>
      <c r="T44" s="129" t="n">
        <v>0.002</v>
      </c>
      <c r="U44" s="129" t="n">
        <v>0.00195437881798895</v>
      </c>
      <c r="X44" s="130" t="n">
        <v>0.068</v>
      </c>
      <c r="Y44" s="130" t="n">
        <v>0.0664488798116245</v>
      </c>
      <c r="Z44" s="129" t="n">
        <v>0.028</v>
      </c>
      <c r="AA44" s="129" t="n">
        <v>0.0273613034518454</v>
      </c>
      <c r="AB44" s="130" t="n">
        <v>0.96</v>
      </c>
      <c r="AC44" s="130" t="n">
        <v>0.938101832634698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35.6909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4.69</v>
      </c>
      <c r="Q45" s="136"/>
      <c r="R45" s="136"/>
      <c r="S45" s="139" t="n">
        <v>204.6</v>
      </c>
      <c r="T45" s="129" t="n">
        <v>0.004</v>
      </c>
      <c r="U45" s="129" t="n">
        <v>0.00390875763597791</v>
      </c>
      <c r="X45" s="130" t="n">
        <v>0.076</v>
      </c>
      <c r="Y45" s="130" t="n">
        <v>0.0742663950835803</v>
      </c>
      <c r="Z45" s="129" t="n">
        <v>0.04</v>
      </c>
      <c r="AA45" s="129" t="n">
        <v>0.0390875763597791</v>
      </c>
      <c r="AB45" s="130" t="n">
        <v>1.13</v>
      </c>
      <c r="AC45" s="130" t="n">
        <v>1.10422403216376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2" activeCellId="0" sqref="S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59.96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1°59,96</v>
      </c>
      <c r="P9" s="31" t="s">
        <v>13</v>
      </c>
      <c r="Q9" s="35" t="n">
        <f aca="false">IF(ISBLANK(I9),"",IF(ISBLANK(J9),"",IF(J9&gt;60,"ERREUR !!",O11*(I9+(J9/60)))))</f>
        <v>1.99933333333333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0.18</v>
      </c>
      <c r="K10" s="32" t="s">
        <v>12</v>
      </c>
      <c r="L10" s="33" t="str">
        <f aca="false">IF(P10=N9,"+","-")</f>
        <v>-</v>
      </c>
      <c r="M10" s="32" t="s">
        <v>16</v>
      </c>
      <c r="N10" s="32" t="s">
        <v>17</v>
      </c>
      <c r="O10" s="36" t="str">
        <f aca="false">IF(ISBLANK(I10),"",IF(ISBLANK(J10),"",IF(P10=N10,L10&amp;N12,N12)))</f>
        <v>-2°0,18</v>
      </c>
      <c r="P10" s="31" t="s">
        <v>17</v>
      </c>
      <c r="Q10" s="35" t="n">
        <f aca="false">IF(ISBLANK(I10),"",IF(ISBLANK(J10),"",IF(J10&gt;60,"ERREUR !!",O12*(I10+(J10/60)))))</f>
        <v>-2.003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37149</v>
      </c>
      <c r="K11" s="40"/>
      <c r="L11" s="40"/>
      <c r="M11" s="40"/>
      <c r="N11" s="41" t="str">
        <f aca="false">I9&amp;"°"&amp;J9</f>
        <v>1°59,96</v>
      </c>
      <c r="O11" s="42" t="n">
        <f aca="false">IF(P9=M10,-1,1)</f>
        <v>1</v>
      </c>
      <c r="P11" s="43" t="str">
        <f aca="false">TEXT(J11,"aaaa-mm-jj")&amp;"T"&amp;TEXT(J12,"hh:mm:ss")&amp;"z"</f>
        <v>2005-09-16T14:30:00z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0.604166666666667</v>
      </c>
      <c r="K12" s="48"/>
      <c r="L12" s="48"/>
      <c r="M12" s="48"/>
      <c r="N12" s="49" t="str">
        <f aca="false">I10&amp;"°"&amp;J10</f>
        <v>2°0,18</v>
      </c>
      <c r="O12" s="42" t="n">
        <f aca="false">IF(P10=N10,-1,1)</f>
        <v>-1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6.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34.9606</v>
      </c>
      <c r="H35" s="123" t="n">
        <v>2000</v>
      </c>
      <c r="I35" s="124" t="n">
        <v>2007</v>
      </c>
      <c r="J35" s="125"/>
      <c r="K35" s="126"/>
      <c r="L35" s="126"/>
      <c r="M35" s="126"/>
      <c r="N35" s="127"/>
      <c r="O35" s="126"/>
      <c r="P35" s="125" t="n">
        <v>5.607</v>
      </c>
      <c r="Q35" s="125"/>
      <c r="R35" s="125"/>
      <c r="S35" s="128" t="n">
        <v>243.7</v>
      </c>
      <c r="T35" s="129" t="n">
        <v>0.005</v>
      </c>
      <c r="U35" s="129" t="n">
        <v>0.00488594704497238</v>
      </c>
      <c r="X35" s="130" t="n">
        <v>20.945</v>
      </c>
      <c r="Y35" s="130" t="n">
        <v>20.4672321713893</v>
      </c>
      <c r="Z35" s="129" t="n">
        <v>1.402</v>
      </c>
      <c r="AA35" s="129" t="n">
        <v>1.37001955141026</v>
      </c>
      <c r="AB35" s="130" t="n">
        <v>22.93</v>
      </c>
      <c r="AC35" s="130" t="n">
        <v>22.4069531482434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6.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34.96</v>
      </c>
      <c r="H36" s="123" t="n">
        <v>2000</v>
      </c>
      <c r="I36" s="124" t="n">
        <v>2007</v>
      </c>
      <c r="J36" s="136"/>
      <c r="K36" s="137"/>
      <c r="L36" s="137"/>
      <c r="M36" s="137"/>
      <c r="N36" s="138"/>
      <c r="O36" s="137"/>
      <c r="P36" s="136" t="n">
        <v>5.61</v>
      </c>
      <c r="Q36" s="136"/>
      <c r="R36" s="136"/>
      <c r="S36" s="139" t="n">
        <v>243.8</v>
      </c>
      <c r="T36" s="129" t="n">
        <v>0.006</v>
      </c>
      <c r="U36" s="129" t="n">
        <v>0.00586313645396686</v>
      </c>
      <c r="X36" s="130" t="n">
        <v>21.064</v>
      </c>
      <c r="Y36" s="130" t="n">
        <v>20.5835177110597</v>
      </c>
      <c r="Z36" s="129" t="n">
        <v>1.419</v>
      </c>
      <c r="AA36" s="129" t="n">
        <v>1.38663177136316</v>
      </c>
      <c r="AB36" s="130" t="n">
        <v>23.17</v>
      </c>
      <c r="AC36" s="130" t="n">
        <v>22.641478606402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6.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34.9597</v>
      </c>
      <c r="H37" s="123" t="n">
        <v>2000</v>
      </c>
      <c r="I37" s="124" t="n">
        <v>2008</v>
      </c>
      <c r="J37" s="136"/>
      <c r="K37" s="137"/>
      <c r="L37" s="137"/>
      <c r="M37" s="137"/>
      <c r="N37" s="138"/>
      <c r="O37" s="137"/>
      <c r="P37" s="136" t="n">
        <v>5.602</v>
      </c>
      <c r="Q37" s="136"/>
      <c r="R37" s="136"/>
      <c r="S37" s="139" t="n">
        <v>243.5</v>
      </c>
      <c r="T37" s="129" t="n">
        <v>0.009</v>
      </c>
      <c r="U37" s="129" t="n">
        <v>0.00879470468095029</v>
      </c>
      <c r="X37" s="130" t="n">
        <v>21.031</v>
      </c>
      <c r="Y37" s="130" t="n">
        <v>20.5512704605629</v>
      </c>
      <c r="Z37" s="129" t="n">
        <v>1.414</v>
      </c>
      <c r="AA37" s="129" t="n">
        <v>1.38174582431819</v>
      </c>
      <c r="AB37" s="130" t="n">
        <v>22.88</v>
      </c>
      <c r="AC37" s="130" t="n">
        <v>22.3580936777936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6.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34.96</v>
      </c>
      <c r="H38" s="123" t="n">
        <v>2000</v>
      </c>
      <c r="I38" s="124" t="n">
        <v>2008</v>
      </c>
      <c r="J38" s="136"/>
      <c r="K38" s="137"/>
      <c r="L38" s="137"/>
      <c r="M38" s="137"/>
      <c r="N38" s="138"/>
      <c r="O38" s="137"/>
      <c r="P38" s="136" t="n">
        <v>5.608</v>
      </c>
      <c r="Q38" s="136"/>
      <c r="R38" s="136"/>
      <c r="S38" s="139" t="n">
        <v>243.7</v>
      </c>
      <c r="T38" s="129" t="n">
        <v>0.009</v>
      </c>
      <c r="U38" s="129" t="n">
        <v>0.00879470468095029</v>
      </c>
      <c r="X38" s="130" t="n">
        <v>21.031</v>
      </c>
      <c r="Y38" s="130" t="n">
        <v>20.5512704605629</v>
      </c>
      <c r="Z38" s="129" t="n">
        <v>1.413</v>
      </c>
      <c r="AA38" s="129" t="n">
        <v>1.3807686349092</v>
      </c>
      <c r="AB38" s="130" t="n">
        <v>22.5</v>
      </c>
      <c r="AC38" s="130" t="n">
        <v>21.9867617023757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6.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34.9614</v>
      </c>
      <c r="H39" s="123" t="n">
        <v>2000</v>
      </c>
      <c r="I39" s="124" t="n">
        <v>2009</v>
      </c>
      <c r="J39" s="136"/>
      <c r="K39" s="137"/>
      <c r="L39" s="137"/>
      <c r="M39" s="137"/>
      <c r="N39" s="138"/>
      <c r="O39" s="137"/>
      <c r="P39" s="136" t="n">
        <v>5.623</v>
      </c>
      <c r="Q39" s="136"/>
      <c r="R39" s="136"/>
      <c r="S39" s="139" t="n">
        <v>244.4</v>
      </c>
      <c r="T39" s="129" t="n">
        <v>0.015</v>
      </c>
      <c r="U39" s="129" t="n">
        <v>0.0146578411349172</v>
      </c>
      <c r="X39" s="130" t="n">
        <v>21.025</v>
      </c>
      <c r="Y39" s="130" t="n">
        <v>20.5454073241089</v>
      </c>
      <c r="Z39" s="129" t="n">
        <v>1.42</v>
      </c>
      <c r="AA39" s="129" t="n">
        <v>1.38760896077216</v>
      </c>
      <c r="AB39" s="130" t="n">
        <v>22.8</v>
      </c>
      <c r="AC39" s="130" t="n">
        <v>22.2799185250741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6.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34.9602</v>
      </c>
      <c r="H40" s="123" t="n">
        <v>2000</v>
      </c>
      <c r="I40" s="124" t="n">
        <v>2008</v>
      </c>
      <c r="J40" s="136"/>
      <c r="K40" s="137"/>
      <c r="L40" s="137"/>
      <c r="M40" s="137"/>
      <c r="N40" s="138"/>
      <c r="O40" s="137"/>
      <c r="P40" s="136" t="n">
        <v>5.591</v>
      </c>
      <c r="Q40" s="136"/>
      <c r="R40" s="136"/>
      <c r="S40" s="139" t="n">
        <v>243</v>
      </c>
      <c r="T40" s="129" t="n">
        <v>0.002</v>
      </c>
      <c r="U40" s="129" t="n">
        <v>0.00195437881798895</v>
      </c>
      <c r="X40" s="130" t="n">
        <v>20.958</v>
      </c>
      <c r="Y40" s="130" t="n">
        <v>20.4799356337063</v>
      </c>
      <c r="Z40" s="129" t="n">
        <v>1.422</v>
      </c>
      <c r="AA40" s="129" t="n">
        <v>1.38956333959015</v>
      </c>
      <c r="AB40" s="130" t="n">
        <v>23.11</v>
      </c>
      <c r="AC40" s="130" t="n">
        <v>22.5828472418624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6.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34.96</v>
      </c>
      <c r="H41" s="123" t="n">
        <v>2000</v>
      </c>
      <c r="I41" s="124" t="n">
        <v>2009</v>
      </c>
      <c r="J41" s="136"/>
      <c r="K41" s="137"/>
      <c r="L41" s="137"/>
      <c r="M41" s="137"/>
      <c r="N41" s="138"/>
      <c r="O41" s="137"/>
      <c r="P41" s="136" t="n">
        <v>5.609</v>
      </c>
      <c r="Q41" s="136"/>
      <c r="R41" s="136"/>
      <c r="S41" s="139" t="n">
        <v>243.8</v>
      </c>
      <c r="T41" s="129" t="n">
        <v>0</v>
      </c>
      <c r="U41" s="129" t="n">
        <v>0</v>
      </c>
      <c r="X41" s="130" t="n">
        <v>21.032</v>
      </c>
      <c r="Y41" s="130" t="n">
        <v>20.5522476499718</v>
      </c>
      <c r="Z41" s="129" t="n">
        <v>1.418</v>
      </c>
      <c r="AA41" s="129" t="n">
        <v>1.38565458195417</v>
      </c>
      <c r="AB41" s="130" t="n">
        <v>23.12</v>
      </c>
      <c r="AC41" s="130" t="n">
        <v>22.5926191359523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6.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34.9606</v>
      </c>
      <c r="H42" s="123" t="n">
        <v>2000</v>
      </c>
      <c r="I42" s="124" t="n">
        <v>2010</v>
      </c>
      <c r="J42" s="136"/>
      <c r="K42" s="136"/>
      <c r="L42" s="136"/>
      <c r="M42" s="136"/>
      <c r="N42" s="136"/>
      <c r="O42" s="136"/>
      <c r="P42" s="136" t="n">
        <v>5.628</v>
      </c>
      <c r="Q42" s="136"/>
      <c r="R42" s="136"/>
      <c r="S42" s="139" t="n">
        <v>244.6</v>
      </c>
      <c r="T42" s="129" t="n">
        <v>0.006</v>
      </c>
      <c r="U42" s="129" t="n">
        <v>0.00586313645396686</v>
      </c>
      <c r="X42" s="130" t="n">
        <v>20.984</v>
      </c>
      <c r="Y42" s="130" t="n">
        <v>20.5053425583401</v>
      </c>
      <c r="Z42" s="129" t="n">
        <v>1.386</v>
      </c>
      <c r="AA42" s="129" t="n">
        <v>1.35438452086635</v>
      </c>
      <c r="AB42" s="130" t="n">
        <v>22.58</v>
      </c>
      <c r="AC42" s="130" t="n">
        <v>22.0649368550953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6.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34.9596</v>
      </c>
      <c r="H43" s="123" t="n">
        <v>2000</v>
      </c>
      <c r="I43" s="124" t="n">
        <v>2010</v>
      </c>
      <c r="J43" s="136"/>
      <c r="K43" s="136"/>
      <c r="L43" s="136"/>
      <c r="M43" s="136"/>
      <c r="N43" s="136"/>
      <c r="O43" s="136"/>
      <c r="P43" s="136" t="n">
        <v>5.622</v>
      </c>
      <c r="Q43" s="136"/>
      <c r="R43" s="136"/>
      <c r="S43" s="139" t="n">
        <v>244.4</v>
      </c>
      <c r="T43" s="129" t="n">
        <v>0.008</v>
      </c>
      <c r="U43" s="129" t="n">
        <v>0.00781751527195582</v>
      </c>
      <c r="X43" s="130" t="n">
        <v>20.992</v>
      </c>
      <c r="Y43" s="130" t="n">
        <v>20.5131600736121</v>
      </c>
      <c r="Z43" s="129" t="n">
        <v>1.393</v>
      </c>
      <c r="AA43" s="129" t="n">
        <v>1.36122484672931</v>
      </c>
      <c r="AB43" s="130" t="n">
        <v>23.06</v>
      </c>
      <c r="AC43" s="130" t="n">
        <v>22.5339877714126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6.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34.9594</v>
      </c>
      <c r="H44" s="123" t="n">
        <v>2000</v>
      </c>
      <c r="I44" s="124" t="n">
        <v>2010</v>
      </c>
      <c r="J44" s="136"/>
      <c r="K44" s="136"/>
      <c r="L44" s="136"/>
      <c r="M44" s="136"/>
      <c r="N44" s="136"/>
      <c r="O44" s="136"/>
      <c r="P44" s="136" t="n">
        <v>5.604</v>
      </c>
      <c r="Q44" s="136"/>
      <c r="R44" s="136"/>
      <c r="S44" s="139" t="n">
        <v>243.6</v>
      </c>
      <c r="T44" s="129" t="n">
        <v>0.007</v>
      </c>
      <c r="U44" s="129" t="n">
        <v>0.00684032586296134</v>
      </c>
      <c r="X44" s="130" t="n">
        <v>20.953</v>
      </c>
      <c r="Y44" s="130" t="n">
        <v>20.4750496866613</v>
      </c>
      <c r="Z44" s="129" t="n">
        <v>1.502</v>
      </c>
      <c r="AA44" s="129" t="n">
        <v>1.46773849230971</v>
      </c>
      <c r="AB44" s="130" t="n">
        <v>23.02</v>
      </c>
      <c r="AC44" s="130" t="n">
        <v>22.4949001950529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34.9597</v>
      </c>
      <c r="H45" s="123" t="n">
        <v>2000</v>
      </c>
      <c r="I45" s="124" t="n">
        <v>2011</v>
      </c>
      <c r="J45" s="136"/>
      <c r="K45" s="136"/>
      <c r="L45" s="136"/>
      <c r="M45" s="136"/>
      <c r="N45" s="136"/>
      <c r="O45" s="136"/>
      <c r="P45" s="136" t="n">
        <v>5.63</v>
      </c>
      <c r="Q45" s="136"/>
      <c r="R45" s="136"/>
      <c r="S45" s="139" t="n">
        <v>244.7</v>
      </c>
      <c r="T45" s="129" t="n">
        <v>0.012</v>
      </c>
      <c r="U45" s="129" t="n">
        <v>0.0117262729079337</v>
      </c>
      <c r="X45" s="130" t="n">
        <v>20.948</v>
      </c>
      <c r="Y45" s="130" t="n">
        <v>20.4701637396163</v>
      </c>
      <c r="Z45" s="129" t="n">
        <v>1.374</v>
      </c>
      <c r="AA45" s="129" t="n">
        <v>1.34265824795841</v>
      </c>
      <c r="AB45" s="130" t="n">
        <v>22.77</v>
      </c>
      <c r="AC45" s="130" t="n">
        <v>22.2506028428042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59.64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5°59,64</v>
      </c>
      <c r="P9" s="31" t="s">
        <v>13</v>
      </c>
      <c r="Q9" s="35" t="n">
        <f aca="false">IF(ISBLANK(I9),"",IF(ISBLANK(J9),"",IF(J9&gt;60,"ERREUR !!",O11*(I9+(J9/60)))))</f>
        <v>5.994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50.62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2°50,62</v>
      </c>
      <c r="P10" s="31" t="s">
        <v>14</v>
      </c>
      <c r="Q10" s="35" t="n">
        <f aca="false">IF(ISBLANK(I10),"",IF(ISBLANK(J10),"",IF(J10&gt;60,"ERREUR !!",O12*(I10+(J10/60)))))</f>
        <v>2.84366666666667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37152</v>
      </c>
      <c r="K11" s="40"/>
      <c r="L11" s="40"/>
      <c r="M11" s="40"/>
      <c r="N11" s="41" t="str">
        <f aca="false">I9&amp;"°"&amp;J9</f>
        <v>5°59,64</v>
      </c>
      <c r="O11" s="42" t="n">
        <f aca="false">IF(P9=M10,-1,1)</f>
        <v>1</v>
      </c>
      <c r="P11" s="43" t="str">
        <f aca="false">TEXT(J11,"aaaa-mm-jj")&amp;"T"&amp;TEXT(J12,"hh:mm:ss")&amp;"z"</f>
        <v>2005-09-19T23:30:00z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0.979166666666667</v>
      </c>
      <c r="K12" s="48"/>
      <c r="L12" s="48"/>
      <c r="M12" s="48"/>
      <c r="N12" s="49" t="str">
        <f aca="false">I10&amp;"°"&amp;J10</f>
        <v>2°50,62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34.644</v>
      </c>
      <c r="H35" s="123" t="n">
        <v>1000</v>
      </c>
      <c r="I35" s="124" t="n">
        <v>1001.9</v>
      </c>
      <c r="J35" s="125"/>
      <c r="K35" s="126"/>
      <c r="L35" s="126"/>
      <c r="M35" s="126"/>
      <c r="N35" s="127"/>
      <c r="O35" s="126"/>
      <c r="P35" s="125" t="n">
        <v>3.517</v>
      </c>
      <c r="Q35" s="125"/>
      <c r="R35" s="125"/>
      <c r="S35" s="128" t="n">
        <v>152.9</v>
      </c>
      <c r="T35" s="129" t="n">
        <v>0</v>
      </c>
      <c r="U35" s="129" t="n">
        <v>0</v>
      </c>
      <c r="X35" s="130" t="n">
        <v>33.82</v>
      </c>
      <c r="Y35" s="130" t="n">
        <v>33.0485458121932</v>
      </c>
      <c r="Z35" s="129" t="n">
        <v>2.298</v>
      </c>
      <c r="AA35" s="129" t="n">
        <v>2.24558126186931</v>
      </c>
      <c r="AB35" s="130" t="n">
        <v>32.76</v>
      </c>
      <c r="AC35" s="130" t="n">
        <v>32.0127250386591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35.1176</v>
      </c>
      <c r="H36" s="124" t="n">
        <v>300</v>
      </c>
      <c r="I36" s="124" t="n">
        <v>300.17</v>
      </c>
      <c r="J36" s="136"/>
      <c r="K36" s="137"/>
      <c r="L36" s="137"/>
      <c r="M36" s="137"/>
      <c r="N36" s="138"/>
      <c r="O36" s="137"/>
      <c r="P36" s="136" t="n">
        <v>1.31</v>
      </c>
      <c r="Q36" s="136"/>
      <c r="R36" s="136"/>
      <c r="S36" s="139" t="n">
        <v>57</v>
      </c>
      <c r="T36" s="129" t="n">
        <v>0.011</v>
      </c>
      <c r="U36" s="129" t="n">
        <v>0.0107490834989393</v>
      </c>
      <c r="X36" s="130" t="n">
        <v>31.679</v>
      </c>
      <c r="Y36" s="130" t="n">
        <v>30.9563832875361</v>
      </c>
      <c r="Z36" s="129" t="n">
        <v>2.043</v>
      </c>
      <c r="AA36" s="129" t="n">
        <v>1.99639796257572</v>
      </c>
      <c r="AB36" s="130" t="n">
        <v>14.34</v>
      </c>
      <c r="AC36" s="130" t="n">
        <v>14.0128961249808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35.533</v>
      </c>
      <c r="H37" s="124" t="n">
        <v>160</v>
      </c>
      <c r="I37" s="124" t="n">
        <v>160.38</v>
      </c>
      <c r="J37" s="136"/>
      <c r="K37" s="137"/>
      <c r="L37" s="137"/>
      <c r="M37" s="137"/>
      <c r="N37" s="138"/>
      <c r="O37" s="137"/>
      <c r="P37" s="136" t="n">
        <v>1.931</v>
      </c>
      <c r="Q37" s="136"/>
      <c r="R37" s="136"/>
      <c r="S37" s="139" t="n">
        <v>84</v>
      </c>
      <c r="T37" s="129" t="n">
        <v>0.018</v>
      </c>
      <c r="U37" s="129" t="n">
        <v>0.0175894093619006</v>
      </c>
      <c r="X37" s="130" t="n">
        <v>23.032</v>
      </c>
      <c r="Y37" s="130" t="n">
        <v>22.5066264679608</v>
      </c>
      <c r="Z37" s="129" t="n">
        <v>1.546</v>
      </c>
      <c r="AA37" s="129" t="n">
        <v>1.51073482630546</v>
      </c>
      <c r="AB37" s="130" t="n">
        <v>9.08</v>
      </c>
      <c r="AC37" s="130" t="n">
        <v>8.87287983366985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35.6211</v>
      </c>
      <c r="H38" s="124" t="n">
        <v>130</v>
      </c>
      <c r="I38" s="124" t="n">
        <v>130.54</v>
      </c>
      <c r="J38" s="136"/>
      <c r="K38" s="137"/>
      <c r="L38" s="137"/>
      <c r="M38" s="137"/>
      <c r="N38" s="138"/>
      <c r="O38" s="137"/>
      <c r="P38" s="136" t="n">
        <v>2.033</v>
      </c>
      <c r="Q38" s="136"/>
      <c r="R38" s="136"/>
      <c r="S38" s="139" t="n">
        <v>88.5</v>
      </c>
      <c r="T38" s="129" t="n">
        <v>0.0195</v>
      </c>
      <c r="U38" s="129" t="n">
        <v>0.0190551934753923</v>
      </c>
      <c r="X38" s="130" t="n">
        <v>22.1455</v>
      </c>
      <c r="Y38" s="130" t="n">
        <v>21.6403480568872</v>
      </c>
      <c r="Z38" s="129" t="n">
        <v>1.5</v>
      </c>
      <c r="AA38" s="129" t="n">
        <v>1.46578411349172</v>
      </c>
      <c r="AB38" s="130" t="n">
        <v>8.55</v>
      </c>
      <c r="AC38" s="130" t="n">
        <v>7.8908044776304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35.7277</v>
      </c>
      <c r="H39" s="124" t="n">
        <v>100</v>
      </c>
      <c r="I39" s="124" t="n">
        <v>100.43</v>
      </c>
      <c r="J39" s="136"/>
      <c r="K39" s="137"/>
      <c r="L39" s="137"/>
      <c r="M39" s="137"/>
      <c r="N39" s="138"/>
      <c r="O39" s="137"/>
      <c r="P39" s="136" t="n">
        <v>2.267</v>
      </c>
      <c r="Q39" s="136"/>
      <c r="R39" s="136"/>
      <c r="S39" s="139" t="n">
        <v>98.7</v>
      </c>
      <c r="T39" s="129" t="n">
        <v>0.029</v>
      </c>
      <c r="U39" s="129" t="n">
        <v>0.0283384928608398</v>
      </c>
      <c r="X39" s="130" t="n">
        <v>19.341</v>
      </c>
      <c r="Y39" s="130" t="n">
        <v>18.8998203593622</v>
      </c>
      <c r="Z39" s="129" t="n">
        <v>1.334</v>
      </c>
      <c r="AA39" s="129" t="n">
        <v>1.30357067159863</v>
      </c>
      <c r="AB39" s="130" t="n">
        <v>6.64</v>
      </c>
      <c r="AC39" s="130" t="n">
        <v>6.48853767572333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35.7958</v>
      </c>
      <c r="H40" s="124" t="n">
        <v>80</v>
      </c>
      <c r="I40" s="124" t="n">
        <v>80.39</v>
      </c>
      <c r="J40" s="136"/>
      <c r="K40" s="137"/>
      <c r="L40" s="137"/>
      <c r="M40" s="137"/>
      <c r="N40" s="138"/>
      <c r="O40" s="137"/>
      <c r="P40" s="136" t="n">
        <v>2.359</v>
      </c>
      <c r="Q40" s="136"/>
      <c r="R40" s="136"/>
      <c r="S40" s="139" t="n">
        <v>102.7</v>
      </c>
      <c r="T40" s="129" t="n">
        <v>0.05</v>
      </c>
      <c r="U40" s="129" t="n">
        <v>0.0488594704497239</v>
      </c>
      <c r="X40" s="130" t="n">
        <v>17.72</v>
      </c>
      <c r="Y40" s="130" t="n">
        <v>17.3157963273821</v>
      </c>
      <c r="Z40" s="129" t="n">
        <v>1.235</v>
      </c>
      <c r="AA40" s="129" t="n">
        <v>1.20682892010818</v>
      </c>
      <c r="AB40" s="130" t="n">
        <v>5.92</v>
      </c>
      <c r="AC40" s="130" t="n">
        <v>5.78496130124731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35.8816</v>
      </c>
      <c r="H41" s="124" t="n">
        <v>60</v>
      </c>
      <c r="I41" s="124" t="n">
        <v>60.34</v>
      </c>
      <c r="J41" s="136"/>
      <c r="K41" s="137"/>
      <c r="L41" s="137"/>
      <c r="M41" s="137"/>
      <c r="N41" s="138"/>
      <c r="O41" s="137"/>
      <c r="P41" s="136" t="n">
        <v>2.849</v>
      </c>
      <c r="Q41" s="136"/>
      <c r="R41" s="136"/>
      <c r="S41" s="139" t="n">
        <v>124.1</v>
      </c>
      <c r="T41" s="129" t="n">
        <v>0.219</v>
      </c>
      <c r="U41" s="129" t="n">
        <v>0.214004480569791</v>
      </c>
      <c r="X41" s="130" t="n">
        <v>12.451</v>
      </c>
      <c r="Y41" s="130" t="n">
        <v>12.1669853313902</v>
      </c>
      <c r="Z41" s="129" t="n">
        <v>0.937</v>
      </c>
      <c r="AA41" s="129" t="n">
        <v>0.915626476227825</v>
      </c>
      <c r="AB41" s="130" t="n">
        <v>4.25</v>
      </c>
      <c r="AC41" s="130" t="n">
        <v>4.15305498822653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35.3721</v>
      </c>
      <c r="H42" s="124" t="n">
        <v>40</v>
      </c>
      <c r="I42" s="124" t="n">
        <v>40.13</v>
      </c>
      <c r="J42" s="136"/>
      <c r="K42" s="136"/>
      <c r="L42" s="136"/>
      <c r="M42" s="136"/>
      <c r="N42" s="136"/>
      <c r="O42" s="136"/>
      <c r="P42" s="136" t="n">
        <v>4.552</v>
      </c>
      <c r="Q42" s="136"/>
      <c r="R42" s="136"/>
      <c r="S42" s="139" t="n">
        <v>198.6</v>
      </c>
      <c r="T42" s="129" t="n">
        <v>0.014</v>
      </c>
      <c r="U42" s="129" t="n">
        <v>0.0136806517259227</v>
      </c>
      <c r="X42" s="130" t="n">
        <v>0.216</v>
      </c>
      <c r="Y42" s="130" t="n">
        <v>0.211072912342807</v>
      </c>
      <c r="Z42" s="129" t="n">
        <v>0.153</v>
      </c>
      <c r="AA42" s="129" t="n">
        <v>0.149509979576155</v>
      </c>
      <c r="AB42" s="130" t="n">
        <v>0.8</v>
      </c>
      <c r="AC42" s="130" t="n">
        <v>0.781751527195582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35.3141</v>
      </c>
      <c r="H43" s="124" t="n">
        <v>20</v>
      </c>
      <c r="I43" s="124" t="n">
        <v>20.22</v>
      </c>
      <c r="J43" s="136"/>
      <c r="K43" s="136"/>
      <c r="L43" s="136"/>
      <c r="M43" s="136"/>
      <c r="N43" s="136"/>
      <c r="O43" s="136"/>
      <c r="P43" s="136" t="n">
        <v>4.781</v>
      </c>
      <c r="Q43" s="136"/>
      <c r="R43" s="136"/>
      <c r="S43" s="139" t="n">
        <v>208.7</v>
      </c>
      <c r="T43" s="129" t="n">
        <v>0.006</v>
      </c>
      <c r="U43" s="129" t="n">
        <v>0.00586313645396686</v>
      </c>
      <c r="X43" s="130" t="n">
        <v>0.074</v>
      </c>
      <c r="Y43" s="130" t="n">
        <v>0.0723120162655913</v>
      </c>
      <c r="Z43" s="129" t="n">
        <v>0.127</v>
      </c>
      <c r="AA43" s="129" t="n">
        <v>0.124103054942299</v>
      </c>
      <c r="AB43" s="130" t="n">
        <v>0.77</v>
      </c>
      <c r="AC43" s="130" t="n">
        <v>0.752435844925748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35.2985</v>
      </c>
      <c r="H44" s="124" t="n">
        <v>10</v>
      </c>
      <c r="I44" s="124" t="n">
        <v>10.68</v>
      </c>
      <c r="J44" s="136"/>
      <c r="K44" s="136"/>
      <c r="L44" s="136"/>
      <c r="M44" s="136"/>
      <c r="N44" s="136"/>
      <c r="O44" s="136"/>
      <c r="P44" s="136" t="n">
        <v>4.726</v>
      </c>
      <c r="Q44" s="136"/>
      <c r="R44" s="136"/>
      <c r="S44" s="139" t="n">
        <v>206.3</v>
      </c>
      <c r="T44" s="129" t="n">
        <v>0.006</v>
      </c>
      <c r="U44" s="129" t="n">
        <v>0.00586313645396686</v>
      </c>
      <c r="X44" s="130" t="n">
        <v>0.084</v>
      </c>
      <c r="Y44" s="130" t="n">
        <v>0.0820839103555361</v>
      </c>
      <c r="Z44" s="129" t="n">
        <v>0.125</v>
      </c>
      <c r="AA44" s="129" t="n">
        <v>0.12214867612431</v>
      </c>
      <c r="AB44" s="130" t="n">
        <v>0.79</v>
      </c>
      <c r="AC44" s="130" t="n">
        <v>0.771979633105637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35.2985</v>
      </c>
      <c r="H45" s="124" t="n">
        <v>0</v>
      </c>
      <c r="I45" s="124" t="n">
        <v>0.98</v>
      </c>
      <c r="J45" s="136"/>
      <c r="K45" s="136"/>
      <c r="L45" s="136"/>
      <c r="M45" s="136"/>
      <c r="N45" s="136"/>
      <c r="O45" s="136"/>
      <c r="P45" s="136" t="n">
        <v>4.723</v>
      </c>
      <c r="Q45" s="136"/>
      <c r="R45" s="136"/>
      <c r="S45" s="139" t="n">
        <v>206.2</v>
      </c>
      <c r="T45" s="129" t="n">
        <v>0.001</v>
      </c>
      <c r="U45" s="129" t="n">
        <v>0.000977189408994478</v>
      </c>
      <c r="X45" s="130" t="n">
        <v>0.069</v>
      </c>
      <c r="Y45" s="130" t="n">
        <v>0.067426069220619</v>
      </c>
      <c r="Z45" s="129" t="n">
        <v>0.123</v>
      </c>
      <c r="AA45" s="129" t="n">
        <v>0.120194297306321</v>
      </c>
      <c r="AB45" s="130" t="n">
        <v>0.86</v>
      </c>
      <c r="AC45" s="130" t="n">
        <v>0.840382891735251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8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5</v>
      </c>
      <c r="J9" s="31" t="n">
        <v>15.46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5°15,46</v>
      </c>
      <c r="P9" s="31" t="s">
        <v>13</v>
      </c>
      <c r="Q9" s="35" t="n">
        <f aca="false">IF(ISBLANK(I9),"",IF(ISBLANK(J9),"",IF(J9&gt;60,"ERREUR !!",O11*(I9+(J9/60)))))</f>
        <v>5.25766666666667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50.27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2°50,27</v>
      </c>
      <c r="P10" s="31" t="s">
        <v>14</v>
      </c>
      <c r="Q10" s="35" t="n">
        <f aca="false">IF(ISBLANK(I10),"",IF(ISBLANK(J10),"",IF(J10&gt;60,"ERREUR !!",O12*(I10+(J10/60)))))</f>
        <v>2.83783333333333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37153</v>
      </c>
      <c r="K11" s="40"/>
      <c r="L11" s="40"/>
      <c r="M11" s="40"/>
      <c r="N11" s="41" t="str">
        <f aca="false">I9&amp;"°"&amp;J9</f>
        <v>5°15,46</v>
      </c>
      <c r="O11" s="42" t="n">
        <f aca="false">IF(P9=M10,-1,1)</f>
        <v>1</v>
      </c>
      <c r="P11" s="43" t="str">
        <f aca="false">TEXT(J11,"aaaa-mm-jj")&amp;"T"&amp;TEXT(J12,"hh:mm:ss")&amp;"z"</f>
        <v>2005-09-20T06:00:00z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0.25</v>
      </c>
      <c r="K12" s="48"/>
      <c r="L12" s="48"/>
      <c r="M12" s="48"/>
      <c r="N12" s="49" t="str">
        <f aca="false">I10&amp;"°"&amp;J10</f>
        <v>2°50,27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34.6554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3.459</v>
      </c>
      <c r="Q35" s="125"/>
      <c r="R35" s="125"/>
      <c r="S35" s="128" t="n">
        <v>150.4</v>
      </c>
      <c r="T35" s="129" t="n">
        <v>0.001</v>
      </c>
      <c r="U35" s="129" t="n">
        <v>0.000977189408994478</v>
      </c>
      <c r="X35" s="130" t="n">
        <v>33.749</v>
      </c>
      <c r="Y35" s="130" t="n">
        <v>32.9791653641546</v>
      </c>
      <c r="Z35" s="129" t="n">
        <v>2.286</v>
      </c>
      <c r="AA35" s="129" t="n">
        <v>2.23385498896138</v>
      </c>
      <c r="AB35" s="130" t="n">
        <v>32.54</v>
      </c>
      <c r="AC35" s="130" t="n">
        <v>31.7977433686803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35.0873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1.217</v>
      </c>
      <c r="Q36" s="136"/>
      <c r="R36" s="136"/>
      <c r="S36" s="139" t="n">
        <v>53</v>
      </c>
      <c r="T36" s="129" t="n">
        <v>0.01</v>
      </c>
      <c r="U36" s="129" t="n">
        <v>0.00977189408994478</v>
      </c>
      <c r="X36" s="130" t="n">
        <v>32.42</v>
      </c>
      <c r="Y36" s="130" t="n">
        <v>31.680480639601</v>
      </c>
      <c r="Z36" s="129" t="n">
        <v>2.055</v>
      </c>
      <c r="AA36" s="129" t="n">
        <v>2.00812423548365</v>
      </c>
      <c r="AB36" s="130" t="n">
        <v>14.59</v>
      </c>
      <c r="AC36" s="130" t="n">
        <v>14.2571934772294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35.598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2.19</v>
      </c>
      <c r="Q37" s="136"/>
      <c r="R37" s="136"/>
      <c r="S37" s="139" t="n">
        <v>95.3</v>
      </c>
      <c r="T37" s="129" t="n">
        <v>0.018</v>
      </c>
      <c r="U37" s="129" t="n">
        <v>0.0175894093619006</v>
      </c>
      <c r="X37" s="130" t="n">
        <v>20.592</v>
      </c>
      <c r="Y37" s="130" t="n">
        <v>20.1222843100143</v>
      </c>
      <c r="Z37" s="129" t="n">
        <v>1.424</v>
      </c>
      <c r="AA37" s="129" t="n">
        <v>1.39151771840814</v>
      </c>
      <c r="AB37" s="130" t="n">
        <v>7.67</v>
      </c>
      <c r="AC37" s="130" t="n">
        <v>7.49504276698764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35.6685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2.237</v>
      </c>
      <c r="Q38" s="136"/>
      <c r="R38" s="136"/>
      <c r="S38" s="139" t="n">
        <v>97.4</v>
      </c>
      <c r="T38" s="129" t="n">
        <v>0.023</v>
      </c>
      <c r="U38" s="129" t="n">
        <v>0.022475356406873</v>
      </c>
      <c r="X38" s="130" t="n">
        <v>19.727</v>
      </c>
      <c r="Y38" s="130" t="n">
        <v>19.2770154712341</v>
      </c>
      <c r="Z38" s="129" t="n">
        <v>1.347</v>
      </c>
      <c r="AA38" s="129" t="n">
        <v>1.31627413391556</v>
      </c>
      <c r="AB38" s="130" t="n">
        <v>6.98</v>
      </c>
      <c r="AC38" s="130" t="n">
        <v>6.82078207478145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76" t="n">
        <v>35.7571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2.544</v>
      </c>
      <c r="Q39" s="136"/>
      <c r="R39" s="136"/>
      <c r="S39" s="139" t="n">
        <v>110.7</v>
      </c>
      <c r="T39" s="129" t="n">
        <v>0.014</v>
      </c>
      <c r="U39" s="129" t="n">
        <v>0.0136806517259227</v>
      </c>
      <c r="X39" s="130" t="n">
        <v>17.226</v>
      </c>
      <c r="Y39" s="130" t="n">
        <v>16.8330647593389</v>
      </c>
      <c r="Z39" s="129" t="n">
        <v>1.187</v>
      </c>
      <c r="AA39" s="129" t="n">
        <v>1.15992382847644</v>
      </c>
      <c r="AB39" s="130" t="n">
        <v>5.6</v>
      </c>
      <c r="AC39" s="130" t="n">
        <v>5.47226069036907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35.8362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2.919</v>
      </c>
      <c r="Q40" s="136"/>
      <c r="R40" s="136"/>
      <c r="S40" s="139" t="n">
        <v>127.1</v>
      </c>
      <c r="T40" s="129" t="n">
        <v>0.066</v>
      </c>
      <c r="U40" s="129" t="n">
        <v>0.0644945009936355</v>
      </c>
      <c r="X40" s="130" t="n">
        <v>14.014</v>
      </c>
      <c r="Y40" s="130" t="n">
        <v>13.6943323776486</v>
      </c>
      <c r="Z40" s="129" t="n">
        <v>0.998</v>
      </c>
      <c r="AA40" s="129" t="n">
        <v>0.975235030176489</v>
      </c>
      <c r="AB40" s="130" t="n">
        <v>4.37</v>
      </c>
      <c r="AC40" s="130" t="n">
        <v>4.27031771730587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35.9508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3.291</v>
      </c>
      <c r="Q41" s="136"/>
      <c r="R41" s="136"/>
      <c r="S41" s="139" t="n">
        <v>143.4</v>
      </c>
      <c r="T41" s="129" t="n">
        <v>1.38</v>
      </c>
      <c r="U41" s="129" t="n">
        <v>1.34852138441238</v>
      </c>
      <c r="X41" s="130" t="n">
        <v>8.68</v>
      </c>
      <c r="Y41" s="130" t="n">
        <v>8.48200407007206</v>
      </c>
      <c r="Z41" s="129" t="n">
        <v>0.762</v>
      </c>
      <c r="AA41" s="129" t="n">
        <v>0.744618329653792</v>
      </c>
      <c r="AB41" s="130" t="n">
        <v>3.18</v>
      </c>
      <c r="AC41" s="130" t="n">
        <v>3.10746232060244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35.3734</v>
      </c>
      <c r="H42" s="124" t="n">
        <v>40</v>
      </c>
      <c r="I42" s="124" t="n">
        <v>39</v>
      </c>
      <c r="J42" s="136"/>
      <c r="K42" s="136"/>
      <c r="L42" s="136"/>
      <c r="M42" s="136"/>
      <c r="N42" s="136"/>
      <c r="O42" s="136"/>
      <c r="P42" s="136" t="n">
        <v>4.641</v>
      </c>
      <c r="Q42" s="136"/>
      <c r="R42" s="136"/>
      <c r="S42" s="139" t="n">
        <v>202.5</v>
      </c>
      <c r="T42" s="129" t="n">
        <v>0.009</v>
      </c>
      <c r="U42" s="129" t="n">
        <v>0.0087947046809503</v>
      </c>
      <c r="X42" s="130" t="n">
        <v>0.031</v>
      </c>
      <c r="Y42" s="130" t="n">
        <v>0.0302928716788288</v>
      </c>
      <c r="Z42" s="129" t="n">
        <v>0.039</v>
      </c>
      <c r="AA42" s="129" t="n">
        <v>0.0381103869507846</v>
      </c>
      <c r="AB42" s="130" t="n">
        <v>0.47</v>
      </c>
      <c r="AC42" s="130" t="n">
        <v>0.459279022227404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35.1359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4.771</v>
      </c>
      <c r="Q43" s="136"/>
      <c r="R43" s="136"/>
      <c r="S43" s="139" t="n">
        <v>208.2</v>
      </c>
      <c r="T43" s="129" t="n">
        <v>0.002</v>
      </c>
      <c r="U43" s="129" t="n">
        <v>0.00195437881798896</v>
      </c>
      <c r="X43" s="130" t="n">
        <v>0.018</v>
      </c>
      <c r="Y43" s="130" t="n">
        <v>0.0175894093619006</v>
      </c>
      <c r="Z43" s="129" t="n">
        <v>0.102</v>
      </c>
      <c r="AA43" s="129" t="n">
        <v>0.0996733197174367</v>
      </c>
      <c r="AB43" s="130" t="n">
        <v>0.52</v>
      </c>
      <c r="AC43" s="130" t="n">
        <v>0.508138492677128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35.1059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4.777</v>
      </c>
      <c r="Q44" s="136"/>
      <c r="R44" s="136"/>
      <c r="S44" s="139" t="n">
        <v>208.5</v>
      </c>
      <c r="T44" s="129" t="n">
        <v>0.001</v>
      </c>
      <c r="U44" s="129" t="n">
        <v>0.000977189408994478</v>
      </c>
      <c r="X44" s="130" t="n">
        <v>0.019</v>
      </c>
      <c r="Y44" s="130" t="n">
        <v>0.0185665987708951</v>
      </c>
      <c r="Z44" s="129" t="n">
        <v>0.095</v>
      </c>
      <c r="AA44" s="129" t="n">
        <v>0.0928329938544754</v>
      </c>
      <c r="AB44" s="130" t="n">
        <v>0.53</v>
      </c>
      <c r="AC44" s="130" t="n">
        <v>0.517910386767073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35.1027</v>
      </c>
      <c r="H45" s="124" t="n">
        <v>0</v>
      </c>
      <c r="I45" s="124" t="n">
        <v>0.16</v>
      </c>
      <c r="J45" s="136"/>
      <c r="K45" s="136"/>
      <c r="L45" s="136"/>
      <c r="M45" s="136"/>
      <c r="N45" s="136"/>
      <c r="O45" s="136"/>
      <c r="P45" s="136" t="n">
        <v>4.772</v>
      </c>
      <c r="Q45" s="136"/>
      <c r="R45" s="136"/>
      <c r="S45" s="139" t="n">
        <v>208.3</v>
      </c>
      <c r="T45" s="129" t="n">
        <v>0.002</v>
      </c>
      <c r="U45" s="129" t="n">
        <v>0.00195437881798896</v>
      </c>
      <c r="X45" s="130" t="n">
        <v>0.008</v>
      </c>
      <c r="Y45" s="130" t="n">
        <v>0.00781751527195582</v>
      </c>
      <c r="Z45" s="129" t="n">
        <v>0.095</v>
      </c>
      <c r="AA45" s="129" t="n">
        <v>0.0928329938544754</v>
      </c>
      <c r="AB45" s="130" t="n">
        <v>0.49</v>
      </c>
      <c r="AC45" s="130" t="n">
        <v>0.478822810407294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4</v>
      </c>
      <c r="J9" s="31" t="n">
        <v>29.98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4°29,98</v>
      </c>
      <c r="P9" s="31" t="s">
        <v>13</v>
      </c>
      <c r="Q9" s="35" t="n">
        <f aca="false">IF(ISBLANK(I9),"",IF(ISBLANK(J9),"",IF(J9&gt;60,"ERREUR !!",O11*(I9+(J9/60)))))</f>
        <v>4.49966666666667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50.17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2°50,17</v>
      </c>
      <c r="P10" s="31" t="s">
        <v>14</v>
      </c>
      <c r="Q10" s="35" t="n">
        <f aca="false">IF(ISBLANK(I10),"",IF(ISBLANK(J10),"",IF(J10&gt;60,"ERREUR !!",O12*(I10+(J10/60)))))</f>
        <v>2.83616666666667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37153</v>
      </c>
      <c r="K11" s="40"/>
      <c r="L11" s="40"/>
      <c r="M11" s="40"/>
      <c r="N11" s="41" t="str">
        <f aca="false">I9&amp;"°"&amp;J9</f>
        <v>4°29,98</v>
      </c>
      <c r="O11" s="42" t="n">
        <f aca="false">IF(P9=M10,-1,1)</f>
        <v>1</v>
      </c>
      <c r="P11" s="43" t="str">
        <f aca="false">TEXT(J11,"aaaa-mm-jj")&amp;"T"&amp;TEXT(J12,"hh:mm:ss")&amp;"z"</f>
        <v>2005-09-20T13:00:00z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0.541666666666667</v>
      </c>
      <c r="K12" s="48"/>
      <c r="L12" s="48"/>
      <c r="M12" s="48"/>
      <c r="N12" s="49" t="str">
        <f aca="false">I10&amp;"°"&amp;J10</f>
        <v>2°50,17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34.6427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36" t="n">
        <v>3.406</v>
      </c>
      <c r="Q35" s="125"/>
      <c r="R35" s="125"/>
      <c r="S35" s="128" t="n">
        <v>148.1</v>
      </c>
      <c r="T35" s="129" t="n">
        <v>0.004</v>
      </c>
      <c r="U35" s="129" t="n">
        <v>0.00390875763597791</v>
      </c>
      <c r="X35" s="130" t="n">
        <v>33.966</v>
      </c>
      <c r="Y35" s="130" t="n">
        <v>33.1912154659064</v>
      </c>
      <c r="Z35" s="129" t="n">
        <v>2.3</v>
      </c>
      <c r="AA35" s="129" t="n">
        <v>2.2475356406873</v>
      </c>
      <c r="AB35" s="130" t="n">
        <v>32.35</v>
      </c>
      <c r="AC35" s="130" t="n">
        <v>31.6120773809713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35.1059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36" t="n">
        <v>1.306</v>
      </c>
      <c r="Q36" s="136"/>
      <c r="R36" s="136"/>
      <c r="S36" s="139" t="n">
        <v>56.8</v>
      </c>
      <c r="T36" s="129" t="n">
        <v>0.006</v>
      </c>
      <c r="U36" s="129" t="n">
        <v>0.00586313645396686</v>
      </c>
      <c r="X36" s="130" t="n">
        <v>31.664</v>
      </c>
      <c r="Y36" s="130" t="n">
        <v>30.9417254464011</v>
      </c>
      <c r="Z36" s="129" t="n">
        <v>1.994</v>
      </c>
      <c r="AA36" s="129" t="n">
        <v>1.94851568153499</v>
      </c>
      <c r="AB36" s="130" t="n">
        <v>13.75</v>
      </c>
      <c r="AC36" s="130" t="n">
        <v>13.4363543736741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35.5476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36" t="n">
        <v>2.121</v>
      </c>
      <c r="Q37" s="136"/>
      <c r="R37" s="136"/>
      <c r="S37" s="139" t="n">
        <v>92.3</v>
      </c>
      <c r="T37" s="129" t="n">
        <v>0.011</v>
      </c>
      <c r="U37" s="129" t="n">
        <v>0.0107490834989393</v>
      </c>
      <c r="X37" s="130" t="n">
        <v>21.729</v>
      </c>
      <c r="Y37" s="130" t="n">
        <v>21.233348668041</v>
      </c>
      <c r="Z37" s="129" t="n">
        <v>1.473</v>
      </c>
      <c r="AA37" s="129" t="n">
        <v>1.43939999944887</v>
      </c>
      <c r="AB37" s="130" t="n">
        <v>8.04</v>
      </c>
      <c r="AC37" s="130" t="n">
        <v>7.8566028483156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35.627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36" t="n">
        <v>2.403</v>
      </c>
      <c r="Q38" s="136"/>
      <c r="R38" s="136"/>
      <c r="S38" s="139" t="n">
        <v>104.6</v>
      </c>
      <c r="T38" s="129" t="n">
        <v>0.017</v>
      </c>
      <c r="U38" s="129" t="n">
        <v>0.0166122199529061</v>
      </c>
      <c r="X38" s="130" t="n">
        <v>19.373</v>
      </c>
      <c r="Y38" s="130" t="n">
        <v>18.93109042045</v>
      </c>
      <c r="Z38" s="129" t="n">
        <v>1.333</v>
      </c>
      <c r="AA38" s="129" t="n">
        <v>1.30259348218964</v>
      </c>
      <c r="AB38" s="130" t="n">
        <v>7</v>
      </c>
      <c r="AC38" s="130" t="n">
        <v>6.84032586296134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35.7217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36" t="n">
        <v>2.21</v>
      </c>
      <c r="Q39" s="136"/>
      <c r="R39" s="136"/>
      <c r="S39" s="139" t="n">
        <v>96.2</v>
      </c>
      <c r="T39" s="129" t="n">
        <v>0.036</v>
      </c>
      <c r="U39" s="129" t="n">
        <v>0.0351788187238012</v>
      </c>
      <c r="X39" s="130" t="n">
        <v>19.164</v>
      </c>
      <c r="Y39" s="130" t="n">
        <v>18.7268578339702</v>
      </c>
      <c r="Z39" s="129" t="n">
        <v>1.304</v>
      </c>
      <c r="AA39" s="129" t="n">
        <v>1.2742549893288</v>
      </c>
      <c r="AB39" s="130" t="n">
        <v>6.5</v>
      </c>
      <c r="AC39" s="130" t="n">
        <v>6.3517311584641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76" t="n">
        <v>35.7863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36" t="n">
        <v>2.374</v>
      </c>
      <c r="Q40" s="136"/>
      <c r="R40" s="136"/>
      <c r="S40" s="139" t="n">
        <v>103.4</v>
      </c>
      <c r="T40" s="129" t="n">
        <v>0.0545</v>
      </c>
      <c r="U40" s="129" t="n">
        <v>0.053256822790199</v>
      </c>
      <c r="X40" s="130" t="n">
        <v>17.3455</v>
      </c>
      <c r="Y40" s="130" t="n">
        <v>16.9498388937137</v>
      </c>
      <c r="Z40" s="129" t="n">
        <v>1.188</v>
      </c>
      <c r="AA40" s="129" t="n">
        <v>1.16090101788544</v>
      </c>
      <c r="AB40" s="130" t="n">
        <v>5.875</v>
      </c>
      <c r="AC40" s="130" t="n">
        <v>5.74098777784256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35.9025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36" t="n">
        <v>3.108</v>
      </c>
      <c r="Q41" s="136"/>
      <c r="R41" s="136"/>
      <c r="S41" s="139" t="n">
        <v>135.4</v>
      </c>
      <c r="T41" s="129" t="n">
        <v>0.15</v>
      </c>
      <c r="U41" s="129" t="n">
        <v>0.146578411349172</v>
      </c>
      <c r="X41" s="130" t="n">
        <v>8.57</v>
      </c>
      <c r="Y41" s="130" t="n">
        <v>8.37451323508267</v>
      </c>
      <c r="Z41" s="129" t="n">
        <v>0.743</v>
      </c>
      <c r="AA41" s="129" t="n">
        <v>0.726051730882897</v>
      </c>
      <c r="AB41" s="130" t="n">
        <v>3.21</v>
      </c>
      <c r="AC41" s="130" t="n">
        <v>3.13677800287227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35.1958</v>
      </c>
      <c r="H42" s="124" t="n">
        <v>40</v>
      </c>
      <c r="I42" s="124" t="n">
        <v>39</v>
      </c>
      <c r="J42" s="136"/>
      <c r="K42" s="136"/>
      <c r="L42" s="136"/>
      <c r="M42" s="136"/>
      <c r="N42" s="136"/>
      <c r="O42" s="136"/>
      <c r="P42" s="36" t="n">
        <v>4.681</v>
      </c>
      <c r="Q42" s="136"/>
      <c r="R42" s="136"/>
      <c r="S42" s="139" t="n">
        <v>204.3</v>
      </c>
      <c r="T42" s="129" t="n">
        <v>0</v>
      </c>
      <c r="U42" s="129" t="n">
        <v>0</v>
      </c>
      <c r="X42" s="130" t="n">
        <v>0.02</v>
      </c>
      <c r="Y42" s="130" t="n">
        <v>0.0195437881798895</v>
      </c>
      <c r="Z42" s="129" t="n">
        <v>0.059</v>
      </c>
      <c r="AA42" s="129" t="n">
        <v>0.0576541751306742</v>
      </c>
      <c r="AB42" s="130" t="n">
        <v>0.11</v>
      </c>
      <c r="AC42" s="130" t="n">
        <v>0.107490834989393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34.9728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36" t="n">
        <v>4.729</v>
      </c>
      <c r="Q43" s="136"/>
      <c r="R43" s="136"/>
      <c r="S43" s="139" t="n">
        <v>206.5</v>
      </c>
      <c r="T43" s="129" t="n">
        <v>0</v>
      </c>
      <c r="U43" s="129" t="n">
        <v>0</v>
      </c>
      <c r="X43" s="130" t="n">
        <v>0.02</v>
      </c>
      <c r="Y43" s="130" t="n">
        <v>0.0195437881798895</v>
      </c>
      <c r="Z43" s="129" t="n">
        <v>0.032</v>
      </c>
      <c r="AA43" s="129" t="n">
        <v>0.0312700610878233</v>
      </c>
      <c r="AB43" s="130" t="n">
        <v>0.06</v>
      </c>
      <c r="AC43" s="130" t="n">
        <v>0.0586313645396687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34.7704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36" t="n">
        <v>4.703</v>
      </c>
      <c r="Q44" s="136"/>
      <c r="R44" s="136"/>
      <c r="S44" s="139" t="n">
        <v>205.4</v>
      </c>
      <c r="T44" s="129" t="n">
        <v>0.01</v>
      </c>
      <c r="U44" s="129" t="n">
        <v>0.00977189408994478</v>
      </c>
      <c r="X44" s="130" t="n">
        <v>0.07</v>
      </c>
      <c r="Y44" s="130" t="n">
        <v>0.0684032586296134</v>
      </c>
      <c r="Z44" s="129" t="n">
        <v>0.027</v>
      </c>
      <c r="AA44" s="129" t="n">
        <v>0.0263841140428509</v>
      </c>
      <c r="AB44" s="130" t="n">
        <v>0.08</v>
      </c>
      <c r="AC44" s="130" t="n">
        <v>0.0781751527195582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34.9724</v>
      </c>
      <c r="H45" s="124" t="n">
        <v>0</v>
      </c>
      <c r="I45" s="124" t="n">
        <v>0.16</v>
      </c>
      <c r="J45" s="136"/>
      <c r="K45" s="136"/>
      <c r="L45" s="136"/>
      <c r="M45" s="136"/>
      <c r="N45" s="136"/>
      <c r="O45" s="136"/>
      <c r="P45" s="36" t="n">
        <v>4.712</v>
      </c>
      <c r="Q45" s="136"/>
      <c r="R45" s="136"/>
      <c r="S45" s="139" t="n">
        <v>205.7</v>
      </c>
      <c r="T45" s="129" t="n">
        <v>0</v>
      </c>
      <c r="U45" s="129" t="n">
        <v>0</v>
      </c>
      <c r="X45" s="130" t="n">
        <v>0.03</v>
      </c>
      <c r="Y45" s="130" t="n">
        <v>0.0293156822698343</v>
      </c>
      <c r="Z45" s="129" t="n">
        <v>0.025</v>
      </c>
      <c r="AA45" s="129" t="n">
        <v>0.0244297352248619</v>
      </c>
      <c r="AB45" s="130" t="n">
        <v>0.07</v>
      </c>
      <c r="AC45" s="130" t="n">
        <v>0.0684032586296134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45.07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3°45,07</v>
      </c>
      <c r="P9" s="31" t="s">
        <v>13</v>
      </c>
      <c r="Q9" s="35" t="n">
        <f aca="false">IF(ISBLANK(I9),"",IF(ISBLANK(J9),"",IF(J9&gt;60,"ERREUR !!",O11*(I9+(J9/60)))))</f>
        <v>3.75116666666667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50.21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2°50,21</v>
      </c>
      <c r="P10" s="31" t="s">
        <v>14</v>
      </c>
      <c r="Q10" s="35" t="n">
        <f aca="false">IF(ISBLANK(I10),"",IF(ISBLANK(J10),"",IF(J10&gt;60,"ERREUR !!",O12*(I10+(J10/60)))))</f>
        <v>2.83683333333333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37153</v>
      </c>
      <c r="K11" s="40"/>
      <c r="L11" s="40"/>
      <c r="M11" s="40"/>
      <c r="N11" s="41" t="str">
        <f aca="false">I9&amp;"°"&amp;J9</f>
        <v>3°45,07</v>
      </c>
      <c r="O11" s="42" t="n">
        <f aca="false">IF(P9=M10,-1,1)</f>
        <v>1</v>
      </c>
      <c r="P11" s="43" t="str">
        <f aca="false">TEXT(J11,"aaaa-mm-jj")&amp;"T"&amp;TEXT(J12,"hh:mm:ss")&amp;"z"</f>
        <v>2005-09-20T19:00:00z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0.791666666666667</v>
      </c>
      <c r="K12" s="48"/>
      <c r="L12" s="48"/>
      <c r="M12" s="48"/>
      <c r="N12" s="49" t="str">
        <f aca="false">I10&amp;"°"&amp;J10</f>
        <v>2°50,21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34.6407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36" t="n">
        <v>3.437</v>
      </c>
      <c r="Q35" s="125"/>
      <c r="R35" s="125"/>
      <c r="S35" s="128" t="n">
        <v>149.5</v>
      </c>
      <c r="T35" s="129" t="n">
        <v>0</v>
      </c>
      <c r="U35" s="129" t="n">
        <v>0</v>
      </c>
      <c r="X35" s="130" t="n">
        <v>33.8</v>
      </c>
      <c r="Y35" s="130" t="n">
        <v>33.0290020240133</v>
      </c>
      <c r="Z35" s="129" t="n">
        <v>2.261</v>
      </c>
      <c r="AA35" s="129" t="n">
        <v>2.20942525373651</v>
      </c>
      <c r="AB35" s="130" t="n">
        <v>32.5</v>
      </c>
      <c r="AC35" s="130" t="n">
        <v>31.7586557923205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35.0573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36" t="n">
        <v>1.401</v>
      </c>
      <c r="Q36" s="136"/>
      <c r="R36" s="136"/>
      <c r="S36" s="139" t="n">
        <v>61</v>
      </c>
      <c r="T36" s="129" t="n">
        <v>0</v>
      </c>
      <c r="U36" s="129" t="n">
        <v>0</v>
      </c>
      <c r="X36" s="130" t="n">
        <v>32.27</v>
      </c>
      <c r="Y36" s="130" t="n">
        <v>31.5339022282518</v>
      </c>
      <c r="Z36" s="129" t="n">
        <v>1.993</v>
      </c>
      <c r="AA36" s="129" t="n">
        <v>1.94753849212599</v>
      </c>
      <c r="AB36" s="130" t="n">
        <v>14.93</v>
      </c>
      <c r="AC36" s="130" t="n">
        <v>14.5894378762875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35.5212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36" t="n">
        <v>1.895</v>
      </c>
      <c r="Q37" s="136"/>
      <c r="R37" s="136"/>
      <c r="S37" s="139" t="n">
        <v>82.5</v>
      </c>
      <c r="T37" s="129" t="n">
        <v>0.001</v>
      </c>
      <c r="U37" s="129" t="n">
        <v>0.000977189408994478</v>
      </c>
      <c r="X37" s="130" t="n">
        <v>22.999</v>
      </c>
      <c r="Y37" s="130" t="n">
        <v>22.474379217464</v>
      </c>
      <c r="Z37" s="129" t="n">
        <v>1.558</v>
      </c>
      <c r="AA37" s="129" t="n">
        <v>1.5224610992134</v>
      </c>
      <c r="AB37" s="130" t="n">
        <v>9.68</v>
      </c>
      <c r="AC37" s="130" t="n">
        <v>9.45919347906654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35.5889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36" t="n">
        <v>2.014</v>
      </c>
      <c r="Q38" s="136"/>
      <c r="R38" s="136"/>
      <c r="S38" s="139" t="n">
        <v>87.7</v>
      </c>
      <c r="T38" s="129" t="n">
        <v>0.001</v>
      </c>
      <c r="U38" s="129" t="n">
        <v>0.000977189408994478</v>
      </c>
      <c r="X38" s="130" t="n">
        <v>21.659</v>
      </c>
      <c r="Y38" s="130" t="n">
        <v>21.1649454094114</v>
      </c>
      <c r="Z38" s="129" t="n">
        <v>1.429</v>
      </c>
      <c r="AA38" s="129" t="n">
        <v>1.39640366545311</v>
      </c>
      <c r="AB38" s="130" t="n">
        <v>8.95</v>
      </c>
      <c r="AC38" s="130" t="n">
        <v>8.74584521050057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35.6611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36" t="n">
        <v>2.192</v>
      </c>
      <c r="Q39" s="136"/>
      <c r="R39" s="136"/>
      <c r="S39" s="139" t="n">
        <v>95.4</v>
      </c>
      <c r="T39" s="129" t="n">
        <v>0.019</v>
      </c>
      <c r="U39" s="129" t="n">
        <v>0.0185665987708951</v>
      </c>
      <c r="X39" s="130" t="n">
        <v>19.951</v>
      </c>
      <c r="Y39" s="130" t="n">
        <v>19.4959058988488</v>
      </c>
      <c r="Z39" s="129" t="n">
        <v>1.353</v>
      </c>
      <c r="AA39" s="129" t="n">
        <v>1.32213727036953</v>
      </c>
      <c r="AB39" s="130" t="n">
        <v>8.3</v>
      </c>
      <c r="AC39" s="130" t="n">
        <v>8.11067209465416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35.709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36" t="n">
        <v>2.373</v>
      </c>
      <c r="Q40" s="136"/>
      <c r="R40" s="136"/>
      <c r="S40" s="139" t="n">
        <v>103.3</v>
      </c>
      <c r="T40" s="129" t="n">
        <v>0.066</v>
      </c>
      <c r="U40" s="129" t="n">
        <v>0.0644945009936355</v>
      </c>
      <c r="X40" s="130" t="n">
        <v>18.114</v>
      </c>
      <c r="Y40" s="130" t="n">
        <v>17.700808954526</v>
      </c>
      <c r="Z40" s="129" t="n">
        <v>1.206</v>
      </c>
      <c r="AA40" s="129" t="n">
        <v>1.17849042724734</v>
      </c>
      <c r="AB40" s="130" t="n">
        <v>7.45</v>
      </c>
      <c r="AC40" s="130" t="n">
        <v>7.28006109700886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35.5009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36" t="n">
        <v>4.179</v>
      </c>
      <c r="Q41" s="136"/>
      <c r="R41" s="136"/>
      <c r="S41" s="139" t="n">
        <v>182.3</v>
      </c>
      <c r="T41" s="129" t="n">
        <v>0.405</v>
      </c>
      <c r="U41" s="129" t="n">
        <v>0.395761710642763</v>
      </c>
      <c r="X41" s="130" t="n">
        <v>2.24</v>
      </c>
      <c r="Y41" s="130" t="n">
        <v>2.18890427614763</v>
      </c>
      <c r="Z41" s="129" t="n">
        <v>0.317</v>
      </c>
      <c r="AA41" s="129" t="n">
        <v>0.309769042651249</v>
      </c>
      <c r="AB41" s="130" t="n">
        <v>2.41</v>
      </c>
      <c r="AC41" s="130" t="n">
        <v>2.35502647567669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76" t="n">
        <v>35.1323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36" t="n">
        <v>4.771</v>
      </c>
      <c r="Q42" s="136"/>
      <c r="R42" s="136"/>
      <c r="S42" s="139" t="n">
        <v>208.2</v>
      </c>
      <c r="T42" s="129" t="n">
        <v>0</v>
      </c>
      <c r="U42" s="129" t="n">
        <v>0</v>
      </c>
      <c r="X42" s="130" t="n">
        <v>0.06</v>
      </c>
      <c r="Y42" s="130" t="n">
        <v>0.0586313645396686</v>
      </c>
      <c r="Z42" s="129" t="n">
        <v>0.045</v>
      </c>
      <c r="AA42" s="129" t="n">
        <v>0.0439735234047515</v>
      </c>
      <c r="AB42" s="130" t="n">
        <v>1.02</v>
      </c>
      <c r="AC42" s="130" t="n">
        <v>0.996733197174367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35.0351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36" t="n">
        <v>4.717</v>
      </c>
      <c r="Q43" s="136"/>
      <c r="R43" s="136"/>
      <c r="S43" s="139" t="n">
        <v>205.9</v>
      </c>
      <c r="T43" s="129" t="n">
        <v>0</v>
      </c>
      <c r="U43" s="129" t="n">
        <v>0</v>
      </c>
      <c r="X43" s="130" t="n">
        <v>0.05</v>
      </c>
      <c r="Y43" s="130" t="n">
        <v>0.0488594704497239</v>
      </c>
      <c r="Z43" s="129" t="n">
        <v>0</v>
      </c>
      <c r="AA43" s="129" t="n">
        <v>0</v>
      </c>
      <c r="AB43" s="130" t="n">
        <v>0.9</v>
      </c>
      <c r="AC43" s="130" t="n">
        <v>0.87947046809503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35.0405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36" t="n">
        <v>4.722</v>
      </c>
      <c r="Q44" s="136"/>
      <c r="R44" s="136"/>
      <c r="S44" s="139" t="n">
        <v>206.2</v>
      </c>
      <c r="T44" s="129" t="n">
        <v>0</v>
      </c>
      <c r="U44" s="129" t="n">
        <v>0</v>
      </c>
      <c r="X44" s="130" t="n">
        <v>0.04</v>
      </c>
      <c r="Y44" s="130" t="n">
        <v>0.0390875763597791</v>
      </c>
      <c r="Z44" s="129" t="n">
        <v>0.002</v>
      </c>
      <c r="AA44" s="129" t="n">
        <v>0.00195437881798896</v>
      </c>
      <c r="AB44" s="130" t="n">
        <v>0.92</v>
      </c>
      <c r="AC44" s="130" t="n">
        <v>0.899014256274919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35.0385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36" t="n">
        <v>4.706</v>
      </c>
      <c r="Q45" s="136"/>
      <c r="R45" s="136"/>
      <c r="S45" s="139" t="n">
        <v>205.4</v>
      </c>
      <c r="T45" s="129" t="n">
        <v>0.011</v>
      </c>
      <c r="U45" s="129" t="n">
        <v>0.0107490834989393</v>
      </c>
      <c r="X45" s="130" t="n">
        <v>0.029</v>
      </c>
      <c r="Y45" s="130" t="n">
        <v>0.0283384928608398</v>
      </c>
      <c r="Z45" s="129" t="n">
        <v>0.00800000000000001</v>
      </c>
      <c r="AA45" s="129" t="n">
        <v>0.00781751527195583</v>
      </c>
      <c r="AB45" s="130" t="n">
        <v>0.75</v>
      </c>
      <c r="AC45" s="130" t="n">
        <v>0.732892056745858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0.48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3°0,48</v>
      </c>
      <c r="P9" s="31" t="s">
        <v>13</v>
      </c>
      <c r="Q9" s="35" t="n">
        <f aca="false">IF(ISBLANK(I9),"",IF(ISBLANK(J9),"",IF(J9&gt;60,"ERREUR !!",O11*(I9+(J9/60)))))</f>
        <v>3.008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50.04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2°50,04</v>
      </c>
      <c r="P10" s="31" t="s">
        <v>14</v>
      </c>
      <c r="Q10" s="35" t="n">
        <f aca="false">IF(ISBLANK(I10),"",IF(ISBLANK(J10),"",IF(J10&gt;60,"ERREUR !!",O12*(I10+(J10/60)))))</f>
        <v>2.834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37154</v>
      </c>
      <c r="K11" s="40"/>
      <c r="L11" s="40"/>
      <c r="M11" s="40"/>
      <c r="N11" s="41" t="str">
        <f aca="false">I9&amp;"°"&amp;J9</f>
        <v>3°0,48</v>
      </c>
      <c r="O11" s="42" t="n">
        <f aca="false">IF(P9=M10,-1,1)</f>
        <v>1</v>
      </c>
      <c r="P11" s="43" t="str">
        <f aca="false">TEXT(J11,"aaaa-mm-jj")&amp;"T"&amp;TEXT(J12,"hh:mm:ss")&amp;"z"</f>
        <v>2005-09-21T01:00:00z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0.0416666666666667</v>
      </c>
      <c r="K12" s="48"/>
      <c r="L12" s="48"/>
      <c r="M12" s="48"/>
      <c r="N12" s="49" t="str">
        <f aca="false">I10&amp;"°"&amp;J10</f>
        <v>2°50,04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34.629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3.441</v>
      </c>
      <c r="Q35" s="125"/>
      <c r="R35" s="125"/>
      <c r="S35" s="128" t="n">
        <v>149.6</v>
      </c>
      <c r="T35" s="129" t="n">
        <v>0.019</v>
      </c>
      <c r="U35" s="129" t="n">
        <v>0.0185665987708951</v>
      </c>
      <c r="X35" s="130" t="n">
        <v>34.161</v>
      </c>
      <c r="Y35" s="130" t="n">
        <v>33.3817674006603</v>
      </c>
      <c r="Z35" s="129" t="n">
        <v>2.278</v>
      </c>
      <c r="AA35" s="129" t="n">
        <v>2.22603747368942</v>
      </c>
      <c r="AB35" s="130" t="n">
        <v>32.66</v>
      </c>
      <c r="AC35" s="130" t="n">
        <v>31.9150060977596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35.0738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1.607</v>
      </c>
      <c r="Q36" s="136"/>
      <c r="R36" s="136"/>
      <c r="S36" s="139" t="n">
        <v>69.9</v>
      </c>
      <c r="T36" s="129" t="n">
        <v>0.022</v>
      </c>
      <c r="U36" s="129" t="n">
        <v>0.0214981669978785</v>
      </c>
      <c r="X36" s="130" t="n">
        <v>30.898</v>
      </c>
      <c r="Y36" s="130" t="n">
        <v>30.1931983591114</v>
      </c>
      <c r="Z36" s="129" t="n">
        <v>1.931</v>
      </c>
      <c r="AA36" s="129" t="n">
        <v>1.88695274876834</v>
      </c>
      <c r="AB36" s="130" t="n">
        <v>13.99</v>
      </c>
      <c r="AC36" s="130" t="n">
        <v>13.6708798318327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35.5259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1.955</v>
      </c>
      <c r="Q37" s="136"/>
      <c r="R37" s="136"/>
      <c r="S37" s="139" t="n">
        <v>85.1</v>
      </c>
      <c r="T37" s="129" t="n">
        <v>0.016</v>
      </c>
      <c r="U37" s="129" t="n">
        <v>0.0156350305439116</v>
      </c>
      <c r="X37" s="130" t="n">
        <v>22.724</v>
      </c>
      <c r="Y37" s="130" t="n">
        <v>22.2056521299905</v>
      </c>
      <c r="Z37" s="129" t="n">
        <v>1.504</v>
      </c>
      <c r="AA37" s="129" t="n">
        <v>1.46969287112769</v>
      </c>
      <c r="AB37" s="130" t="n">
        <v>9.57</v>
      </c>
      <c r="AC37" s="130" t="n">
        <v>9.35170264407715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35.5588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2.021</v>
      </c>
      <c r="Q38" s="136"/>
      <c r="R38" s="136"/>
      <c r="S38" s="139" t="n">
        <v>88</v>
      </c>
      <c r="T38" s="129" t="n">
        <v>0.026</v>
      </c>
      <c r="U38" s="129" t="n">
        <v>0.0254069246338564</v>
      </c>
      <c r="X38" s="130" t="n">
        <v>22.064</v>
      </c>
      <c r="Y38" s="130" t="n">
        <v>21.5607071200542</v>
      </c>
      <c r="Z38" s="129" t="n">
        <v>1.459</v>
      </c>
      <c r="AA38" s="129" t="n">
        <v>1.42571934772294</v>
      </c>
      <c r="AB38" s="130" t="n">
        <v>9.11</v>
      </c>
      <c r="AC38" s="130" t="n">
        <v>8.90219551593969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76" t="n">
        <v>35.6341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2.823</v>
      </c>
      <c r="Q39" s="136"/>
      <c r="R39" s="136"/>
      <c r="S39" s="139" t="n">
        <v>122.9</v>
      </c>
      <c r="T39" s="129" t="n">
        <v>0.05</v>
      </c>
      <c r="U39" s="129" t="n">
        <v>0.0488594704497239</v>
      </c>
      <c r="X39" s="130" t="n">
        <v>17.69</v>
      </c>
      <c r="Y39" s="130" t="n">
        <v>17.2864806451123</v>
      </c>
      <c r="Z39" s="129" t="n">
        <v>1.203</v>
      </c>
      <c r="AA39" s="129" t="n">
        <v>1.17555885902036</v>
      </c>
      <c r="AB39" s="130" t="n">
        <v>7.07</v>
      </c>
      <c r="AC39" s="130" t="n">
        <v>6.90872912159096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35.1209</v>
      </c>
      <c r="H40" s="124" t="n">
        <v>80</v>
      </c>
      <c r="I40" s="124" t="n">
        <v>79</v>
      </c>
      <c r="J40" s="136"/>
      <c r="K40" s="137"/>
      <c r="L40" s="137"/>
      <c r="M40" s="137"/>
      <c r="N40" s="138"/>
      <c r="O40" s="137"/>
      <c r="P40" s="136" t="n">
        <v>2.283</v>
      </c>
      <c r="Q40" s="136"/>
      <c r="R40" s="136"/>
      <c r="S40" s="139" t="n">
        <v>99.5</v>
      </c>
      <c r="T40" s="129" t="n">
        <v>0.052</v>
      </c>
      <c r="U40" s="129" t="n">
        <v>0.0508138492677128</v>
      </c>
      <c r="X40" s="130" t="n">
        <v>19.158</v>
      </c>
      <c r="Y40" s="130" t="n">
        <v>18.7209946975162</v>
      </c>
      <c r="Z40" s="129" t="n">
        <v>1.278</v>
      </c>
      <c r="AA40" s="129" t="n">
        <v>1.24884806469494</v>
      </c>
      <c r="AB40" s="130" t="n">
        <v>7.55</v>
      </c>
      <c r="AC40" s="130" t="n">
        <v>7.3777800379083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35.6894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2.525</v>
      </c>
      <c r="Q41" s="136"/>
      <c r="R41" s="136"/>
      <c r="S41" s="139" t="n">
        <v>110</v>
      </c>
      <c r="T41" s="129" t="n">
        <v>0.214</v>
      </c>
      <c r="U41" s="129" t="n">
        <v>0.209118533524818</v>
      </c>
      <c r="X41" s="130" t="n">
        <v>16.426</v>
      </c>
      <c r="Y41" s="130" t="n">
        <v>16.0513132321433</v>
      </c>
      <c r="Z41" s="129" t="n">
        <v>1.119</v>
      </c>
      <c r="AA41" s="129" t="n">
        <v>1.09347494866482</v>
      </c>
      <c r="AB41" s="130" t="n">
        <v>6.81</v>
      </c>
      <c r="AC41" s="130" t="n">
        <v>6.65465987525239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35.7338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4.734</v>
      </c>
      <c r="Q42" s="136"/>
      <c r="R42" s="136"/>
      <c r="S42" s="139" t="n">
        <v>206.5</v>
      </c>
      <c r="T42" s="129" t="n">
        <v>0.006</v>
      </c>
      <c r="U42" s="129" t="n">
        <v>0.00586313645396686</v>
      </c>
      <c r="X42" s="130" t="n">
        <v>0.109</v>
      </c>
      <c r="Y42" s="130" t="n">
        <v>0.106513645580398</v>
      </c>
      <c r="Z42" s="129" t="n">
        <v>0.0755</v>
      </c>
      <c r="AA42" s="129" t="n">
        <v>0.073777800379083</v>
      </c>
      <c r="AB42" s="130" t="n">
        <v>0.95</v>
      </c>
      <c r="AC42" s="130" t="n">
        <v>0.928329938544754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35.2525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4.727</v>
      </c>
      <c r="Q43" s="136"/>
      <c r="R43" s="136"/>
      <c r="S43" s="139" t="n">
        <v>206.3</v>
      </c>
      <c r="T43" s="129" t="n">
        <v>0</v>
      </c>
      <c r="U43" s="129" t="n">
        <v>0</v>
      </c>
      <c r="X43" s="130" t="n">
        <v>0.04</v>
      </c>
      <c r="Y43" s="130" t="n">
        <v>0.0390875763597791</v>
      </c>
      <c r="Z43" s="129" t="n">
        <v>0.004</v>
      </c>
      <c r="AA43" s="129" t="n">
        <v>0.00390875763597791</v>
      </c>
      <c r="AB43" s="130" t="n">
        <v>0.71</v>
      </c>
      <c r="AC43" s="130" t="n">
        <v>0.693804480386079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35.126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4.732</v>
      </c>
      <c r="Q44" s="136"/>
      <c r="R44" s="136"/>
      <c r="S44" s="139" t="n">
        <v>206.5</v>
      </c>
      <c r="T44" s="129" t="n">
        <v>0.002</v>
      </c>
      <c r="U44" s="129" t="n">
        <v>0.00195437881798896</v>
      </c>
      <c r="X44" s="130" t="n">
        <v>0.068</v>
      </c>
      <c r="Y44" s="130" t="n">
        <v>0.0664488798116245</v>
      </c>
      <c r="Z44" s="129" t="n">
        <v>0.00800000000000001</v>
      </c>
      <c r="AA44" s="129" t="n">
        <v>0.00781751527195583</v>
      </c>
      <c r="AB44" s="130" t="n">
        <v>0.73</v>
      </c>
      <c r="AC44" s="130" t="n">
        <v>0.713348268565969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35.1257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4.708</v>
      </c>
      <c r="Q45" s="136"/>
      <c r="R45" s="136"/>
      <c r="S45" s="139" t="n">
        <v>205.5</v>
      </c>
      <c r="T45" s="129" t="n">
        <v>0.012</v>
      </c>
      <c r="U45" s="129" t="n">
        <v>0.0117262729079337</v>
      </c>
      <c r="X45" s="130" t="n">
        <v>0.088</v>
      </c>
      <c r="Y45" s="130" t="n">
        <v>0.085992667991514</v>
      </c>
      <c r="Z45" s="129" t="n">
        <v>0.015</v>
      </c>
      <c r="AA45" s="129" t="n">
        <v>0.0146578411349172</v>
      </c>
      <c r="AB45" s="130" t="n">
        <v>0.67</v>
      </c>
      <c r="AC45" s="130" t="n">
        <v>0.6547169040263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14.99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2°14,99</v>
      </c>
      <c r="P9" s="31" t="s">
        <v>13</v>
      </c>
      <c r="Q9" s="35" t="n">
        <f aca="false">IF(ISBLANK(I9),"",IF(ISBLANK(J9),"",IF(J9&gt;60,"ERREUR !!",O11*(I9+(J9/60)))))</f>
        <v>2.24983333333333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2°50,06</v>
      </c>
      <c r="P10" s="31" t="s">
        <v>14</v>
      </c>
      <c r="Q10" s="35" t="n">
        <f aca="false">IF(ISBLANK(I10),"",IF(ISBLANK(J10),"",IF(J10&gt;60,"ERREUR !!",O12*(I10+(J10/60)))))</f>
        <v>2.83433333333333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37154</v>
      </c>
      <c r="K11" s="40"/>
      <c r="L11" s="40"/>
      <c r="M11" s="40"/>
      <c r="N11" s="41" t="str">
        <f aca="false">I9&amp;"°"&amp;J9</f>
        <v>2°14,99</v>
      </c>
      <c r="O11" s="42" t="n">
        <f aca="false">IF(P9=M10,-1,1)</f>
        <v>1</v>
      </c>
      <c r="P11" s="43" t="str">
        <f aca="false">TEXT(J11,"aaaa-mm-jj")&amp;"T"&amp;TEXT(J12,"hh:mm:ss")&amp;"z"</f>
        <v>2005-09-21T07:30:00z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0.3125</v>
      </c>
      <c r="K12" s="48"/>
      <c r="L12" s="48"/>
      <c r="M12" s="48"/>
      <c r="N12" s="49" t="str">
        <f aca="false">I10&amp;"°"&amp;J10</f>
        <v>2°50,06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34.6479</v>
      </c>
      <c r="H35" s="123" t="n">
        <v>1000</v>
      </c>
      <c r="I35" s="124" t="n">
        <v>1003</v>
      </c>
      <c r="J35" s="125"/>
      <c r="K35" s="126"/>
      <c r="L35" s="126"/>
      <c r="M35" s="126"/>
      <c r="N35" s="127"/>
      <c r="O35" s="126"/>
      <c r="P35" s="125" t="n">
        <v>3.542</v>
      </c>
      <c r="Q35" s="125"/>
      <c r="R35" s="125"/>
      <c r="S35" s="128" t="n">
        <v>154</v>
      </c>
      <c r="T35" s="129" t="n">
        <v>0</v>
      </c>
      <c r="U35" s="129" t="n">
        <v>0</v>
      </c>
      <c r="X35" s="130" t="n">
        <v>33.55</v>
      </c>
      <c r="Y35" s="130" t="n">
        <v>32.7847046717647</v>
      </c>
      <c r="Z35" s="129" t="n">
        <v>2.227</v>
      </c>
      <c r="AA35" s="129" t="n">
        <v>2.1762008138307</v>
      </c>
      <c r="AB35" s="130" t="n">
        <v>32.07</v>
      </c>
      <c r="AC35" s="130" t="n">
        <v>31.3384643464529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35.117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1.419</v>
      </c>
      <c r="Q36" s="136"/>
      <c r="R36" s="136"/>
      <c r="S36" s="139" t="n">
        <v>61.8</v>
      </c>
      <c r="T36" s="129" t="n">
        <v>0</v>
      </c>
      <c r="U36" s="129" t="n">
        <v>0</v>
      </c>
      <c r="X36" s="130" t="n">
        <v>31.1</v>
      </c>
      <c r="Y36" s="130" t="n">
        <v>30.3905906197282</v>
      </c>
      <c r="Z36" s="129" t="n">
        <v>1.941</v>
      </c>
      <c r="AA36" s="129" t="n">
        <v>1.89672464285828</v>
      </c>
      <c r="AB36" s="130" t="n">
        <v>13.94</v>
      </c>
      <c r="AC36" s="130" t="n">
        <v>13.622020361383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35.5023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2.729</v>
      </c>
      <c r="Q37" s="136"/>
      <c r="R37" s="136"/>
      <c r="S37" s="139" t="n">
        <v>118.8</v>
      </c>
      <c r="T37" s="129" t="n">
        <v>0</v>
      </c>
      <c r="U37" s="129" t="n">
        <v>0</v>
      </c>
      <c r="X37" s="130" t="n">
        <v>19.51</v>
      </c>
      <c r="Y37" s="130" t="n">
        <v>19.0649653694823</v>
      </c>
      <c r="Z37" s="129" t="n">
        <v>1.3</v>
      </c>
      <c r="AA37" s="129" t="n">
        <v>1.27034623169282</v>
      </c>
      <c r="AB37" s="130" t="n">
        <v>8.17</v>
      </c>
      <c r="AC37" s="130" t="n">
        <v>7.98363747148488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35.5549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2.651</v>
      </c>
      <c r="Q38" s="136"/>
      <c r="R38" s="136"/>
      <c r="S38" s="139" t="n">
        <v>115.4</v>
      </c>
      <c r="T38" s="129" t="n">
        <v>0</v>
      </c>
      <c r="U38" s="129" t="n">
        <v>0</v>
      </c>
      <c r="X38" s="130" t="n">
        <v>19.17</v>
      </c>
      <c r="Y38" s="130" t="n">
        <v>18.7327209704241</v>
      </c>
      <c r="Z38" s="129" t="n">
        <v>1.263</v>
      </c>
      <c r="AA38" s="129" t="n">
        <v>1.23419022356002</v>
      </c>
      <c r="AB38" s="130" t="n">
        <v>7.79</v>
      </c>
      <c r="AC38" s="130" t="n">
        <v>7.61230549606698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35.6278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2.589</v>
      </c>
      <c r="Q39" s="136"/>
      <c r="R39" s="136"/>
      <c r="S39" s="139" t="n">
        <v>112.7</v>
      </c>
      <c r="T39" s="129" t="n">
        <v>0</v>
      </c>
      <c r="U39" s="129" t="n">
        <v>0</v>
      </c>
      <c r="X39" s="130" t="n">
        <v>18.67</v>
      </c>
      <c r="Y39" s="130" t="n">
        <v>18.2441262659269</v>
      </c>
      <c r="Z39" s="129" t="n">
        <v>1.223</v>
      </c>
      <c r="AA39" s="129" t="n">
        <v>1.19510264720025</v>
      </c>
      <c r="AB39" s="130" t="n">
        <v>7.3</v>
      </c>
      <c r="AC39" s="130" t="n">
        <v>7.13348268565968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35.7057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3.111</v>
      </c>
      <c r="Q40" s="136"/>
      <c r="R40" s="136"/>
      <c r="S40" s="139" t="n">
        <v>135.4</v>
      </c>
      <c r="T40" s="129" t="n">
        <v>0.157</v>
      </c>
      <c r="U40" s="129" t="n">
        <v>0.153418737212133</v>
      </c>
      <c r="X40" s="130" t="n">
        <v>14.743</v>
      </c>
      <c r="Y40" s="130" t="n">
        <v>14.4067034568056</v>
      </c>
      <c r="Z40" s="129" t="n">
        <v>1.008</v>
      </c>
      <c r="AA40" s="129" t="n">
        <v>0.985006924266433</v>
      </c>
      <c r="AB40" s="130" t="n">
        <v>5.72</v>
      </c>
      <c r="AC40" s="130" t="n">
        <v>5.58952341944841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35.6838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4.097</v>
      </c>
      <c r="Q41" s="136"/>
      <c r="R41" s="136"/>
      <c r="S41" s="139" t="n">
        <v>178.5</v>
      </c>
      <c r="T41" s="129" t="n">
        <v>0.167</v>
      </c>
      <c r="U41" s="129" t="n">
        <v>0.163190631302078</v>
      </c>
      <c r="X41" s="130" t="n">
        <v>6.493</v>
      </c>
      <c r="Y41" s="130" t="n">
        <v>6.34489083260114</v>
      </c>
      <c r="Z41" s="129" t="n">
        <v>0.559</v>
      </c>
      <c r="AA41" s="129" t="n">
        <v>0.546248879627913</v>
      </c>
      <c r="AB41" s="130" t="n">
        <v>3.32</v>
      </c>
      <c r="AC41" s="130" t="n">
        <v>3.24426883786166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35.1728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4.712</v>
      </c>
      <c r="Q42" s="136"/>
      <c r="R42" s="136"/>
      <c r="S42" s="139" t="n">
        <v>205.7</v>
      </c>
      <c r="T42" s="129" t="n">
        <v>0</v>
      </c>
      <c r="U42" s="129" t="n">
        <v>0</v>
      </c>
      <c r="X42" s="130" t="n">
        <v>0.05</v>
      </c>
      <c r="Y42" s="130" t="n">
        <v>0.0488594704497239</v>
      </c>
      <c r="Z42" s="129" t="n">
        <v>0.036</v>
      </c>
      <c r="AA42" s="129" t="n">
        <v>0.0351788187238012</v>
      </c>
      <c r="AB42" s="130" t="n">
        <v>0.74</v>
      </c>
      <c r="AC42" s="130" t="n">
        <v>0.723120162655913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35.1684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4.729</v>
      </c>
      <c r="Q43" s="136"/>
      <c r="R43" s="136"/>
      <c r="S43" s="139" t="n">
        <v>206.4</v>
      </c>
      <c r="T43" s="129" t="n">
        <v>0</v>
      </c>
      <c r="U43" s="129" t="n">
        <v>0</v>
      </c>
      <c r="X43" s="130" t="n">
        <v>0.04</v>
      </c>
      <c r="Y43" s="130" t="n">
        <v>0.0390875763597791</v>
      </c>
      <c r="Z43" s="129" t="n">
        <v>0.024</v>
      </c>
      <c r="AA43" s="129" t="n">
        <v>0.0234525458158675</v>
      </c>
      <c r="AB43" s="130" t="n">
        <v>0.65</v>
      </c>
      <c r="AC43" s="130" t="n">
        <v>0.63517311584641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35.1687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4.791</v>
      </c>
      <c r="Q44" s="136"/>
      <c r="R44" s="136"/>
      <c r="S44" s="139" t="n">
        <v>209.1</v>
      </c>
      <c r="T44" s="129" t="n">
        <v>0</v>
      </c>
      <c r="U44" s="129" t="n">
        <v>0</v>
      </c>
      <c r="X44" s="130" t="n">
        <v>0.06</v>
      </c>
      <c r="Y44" s="130" t="n">
        <v>0.0586313645396686</v>
      </c>
      <c r="Z44" s="129" t="n">
        <v>0.019</v>
      </c>
      <c r="AA44" s="129" t="n">
        <v>0.0185665987708951</v>
      </c>
      <c r="AB44" s="130" t="n">
        <v>0.62</v>
      </c>
      <c r="AC44" s="130" t="n">
        <v>0.605857433576576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35.1683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4.761</v>
      </c>
      <c r="Q45" s="136"/>
      <c r="R45" s="136"/>
      <c r="S45" s="139" t="n">
        <v>207.8</v>
      </c>
      <c r="T45" s="129" t="n">
        <v>0</v>
      </c>
      <c r="U45" s="129" t="n">
        <v>0</v>
      </c>
      <c r="X45" s="130" t="n">
        <v>0.04</v>
      </c>
      <c r="Y45" s="130" t="n">
        <v>0.0390875763597791</v>
      </c>
      <c r="Z45" s="129" t="n">
        <v>0.035</v>
      </c>
      <c r="AA45" s="129" t="n">
        <v>0.0342016293148067</v>
      </c>
      <c r="AB45" s="130" t="n">
        <v>0.63</v>
      </c>
      <c r="AC45" s="130" t="n">
        <v>0.615629327666521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30.58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1°30,58</v>
      </c>
      <c r="P9" s="31" t="s">
        <v>13</v>
      </c>
      <c r="Q9" s="35" t="n">
        <f aca="false">IF(ISBLANK(I9),"",IF(ISBLANK(J9),"",IF(J9&gt;60,"ERREUR !!",O11*(I9+(J9/60)))))</f>
        <v>1.50966666666667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49.99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2°49,99</v>
      </c>
      <c r="P10" s="31" t="s">
        <v>14</v>
      </c>
      <c r="Q10" s="35" t="n">
        <f aca="false">IF(ISBLANK(I10),"",IF(ISBLANK(J10),"",IF(J10&gt;60,"ERREUR !!",O12*(I10+(J10/60)))))</f>
        <v>2.83316666666667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37154</v>
      </c>
      <c r="K11" s="40"/>
      <c r="L11" s="40"/>
      <c r="M11" s="40"/>
      <c r="N11" s="41" t="str">
        <f aca="false">I9&amp;"°"&amp;J9</f>
        <v>1°30,58</v>
      </c>
      <c r="O11" s="42" t="n">
        <f aca="false">IF(P9=M10,-1,1)</f>
        <v>1</v>
      </c>
      <c r="P11" s="43" t="str">
        <f aca="false">TEXT(J11,"aaaa-mm-jj")&amp;"T"&amp;TEXT(J12,"hh:mm:ss")&amp;"z"</f>
        <v>2005-09-21T14:00:00z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2°49,99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34.6413</v>
      </c>
      <c r="H35" s="123" t="n">
        <v>1000</v>
      </c>
      <c r="I35" s="124" t="n">
        <v>999</v>
      </c>
      <c r="J35" s="125"/>
      <c r="K35" s="126"/>
      <c r="L35" s="126"/>
      <c r="M35" s="126"/>
      <c r="N35" s="127"/>
      <c r="O35" s="126"/>
      <c r="P35" s="125" t="n">
        <v>3.626</v>
      </c>
      <c r="Q35" s="125"/>
      <c r="R35" s="125"/>
      <c r="S35" s="128" t="n">
        <v>157.6</v>
      </c>
      <c r="T35" s="129" t="n">
        <v>0.028</v>
      </c>
      <c r="U35" s="129" t="n">
        <v>0.0273613034518454</v>
      </c>
      <c r="X35" s="130" t="n">
        <v>32.962</v>
      </c>
      <c r="Y35" s="130" t="n">
        <v>32.210117299276</v>
      </c>
      <c r="Z35" s="129" t="n">
        <v>2.177</v>
      </c>
      <c r="AA35" s="129" t="n">
        <v>2.12734134338098</v>
      </c>
      <c r="AB35" s="130" t="n">
        <v>31.75</v>
      </c>
      <c r="AC35" s="130" t="n">
        <v>31.0257637355747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35.1518</v>
      </c>
      <c r="H36" s="124" t="n">
        <v>300</v>
      </c>
      <c r="I36" s="124" t="n">
        <v>299</v>
      </c>
      <c r="J36" s="136"/>
      <c r="K36" s="137"/>
      <c r="L36" s="137"/>
      <c r="M36" s="137"/>
      <c r="N36" s="138"/>
      <c r="O36" s="137"/>
      <c r="P36" s="136" t="n">
        <v>1.764</v>
      </c>
      <c r="Q36" s="136"/>
      <c r="R36" s="136"/>
      <c r="S36" s="139" t="n">
        <v>76.8</v>
      </c>
      <c r="T36" s="129" t="n">
        <v>0.05</v>
      </c>
      <c r="U36" s="129" t="n">
        <v>0.0488594704497239</v>
      </c>
      <c r="X36" s="130" t="n">
        <v>28.93</v>
      </c>
      <c r="Y36" s="130" t="n">
        <v>28.2700896022102</v>
      </c>
      <c r="Z36" s="129" t="n">
        <v>1.786</v>
      </c>
      <c r="AA36" s="129" t="n">
        <v>1.74526028446414</v>
      </c>
      <c r="AB36" s="130" t="n">
        <v>12.46</v>
      </c>
      <c r="AC36" s="130" t="n">
        <v>12.1757800360712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35.4969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2.991</v>
      </c>
      <c r="Q37" s="136"/>
      <c r="R37" s="136"/>
      <c r="S37" s="139" t="n">
        <v>130.2</v>
      </c>
      <c r="T37" s="129" t="n">
        <v>0.052</v>
      </c>
      <c r="U37" s="129" t="n">
        <v>0.0508138492677128</v>
      </c>
      <c r="X37" s="130" t="n">
        <v>18.018</v>
      </c>
      <c r="Y37" s="130" t="n">
        <v>17.6069987712625</v>
      </c>
      <c r="Z37" s="129" t="n">
        <v>1.205</v>
      </c>
      <c r="AA37" s="129" t="n">
        <v>1.17751323783835</v>
      </c>
      <c r="AB37" s="130" t="n">
        <v>7.35</v>
      </c>
      <c r="AC37" s="130" t="n">
        <v>7.18234215610941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35.5089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3.061</v>
      </c>
      <c r="Q38" s="136"/>
      <c r="R38" s="136"/>
      <c r="S38" s="139" t="n">
        <v>133.2</v>
      </c>
      <c r="T38" s="129" t="n">
        <v>0.047</v>
      </c>
      <c r="U38" s="129" t="n">
        <v>0.0459279022227404</v>
      </c>
      <c r="X38" s="130" t="n">
        <v>17.623</v>
      </c>
      <c r="Y38" s="130" t="n">
        <v>17.2210089547097</v>
      </c>
      <c r="Z38" s="129" t="n">
        <v>1.183</v>
      </c>
      <c r="AA38" s="129" t="n">
        <v>1.15601507084047</v>
      </c>
      <c r="AB38" s="130" t="n">
        <v>7.33</v>
      </c>
      <c r="AC38" s="130" t="n">
        <v>7.16279836792952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35.5768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2.952</v>
      </c>
      <c r="Q39" s="136"/>
      <c r="R39" s="136"/>
      <c r="S39" s="139" t="n">
        <v>128.5</v>
      </c>
      <c r="T39" s="129" t="n">
        <v>0.084</v>
      </c>
      <c r="U39" s="129" t="n">
        <v>0.0820839103555361</v>
      </c>
      <c r="X39" s="130" t="n">
        <v>17.386</v>
      </c>
      <c r="Y39" s="130" t="n">
        <v>16.989415064778</v>
      </c>
      <c r="Z39" s="129" t="n">
        <v>1.162</v>
      </c>
      <c r="AA39" s="129" t="n">
        <v>1.13549409325158</v>
      </c>
      <c r="AB39" s="130" t="n">
        <v>6.85</v>
      </c>
      <c r="AC39" s="130" t="n">
        <v>6.69374745161217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35.6546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3.099</v>
      </c>
      <c r="Q40" s="136"/>
      <c r="R40" s="136"/>
      <c r="S40" s="139" t="n">
        <v>134.9</v>
      </c>
      <c r="T40" s="129" t="n">
        <v>0.253</v>
      </c>
      <c r="U40" s="129" t="n">
        <v>0.247228920475603</v>
      </c>
      <c r="X40" s="130" t="n">
        <v>15.507</v>
      </c>
      <c r="Y40" s="130" t="n">
        <v>15.1532761652774</v>
      </c>
      <c r="Z40" s="129" t="n">
        <v>1.057</v>
      </c>
      <c r="AA40" s="129" t="n">
        <v>1.03288920530716</v>
      </c>
      <c r="AB40" s="130" t="n">
        <v>5.92</v>
      </c>
      <c r="AC40" s="130" t="n">
        <v>5.78496130124731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35.7122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3.845</v>
      </c>
      <c r="Q41" s="136"/>
      <c r="R41" s="136"/>
      <c r="S41" s="139" t="n">
        <v>167.5</v>
      </c>
      <c r="T41" s="129" t="n">
        <v>0.262</v>
      </c>
      <c r="U41" s="129" t="n">
        <v>0.256023625156553</v>
      </c>
      <c r="X41" s="130" t="n">
        <v>8.848</v>
      </c>
      <c r="Y41" s="130" t="n">
        <v>8.64617189078314</v>
      </c>
      <c r="Z41" s="129" t="n">
        <v>0.703</v>
      </c>
      <c r="AA41" s="129" t="n">
        <v>0.686964154523118</v>
      </c>
      <c r="AB41" s="130" t="n">
        <v>4</v>
      </c>
      <c r="AC41" s="130" t="n">
        <v>3.90875763597791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35.4511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4.806</v>
      </c>
      <c r="Q42" s="136"/>
      <c r="R42" s="136"/>
      <c r="S42" s="139" t="n">
        <v>209.7</v>
      </c>
      <c r="T42" s="129" t="n">
        <v>0.025</v>
      </c>
      <c r="U42" s="129" t="n">
        <v>0.0244297352248619</v>
      </c>
      <c r="X42" s="130" t="n">
        <v>0.135</v>
      </c>
      <c r="Y42" s="130" t="n">
        <v>0.131920570214254</v>
      </c>
      <c r="Z42" s="129" t="n">
        <v>0.065</v>
      </c>
      <c r="AA42" s="129" t="n">
        <v>0.063517311584641</v>
      </c>
      <c r="AB42" s="130" t="n">
        <v>0.72</v>
      </c>
      <c r="AC42" s="130" t="n">
        <v>0.703576374476024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35.2553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4.786</v>
      </c>
      <c r="Q43" s="136"/>
      <c r="R43" s="136"/>
      <c r="S43" s="139" t="n">
        <v>208.9</v>
      </c>
      <c r="T43" s="129" t="n">
        <v>0.021</v>
      </c>
      <c r="U43" s="129" t="n">
        <v>0.020520977588884</v>
      </c>
      <c r="X43" s="130" t="n">
        <v>0.069</v>
      </c>
      <c r="Y43" s="130" t="n">
        <v>0.067426069220619</v>
      </c>
      <c r="Z43" s="129" t="n">
        <v>0.039</v>
      </c>
      <c r="AA43" s="129" t="n">
        <v>0.0381103869507846</v>
      </c>
      <c r="AB43" s="130" t="n">
        <v>0.59</v>
      </c>
      <c r="AC43" s="130" t="n">
        <v>0.576541751306742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76" t="n">
        <v>35.2546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4.787</v>
      </c>
      <c r="Q44" s="136"/>
      <c r="R44" s="136"/>
      <c r="S44" s="139" t="n">
        <v>209</v>
      </c>
      <c r="T44" s="129" t="n">
        <v>0.0085</v>
      </c>
      <c r="U44" s="129" t="n">
        <v>0.00830610997645306</v>
      </c>
      <c r="X44" s="130" t="n">
        <v>0.0865</v>
      </c>
      <c r="Y44" s="130" t="n">
        <v>0.0845268838780223</v>
      </c>
      <c r="Z44" s="129" t="n">
        <v>0.036</v>
      </c>
      <c r="AA44" s="129" t="n">
        <v>0.0351788187238012</v>
      </c>
      <c r="AB44" s="130" t="n">
        <v>0.655</v>
      </c>
      <c r="AC44" s="130" t="n">
        <v>0.640059062891383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35.2601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4.712</v>
      </c>
      <c r="Q45" s="136"/>
      <c r="R45" s="136"/>
      <c r="S45" s="139" t="n">
        <v>205.7</v>
      </c>
      <c r="T45" s="129" t="n">
        <v>0.007</v>
      </c>
      <c r="U45" s="129" t="n">
        <v>0.00684032586296134</v>
      </c>
      <c r="X45" s="130" t="n">
        <v>0.093</v>
      </c>
      <c r="Y45" s="130" t="n">
        <v>0.0908786150364864</v>
      </c>
      <c r="Z45" s="129" t="n">
        <v>0.033</v>
      </c>
      <c r="AA45" s="129" t="n">
        <v>0.0322472504968178</v>
      </c>
      <c r="AB45" s="130" t="n">
        <v>0.6</v>
      </c>
      <c r="AC45" s="130" t="n">
        <v>0.586313645396686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Q48" activeCellId="0" sqref="Q4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0.12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1°0,12</v>
      </c>
      <c r="P9" s="31" t="s">
        <v>13</v>
      </c>
      <c r="Q9" s="35" t="n">
        <f aca="false">IF(ISBLANK(I9),"",IF(ISBLANK(J9),"",IF(J9&gt;60,"ERREUR !!",O11*(I9+(J9/60)))))</f>
        <v>1.002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2°50,09</v>
      </c>
      <c r="P10" s="31" t="s">
        <v>14</v>
      </c>
      <c r="Q10" s="35" t="n">
        <f aca="false">IF(ISBLANK(I10),"",IF(ISBLANK(J10),"",IF(J10&gt;60,"ERREUR !!",O12*(I10+(J10/60)))))</f>
        <v>2.83483333333333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37154</v>
      </c>
      <c r="K11" s="40"/>
      <c r="L11" s="40"/>
      <c r="M11" s="40"/>
      <c r="N11" s="41" t="str">
        <f aca="false">I9&amp;"°"&amp;J9</f>
        <v>1°0,12</v>
      </c>
      <c r="O11" s="42" t="n">
        <f aca="false">IF(P9=M10,-1,1)</f>
        <v>1</v>
      </c>
      <c r="P11" s="43" t="str">
        <f aca="false">TEXT(J11,"aaaa-mm-jj")&amp;"T"&amp;TEXT(J12,"hh:mm:ss")&amp;"z"</f>
        <v>2005-09-21T18:30:00z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0.770833333333333</v>
      </c>
      <c r="K12" s="48"/>
      <c r="L12" s="48"/>
      <c r="M12" s="48"/>
      <c r="N12" s="49" t="str">
        <f aca="false">I10&amp;"°"&amp;J10</f>
        <v>2°50,09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34.648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3.622</v>
      </c>
      <c r="Q35" s="125"/>
      <c r="R35" s="125"/>
      <c r="S35" s="128" t="n">
        <v>157.5</v>
      </c>
      <c r="T35" s="129" t="n">
        <v>0.009</v>
      </c>
      <c r="U35" s="129" t="n">
        <v>0.0087947046809503</v>
      </c>
      <c r="X35" s="130" t="n">
        <v>33.271</v>
      </c>
      <c r="Y35" s="130" t="n">
        <v>32.5120688266553</v>
      </c>
      <c r="Z35" s="129" t="n">
        <v>2.222</v>
      </c>
      <c r="AA35" s="129" t="n">
        <v>2.17131486678573</v>
      </c>
      <c r="AB35" s="130" t="n">
        <v>32.2</v>
      </c>
      <c r="AC35" s="130" t="n">
        <v>31.4654989696222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35.1099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1.881</v>
      </c>
      <c r="Q36" s="136"/>
      <c r="R36" s="136"/>
      <c r="S36" s="139" t="n">
        <v>81.9</v>
      </c>
      <c r="T36" s="129" t="n">
        <v>0.003</v>
      </c>
      <c r="U36" s="129" t="n">
        <v>0.00293156822698343</v>
      </c>
      <c r="X36" s="130" t="n">
        <v>29.027</v>
      </c>
      <c r="Y36" s="130" t="n">
        <v>28.3648769748827</v>
      </c>
      <c r="Z36" s="129" t="n">
        <v>1.799</v>
      </c>
      <c r="AA36" s="129" t="n">
        <v>1.75796374678106</v>
      </c>
      <c r="AB36" s="130" t="n">
        <v>12.79</v>
      </c>
      <c r="AC36" s="130" t="n">
        <v>12.4982525410394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35.4897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2.961</v>
      </c>
      <c r="Q37" s="136"/>
      <c r="R37" s="136"/>
      <c r="S37" s="139" t="n">
        <v>128.9</v>
      </c>
      <c r="T37" s="129" t="n">
        <v>0.006</v>
      </c>
      <c r="U37" s="129" t="n">
        <v>0.00586313645396687</v>
      </c>
      <c r="X37" s="130" t="n">
        <v>18.464</v>
      </c>
      <c r="Y37" s="130" t="n">
        <v>18.042825247674</v>
      </c>
      <c r="Z37" s="129" t="n">
        <v>1.229</v>
      </c>
      <c r="AA37" s="129" t="n">
        <v>1.20096578365421</v>
      </c>
      <c r="AB37" s="130" t="n">
        <v>7.47</v>
      </c>
      <c r="AC37" s="130" t="n">
        <v>7.29960488518875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35.586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3.001</v>
      </c>
      <c r="Q38" s="136"/>
      <c r="R38" s="136"/>
      <c r="S38" s="139" t="n">
        <v>130.6</v>
      </c>
      <c r="T38" s="129" t="n">
        <v>0.011</v>
      </c>
      <c r="U38" s="129" t="n">
        <v>0.0107490834989393</v>
      </c>
      <c r="X38" s="130" t="n">
        <v>17.609</v>
      </c>
      <c r="Y38" s="130" t="n">
        <v>17.2073283029838</v>
      </c>
      <c r="Z38" s="129" t="n">
        <v>1.189</v>
      </c>
      <c r="AA38" s="129" t="n">
        <v>1.16187820729443</v>
      </c>
      <c r="AB38" s="130" t="n">
        <v>7.22</v>
      </c>
      <c r="AC38" s="130" t="n">
        <v>7.05530753294013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35.54295</v>
      </c>
      <c r="H39" s="124" t="n">
        <v>100</v>
      </c>
      <c r="I39" s="124" t="n">
        <v>101</v>
      </c>
      <c r="J39" s="136"/>
      <c r="K39" s="137"/>
      <c r="L39" s="137"/>
      <c r="M39" s="137"/>
      <c r="N39" s="138"/>
      <c r="O39" s="137"/>
      <c r="P39" s="136" t="n">
        <v>3.173</v>
      </c>
      <c r="Q39" s="136"/>
      <c r="R39" s="136"/>
      <c r="S39" s="139" t="n">
        <v>138.1</v>
      </c>
      <c r="T39" s="129" t="n">
        <v>0.022</v>
      </c>
      <c r="U39" s="129" t="n">
        <v>0.0214981669978785</v>
      </c>
      <c r="X39" s="130" t="n">
        <v>16.638</v>
      </c>
      <c r="Y39" s="130" t="n">
        <v>16.2584773868501</v>
      </c>
      <c r="Z39" s="129" t="n">
        <v>1.115</v>
      </c>
      <c r="AA39" s="129" t="n">
        <v>1.08956619102884</v>
      </c>
      <c r="AB39" s="130" t="n">
        <v>6.7</v>
      </c>
      <c r="AC39" s="130" t="n">
        <v>6.547169040263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35.6223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2.891</v>
      </c>
      <c r="Q40" s="136"/>
      <c r="R40" s="136"/>
      <c r="S40" s="139" t="n">
        <v>125.8</v>
      </c>
      <c r="T40" s="129" t="n">
        <v>0.069</v>
      </c>
      <c r="U40" s="129" t="n">
        <v>0.067426069220619</v>
      </c>
      <c r="X40" s="130" t="n">
        <v>17.161</v>
      </c>
      <c r="Y40" s="130" t="n">
        <v>16.7695474477542</v>
      </c>
      <c r="Z40" s="129" t="n">
        <v>1.152</v>
      </c>
      <c r="AA40" s="129" t="n">
        <v>1.12572219916164</v>
      </c>
      <c r="AB40" s="130" t="n">
        <v>6.43</v>
      </c>
      <c r="AC40" s="130" t="n">
        <v>6.28332789983449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35.7463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3.315</v>
      </c>
      <c r="Q41" s="136"/>
      <c r="R41" s="136"/>
      <c r="S41" s="139" t="n">
        <v>144.3</v>
      </c>
      <c r="T41" s="129" t="n">
        <v>0</v>
      </c>
      <c r="U41" s="129" t="n">
        <v>0</v>
      </c>
      <c r="X41" s="130" t="n">
        <v>12.51</v>
      </c>
      <c r="Y41" s="130" t="n">
        <v>12.2246395065209</v>
      </c>
      <c r="Z41" s="129" t="n">
        <v>0.894</v>
      </c>
      <c r="AA41" s="129" t="n">
        <v>0.873607331641063</v>
      </c>
      <c r="AB41" s="130" t="n">
        <v>4.77</v>
      </c>
      <c r="AC41" s="130" t="n">
        <v>4.66119348090366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35.3618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4.748</v>
      </c>
      <c r="Q42" s="136"/>
      <c r="R42" s="136"/>
      <c r="S42" s="139" t="n">
        <v>207.2</v>
      </c>
      <c r="T42" s="129" t="n">
        <v>0</v>
      </c>
      <c r="U42" s="129" t="n">
        <v>0</v>
      </c>
      <c r="X42" s="130" t="n">
        <v>0.17</v>
      </c>
      <c r="Y42" s="130" t="n">
        <v>0.166122199529061</v>
      </c>
      <c r="Z42" s="129" t="n">
        <v>0.083</v>
      </c>
      <c r="AA42" s="129" t="n">
        <v>0.0811067209465416</v>
      </c>
      <c r="AB42" s="130" t="n">
        <v>0.68</v>
      </c>
      <c r="AC42" s="130" t="n">
        <v>0.664488798116245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35.3452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4.794</v>
      </c>
      <c r="Q43" s="136"/>
      <c r="R43" s="136"/>
      <c r="S43" s="139" t="n">
        <v>209.2</v>
      </c>
      <c r="T43" s="129" t="n">
        <v>0</v>
      </c>
      <c r="U43" s="129" t="n">
        <v>0</v>
      </c>
      <c r="X43" s="130" t="n">
        <v>0.07</v>
      </c>
      <c r="Y43" s="130" t="n">
        <v>0.0684032586296134</v>
      </c>
      <c r="Z43" s="129" t="n">
        <v>0.062</v>
      </c>
      <c r="AA43" s="129" t="n">
        <v>0.0605857433576576</v>
      </c>
      <c r="AB43" s="130" t="n">
        <v>0.59</v>
      </c>
      <c r="AC43" s="130" t="n">
        <v>0.576541751306742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35.3476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4.649</v>
      </c>
      <c r="Q44" s="136"/>
      <c r="R44" s="136"/>
      <c r="S44" s="139" t="n">
        <v>202.9</v>
      </c>
      <c r="T44" s="129" t="n">
        <v>0</v>
      </c>
      <c r="U44" s="129" t="n">
        <v>0</v>
      </c>
      <c r="X44" s="130" t="n">
        <v>0.09</v>
      </c>
      <c r="Y44" s="130" t="n">
        <v>0.087947046809503</v>
      </c>
      <c r="Z44" s="129" t="n">
        <v>0.072</v>
      </c>
      <c r="AA44" s="129" t="n">
        <v>0.0703576374476024</v>
      </c>
      <c r="AB44" s="130" t="n">
        <v>0.6</v>
      </c>
      <c r="AC44" s="130" t="n">
        <v>0.586313645396686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76" t="n">
        <v>35.3487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4.749</v>
      </c>
      <c r="Q45" s="136"/>
      <c r="R45" s="136"/>
      <c r="S45" s="139" t="n">
        <v>207.2</v>
      </c>
      <c r="T45" s="129" t="n">
        <v>0</v>
      </c>
      <c r="U45" s="129" t="n">
        <v>0</v>
      </c>
      <c r="X45" s="130" t="n">
        <v>0.09</v>
      </c>
      <c r="Y45" s="130" t="n">
        <v>0.087947046809503</v>
      </c>
      <c r="Z45" s="129" t="n">
        <v>0.06</v>
      </c>
      <c r="AA45" s="129" t="n">
        <v>0.0586313645396686</v>
      </c>
      <c r="AB45" s="130" t="n">
        <v>0.675</v>
      </c>
      <c r="AC45" s="130" t="n">
        <v>0.659602851071272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29.96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0°29,96</v>
      </c>
      <c r="P9" s="31" t="s">
        <v>13</v>
      </c>
      <c r="Q9" s="35" t="n">
        <f aca="false">IF(ISBLANK(I9),"",IF(ISBLANK(J9),"",IF(J9&gt;60,"ERREUR !!",O11*(I9+(J9/60)))))</f>
        <v>0.499333333333333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2°50,03</v>
      </c>
      <c r="P10" s="31" t="s">
        <v>14</v>
      </c>
      <c r="Q10" s="35" t="n">
        <f aca="false">IF(ISBLANK(I10),"",IF(ISBLANK(J10),"",IF(J10&gt;60,"ERREUR !!",O12*(I10+(J10/60)))))</f>
        <v>2.83383333333333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37154</v>
      </c>
      <c r="K11" s="40"/>
      <c r="L11" s="40"/>
      <c r="M11" s="40"/>
      <c r="N11" s="41" t="str">
        <f aca="false">I9&amp;"°"&amp;J9</f>
        <v>0°29,96</v>
      </c>
      <c r="O11" s="42" t="n">
        <f aca="false">IF(P9=M10,-1,1)</f>
        <v>1</v>
      </c>
      <c r="P11" s="43" t="str">
        <f aca="false">TEXT(J11,"aaaa-mm-jj")&amp;"T"&amp;TEXT(J12,"hh:mm:ss")&amp;"z"</f>
        <v>2005-09-21T23:30:00z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0.979166666666667</v>
      </c>
      <c r="K12" s="48"/>
      <c r="L12" s="48"/>
      <c r="M12" s="48"/>
      <c r="N12" s="49" t="str">
        <f aca="false">I10&amp;"°"&amp;J10</f>
        <v>2°50,03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76" t="n">
        <v>34.6561</v>
      </c>
      <c r="H35" s="123" t="n">
        <v>1000</v>
      </c>
      <c r="I35" s="124" t="n">
        <v>1001.89</v>
      </c>
      <c r="J35" s="125"/>
      <c r="K35" s="126"/>
      <c r="L35" s="126"/>
      <c r="M35" s="126"/>
      <c r="N35" s="127"/>
      <c r="O35" s="126"/>
      <c r="P35" s="125" t="n">
        <v>3.716</v>
      </c>
      <c r="Q35" s="125"/>
      <c r="R35" s="125"/>
      <c r="S35" s="128" t="n">
        <v>161.6</v>
      </c>
      <c r="T35" s="129" t="n">
        <v>0</v>
      </c>
      <c r="U35" s="129" t="n">
        <v>0</v>
      </c>
      <c r="X35" s="130" t="n">
        <v>33.095</v>
      </c>
      <c r="Y35" s="130" t="n">
        <v>32.3400834906722</v>
      </c>
      <c r="Z35" s="129" t="n">
        <v>2.156</v>
      </c>
      <c r="AA35" s="129" t="n">
        <v>2.10682036579209</v>
      </c>
      <c r="AB35" s="130" t="n">
        <v>31.805</v>
      </c>
      <c r="AC35" s="130" t="n">
        <v>31.0795091530694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35.0936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1.796</v>
      </c>
      <c r="Q36" s="136"/>
      <c r="R36" s="136"/>
      <c r="S36" s="139" t="n">
        <v>78.2</v>
      </c>
      <c r="T36" s="129" t="n">
        <v>0</v>
      </c>
      <c r="U36" s="129" t="n">
        <v>0</v>
      </c>
      <c r="X36" s="130" t="n">
        <v>29.67</v>
      </c>
      <c r="Y36" s="130" t="n">
        <v>28.9932097648661</v>
      </c>
      <c r="Z36" s="129" t="n">
        <v>1.815</v>
      </c>
      <c r="AA36" s="129" t="n">
        <v>1.77359877732498</v>
      </c>
      <c r="AB36" s="130" t="n">
        <v>12.94</v>
      </c>
      <c r="AC36" s="130" t="n">
        <v>12.6448309523885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35.5128</v>
      </c>
      <c r="H37" s="124" t="n">
        <v>160</v>
      </c>
      <c r="I37" s="124" t="n">
        <v>161</v>
      </c>
      <c r="J37" s="136"/>
      <c r="K37" s="137"/>
      <c r="L37" s="137"/>
      <c r="M37" s="137"/>
      <c r="N37" s="138"/>
      <c r="O37" s="137"/>
      <c r="P37" s="136" t="n">
        <v>3.143</v>
      </c>
      <c r="Q37" s="136"/>
      <c r="R37" s="136"/>
      <c r="S37" s="139" t="n">
        <v>136.8</v>
      </c>
      <c r="T37" s="129" t="n">
        <v>0</v>
      </c>
      <c r="U37" s="129" t="n">
        <v>0</v>
      </c>
      <c r="X37" s="130" t="n">
        <v>17.12</v>
      </c>
      <c r="Y37" s="130" t="n">
        <v>16.7294826819855</v>
      </c>
      <c r="Z37" s="129" t="n">
        <v>1.145</v>
      </c>
      <c r="AA37" s="129" t="n">
        <v>1.11888187329868</v>
      </c>
      <c r="AB37" s="130" t="n">
        <v>6.91</v>
      </c>
      <c r="AC37" s="130" t="n">
        <v>6.75237881615184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35.536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3.399</v>
      </c>
      <c r="Q38" s="136"/>
      <c r="R38" s="136"/>
      <c r="S38" s="139" t="n">
        <v>148</v>
      </c>
      <c r="T38" s="129" t="n">
        <v>0.019</v>
      </c>
      <c r="U38" s="129" t="n">
        <v>0.0185665987708951</v>
      </c>
      <c r="X38" s="130" t="n">
        <v>15.611</v>
      </c>
      <c r="Y38" s="130" t="n">
        <v>15.2549038638128</v>
      </c>
      <c r="Z38" s="129" t="n">
        <v>1.065</v>
      </c>
      <c r="AA38" s="129" t="n">
        <v>1.04070672057912</v>
      </c>
      <c r="AB38" s="130" t="n">
        <v>6.35</v>
      </c>
      <c r="AC38" s="130" t="n">
        <v>6.20515274711493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35.6722</v>
      </c>
      <c r="H39" s="124" t="n">
        <v>100</v>
      </c>
      <c r="I39" s="124" t="n">
        <v>101</v>
      </c>
      <c r="J39" s="136"/>
      <c r="K39" s="137"/>
      <c r="L39" s="137"/>
      <c r="M39" s="137"/>
      <c r="N39" s="138"/>
      <c r="O39" s="137"/>
      <c r="P39" s="136" t="n">
        <v>3.238</v>
      </c>
      <c r="Q39" s="136"/>
      <c r="R39" s="136"/>
      <c r="S39" s="139" t="n">
        <v>141</v>
      </c>
      <c r="T39" s="129" t="n">
        <v>0.062</v>
      </c>
      <c r="U39" s="129" t="n">
        <v>0.0605857433576576</v>
      </c>
      <c r="X39" s="130" t="n">
        <v>15.648</v>
      </c>
      <c r="Y39" s="130" t="n">
        <v>15.2910598719456</v>
      </c>
      <c r="Z39" s="129" t="n">
        <v>1.064</v>
      </c>
      <c r="AA39" s="129" t="n">
        <v>1.03972953117012</v>
      </c>
      <c r="AB39" s="130" t="n">
        <v>6.08</v>
      </c>
      <c r="AC39" s="130" t="n">
        <v>5.94131160668642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35.8915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3.42</v>
      </c>
      <c r="Q40" s="136"/>
      <c r="R40" s="136"/>
      <c r="S40" s="139" t="n">
        <v>149</v>
      </c>
      <c r="T40" s="129" t="n">
        <v>0.2</v>
      </c>
      <c r="U40" s="129" t="n">
        <v>0.195437881798895</v>
      </c>
      <c r="X40" s="130" t="n">
        <v>10.89</v>
      </c>
      <c r="Y40" s="130" t="n">
        <v>10.6415926639499</v>
      </c>
      <c r="Z40" s="129" t="n">
        <v>0.804</v>
      </c>
      <c r="AA40" s="129" t="n">
        <v>0.78566028483156</v>
      </c>
      <c r="AB40" s="130" t="n">
        <v>4.16</v>
      </c>
      <c r="AC40" s="130" t="n">
        <v>4.06510794141703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35.9429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3.982</v>
      </c>
      <c r="Q41" s="136"/>
      <c r="R41" s="136"/>
      <c r="S41" s="139" t="n">
        <v>173.5</v>
      </c>
      <c r="T41" s="129" t="n">
        <v>0.291</v>
      </c>
      <c r="U41" s="129" t="n">
        <v>0.284362118017393</v>
      </c>
      <c r="X41" s="130" t="n">
        <v>6.719</v>
      </c>
      <c r="Y41" s="130" t="n">
        <v>6.56573563903389</v>
      </c>
      <c r="Z41" s="129" t="n">
        <v>0.558</v>
      </c>
      <c r="AA41" s="129" t="n">
        <v>0.545271690218918</v>
      </c>
      <c r="AB41" s="130" t="n">
        <v>3.09</v>
      </c>
      <c r="AC41" s="130" t="n">
        <v>3.01951527379294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35.3598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4.75</v>
      </c>
      <c r="Q42" s="136"/>
      <c r="R42" s="136"/>
      <c r="S42" s="139" t="n">
        <v>207.3</v>
      </c>
      <c r="T42" s="129" t="n">
        <v>0.002</v>
      </c>
      <c r="U42" s="129" t="n">
        <v>0.00195437881798896</v>
      </c>
      <c r="X42" s="130" t="n">
        <v>0.208</v>
      </c>
      <c r="Y42" s="130" t="n">
        <v>0.203255397070851</v>
      </c>
      <c r="Z42" s="129" t="n">
        <v>0.066</v>
      </c>
      <c r="AA42" s="129" t="n">
        <v>0.0644945009936355</v>
      </c>
      <c r="AB42" s="130" t="n">
        <v>0.48</v>
      </c>
      <c r="AC42" s="130" t="n">
        <v>0.469050916317349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35.3485</v>
      </c>
      <c r="H43" s="124" t="n">
        <v>20</v>
      </c>
      <c r="I43" s="124" t="n">
        <v>21</v>
      </c>
      <c r="J43" s="136"/>
      <c r="K43" s="136"/>
      <c r="L43" s="136"/>
      <c r="M43" s="136"/>
      <c r="N43" s="136"/>
      <c r="O43" s="136"/>
      <c r="P43" s="136" t="n">
        <v>4.725</v>
      </c>
      <c r="Q43" s="136"/>
      <c r="R43" s="136"/>
      <c r="S43" s="139" t="n">
        <v>206.2</v>
      </c>
      <c r="T43" s="129" t="n">
        <v>0.01</v>
      </c>
      <c r="U43" s="129" t="n">
        <v>0.00977189408994478</v>
      </c>
      <c r="X43" s="130" t="n">
        <v>0.09</v>
      </c>
      <c r="Y43" s="130" t="n">
        <v>0.087947046809503</v>
      </c>
      <c r="Z43" s="129" t="n">
        <v>0.055</v>
      </c>
      <c r="AA43" s="129" t="n">
        <v>0.0537454174946963</v>
      </c>
      <c r="AB43" s="130" t="n">
        <v>0.43</v>
      </c>
      <c r="AC43" s="130" t="n">
        <v>0.420191445867625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35.35005</v>
      </c>
      <c r="H44" s="124" t="n">
        <v>10</v>
      </c>
      <c r="I44" s="124" t="n">
        <v>11</v>
      </c>
      <c r="J44" s="136"/>
      <c r="K44" s="136"/>
      <c r="L44" s="136"/>
      <c r="M44" s="136"/>
      <c r="N44" s="136"/>
      <c r="O44" s="136"/>
      <c r="P44" s="136" t="n">
        <v>4.762</v>
      </c>
      <c r="Q44" s="136"/>
      <c r="R44" s="136"/>
      <c r="S44" s="139" t="n">
        <v>207.8</v>
      </c>
      <c r="T44" s="129" t="n">
        <v>0.016</v>
      </c>
      <c r="U44" s="129" t="n">
        <v>0.0156350305439116</v>
      </c>
      <c r="X44" s="130" t="n">
        <v>0.104</v>
      </c>
      <c r="Y44" s="130" t="n">
        <v>0.101627698535426</v>
      </c>
      <c r="Z44" s="129" t="n">
        <v>0.055</v>
      </c>
      <c r="AA44" s="129" t="n">
        <v>0.0537454174946963</v>
      </c>
      <c r="AB44" s="130" t="n">
        <v>0.46</v>
      </c>
      <c r="AC44" s="130" t="n">
        <v>0.44950712813746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35.35005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4.706</v>
      </c>
      <c r="Q45" s="136"/>
      <c r="R45" s="136"/>
      <c r="S45" s="139" t="n">
        <v>205.4</v>
      </c>
      <c r="T45" s="129" t="n">
        <v>0</v>
      </c>
      <c r="U45" s="129" t="n">
        <v>0</v>
      </c>
      <c r="X45" s="130" t="n">
        <v>0.07</v>
      </c>
      <c r="Y45" s="130" t="n">
        <v>0.0684032586296134</v>
      </c>
      <c r="Z45" s="129" t="n">
        <v>0.059</v>
      </c>
      <c r="AA45" s="129" t="n">
        <v>0.0576541751306742</v>
      </c>
      <c r="AB45" s="130" t="n">
        <v>0.47</v>
      </c>
      <c r="AC45" s="130" t="n">
        <v>0.459279022227404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0.47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0°0,47</v>
      </c>
      <c r="P9" s="31" t="s">
        <v>13</v>
      </c>
      <c r="Q9" s="35" t="n">
        <f aca="false">IF(ISBLANK(I9),"",IF(ISBLANK(J9),"",IF(J9&gt;60,"ERREUR !!",O11*(I9+(J9/60)))))</f>
        <v>0.00783333333333333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2°50,03</v>
      </c>
      <c r="P10" s="31" t="s">
        <v>14</v>
      </c>
      <c r="Q10" s="35" t="n">
        <f aca="false">IF(ISBLANK(I10),"",IF(ISBLANK(J10),"",IF(J10&gt;60,"ERREUR !!",O12*(I10+(J10/60)))))</f>
        <v>2.83383333333333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37155</v>
      </c>
      <c r="K11" s="40"/>
      <c r="L11" s="40"/>
      <c r="M11" s="40"/>
      <c r="N11" s="41" t="str">
        <f aca="false">I9&amp;"°"&amp;J9</f>
        <v>0°0,47</v>
      </c>
      <c r="O11" s="42" t="n">
        <f aca="false">IF(P9=M10,-1,1)</f>
        <v>1</v>
      </c>
      <c r="P11" s="43" t="str">
        <f aca="false">TEXT(J11,"aaaa-mm-jj")&amp;"T"&amp;TEXT(J12,"hh:mm:ss")&amp;"z"</f>
        <v>2005-09-22T04:00:00z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0.166666666666667</v>
      </c>
      <c r="K12" s="48"/>
      <c r="L12" s="48"/>
      <c r="M12" s="48"/>
      <c r="N12" s="49" t="str">
        <f aca="false">I10&amp;"°"&amp;J10</f>
        <v>2°50,03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34.6747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3.685</v>
      </c>
      <c r="Q35" s="125"/>
      <c r="R35" s="125"/>
      <c r="S35" s="128" t="n">
        <v>160.2</v>
      </c>
      <c r="T35" s="129" t="n">
        <v>0.013</v>
      </c>
      <c r="U35" s="129" t="n">
        <v>0.0127034623169282</v>
      </c>
      <c r="X35" s="130" t="n">
        <v>32.417</v>
      </c>
      <c r="Y35" s="130" t="n">
        <v>31.677549071374</v>
      </c>
      <c r="Z35" s="129" t="n">
        <v>2.145</v>
      </c>
      <c r="AA35" s="129" t="n">
        <v>2.09607128229315</v>
      </c>
      <c r="AB35" s="130" t="n">
        <v>31.06</v>
      </c>
      <c r="AC35" s="130" t="n">
        <v>30.3515030433685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76" t="n">
        <v>35.144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1.752</v>
      </c>
      <c r="Q36" s="136"/>
      <c r="R36" s="136"/>
      <c r="S36" s="139" t="n">
        <v>76.2</v>
      </c>
      <c r="T36" s="129" t="n">
        <v>0.02</v>
      </c>
      <c r="U36" s="129" t="n">
        <v>0.0195437881798895</v>
      </c>
      <c r="X36" s="130" t="n">
        <v>28.825</v>
      </c>
      <c r="Y36" s="130" t="n">
        <v>28.1674847142658</v>
      </c>
      <c r="Z36" s="129" t="n">
        <v>1.805</v>
      </c>
      <c r="AA36" s="129" t="n">
        <v>1.76382688323503</v>
      </c>
      <c r="AB36" s="130" t="n">
        <v>12.32</v>
      </c>
      <c r="AC36" s="130" t="n">
        <v>12.038973518812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35.561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3.409</v>
      </c>
      <c r="Q37" s="136"/>
      <c r="R37" s="136"/>
      <c r="S37" s="139" t="n">
        <v>148.4</v>
      </c>
      <c r="T37" s="129" t="n">
        <v>0.032</v>
      </c>
      <c r="U37" s="129" t="n">
        <v>0.0312700610878233</v>
      </c>
      <c r="X37" s="130" t="n">
        <v>15.238</v>
      </c>
      <c r="Y37" s="130" t="n">
        <v>14.8904122142578</v>
      </c>
      <c r="Z37" s="129" t="n">
        <v>1.07</v>
      </c>
      <c r="AA37" s="129" t="n">
        <v>1.04559266762409</v>
      </c>
      <c r="AB37" s="130" t="n">
        <v>6.4</v>
      </c>
      <c r="AC37" s="130" t="n">
        <v>6.25401221756466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35.6288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3.579</v>
      </c>
      <c r="Q38" s="136"/>
      <c r="R38" s="136"/>
      <c r="S38" s="139" t="n">
        <v>155.8</v>
      </c>
      <c r="T38" s="129" t="n">
        <v>0.034</v>
      </c>
      <c r="U38" s="129" t="n">
        <v>0.0332244399058122</v>
      </c>
      <c r="X38" s="130" t="n">
        <v>13.776</v>
      </c>
      <c r="Y38" s="130" t="n">
        <v>13.4617612983079</v>
      </c>
      <c r="Z38" s="129" t="n">
        <v>0.993</v>
      </c>
      <c r="AA38" s="129" t="n">
        <v>0.970349083131516</v>
      </c>
      <c r="AB38" s="130" t="n">
        <v>5.94</v>
      </c>
      <c r="AC38" s="130" t="n">
        <v>5.8045050894272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35.693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3.725</v>
      </c>
      <c r="Q39" s="136"/>
      <c r="R39" s="136"/>
      <c r="S39" s="139" t="n">
        <v>162.2</v>
      </c>
      <c r="T39" s="129" t="n">
        <v>0.053</v>
      </c>
      <c r="U39" s="129" t="n">
        <v>0.0517910386767073</v>
      </c>
      <c r="X39" s="130" t="n">
        <v>12.647</v>
      </c>
      <c r="Y39" s="130" t="n">
        <v>12.3585144555532</v>
      </c>
      <c r="Z39" s="129" t="n">
        <v>0.913</v>
      </c>
      <c r="AA39" s="129" t="n">
        <v>0.892173930411958</v>
      </c>
      <c r="AB39" s="130" t="n">
        <v>5.48</v>
      </c>
      <c r="AC39" s="130" t="n">
        <v>5.35499796128974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35.8608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3.458</v>
      </c>
      <c r="Q40" s="136"/>
      <c r="R40" s="136"/>
      <c r="S40" s="139" t="n">
        <v>150.6</v>
      </c>
      <c r="T40" s="129" t="n">
        <v>0.083</v>
      </c>
      <c r="U40" s="129" t="n">
        <v>0.0811067209465416</v>
      </c>
      <c r="X40" s="130" t="n">
        <v>11.997</v>
      </c>
      <c r="Y40" s="130" t="n">
        <v>11.7233413397067</v>
      </c>
      <c r="Z40" s="129" t="n">
        <v>0.884</v>
      </c>
      <c r="AA40" s="129" t="n">
        <v>0.863835437551118</v>
      </c>
      <c r="AB40" s="130" t="n">
        <v>4.87</v>
      </c>
      <c r="AC40" s="130" t="n">
        <v>4.75891242180311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35.9503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3.814</v>
      </c>
      <c r="Q41" s="136"/>
      <c r="R41" s="136"/>
      <c r="S41" s="139" t="n">
        <v>166.1</v>
      </c>
      <c r="T41" s="129" t="n">
        <v>0.429</v>
      </c>
      <c r="U41" s="129" t="n">
        <v>0.419214256458631</v>
      </c>
      <c r="X41" s="130" t="n">
        <v>7.131</v>
      </c>
      <c r="Y41" s="130" t="n">
        <v>6.96833767553962</v>
      </c>
      <c r="Z41" s="129" t="n">
        <v>0.608</v>
      </c>
      <c r="AA41" s="129" t="n">
        <v>0.594131160668642</v>
      </c>
      <c r="AB41" s="130" t="n">
        <v>3.39</v>
      </c>
      <c r="AC41" s="130" t="n">
        <v>3.31267209649128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35.5045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4.684</v>
      </c>
      <c r="Q42" s="136"/>
      <c r="R42" s="136"/>
      <c r="S42" s="139" t="n">
        <v>204.3</v>
      </c>
      <c r="T42" s="129" t="n">
        <v>0.028</v>
      </c>
      <c r="U42" s="129" t="n">
        <v>0.0273613034518454</v>
      </c>
      <c r="X42" s="130" t="n">
        <v>0.472</v>
      </c>
      <c r="Y42" s="130" t="n">
        <v>0.461233401045393</v>
      </c>
      <c r="Z42" s="129" t="n">
        <v>0.073</v>
      </c>
      <c r="AA42" s="129" t="n">
        <v>0.0713348268565968</v>
      </c>
      <c r="AB42" s="130" t="n">
        <v>0.88</v>
      </c>
      <c r="AC42" s="130" t="n">
        <v>0.85992667991514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35.4581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4.783</v>
      </c>
      <c r="Q43" s="136"/>
      <c r="R43" s="136"/>
      <c r="S43" s="139" t="n">
        <v>208.7</v>
      </c>
      <c r="T43" s="129" t="n">
        <v>0.003</v>
      </c>
      <c r="U43" s="129" t="n">
        <v>0.00293156822698343</v>
      </c>
      <c r="X43" s="130" t="n">
        <v>0.047</v>
      </c>
      <c r="Y43" s="130" t="n">
        <v>0.0459279022227404</v>
      </c>
      <c r="Z43" s="129" t="n">
        <v>0.022</v>
      </c>
      <c r="AA43" s="129" t="n">
        <v>0.0214981669978785</v>
      </c>
      <c r="AB43" s="130" t="n">
        <v>0.64</v>
      </c>
      <c r="AC43" s="130" t="n">
        <v>0.625401221756466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35.454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4.722</v>
      </c>
      <c r="Q44" s="136"/>
      <c r="R44" s="136"/>
      <c r="S44" s="139" t="n">
        <v>206</v>
      </c>
      <c r="T44" s="129" t="n">
        <v>0</v>
      </c>
      <c r="U44" s="129" t="n">
        <v>0</v>
      </c>
      <c r="X44" s="130" t="n">
        <v>0.07</v>
      </c>
      <c r="Y44" s="130" t="n">
        <v>0.0684032586296134</v>
      </c>
      <c r="Z44" s="129" t="n">
        <v>0.036</v>
      </c>
      <c r="AA44" s="129" t="n">
        <v>0.0351788187238012</v>
      </c>
      <c r="AB44" s="130" t="n">
        <v>0.65</v>
      </c>
      <c r="AC44" s="130" t="n">
        <v>0.63517311584641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35.4595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4.711</v>
      </c>
      <c r="Q45" s="136"/>
      <c r="R45" s="136"/>
      <c r="S45" s="139" t="n">
        <v>205.6</v>
      </c>
      <c r="T45" s="129" t="n">
        <v>0.002</v>
      </c>
      <c r="U45" s="129" t="n">
        <v>0.00195437881798896</v>
      </c>
      <c r="X45" s="130" t="n">
        <v>0.058</v>
      </c>
      <c r="Y45" s="130" t="n">
        <v>0.0566769857216797</v>
      </c>
      <c r="Z45" s="129" t="n">
        <v>0.018</v>
      </c>
      <c r="AA45" s="129" t="n">
        <v>0.0175894093619006</v>
      </c>
      <c r="AB45" s="130" t="n">
        <v>0.63</v>
      </c>
      <c r="AC45" s="130" t="n">
        <v>0.615629327666521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29.94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-0°29,94</v>
      </c>
      <c r="P9" s="31" t="s">
        <v>16</v>
      </c>
      <c r="Q9" s="35" t="n">
        <f aca="false">IF(ISBLANK(I9),"",IF(ISBLANK(J9),"",IF(J9&gt;60,"ERREUR !!",O11*(I9+(J9/60)))))</f>
        <v>-0.499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50.13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2°50,13</v>
      </c>
      <c r="P10" s="31" t="s">
        <v>14</v>
      </c>
      <c r="Q10" s="35" t="n">
        <f aca="false">IF(ISBLANK(I10),"",IF(ISBLANK(J10),"",IF(J10&gt;60,"ERREUR !!",O12*(I10+(J10/60)))))</f>
        <v>2.8355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37155</v>
      </c>
      <c r="K11" s="40"/>
      <c r="L11" s="40"/>
      <c r="M11" s="40"/>
      <c r="N11" s="41" t="str">
        <f aca="false">I9&amp;"°"&amp;J9</f>
        <v>0°29,94</v>
      </c>
      <c r="O11" s="42" t="n">
        <f aca="false">IF(P9=M10,-1,1)</f>
        <v>-1</v>
      </c>
      <c r="P11" s="43" t="str">
        <f aca="false">TEXT(J11,"aaaa-mm-jj")&amp;"T"&amp;TEXT(J12,"hh:mm:ss")&amp;"z"</f>
        <v>2005-09-22T09:30:00z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0.395833333333333</v>
      </c>
      <c r="K12" s="48"/>
      <c r="L12" s="48"/>
      <c r="M12" s="48"/>
      <c r="N12" s="49" t="str">
        <f aca="false">I10&amp;"°"&amp;J10</f>
        <v>2°50,13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34.6813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3.698</v>
      </c>
      <c r="Q35" s="125"/>
      <c r="R35" s="125"/>
      <c r="S35" s="128" t="n">
        <v>160.8</v>
      </c>
      <c r="T35" s="129" t="n">
        <v>0.011</v>
      </c>
      <c r="U35" s="129" t="n">
        <v>0.0107490834989393</v>
      </c>
      <c r="X35" s="130" t="n">
        <v>32.159</v>
      </c>
      <c r="Y35" s="130" t="n">
        <v>31.4254342038534</v>
      </c>
      <c r="Z35" s="129" t="n">
        <v>2.135</v>
      </c>
      <c r="AA35" s="129" t="n">
        <v>2.08629938820321</v>
      </c>
      <c r="AB35" s="130" t="n">
        <v>31.09</v>
      </c>
      <c r="AC35" s="130" t="n">
        <v>30.3808187256383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35.1498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1.732</v>
      </c>
      <c r="Q36" s="136"/>
      <c r="R36" s="136"/>
      <c r="S36" s="139" t="n">
        <v>75.3</v>
      </c>
      <c r="T36" s="129" t="n">
        <v>0.021</v>
      </c>
      <c r="U36" s="129" t="n">
        <v>0.020520977588884</v>
      </c>
      <c r="X36" s="130" t="n">
        <v>28.959</v>
      </c>
      <c r="Y36" s="130" t="n">
        <v>28.2984280950711</v>
      </c>
      <c r="Z36" s="129" t="n">
        <v>1.796</v>
      </c>
      <c r="AA36" s="129" t="n">
        <v>1.75503217855408</v>
      </c>
      <c r="AB36" s="130" t="n">
        <v>12.32</v>
      </c>
      <c r="AC36" s="130" t="n">
        <v>12.038973518812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35.5112</v>
      </c>
      <c r="H37" s="124" t="n">
        <v>160</v>
      </c>
      <c r="I37" s="124" t="n">
        <v>161</v>
      </c>
      <c r="J37" s="136"/>
      <c r="K37" s="137"/>
      <c r="L37" s="137"/>
      <c r="M37" s="137"/>
      <c r="N37" s="138"/>
      <c r="O37" s="137"/>
      <c r="P37" s="136" t="n">
        <v>3.101</v>
      </c>
      <c r="Q37" s="136"/>
      <c r="R37" s="136"/>
      <c r="S37" s="139" t="n">
        <v>135</v>
      </c>
      <c r="T37" s="129" t="n">
        <v>0.034</v>
      </c>
      <c r="U37" s="129" t="n">
        <v>0.0332244399058122</v>
      </c>
      <c r="X37" s="130" t="n">
        <v>17.256</v>
      </c>
      <c r="Y37" s="130" t="n">
        <v>16.8623804416087</v>
      </c>
      <c r="Z37" s="129" t="n">
        <v>1.1755</v>
      </c>
      <c r="AA37" s="129" t="n">
        <v>1.14868615027301</v>
      </c>
      <c r="AB37" s="130" t="n">
        <v>7.085</v>
      </c>
      <c r="AC37" s="130" t="n">
        <v>6.92338696272587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35.3511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3.214</v>
      </c>
      <c r="Q38" s="136"/>
      <c r="R38" s="136"/>
      <c r="S38" s="139" t="n">
        <v>139.9</v>
      </c>
      <c r="T38" s="129" t="n">
        <v>0.043</v>
      </c>
      <c r="U38" s="129" t="n">
        <v>0.0420191445867625</v>
      </c>
      <c r="X38" s="130" t="n">
        <v>16.277</v>
      </c>
      <c r="Y38" s="130" t="n">
        <v>15.9057120102031</v>
      </c>
      <c r="Z38" s="129" t="n">
        <v>1.113</v>
      </c>
      <c r="AA38" s="129" t="n">
        <v>1.08761181221085</v>
      </c>
      <c r="AB38" s="130" t="n">
        <v>6.66</v>
      </c>
      <c r="AC38" s="130" t="n">
        <v>6.50808146390322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35.6585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3.119</v>
      </c>
      <c r="Q39" s="136"/>
      <c r="R39" s="136"/>
      <c r="S39" s="139" t="n">
        <v>135.8</v>
      </c>
      <c r="T39" s="129" t="n">
        <v>0.081</v>
      </c>
      <c r="U39" s="129" t="n">
        <v>0.0791523421285527</v>
      </c>
      <c r="X39" s="130" t="n">
        <v>15.629</v>
      </c>
      <c r="Y39" s="130" t="n">
        <v>15.2724932731747</v>
      </c>
      <c r="Z39" s="129" t="n">
        <v>1.127</v>
      </c>
      <c r="AA39" s="129" t="n">
        <v>1.10129246393678</v>
      </c>
      <c r="AB39" s="130" t="n">
        <v>6.02</v>
      </c>
      <c r="AC39" s="130" t="n">
        <v>5.88268024214676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35.83</v>
      </c>
      <c r="H40" s="124" t="n">
        <v>80</v>
      </c>
      <c r="I40" s="124" t="n">
        <v>81</v>
      </c>
      <c r="J40" s="136"/>
      <c r="K40" s="137"/>
      <c r="L40" s="137"/>
      <c r="M40" s="137"/>
      <c r="N40" s="138"/>
      <c r="O40" s="137"/>
      <c r="P40" s="136" t="n">
        <v>3.313</v>
      </c>
      <c r="Q40" s="136"/>
      <c r="R40" s="136"/>
      <c r="S40" s="139" t="n">
        <v>144.2</v>
      </c>
      <c r="T40" s="129" t="n">
        <v>0.082</v>
      </c>
      <c r="U40" s="129" t="n">
        <v>0.0801295315375471</v>
      </c>
      <c r="X40" s="130" t="n">
        <v>12.708</v>
      </c>
      <c r="Y40" s="130" t="n">
        <v>12.4181230095018</v>
      </c>
      <c r="Z40" s="129" t="n">
        <v>0.927</v>
      </c>
      <c r="AA40" s="129" t="n">
        <v>0.90585458213788</v>
      </c>
      <c r="AB40" s="130" t="n">
        <v>4.87</v>
      </c>
      <c r="AC40" s="130" t="n">
        <v>4.75891242180311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35.8958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3.836</v>
      </c>
      <c r="Q41" s="136"/>
      <c r="R41" s="136"/>
      <c r="S41" s="139" t="n">
        <v>167.1</v>
      </c>
      <c r="T41" s="129" t="n">
        <v>0.771</v>
      </c>
      <c r="U41" s="129" t="n">
        <v>0.753413034334742</v>
      </c>
      <c r="X41" s="130" t="n">
        <v>6.919</v>
      </c>
      <c r="Y41" s="130" t="n">
        <v>6.76117352083279</v>
      </c>
      <c r="Z41" s="129" t="n">
        <v>0.618</v>
      </c>
      <c r="AA41" s="129" t="n">
        <v>0.603903054758587</v>
      </c>
      <c r="AB41" s="130" t="n">
        <v>3.25</v>
      </c>
      <c r="AC41" s="130" t="n">
        <v>3.17586557923205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35.6473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4.6</v>
      </c>
      <c r="Q42" s="136"/>
      <c r="R42" s="136"/>
      <c r="S42" s="139" t="n">
        <v>200.6</v>
      </c>
      <c r="T42" s="129" t="n">
        <v>0.065</v>
      </c>
      <c r="U42" s="129" t="n">
        <v>0.063517311584641</v>
      </c>
      <c r="X42" s="130" t="n">
        <v>1.235</v>
      </c>
      <c r="Y42" s="130" t="n">
        <v>1.20682892010818</v>
      </c>
      <c r="Z42" s="129" t="n">
        <v>0.155</v>
      </c>
      <c r="AA42" s="129" t="n">
        <v>0.151464358394144</v>
      </c>
      <c r="AB42" s="130" t="n">
        <v>1.65</v>
      </c>
      <c r="AC42" s="130" t="n">
        <v>1.61236252484089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35.5042</v>
      </c>
      <c r="H43" s="124" t="n">
        <v>20</v>
      </c>
      <c r="I43" s="124" t="n">
        <v>21</v>
      </c>
      <c r="J43" s="136"/>
      <c r="K43" s="136"/>
      <c r="L43" s="136"/>
      <c r="M43" s="136"/>
      <c r="N43" s="136"/>
      <c r="O43" s="136"/>
      <c r="P43" s="136" t="n">
        <v>4.764</v>
      </c>
      <c r="Q43" s="136"/>
      <c r="R43" s="136"/>
      <c r="S43" s="139" t="n">
        <v>207.9</v>
      </c>
      <c r="T43" s="129" t="n">
        <v>0.002</v>
      </c>
      <c r="U43" s="129" t="n">
        <v>0.00195437881798896</v>
      </c>
      <c r="X43" s="130" t="n">
        <v>0.088</v>
      </c>
      <c r="Y43" s="130" t="n">
        <v>0.085992667991514</v>
      </c>
      <c r="Z43" s="129" t="n">
        <v>0.015</v>
      </c>
      <c r="AA43" s="129" t="n">
        <v>0.0146578411349172</v>
      </c>
      <c r="AB43" s="130" t="n">
        <v>0.69</v>
      </c>
      <c r="AC43" s="130" t="n">
        <v>0.67426069220619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35.5024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4.79</v>
      </c>
      <c r="Q44" s="136"/>
      <c r="R44" s="136"/>
      <c r="S44" s="139" t="n">
        <v>209</v>
      </c>
      <c r="T44" s="129" t="n">
        <v>0.003</v>
      </c>
      <c r="U44" s="129" t="n">
        <v>0.00293156822698343</v>
      </c>
      <c r="X44" s="130" t="n">
        <v>0.097</v>
      </c>
      <c r="Y44" s="130" t="n">
        <v>0.0947873726724643</v>
      </c>
      <c r="Z44" s="129" t="n">
        <v>0.026</v>
      </c>
      <c r="AA44" s="129" t="n">
        <v>0.0254069246338564</v>
      </c>
      <c r="AB44" s="130" t="n">
        <v>0.7</v>
      </c>
      <c r="AC44" s="130" t="n">
        <v>0.684032586296134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35.5028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4.693</v>
      </c>
      <c r="Q45" s="136"/>
      <c r="R45" s="136"/>
      <c r="S45" s="139" t="n">
        <v>204.8</v>
      </c>
      <c r="T45" s="129" t="n">
        <v>0</v>
      </c>
      <c r="U45" s="129" t="n">
        <v>0</v>
      </c>
      <c r="X45" s="130" t="n">
        <v>0.07</v>
      </c>
      <c r="Y45" s="130" t="n">
        <v>0.0684032586296134</v>
      </c>
      <c r="Z45" s="129" t="n">
        <v>0.023</v>
      </c>
      <c r="AA45" s="129" t="n">
        <v>0.022475356406873</v>
      </c>
      <c r="AB45" s="130" t="n">
        <v>0.68</v>
      </c>
      <c r="AC45" s="130" t="n">
        <v>0.664488798116245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-0°59,6</v>
      </c>
      <c r="P9" s="31" t="s">
        <v>16</v>
      </c>
      <c r="Q9" s="35" t="n">
        <f aca="false">IF(ISBLANK(I9),"",IF(ISBLANK(J9),"",IF(J9&gt;60,"ERREUR !!",O11*(I9+(J9/60)))))</f>
        <v>-0.993333333333333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2°50,03</v>
      </c>
      <c r="P10" s="31" t="s">
        <v>14</v>
      </c>
      <c r="Q10" s="35" t="n">
        <f aca="false">IF(ISBLANK(I10),"",IF(ISBLANK(J10),"",IF(J10&gt;60,"ERREUR !!",O12*(I10+(J10/60)))))</f>
        <v>2.83383333333333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37155</v>
      </c>
      <c r="K11" s="40"/>
      <c r="L11" s="40"/>
      <c r="M11" s="40"/>
      <c r="N11" s="41" t="str">
        <f aca="false">I9&amp;"°"&amp;J9</f>
        <v>0°59,6</v>
      </c>
      <c r="O11" s="42" t="n">
        <f aca="false">IF(P9=M10,-1,1)</f>
        <v>-1</v>
      </c>
      <c r="P11" s="43" t="str">
        <f aca="false">TEXT(J11,"aaaa-mm-jj")&amp;"T"&amp;TEXT(J12,"hh:mm:ss")&amp;"z"</f>
        <v>2005-09-22T14:00:00z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2°50,03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34.6597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3.673</v>
      </c>
      <c r="Q35" s="125"/>
      <c r="R35" s="125"/>
      <c r="S35" s="128" t="n">
        <v>159.7</v>
      </c>
      <c r="T35" s="129" t="n">
        <v>0.017</v>
      </c>
      <c r="U35" s="129" t="n">
        <v>0.0166122199529061</v>
      </c>
      <c r="X35" s="130" t="n">
        <v>32.843</v>
      </c>
      <c r="Y35" s="130" t="n">
        <v>32.0938317596056</v>
      </c>
      <c r="Z35" s="129" t="n">
        <v>2.161</v>
      </c>
      <c r="AA35" s="129" t="n">
        <v>2.11170631283707</v>
      </c>
      <c r="AB35" s="130" t="n">
        <v>31.59</v>
      </c>
      <c r="AC35" s="130" t="n">
        <v>30.8694134301355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35.0887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1.764</v>
      </c>
      <c r="Q36" s="136"/>
      <c r="R36" s="136"/>
      <c r="S36" s="139" t="n">
        <v>76.8</v>
      </c>
      <c r="T36" s="129" t="n">
        <v>0.021</v>
      </c>
      <c r="U36" s="129" t="n">
        <v>0.020520977588884</v>
      </c>
      <c r="X36" s="130" t="n">
        <v>29.679</v>
      </c>
      <c r="Y36" s="130" t="n">
        <v>29.0020044695471</v>
      </c>
      <c r="Z36" s="129" t="n">
        <v>1.822</v>
      </c>
      <c r="AA36" s="129" t="n">
        <v>1.78043910318794</v>
      </c>
      <c r="AB36" s="130" t="n">
        <v>12.91</v>
      </c>
      <c r="AC36" s="130" t="n">
        <v>12.6155152701187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35.4829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2.686</v>
      </c>
      <c r="Q37" s="136"/>
      <c r="R37" s="136"/>
      <c r="S37" s="139" t="n">
        <v>116.9</v>
      </c>
      <c r="T37" s="129" t="n">
        <v>0.033</v>
      </c>
      <c r="U37" s="129" t="n">
        <v>0.0322472504968178</v>
      </c>
      <c r="X37" s="130" t="n">
        <v>19.577</v>
      </c>
      <c r="Y37" s="130" t="n">
        <v>19.1304370598849</v>
      </c>
      <c r="Z37" s="129" t="n">
        <v>1.308</v>
      </c>
      <c r="AA37" s="129" t="n">
        <v>1.27816374696478</v>
      </c>
      <c r="AB37" s="130" t="n">
        <v>7.95</v>
      </c>
      <c r="AC37" s="130" t="n">
        <v>7.7686558015061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76" t="n">
        <v>35.5141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3.028</v>
      </c>
      <c r="Q38" s="136"/>
      <c r="R38" s="136"/>
      <c r="S38" s="139" t="n">
        <v>131.8</v>
      </c>
      <c r="T38" s="129" t="n">
        <v>0.0225</v>
      </c>
      <c r="U38" s="129" t="n">
        <v>0.0219867617023757</v>
      </c>
      <c r="X38" s="130" t="n">
        <v>17.5775</v>
      </c>
      <c r="Y38" s="130" t="n">
        <v>17.1765468366004</v>
      </c>
      <c r="Z38" s="129" t="n">
        <v>1.187</v>
      </c>
      <c r="AA38" s="129" t="n">
        <v>1.15992382847644</v>
      </c>
      <c r="AB38" s="130" t="n">
        <v>7.075</v>
      </c>
      <c r="AC38" s="130" t="n">
        <v>6.91361506863593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35.5312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3.098</v>
      </c>
      <c r="Q39" s="136"/>
      <c r="R39" s="136"/>
      <c r="S39" s="139" t="n">
        <v>134.9</v>
      </c>
      <c r="T39" s="129" t="n">
        <v>0.04</v>
      </c>
      <c r="U39" s="129" t="n">
        <v>0.0390875763597791</v>
      </c>
      <c r="X39" s="130" t="n">
        <v>16.83</v>
      </c>
      <c r="Y39" s="130" t="n">
        <v>16.4460977533771</v>
      </c>
      <c r="Z39" s="129" t="n">
        <v>1.161</v>
      </c>
      <c r="AA39" s="129" t="n">
        <v>1.13451690384259</v>
      </c>
      <c r="AB39" s="130" t="n">
        <v>6.76</v>
      </c>
      <c r="AC39" s="130" t="n">
        <v>6.60580040480267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35.6408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2.655</v>
      </c>
      <c r="Q40" s="136"/>
      <c r="R40" s="136"/>
      <c r="S40" s="139" t="n">
        <v>115.6</v>
      </c>
      <c r="T40" s="129" t="n">
        <v>0.236</v>
      </c>
      <c r="U40" s="129" t="n">
        <v>0.230616700522697</v>
      </c>
      <c r="X40" s="130" t="n">
        <v>17.424</v>
      </c>
      <c r="Y40" s="130" t="n">
        <v>17.0265482623198</v>
      </c>
      <c r="Z40" s="129" t="n">
        <v>1.194</v>
      </c>
      <c r="AA40" s="129" t="n">
        <v>1.16676415433941</v>
      </c>
      <c r="AB40" s="130" t="n">
        <v>6.21</v>
      </c>
      <c r="AC40" s="130" t="n">
        <v>6.0683462298557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35.8347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3.798</v>
      </c>
      <c r="Q41" s="136"/>
      <c r="R41" s="136"/>
      <c r="S41" s="139" t="n">
        <v>165.5</v>
      </c>
      <c r="T41" s="129" t="n">
        <v>0.804</v>
      </c>
      <c r="U41" s="129" t="n">
        <v>0.78566028483156</v>
      </c>
      <c r="X41" s="130" t="n">
        <v>7.216</v>
      </c>
      <c r="Y41" s="130" t="n">
        <v>7.05139877530415</v>
      </c>
      <c r="Z41" s="129" t="n">
        <v>0.659</v>
      </c>
      <c r="AA41" s="129" t="n">
        <v>0.643967820527361</v>
      </c>
      <c r="AB41" s="130" t="n">
        <v>3.25</v>
      </c>
      <c r="AC41" s="130" t="n">
        <v>3.17586557923205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35.7303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4.661</v>
      </c>
      <c r="Q42" s="136"/>
      <c r="R42" s="136"/>
      <c r="S42" s="139" t="n">
        <v>203.2</v>
      </c>
      <c r="T42" s="129" t="n">
        <v>0.103</v>
      </c>
      <c r="U42" s="129" t="n">
        <v>0.100650509126431</v>
      </c>
      <c r="X42" s="130" t="n">
        <v>1.447</v>
      </c>
      <c r="Y42" s="130" t="n">
        <v>1.41399307481501</v>
      </c>
      <c r="Z42" s="129" t="n">
        <v>0.193</v>
      </c>
      <c r="AA42" s="129" t="n">
        <v>0.188597555935934</v>
      </c>
      <c r="AB42" s="130" t="n">
        <v>1.72</v>
      </c>
      <c r="AC42" s="130" t="n">
        <v>1.6807657834705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35.632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4.736</v>
      </c>
      <c r="Q43" s="136"/>
      <c r="R43" s="136"/>
      <c r="S43" s="139" t="n">
        <v>206.6</v>
      </c>
      <c r="T43" s="129" t="n">
        <v>0.025</v>
      </c>
      <c r="U43" s="129" t="n">
        <v>0.0244297352248619</v>
      </c>
      <c r="X43" s="130" t="n">
        <v>0.035</v>
      </c>
      <c r="Y43" s="130" t="n">
        <v>0.0342016293148067</v>
      </c>
      <c r="Z43" s="129" t="n">
        <v>0.074</v>
      </c>
      <c r="AA43" s="129" t="n">
        <v>0.0723120162655913</v>
      </c>
      <c r="AB43" s="130" t="n">
        <v>0.87</v>
      </c>
      <c r="AC43" s="130" t="n">
        <v>0.850154785825195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35.6396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4.726</v>
      </c>
      <c r="Q44" s="136"/>
      <c r="R44" s="136"/>
      <c r="S44" s="139" t="n">
        <v>206.2</v>
      </c>
      <c r="T44" s="129" t="n">
        <v>0.011</v>
      </c>
      <c r="U44" s="129" t="n">
        <v>0.0107490834989393</v>
      </c>
      <c r="X44" s="130" t="n">
        <v>0.049</v>
      </c>
      <c r="Y44" s="130" t="n">
        <v>0.0478822810407294</v>
      </c>
      <c r="Z44" s="129" t="n">
        <v>0.012</v>
      </c>
      <c r="AA44" s="129" t="n">
        <v>0.0117262729079337</v>
      </c>
      <c r="AB44" s="130" t="n">
        <v>0.83</v>
      </c>
      <c r="AC44" s="130" t="n">
        <v>0.811067209465416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35.628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4.725</v>
      </c>
      <c r="Q45" s="136"/>
      <c r="R45" s="136"/>
      <c r="S45" s="139" t="n">
        <v>206.2</v>
      </c>
      <c r="T45" s="129" t="n">
        <v>0.012</v>
      </c>
      <c r="U45" s="129" t="n">
        <v>0.0117262729079337</v>
      </c>
      <c r="X45" s="130" t="n">
        <v>0.058</v>
      </c>
      <c r="Y45" s="130" t="n">
        <v>0.0566769857216797</v>
      </c>
      <c r="Z45" s="129" t="n">
        <v>0.03</v>
      </c>
      <c r="AA45" s="129" t="n">
        <v>0.0293156822698343</v>
      </c>
      <c r="AB45" s="130" t="n">
        <v>0.85</v>
      </c>
      <c r="AC45" s="130" t="n">
        <v>0.830610997645306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29.87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-1°29,87</v>
      </c>
      <c r="P9" s="31" t="s">
        <v>16</v>
      </c>
      <c r="Q9" s="35" t="n">
        <f aca="false">IF(ISBLANK(I9),"",IF(ISBLANK(J9),"",IF(J9&gt;60,"ERREUR !!",O11*(I9+(J9/60)))))</f>
        <v>-1.49783333333333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50.12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2°50,12</v>
      </c>
      <c r="P10" s="31" t="s">
        <v>14</v>
      </c>
      <c r="Q10" s="35" t="n">
        <f aca="false">IF(ISBLANK(I10),"",IF(ISBLANK(J10),"",IF(J10&gt;60,"ERREUR !!",O12*(I10+(J10/60)))))</f>
        <v>2.83533333333333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37155</v>
      </c>
      <c r="K11" s="40"/>
      <c r="L11" s="40"/>
      <c r="M11" s="40"/>
      <c r="N11" s="41" t="str">
        <f aca="false">I9&amp;"°"&amp;J9</f>
        <v>1°29,87</v>
      </c>
      <c r="O11" s="42" t="n">
        <f aca="false">IF(P9=M10,-1,1)</f>
        <v>-1</v>
      </c>
      <c r="P11" s="43" t="str">
        <f aca="false">TEXT(J11,"aaaa-mm-jj")&amp;"T"&amp;TEXT(J12,"hh:mm:ss")&amp;"z"</f>
        <v>2005-09-22T18:30:00z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0.770833333333333</v>
      </c>
      <c r="K12" s="48"/>
      <c r="L12" s="48"/>
      <c r="M12" s="48"/>
      <c r="N12" s="49" t="str">
        <f aca="false">I10&amp;"°"&amp;J10</f>
        <v>2°50,12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34.648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3.645</v>
      </c>
      <c r="Q35" s="125"/>
      <c r="R35" s="125"/>
      <c r="S35" s="128" t="n">
        <v>158.4</v>
      </c>
      <c r="T35" s="129" t="n">
        <v>0.014</v>
      </c>
      <c r="U35" s="129" t="n">
        <v>0.0136806517259227</v>
      </c>
      <c r="X35" s="130" t="n">
        <v>32.896</v>
      </c>
      <c r="Y35" s="130" t="n">
        <v>32.1456227982823</v>
      </c>
      <c r="Z35" s="129" t="n">
        <v>2.157</v>
      </c>
      <c r="AA35" s="129" t="n">
        <v>2.10779755520109</v>
      </c>
      <c r="AB35" s="130" t="n">
        <v>31.71</v>
      </c>
      <c r="AC35" s="130" t="n">
        <v>30.9866761592149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35.1699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1.917</v>
      </c>
      <c r="Q36" s="136"/>
      <c r="R36" s="136"/>
      <c r="S36" s="139" t="n">
        <v>83.4</v>
      </c>
      <c r="T36" s="129" t="n">
        <v>0.006</v>
      </c>
      <c r="U36" s="129" t="n">
        <v>0.00586313645396687</v>
      </c>
      <c r="X36" s="130" t="n">
        <v>27.224</v>
      </c>
      <c r="Y36" s="130" t="n">
        <v>26.6030044704657</v>
      </c>
      <c r="Z36" s="129" t="n">
        <v>1.688</v>
      </c>
      <c r="AA36" s="129" t="n">
        <v>1.64949572238268</v>
      </c>
      <c r="AB36" s="130" t="n">
        <v>11.33</v>
      </c>
      <c r="AC36" s="130" t="n">
        <v>11.0715560039074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35.5174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2.765</v>
      </c>
      <c r="Q37" s="136"/>
      <c r="R37" s="136"/>
      <c r="S37" s="139" t="n">
        <v>120.3</v>
      </c>
      <c r="T37" s="129" t="n">
        <v>0</v>
      </c>
      <c r="U37" s="129" t="n">
        <v>0</v>
      </c>
      <c r="X37" s="130" t="n">
        <v>18.83</v>
      </c>
      <c r="Y37" s="130" t="n">
        <v>18.400476571366</v>
      </c>
      <c r="Z37" s="129" t="n">
        <v>1.223</v>
      </c>
      <c r="AA37" s="129" t="n">
        <v>1.19510264720025</v>
      </c>
      <c r="AB37" s="130" t="n">
        <v>7.4</v>
      </c>
      <c r="AC37" s="130" t="n">
        <v>7.23120162655913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35.5975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2.945</v>
      </c>
      <c r="Q38" s="136"/>
      <c r="R38" s="136"/>
      <c r="S38" s="139" t="n">
        <v>128.2</v>
      </c>
      <c r="T38" s="129" t="n">
        <v>0.036</v>
      </c>
      <c r="U38" s="129" t="n">
        <v>0.0351788187238012</v>
      </c>
      <c r="X38" s="130" t="n">
        <v>16.814</v>
      </c>
      <c r="Y38" s="130" t="n">
        <v>16.4304627228331</v>
      </c>
      <c r="Z38" s="129" t="n">
        <v>1.126</v>
      </c>
      <c r="AA38" s="129" t="n">
        <v>1.10031527452778</v>
      </c>
      <c r="AB38" s="130" t="n">
        <v>6.45</v>
      </c>
      <c r="AC38" s="130" t="n">
        <v>6.30287168801438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76" t="n">
        <v>35.6183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2.885</v>
      </c>
      <c r="Q39" s="136"/>
      <c r="R39" s="136"/>
      <c r="S39" s="139" t="n">
        <v>125.6</v>
      </c>
      <c r="T39" s="129" t="n">
        <v>0.054</v>
      </c>
      <c r="U39" s="129" t="n">
        <v>0.0527682280857018</v>
      </c>
      <c r="X39" s="130" t="n">
        <v>16.901</v>
      </c>
      <c r="Y39" s="130" t="n">
        <v>16.5154782014157</v>
      </c>
      <c r="Z39" s="129" t="n">
        <v>1.1375</v>
      </c>
      <c r="AA39" s="129" t="n">
        <v>1.11155295273122</v>
      </c>
      <c r="AB39" s="130" t="n">
        <v>6.285</v>
      </c>
      <c r="AC39" s="130" t="n">
        <v>6.14163543553029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35.6352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2.811</v>
      </c>
      <c r="Q40" s="136"/>
      <c r="R40" s="136"/>
      <c r="S40" s="139" t="n">
        <v>122.4</v>
      </c>
      <c r="T40" s="129" t="n">
        <v>0.079</v>
      </c>
      <c r="U40" s="129" t="n">
        <v>0.0771979633105637</v>
      </c>
      <c r="X40" s="130" t="n">
        <v>16.911</v>
      </c>
      <c r="Y40" s="130" t="n">
        <v>16.5252500955056</v>
      </c>
      <c r="Z40" s="129" t="n">
        <v>1.134</v>
      </c>
      <c r="AA40" s="129" t="n">
        <v>1.10813278979974</v>
      </c>
      <c r="AB40" s="130" t="n">
        <v>6.02</v>
      </c>
      <c r="AC40" s="130" t="n">
        <v>5.88268024214676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35.7226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3.08</v>
      </c>
      <c r="Q41" s="136"/>
      <c r="R41" s="136"/>
      <c r="S41" s="139" t="n">
        <v>134.1</v>
      </c>
      <c r="T41" s="129" t="n">
        <v>0.919</v>
      </c>
      <c r="U41" s="129" t="n">
        <v>0.898037066865925</v>
      </c>
      <c r="X41" s="130" t="n">
        <v>12.851</v>
      </c>
      <c r="Y41" s="130" t="n">
        <v>12.557861094988</v>
      </c>
      <c r="Z41" s="129" t="n">
        <v>0.981</v>
      </c>
      <c r="AA41" s="129" t="n">
        <v>0.958622810223582</v>
      </c>
      <c r="AB41" s="130" t="n">
        <v>4.83</v>
      </c>
      <c r="AC41" s="130" t="n">
        <v>4.71982484544333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35.7555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4.69</v>
      </c>
      <c r="Q42" s="136"/>
      <c r="R42" s="136"/>
      <c r="S42" s="139" t="n">
        <v>204.5</v>
      </c>
      <c r="T42" s="129" t="n">
        <v>0.127</v>
      </c>
      <c r="U42" s="129" t="n">
        <v>0.124103054942299</v>
      </c>
      <c r="X42" s="130" t="n">
        <v>1.453</v>
      </c>
      <c r="Y42" s="130" t="n">
        <v>1.41985621126898</v>
      </c>
      <c r="Z42" s="129" t="n">
        <v>0.183</v>
      </c>
      <c r="AA42" s="129" t="n">
        <v>0.178825661845989</v>
      </c>
      <c r="AB42" s="130" t="n">
        <v>1.62</v>
      </c>
      <c r="AC42" s="130" t="n">
        <v>1.58304684257105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35.6836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4.799</v>
      </c>
      <c r="Q43" s="136"/>
      <c r="R43" s="136"/>
      <c r="S43" s="139" t="n">
        <v>209.3</v>
      </c>
      <c r="T43" s="129" t="n">
        <v>0</v>
      </c>
      <c r="U43" s="129" t="n">
        <v>0</v>
      </c>
      <c r="X43" s="130" t="n">
        <v>0.04</v>
      </c>
      <c r="Y43" s="130" t="n">
        <v>0.0390875763597791</v>
      </c>
      <c r="Z43" s="129" t="n">
        <v>0.01</v>
      </c>
      <c r="AA43" s="129" t="n">
        <v>0.00977189408994477</v>
      </c>
      <c r="AB43" s="130" t="n">
        <v>0.8</v>
      </c>
      <c r="AC43" s="130" t="n">
        <v>0.781751527195582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35.6871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4.777</v>
      </c>
      <c r="Q44" s="136"/>
      <c r="R44" s="136"/>
      <c r="S44" s="139" t="n">
        <v>208.4</v>
      </c>
      <c r="T44" s="129" t="n">
        <v>0.009</v>
      </c>
      <c r="U44" s="129" t="n">
        <v>0.0087947046809503</v>
      </c>
      <c r="X44" s="130" t="n">
        <v>0.021</v>
      </c>
      <c r="Y44" s="130" t="n">
        <v>0.020520977588884</v>
      </c>
      <c r="Z44" s="129" t="n">
        <v>0.009</v>
      </c>
      <c r="AA44" s="129" t="n">
        <v>0.00879470468095029</v>
      </c>
      <c r="AB44" s="130" t="n">
        <v>0.81</v>
      </c>
      <c r="AC44" s="130" t="n">
        <v>0.791523421285527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35.6921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4.763</v>
      </c>
      <c r="Q45" s="136"/>
      <c r="R45" s="136"/>
      <c r="S45" s="139" t="n">
        <v>207.8</v>
      </c>
      <c r="T45" s="129" t="n">
        <v>0.003</v>
      </c>
      <c r="U45" s="129" t="n">
        <v>0.00293156822698343</v>
      </c>
      <c r="X45" s="130" t="n">
        <v>0.037</v>
      </c>
      <c r="Y45" s="130" t="n">
        <v>0.0361560081327957</v>
      </c>
      <c r="Z45" s="129" t="n">
        <v>0.015</v>
      </c>
      <c r="AA45" s="129" t="n">
        <v>0.0146578411349172</v>
      </c>
      <c r="AB45" s="130" t="n">
        <v>0.85</v>
      </c>
      <c r="AC45" s="130" t="n">
        <v>0.830610997645306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59.82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-1°59,82</v>
      </c>
      <c r="P9" s="31" t="s">
        <v>16</v>
      </c>
      <c r="Q9" s="35" t="n">
        <f aca="false">IF(ISBLANK(I9),"",IF(ISBLANK(J9),"",IF(J9&gt;60,"ERREUR !!",O11*(I9+(J9/60)))))</f>
        <v>-1.997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50.22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2°50,22</v>
      </c>
      <c r="P10" s="31" t="s">
        <v>14</v>
      </c>
      <c r="Q10" s="35" t="n">
        <f aca="false">IF(ISBLANK(I10),"",IF(ISBLANK(J10),"",IF(J10&gt;60,"ERREUR !!",O12*(I10+(J10/60)))))</f>
        <v>2.837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37155</v>
      </c>
      <c r="K11" s="40"/>
      <c r="L11" s="40"/>
      <c r="M11" s="40"/>
      <c r="N11" s="41" t="str">
        <f aca="false">I9&amp;"°"&amp;J9</f>
        <v>1°59,82</v>
      </c>
      <c r="O11" s="42" t="n">
        <f aca="false">IF(P9=M10,-1,1)</f>
        <v>-1</v>
      </c>
      <c r="P11" s="43" t="str">
        <f aca="false">TEXT(J11,"aaaa-mm-jj")&amp;"T"&amp;TEXT(J12,"hh:mm:ss")&amp;"z"</f>
        <v>2005-09-22T23:50:00z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0.993055555555555</v>
      </c>
      <c r="K12" s="48"/>
      <c r="L12" s="48"/>
      <c r="M12" s="48"/>
      <c r="N12" s="49" t="str">
        <f aca="false">I10&amp;"°"&amp;J10</f>
        <v>2°50,22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34.6276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3.614</v>
      </c>
      <c r="Q35" s="125"/>
      <c r="R35" s="125"/>
      <c r="S35" s="128" t="n">
        <v>157.1</v>
      </c>
      <c r="T35" s="129" t="n">
        <v>0.001</v>
      </c>
      <c r="U35" s="129" t="n">
        <v>0.000977189408994478</v>
      </c>
      <c r="X35" s="130" t="n">
        <v>33.369</v>
      </c>
      <c r="Y35" s="130" t="n">
        <v>32.6078333887367</v>
      </c>
      <c r="Z35" s="129" t="n">
        <v>2.17</v>
      </c>
      <c r="AA35" s="129" t="n">
        <v>2.12050101751802</v>
      </c>
      <c r="AB35" s="130" t="n">
        <v>32.24</v>
      </c>
      <c r="AC35" s="130" t="n">
        <v>31.504586545982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35.1107</v>
      </c>
      <c r="H36" s="124" t="n">
        <v>300</v>
      </c>
      <c r="I36" s="124" t="n">
        <v>300.9</v>
      </c>
      <c r="J36" s="136"/>
      <c r="K36" s="137"/>
      <c r="L36" s="137"/>
      <c r="M36" s="137"/>
      <c r="N36" s="138"/>
      <c r="O36" s="137"/>
      <c r="P36" s="136" t="n">
        <v>1.608</v>
      </c>
      <c r="Q36" s="136"/>
      <c r="R36" s="136"/>
      <c r="S36" s="139" t="n">
        <v>69.9</v>
      </c>
      <c r="T36" s="129" t="n">
        <v>0.02</v>
      </c>
      <c r="U36" s="129" t="n">
        <v>0.0195437881798896</v>
      </c>
      <c r="X36" s="130" t="n">
        <v>29.93</v>
      </c>
      <c r="Y36" s="130" t="n">
        <v>29.2472790112047</v>
      </c>
      <c r="Z36" s="129" t="n">
        <v>1.831</v>
      </c>
      <c r="AA36" s="129" t="n">
        <v>1.78923380786889</v>
      </c>
      <c r="AB36" s="130" t="n">
        <v>12.68</v>
      </c>
      <c r="AC36" s="130" t="n">
        <v>12.39076170605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35.5266</v>
      </c>
      <c r="H37" s="124" t="n">
        <v>160</v>
      </c>
      <c r="I37" s="124" t="n">
        <v>154.2</v>
      </c>
      <c r="J37" s="136"/>
      <c r="K37" s="137"/>
      <c r="L37" s="137"/>
      <c r="M37" s="137"/>
      <c r="N37" s="138"/>
      <c r="O37" s="137"/>
      <c r="P37" s="136" t="n">
        <v>2.64</v>
      </c>
      <c r="Q37" s="136"/>
      <c r="R37" s="136"/>
      <c r="S37" s="139" t="n">
        <v>114.9</v>
      </c>
      <c r="T37" s="129" t="n">
        <v>0.014</v>
      </c>
      <c r="U37" s="129" t="n">
        <v>0.0136806517259227</v>
      </c>
      <c r="X37" s="130" t="n">
        <v>19.266</v>
      </c>
      <c r="Y37" s="130" t="n">
        <v>18.8265311536876</v>
      </c>
      <c r="Z37" s="129" t="n">
        <v>1.263</v>
      </c>
      <c r="AA37" s="129" t="n">
        <v>1.23419022356002</v>
      </c>
      <c r="AB37" s="130" t="n">
        <v>7.54</v>
      </c>
      <c r="AC37" s="130" t="n">
        <v>7.36800814381836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35.5442</v>
      </c>
      <c r="H38" s="124" t="n">
        <v>130</v>
      </c>
      <c r="I38" s="124" t="n">
        <v>130.4</v>
      </c>
      <c r="J38" s="136"/>
      <c r="K38" s="137"/>
      <c r="L38" s="137"/>
      <c r="M38" s="137"/>
      <c r="N38" s="138"/>
      <c r="O38" s="137"/>
      <c r="P38" s="136" t="n">
        <v>2.866</v>
      </c>
      <c r="Q38" s="136"/>
      <c r="R38" s="136"/>
      <c r="S38" s="139" t="n">
        <v>124.7</v>
      </c>
      <c r="T38" s="129" t="n">
        <v>0.011</v>
      </c>
      <c r="U38" s="129" t="n">
        <v>0.0107490834989393</v>
      </c>
      <c r="X38" s="130" t="n">
        <v>17.929</v>
      </c>
      <c r="Y38" s="130" t="n">
        <v>17.520028913862</v>
      </c>
      <c r="Z38" s="129" t="n">
        <v>1.173</v>
      </c>
      <c r="AA38" s="129" t="n">
        <v>1.14624317675052</v>
      </c>
      <c r="AB38" s="130" t="n">
        <v>7.02</v>
      </c>
      <c r="AC38" s="130" t="n">
        <v>6.85986965114123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35.6114</v>
      </c>
      <c r="H39" s="124" t="n">
        <v>100</v>
      </c>
      <c r="I39" s="124" t="n">
        <v>100.4</v>
      </c>
      <c r="J39" s="136"/>
      <c r="K39" s="137"/>
      <c r="L39" s="137"/>
      <c r="M39" s="137"/>
      <c r="N39" s="138"/>
      <c r="O39" s="137"/>
      <c r="P39" s="136" t="n">
        <v>2.937</v>
      </c>
      <c r="Q39" s="136"/>
      <c r="R39" s="136"/>
      <c r="S39" s="139" t="n">
        <v>127.9</v>
      </c>
      <c r="T39" s="129" t="n">
        <v>0.013</v>
      </c>
      <c r="U39" s="129" t="n">
        <v>0.0127034623169282</v>
      </c>
      <c r="X39" s="130" t="n">
        <v>16.927</v>
      </c>
      <c r="Y39" s="130" t="n">
        <v>16.5408851260495</v>
      </c>
      <c r="Z39" s="129" t="n">
        <v>1.148</v>
      </c>
      <c r="AA39" s="129" t="n">
        <v>1.12181344152566</v>
      </c>
      <c r="AB39" s="130" t="n">
        <v>6.46</v>
      </c>
      <c r="AC39" s="130" t="n">
        <v>6.31264358210432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35.6657</v>
      </c>
      <c r="H40" s="124" t="n">
        <v>80</v>
      </c>
      <c r="I40" s="124" t="n">
        <v>80.7</v>
      </c>
      <c r="J40" s="136"/>
      <c r="K40" s="137"/>
      <c r="L40" s="137"/>
      <c r="M40" s="137"/>
      <c r="N40" s="138"/>
      <c r="O40" s="137"/>
      <c r="P40" s="136" t="n">
        <v>2.96</v>
      </c>
      <c r="Q40" s="136"/>
      <c r="R40" s="136"/>
      <c r="S40" s="139" t="n">
        <v>128.8</v>
      </c>
      <c r="T40" s="129" t="n">
        <v>0.04</v>
      </c>
      <c r="U40" s="129" t="n">
        <v>0.0390875763597791</v>
      </c>
      <c r="X40" s="130" t="n">
        <v>16.2</v>
      </c>
      <c r="Y40" s="130" t="n">
        <v>15.8304684257105</v>
      </c>
      <c r="Z40" s="129" t="n">
        <v>1.0975</v>
      </c>
      <c r="AA40" s="129" t="n">
        <v>1.07246537637144</v>
      </c>
      <c r="AB40" s="130" t="n">
        <v>6.135</v>
      </c>
      <c r="AC40" s="130" t="n">
        <v>5.99505702418112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35.6913</v>
      </c>
      <c r="H41" s="124" t="n">
        <v>60</v>
      </c>
      <c r="I41" s="124" t="n">
        <v>60.7</v>
      </c>
      <c r="J41" s="136"/>
      <c r="K41" s="137"/>
      <c r="L41" s="137"/>
      <c r="M41" s="137"/>
      <c r="N41" s="138"/>
      <c r="O41" s="137"/>
      <c r="P41" s="136" t="n">
        <v>2.902</v>
      </c>
      <c r="Q41" s="136"/>
      <c r="R41" s="136"/>
      <c r="S41" s="139" t="n">
        <v>126.3</v>
      </c>
      <c r="T41" s="129" t="n">
        <v>0.17</v>
      </c>
      <c r="U41" s="129" t="n">
        <v>0.166122199529061</v>
      </c>
      <c r="X41" s="130" t="n">
        <v>15.66</v>
      </c>
      <c r="Y41" s="130" t="n">
        <v>15.3027861448535</v>
      </c>
      <c r="Z41" s="129" t="n">
        <v>1.075</v>
      </c>
      <c r="AA41" s="129" t="n">
        <v>1.05047861466906</v>
      </c>
      <c r="AB41" s="130" t="n">
        <v>5.7</v>
      </c>
      <c r="AC41" s="130" t="n">
        <v>5.56997963126852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35.7753</v>
      </c>
      <c r="H42" s="124" t="n">
        <v>40</v>
      </c>
      <c r="I42" s="124" t="n">
        <v>40.3</v>
      </c>
      <c r="J42" s="136"/>
      <c r="K42" s="136"/>
      <c r="L42" s="136"/>
      <c r="M42" s="136"/>
      <c r="N42" s="136"/>
      <c r="O42" s="136"/>
      <c r="P42" s="136" t="n">
        <v>4.417</v>
      </c>
      <c r="Q42" s="136"/>
      <c r="R42" s="136"/>
      <c r="S42" s="139" t="n">
        <v>192.5</v>
      </c>
      <c r="T42" s="129" t="n">
        <v>0.321</v>
      </c>
      <c r="U42" s="129" t="n">
        <v>0.313677800287227</v>
      </c>
      <c r="X42" s="130" t="n">
        <v>3.609</v>
      </c>
      <c r="Y42" s="130" t="n">
        <v>3.52667657706107</v>
      </c>
      <c r="Z42" s="129" t="n">
        <v>0.373</v>
      </c>
      <c r="AA42" s="129" t="n">
        <v>0.36449164955494</v>
      </c>
      <c r="AB42" s="130" t="n">
        <v>2.22</v>
      </c>
      <c r="AC42" s="130" t="n">
        <v>2.16936048796774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35.6853</v>
      </c>
      <c r="H43" s="124" t="n">
        <v>20</v>
      </c>
      <c r="I43" s="124" t="n">
        <v>20.4</v>
      </c>
      <c r="J43" s="136"/>
      <c r="K43" s="136"/>
      <c r="L43" s="136"/>
      <c r="M43" s="136"/>
      <c r="N43" s="136"/>
      <c r="O43" s="136"/>
      <c r="P43" s="136" t="n">
        <v>4.839</v>
      </c>
      <c r="Q43" s="136"/>
      <c r="R43" s="136"/>
      <c r="S43" s="139" t="n">
        <v>211.1</v>
      </c>
      <c r="T43" s="129" t="n">
        <v>0.009</v>
      </c>
      <c r="U43" s="129" t="n">
        <v>0.0087947046809503</v>
      </c>
      <c r="X43" s="130" t="n">
        <v>0</v>
      </c>
      <c r="Y43" s="130" t="n">
        <v>0</v>
      </c>
      <c r="Z43" s="129" t="n">
        <v>0.039</v>
      </c>
      <c r="AA43" s="129" t="n">
        <v>0.0381103869507846</v>
      </c>
      <c r="AB43" s="130" t="n">
        <v>0.96</v>
      </c>
      <c r="AC43" s="130" t="n">
        <v>0.938101832634698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35.6858</v>
      </c>
      <c r="H44" s="124" t="n">
        <v>10</v>
      </c>
      <c r="I44" s="124" t="n">
        <v>10.5</v>
      </c>
      <c r="J44" s="136"/>
      <c r="K44" s="136"/>
      <c r="L44" s="136"/>
      <c r="M44" s="136"/>
      <c r="N44" s="136"/>
      <c r="O44" s="136"/>
      <c r="P44" s="136" t="n">
        <v>4.826</v>
      </c>
      <c r="Q44" s="136"/>
      <c r="R44" s="136"/>
      <c r="S44" s="139" t="n">
        <v>210.5</v>
      </c>
      <c r="T44" s="129" t="n">
        <v>0.006</v>
      </c>
      <c r="U44" s="129" t="n">
        <v>0.00586313645396687</v>
      </c>
      <c r="X44" s="130" t="n">
        <v>0</v>
      </c>
      <c r="Y44" s="130" t="n">
        <v>0</v>
      </c>
      <c r="Z44" s="129" t="n">
        <v>0.039</v>
      </c>
      <c r="AA44" s="129" t="n">
        <v>0.0381103869507846</v>
      </c>
      <c r="AB44" s="130" t="n">
        <v>1</v>
      </c>
      <c r="AC44" s="130" t="n">
        <v>0.977189408994477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35.7019</v>
      </c>
      <c r="H45" s="124" t="n">
        <v>0</v>
      </c>
      <c r="I45" s="124" t="n">
        <v>0.1</v>
      </c>
      <c r="J45" s="136"/>
      <c r="K45" s="136"/>
      <c r="L45" s="136"/>
      <c r="M45" s="136"/>
      <c r="N45" s="136"/>
      <c r="O45" s="136"/>
      <c r="P45" s="136" t="n">
        <v>4.817</v>
      </c>
      <c r="Q45" s="136"/>
      <c r="R45" s="136"/>
      <c r="S45" s="139" t="n">
        <v>210.1</v>
      </c>
      <c r="T45" s="129" t="n">
        <v>0.007</v>
      </c>
      <c r="U45" s="129" t="n">
        <v>0.00684032586296134</v>
      </c>
      <c r="X45" s="130" t="n">
        <v>0</v>
      </c>
      <c r="Y45" s="130" t="n">
        <v>0</v>
      </c>
      <c r="Z45" s="129" t="n">
        <v>0.033</v>
      </c>
      <c r="AA45" s="129" t="n">
        <v>0.0322472504968178</v>
      </c>
      <c r="AB45" s="130" t="n">
        <v>1.03</v>
      </c>
      <c r="AC45" s="130" t="n">
        <v>1.00650509126431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30.06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-2°30,06</v>
      </c>
      <c r="P9" s="31" t="s">
        <v>16</v>
      </c>
      <c r="Q9" s="35" t="n">
        <f aca="false">IF(ISBLANK(I9),"",IF(ISBLANK(J9),"",IF(J9&gt;60,"ERREUR !!",O11*(I9+(J9/60)))))</f>
        <v>-2.501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50.04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2°50,04</v>
      </c>
      <c r="P10" s="31" t="s">
        <v>14</v>
      </c>
      <c r="Q10" s="35" t="n">
        <f aca="false">IF(ISBLANK(I10),"",IF(ISBLANK(J10),"",IF(J10&gt;60,"ERREUR !!",O12*(I10+(J10/60)))))</f>
        <v>2.834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37156</v>
      </c>
      <c r="K11" s="40"/>
      <c r="L11" s="40"/>
      <c r="M11" s="40"/>
      <c r="N11" s="41" t="str">
        <f aca="false">I9&amp;"°"&amp;J9</f>
        <v>2°30,06</v>
      </c>
      <c r="O11" s="42" t="n">
        <f aca="false">IF(P9=M10,-1,1)</f>
        <v>-1</v>
      </c>
      <c r="P11" s="43" t="str">
        <f aca="false">TEXT(J11,"aaaa-mm-jj")&amp;"T"&amp;TEXT(J12,"hh:mm:ss")&amp;"z"</f>
        <v>2005-09-23T03:30:00z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s">
        <v>145</v>
      </c>
      <c r="K12" s="48"/>
      <c r="L12" s="48"/>
      <c r="M12" s="48"/>
      <c r="N12" s="49" t="str">
        <f aca="false">I10&amp;"°"&amp;J10</f>
        <v>2°50,04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34.6357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3.619</v>
      </c>
      <c r="Q35" s="125"/>
      <c r="R35" s="125"/>
      <c r="S35" s="128" t="n">
        <v>157.3</v>
      </c>
      <c r="T35" s="129" t="n">
        <v>0.008</v>
      </c>
      <c r="U35" s="129" t="n">
        <v>0.00781751527195582</v>
      </c>
      <c r="X35" s="130" t="n">
        <v>33.342</v>
      </c>
      <c r="Y35" s="130" t="n">
        <v>32.5814492746939</v>
      </c>
      <c r="Z35" s="129" t="n">
        <v>2.195</v>
      </c>
      <c r="AA35" s="129" t="n">
        <v>2.14493075274288</v>
      </c>
      <c r="AB35" s="130" t="n">
        <v>31.82</v>
      </c>
      <c r="AC35" s="130" t="n">
        <v>31.0941669942043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35.2537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1.857</v>
      </c>
      <c r="Q36" s="136"/>
      <c r="R36" s="136"/>
      <c r="S36" s="139" t="n">
        <v>80.8</v>
      </c>
      <c r="T36" s="129" t="n">
        <v>0.014</v>
      </c>
      <c r="U36" s="129" t="n">
        <v>0.0136806517259227</v>
      </c>
      <c r="X36" s="130" t="n">
        <v>26.256</v>
      </c>
      <c r="Y36" s="130" t="n">
        <v>25.657085122559</v>
      </c>
      <c r="Z36" s="129" t="n">
        <v>1.639</v>
      </c>
      <c r="AA36" s="129" t="n">
        <v>1.60161344134195</v>
      </c>
      <c r="AB36" s="130" t="n">
        <v>10.11</v>
      </c>
      <c r="AC36" s="130" t="n">
        <v>9.87938492493417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35.5052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2.64</v>
      </c>
      <c r="Q37" s="136"/>
      <c r="R37" s="136"/>
      <c r="S37" s="139" t="n">
        <v>114.9</v>
      </c>
      <c r="T37" s="129" t="n">
        <v>0.022</v>
      </c>
      <c r="U37" s="129" t="n">
        <v>0.0214981669978785</v>
      </c>
      <c r="X37" s="130" t="n">
        <v>19.538</v>
      </c>
      <c r="Y37" s="130" t="n">
        <v>19.0923266729341</v>
      </c>
      <c r="Z37" s="129" t="n">
        <v>1.28</v>
      </c>
      <c r="AA37" s="129" t="n">
        <v>1.25080244351293</v>
      </c>
      <c r="AB37" s="130" t="n">
        <v>7.62</v>
      </c>
      <c r="AC37" s="130" t="n">
        <v>7.44618329653792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35.5374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2.777</v>
      </c>
      <c r="Q38" s="136"/>
      <c r="R38" s="136"/>
      <c r="S38" s="139" t="n">
        <v>120.8</v>
      </c>
      <c r="T38" s="129" t="n">
        <v>0.018</v>
      </c>
      <c r="U38" s="129" t="n">
        <v>0.0175894093619006</v>
      </c>
      <c r="X38" s="130" t="n">
        <v>18.582</v>
      </c>
      <c r="Y38" s="130" t="n">
        <v>18.1581335979354</v>
      </c>
      <c r="Z38" s="129" t="n">
        <v>1.218</v>
      </c>
      <c r="AA38" s="129" t="n">
        <v>1.19021670015527</v>
      </c>
      <c r="AB38" s="130" t="n">
        <v>7.14</v>
      </c>
      <c r="AC38" s="130" t="n">
        <v>6.97713238022057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35.5855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2.952</v>
      </c>
      <c r="Q39" s="136"/>
      <c r="R39" s="136"/>
      <c r="S39" s="139" t="n">
        <v>128.5</v>
      </c>
      <c r="T39" s="129" t="n">
        <v>0.038</v>
      </c>
      <c r="U39" s="129" t="n">
        <v>0.0371331975417901</v>
      </c>
      <c r="X39" s="130" t="n">
        <v>17.062</v>
      </c>
      <c r="Y39" s="130" t="n">
        <v>16.6728056962638</v>
      </c>
      <c r="Z39" s="129" t="n">
        <v>1.15</v>
      </c>
      <c r="AA39" s="129" t="n">
        <v>1.12376782034365</v>
      </c>
      <c r="AB39" s="130" t="n">
        <v>6.62</v>
      </c>
      <c r="AC39" s="130" t="n">
        <v>6.46899388754344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35.7194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3.032</v>
      </c>
      <c r="Q40" s="136"/>
      <c r="R40" s="136"/>
      <c r="S40" s="139" t="n">
        <v>132</v>
      </c>
      <c r="T40" s="129" t="n">
        <v>0.041</v>
      </c>
      <c r="U40" s="129" t="n">
        <v>0.0400647657687736</v>
      </c>
      <c r="X40" s="130" t="n">
        <v>16.239</v>
      </c>
      <c r="Y40" s="130" t="n">
        <v>15.8685788126613</v>
      </c>
      <c r="Z40" s="129" t="n">
        <v>1.093</v>
      </c>
      <c r="AA40" s="129" t="n">
        <v>1.06806802403096</v>
      </c>
      <c r="AB40" s="130" t="n">
        <v>6.33</v>
      </c>
      <c r="AC40" s="130" t="n">
        <v>6.18560895893504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76" t="n">
        <v>35.6548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2.958</v>
      </c>
      <c r="Q41" s="136"/>
      <c r="R41" s="136"/>
      <c r="S41" s="139" t="n">
        <v>128.7</v>
      </c>
      <c r="T41" s="129" t="n">
        <v>0.0495</v>
      </c>
      <c r="U41" s="129" t="n">
        <v>0.0483708757452266</v>
      </c>
      <c r="X41" s="130" t="n">
        <v>16.2905</v>
      </c>
      <c r="Y41" s="130" t="n">
        <v>15.9189040672245</v>
      </c>
      <c r="Z41" s="129" t="n">
        <v>1.1055</v>
      </c>
      <c r="AA41" s="129" t="n">
        <v>1.08028289164339</v>
      </c>
      <c r="AB41" s="130" t="n">
        <v>6.28</v>
      </c>
      <c r="AC41" s="130" t="n">
        <v>6.13674948848532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35.6993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2.975</v>
      </c>
      <c r="Q42" s="136"/>
      <c r="R42" s="136"/>
      <c r="S42" s="139" t="n">
        <v>129.5</v>
      </c>
      <c r="T42" s="177" t="s">
        <v>99</v>
      </c>
      <c r="U42" s="177" t="s">
        <v>99</v>
      </c>
      <c r="X42" s="178" t="s">
        <v>99</v>
      </c>
      <c r="Y42" s="178" t="s">
        <v>99</v>
      </c>
      <c r="Z42" s="177" t="s">
        <v>99</v>
      </c>
      <c r="AA42" s="177" t="s">
        <v>99</v>
      </c>
      <c r="AB42" s="178" t="s">
        <v>99</v>
      </c>
      <c r="AC42" s="178" t="s">
        <v>99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35.7513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4.835</v>
      </c>
      <c r="Q43" s="136"/>
      <c r="R43" s="136"/>
      <c r="S43" s="139" t="n">
        <v>210.8</v>
      </c>
      <c r="T43" s="129" t="n">
        <v>0.068</v>
      </c>
      <c r="U43" s="129" t="n">
        <v>0.0664488798116245</v>
      </c>
      <c r="X43" s="130" t="n">
        <v>0.642</v>
      </c>
      <c r="Y43" s="130" t="n">
        <v>0.627355600574454</v>
      </c>
      <c r="Z43" s="129" t="n">
        <v>0.128</v>
      </c>
      <c r="AA43" s="129" t="n">
        <v>0.125080244351293</v>
      </c>
      <c r="AB43" s="130" t="n">
        <v>1.47</v>
      </c>
      <c r="AC43" s="130" t="n">
        <v>1.43646843122188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35.7408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4.866</v>
      </c>
      <c r="Q44" s="136"/>
      <c r="R44" s="136"/>
      <c r="S44" s="139" t="n">
        <v>212.2</v>
      </c>
      <c r="T44" s="129" t="n">
        <v>0.014</v>
      </c>
      <c r="U44" s="129" t="n">
        <v>0.0136806517259227</v>
      </c>
      <c r="X44" s="130" t="n">
        <v>0.076</v>
      </c>
      <c r="Y44" s="130" t="n">
        <v>0.0742663950835803</v>
      </c>
      <c r="Z44" s="129" t="n">
        <v>0.071</v>
      </c>
      <c r="AA44" s="129" t="n">
        <v>0.0693804480386079</v>
      </c>
      <c r="AB44" s="130" t="n">
        <v>1.28</v>
      </c>
      <c r="AC44" s="130" t="n">
        <v>1.25080244351293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35.7537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4.875</v>
      </c>
      <c r="Q45" s="136"/>
      <c r="R45" s="136"/>
      <c r="S45" s="139" t="n">
        <v>212.6</v>
      </c>
      <c r="T45" s="129" t="n">
        <v>0.006</v>
      </c>
      <c r="U45" s="129" t="n">
        <v>0.00586313645396687</v>
      </c>
      <c r="X45" s="130" t="n">
        <v>0.074</v>
      </c>
      <c r="Y45" s="130" t="n">
        <v>0.0723120162655913</v>
      </c>
      <c r="Z45" s="129" t="n">
        <v>0.068</v>
      </c>
      <c r="AA45" s="129" t="n">
        <v>0.0664488798116245</v>
      </c>
      <c r="AB45" s="130" t="n">
        <v>1.34</v>
      </c>
      <c r="AC45" s="130" t="n">
        <v>1.3094338080526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59.95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-2°59,95</v>
      </c>
      <c r="P9" s="31" t="s">
        <v>16</v>
      </c>
      <c r="Q9" s="35" t="n">
        <f aca="false">IF(ISBLANK(I9),"",IF(ISBLANK(J9),"",IF(J9&gt;60,"ERREUR !!",O11*(I9+(J9/60)))))</f>
        <v>-2.99916666666667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50.08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2°50,08</v>
      </c>
      <c r="P10" s="31" t="s">
        <v>14</v>
      </c>
      <c r="Q10" s="35" t="n">
        <f aca="false">IF(ISBLANK(I10),"",IF(ISBLANK(J10),"",IF(J10&gt;60,"ERREUR !!",O12*(I10+(J10/60)))))</f>
        <v>2.83466666666667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37156</v>
      </c>
      <c r="K11" s="40"/>
      <c r="L11" s="40"/>
      <c r="M11" s="40"/>
      <c r="N11" s="41" t="str">
        <f aca="false">I9&amp;"°"&amp;J9</f>
        <v>2°59,95</v>
      </c>
      <c r="O11" s="42" t="n">
        <f aca="false">IF(P9=M10,-1,1)</f>
        <v>-1</v>
      </c>
      <c r="P11" s="43" t="str">
        <f aca="false">TEXT(J11,"aaaa-mm-jj")&amp;"T"&amp;TEXT(J12,"hh:mm:ss")&amp;"z"</f>
        <v>2005-09-23T07:50:00z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s">
        <v>146</v>
      </c>
      <c r="K12" s="48"/>
      <c r="L12" s="48"/>
      <c r="M12" s="48"/>
      <c r="N12" s="49" t="str">
        <f aca="false">I10&amp;"°"&amp;J10</f>
        <v>2°50,08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34.6163</v>
      </c>
      <c r="H35" s="123" t="n">
        <v>1000</v>
      </c>
      <c r="I35" s="179" t="n">
        <v>996</v>
      </c>
      <c r="J35" s="125"/>
      <c r="K35" s="126"/>
      <c r="L35" s="126"/>
      <c r="M35" s="126"/>
      <c r="N35" s="127"/>
      <c r="O35" s="126"/>
      <c r="P35" s="125" t="n">
        <v>3.624</v>
      </c>
      <c r="Q35" s="125"/>
      <c r="R35" s="125"/>
      <c r="S35" s="128" t="n">
        <v>157.6</v>
      </c>
      <c r="T35" s="129" t="n">
        <v>0</v>
      </c>
      <c r="U35" s="129" t="n">
        <v>0</v>
      </c>
      <c r="X35" s="130" t="n">
        <v>33.675</v>
      </c>
      <c r="Y35" s="130" t="n">
        <v>32.906853347889</v>
      </c>
      <c r="Z35" s="129" t="n">
        <v>2.193</v>
      </c>
      <c r="AA35" s="129" t="n">
        <v>2.14297637392489</v>
      </c>
      <c r="AB35" s="130" t="n">
        <v>32.24</v>
      </c>
      <c r="AC35" s="130" t="n">
        <v>31.504586545982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35.2456</v>
      </c>
      <c r="H36" s="124" t="n">
        <v>300</v>
      </c>
      <c r="I36" s="179" t="n">
        <v>300.78</v>
      </c>
      <c r="J36" s="136"/>
      <c r="K36" s="137"/>
      <c r="L36" s="137"/>
      <c r="M36" s="137"/>
      <c r="N36" s="138"/>
      <c r="O36" s="137"/>
      <c r="P36" s="136" t="n">
        <v>1.949</v>
      </c>
      <c r="Q36" s="136"/>
      <c r="R36" s="136"/>
      <c r="S36" s="139" t="n">
        <v>84.8</v>
      </c>
      <c r="T36" s="129" t="n">
        <v>0.007</v>
      </c>
      <c r="U36" s="129" t="n">
        <v>0.00684032586296134</v>
      </c>
      <c r="X36" s="130" t="n">
        <v>26.193</v>
      </c>
      <c r="Y36" s="130" t="n">
        <v>25.5955221897923</v>
      </c>
      <c r="Z36" s="129" t="n">
        <v>1.622</v>
      </c>
      <c r="AA36" s="129" t="n">
        <v>1.58500122138904</v>
      </c>
      <c r="AB36" s="130" t="n">
        <v>10.24</v>
      </c>
      <c r="AC36" s="130" t="n">
        <v>10.0064195481035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35.501</v>
      </c>
      <c r="H37" s="124" t="n">
        <v>160</v>
      </c>
      <c r="I37" s="179" t="n">
        <v>154</v>
      </c>
      <c r="J37" s="136"/>
      <c r="K37" s="137"/>
      <c r="L37" s="137"/>
      <c r="M37" s="137"/>
      <c r="N37" s="138"/>
      <c r="O37" s="137"/>
      <c r="P37" s="136" t="n">
        <v>2.579</v>
      </c>
      <c r="Q37" s="136"/>
      <c r="R37" s="136"/>
      <c r="S37" s="139" t="n">
        <v>112.2</v>
      </c>
      <c r="T37" s="129" t="n">
        <v>0.015</v>
      </c>
      <c r="U37" s="129" t="n">
        <v>0.0146578411349172</v>
      </c>
      <c r="X37" s="130" t="n">
        <v>20.125</v>
      </c>
      <c r="Y37" s="130" t="n">
        <v>19.6659368560139</v>
      </c>
      <c r="Z37" s="129" t="n">
        <v>1.3</v>
      </c>
      <c r="AA37" s="129" t="n">
        <v>1.27034623169282</v>
      </c>
      <c r="AB37" s="130" t="n">
        <v>7.68</v>
      </c>
      <c r="AC37" s="130" t="n">
        <v>7.50481466107759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35.5262</v>
      </c>
      <c r="H38" s="124" t="n">
        <v>130</v>
      </c>
      <c r="I38" s="179" t="n">
        <v>136.63</v>
      </c>
      <c r="J38" s="136"/>
      <c r="K38" s="137"/>
      <c r="L38" s="137"/>
      <c r="M38" s="137"/>
      <c r="N38" s="138"/>
      <c r="O38" s="137"/>
      <c r="P38" s="136" t="n">
        <v>2.938</v>
      </c>
      <c r="Q38" s="136"/>
      <c r="R38" s="136"/>
      <c r="S38" s="139" t="n">
        <v>127.9</v>
      </c>
      <c r="T38" s="129" t="n">
        <v>0.025</v>
      </c>
      <c r="U38" s="129" t="n">
        <v>0.0244297352248619</v>
      </c>
      <c r="X38" s="130" t="n">
        <v>17.915</v>
      </c>
      <c r="Y38" s="130" t="n">
        <v>17.5063482621361</v>
      </c>
      <c r="Z38" s="129" t="n">
        <v>1.176</v>
      </c>
      <c r="AA38" s="129" t="n">
        <v>1.14917474497751</v>
      </c>
      <c r="AB38" s="130" t="n">
        <v>6.92</v>
      </c>
      <c r="AC38" s="130" t="n">
        <v>6.76215071024178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35.5517</v>
      </c>
      <c r="H39" s="124" t="n">
        <v>100</v>
      </c>
      <c r="I39" s="179" t="n">
        <v>100.41</v>
      </c>
      <c r="J39" s="136"/>
      <c r="K39" s="137"/>
      <c r="L39" s="137"/>
      <c r="M39" s="137"/>
      <c r="N39" s="138"/>
      <c r="O39" s="137"/>
      <c r="P39" s="136" t="n">
        <v>3.126</v>
      </c>
      <c r="Q39" s="136"/>
      <c r="R39" s="136"/>
      <c r="S39" s="139" t="n">
        <v>136.1</v>
      </c>
      <c r="T39" s="129" t="n">
        <v>0.033</v>
      </c>
      <c r="U39" s="129" t="n">
        <v>0.0322472504968178</v>
      </c>
      <c r="X39" s="130" t="n">
        <v>17.117</v>
      </c>
      <c r="Y39" s="130" t="n">
        <v>16.7265511137585</v>
      </c>
      <c r="Z39" s="129" t="n">
        <v>1.155</v>
      </c>
      <c r="AA39" s="129" t="n">
        <v>1.12865376738862</v>
      </c>
      <c r="AB39" s="130" t="n">
        <v>6.71</v>
      </c>
      <c r="AC39" s="130" t="n">
        <v>6.55694093435294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35.6095</v>
      </c>
      <c r="H40" s="124" t="n">
        <v>60</v>
      </c>
      <c r="I40" s="179" t="n">
        <v>60.53</v>
      </c>
      <c r="J40" s="136"/>
      <c r="K40" s="137"/>
      <c r="L40" s="137"/>
      <c r="M40" s="137"/>
      <c r="N40" s="138"/>
      <c r="O40" s="137"/>
      <c r="P40" s="136" t="n">
        <v>2.998</v>
      </c>
      <c r="Q40" s="136"/>
      <c r="R40" s="136"/>
      <c r="S40" s="139" t="n">
        <v>130.5</v>
      </c>
      <c r="T40" s="129" t="n">
        <v>0.06</v>
      </c>
      <c r="U40" s="129" t="n">
        <v>0.0586313645396687</v>
      </c>
      <c r="X40" s="130" t="n">
        <v>16.7</v>
      </c>
      <c r="Y40" s="130" t="n">
        <v>16.3190631302078</v>
      </c>
      <c r="Z40" s="129" t="n">
        <v>1.138</v>
      </c>
      <c r="AA40" s="129" t="n">
        <v>1.11204154743572</v>
      </c>
      <c r="AB40" s="130" t="n">
        <v>6.41</v>
      </c>
      <c r="AC40" s="130" t="n">
        <v>6.2637841116546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35.6563</v>
      </c>
      <c r="H41" s="124" t="n">
        <v>40</v>
      </c>
      <c r="I41" s="179" t="n">
        <v>40.6</v>
      </c>
      <c r="J41" s="136"/>
      <c r="K41" s="137"/>
      <c r="L41" s="137"/>
      <c r="M41" s="137"/>
      <c r="N41" s="138"/>
      <c r="O41" s="137"/>
      <c r="P41" s="136" t="n">
        <v>2.803</v>
      </c>
      <c r="Q41" s="136"/>
      <c r="R41" s="136"/>
      <c r="S41" s="139" t="n">
        <v>122</v>
      </c>
      <c r="T41" s="129" t="n">
        <v>0.495</v>
      </c>
      <c r="U41" s="129" t="n">
        <v>0.483708757452266</v>
      </c>
      <c r="X41" s="130" t="n">
        <v>16.125</v>
      </c>
      <c r="Y41" s="130" t="n">
        <v>15.7571792200359</v>
      </c>
      <c r="Z41" s="129" t="n">
        <v>1.128</v>
      </c>
      <c r="AA41" s="129" t="n">
        <v>1.10226965334577</v>
      </c>
      <c r="AB41" s="130" t="n">
        <v>5.81</v>
      </c>
      <c r="AC41" s="130" t="n">
        <v>5.67747046625791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35.7374</v>
      </c>
      <c r="H42" s="124" t="n">
        <v>20</v>
      </c>
      <c r="I42" s="179" t="n">
        <v>20.58</v>
      </c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29" t="n">
        <v>0.0645</v>
      </c>
      <c r="U42" s="129" t="n">
        <v>0.0630287168801438</v>
      </c>
      <c r="X42" s="130" t="n">
        <v>0.7455</v>
      </c>
      <c r="Y42" s="130" t="n">
        <v>0.728494704405383</v>
      </c>
      <c r="Z42" s="129" t="n">
        <v>0.1485</v>
      </c>
      <c r="AA42" s="129" t="n">
        <v>0.14511262723568</v>
      </c>
      <c r="AB42" s="130" t="n">
        <v>1.505</v>
      </c>
      <c r="AC42" s="130" t="n">
        <v>1.47067006053669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35.738</v>
      </c>
      <c r="H43" s="124" t="n">
        <v>10</v>
      </c>
      <c r="I43" s="179" t="n">
        <v>10.18</v>
      </c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29" t="n">
        <v>0.02</v>
      </c>
      <c r="U43" s="129" t="n">
        <v>0.0195437881798896</v>
      </c>
      <c r="X43" s="130" t="n">
        <v>0.1</v>
      </c>
      <c r="Y43" s="130" t="n">
        <v>0.0977189408994477</v>
      </c>
      <c r="Z43" s="129" t="n">
        <v>0.091</v>
      </c>
      <c r="AA43" s="129" t="n">
        <v>0.0889242362184974</v>
      </c>
      <c r="AB43" s="130" t="n">
        <v>1.19</v>
      </c>
      <c r="AC43" s="130" t="n">
        <v>1.16285539670343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35.7392</v>
      </c>
      <c r="H44" s="124" t="n">
        <v>0</v>
      </c>
      <c r="I44" s="179" t="n">
        <v>0.32</v>
      </c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29" t="n">
        <v>0.009</v>
      </c>
      <c r="U44" s="129" t="n">
        <v>0.0087947046809503</v>
      </c>
      <c r="X44" s="130" t="n">
        <v>0.091</v>
      </c>
      <c r="Y44" s="130" t="n">
        <v>0.0889242362184974</v>
      </c>
      <c r="Z44" s="129" t="n">
        <v>0.097</v>
      </c>
      <c r="AA44" s="129" t="n">
        <v>0.0947873726724643</v>
      </c>
      <c r="AB44" s="130" t="n">
        <v>1.39</v>
      </c>
      <c r="AC44" s="130" t="n">
        <v>1.35829327850232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42"/>
      <c r="H45" s="124" t="s">
        <v>99</v>
      </c>
      <c r="I45" s="179" t="s">
        <v>99</v>
      </c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29.53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-3°29,53</v>
      </c>
      <c r="P9" s="31" t="s">
        <v>16</v>
      </c>
      <c r="Q9" s="35" t="n">
        <f aca="false">IF(ISBLANK(I9),"",IF(ISBLANK(J9),"",IF(J9&gt;60,"ERREUR !!",O11*(I9+(J9/60)))))</f>
        <v>-3.49216666666667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49.98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2°49,98</v>
      </c>
      <c r="P10" s="31" t="s">
        <v>14</v>
      </c>
      <c r="Q10" s="35" t="n">
        <f aca="false">IF(ISBLANK(I10),"",IF(ISBLANK(J10),"",IF(J10&gt;60,"ERREUR !!",O12*(I10+(J10/60)))))</f>
        <v>2.833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37156</v>
      </c>
      <c r="K11" s="40"/>
      <c r="L11" s="40"/>
      <c r="M11" s="40"/>
      <c r="N11" s="41" t="str">
        <f aca="false">I9&amp;"°"&amp;J9</f>
        <v>3°29,53</v>
      </c>
      <c r="O11" s="42" t="n">
        <f aca="false">IF(P9=M10,-1,1)</f>
        <v>-1</v>
      </c>
      <c r="P11" s="43" t="str">
        <f aca="false">TEXT(J11,"aaaa-mm-jj")&amp;"T"&amp;TEXT(J12,"hh:mm:ss")&amp;"z"</f>
        <v>2005-09-23T13:00:00z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0.541666666666667</v>
      </c>
      <c r="K12" s="48"/>
      <c r="L12" s="48"/>
      <c r="M12" s="48"/>
      <c r="N12" s="49" t="str">
        <f aca="false">I10&amp;"°"&amp;J10</f>
        <v>2°49,98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34.6182</v>
      </c>
      <c r="H35" s="123" t="n">
        <v>1000</v>
      </c>
      <c r="I35" s="124" t="n">
        <v>1004</v>
      </c>
      <c r="J35" s="125"/>
      <c r="K35" s="126"/>
      <c r="L35" s="126"/>
      <c r="M35" s="126"/>
      <c r="N35" s="127"/>
      <c r="O35" s="126"/>
      <c r="P35" s="125" t="n">
        <v>3.588</v>
      </c>
      <c r="Q35" s="125"/>
      <c r="R35" s="125"/>
      <c r="S35" s="128" t="n">
        <v>156</v>
      </c>
      <c r="T35" s="129" t="n">
        <v>0.014</v>
      </c>
      <c r="U35" s="129" t="n">
        <v>0.0136806517259227</v>
      </c>
      <c r="X35" s="130" t="n">
        <v>33.936</v>
      </c>
      <c r="Y35" s="130" t="n">
        <v>33.1618997836366</v>
      </c>
      <c r="Z35" s="129" t="n">
        <v>2.211</v>
      </c>
      <c r="AA35" s="129" t="n">
        <v>2.16056578328679</v>
      </c>
      <c r="AB35" s="130" t="n">
        <v>32.4</v>
      </c>
      <c r="AC35" s="130" t="n">
        <v>31.6609368514211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35.151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1.85</v>
      </c>
      <c r="Q36" s="136"/>
      <c r="R36" s="136"/>
      <c r="S36" s="139" t="n">
        <v>80.5</v>
      </c>
      <c r="T36" s="129" t="n">
        <v>0.008</v>
      </c>
      <c r="U36" s="129" t="n">
        <v>0.00781751527195582</v>
      </c>
      <c r="X36" s="130" t="n">
        <v>27.922</v>
      </c>
      <c r="Y36" s="130" t="n">
        <v>27.2850826779438</v>
      </c>
      <c r="Z36" s="129" t="n">
        <v>1.718</v>
      </c>
      <c r="AA36" s="129" t="n">
        <v>1.67881140465251</v>
      </c>
      <c r="AB36" s="130" t="n">
        <v>11.41</v>
      </c>
      <c r="AC36" s="130" t="n">
        <v>11.149731156627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35.4427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2.808</v>
      </c>
      <c r="Q37" s="136"/>
      <c r="R37" s="136"/>
      <c r="S37" s="139" t="n">
        <v>122.2</v>
      </c>
      <c r="T37" s="129" t="n">
        <v>0.021</v>
      </c>
      <c r="U37" s="129" t="n">
        <v>0.020520977588884</v>
      </c>
      <c r="X37" s="130" t="n">
        <v>19.489</v>
      </c>
      <c r="Y37" s="130" t="n">
        <v>19.0444443918934</v>
      </c>
      <c r="Z37" s="129" t="n">
        <v>1.258</v>
      </c>
      <c r="AA37" s="129" t="n">
        <v>1.22930427651505</v>
      </c>
      <c r="AB37" s="130" t="n">
        <v>7.66</v>
      </c>
      <c r="AC37" s="130" t="n">
        <v>7.4852708728977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35.4844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2.848</v>
      </c>
      <c r="Q38" s="136"/>
      <c r="R38" s="136"/>
      <c r="S38" s="139" t="n">
        <v>124</v>
      </c>
      <c r="T38" s="129" t="n">
        <v>0.017</v>
      </c>
      <c r="U38" s="129" t="n">
        <v>0.0166122199529061</v>
      </c>
      <c r="X38" s="130" t="n">
        <v>18.853</v>
      </c>
      <c r="Y38" s="130" t="n">
        <v>18.4229519277729</v>
      </c>
      <c r="Z38" s="129" t="n">
        <v>1.237</v>
      </c>
      <c r="AA38" s="129" t="n">
        <v>1.20878329892617</v>
      </c>
      <c r="AB38" s="130" t="n">
        <v>7.47</v>
      </c>
      <c r="AC38" s="130" t="n">
        <v>7.29960488518875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35.5127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2.914</v>
      </c>
      <c r="Q39" s="136"/>
      <c r="R39" s="136"/>
      <c r="S39" s="139" t="n">
        <v>126.8</v>
      </c>
      <c r="T39" s="129" t="n">
        <v>0.022</v>
      </c>
      <c r="U39" s="129" t="n">
        <v>0.0214981669978785</v>
      </c>
      <c r="X39" s="130" t="n">
        <v>18.178</v>
      </c>
      <c r="Y39" s="130" t="n">
        <v>17.7633490767016</v>
      </c>
      <c r="Z39" s="129" t="n">
        <v>1.202</v>
      </c>
      <c r="AA39" s="129" t="n">
        <v>1.17458166961136</v>
      </c>
      <c r="AB39" s="130" t="n">
        <v>7.25</v>
      </c>
      <c r="AC39" s="130" t="n">
        <v>7.08462321520996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35.5261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2.991</v>
      </c>
      <c r="Q40" s="136"/>
      <c r="R40" s="136"/>
      <c r="S40" s="139" t="n">
        <v>130.2</v>
      </c>
      <c r="T40" s="129" t="n">
        <v>0.015</v>
      </c>
      <c r="U40" s="129" t="n">
        <v>0.0146578411349172</v>
      </c>
      <c r="X40" s="130" t="n">
        <v>17.585</v>
      </c>
      <c r="Y40" s="130" t="n">
        <v>17.1838757571679</v>
      </c>
      <c r="Z40" s="129" t="n">
        <v>1.161</v>
      </c>
      <c r="AA40" s="129" t="n">
        <v>1.13451690384259</v>
      </c>
      <c r="AB40" s="130" t="n">
        <v>6.93</v>
      </c>
      <c r="AC40" s="130" t="n">
        <v>6.77192260433173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35.5456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2.99</v>
      </c>
      <c r="Q41" s="136"/>
      <c r="R41" s="136"/>
      <c r="S41" s="139" t="n">
        <v>130.2</v>
      </c>
      <c r="T41" s="129" t="n">
        <v>0.049</v>
      </c>
      <c r="U41" s="129" t="n">
        <v>0.0478822810407294</v>
      </c>
      <c r="X41" s="130" t="n">
        <v>17.461</v>
      </c>
      <c r="Y41" s="130" t="n">
        <v>17.0627042704526</v>
      </c>
      <c r="Z41" s="129" t="n">
        <v>1.171</v>
      </c>
      <c r="AA41" s="129" t="n">
        <v>1.14428879793253</v>
      </c>
      <c r="AB41" s="130" t="n">
        <v>6.82</v>
      </c>
      <c r="AC41" s="130" t="n">
        <v>6.66443176934234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35.6415</v>
      </c>
      <c r="H42" s="124" t="n">
        <v>40</v>
      </c>
      <c r="I42" s="124" t="n">
        <v>39</v>
      </c>
      <c r="J42" s="136"/>
      <c r="K42" s="136"/>
      <c r="L42" s="136"/>
      <c r="M42" s="136"/>
      <c r="N42" s="136"/>
      <c r="O42" s="136"/>
      <c r="P42" s="136" t="n">
        <v>2.74</v>
      </c>
      <c r="Q42" s="136"/>
      <c r="R42" s="136"/>
      <c r="S42" s="139" t="n">
        <v>119.3</v>
      </c>
      <c r="T42" s="129" t="n">
        <v>0.682</v>
      </c>
      <c r="U42" s="129" t="n">
        <v>0.666443176934234</v>
      </c>
      <c r="X42" s="130" t="n">
        <v>16.458</v>
      </c>
      <c r="Y42" s="130" t="n">
        <v>16.0825832932311</v>
      </c>
      <c r="Z42" s="129" t="n">
        <v>1.143</v>
      </c>
      <c r="AA42" s="129" t="n">
        <v>1.11692749448069</v>
      </c>
      <c r="AB42" s="130" t="n">
        <v>5.89</v>
      </c>
      <c r="AC42" s="130" t="n">
        <v>5.75564561897747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76" t="n">
        <v>35.7017</v>
      </c>
      <c r="H43" s="124" t="n">
        <v>20</v>
      </c>
      <c r="I43" s="124" t="n">
        <v>21</v>
      </c>
      <c r="J43" s="136"/>
      <c r="K43" s="136"/>
      <c r="L43" s="136"/>
      <c r="M43" s="136"/>
      <c r="N43" s="136"/>
      <c r="O43" s="136"/>
      <c r="P43" s="136" t="n">
        <v>4.565</v>
      </c>
      <c r="Q43" s="136"/>
      <c r="R43" s="136"/>
      <c r="S43" s="139" t="n">
        <v>199</v>
      </c>
      <c r="T43" s="129" t="n">
        <v>0.1735</v>
      </c>
      <c r="U43" s="129" t="n">
        <v>0.169542362460542</v>
      </c>
      <c r="X43" s="130" t="n">
        <v>2.7265</v>
      </c>
      <c r="Y43" s="130" t="n">
        <v>2.66430692362344</v>
      </c>
      <c r="Z43" s="129" t="n">
        <v>0.3165</v>
      </c>
      <c r="AA43" s="129" t="n">
        <v>0.309280447946752</v>
      </c>
      <c r="AB43" s="130" t="n">
        <v>2.06</v>
      </c>
      <c r="AC43" s="130" t="n">
        <v>2.01301018252862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35.6925</v>
      </c>
      <c r="H44" s="124" t="n">
        <v>10</v>
      </c>
      <c r="I44" s="124" t="n">
        <v>11</v>
      </c>
      <c r="J44" s="136"/>
      <c r="K44" s="136"/>
      <c r="L44" s="136"/>
      <c r="M44" s="136"/>
      <c r="N44" s="136"/>
      <c r="O44" s="136"/>
      <c r="P44" s="136" t="n">
        <v>4.934</v>
      </c>
      <c r="Q44" s="136"/>
      <c r="R44" s="136"/>
      <c r="S44" s="139" t="n">
        <v>215.1</v>
      </c>
      <c r="T44" s="129" t="n">
        <v>0.01</v>
      </c>
      <c r="U44" s="129" t="n">
        <v>0.00977189408994478</v>
      </c>
      <c r="X44" s="130" t="n">
        <v>0.09</v>
      </c>
      <c r="Y44" s="130" t="n">
        <v>0.087947046809503</v>
      </c>
      <c r="Z44" s="129" t="n">
        <v>0.128</v>
      </c>
      <c r="AA44" s="129" t="n">
        <v>0.125080244351293</v>
      </c>
      <c r="AB44" s="130" t="n">
        <v>0.9</v>
      </c>
      <c r="AC44" s="130" t="n">
        <v>0.87947046809503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35.6973</v>
      </c>
      <c r="H45" s="124" t="n">
        <v>0</v>
      </c>
      <c r="I45" s="124" t="n">
        <v>0.4</v>
      </c>
      <c r="J45" s="136"/>
      <c r="K45" s="136"/>
      <c r="L45" s="136"/>
      <c r="M45" s="136"/>
      <c r="N45" s="136"/>
      <c r="O45" s="136"/>
      <c r="P45" s="136" t="n">
        <v>4.915</v>
      </c>
      <c r="Q45" s="136"/>
      <c r="R45" s="136"/>
      <c r="S45" s="139" t="n">
        <v>214.4</v>
      </c>
      <c r="T45" s="129" t="n">
        <v>0.003</v>
      </c>
      <c r="U45" s="129" t="n">
        <v>0.00293156822698343</v>
      </c>
      <c r="X45" s="130" t="n">
        <v>0.087</v>
      </c>
      <c r="Y45" s="130" t="n">
        <v>0.0850154785825195</v>
      </c>
      <c r="Z45" s="129" t="n">
        <v>0.126</v>
      </c>
      <c r="AA45" s="129" t="n">
        <v>0.123125865533304</v>
      </c>
      <c r="AB45" s="130" t="n">
        <v>0.99</v>
      </c>
      <c r="AC45" s="130" t="n">
        <v>0.967417514904533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59.87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-3°59,87</v>
      </c>
      <c r="P9" s="31" t="s">
        <v>16</v>
      </c>
      <c r="Q9" s="35" t="n">
        <f aca="false">IF(ISBLANK(I9),"",IF(ISBLANK(J9),"",IF(J9&gt;60,"ERREUR !!",O11*(I9+(J9/60)))))</f>
        <v>-3.99783333333333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2</v>
      </c>
      <c r="J10" s="31" t="n">
        <v>50.01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2°50,01</v>
      </c>
      <c r="P10" s="31" t="s">
        <v>14</v>
      </c>
      <c r="Q10" s="35" t="n">
        <f aca="false">IF(ISBLANK(I10),"",IF(ISBLANK(J10),"",IF(J10&gt;60,"ERREUR !!",O12*(I10+(J10/60)))))</f>
        <v>2.8335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37156</v>
      </c>
      <c r="K11" s="40"/>
      <c r="L11" s="40"/>
      <c r="M11" s="40"/>
      <c r="N11" s="41" t="str">
        <f aca="false">I9&amp;"°"&amp;J9</f>
        <v>3°59,87</v>
      </c>
      <c r="O11" s="42" t="n">
        <f aca="false">IF(P9=M10,-1,1)</f>
        <v>-1</v>
      </c>
      <c r="P11" s="43" t="str">
        <f aca="false">TEXT(J11,"aaaa-mm-jj")&amp;"T"&amp;TEXT(J12,"hh:mm:ss")&amp;"z"</f>
        <v>2005-09-23T17:30:00z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0.729166666666667</v>
      </c>
      <c r="K12" s="48"/>
      <c r="L12" s="48"/>
      <c r="M12" s="48"/>
      <c r="N12" s="49" t="str">
        <f aca="false">I10&amp;"°"&amp;J10</f>
        <v>2°50,01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34.5621</v>
      </c>
      <c r="H35" s="123" t="n">
        <v>1000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3.316</v>
      </c>
      <c r="Q35" s="125"/>
      <c r="R35" s="125"/>
      <c r="S35" s="128" t="n">
        <v>144.2</v>
      </c>
      <c r="T35" s="129" t="n">
        <v>1.73472347597681E-018</v>
      </c>
      <c r="U35" s="129" t="n">
        <v>1.73472347597681E-018</v>
      </c>
      <c r="X35" s="130" t="n">
        <v>34.4099544994944</v>
      </c>
      <c r="Y35" s="130" t="n">
        <v>33.6250431008878</v>
      </c>
      <c r="Z35" s="129" t="n">
        <v>2.384</v>
      </c>
      <c r="AA35" s="129" t="n">
        <v>2.32961955104283</v>
      </c>
      <c r="AB35" s="130" t="n">
        <v>34.185</v>
      </c>
      <c r="AC35" s="130" t="n">
        <v>33.4052199464762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35.0924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1.423</v>
      </c>
      <c r="Q36" s="136"/>
      <c r="R36" s="136"/>
      <c r="S36" s="139" t="n">
        <v>61.9</v>
      </c>
      <c r="T36" s="129" t="n">
        <v>0.0025</v>
      </c>
      <c r="U36" s="129" t="n">
        <v>0.00244297352248619</v>
      </c>
      <c r="X36" s="130" t="n">
        <v>30.0431403774857</v>
      </c>
      <c r="Y36" s="130" t="n">
        <v>29.3578385898134</v>
      </c>
      <c r="Z36" s="129" t="n">
        <v>1.929</v>
      </c>
      <c r="AA36" s="129" t="n">
        <v>1.88499836995035</v>
      </c>
      <c r="AB36" s="130" t="n">
        <v>13.21</v>
      </c>
      <c r="AC36" s="130" t="n">
        <v>12.908672092817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35.5014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2.26</v>
      </c>
      <c r="Q37" s="136"/>
      <c r="R37" s="136"/>
      <c r="S37" s="139" t="n">
        <v>98.4</v>
      </c>
      <c r="T37" s="129" t="n">
        <v>0.017</v>
      </c>
      <c r="U37" s="129" t="n">
        <v>0.0166122199529061</v>
      </c>
      <c r="X37" s="130" t="n">
        <v>20.9152821031345</v>
      </c>
      <c r="Y37" s="130" t="n">
        <v>20.4381921573148</v>
      </c>
      <c r="Z37" s="129" t="n">
        <v>1.4195</v>
      </c>
      <c r="AA37" s="129" t="n">
        <v>1.38712036606766</v>
      </c>
      <c r="AB37" s="130" t="n">
        <v>8.275</v>
      </c>
      <c r="AC37" s="130" t="n">
        <v>8.0862423594293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35.5317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2.358</v>
      </c>
      <c r="Q38" s="136"/>
      <c r="R38" s="136"/>
      <c r="S38" s="139" t="n">
        <v>102.6</v>
      </c>
      <c r="T38" s="129" t="n">
        <v>0.0165</v>
      </c>
      <c r="U38" s="129" t="n">
        <v>0.0161236252484089</v>
      </c>
      <c r="X38" s="130" t="n">
        <v>19.9370075834176</v>
      </c>
      <c r="Y38" s="130" t="n">
        <v>19.4822326575583</v>
      </c>
      <c r="Z38" s="129" t="n">
        <v>1.368</v>
      </c>
      <c r="AA38" s="129" t="n">
        <v>1.33679511150445</v>
      </c>
      <c r="AB38" s="130" t="n">
        <v>8.1</v>
      </c>
      <c r="AC38" s="130" t="n">
        <v>7.91523421285527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35.5738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2.634</v>
      </c>
      <c r="Q39" s="136"/>
      <c r="R39" s="136"/>
      <c r="S39" s="139" t="n">
        <v>114.6</v>
      </c>
      <c r="T39" s="129" t="n">
        <v>0.032</v>
      </c>
      <c r="U39" s="129" t="n">
        <v>0.0312700610878233</v>
      </c>
      <c r="X39" s="130" t="n">
        <v>18.1464785979103</v>
      </c>
      <c r="Y39" s="130" t="n">
        <v>17.7325466964229</v>
      </c>
      <c r="Z39" s="129" t="n">
        <v>1.2625</v>
      </c>
      <c r="AA39" s="129" t="n">
        <v>1.23370162885553</v>
      </c>
      <c r="AB39" s="130" t="n">
        <v>7.4</v>
      </c>
      <c r="AC39" s="130" t="n">
        <v>7.23120162655913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35.5933</v>
      </c>
      <c r="H40" s="124" t="n">
        <v>80</v>
      </c>
      <c r="I40" s="124" t="n">
        <v>79</v>
      </c>
      <c r="J40" s="136"/>
      <c r="K40" s="137"/>
      <c r="L40" s="137"/>
      <c r="M40" s="137"/>
      <c r="N40" s="138"/>
      <c r="O40" s="137"/>
      <c r="P40" s="136" t="n">
        <v>2.741</v>
      </c>
      <c r="Q40" s="136"/>
      <c r="R40" s="136"/>
      <c r="S40" s="139" t="n">
        <v>119.3</v>
      </c>
      <c r="T40" s="129" t="n">
        <v>0.073</v>
      </c>
      <c r="U40" s="129" t="n">
        <v>0.0713348268565969</v>
      </c>
      <c r="X40" s="130" t="n">
        <v>17.0908722615436</v>
      </c>
      <c r="Y40" s="130" t="n">
        <v>16.7010193644579</v>
      </c>
      <c r="Z40" s="129" t="n">
        <v>1.2225</v>
      </c>
      <c r="AA40" s="129" t="n">
        <v>1.19461405249575</v>
      </c>
      <c r="AB40" s="130" t="n">
        <v>6.83</v>
      </c>
      <c r="AC40" s="130" t="n">
        <v>6.67420366343228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35.6154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2.736</v>
      </c>
      <c r="Q41" s="136"/>
      <c r="R41" s="136"/>
      <c r="S41" s="139" t="n">
        <v>119.1</v>
      </c>
      <c r="T41" s="129" t="n">
        <v>0.0955</v>
      </c>
      <c r="U41" s="129" t="n">
        <v>0.0933215885589726</v>
      </c>
      <c r="X41" s="130" t="n">
        <v>16.9583806875632</v>
      </c>
      <c r="Y41" s="130" t="n">
        <v>16.5715500015832</v>
      </c>
      <c r="Z41" s="129" t="n">
        <v>1.2165</v>
      </c>
      <c r="AA41" s="129" t="n">
        <v>1.18875091604178</v>
      </c>
      <c r="AB41" s="130" t="n">
        <v>6.74</v>
      </c>
      <c r="AC41" s="130" t="n">
        <v>6.58625661662278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35.661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2.836</v>
      </c>
      <c r="Q42" s="136"/>
      <c r="R42" s="136"/>
      <c r="S42" s="139" t="n">
        <v>123.5</v>
      </c>
      <c r="T42" s="129" t="n">
        <v>0.25</v>
      </c>
      <c r="U42" s="129" t="n">
        <v>0.244297352248619</v>
      </c>
      <c r="X42" s="130" t="n">
        <v>15.9368436130772</v>
      </c>
      <c r="Y42" s="130" t="n">
        <v>15.5733147915003</v>
      </c>
      <c r="Z42" s="129" t="n">
        <v>1.163</v>
      </c>
      <c r="AA42" s="129" t="n">
        <v>1.13647128266058</v>
      </c>
      <c r="AB42" s="130" t="n">
        <v>6.22</v>
      </c>
      <c r="AC42" s="130" t="n">
        <v>6.07811812394565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35.8267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4.376</v>
      </c>
      <c r="Q43" s="136"/>
      <c r="R43" s="136"/>
      <c r="S43" s="139" t="n">
        <v>190.7</v>
      </c>
      <c r="T43" s="129" t="n">
        <v>0.276</v>
      </c>
      <c r="U43" s="129" t="n">
        <v>0.269704276882476</v>
      </c>
      <c r="X43" s="130" t="n">
        <v>4.39547556454331</v>
      </c>
      <c r="Y43" s="130" t="n">
        <v>4.29521216916574</v>
      </c>
      <c r="Z43" s="129" t="n">
        <v>0.492</v>
      </c>
      <c r="AA43" s="129" t="n">
        <v>0.480777189225283</v>
      </c>
      <c r="AB43" s="130" t="n">
        <v>3.255</v>
      </c>
      <c r="AC43" s="130" t="n">
        <v>3.18075152627702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35.8939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4.999</v>
      </c>
      <c r="Q44" s="136"/>
      <c r="R44" s="136"/>
      <c r="S44" s="139" t="n">
        <v>217.9</v>
      </c>
      <c r="T44" s="129" t="n">
        <v>0.0555</v>
      </c>
      <c r="U44" s="129" t="n">
        <v>0.0542340121991935</v>
      </c>
      <c r="X44" s="130" t="n">
        <v>0.107615604988204</v>
      </c>
      <c r="Y44" s="130" t="n">
        <v>0.105160829437006</v>
      </c>
      <c r="Z44" s="129" t="n">
        <v>0.1915</v>
      </c>
      <c r="AA44" s="129" t="n">
        <v>0.187131771822442</v>
      </c>
      <c r="AB44" s="130" t="n">
        <v>2.02</v>
      </c>
      <c r="AC44" s="130" t="n">
        <v>1.97392260616884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76" t="n">
        <v>35.8658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4.982</v>
      </c>
      <c r="Q45" s="136"/>
      <c r="R45" s="136"/>
      <c r="S45" s="139" t="n">
        <v>217.2</v>
      </c>
      <c r="T45" s="129" t="n">
        <v>0.067</v>
      </c>
      <c r="U45" s="129" t="n">
        <v>0.06547169040263</v>
      </c>
      <c r="X45" s="130" t="n">
        <v>0</v>
      </c>
      <c r="Y45" s="130" t="n">
        <v>0</v>
      </c>
      <c r="Z45" s="129" t="n">
        <v>0.1695</v>
      </c>
      <c r="AA45" s="129" t="n">
        <v>0.165633604824564</v>
      </c>
      <c r="AB45" s="130" t="n">
        <v>1.93</v>
      </c>
      <c r="AC45" s="130" t="n">
        <v>1.88597555935934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26.09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-3°26,09</v>
      </c>
      <c r="P9" s="31" t="s">
        <v>16</v>
      </c>
      <c r="Q9" s="35" t="n">
        <f aca="false">IF(ISBLANK(I9),"",IF(ISBLANK(J9),"",IF(J9&gt;60,"ERREUR !!",O11*(I9+(J9/60)))))</f>
        <v>-3.43483333333333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3</v>
      </c>
      <c r="J10" s="31" t="n">
        <v>39.96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3°39,96</v>
      </c>
      <c r="P10" s="31" t="s">
        <v>14</v>
      </c>
      <c r="Q10" s="35" t="n">
        <f aca="false">IF(ISBLANK(I10),"",IF(ISBLANK(J10),"",IF(J10&gt;60,"ERREUR !!",O12*(I10+(J10/60)))))</f>
        <v>3.666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37157</v>
      </c>
      <c r="K11" s="40"/>
      <c r="L11" s="40"/>
      <c r="M11" s="40"/>
      <c r="N11" s="41" t="str">
        <f aca="false">I9&amp;"°"&amp;J9</f>
        <v>3°26,09</v>
      </c>
      <c r="O11" s="42" t="n">
        <f aca="false">IF(P9=M10,-1,1)</f>
        <v>-1</v>
      </c>
      <c r="P11" s="43" t="str">
        <f aca="false">TEXT(J11,"aaaa-mm-jj")&amp;"T"&amp;TEXT(J12,"hh:mm:ss")&amp;"z"</f>
        <v>2005-09-24T01:00:00z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0.0416666666666667</v>
      </c>
      <c r="K12" s="48"/>
      <c r="L12" s="48"/>
      <c r="M12" s="48"/>
      <c r="N12" s="49" t="str">
        <f aca="false">I10&amp;"°"&amp;J10</f>
        <v>3°39,96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34.5998</v>
      </c>
      <c r="H35" s="123" t="n">
        <v>1000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3.523</v>
      </c>
      <c r="Q35" s="125"/>
      <c r="R35" s="125"/>
      <c r="S35" s="128" t="n">
        <v>153.2</v>
      </c>
      <c r="T35" s="129" t="n">
        <v>0.022</v>
      </c>
      <c r="U35" s="129" t="n">
        <v>0.0214981669978785</v>
      </c>
      <c r="X35" s="130" t="n">
        <v>34.418</v>
      </c>
      <c r="Y35" s="130" t="n">
        <v>33.6329050787719</v>
      </c>
      <c r="Z35" s="129" t="n">
        <v>2.221</v>
      </c>
      <c r="AA35" s="129" t="n">
        <v>2.17033767737673</v>
      </c>
      <c r="AB35" s="130" t="n">
        <v>32.94</v>
      </c>
      <c r="AC35" s="130" t="n">
        <v>32.1886191322781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35.1994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1.762</v>
      </c>
      <c r="Q36" s="136"/>
      <c r="R36" s="136"/>
      <c r="S36" s="139" t="n">
        <v>76.7</v>
      </c>
      <c r="T36" s="129" t="n">
        <v>0.02</v>
      </c>
      <c r="U36" s="129" t="n">
        <v>0.0195437881798896</v>
      </c>
      <c r="X36" s="130" t="n">
        <v>27.9</v>
      </c>
      <c r="Y36" s="130" t="n">
        <v>27.2635845109459</v>
      </c>
      <c r="Z36" s="129" t="n">
        <v>1.707</v>
      </c>
      <c r="AA36" s="129" t="n">
        <v>1.66806232115357</v>
      </c>
      <c r="AB36" s="130" t="n">
        <v>11.3</v>
      </c>
      <c r="AC36" s="130" t="n">
        <v>11.0422403216376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35.4748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2.878</v>
      </c>
      <c r="Q37" s="136"/>
      <c r="R37" s="136"/>
      <c r="S37" s="139" t="n">
        <v>125.2</v>
      </c>
      <c r="T37" s="129" t="n">
        <v>0.02</v>
      </c>
      <c r="U37" s="129" t="n">
        <v>0.0195437881798896</v>
      </c>
      <c r="X37" s="130" t="n">
        <v>18.72</v>
      </c>
      <c r="Y37" s="130" t="n">
        <v>18.2929857363766</v>
      </c>
      <c r="Z37" s="129" t="n">
        <v>1.224</v>
      </c>
      <c r="AA37" s="129" t="n">
        <v>1.19607983660924</v>
      </c>
      <c r="AB37" s="130" t="n">
        <v>7.66</v>
      </c>
      <c r="AC37" s="130" t="n">
        <v>7.4852708728977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35.4966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2.612</v>
      </c>
      <c r="Q38" s="136"/>
      <c r="R38" s="136"/>
      <c r="S38" s="139" t="n">
        <v>113.7</v>
      </c>
      <c r="T38" s="129" t="n">
        <v>0.023</v>
      </c>
      <c r="U38" s="129" t="n">
        <v>0.022475356406873</v>
      </c>
      <c r="X38" s="130" t="n">
        <v>19.847</v>
      </c>
      <c r="Y38" s="130" t="n">
        <v>19.3942782003134</v>
      </c>
      <c r="Z38" s="129" t="n">
        <v>1.28</v>
      </c>
      <c r="AA38" s="129" t="n">
        <v>1.25080244351293</v>
      </c>
      <c r="AB38" s="130" t="n">
        <v>7.78</v>
      </c>
      <c r="AC38" s="130" t="n">
        <v>7.60253360197703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35.5318</v>
      </c>
      <c r="H39" s="124" t="n">
        <v>100</v>
      </c>
      <c r="I39" s="124" t="n">
        <v>99</v>
      </c>
      <c r="J39" s="136"/>
      <c r="K39" s="137"/>
      <c r="L39" s="137"/>
      <c r="M39" s="137"/>
      <c r="N39" s="138"/>
      <c r="O39" s="137"/>
      <c r="P39" s="136" t="n">
        <v>3.065</v>
      </c>
      <c r="Q39" s="136"/>
      <c r="R39" s="136"/>
      <c r="S39" s="139" t="n">
        <v>133.4</v>
      </c>
      <c r="T39" s="129" t="n">
        <v>0.029</v>
      </c>
      <c r="U39" s="129" t="n">
        <v>0.0283384928608398</v>
      </c>
      <c r="X39" s="130" t="n">
        <v>17.521</v>
      </c>
      <c r="Y39" s="130" t="n">
        <v>17.1213356349922</v>
      </c>
      <c r="Z39" s="129" t="n">
        <v>1.156</v>
      </c>
      <c r="AA39" s="129" t="n">
        <v>1.12963095679762</v>
      </c>
      <c r="AB39" s="130" t="n">
        <v>6.97</v>
      </c>
      <c r="AC39" s="130" t="n">
        <v>6.81101018069151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35.5556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3.074</v>
      </c>
      <c r="Q40" s="136"/>
      <c r="R40" s="136"/>
      <c r="S40" s="139" t="n">
        <v>133.8</v>
      </c>
      <c r="T40" s="129" t="n">
        <v>0.034</v>
      </c>
      <c r="U40" s="129" t="n">
        <v>0.0332244399058122</v>
      </c>
      <c r="X40" s="130" t="n">
        <v>16.916</v>
      </c>
      <c r="Y40" s="130" t="n">
        <v>16.5301360425506</v>
      </c>
      <c r="Z40" s="129" t="n">
        <v>1.129</v>
      </c>
      <c r="AA40" s="129" t="n">
        <v>1.10324684275477</v>
      </c>
      <c r="AB40" s="130" t="n">
        <v>6.81</v>
      </c>
      <c r="AC40" s="130" t="n">
        <v>6.65465987525239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35.5845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2.974</v>
      </c>
      <c r="Q41" s="136"/>
      <c r="R41" s="136"/>
      <c r="S41" s="139" t="n">
        <v>129.4</v>
      </c>
      <c r="T41" s="129" t="n">
        <v>0.055</v>
      </c>
      <c r="U41" s="129" t="n">
        <v>0.0537454174946963</v>
      </c>
      <c r="X41" s="130" t="n">
        <v>17.065</v>
      </c>
      <c r="Y41" s="130" t="n">
        <v>16.6757372644908</v>
      </c>
      <c r="Z41" s="129" t="n">
        <v>1.123</v>
      </c>
      <c r="AA41" s="129" t="n">
        <v>1.0973837063008</v>
      </c>
      <c r="AB41" s="130" t="n">
        <v>6.53</v>
      </c>
      <c r="AC41" s="130" t="n">
        <v>6.38104684073394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35.6558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2.751</v>
      </c>
      <c r="Q42" s="136"/>
      <c r="R42" s="136"/>
      <c r="S42" s="139" t="n">
        <v>119.8</v>
      </c>
      <c r="T42" s="129" t="n">
        <v>0.477</v>
      </c>
      <c r="U42" s="129" t="n">
        <v>0.466119348090366</v>
      </c>
      <c r="X42" s="130" t="n">
        <v>16.553</v>
      </c>
      <c r="Y42" s="130" t="n">
        <v>16.1754162870856</v>
      </c>
      <c r="Z42" s="129" t="n">
        <v>1.129</v>
      </c>
      <c r="AA42" s="129" t="n">
        <v>1.10324684275477</v>
      </c>
      <c r="AB42" s="130" t="n">
        <v>5.93</v>
      </c>
      <c r="AC42" s="130" t="n">
        <v>5.79473319533725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35.6543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4.92</v>
      </c>
      <c r="Q43" s="136"/>
      <c r="R43" s="136"/>
      <c r="S43" s="139" t="n">
        <v>214.5</v>
      </c>
      <c r="T43" s="129" t="n">
        <v>0.022</v>
      </c>
      <c r="U43" s="129" t="n">
        <v>0.0214981669978785</v>
      </c>
      <c r="X43" s="130" t="n">
        <v>0.068</v>
      </c>
      <c r="Y43" s="130" t="n">
        <v>0.0664488798116245</v>
      </c>
      <c r="Z43" s="129" t="n">
        <v>0.132</v>
      </c>
      <c r="AA43" s="129" t="n">
        <v>0.128989001987271</v>
      </c>
      <c r="AB43" s="130" t="n">
        <v>0.81</v>
      </c>
      <c r="AC43" s="130" t="n">
        <v>0.791523421285527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35.6519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4.911</v>
      </c>
      <c r="Q44" s="136"/>
      <c r="R44" s="136"/>
      <c r="S44" s="139" t="n">
        <v>214.1</v>
      </c>
      <c r="T44" s="129" t="n">
        <v>0.002</v>
      </c>
      <c r="U44" s="129" t="n">
        <v>0.00195437881798896</v>
      </c>
      <c r="X44" s="130" t="n">
        <v>0.038</v>
      </c>
      <c r="Y44" s="130" t="n">
        <v>0.0371331975417901</v>
      </c>
      <c r="Z44" s="129" t="n">
        <v>0.129</v>
      </c>
      <c r="AA44" s="129" t="n">
        <v>0.126057433760288</v>
      </c>
      <c r="AB44" s="130" t="n">
        <v>0.78</v>
      </c>
      <c r="AC44" s="130" t="n">
        <v>0.762207739015692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76" t="n">
        <v>35.652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4.9</v>
      </c>
      <c r="Q45" s="136"/>
      <c r="R45" s="136"/>
      <c r="S45" s="139" t="n">
        <v>213.7</v>
      </c>
      <c r="T45" s="129" t="n">
        <v>0.0185</v>
      </c>
      <c r="U45" s="129" t="n">
        <v>0.0180780040663978</v>
      </c>
      <c r="X45" s="130" t="n">
        <v>0.0865</v>
      </c>
      <c r="Y45" s="130" t="n">
        <v>0.0845268838780223</v>
      </c>
      <c r="Z45" s="129" t="n">
        <v>0.123</v>
      </c>
      <c r="AA45" s="129" t="n">
        <v>0.120194297306321</v>
      </c>
      <c r="AB45" s="130" t="n">
        <v>0.87</v>
      </c>
      <c r="AC45" s="130" t="n">
        <v>0.850154785825195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52.97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-2°52,97</v>
      </c>
      <c r="P9" s="31" t="s">
        <v>16</v>
      </c>
      <c r="Q9" s="35" t="n">
        <f aca="false">IF(ISBLANK(I9),"",IF(ISBLANK(J9),"",IF(J9&gt;60,"ERREUR !!",O11*(I9+(J9/60)))))</f>
        <v>-2.88283333333333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4</v>
      </c>
      <c r="J10" s="31" t="n">
        <v>29.01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4°29,01</v>
      </c>
      <c r="P10" s="31" t="s">
        <v>14</v>
      </c>
      <c r="Q10" s="35" t="n">
        <f aca="false">IF(ISBLANK(I10),"",IF(ISBLANK(J10),"",IF(J10&gt;60,"ERREUR !!",O12*(I10+(J10/60)))))</f>
        <v>4.4835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37157</v>
      </c>
      <c r="K11" s="40"/>
      <c r="L11" s="40"/>
      <c r="M11" s="40"/>
      <c r="N11" s="41" t="str">
        <f aca="false">I9&amp;"°"&amp;J9</f>
        <v>2°52,97</v>
      </c>
      <c r="O11" s="42" t="n">
        <f aca="false">IF(P9=M10,-1,1)</f>
        <v>-1</v>
      </c>
      <c r="P11" s="43" t="str">
        <f aca="false">TEXT(J11,"aaaa-mm-jj")&amp;"T"&amp;TEXT(J12,"hh:mm:ss")&amp;"z"</f>
        <v>2005-09-24T08:00:00z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0.333333333333333</v>
      </c>
      <c r="K12" s="48"/>
      <c r="L12" s="48"/>
      <c r="M12" s="48"/>
      <c r="N12" s="49" t="str">
        <f aca="false">I10&amp;"°"&amp;J10</f>
        <v>4°29,01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34.5993</v>
      </c>
      <c r="H35" s="123" t="n">
        <v>1000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3.548</v>
      </c>
      <c r="Q35" s="125"/>
      <c r="R35" s="125"/>
      <c r="S35" s="128" t="n">
        <v>154.2</v>
      </c>
      <c r="T35" s="129" t="n">
        <v>0.00383089374892371</v>
      </c>
      <c r="U35" s="129" t="n">
        <v>0.0037435087984314</v>
      </c>
      <c r="X35" s="130" t="n">
        <v>33.9761691062511</v>
      </c>
      <c r="Y35" s="130" t="n">
        <v>33.2011526088339</v>
      </c>
      <c r="Z35" s="129" t="n">
        <v>2.286</v>
      </c>
      <c r="AA35" s="129" t="n">
        <v>2.23385498896138</v>
      </c>
      <c r="AB35" s="130" t="n">
        <v>32.27</v>
      </c>
      <c r="AC35" s="130" t="n">
        <v>31.5339022282518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80" t="n">
        <v>35.1965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1.405</v>
      </c>
      <c r="Q36" s="136"/>
      <c r="R36" s="136"/>
      <c r="S36" s="139" t="n">
        <v>61.1</v>
      </c>
      <c r="T36" s="129" t="n">
        <v>0.0124411916652316</v>
      </c>
      <c r="U36" s="129" t="n">
        <v>0.0121574007305347</v>
      </c>
      <c r="X36" s="130" t="n">
        <v>29.3275588083348</v>
      </c>
      <c r="Y36" s="130" t="n">
        <v>28.6585798591674</v>
      </c>
      <c r="Z36" s="129" t="n">
        <v>1.8395</v>
      </c>
      <c r="AA36" s="129" t="n">
        <v>1.79753991784534</v>
      </c>
      <c r="AB36" s="130" t="n">
        <v>11.575</v>
      </c>
      <c r="AC36" s="130" t="n">
        <v>11.3109674091111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35.5223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3.036</v>
      </c>
      <c r="Q37" s="136"/>
      <c r="R37" s="136"/>
      <c r="S37" s="139" t="n">
        <v>132.1</v>
      </c>
      <c r="T37" s="129" t="n">
        <v>0.0210514895815395</v>
      </c>
      <c r="U37" s="129" t="n">
        <v>0.020571292662638</v>
      </c>
      <c r="X37" s="130" t="n">
        <v>17.4989485104185</v>
      </c>
      <c r="Y37" s="130" t="n">
        <v>17.0997871529206</v>
      </c>
      <c r="Z37" s="129" t="n">
        <v>1.206</v>
      </c>
      <c r="AA37" s="129" t="n">
        <v>1.17849042724734</v>
      </c>
      <c r="AB37" s="130" t="n">
        <v>6.82</v>
      </c>
      <c r="AC37" s="130" t="n">
        <v>6.66443176934234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35.5747</v>
      </c>
      <c r="H38" s="124" t="n">
        <v>130</v>
      </c>
      <c r="I38" s="124" t="n">
        <v>128</v>
      </c>
      <c r="J38" s="136"/>
      <c r="K38" s="137"/>
      <c r="L38" s="137"/>
      <c r="M38" s="137"/>
      <c r="N38" s="138"/>
      <c r="O38" s="137"/>
      <c r="P38" s="136" t="n">
        <v>3.12</v>
      </c>
      <c r="Q38" s="136"/>
      <c r="R38" s="136"/>
      <c r="S38" s="139" t="n">
        <v>135.8</v>
      </c>
      <c r="T38" s="129" t="n">
        <v>0.0382720854141553</v>
      </c>
      <c r="U38" s="129" t="n">
        <v>0.0373990765268446</v>
      </c>
      <c r="X38" s="130" t="n">
        <v>16.2817279145858</v>
      </c>
      <c r="Y38" s="130" t="n">
        <v>15.910332078263</v>
      </c>
      <c r="Z38" s="129" t="n">
        <v>1.129</v>
      </c>
      <c r="AA38" s="129" t="n">
        <v>1.10324684275477</v>
      </c>
      <c r="AB38" s="130" t="n">
        <v>6.13</v>
      </c>
      <c r="AC38" s="130" t="n">
        <v>5.99017107713615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35.6513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3.095</v>
      </c>
      <c r="Q39" s="136"/>
      <c r="R39" s="136"/>
      <c r="S39" s="139" t="n">
        <v>134.7</v>
      </c>
      <c r="T39" s="129" t="n">
        <v>0.0468823833304632</v>
      </c>
      <c r="U39" s="129" t="n">
        <v>0.0458129684589479</v>
      </c>
      <c r="X39" s="130" t="n">
        <v>15.9531176166695</v>
      </c>
      <c r="Y39" s="130" t="n">
        <v>15.5892175754527</v>
      </c>
      <c r="Z39" s="129" t="n">
        <v>1.11</v>
      </c>
      <c r="AA39" s="129" t="n">
        <v>1.08468024398387</v>
      </c>
      <c r="AB39" s="130" t="n">
        <v>6.2</v>
      </c>
      <c r="AC39" s="130" t="n">
        <v>6.05857433576576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35.6748</v>
      </c>
      <c r="H40" s="124" t="n">
        <v>80</v>
      </c>
      <c r="I40" s="124" t="n">
        <v>81</v>
      </c>
      <c r="J40" s="136"/>
      <c r="K40" s="137"/>
      <c r="L40" s="137"/>
      <c r="M40" s="137"/>
      <c r="N40" s="138"/>
      <c r="O40" s="137"/>
      <c r="P40" s="136" t="n">
        <v>3.014</v>
      </c>
      <c r="Q40" s="136"/>
      <c r="R40" s="136"/>
      <c r="S40" s="139" t="n">
        <v>131.2</v>
      </c>
      <c r="T40" s="129" t="n">
        <v>0.0554926812467711</v>
      </c>
      <c r="U40" s="129" t="n">
        <v>0.0542268603910512</v>
      </c>
      <c r="X40" s="130" t="n">
        <v>15.6845073187532</v>
      </c>
      <c r="Y40" s="130" t="n">
        <v>15.326734437182</v>
      </c>
      <c r="Z40" s="129" t="n">
        <v>1.096</v>
      </c>
      <c r="AA40" s="129" t="n">
        <v>1.07099959225795</v>
      </c>
      <c r="AB40" s="130" t="n">
        <v>5.98</v>
      </c>
      <c r="AC40" s="130" t="n">
        <v>5.84359266578698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35.7336</v>
      </c>
      <c r="H41" s="124" t="n">
        <v>60</v>
      </c>
      <c r="I41" s="124" t="n">
        <v>57</v>
      </c>
      <c r="J41" s="136"/>
      <c r="K41" s="137"/>
      <c r="L41" s="137"/>
      <c r="M41" s="137"/>
      <c r="N41" s="138"/>
      <c r="O41" s="137"/>
      <c r="P41" s="136" t="n">
        <v>2.932</v>
      </c>
      <c r="Q41" s="136"/>
      <c r="R41" s="136"/>
      <c r="S41" s="139" t="n">
        <v>127.6</v>
      </c>
      <c r="T41" s="129" t="n">
        <v>0.0985441708283107</v>
      </c>
      <c r="U41" s="129" t="n">
        <v>0.0962963200515677</v>
      </c>
      <c r="X41" s="130" t="n">
        <v>15.2214558291717</v>
      </c>
      <c r="Y41" s="130" t="n">
        <v>14.8742454257438</v>
      </c>
      <c r="Z41" s="129" t="n">
        <v>1.079</v>
      </c>
      <c r="AA41" s="129" t="n">
        <v>1.05438737230504</v>
      </c>
      <c r="AB41" s="130" t="n">
        <v>5.29</v>
      </c>
      <c r="AC41" s="130" t="n">
        <v>5.16933197358079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35.7587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3.219</v>
      </c>
      <c r="Q42" s="136"/>
      <c r="R42" s="136"/>
      <c r="S42" s="139" t="n">
        <v>140.1</v>
      </c>
      <c r="T42" s="129" t="n">
        <v>0.71848562080248</v>
      </c>
      <c r="U42" s="129" t="n">
        <v>0.702096539163006</v>
      </c>
      <c r="X42" s="130" t="n">
        <v>12.3215143791975</v>
      </c>
      <c r="Y42" s="130" t="n">
        <v>12.040453354125</v>
      </c>
      <c r="Z42" s="129" t="n">
        <v>0.946</v>
      </c>
      <c r="AA42" s="129" t="n">
        <v>0.924421180908776</v>
      </c>
      <c r="AB42" s="130" t="n">
        <v>4.46</v>
      </c>
      <c r="AC42" s="130" t="n">
        <v>4.35826476411537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35.666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4.875</v>
      </c>
      <c r="Q43" s="136"/>
      <c r="R43" s="136"/>
      <c r="S43" s="139" t="n">
        <v>212.6</v>
      </c>
      <c r="T43" s="129" t="n">
        <v>0.0296617874978474</v>
      </c>
      <c r="U43" s="129" t="n">
        <v>0.0289851845947413</v>
      </c>
      <c r="X43" s="130" t="n">
        <v>0.190338212502153</v>
      </c>
      <c r="Y43" s="130" t="n">
        <v>0.185996485384044</v>
      </c>
      <c r="Z43" s="129" t="n">
        <v>0.152</v>
      </c>
      <c r="AA43" s="129" t="n">
        <v>0.148532790167161</v>
      </c>
      <c r="AB43" s="130" t="n">
        <v>0.82</v>
      </c>
      <c r="AC43" s="130" t="n">
        <v>0.801295315375472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35.6641</v>
      </c>
      <c r="H44" s="124" t="n">
        <v>10</v>
      </c>
      <c r="I44" s="124" t="n">
        <v>11</v>
      </c>
      <c r="J44" s="136"/>
      <c r="K44" s="136"/>
      <c r="L44" s="136"/>
      <c r="M44" s="136"/>
      <c r="N44" s="136"/>
      <c r="O44" s="136"/>
      <c r="P44" s="136" t="n">
        <v>4.903</v>
      </c>
      <c r="Q44" s="136"/>
      <c r="R44" s="136"/>
      <c r="S44" s="139" t="n">
        <v>213.8</v>
      </c>
      <c r="T44" s="129" t="n">
        <v>0.0210514895815395</v>
      </c>
      <c r="U44" s="129" t="n">
        <v>0.020571292662638</v>
      </c>
      <c r="X44" s="130" t="n">
        <v>0.0689485104184605</v>
      </c>
      <c r="Y44" s="130" t="n">
        <v>0.067375754146865</v>
      </c>
      <c r="Z44" s="129" t="n">
        <v>0.262</v>
      </c>
      <c r="AA44" s="129" t="n">
        <v>0.256023625156553</v>
      </c>
      <c r="AB44" s="130" t="n">
        <v>0.84</v>
      </c>
      <c r="AC44" s="130" t="n">
        <v>0.820839103555361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35.6643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4.894</v>
      </c>
      <c r="Q45" s="136"/>
      <c r="R45" s="136"/>
      <c r="S45" s="139" t="n">
        <v>213.4</v>
      </c>
      <c r="T45" s="129" t="n">
        <v>0.0296617874978474</v>
      </c>
      <c r="U45" s="129" t="n">
        <v>0.0289851845947413</v>
      </c>
      <c r="X45" s="130" t="n">
        <v>0.0903382125021526</v>
      </c>
      <c r="Y45" s="130" t="n">
        <v>0.088277544484596</v>
      </c>
      <c r="Z45" s="129" t="n">
        <v>0.125</v>
      </c>
      <c r="AA45" s="129" t="n">
        <v>0.12214867612431</v>
      </c>
      <c r="AB45" s="130" t="n">
        <v>0.83</v>
      </c>
      <c r="AC45" s="130" t="n">
        <v>0.811067209465416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35" activeCellId="0" sqref="Q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19.24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-2°19,24</v>
      </c>
      <c r="P9" s="31" t="s">
        <v>16</v>
      </c>
      <c r="Q9" s="35" t="n">
        <f aca="false">IF(ISBLANK(I9),"",IF(ISBLANK(J9),"",IF(J9&gt;60,"ERREUR !!",O11*(I9+(J9/60)))))</f>
        <v>-2.32066666666667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18.69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5°18,69</v>
      </c>
      <c r="P10" s="31" t="s">
        <v>14</v>
      </c>
      <c r="Q10" s="35" t="n">
        <f aca="false">IF(ISBLANK(I10),"",IF(ISBLANK(J10),"",IF(J10&gt;60,"ERREUR !!",O12*(I10+(J10/60)))))</f>
        <v>5.3115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37157</v>
      </c>
      <c r="K11" s="40"/>
      <c r="L11" s="40"/>
      <c r="M11" s="40"/>
      <c r="N11" s="41" t="str">
        <f aca="false">I9&amp;"°"&amp;J9</f>
        <v>2°19,24</v>
      </c>
      <c r="O11" s="42" t="n">
        <f aca="false">IF(P9=M10,-1,1)</f>
        <v>-1</v>
      </c>
      <c r="P11" s="43" t="str">
        <f aca="false">TEXT(J11,"aaaa-mm-jj")&amp;"T"&amp;TEXT(J12,"hh:mm:ss")&amp;"z"</f>
        <v>2005-09-24T15:30:00z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0.645833333333333</v>
      </c>
      <c r="K12" s="48"/>
      <c r="L12" s="48"/>
      <c r="M12" s="48"/>
      <c r="N12" s="49" t="str">
        <f aca="false">I10&amp;"°"&amp;J10</f>
        <v>5°18,69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34.9535</v>
      </c>
      <c r="H35" s="123" t="n">
        <v>2000</v>
      </c>
      <c r="I35" s="124" t="n">
        <v>2002</v>
      </c>
      <c r="J35" s="125"/>
      <c r="K35" s="126"/>
      <c r="L35" s="126"/>
      <c r="M35" s="126"/>
      <c r="N35" s="127"/>
      <c r="O35" s="126"/>
      <c r="P35" s="125" t="n">
        <v>5.568</v>
      </c>
      <c r="Q35" s="125"/>
      <c r="R35" s="125"/>
      <c r="S35" s="128" t="n">
        <v>242</v>
      </c>
      <c r="T35" s="129" t="n">
        <v>0.005</v>
      </c>
      <c r="U35" s="129" t="n">
        <v>0.00488594704497239</v>
      </c>
      <c r="X35" s="130" t="n">
        <v>21.525</v>
      </c>
      <c r="Y35" s="130" t="n">
        <v>21.0340020286061</v>
      </c>
      <c r="Z35" s="129" t="n">
        <v>1.381</v>
      </c>
      <c r="AA35" s="129" t="n">
        <v>1.34949857382137</v>
      </c>
      <c r="AB35" s="130" t="n">
        <v>25.54</v>
      </c>
      <c r="AC35" s="130" t="n">
        <v>24.957417505719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35.1155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1.603</v>
      </c>
      <c r="Q36" s="136"/>
      <c r="R36" s="136"/>
      <c r="S36" s="139" t="n">
        <v>69.7</v>
      </c>
      <c r="T36" s="129" t="n">
        <v>0.012</v>
      </c>
      <c r="U36" s="129" t="n">
        <v>0.0117262729079337</v>
      </c>
      <c r="X36" s="130" t="n">
        <v>29.948</v>
      </c>
      <c r="Y36" s="130" t="n">
        <v>29.2648684205666</v>
      </c>
      <c r="Z36" s="129" t="n">
        <v>1.812</v>
      </c>
      <c r="AA36" s="129" t="n">
        <v>1.77066720909799</v>
      </c>
      <c r="AB36" s="130" t="n">
        <v>12.54</v>
      </c>
      <c r="AC36" s="130" t="n">
        <v>12.2539551887907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76" t="n">
        <v>35.5797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2.615</v>
      </c>
      <c r="Q37" s="136"/>
      <c r="R37" s="136"/>
      <c r="S37" s="139" t="n">
        <v>113.8</v>
      </c>
      <c r="T37" s="129" t="n">
        <v>0.017</v>
      </c>
      <c r="U37" s="129" t="n">
        <v>0.0166122199529061</v>
      </c>
      <c r="X37" s="130" t="n">
        <v>19.188</v>
      </c>
      <c r="Y37" s="130" t="n">
        <v>18.750310379786</v>
      </c>
      <c r="Z37" s="129" t="n">
        <v>1.262</v>
      </c>
      <c r="AA37" s="129" t="n">
        <v>1.23321303415103</v>
      </c>
      <c r="AB37" s="130" t="n">
        <v>7.295</v>
      </c>
      <c r="AC37" s="130" t="n">
        <v>7.12859673861471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35.6219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2.583</v>
      </c>
      <c r="Q38" s="136"/>
      <c r="R38" s="136"/>
      <c r="S38" s="139" t="n">
        <v>112.4</v>
      </c>
      <c r="T38" s="129" t="n">
        <v>0.01</v>
      </c>
      <c r="U38" s="129" t="n">
        <v>0.00977189408994478</v>
      </c>
      <c r="X38" s="130" t="n">
        <v>18.68</v>
      </c>
      <c r="Y38" s="130" t="n">
        <v>18.2538981600168</v>
      </c>
      <c r="Z38" s="129" t="n">
        <v>1.238</v>
      </c>
      <c r="AA38" s="129" t="n">
        <v>1.20976048833516</v>
      </c>
      <c r="AB38" s="130" t="n">
        <v>6.95</v>
      </c>
      <c r="AC38" s="130" t="n">
        <v>6.79146639251162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35.6589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2.93</v>
      </c>
      <c r="Q39" s="136"/>
      <c r="R39" s="136"/>
      <c r="S39" s="139" t="n">
        <v>127.5</v>
      </c>
      <c r="T39" s="129" t="n">
        <v>0.056</v>
      </c>
      <c r="U39" s="129" t="n">
        <v>0.0547226069036907</v>
      </c>
      <c r="X39" s="130" t="n">
        <v>16.464</v>
      </c>
      <c r="Y39" s="130" t="n">
        <v>16.0884464296851</v>
      </c>
      <c r="Z39" s="129" t="n">
        <v>1.115</v>
      </c>
      <c r="AA39" s="129" t="n">
        <v>1.08956619102884</v>
      </c>
      <c r="AB39" s="130" t="n">
        <v>6.13</v>
      </c>
      <c r="AC39" s="130" t="n">
        <v>5.99017107713615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35.7523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2.857</v>
      </c>
      <c r="Q40" s="136"/>
      <c r="R40" s="136"/>
      <c r="S40" s="139" t="n">
        <v>124.4</v>
      </c>
      <c r="T40" s="129" t="n">
        <v>0.072</v>
      </c>
      <c r="U40" s="129" t="n">
        <v>0.0703576374476024</v>
      </c>
      <c r="X40" s="130" t="n">
        <v>15.558</v>
      </c>
      <c r="Y40" s="130" t="n">
        <v>15.2031128251361</v>
      </c>
      <c r="Z40" s="129" t="n">
        <v>1.059</v>
      </c>
      <c r="AA40" s="129" t="n">
        <v>1.03484358412515</v>
      </c>
      <c r="AB40" s="130" t="n">
        <v>4.75</v>
      </c>
      <c r="AC40" s="130" t="n">
        <v>4.64164969272377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35.7691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3.382</v>
      </c>
      <c r="Q41" s="136"/>
      <c r="R41" s="136"/>
      <c r="S41" s="139" t="n">
        <v>147.3</v>
      </c>
      <c r="T41" s="129" t="n">
        <v>0.669</v>
      </c>
      <c r="U41" s="129" t="n">
        <v>0.653739714617305</v>
      </c>
      <c r="X41" s="130" t="n">
        <v>10.491</v>
      </c>
      <c r="Y41" s="130" t="n">
        <v>10.2516940897611</v>
      </c>
      <c r="Z41" s="129" t="n">
        <v>0.835</v>
      </c>
      <c r="AA41" s="129" t="n">
        <v>0.815953156510389</v>
      </c>
      <c r="AB41" s="130" t="n">
        <v>3.89</v>
      </c>
      <c r="AC41" s="130" t="n">
        <v>3.80126680098852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35.6483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4.728</v>
      </c>
      <c r="Q42" s="136"/>
      <c r="R42" s="136"/>
      <c r="S42" s="139" t="n">
        <v>206.2</v>
      </c>
      <c r="T42" s="129" t="n">
        <v>0.067</v>
      </c>
      <c r="U42" s="129" t="n">
        <v>0.06547169040263</v>
      </c>
      <c r="X42" s="130" t="n">
        <v>0.783</v>
      </c>
      <c r="Y42" s="130" t="n">
        <v>0.765139307242676</v>
      </c>
      <c r="Z42" s="129" t="n">
        <v>0.219</v>
      </c>
      <c r="AA42" s="129" t="n">
        <v>0.214004480569791</v>
      </c>
      <c r="AB42" s="130" t="n">
        <v>1.09</v>
      </c>
      <c r="AC42" s="130" t="n">
        <v>1.06513645580398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35.5629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4.86</v>
      </c>
      <c r="Q43" s="136"/>
      <c r="R43" s="136"/>
      <c r="S43" s="139" t="n">
        <v>212</v>
      </c>
      <c r="T43" s="129" t="n">
        <v>0.016</v>
      </c>
      <c r="U43" s="129" t="n">
        <v>0.0156350305439116</v>
      </c>
      <c r="X43" s="130" t="n">
        <v>0.044</v>
      </c>
      <c r="Y43" s="130" t="n">
        <v>0.042996333995757</v>
      </c>
      <c r="Z43" s="129" t="n">
        <v>0.14</v>
      </c>
      <c r="AA43" s="129" t="n">
        <v>0.136806517259227</v>
      </c>
      <c r="AB43" s="130" t="n">
        <v>0.81</v>
      </c>
      <c r="AC43" s="130" t="n">
        <v>0.791523421285527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35.5595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4.871</v>
      </c>
      <c r="Q44" s="136"/>
      <c r="R44" s="136"/>
      <c r="S44" s="139" t="n">
        <v>212.4</v>
      </c>
      <c r="T44" s="129" t="n">
        <v>0.017</v>
      </c>
      <c r="U44" s="129" t="n">
        <v>0.0166122199529061</v>
      </c>
      <c r="X44" s="130" t="n">
        <v>0.033</v>
      </c>
      <c r="Y44" s="130" t="n">
        <v>0.0322472504968178</v>
      </c>
      <c r="Z44" s="129" t="n">
        <v>0.257</v>
      </c>
      <c r="AA44" s="129" t="n">
        <v>0.251137678111581</v>
      </c>
      <c r="AB44" s="130" t="n">
        <v>0.82</v>
      </c>
      <c r="AC44" s="130" t="n">
        <v>0.801295315375472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35.5562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4.874</v>
      </c>
      <c r="Q45" s="136"/>
      <c r="R45" s="136"/>
      <c r="S45" s="139" t="n">
        <v>212.6</v>
      </c>
      <c r="T45" s="129" t="n">
        <v>0.021</v>
      </c>
      <c r="U45" s="129" t="n">
        <v>0.020520977588884</v>
      </c>
      <c r="X45" s="130" t="n">
        <v>0</v>
      </c>
      <c r="Y45" s="130" t="n">
        <v>0</v>
      </c>
      <c r="Z45" s="129" t="n">
        <v>0.127</v>
      </c>
      <c r="AA45" s="129" t="n">
        <v>0.124103054942299</v>
      </c>
      <c r="AB45" s="130" t="n">
        <v>0.83</v>
      </c>
      <c r="AC45" s="130" t="n">
        <v>0.811067209465416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46.06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-1°46,06</v>
      </c>
      <c r="P9" s="31" t="s">
        <v>16</v>
      </c>
      <c r="Q9" s="35" t="n">
        <f aca="false">IF(ISBLANK(I9),"",IF(ISBLANK(J9),"",IF(J9&gt;60,"ERREUR !!",O11*(I9+(J9/60)))))</f>
        <v>-1.76766666666667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9.02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6°9,02</v>
      </c>
      <c r="P10" s="31" t="s">
        <v>14</v>
      </c>
      <c r="Q10" s="35" t="n">
        <f aca="false">IF(ISBLANK(I10),"",IF(ISBLANK(J10),"",IF(J10&gt;60,"ERREUR !!",O12*(I10+(J10/60)))))</f>
        <v>6.15033333333333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37157</v>
      </c>
      <c r="K11" s="40"/>
      <c r="L11" s="40"/>
      <c r="M11" s="40"/>
      <c r="N11" s="41" t="str">
        <f aca="false">I9&amp;"°"&amp;J9</f>
        <v>1°46,06</v>
      </c>
      <c r="O11" s="42" t="n">
        <f aca="false">IF(P9=M10,-1,1)</f>
        <v>-1</v>
      </c>
      <c r="P11" s="43" t="str">
        <f aca="false">TEXT(J11,"aaaa-mm-jj")&amp;"T"&amp;TEXT(J12,"hh:mm:ss")&amp;"z"</f>
        <v>2005-09-24T23:50:00z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0.993055555555555</v>
      </c>
      <c r="K12" s="48"/>
      <c r="L12" s="48"/>
      <c r="M12" s="48"/>
      <c r="N12" s="49" t="str">
        <f aca="false">I10&amp;"°"&amp;J10</f>
        <v>6°9,02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34.646</v>
      </c>
      <c r="H35" s="123" t="n">
        <v>2000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3.606</v>
      </c>
      <c r="Q35" s="125"/>
      <c r="R35" s="125"/>
      <c r="S35" s="128" t="n">
        <v>156.8</v>
      </c>
      <c r="T35" s="129" t="n">
        <v>0.004</v>
      </c>
      <c r="U35" s="129" t="n">
        <v>0.00390875763597791</v>
      </c>
      <c r="X35" s="130" t="n">
        <v>35.1004602490893</v>
      </c>
      <c r="Y35" s="130" t="n">
        <v>34.2997980062418</v>
      </c>
      <c r="Z35" s="129" t="n">
        <v>2.171</v>
      </c>
      <c r="AA35" s="129" t="n">
        <v>2.12147820692701</v>
      </c>
      <c r="AB35" s="130" t="n">
        <v>32.37</v>
      </c>
      <c r="AC35" s="130" t="n">
        <v>31.6316211691512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35.1953</v>
      </c>
      <c r="H36" s="124" t="n">
        <v>300</v>
      </c>
      <c r="I36" s="124" t="n">
        <v>301</v>
      </c>
      <c r="J36" s="136"/>
      <c r="K36" s="137"/>
      <c r="L36" s="137"/>
      <c r="M36" s="137"/>
      <c r="N36" s="138"/>
      <c r="O36" s="137"/>
      <c r="P36" s="136" t="n">
        <v>1.692</v>
      </c>
      <c r="Q36" s="136"/>
      <c r="R36" s="136"/>
      <c r="S36" s="139" t="n">
        <v>73.6</v>
      </c>
      <c r="T36" s="129" t="n">
        <v>0.007</v>
      </c>
      <c r="U36" s="129" t="n">
        <v>0.00684032586296134</v>
      </c>
      <c r="X36" s="130" t="n">
        <v>29.7867416449981</v>
      </c>
      <c r="Y36" s="130" t="n">
        <v>29.1072884639469</v>
      </c>
      <c r="Z36" s="129" t="n">
        <v>1.784</v>
      </c>
      <c r="AA36" s="129" t="n">
        <v>1.74330590564615</v>
      </c>
      <c r="AB36" s="130" t="n">
        <v>12.15</v>
      </c>
      <c r="AC36" s="130" t="n">
        <v>11.8728513192829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35.5803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3.165</v>
      </c>
      <c r="Q37" s="136"/>
      <c r="R37" s="136"/>
      <c r="S37" s="139" t="n">
        <v>137.8</v>
      </c>
      <c r="T37" s="129" t="n">
        <v>0.024</v>
      </c>
      <c r="U37" s="129" t="n">
        <v>0.0234525458158675</v>
      </c>
      <c r="X37" s="130" t="n">
        <v>17.4329860163641</v>
      </c>
      <c r="Y37" s="130" t="n">
        <v>17.0353293023398</v>
      </c>
      <c r="Z37" s="129" t="n">
        <v>1.181</v>
      </c>
      <c r="AA37" s="129" t="n">
        <v>1.15406069202248</v>
      </c>
      <c r="AB37" s="130" t="n">
        <v>6.85</v>
      </c>
      <c r="AC37" s="130" t="n">
        <v>6.69374745161217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76" t="n">
        <v>35.6005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3.278</v>
      </c>
      <c r="Q38" s="136"/>
      <c r="R38" s="136"/>
      <c r="S38" s="139" t="n">
        <v>142.6</v>
      </c>
      <c r="T38" s="129" t="n">
        <v>0.032</v>
      </c>
      <c r="U38" s="129" t="n">
        <v>0.0312700610878233</v>
      </c>
      <c r="X38" s="130" t="n">
        <v>16.5529813882963</v>
      </c>
      <c r="Y38" s="130" t="n">
        <v>16.1753980999258</v>
      </c>
      <c r="Z38" s="129" t="n">
        <v>1.1285</v>
      </c>
      <c r="AA38" s="129" t="n">
        <v>1.10275824805027</v>
      </c>
      <c r="AB38" s="130" t="n">
        <v>6.64</v>
      </c>
      <c r="AC38" s="130" t="n">
        <v>6.48853767572333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35.629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3.257</v>
      </c>
      <c r="Q39" s="136"/>
      <c r="R39" s="136"/>
      <c r="S39" s="139" t="n">
        <v>141.8</v>
      </c>
      <c r="T39" s="129" t="n">
        <v>0.035</v>
      </c>
      <c r="U39" s="129" t="n">
        <v>0.0342016293148067</v>
      </c>
      <c r="X39" s="130" t="n">
        <v>16.1244339583949</v>
      </c>
      <c r="Y39" s="130" t="n">
        <v>15.7566260901744</v>
      </c>
      <c r="Z39" s="129" t="n">
        <v>1.037</v>
      </c>
      <c r="AA39" s="129" t="n">
        <v>1.01334541712727</v>
      </c>
      <c r="AB39" s="130" t="n">
        <v>6.35</v>
      </c>
      <c r="AC39" s="130" t="n">
        <v>6.20515274711493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35.734</v>
      </c>
      <c r="H40" s="124" t="n">
        <v>80</v>
      </c>
      <c r="I40" s="124" t="n">
        <v>81</v>
      </c>
      <c r="J40" s="136"/>
      <c r="K40" s="137"/>
      <c r="L40" s="137"/>
      <c r="M40" s="137"/>
      <c r="N40" s="138"/>
      <c r="O40" s="137"/>
      <c r="P40" s="136" t="n">
        <v>3.058</v>
      </c>
      <c r="Q40" s="136"/>
      <c r="R40" s="136"/>
      <c r="S40" s="139" t="n">
        <v>133.1</v>
      </c>
      <c r="T40" s="129" t="n">
        <v>0.074</v>
      </c>
      <c r="U40" s="129" t="n">
        <v>0.0723120162655913</v>
      </c>
      <c r="X40" s="130" t="n">
        <v>15.5867282208772</v>
      </c>
      <c r="Y40" s="130" t="n">
        <v>15.2311857383165</v>
      </c>
      <c r="Z40" s="129" t="n">
        <v>1.034</v>
      </c>
      <c r="AA40" s="129" t="n">
        <v>1.01041384890029</v>
      </c>
      <c r="AB40" s="130" t="n">
        <v>5.92</v>
      </c>
      <c r="AC40" s="130" t="n">
        <v>5.78496130124731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35.7457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4.081</v>
      </c>
      <c r="Q41" s="136"/>
      <c r="R41" s="136"/>
      <c r="S41" s="139" t="n">
        <v>177.8</v>
      </c>
      <c r="T41" s="129" t="n">
        <v>0.227</v>
      </c>
      <c r="U41" s="129" t="n">
        <v>0.221821995841746</v>
      </c>
      <c r="X41" s="130" t="n">
        <v>7.32169241086164</v>
      </c>
      <c r="Y41" s="130" t="n">
        <v>7.15468027980924</v>
      </c>
      <c r="Z41" s="129" t="n">
        <v>0.589</v>
      </c>
      <c r="AA41" s="129" t="n">
        <v>0.575564561897747</v>
      </c>
      <c r="AB41" s="130" t="n">
        <v>3.73</v>
      </c>
      <c r="AC41" s="130" t="n">
        <v>3.6449164955494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35.6635</v>
      </c>
      <c r="H42" s="124" t="n">
        <v>40</v>
      </c>
      <c r="I42" s="124" t="n">
        <v>41</v>
      </c>
      <c r="J42" s="136"/>
      <c r="K42" s="136"/>
      <c r="L42" s="136"/>
      <c r="M42" s="136"/>
      <c r="N42" s="136"/>
      <c r="O42" s="136"/>
      <c r="P42" s="136" t="n">
        <v>4.834</v>
      </c>
      <c r="Q42" s="136"/>
      <c r="R42" s="136"/>
      <c r="S42" s="139" t="n">
        <v>210.8</v>
      </c>
      <c r="T42" s="129" t="n">
        <v>0.015</v>
      </c>
      <c r="U42" s="129" t="n">
        <v>0.0146578411349172</v>
      </c>
      <c r="X42" s="130" t="n">
        <v>0.397551861072001</v>
      </c>
      <c r="Y42" s="130" t="n">
        <v>0.388483468165604</v>
      </c>
      <c r="Z42" s="129" t="n">
        <v>0.14</v>
      </c>
      <c r="AA42" s="129" t="n">
        <v>0.136806517259227</v>
      </c>
      <c r="AB42" s="130" t="n">
        <v>1.31</v>
      </c>
      <c r="AC42" s="130" t="n">
        <v>1.28011812578277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35.385</v>
      </c>
      <c r="H43" s="124" t="n">
        <v>20</v>
      </c>
      <c r="I43" s="124" t="n">
        <v>21</v>
      </c>
      <c r="J43" s="136"/>
      <c r="K43" s="136"/>
      <c r="L43" s="136"/>
      <c r="M43" s="136"/>
      <c r="N43" s="136"/>
      <c r="O43" s="136"/>
      <c r="P43" s="136" t="n">
        <v>4.724</v>
      </c>
      <c r="Q43" s="136"/>
      <c r="R43" s="136"/>
      <c r="S43" s="139" t="n">
        <v>206.1</v>
      </c>
      <c r="T43" s="129" t="n">
        <v>0.014</v>
      </c>
      <c r="U43" s="129" t="n">
        <v>0.0136806517259227</v>
      </c>
      <c r="X43" s="130" t="n">
        <v>0.291088820310347</v>
      </c>
      <c r="Y43" s="130" t="n">
        <v>0.284448912283968</v>
      </c>
      <c r="Z43" s="129" t="n">
        <v>0.022</v>
      </c>
      <c r="AA43" s="129" t="n">
        <v>0.0214981669978785</v>
      </c>
      <c r="AB43" s="130" t="n">
        <v>1.29</v>
      </c>
      <c r="AC43" s="130" t="n">
        <v>1.26057433760288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35.3841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4.717</v>
      </c>
      <c r="Q44" s="136"/>
      <c r="R44" s="136"/>
      <c r="S44" s="139" t="n">
        <v>205.8</v>
      </c>
      <c r="T44" s="129" t="n">
        <v>0</v>
      </c>
      <c r="U44" s="129" t="n">
        <v>0</v>
      </c>
      <c r="X44" s="130" t="n">
        <v>0.229097682651662</v>
      </c>
      <c r="Y44" s="130" t="n">
        <v>0.223871829112382</v>
      </c>
      <c r="Z44" s="129" t="n">
        <v>0.033</v>
      </c>
      <c r="AA44" s="129" t="n">
        <v>0.0322472504968178</v>
      </c>
      <c r="AB44" s="130" t="n">
        <v>1.37</v>
      </c>
      <c r="AC44" s="130" t="n">
        <v>1.33874949032243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35.3828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4.622</v>
      </c>
      <c r="Q45" s="136"/>
      <c r="R45" s="136"/>
      <c r="S45" s="139" t="n">
        <v>201.7</v>
      </c>
      <c r="T45" s="129" t="n">
        <v>0.021</v>
      </c>
      <c r="U45" s="129" t="n">
        <v>0.020520977588884</v>
      </c>
      <c r="X45" s="130" t="n">
        <v>0.119939375035282</v>
      </c>
      <c r="Y45" s="130" t="n">
        <v>0.117203487005894</v>
      </c>
      <c r="Z45" s="129" t="n">
        <v>0.031</v>
      </c>
      <c r="AA45" s="129" t="n">
        <v>0.0302928716788288</v>
      </c>
      <c r="AB45" s="130" t="n">
        <v>1.57</v>
      </c>
      <c r="AC45" s="130" t="n">
        <v>1.53418737212133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11.98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-1°11,98</v>
      </c>
      <c r="P9" s="31" t="s">
        <v>16</v>
      </c>
      <c r="Q9" s="35" t="n">
        <f aca="false">IF(ISBLANK(I9),"",IF(ISBLANK(J9),"",IF(J9&gt;60,"ERREUR !!",O11*(I9+(J9/60)))))</f>
        <v>-1.19966666666667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58.04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6°58,04</v>
      </c>
      <c r="P10" s="31" t="s">
        <v>14</v>
      </c>
      <c r="Q10" s="35" t="n">
        <f aca="false">IF(ISBLANK(I10),"",IF(ISBLANK(J10),"",IF(J10&gt;60,"ERREUR !!",O12*(I10+(J10/60)))))</f>
        <v>6.96733333333333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37158</v>
      </c>
      <c r="K11" s="40"/>
      <c r="L11" s="40"/>
      <c r="M11" s="40"/>
      <c r="N11" s="41" t="str">
        <f aca="false">I9&amp;"°"&amp;J9</f>
        <v>1°11,98</v>
      </c>
      <c r="O11" s="42" t="n">
        <f aca="false">IF(P9=M10,-1,1)</f>
        <v>-1</v>
      </c>
      <c r="P11" s="43" t="str">
        <f aca="false">TEXT(J11,"aaaa-mm-jj")&amp;"T"&amp;TEXT(J12,"hh:mm:ss")&amp;"z"</f>
        <v>2005-09-25T07:30:00z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0.3125</v>
      </c>
      <c r="K12" s="48"/>
      <c r="L12" s="48"/>
      <c r="M12" s="48"/>
      <c r="N12" s="49" t="str">
        <f aca="false">I10&amp;"°"&amp;J10</f>
        <v>6°58,04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34.6689</v>
      </c>
      <c r="H35" s="123" t="n">
        <v>2000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3.68</v>
      </c>
      <c r="Q35" s="125"/>
      <c r="R35" s="125"/>
      <c r="S35" s="128" t="n">
        <v>160</v>
      </c>
      <c r="T35" s="129" t="n">
        <v>0.0124411916652316</v>
      </c>
      <c r="U35" s="129" t="n">
        <v>0.0121574007305347</v>
      </c>
      <c r="X35" s="130" t="n">
        <v>32.6875588083348</v>
      </c>
      <c r="Y35" s="130" t="n">
        <v>31.9419362733889</v>
      </c>
      <c r="Z35" s="129" t="n">
        <v>2.188</v>
      </c>
      <c r="AA35" s="129" t="n">
        <v>2.13809042687992</v>
      </c>
      <c r="AB35" s="130" t="n">
        <v>30.95</v>
      </c>
      <c r="AC35" s="130" t="n">
        <v>30.2440122083791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35.1449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1.574</v>
      </c>
      <c r="Q36" s="136"/>
      <c r="R36" s="136"/>
      <c r="S36" s="139" t="n">
        <v>68.5</v>
      </c>
      <c r="T36" s="129" t="n">
        <v>0.0124411916652316</v>
      </c>
      <c r="U36" s="129" t="n">
        <v>0.0121574007305347</v>
      </c>
      <c r="X36" s="130" t="n">
        <v>29.4575588083348</v>
      </c>
      <c r="Y36" s="130" t="n">
        <v>28.7856144823367</v>
      </c>
      <c r="Z36" s="129" t="n">
        <v>1.836</v>
      </c>
      <c r="AA36" s="129" t="n">
        <v>1.79411975491386</v>
      </c>
      <c r="AB36" s="130" t="n">
        <v>11.9</v>
      </c>
      <c r="AC36" s="130" t="n">
        <v>11.6285539670343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35.6293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3.302</v>
      </c>
      <c r="Q37" s="136"/>
      <c r="R37" s="136"/>
      <c r="S37" s="139" t="n">
        <v>143.7</v>
      </c>
      <c r="T37" s="129" t="n">
        <v>0.0382720854141553</v>
      </c>
      <c r="U37" s="129" t="n">
        <v>0.0373990765268446</v>
      </c>
      <c r="X37" s="130" t="n">
        <v>15.1717279145858</v>
      </c>
      <c r="Y37" s="130" t="n">
        <v>14.8256518342792</v>
      </c>
      <c r="Z37" s="129" t="n">
        <v>1.062</v>
      </c>
      <c r="AA37" s="129" t="n">
        <v>1.03777515235213</v>
      </c>
      <c r="AB37" s="130" t="n">
        <v>5.64</v>
      </c>
      <c r="AC37" s="130" t="n">
        <v>5.51134826672885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35.6747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3.252</v>
      </c>
      <c r="Q38" s="136"/>
      <c r="R38" s="136"/>
      <c r="S38" s="139" t="n">
        <v>141.5</v>
      </c>
      <c r="T38" s="129" t="n">
        <v>0.0382720854141553</v>
      </c>
      <c r="U38" s="129" t="n">
        <v>0.0373990765268446</v>
      </c>
      <c r="X38" s="130" t="n">
        <v>14.7117279145858</v>
      </c>
      <c r="Y38" s="130" t="n">
        <v>14.3761447061417</v>
      </c>
      <c r="Z38" s="129" t="n">
        <v>1.029</v>
      </c>
      <c r="AA38" s="129" t="n">
        <v>1.00552790185532</v>
      </c>
      <c r="AB38" s="130" t="n">
        <v>5.5</v>
      </c>
      <c r="AC38" s="130" t="n">
        <v>5.37454174946963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76" t="n">
        <v>35.7834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3.464</v>
      </c>
      <c r="Q39" s="136"/>
      <c r="R39" s="136"/>
      <c r="S39" s="139" t="n">
        <v>150.8</v>
      </c>
      <c r="T39" s="129" t="n">
        <v>0.12006991561908</v>
      </c>
      <c r="U39" s="129" t="n">
        <v>0.117331049881826</v>
      </c>
      <c r="X39" s="130" t="n">
        <v>12.3649300843809</v>
      </c>
      <c r="Y39" s="130" t="n">
        <v>12.0828787214142</v>
      </c>
      <c r="Z39" s="129" t="n">
        <v>0.909</v>
      </c>
      <c r="AA39" s="129" t="n">
        <v>0.88826517277598</v>
      </c>
      <c r="AB39" s="130" t="n">
        <v>4.625</v>
      </c>
      <c r="AC39" s="130" t="n">
        <v>4.51950101659946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35.824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3.398</v>
      </c>
      <c r="Q40" s="136"/>
      <c r="R40" s="136"/>
      <c r="S40" s="139" t="n">
        <v>147.9</v>
      </c>
      <c r="T40" s="129" t="n">
        <v>0.150205958326158</v>
      </c>
      <c r="U40" s="129" t="n">
        <v>0.146779671644188</v>
      </c>
      <c r="X40" s="130" t="n">
        <v>12.1897940416738</v>
      </c>
      <c r="Y40" s="130" t="n">
        <v>11.9117376353477</v>
      </c>
      <c r="Z40" s="129" t="n">
        <v>0.899</v>
      </c>
      <c r="AA40" s="129" t="n">
        <v>0.878493278686035</v>
      </c>
      <c r="AB40" s="130" t="n">
        <v>4.51</v>
      </c>
      <c r="AC40" s="130" t="n">
        <v>4.40712423456509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35.837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3.965</v>
      </c>
      <c r="Q41" s="136"/>
      <c r="R41" s="136"/>
      <c r="S41" s="139" t="n">
        <v>172.7</v>
      </c>
      <c r="T41" s="129" t="n">
        <v>0.563500258308938</v>
      </c>
      <c r="U41" s="129" t="n">
        <v>0.550646484385146</v>
      </c>
      <c r="X41" s="130" t="n">
        <v>6.30649974169106</v>
      </c>
      <c r="Y41" s="130" t="n">
        <v>6.16264475540691</v>
      </c>
      <c r="Z41" s="129" t="n">
        <v>0.588</v>
      </c>
      <c r="AA41" s="129" t="n">
        <v>0.574587372488753</v>
      </c>
      <c r="AB41" s="130" t="n">
        <v>3.07</v>
      </c>
      <c r="AC41" s="130" t="n">
        <v>2.99997148561305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35.4659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4.717</v>
      </c>
      <c r="Q42" s="136"/>
      <c r="R42" s="136"/>
      <c r="S42" s="139" t="n">
        <v>205.8</v>
      </c>
      <c r="T42" s="129" t="n">
        <v>0.0296617874978474</v>
      </c>
      <c r="U42" s="129" t="n">
        <v>0.0289851845947413</v>
      </c>
      <c r="X42" s="130" t="n">
        <v>0.0203382125021526</v>
      </c>
      <c r="Y42" s="130" t="n">
        <v>0.0198742858549826</v>
      </c>
      <c r="Z42" s="129" t="n">
        <v>0.04</v>
      </c>
      <c r="AA42" s="129" t="n">
        <v>0.0390875763597791</v>
      </c>
      <c r="AB42" s="130" t="n">
        <v>0.85</v>
      </c>
      <c r="AC42" s="130" t="n">
        <v>0.830610997645306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35.3238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4.726</v>
      </c>
      <c r="Q43" s="136"/>
      <c r="R43" s="136"/>
      <c r="S43" s="139" t="n">
        <v>206.2</v>
      </c>
      <c r="T43" s="129" t="n">
        <v>0.0296617874978474</v>
      </c>
      <c r="U43" s="129" t="n">
        <v>0.0289851845947413</v>
      </c>
      <c r="X43" s="130" t="n">
        <v>0.0203382125021526</v>
      </c>
      <c r="Y43" s="130" t="n">
        <v>0.0198742858549826</v>
      </c>
      <c r="Z43" s="129" t="n">
        <v>0.026</v>
      </c>
      <c r="AA43" s="129" t="n">
        <v>0.0254069246338564</v>
      </c>
      <c r="AB43" s="130" t="n">
        <v>1</v>
      </c>
      <c r="AC43" s="130" t="n">
        <v>0.977189408994477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35.3238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4.723</v>
      </c>
      <c r="Q44" s="136"/>
      <c r="R44" s="136"/>
      <c r="S44" s="139" t="n">
        <v>206.1</v>
      </c>
      <c r="T44" s="129" t="n">
        <v>0.0124411916652316</v>
      </c>
      <c r="U44" s="129" t="n">
        <v>0.0121574007305347</v>
      </c>
      <c r="X44" s="130" t="n">
        <v>0.0275588083347684</v>
      </c>
      <c r="Y44" s="130" t="n">
        <v>0.0269301756292444</v>
      </c>
      <c r="Z44" s="129" t="n">
        <v>0.044</v>
      </c>
      <c r="AA44" s="129" t="n">
        <v>0.042996333995757</v>
      </c>
      <c r="AB44" s="130" t="n">
        <v>0.99</v>
      </c>
      <c r="AC44" s="130" t="n">
        <v>0.967417514904533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35.3229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4.723</v>
      </c>
      <c r="Q45" s="136"/>
      <c r="R45" s="136"/>
      <c r="S45" s="139" t="n">
        <v>206.1</v>
      </c>
      <c r="T45" s="129" t="n">
        <v>0.0124411916652316</v>
      </c>
      <c r="U45" s="129" t="n">
        <v>0.0121574007305347</v>
      </c>
      <c r="X45" s="130" t="n">
        <v>0.0375588083347684</v>
      </c>
      <c r="Y45" s="130" t="n">
        <v>0.0367020697191892</v>
      </c>
      <c r="Z45" s="129" t="n">
        <v>0.031</v>
      </c>
      <c r="AA45" s="129" t="n">
        <v>0.0302928716788288</v>
      </c>
      <c r="AB45" s="130" t="n">
        <v>1.11</v>
      </c>
      <c r="AC45" s="130" t="n">
        <v>1.08468024398387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39.07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-0°39,07</v>
      </c>
      <c r="P9" s="31" t="s">
        <v>16</v>
      </c>
      <c r="Q9" s="35" t="n">
        <f aca="false">IF(ISBLANK(I9),"",IF(ISBLANK(J9),"",IF(J9&gt;60,"ERREUR !!",O11*(I9+(J9/60)))))</f>
        <v>-0.651166666666667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47.89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7°47,89</v>
      </c>
      <c r="P10" s="31" t="s">
        <v>14</v>
      </c>
      <c r="Q10" s="35" t="n">
        <f aca="false">IF(ISBLANK(I10),"",IF(ISBLANK(J10),"",IF(J10&gt;60,"ERREUR !!",O12*(I10+(J10/60)))))</f>
        <v>7.79816666666667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37158</v>
      </c>
      <c r="K11" s="40"/>
      <c r="L11" s="40"/>
      <c r="M11" s="40"/>
      <c r="N11" s="41" t="str">
        <f aca="false">I9&amp;"°"&amp;J9</f>
        <v>0°39,07</v>
      </c>
      <c r="O11" s="42" t="n">
        <f aca="false">IF(P9=M10,-1,1)</f>
        <v>-1</v>
      </c>
      <c r="P11" s="43" t="str">
        <f aca="false">TEXT(J11,"aaaa-mm-jj")&amp;"T"&amp;TEXT(J12,"hh:mm:ss")&amp;"z"</f>
        <v>2005-09-25T14:00:00z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0.583333333333333</v>
      </c>
      <c r="K12" s="48"/>
      <c r="L12" s="48"/>
      <c r="M12" s="48"/>
      <c r="N12" s="49" t="str">
        <f aca="false">I10&amp;"°"&amp;J10</f>
        <v>7°47,89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34.682</v>
      </c>
      <c r="H35" s="123" t="n">
        <v>2000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3.714</v>
      </c>
      <c r="Q35" s="125"/>
      <c r="R35" s="125"/>
      <c r="S35" s="128" t="n">
        <v>161.4</v>
      </c>
      <c r="T35" s="129" t="n">
        <v>0.0296617874978474</v>
      </c>
      <c r="U35" s="129" t="n">
        <v>0.0289851845947413</v>
      </c>
      <c r="X35" s="130" t="n">
        <v>32.5703382125022</v>
      </c>
      <c r="Y35" s="130" t="n">
        <v>31.8273895486252</v>
      </c>
      <c r="Z35" s="129" t="n">
        <v>2.064</v>
      </c>
      <c r="AA35" s="129" t="n">
        <v>2.0169189401646</v>
      </c>
      <c r="AB35" s="130" t="n">
        <v>30.91</v>
      </c>
      <c r="AC35" s="130" t="n">
        <v>30.2049246320193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35.07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1.623</v>
      </c>
      <c r="Q36" s="136"/>
      <c r="R36" s="136"/>
      <c r="S36" s="139" t="n">
        <v>70.6</v>
      </c>
      <c r="T36" s="129" t="n">
        <v>0.0210514895815395</v>
      </c>
      <c r="U36" s="129" t="n">
        <v>0.020571292662638</v>
      </c>
      <c r="X36" s="130" t="n">
        <v>30.7989485104185</v>
      </c>
      <c r="Y36" s="130" t="n">
        <v>30.0964062925472</v>
      </c>
      <c r="Z36" s="129" t="n">
        <v>1.805</v>
      </c>
      <c r="AA36" s="129" t="n">
        <v>1.76382688323503</v>
      </c>
      <c r="AB36" s="130" t="n">
        <v>13.08</v>
      </c>
      <c r="AC36" s="130" t="n">
        <v>12.7816374696478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35.6325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3.017</v>
      </c>
      <c r="Q37" s="136"/>
      <c r="R37" s="136"/>
      <c r="S37" s="139" t="n">
        <v>131.3</v>
      </c>
      <c r="T37" s="129" t="n">
        <v>0.0468823833304632</v>
      </c>
      <c r="U37" s="129" t="n">
        <v>0.0458129684589479</v>
      </c>
      <c r="X37" s="130" t="n">
        <v>16.5031176166695</v>
      </c>
      <c r="Y37" s="130" t="n">
        <v>16.1266717503997</v>
      </c>
      <c r="Z37" s="129" t="n">
        <v>1.049</v>
      </c>
      <c r="AA37" s="129" t="n">
        <v>1.02507169003521</v>
      </c>
      <c r="AB37" s="130" t="n">
        <v>6.27</v>
      </c>
      <c r="AC37" s="130" t="n">
        <v>6.12697759439537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35.6816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3.15</v>
      </c>
      <c r="Q38" s="136"/>
      <c r="R38" s="136"/>
      <c r="S38" s="139" t="n">
        <v>137.1</v>
      </c>
      <c r="T38" s="129" t="n">
        <v>0.0641029791630791</v>
      </c>
      <c r="U38" s="129" t="n">
        <v>0.0626407523231545</v>
      </c>
      <c r="X38" s="130" t="n">
        <v>14.7058970208369</v>
      </c>
      <c r="Y38" s="130" t="n">
        <v>14.3704468185253</v>
      </c>
      <c r="Z38" s="129" t="n">
        <v>0.949</v>
      </c>
      <c r="AA38" s="129" t="n">
        <v>0.927352749135759</v>
      </c>
      <c r="AB38" s="130" t="n">
        <v>5.26</v>
      </c>
      <c r="AC38" s="130" t="n">
        <v>5.14001629131095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35.7426</v>
      </c>
      <c r="H39" s="124" t="n">
        <v>100</v>
      </c>
      <c r="I39" s="124" t="n">
        <v>101</v>
      </c>
      <c r="J39" s="136"/>
      <c r="K39" s="137"/>
      <c r="L39" s="137"/>
      <c r="M39" s="137"/>
      <c r="N39" s="138"/>
      <c r="O39" s="137"/>
      <c r="P39" s="136" t="n">
        <v>3.353</v>
      </c>
      <c r="Q39" s="136"/>
      <c r="R39" s="136"/>
      <c r="S39" s="139" t="n">
        <v>145.9</v>
      </c>
      <c r="T39" s="129" t="n">
        <v>0.150205958326158</v>
      </c>
      <c r="U39" s="129" t="n">
        <v>0.146779671644188</v>
      </c>
      <c r="X39" s="130" t="n">
        <v>13.3697940416738</v>
      </c>
      <c r="Y39" s="130" t="n">
        <v>13.0648211379611</v>
      </c>
      <c r="Z39" s="129" t="n">
        <v>0.882</v>
      </c>
      <c r="AA39" s="129" t="n">
        <v>0.861881058733129</v>
      </c>
      <c r="AB39" s="130" t="n">
        <v>4.72</v>
      </c>
      <c r="AC39" s="130" t="n">
        <v>4.61233401045393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76" t="n">
        <v>35.7549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3.48</v>
      </c>
      <c r="Q40" s="136"/>
      <c r="R40" s="136"/>
      <c r="S40" s="139" t="n">
        <v>151.5</v>
      </c>
      <c r="T40" s="129" t="n">
        <v>0.808893748923713</v>
      </c>
      <c r="U40" s="129" t="n">
        <v>0.79044240445009</v>
      </c>
      <c r="X40" s="130" t="n">
        <v>11.0611062510763</v>
      </c>
      <c r="Y40" s="130" t="n">
        <v>10.8087958803144</v>
      </c>
      <c r="Z40" s="129" t="n">
        <v>0.834</v>
      </c>
      <c r="AA40" s="129" t="n">
        <v>0.814975967101394</v>
      </c>
      <c r="AB40" s="130" t="n">
        <v>4.145</v>
      </c>
      <c r="AC40" s="130" t="n">
        <v>4.05045010028211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35.7121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3.775</v>
      </c>
      <c r="Q41" s="136"/>
      <c r="R41" s="136"/>
      <c r="S41" s="139" t="n">
        <v>164.4</v>
      </c>
      <c r="T41" s="129" t="n">
        <v>0.572110556225245</v>
      </c>
      <c r="U41" s="129" t="n">
        <v>0.559060376317249</v>
      </c>
      <c r="X41" s="130" t="n">
        <v>8.56788944377476</v>
      </c>
      <c r="Y41" s="130" t="n">
        <v>8.37245082189227</v>
      </c>
      <c r="Z41" s="129" t="n">
        <v>0.737</v>
      </c>
      <c r="AA41" s="129" t="n">
        <v>0.72018859442893</v>
      </c>
      <c r="AB41" s="130" t="n">
        <v>3.57</v>
      </c>
      <c r="AC41" s="130" t="n">
        <v>3.48856619011028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35.2526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4.718</v>
      </c>
      <c r="Q42" s="136"/>
      <c r="R42" s="136"/>
      <c r="S42" s="139" t="n">
        <v>205.8</v>
      </c>
      <c r="T42" s="129" t="n">
        <v>0.0813235749956948</v>
      </c>
      <c r="U42" s="129" t="n">
        <v>0.0794685361873611</v>
      </c>
      <c r="X42" s="130" t="n">
        <v>0.478676425004305</v>
      </c>
      <c r="Y42" s="130" t="n">
        <v>0.467757532849546</v>
      </c>
      <c r="Z42" s="129" t="n">
        <v>0.083</v>
      </c>
      <c r="AA42" s="129" t="n">
        <v>0.0811067209465416</v>
      </c>
      <c r="AB42" s="130" t="n">
        <v>0.89</v>
      </c>
      <c r="AC42" s="130" t="n">
        <v>0.869698574005085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35.9702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4.842</v>
      </c>
      <c r="Q43" s="136"/>
      <c r="R43" s="136"/>
      <c r="S43" s="139" t="n">
        <v>211.2</v>
      </c>
      <c r="T43" s="129" t="n">
        <v>0.0296617874978474</v>
      </c>
      <c r="U43" s="129" t="n">
        <v>0.0289851845947413</v>
      </c>
      <c r="X43" s="130" t="n">
        <v>0.0203382125021526</v>
      </c>
      <c r="Y43" s="130" t="n">
        <v>0.0198742858549826</v>
      </c>
      <c r="Z43" s="129" t="n">
        <v>0.017</v>
      </c>
      <c r="AA43" s="129" t="n">
        <v>0.0166122199529061</v>
      </c>
      <c r="AB43" s="130" t="n">
        <v>1.13</v>
      </c>
      <c r="AC43" s="130" t="n">
        <v>1.10422403216376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35.9256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4.755</v>
      </c>
      <c r="Q44" s="136"/>
      <c r="R44" s="136"/>
      <c r="S44" s="139" t="n">
        <v>207.4</v>
      </c>
      <c r="T44" s="129" t="n">
        <v>0.0210514895815395</v>
      </c>
      <c r="U44" s="129" t="n">
        <v>0.020571292662638</v>
      </c>
      <c r="X44" s="130" t="n">
        <v>0.0489485104184605</v>
      </c>
      <c r="Y44" s="130" t="n">
        <v>0.0478319659669754</v>
      </c>
      <c r="Z44" s="129" t="n">
        <v>0.018</v>
      </c>
      <c r="AA44" s="129" t="n">
        <v>0.0175894093619006</v>
      </c>
      <c r="AB44" s="130" t="n">
        <v>1.22</v>
      </c>
      <c r="AC44" s="130" t="n">
        <v>1.19217107897326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35.9274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4.687</v>
      </c>
      <c r="Q45" s="136"/>
      <c r="R45" s="136"/>
      <c r="S45" s="139" t="n">
        <v>204.5</v>
      </c>
      <c r="T45" s="129" t="n">
        <v>0.00383089374892371</v>
      </c>
      <c r="U45" s="129" t="n">
        <v>0.0037435087984314</v>
      </c>
      <c r="X45" s="130" t="n">
        <v>0.106169106251076</v>
      </c>
      <c r="Y45" s="130" t="n">
        <v>0.103747326190961</v>
      </c>
      <c r="Z45" s="129" t="n">
        <v>0.023</v>
      </c>
      <c r="AA45" s="129" t="n">
        <v>0.022475356406873</v>
      </c>
      <c r="AB45" s="130" t="n">
        <v>1.24</v>
      </c>
      <c r="AC45" s="130" t="n">
        <v>1.21171486715315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3" activeCellId="0" sqref="J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</v>
      </c>
      <c r="P9" s="31" t="s">
        <v>16</v>
      </c>
      <c r="Q9" s="35" t="n">
        <f aca="false">IF(ISBLANK(I9),"",IF(ISBLANK(J9),"",IF(J9&gt;60,"ERREUR !!",O11*(I9+(J9/60)))))</f>
        <v>0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45.26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8°45,26</v>
      </c>
      <c r="P10" s="31" t="s">
        <v>14</v>
      </c>
      <c r="Q10" s="35" t="n">
        <f aca="false">IF(ISBLANK(I10),"",IF(ISBLANK(J10),"",IF(J10&gt;60,"ERREUR !!",O12*(I10+(J10/60)))))</f>
        <v>8.75433333333333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37158</v>
      </c>
      <c r="K11" s="40"/>
      <c r="L11" s="40"/>
      <c r="M11" s="40"/>
      <c r="N11" s="41" t="str">
        <f aca="false">I9&amp;"°"&amp;J9</f>
        <v>0°0</v>
      </c>
      <c r="O11" s="42" t="n">
        <f aca="false">IF(P9=M10,-1,1)</f>
        <v>-1</v>
      </c>
      <c r="P11" s="43" t="str">
        <f aca="false">TEXT(J11,"aaaa-mm-jj")&amp;"T"&amp;TEXT(J12,"hh:mm:ss")&amp;"z"</f>
        <v>2005-09-25T23:00:00z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0.958333333333333</v>
      </c>
      <c r="K12" s="48"/>
      <c r="L12" s="48"/>
      <c r="M12" s="48"/>
      <c r="N12" s="49" t="str">
        <f aca="false">I10&amp;"°"&amp;J10</f>
        <v>8°45,26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34.6144</v>
      </c>
      <c r="H35" s="123" t="n">
        <v>2000</v>
      </c>
      <c r="I35" s="179" t="n">
        <v>551.78</v>
      </c>
      <c r="J35" s="125"/>
      <c r="K35" s="126"/>
      <c r="L35" s="126"/>
      <c r="M35" s="126"/>
      <c r="N35" s="127"/>
      <c r="O35" s="126"/>
      <c r="P35" s="125" t="n">
        <v>2.503</v>
      </c>
      <c r="Q35" s="125"/>
      <c r="R35" s="125"/>
      <c r="S35" s="128" t="n">
        <v>108.9</v>
      </c>
      <c r="T35" s="129" t="n">
        <v>0.0124411916652316</v>
      </c>
      <c r="U35" s="129" t="n">
        <v>0.0121574007305347</v>
      </c>
      <c r="X35" s="130" t="n">
        <v>36.1175588083348</v>
      </c>
      <c r="Y35" s="130" t="n">
        <v>35.2936959462399</v>
      </c>
      <c r="Z35" s="129" t="n">
        <v>2.32</v>
      </c>
      <c r="AA35" s="129" t="n">
        <v>2.26707942886719</v>
      </c>
      <c r="AB35" s="130" t="n">
        <v>24.25</v>
      </c>
      <c r="AC35" s="130" t="n">
        <v>23.6968431681161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35.1261</v>
      </c>
      <c r="H36" s="124" t="n">
        <v>300</v>
      </c>
      <c r="I36" s="179" t="n">
        <v>300.29</v>
      </c>
      <c r="J36" s="136"/>
      <c r="K36" s="137"/>
      <c r="L36" s="137"/>
      <c r="M36" s="137"/>
      <c r="N36" s="138"/>
      <c r="O36" s="137"/>
      <c r="P36" s="136" t="n">
        <v>1.54</v>
      </c>
      <c r="Q36" s="136"/>
      <c r="R36" s="136"/>
      <c r="S36" s="139" t="n">
        <v>67</v>
      </c>
      <c r="T36" s="129" t="n">
        <v>0.0296617874978474</v>
      </c>
      <c r="U36" s="129" t="n">
        <v>0.0289851845947413</v>
      </c>
      <c r="X36" s="130" t="n">
        <v>30.5403382125022</v>
      </c>
      <c r="Y36" s="130" t="n">
        <v>29.8436950483664</v>
      </c>
      <c r="Z36" s="129" t="n">
        <v>1.877</v>
      </c>
      <c r="AA36" s="129" t="n">
        <v>1.83418452068263</v>
      </c>
      <c r="AB36" s="130" t="n">
        <v>12.92</v>
      </c>
      <c r="AC36" s="130" t="n">
        <v>12.6252871642087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35.685</v>
      </c>
      <c r="H37" s="124" t="n">
        <v>160</v>
      </c>
      <c r="I37" s="179" t="n">
        <v>160.83</v>
      </c>
      <c r="J37" s="136"/>
      <c r="K37" s="137"/>
      <c r="L37" s="137"/>
      <c r="M37" s="137"/>
      <c r="N37" s="138"/>
      <c r="O37" s="137"/>
      <c r="P37" s="136" t="n">
        <v>3.202</v>
      </c>
      <c r="Q37" s="136"/>
      <c r="R37" s="136"/>
      <c r="S37" s="139" t="n">
        <v>139.4</v>
      </c>
      <c r="T37" s="129" t="n">
        <v>0.0468823833304632</v>
      </c>
      <c r="U37" s="129" t="n">
        <v>0.0458129684589479</v>
      </c>
      <c r="X37" s="130" t="n">
        <v>15.1331176166695</v>
      </c>
      <c r="Y37" s="130" t="n">
        <v>14.7879222600772</v>
      </c>
      <c r="Z37" s="129" t="n">
        <v>1.053</v>
      </c>
      <c r="AA37" s="129" t="n">
        <v>1.02898044767118</v>
      </c>
      <c r="AB37" s="130" t="n">
        <v>5.78</v>
      </c>
      <c r="AC37" s="130" t="n">
        <v>5.64815478398808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35.7314</v>
      </c>
      <c r="H38" s="124" t="n">
        <v>130</v>
      </c>
      <c r="I38" s="179" t="n">
        <v>130.54</v>
      </c>
      <c r="J38" s="136"/>
      <c r="K38" s="137"/>
      <c r="L38" s="137"/>
      <c r="M38" s="137"/>
      <c r="N38" s="138"/>
      <c r="O38" s="137"/>
      <c r="P38" s="136" t="n">
        <v>3.42</v>
      </c>
      <c r="Q38" s="136"/>
      <c r="R38" s="136"/>
      <c r="S38" s="139" t="n">
        <v>148.9</v>
      </c>
      <c r="T38" s="129" t="n">
        <v>0.0985441708283107</v>
      </c>
      <c r="U38" s="129" t="n">
        <v>0.0962963200515677</v>
      </c>
      <c r="X38" s="130" t="n">
        <v>13.5314558291717</v>
      </c>
      <c r="Y38" s="130" t="n">
        <v>13.2227953245432</v>
      </c>
      <c r="Z38" s="129" t="n">
        <v>0.961</v>
      </c>
      <c r="AA38" s="129" t="n">
        <v>0.939079022043693</v>
      </c>
      <c r="AB38" s="130" t="n">
        <v>5.15</v>
      </c>
      <c r="AC38" s="130" t="n">
        <v>5.03252545632156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35.7767</v>
      </c>
      <c r="H39" s="124" t="n">
        <v>100</v>
      </c>
      <c r="I39" s="179" t="n">
        <v>100.56</v>
      </c>
      <c r="J39" s="136"/>
      <c r="K39" s="137"/>
      <c r="L39" s="137"/>
      <c r="M39" s="137"/>
      <c r="N39" s="138"/>
      <c r="O39" s="137"/>
      <c r="P39" s="136" t="n">
        <v>3.534</v>
      </c>
      <c r="Q39" s="136"/>
      <c r="R39" s="136"/>
      <c r="S39" s="139" t="n">
        <v>153.8</v>
      </c>
      <c r="T39" s="129" t="n">
        <v>0.236308937489237</v>
      </c>
      <c r="U39" s="129" t="n">
        <v>0.23091859096522</v>
      </c>
      <c r="X39" s="130" t="n">
        <v>12.4236910625108</v>
      </c>
      <c r="Y39" s="130" t="n">
        <v>12.1402993269049</v>
      </c>
      <c r="Z39" s="129" t="n">
        <v>0.903</v>
      </c>
      <c r="AA39" s="129" t="n">
        <v>0.882402036322013</v>
      </c>
      <c r="AB39" s="130" t="n">
        <v>4.72</v>
      </c>
      <c r="AC39" s="130" t="n">
        <v>4.61233401045393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35.7793</v>
      </c>
      <c r="H40" s="124" t="n">
        <v>80</v>
      </c>
      <c r="I40" s="179" t="n">
        <v>80.51</v>
      </c>
      <c r="J40" s="136"/>
      <c r="K40" s="137"/>
      <c r="L40" s="137"/>
      <c r="M40" s="137"/>
      <c r="N40" s="138"/>
      <c r="O40" s="137"/>
      <c r="P40" s="136" t="n">
        <v>3.464</v>
      </c>
      <c r="Q40" s="136"/>
      <c r="R40" s="136"/>
      <c r="S40" s="139" t="n">
        <v>150.8</v>
      </c>
      <c r="T40" s="129" t="n">
        <v>0.374073704150164</v>
      </c>
      <c r="U40" s="129" t="n">
        <v>0.365540861878873</v>
      </c>
      <c r="X40" s="130" t="n">
        <v>12.0159262958498</v>
      </c>
      <c r="Y40" s="130" t="n">
        <v>11.7418359155627</v>
      </c>
      <c r="Z40" s="129" t="n">
        <v>0.901</v>
      </c>
      <c r="AA40" s="129" t="n">
        <v>0.880447657504024</v>
      </c>
      <c r="AB40" s="130" t="n">
        <v>4.73</v>
      </c>
      <c r="AC40" s="130" t="n">
        <v>4.62210590454388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35.0864</v>
      </c>
      <c r="H41" s="124" t="n">
        <v>60</v>
      </c>
      <c r="I41" s="179" t="n">
        <v>60.4</v>
      </c>
      <c r="J41" s="136"/>
      <c r="K41" s="137"/>
      <c r="L41" s="137"/>
      <c r="M41" s="137"/>
      <c r="N41" s="138"/>
      <c r="O41" s="137"/>
      <c r="P41" s="136" t="n">
        <v>4.426</v>
      </c>
      <c r="Q41" s="136"/>
      <c r="R41" s="136"/>
      <c r="S41" s="139" t="n">
        <v>193.1</v>
      </c>
      <c r="T41" s="129" t="n">
        <v>0.356853108317548</v>
      </c>
      <c r="U41" s="129" t="n">
        <v>0.348713078014667</v>
      </c>
      <c r="X41" s="130" t="n">
        <v>1.88814689168245</v>
      </c>
      <c r="Y41" s="130" t="n">
        <v>1.84507714517794</v>
      </c>
      <c r="Z41" s="129" t="n">
        <v>0.2045</v>
      </c>
      <c r="AA41" s="129" t="n">
        <v>0.199835234139371</v>
      </c>
      <c r="AB41" s="130" t="n">
        <v>1.96</v>
      </c>
      <c r="AC41" s="130" t="n">
        <v>1.91529124162918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34.9051</v>
      </c>
      <c r="H42" s="124" t="n">
        <v>40</v>
      </c>
      <c r="I42" s="179" t="n">
        <v>40.57</v>
      </c>
      <c r="J42" s="136"/>
      <c r="K42" s="136"/>
      <c r="L42" s="136"/>
      <c r="M42" s="136"/>
      <c r="N42" s="136"/>
      <c r="O42" s="136"/>
      <c r="P42" s="136" t="n">
        <v>4.721</v>
      </c>
      <c r="Q42" s="136"/>
      <c r="R42" s="136"/>
      <c r="S42" s="139" t="n">
        <v>206.1</v>
      </c>
      <c r="T42" s="129" t="n">
        <v>0.0124411916652316</v>
      </c>
      <c r="U42" s="129" t="n">
        <v>0.0121574007305347</v>
      </c>
      <c r="X42" s="130" t="n">
        <v>0.107558808334768</v>
      </c>
      <c r="Y42" s="130" t="n">
        <v>0.105105328348803</v>
      </c>
      <c r="Z42" s="129" t="n">
        <v>0.024</v>
      </c>
      <c r="AA42" s="129" t="n">
        <v>0.0234525458158675</v>
      </c>
      <c r="AB42" s="130" t="n">
        <v>0.99</v>
      </c>
      <c r="AC42" s="130" t="n">
        <v>0.967417514904533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34.679</v>
      </c>
      <c r="H43" s="124" t="n">
        <v>20</v>
      </c>
      <c r="I43" s="179" t="n">
        <v>20.33</v>
      </c>
      <c r="J43" s="136"/>
      <c r="K43" s="136"/>
      <c r="L43" s="136"/>
      <c r="M43" s="136"/>
      <c r="N43" s="136"/>
      <c r="O43" s="136"/>
      <c r="P43" s="136" t="n">
        <v>4.787</v>
      </c>
      <c r="Q43" s="136"/>
      <c r="R43" s="136"/>
      <c r="S43" s="139" t="n">
        <v>209</v>
      </c>
      <c r="T43" s="129" t="n">
        <v>0.0296617874978474</v>
      </c>
      <c r="U43" s="129" t="n">
        <v>0.0289851845947413</v>
      </c>
      <c r="X43" s="130" t="n">
        <v>0.0803382125021526</v>
      </c>
      <c r="Y43" s="130" t="n">
        <v>0.0785056503946512</v>
      </c>
      <c r="Z43" s="129" t="n">
        <v>0.042</v>
      </c>
      <c r="AA43" s="129" t="n">
        <v>0.041041955177768</v>
      </c>
      <c r="AB43" s="130" t="n">
        <v>2.03</v>
      </c>
      <c r="AC43" s="130" t="n">
        <v>1.98369450025879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34.6559</v>
      </c>
      <c r="H44" s="124" t="n">
        <v>10</v>
      </c>
      <c r="I44" s="179" t="n">
        <v>10.52</v>
      </c>
      <c r="J44" s="136"/>
      <c r="K44" s="136"/>
      <c r="L44" s="136"/>
      <c r="M44" s="136"/>
      <c r="N44" s="136"/>
      <c r="O44" s="136"/>
      <c r="P44" s="136" t="n">
        <v>4.755</v>
      </c>
      <c r="Q44" s="136"/>
      <c r="R44" s="136"/>
      <c r="S44" s="139" t="n">
        <v>207.6</v>
      </c>
      <c r="T44" s="129" t="n">
        <v>0.0210514895815395</v>
      </c>
      <c r="U44" s="129" t="n">
        <v>0.020571292662638</v>
      </c>
      <c r="X44" s="130" t="n">
        <v>0.0689485104184605</v>
      </c>
      <c r="Y44" s="130" t="n">
        <v>0.067375754146865</v>
      </c>
      <c r="Z44" s="129" t="n">
        <v>0.019</v>
      </c>
      <c r="AA44" s="129" t="n">
        <v>0.0185665987708951</v>
      </c>
      <c r="AB44" s="130" t="n">
        <v>2.26</v>
      </c>
      <c r="AC44" s="130" t="n">
        <v>2.20844806432752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34.6521</v>
      </c>
      <c r="H45" s="124" t="n">
        <v>0</v>
      </c>
      <c r="I45" s="179" t="n">
        <v>0.22</v>
      </c>
      <c r="J45" s="136"/>
      <c r="K45" s="136"/>
      <c r="L45" s="136"/>
      <c r="M45" s="136"/>
      <c r="N45" s="136"/>
      <c r="O45" s="136"/>
      <c r="P45" s="136" t="n">
        <v>4.815</v>
      </c>
      <c r="Q45" s="136"/>
      <c r="R45" s="136"/>
      <c r="S45" s="139" t="n">
        <v>210.2</v>
      </c>
      <c r="T45" s="129" t="n">
        <v>0.0296617874978474</v>
      </c>
      <c r="U45" s="129" t="n">
        <v>0.0289851845947413</v>
      </c>
      <c r="X45" s="130" t="n">
        <v>0.0603382125021526</v>
      </c>
      <c r="Y45" s="130" t="n">
        <v>0.0589618622147617</v>
      </c>
      <c r="Z45" s="129" t="n">
        <v>0.009</v>
      </c>
      <c r="AA45" s="129" t="n">
        <v>0.00879470468095029</v>
      </c>
      <c r="AB45" s="130" t="n">
        <v>2.21</v>
      </c>
      <c r="AC45" s="130" t="n">
        <v>2.1595885938778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45" activeCellId="0" sqref="J4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37159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0.03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-0°0,03</v>
      </c>
      <c r="P9" s="31" t="s">
        <v>16</v>
      </c>
      <c r="Q9" s="35" t="n">
        <f aca="false">IF(ISBLANK(I9),"",IF(ISBLANK(J9),"",IF(J9&gt;60,"ERREUR !!",O11*(I9+(J9/60)))))</f>
        <v>-0.0005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8</v>
      </c>
      <c r="J10" s="31" t="n">
        <v>0.08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8°0,08</v>
      </c>
      <c r="P10" s="31" t="s">
        <v>14</v>
      </c>
      <c r="Q10" s="35" t="n">
        <f aca="false">IF(ISBLANK(I10),"",IF(ISBLANK(J10),"",IF(J10&gt;60,"ERREUR !!",O12*(I10+(J10/60)))))</f>
        <v>8.00133333333333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37159</v>
      </c>
      <c r="K11" s="40"/>
      <c r="L11" s="40"/>
      <c r="M11" s="40"/>
      <c r="N11" s="41" t="str">
        <f aca="false">I9&amp;"°"&amp;J9</f>
        <v>0°0,03</v>
      </c>
      <c r="O11" s="42" t="n">
        <f aca="false">IF(P9=M10,-1,1)</f>
        <v>-1</v>
      </c>
      <c r="P11" s="43" t="str">
        <f aca="false">TEXT(J11,"aaaa-mm-jj")&amp;"T"&amp;TEXT(J12,"hh:mm:ss")&amp;"z"</f>
        <v>2005-09-26T05:30:00z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0.229166666666667</v>
      </c>
      <c r="K12" s="48"/>
      <c r="L12" s="48"/>
      <c r="M12" s="48"/>
      <c r="N12" s="49" t="str">
        <f aca="false">I10&amp;"°"&amp;J10</f>
        <v>8°0,08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34.6832</v>
      </c>
      <c r="H35" s="123" t="n">
        <v>2000</v>
      </c>
      <c r="I35" s="179" t="n">
        <v>551.78</v>
      </c>
      <c r="J35" s="125"/>
      <c r="K35" s="126"/>
      <c r="L35" s="126"/>
      <c r="M35" s="126"/>
      <c r="N35" s="127"/>
      <c r="O35" s="126"/>
      <c r="P35" s="125" t="n">
        <v>3.694</v>
      </c>
      <c r="Q35" s="125"/>
      <c r="R35" s="125"/>
      <c r="S35" s="128" t="n">
        <v>160.6</v>
      </c>
      <c r="T35" s="129" t="n">
        <v>0.0124411916652316</v>
      </c>
      <c r="U35" s="129" t="n">
        <v>0.0121574007305347</v>
      </c>
      <c r="X35" s="130" t="n">
        <v>32.5175588083348</v>
      </c>
      <c r="Y35" s="130" t="n">
        <v>31.7758140738598</v>
      </c>
      <c r="Z35" s="129" t="n">
        <v>2.141</v>
      </c>
      <c r="AA35" s="129" t="n">
        <v>2.09216252465718</v>
      </c>
      <c r="AB35" s="130" t="n">
        <v>31.26</v>
      </c>
      <c r="AC35" s="130" t="n">
        <v>30.5469409251674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35.1798</v>
      </c>
      <c r="H36" s="124" t="n">
        <v>300</v>
      </c>
      <c r="I36" s="179" t="n">
        <v>300.29</v>
      </c>
      <c r="J36" s="136"/>
      <c r="K36" s="137"/>
      <c r="L36" s="137"/>
      <c r="M36" s="137"/>
      <c r="N36" s="138"/>
      <c r="O36" s="137"/>
      <c r="P36" s="136" t="n">
        <v>1.525</v>
      </c>
      <c r="Q36" s="136"/>
      <c r="R36" s="136"/>
      <c r="S36" s="139" t="n">
        <v>66.3</v>
      </c>
      <c r="T36" s="129" t="n">
        <v>0.0124411916652316</v>
      </c>
      <c r="U36" s="129" t="n">
        <v>0.0121574007305347</v>
      </c>
      <c r="X36" s="130" t="n">
        <v>29.4075588083348</v>
      </c>
      <c r="Y36" s="130" t="n">
        <v>28.736755011887</v>
      </c>
      <c r="Z36" s="129" t="n">
        <v>1.753</v>
      </c>
      <c r="AA36" s="129" t="n">
        <v>1.71301303396732</v>
      </c>
      <c r="AB36" s="130" t="n">
        <v>12.3</v>
      </c>
      <c r="AC36" s="130" t="n">
        <v>12.0194297306321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35.682</v>
      </c>
      <c r="H37" s="124" t="n">
        <v>160</v>
      </c>
      <c r="I37" s="179" t="n">
        <v>160.83</v>
      </c>
      <c r="J37" s="136"/>
      <c r="K37" s="137"/>
      <c r="L37" s="137"/>
      <c r="M37" s="137"/>
      <c r="N37" s="138"/>
      <c r="O37" s="137"/>
      <c r="P37" s="136" t="n">
        <v>3.328</v>
      </c>
      <c r="Q37" s="136"/>
      <c r="R37" s="136"/>
      <c r="S37" s="139" t="n">
        <v>144.8</v>
      </c>
      <c r="T37" s="129" t="n">
        <v>0.0382720854141553</v>
      </c>
      <c r="U37" s="129" t="n">
        <v>0.0373990765268446</v>
      </c>
      <c r="X37" s="130" t="n">
        <v>14.3217279145858</v>
      </c>
      <c r="Y37" s="130" t="n">
        <v>13.9950408366339</v>
      </c>
      <c r="Z37" s="129" t="n">
        <v>0.99</v>
      </c>
      <c r="AA37" s="129" t="n">
        <v>0.967417514904533</v>
      </c>
      <c r="AB37" s="130" t="n">
        <v>5.46</v>
      </c>
      <c r="AC37" s="130" t="n">
        <v>5.33545417310985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35.6868</v>
      </c>
      <c r="H38" s="124" t="n">
        <v>130</v>
      </c>
      <c r="I38" s="179" t="n">
        <v>130.54</v>
      </c>
      <c r="J38" s="136"/>
      <c r="K38" s="137"/>
      <c r="L38" s="137"/>
      <c r="M38" s="137"/>
      <c r="N38" s="138"/>
      <c r="O38" s="137"/>
      <c r="P38" s="136" t="n">
        <v>3.325</v>
      </c>
      <c r="Q38" s="136"/>
      <c r="R38" s="136"/>
      <c r="S38" s="139" t="n">
        <v>144.7</v>
      </c>
      <c r="T38" s="129" t="n">
        <v>0.0641029791630791</v>
      </c>
      <c r="U38" s="129" t="n">
        <v>0.0626407523231545</v>
      </c>
      <c r="X38" s="130" t="n">
        <v>14.2758970208369</v>
      </c>
      <c r="Y38" s="130" t="n">
        <v>13.9502553726577</v>
      </c>
      <c r="Z38" s="129" t="n">
        <v>0.992</v>
      </c>
      <c r="AA38" s="129" t="n">
        <v>0.969371893722522</v>
      </c>
      <c r="AB38" s="130" t="n">
        <v>5.47</v>
      </c>
      <c r="AC38" s="130" t="n">
        <v>5.34522606719979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35.6965</v>
      </c>
      <c r="H39" s="124" t="n">
        <v>100</v>
      </c>
      <c r="I39" s="179" t="n">
        <v>100.56</v>
      </c>
      <c r="J39" s="136"/>
      <c r="K39" s="137"/>
      <c r="L39" s="137"/>
      <c r="M39" s="137"/>
      <c r="N39" s="138"/>
      <c r="O39" s="137"/>
      <c r="P39" s="136" t="n">
        <v>3.323</v>
      </c>
      <c r="Q39" s="136"/>
      <c r="R39" s="136"/>
      <c r="S39" s="139" t="n">
        <v>144.7</v>
      </c>
      <c r="T39" s="129" t="n">
        <v>0.18464714999139</v>
      </c>
      <c r="U39" s="129" t="n">
        <v>0.180435239372601</v>
      </c>
      <c r="X39" s="130" t="n">
        <v>13.7453528500086</v>
      </c>
      <c r="Y39" s="130" t="n">
        <v>13.4318132279205</v>
      </c>
      <c r="Z39" s="129" t="n">
        <v>0.97</v>
      </c>
      <c r="AA39" s="129" t="n">
        <v>0.947873726724643</v>
      </c>
      <c r="AB39" s="130" t="n">
        <v>5.3</v>
      </c>
      <c r="AC39" s="130" t="n">
        <v>5.17910386767073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35.7557</v>
      </c>
      <c r="H40" s="124" t="n">
        <v>80</v>
      </c>
      <c r="I40" s="179" t="n">
        <v>80.51</v>
      </c>
      <c r="J40" s="136"/>
      <c r="K40" s="137"/>
      <c r="L40" s="137"/>
      <c r="M40" s="137"/>
      <c r="N40" s="138"/>
      <c r="O40" s="137"/>
      <c r="P40" s="136" t="n">
        <v>3.642</v>
      </c>
      <c r="Q40" s="136"/>
      <c r="R40" s="136"/>
      <c r="S40" s="139" t="n">
        <v>158.6</v>
      </c>
      <c r="T40" s="129" t="n">
        <v>0.546279662476322</v>
      </c>
      <c r="U40" s="129" t="n">
        <v>0.533818700520939</v>
      </c>
      <c r="X40" s="130" t="n">
        <v>9.43372033752368</v>
      </c>
      <c r="Y40" s="130" t="n">
        <v>9.21853160124395</v>
      </c>
      <c r="Z40" s="129" t="n">
        <v>0.745</v>
      </c>
      <c r="AA40" s="129" t="n">
        <v>0.728006109700886</v>
      </c>
      <c r="AB40" s="130" t="n">
        <v>3.87</v>
      </c>
      <c r="AC40" s="130" t="n">
        <v>3.78172301280863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35.7347</v>
      </c>
      <c r="H41" s="124" t="n">
        <v>60</v>
      </c>
      <c r="I41" s="179" t="n">
        <v>60.4</v>
      </c>
      <c r="J41" s="136"/>
      <c r="K41" s="137"/>
      <c r="L41" s="137"/>
      <c r="M41" s="137"/>
      <c r="N41" s="138"/>
      <c r="O41" s="137"/>
      <c r="P41" s="136" t="n">
        <v>3.726</v>
      </c>
      <c r="Q41" s="136"/>
      <c r="R41" s="136"/>
      <c r="S41" s="139" t="n">
        <v>162.3</v>
      </c>
      <c r="T41" s="129" t="n">
        <v>0.546279662476322</v>
      </c>
      <c r="U41" s="129" t="n">
        <v>0.533818700520939</v>
      </c>
      <c r="X41" s="130" t="n">
        <v>8.53372033752368</v>
      </c>
      <c r="Y41" s="130" t="n">
        <v>8.33906113314892</v>
      </c>
      <c r="Z41" s="129" t="n">
        <v>0.681</v>
      </c>
      <c r="AA41" s="129" t="n">
        <v>0.665465987525239</v>
      </c>
      <c r="AB41" s="130" t="n">
        <v>3.57</v>
      </c>
      <c r="AC41" s="130" t="n">
        <v>3.48856619011028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76" t="n">
        <v>35.0565</v>
      </c>
      <c r="H42" s="124" t="n">
        <v>40</v>
      </c>
      <c r="I42" s="179" t="n">
        <v>40.57</v>
      </c>
      <c r="J42" s="136"/>
      <c r="K42" s="136"/>
      <c r="L42" s="136"/>
      <c r="M42" s="136"/>
      <c r="N42" s="136"/>
      <c r="O42" s="136"/>
      <c r="P42" s="136" t="n">
        <v>4.702</v>
      </c>
      <c r="Q42" s="136"/>
      <c r="R42" s="136"/>
      <c r="S42" s="139" t="n">
        <v>205.2</v>
      </c>
      <c r="T42" s="129" t="n">
        <v>0.0296617874978474</v>
      </c>
      <c r="U42" s="129" t="n">
        <v>0.0289851845947413</v>
      </c>
      <c r="X42" s="130" t="n">
        <v>0.185338212502153</v>
      </c>
      <c r="Y42" s="130" t="n">
        <v>0.181110538339071</v>
      </c>
      <c r="Z42" s="129" t="n">
        <v>0.024</v>
      </c>
      <c r="AA42" s="129" t="n">
        <v>0.0234525458158674</v>
      </c>
      <c r="AB42" s="130" t="n">
        <v>0.92</v>
      </c>
      <c r="AC42" s="130" t="n">
        <v>0.899014256274919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34.9129</v>
      </c>
      <c r="H43" s="124" t="n">
        <v>20</v>
      </c>
      <c r="I43" s="179" t="n">
        <v>20.33</v>
      </c>
      <c r="J43" s="136"/>
      <c r="K43" s="136"/>
      <c r="L43" s="136"/>
      <c r="M43" s="136"/>
      <c r="N43" s="136"/>
      <c r="O43" s="136"/>
      <c r="P43" s="136" t="n">
        <v>4.693</v>
      </c>
      <c r="Q43" s="136"/>
      <c r="R43" s="136"/>
      <c r="S43" s="139" t="n">
        <v>204.9</v>
      </c>
      <c r="T43" s="129" t="n">
        <v>0.0296617874978474</v>
      </c>
      <c r="U43" s="129" t="n">
        <v>0.0289851845947413</v>
      </c>
      <c r="X43" s="130" t="n">
        <v>0.0203382125021526</v>
      </c>
      <c r="Y43" s="130" t="n">
        <v>0.0198742858549826</v>
      </c>
      <c r="Z43" s="129" t="n">
        <v>0</v>
      </c>
      <c r="AA43" s="129" t="n">
        <v>0</v>
      </c>
      <c r="AB43" s="130" t="n">
        <v>1.04</v>
      </c>
      <c r="AC43" s="130" t="n">
        <v>1.01627698535426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34.8915</v>
      </c>
      <c r="H44" s="124" t="n">
        <v>10</v>
      </c>
      <c r="I44" s="179" t="n">
        <v>10.52</v>
      </c>
      <c r="J44" s="136"/>
      <c r="K44" s="136"/>
      <c r="L44" s="136"/>
      <c r="M44" s="136"/>
      <c r="N44" s="136"/>
      <c r="O44" s="136"/>
      <c r="P44" s="136" t="n">
        <v>4.712</v>
      </c>
      <c r="Q44" s="136"/>
      <c r="R44" s="136"/>
      <c r="S44" s="139" t="n">
        <v>205.7</v>
      </c>
      <c r="T44" s="129" t="n">
        <v>0.0124411916652316</v>
      </c>
      <c r="U44" s="129" t="n">
        <v>0.0121574007305347</v>
      </c>
      <c r="X44" s="130" t="n">
        <v>0.0375588083347684</v>
      </c>
      <c r="Y44" s="130" t="n">
        <v>0.0367020697191892</v>
      </c>
      <c r="Z44" s="129" t="n">
        <v>0.00699999999999999</v>
      </c>
      <c r="AA44" s="129" t="n">
        <v>0.00684032586296133</v>
      </c>
      <c r="AB44" s="130" t="n">
        <v>1.15</v>
      </c>
      <c r="AC44" s="130" t="n">
        <v>1.12376782034365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42"/>
      <c r="H45" s="124" t="n">
        <v>0</v>
      </c>
      <c r="I45" s="179" t="s">
        <v>99</v>
      </c>
      <c r="J45" s="136"/>
      <c r="K45" s="136"/>
      <c r="L45" s="136"/>
      <c r="M45" s="136"/>
      <c r="N45" s="136"/>
      <c r="O45" s="136"/>
      <c r="P45" s="136"/>
      <c r="Q45" s="136"/>
      <c r="R45" s="136"/>
      <c r="S45" s="139" t="s">
        <v>99</v>
      </c>
      <c r="T45" s="139" t="s">
        <v>99</v>
      </c>
      <c r="U45" s="139" t="s">
        <v>99</v>
      </c>
      <c r="V45" s="139" t="s">
        <v>99</v>
      </c>
      <c r="W45" s="139" t="s">
        <v>99</v>
      </c>
      <c r="X45" s="139" t="s">
        <v>99</v>
      </c>
      <c r="Y45" s="139" t="s">
        <v>99</v>
      </c>
      <c r="Z45" s="139" t="s">
        <v>99</v>
      </c>
      <c r="AA45" s="139" t="s">
        <v>99</v>
      </c>
      <c r="AB45" s="139" t="s">
        <v>99</v>
      </c>
      <c r="AC45" s="139" t="s">
        <v>99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0.12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-0°0,12</v>
      </c>
      <c r="P9" s="31" t="s">
        <v>16</v>
      </c>
      <c r="Q9" s="35" t="n">
        <f aca="false">IF(ISBLANK(I9),"",IF(ISBLANK(J9),"",IF(J9&gt;60,"ERREUR !!",O11*(I9+(J9/60)))))</f>
        <v>-0.002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30.12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7°30,12</v>
      </c>
      <c r="P10" s="31" t="s">
        <v>14</v>
      </c>
      <c r="Q10" s="35" t="n">
        <f aca="false">IF(ISBLANK(I10),"",IF(ISBLANK(J10),"",IF(J10&gt;60,"ERREUR !!",O12*(I10+(J10/60)))))</f>
        <v>7.502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37159</v>
      </c>
      <c r="K11" s="40"/>
      <c r="L11" s="40"/>
      <c r="M11" s="40"/>
      <c r="N11" s="41" t="str">
        <f aca="false">I9&amp;"°"&amp;J9</f>
        <v>0°0,12</v>
      </c>
      <c r="O11" s="42" t="n">
        <f aca="false">IF(P9=M10,-1,1)</f>
        <v>-1</v>
      </c>
      <c r="P11" s="43" t="str">
        <f aca="false">TEXT(J11,"aaaa-mm-jj")&amp;"T"&amp;TEXT(J12,"hh:mm:ss")&amp;"z"</f>
        <v>2005-09-26T10:20:00z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0.430555555555556</v>
      </c>
      <c r="K12" s="48"/>
      <c r="L12" s="48"/>
      <c r="M12" s="48"/>
      <c r="N12" s="49" t="str">
        <f aca="false">I10&amp;"°"&amp;J10</f>
        <v>7°30,12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34.6887</v>
      </c>
      <c r="H35" s="123" t="n">
        <v>2000</v>
      </c>
      <c r="I35" s="124" t="n">
        <v>1002</v>
      </c>
      <c r="J35" s="125"/>
      <c r="K35" s="126"/>
      <c r="L35" s="126"/>
      <c r="M35" s="126"/>
      <c r="N35" s="127"/>
      <c r="O35" s="126"/>
      <c r="P35" s="125" t="n">
        <v>3.735</v>
      </c>
      <c r="Q35" s="125"/>
      <c r="R35" s="125"/>
      <c r="S35" s="128" t="n">
        <v>162.4</v>
      </c>
      <c r="T35" s="129" t="n">
        <v>0.0296617874978474</v>
      </c>
      <c r="U35" s="129" t="n">
        <v>0.0289851845947413</v>
      </c>
      <c r="X35" s="130" t="n">
        <v>32.4503382125021</v>
      </c>
      <c r="Y35" s="130" t="n">
        <v>31.7101268195459</v>
      </c>
      <c r="Z35" s="129" t="n">
        <v>2.144</v>
      </c>
      <c r="AA35" s="129" t="n">
        <v>2.09509409288416</v>
      </c>
      <c r="AB35" s="130" t="n">
        <v>31.55</v>
      </c>
      <c r="AC35" s="130" t="n">
        <v>30.8303258537758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35.1398</v>
      </c>
      <c r="H36" s="124" t="n">
        <v>300</v>
      </c>
      <c r="I36" s="124" t="n">
        <v>299.5</v>
      </c>
      <c r="J36" s="136"/>
      <c r="K36" s="137"/>
      <c r="L36" s="137"/>
      <c r="M36" s="137"/>
      <c r="N36" s="138"/>
      <c r="O36" s="137"/>
      <c r="P36" s="136" t="n">
        <v>1.579</v>
      </c>
      <c r="Q36" s="136"/>
      <c r="R36" s="136"/>
      <c r="S36" s="139" t="n">
        <v>68.7</v>
      </c>
      <c r="T36" s="129" t="n">
        <v>0.00383089374892371</v>
      </c>
      <c r="U36" s="129" t="n">
        <v>0.0037435087984314</v>
      </c>
      <c r="X36" s="130" t="n">
        <v>30.2761691062511</v>
      </c>
      <c r="Y36" s="130" t="n">
        <v>29.5855517955543</v>
      </c>
      <c r="Z36" s="129" t="n">
        <v>1.851</v>
      </c>
      <c r="AA36" s="129" t="n">
        <v>1.80877759604878</v>
      </c>
      <c r="AB36" s="130" t="n">
        <v>12.84</v>
      </c>
      <c r="AC36" s="130" t="n">
        <v>12.5471120114891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35.6722</v>
      </c>
      <c r="H37" s="124" t="n">
        <v>160</v>
      </c>
      <c r="I37" s="124" t="n">
        <v>159.4</v>
      </c>
      <c r="J37" s="136"/>
      <c r="K37" s="137"/>
      <c r="L37" s="137"/>
      <c r="M37" s="137"/>
      <c r="N37" s="138"/>
      <c r="O37" s="137"/>
      <c r="P37" s="136" t="n">
        <v>3.446</v>
      </c>
      <c r="Q37" s="136"/>
      <c r="R37" s="136"/>
      <c r="S37" s="139" t="n">
        <v>150</v>
      </c>
      <c r="T37" s="129" t="n">
        <v>0.0468823833304632</v>
      </c>
      <c r="U37" s="129" t="n">
        <v>0.0458129684589479</v>
      </c>
      <c r="X37" s="130" t="n">
        <v>14.2031176166695</v>
      </c>
      <c r="Y37" s="130" t="n">
        <v>13.8791361097124</v>
      </c>
      <c r="Z37" s="129" t="n">
        <v>0.996</v>
      </c>
      <c r="AA37" s="129" t="n">
        <v>0.9732806513585</v>
      </c>
      <c r="AB37" s="130" t="n">
        <v>5.4</v>
      </c>
      <c r="AC37" s="130" t="n">
        <v>5.27682280857018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35.6784</v>
      </c>
      <c r="H38" s="124" t="n">
        <v>130</v>
      </c>
      <c r="I38" s="124" t="n">
        <v>129</v>
      </c>
      <c r="J38" s="136"/>
      <c r="K38" s="137"/>
      <c r="L38" s="137"/>
      <c r="M38" s="137"/>
      <c r="N38" s="138"/>
      <c r="O38" s="137"/>
      <c r="P38" s="136" t="n">
        <v>3.342</v>
      </c>
      <c r="Q38" s="136"/>
      <c r="R38" s="136"/>
      <c r="S38" s="139" t="n">
        <v>145.5</v>
      </c>
      <c r="T38" s="129" t="n">
        <v>0.0468823833304632</v>
      </c>
      <c r="U38" s="129" t="n">
        <v>0.0458129684589479</v>
      </c>
      <c r="X38" s="130" t="n">
        <v>14.4031176166695</v>
      </c>
      <c r="Y38" s="130" t="n">
        <v>14.0745739915113</v>
      </c>
      <c r="Z38" s="129" t="n">
        <v>1.014</v>
      </c>
      <c r="AA38" s="129" t="n">
        <v>0.9908700607204</v>
      </c>
      <c r="AB38" s="130" t="n">
        <v>5.56</v>
      </c>
      <c r="AC38" s="130" t="n">
        <v>5.43317311400929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35.7239</v>
      </c>
      <c r="H39" s="124" t="n">
        <v>100</v>
      </c>
      <c r="I39" s="124" t="n">
        <v>100.4</v>
      </c>
      <c r="J39" s="136"/>
      <c r="K39" s="137"/>
      <c r="L39" s="137"/>
      <c r="M39" s="137"/>
      <c r="N39" s="138"/>
      <c r="O39" s="137"/>
      <c r="P39" s="136" t="n">
        <v>3.245</v>
      </c>
      <c r="Q39" s="136"/>
      <c r="R39" s="136"/>
      <c r="S39" s="139" t="n">
        <v>141.2</v>
      </c>
      <c r="T39" s="129" t="n">
        <v>0.115764766660926</v>
      </c>
      <c r="U39" s="129" t="n">
        <v>0.113124103915774</v>
      </c>
      <c r="X39" s="130" t="n">
        <v>13.9942352333391</v>
      </c>
      <c r="Y39" s="130" t="n">
        <v>13.6750184569963</v>
      </c>
      <c r="Z39" s="129" t="n">
        <v>0.982</v>
      </c>
      <c r="AA39" s="129" t="n">
        <v>0.959599999632577</v>
      </c>
      <c r="AB39" s="130" t="n">
        <v>4.88</v>
      </c>
      <c r="AC39" s="130" t="n">
        <v>4.76868431589305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35.7932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3.691</v>
      </c>
      <c r="Q40" s="136"/>
      <c r="R40" s="136"/>
      <c r="S40" s="139" t="n">
        <v>160.7</v>
      </c>
      <c r="T40" s="129" t="n">
        <v>0.632382641639401</v>
      </c>
      <c r="U40" s="129" t="n">
        <v>0.617957619841972</v>
      </c>
      <c r="X40" s="130" t="n">
        <v>9.2776173583606</v>
      </c>
      <c r="Y40" s="130" t="n">
        <v>9.0659894232933</v>
      </c>
      <c r="Z40" s="129" t="n">
        <v>0.76</v>
      </c>
      <c r="AA40" s="129" t="n">
        <v>0.742663950835803</v>
      </c>
      <c r="AB40" s="130" t="n">
        <v>3.66</v>
      </c>
      <c r="AC40" s="130" t="n">
        <v>3.57651323691979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35.7137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3.874</v>
      </c>
      <c r="Q41" s="136"/>
      <c r="R41" s="136"/>
      <c r="S41" s="139" t="n">
        <v>168.8</v>
      </c>
      <c r="T41" s="129" t="n">
        <v>0.460176683313243</v>
      </c>
      <c r="U41" s="129" t="n">
        <v>0.449679781199906</v>
      </c>
      <c r="X41" s="130" t="n">
        <v>7.31982331668676</v>
      </c>
      <c r="Y41" s="130" t="n">
        <v>7.15285382077713</v>
      </c>
      <c r="Z41" s="129" t="n">
        <v>0.623</v>
      </c>
      <c r="AA41" s="129" t="n">
        <v>0.608789001803559</v>
      </c>
      <c r="AB41" s="130" t="n">
        <v>3.12</v>
      </c>
      <c r="AC41" s="130" t="n">
        <v>3.04883095606277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35.1464</v>
      </c>
      <c r="H42" s="124" t="n">
        <v>40</v>
      </c>
      <c r="I42" s="124" t="n">
        <v>40.1</v>
      </c>
      <c r="J42" s="136"/>
      <c r="K42" s="136"/>
      <c r="L42" s="136"/>
      <c r="M42" s="136"/>
      <c r="N42" s="136"/>
      <c r="O42" s="136"/>
      <c r="P42" s="136" t="n">
        <v>4.717</v>
      </c>
      <c r="Q42" s="136"/>
      <c r="R42" s="136"/>
      <c r="S42" s="139" t="n">
        <v>205.9</v>
      </c>
      <c r="T42" s="129" t="n">
        <v>0.0210514895815395</v>
      </c>
      <c r="U42" s="129" t="n">
        <v>0.020571292662638</v>
      </c>
      <c r="X42" s="130" t="n">
        <v>0.0689485104184605</v>
      </c>
      <c r="Y42" s="130" t="n">
        <v>0.067375754146865</v>
      </c>
      <c r="Z42" s="129" t="n">
        <v>0.109</v>
      </c>
      <c r="AA42" s="129" t="n">
        <v>0.106513645580398</v>
      </c>
      <c r="AB42" s="130" t="n">
        <v>0.61</v>
      </c>
      <c r="AC42" s="130" t="n">
        <v>0.596085539486631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34.9759</v>
      </c>
      <c r="H43" s="124" t="n">
        <v>20</v>
      </c>
      <c r="I43" s="124" t="n">
        <v>19</v>
      </c>
      <c r="J43" s="136"/>
      <c r="K43" s="136"/>
      <c r="L43" s="136"/>
      <c r="M43" s="136"/>
      <c r="N43" s="136"/>
      <c r="O43" s="136"/>
      <c r="P43" s="136" t="n">
        <v>4.729</v>
      </c>
      <c r="Q43" s="136"/>
      <c r="R43" s="136"/>
      <c r="S43" s="139" t="n">
        <v>206.4</v>
      </c>
      <c r="T43" s="129" t="n">
        <v>0.00813604270707767</v>
      </c>
      <c r="U43" s="129" t="n">
        <v>0.00795045476448305</v>
      </c>
      <c r="X43" s="130" t="n">
        <v>0</v>
      </c>
      <c r="Y43" s="130" t="n">
        <v>0</v>
      </c>
      <c r="Z43" s="129" t="n">
        <v>0.00449999999999999</v>
      </c>
      <c r="AA43" s="129" t="n">
        <v>0.00439735234047514</v>
      </c>
      <c r="AB43" s="130" t="n">
        <v>0.65</v>
      </c>
      <c r="AC43" s="130" t="n">
        <v>0.63517311584641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34.9761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4.716</v>
      </c>
      <c r="Q44" s="136"/>
      <c r="R44" s="136"/>
      <c r="S44" s="139" t="n">
        <v>205.9</v>
      </c>
      <c r="T44" s="129" t="n">
        <v>0.0124411916652316</v>
      </c>
      <c r="U44" s="129" t="n">
        <v>0.0121574007305347</v>
      </c>
      <c r="X44" s="130" t="n">
        <v>0</v>
      </c>
      <c r="Y44" s="130" t="n">
        <v>0</v>
      </c>
      <c r="Z44" s="129" t="n">
        <v>0.00399999999999999</v>
      </c>
      <c r="AA44" s="129" t="n">
        <v>0.0039087576359779</v>
      </c>
      <c r="AB44" s="130" t="n">
        <v>0.77</v>
      </c>
      <c r="AC44" s="130" t="n">
        <v>0.752435844925748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34.9753</v>
      </c>
      <c r="H45" s="124" t="n">
        <v>0</v>
      </c>
      <c r="I45" s="124" t="n">
        <v>0.1</v>
      </c>
      <c r="J45" s="136"/>
      <c r="K45" s="136"/>
      <c r="L45" s="136"/>
      <c r="M45" s="136"/>
      <c r="N45" s="136"/>
      <c r="O45" s="136"/>
      <c r="P45" s="136" t="n">
        <v>4.715</v>
      </c>
      <c r="Q45" s="136"/>
      <c r="R45" s="136"/>
      <c r="S45" s="139" t="n">
        <v>205.8</v>
      </c>
      <c r="T45" s="129" t="n">
        <v>0.0124411916652316</v>
      </c>
      <c r="U45" s="129" t="n">
        <v>0.0121574007305347</v>
      </c>
      <c r="X45" s="130" t="n">
        <v>0</v>
      </c>
      <c r="Y45" s="130" t="n">
        <v>0</v>
      </c>
      <c r="Z45" s="129" t="n">
        <v>0.00699999999999999</v>
      </c>
      <c r="AA45" s="129" t="n">
        <v>0.00684032586296133</v>
      </c>
      <c r="AB45" s="130" t="n">
        <v>1.06</v>
      </c>
      <c r="AC45" s="130" t="n">
        <v>1.03582077353415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0.01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-0°0,01</v>
      </c>
      <c r="P9" s="31" t="s">
        <v>16</v>
      </c>
      <c r="Q9" s="35" t="n">
        <f aca="false">IF(ISBLANK(I9),"",IF(ISBLANK(J9),"",IF(J9&gt;60,"ERREUR !!",O11*(I9+(J9/60)))))</f>
        <v>-0.000166666666666667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7</v>
      </c>
      <c r="J10" s="31" t="n">
        <v>0.06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7°0,06</v>
      </c>
      <c r="P10" s="31" t="s">
        <v>14</v>
      </c>
      <c r="Q10" s="35" t="n">
        <f aca="false">IF(ISBLANK(I10),"",IF(ISBLANK(J10),"",IF(J10&gt;60,"ERREUR !!",O12*(I10+(J10/60)))))</f>
        <v>7.001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37159</v>
      </c>
      <c r="K11" s="40"/>
      <c r="L11" s="40"/>
      <c r="M11" s="40"/>
      <c r="N11" s="41" t="str">
        <f aca="false">I9&amp;"°"&amp;J9</f>
        <v>0°0,01</v>
      </c>
      <c r="O11" s="42" t="n">
        <f aca="false">IF(P9=M10,-1,1)</f>
        <v>-1</v>
      </c>
      <c r="P11" s="43" t="str">
        <f aca="false">TEXT(J11,"aaaa-mm-jj")&amp;"T"&amp;TEXT(J12,"hh:mm:ss")&amp;"z"</f>
        <v>2005-09-26T15:00:00z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0.625</v>
      </c>
      <c r="K12" s="48"/>
      <c r="L12" s="48"/>
      <c r="M12" s="48"/>
      <c r="N12" s="49" t="str">
        <f aca="false">I10&amp;"°"&amp;J10</f>
        <v>7°0,06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34.669</v>
      </c>
      <c r="H35" s="123" t="n">
        <v>2000</v>
      </c>
      <c r="I35" s="124" t="n">
        <v>1005</v>
      </c>
      <c r="J35" s="125"/>
      <c r="K35" s="126"/>
      <c r="L35" s="126"/>
      <c r="M35" s="126"/>
      <c r="N35" s="127"/>
      <c r="O35" s="126"/>
      <c r="P35" s="125" t="n">
        <v>3.673</v>
      </c>
      <c r="Q35" s="125"/>
      <c r="R35" s="125"/>
      <c r="S35" s="128" t="n">
        <v>159.7</v>
      </c>
      <c r="T35" s="129" t="n">
        <v>0.00383089374892371</v>
      </c>
      <c r="U35" s="129" t="n">
        <v>0.0037435087984314</v>
      </c>
      <c r="X35" s="130" t="n">
        <v>32.6061691062511</v>
      </c>
      <c r="Y35" s="130" t="n">
        <v>31.8624031185115</v>
      </c>
      <c r="Z35" s="129" t="n">
        <v>2.181</v>
      </c>
      <c r="AA35" s="129" t="n">
        <v>2.13125010101696</v>
      </c>
      <c r="AB35" s="130" t="n">
        <v>32.99</v>
      </c>
      <c r="AC35" s="130" t="n">
        <v>32.2374786027278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35.1228</v>
      </c>
      <c r="H36" s="124" t="n">
        <v>300</v>
      </c>
      <c r="I36" s="124" t="n">
        <v>297</v>
      </c>
      <c r="J36" s="136"/>
      <c r="K36" s="137"/>
      <c r="L36" s="137"/>
      <c r="M36" s="137"/>
      <c r="N36" s="138"/>
      <c r="O36" s="137"/>
      <c r="P36" s="136" t="n">
        <v>1.498</v>
      </c>
      <c r="Q36" s="136"/>
      <c r="R36" s="136"/>
      <c r="S36" s="139" t="n">
        <v>65.2</v>
      </c>
      <c r="T36" s="129" t="n">
        <v>0.00383089374892371</v>
      </c>
      <c r="U36" s="129" t="n">
        <v>0.0037435087984314</v>
      </c>
      <c r="X36" s="130" t="n">
        <v>30.3461691062511</v>
      </c>
      <c r="Y36" s="130" t="n">
        <v>29.653955054184</v>
      </c>
      <c r="Z36" s="129" t="n">
        <v>1.874</v>
      </c>
      <c r="AA36" s="129" t="n">
        <v>1.83125295245565</v>
      </c>
      <c r="AB36" s="130" t="n">
        <v>13.7</v>
      </c>
      <c r="AC36" s="130" t="n">
        <v>13.3874949032243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35.6535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3.303</v>
      </c>
      <c r="Q37" s="136"/>
      <c r="R37" s="136"/>
      <c r="S37" s="139" t="n">
        <v>143.8</v>
      </c>
      <c r="T37" s="129" t="n">
        <v>0.0210514895815395</v>
      </c>
      <c r="U37" s="129" t="n">
        <v>0.020571292662638</v>
      </c>
      <c r="X37" s="130" t="n">
        <v>14.6989485104185</v>
      </c>
      <c r="Y37" s="130" t="n">
        <v>14.3636568077361</v>
      </c>
      <c r="Z37" s="129" t="n">
        <v>1.027</v>
      </c>
      <c r="AA37" s="129" t="n">
        <v>1.00357352303733</v>
      </c>
      <c r="AB37" s="130" t="n">
        <v>6.14</v>
      </c>
      <c r="AC37" s="130" t="n">
        <v>5.99994297122609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35.7025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3.293</v>
      </c>
      <c r="Q38" s="136"/>
      <c r="R38" s="136"/>
      <c r="S38" s="139" t="n">
        <v>143.4</v>
      </c>
      <c r="T38" s="129" t="n">
        <v>0.0296617874978474</v>
      </c>
      <c r="U38" s="129" t="n">
        <v>0.0289851845947413</v>
      </c>
      <c r="X38" s="130" t="n">
        <v>14.1303382125022</v>
      </c>
      <c r="Y38" s="130" t="n">
        <v>13.8080168467671</v>
      </c>
      <c r="Z38" s="129" t="n">
        <v>1.007</v>
      </c>
      <c r="AA38" s="129" t="n">
        <v>0.984029734857439</v>
      </c>
      <c r="AB38" s="130" t="n">
        <v>5.58</v>
      </c>
      <c r="AC38" s="130" t="n">
        <v>5.45271690218918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35.7705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3.371</v>
      </c>
      <c r="Q39" s="136"/>
      <c r="R39" s="136"/>
      <c r="S39" s="139" t="n">
        <v>146.8</v>
      </c>
      <c r="T39" s="129" t="n">
        <v>0.0813235749956948</v>
      </c>
      <c r="U39" s="129" t="n">
        <v>0.0794685361873611</v>
      </c>
      <c r="X39" s="130" t="n">
        <v>12.9886764250043</v>
      </c>
      <c r="Y39" s="130" t="n">
        <v>12.6923970393705</v>
      </c>
      <c r="Z39" s="129" t="n">
        <v>0.936</v>
      </c>
      <c r="AA39" s="129" t="n">
        <v>0.914649286818831</v>
      </c>
      <c r="AB39" s="130" t="n">
        <v>4.96</v>
      </c>
      <c r="AC39" s="130" t="n">
        <v>4.84685946861261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35.7765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3.531</v>
      </c>
      <c r="Q40" s="136"/>
      <c r="R40" s="136"/>
      <c r="S40" s="139" t="n">
        <v>153.7</v>
      </c>
      <c r="T40" s="129" t="n">
        <v>0.193257447907698</v>
      </c>
      <c r="U40" s="129" t="n">
        <v>0.188849131304704</v>
      </c>
      <c r="X40" s="130" t="n">
        <v>11.6467425520923</v>
      </c>
      <c r="Y40" s="130" t="n">
        <v>11.3810734711899</v>
      </c>
      <c r="Z40" s="129" t="n">
        <v>0.862</v>
      </c>
      <c r="AA40" s="129" t="n">
        <v>0.842337270553239</v>
      </c>
      <c r="AB40" s="130" t="n">
        <v>4.72</v>
      </c>
      <c r="AC40" s="130" t="n">
        <v>4.61233401045393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35.6098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4.113</v>
      </c>
      <c r="Q41" s="136"/>
      <c r="R41" s="136"/>
      <c r="S41" s="139" t="n">
        <v>179.3</v>
      </c>
      <c r="T41" s="129" t="n">
        <v>0.339632512484932</v>
      </c>
      <c r="U41" s="129" t="n">
        <v>0.33188529415046</v>
      </c>
      <c r="X41" s="130" t="n">
        <v>4.63036748751507</v>
      </c>
      <c r="Y41" s="130" t="n">
        <v>4.52474606855209</v>
      </c>
      <c r="Z41" s="129" t="n">
        <v>0.453</v>
      </c>
      <c r="AA41" s="129" t="n">
        <v>0.442666802274498</v>
      </c>
      <c r="AB41" s="130" t="n">
        <v>2.46</v>
      </c>
      <c r="AC41" s="130" t="n">
        <v>2.40388594612641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35.2128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4.665</v>
      </c>
      <c r="Q42" s="136"/>
      <c r="R42" s="136"/>
      <c r="S42" s="139" t="n">
        <v>203.6</v>
      </c>
      <c r="T42" s="129" t="n">
        <v>0.0210514895815395</v>
      </c>
      <c r="U42" s="129" t="n">
        <v>0.020571292662638</v>
      </c>
      <c r="X42" s="130" t="n">
        <v>0.0189485104184605</v>
      </c>
      <c r="Y42" s="130" t="n">
        <v>0.0185162836971411</v>
      </c>
      <c r="Z42" s="129" t="n">
        <v>0.076</v>
      </c>
      <c r="AA42" s="129" t="n">
        <v>0.0742663950835803</v>
      </c>
      <c r="AB42" s="130" t="n">
        <v>0.91</v>
      </c>
      <c r="AC42" s="130" t="n">
        <v>0.889242362184974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35.0477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4.708</v>
      </c>
      <c r="Q43" s="136"/>
      <c r="R43" s="136"/>
      <c r="S43" s="139" t="n">
        <v>205.5</v>
      </c>
      <c r="T43" s="129" t="n">
        <v>0.0210514895815395</v>
      </c>
      <c r="U43" s="129" t="n">
        <v>0.020571292662638</v>
      </c>
      <c r="X43" s="130" t="n">
        <v>0</v>
      </c>
      <c r="Y43" s="130" t="n">
        <v>0</v>
      </c>
      <c r="Z43" s="129" t="n">
        <v>0.026</v>
      </c>
      <c r="AA43" s="129" t="n">
        <v>0.0254069246338564</v>
      </c>
      <c r="AB43" s="130" t="n">
        <v>0.48</v>
      </c>
      <c r="AC43" s="130" t="n">
        <v>0.469050916317349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76" t="n">
        <v>35.0187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4.727</v>
      </c>
      <c r="Q44" s="136"/>
      <c r="R44" s="136"/>
      <c r="S44" s="139" t="n">
        <v>206.3</v>
      </c>
      <c r="T44" s="129" t="n">
        <v>0.0124411916652316</v>
      </c>
      <c r="U44" s="129" t="n">
        <v>0.0121574007305347</v>
      </c>
      <c r="X44" s="130" t="n">
        <v>0.0425588083347684</v>
      </c>
      <c r="Y44" s="130" t="n">
        <v>0.0415880167641616</v>
      </c>
      <c r="Z44" s="129" t="n">
        <v>0.0225</v>
      </c>
      <c r="AA44" s="129" t="n">
        <v>0.0219867617023757</v>
      </c>
      <c r="AB44" s="130" t="n">
        <v>0.685</v>
      </c>
      <c r="AC44" s="130" t="n">
        <v>0.669374745161217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35.0165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4.722</v>
      </c>
      <c r="Q45" s="136"/>
      <c r="R45" s="136"/>
      <c r="S45" s="139" t="n">
        <v>206.1</v>
      </c>
      <c r="T45" s="129" t="n">
        <v>0.0124411916652316</v>
      </c>
      <c r="U45" s="129" t="n">
        <v>0.0121574007305347</v>
      </c>
      <c r="X45" s="130" t="n">
        <v>0.0575588083347684</v>
      </c>
      <c r="Y45" s="130" t="n">
        <v>0.0562458578990787</v>
      </c>
      <c r="Z45" s="129" t="n">
        <v>0.019</v>
      </c>
      <c r="AA45" s="129" t="n">
        <v>0.0185665987708951</v>
      </c>
      <c r="AB45" s="130" t="n">
        <v>1.1</v>
      </c>
      <c r="AC45" s="130" t="n">
        <v>1.07490834989393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0.06</v>
      </c>
      <c r="K9" s="32" t="s">
        <v>12</v>
      </c>
      <c r="L9" s="33" t="str">
        <f aca="false">IF(P9=M9,"+","-")</f>
        <v>-</v>
      </c>
      <c r="M9" s="32" t="s">
        <v>13</v>
      </c>
      <c r="N9" s="32" t="s">
        <v>14</v>
      </c>
      <c r="O9" s="34" t="str">
        <f aca="false">IF(ISBLANK(I9),"",IF(ISBLANK(J9),"",IF(P9=M10,L9&amp;N11,N11)))</f>
        <v>-0°0,06</v>
      </c>
      <c r="P9" s="31" t="s">
        <v>16</v>
      </c>
      <c r="Q9" s="35" t="n">
        <f aca="false">IF(ISBLANK(I9),"",IF(ISBLANK(J9),"",IF(J9&gt;60,"ERREUR !!",O11*(I9+(J9/60)))))</f>
        <v>-0.001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0.03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6°0,03</v>
      </c>
      <c r="P10" s="31" t="s">
        <v>14</v>
      </c>
      <c r="Q10" s="35" t="n">
        <f aca="false">IF(ISBLANK(I10),"",IF(ISBLANK(J10),"",IF(J10&gt;60,"ERREUR !!",O12*(I10+(J10/60)))))</f>
        <v>6.0005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37159</v>
      </c>
      <c r="K11" s="40"/>
      <c r="L11" s="40"/>
      <c r="M11" s="40"/>
      <c r="N11" s="41" t="str">
        <f aca="false">I9&amp;"°"&amp;J9</f>
        <v>0°0,06</v>
      </c>
      <c r="O11" s="42" t="n">
        <f aca="false">IF(P9=M10,-1,1)</f>
        <v>-1</v>
      </c>
      <c r="P11" s="43" t="str">
        <f aca="false">TEXT(J11,"aaaa-mm-jj")&amp;"T"&amp;TEXT(J12,"hh:mm:ss")&amp;"z"</f>
        <v>2005-09-26T23:00:00z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0.958333333333333</v>
      </c>
      <c r="K12" s="48"/>
      <c r="L12" s="48"/>
      <c r="M12" s="48"/>
      <c r="N12" s="49" t="str">
        <f aca="false">I10&amp;"°"&amp;J10</f>
        <v>6°0,03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34.6844</v>
      </c>
      <c r="H35" s="123" t="n">
        <v>2000</v>
      </c>
      <c r="I35" s="124" t="n">
        <v>1001</v>
      </c>
      <c r="J35" s="125"/>
      <c r="K35" s="126"/>
      <c r="L35" s="126"/>
      <c r="M35" s="126"/>
      <c r="N35" s="127"/>
      <c r="O35" s="126"/>
      <c r="P35" s="125" t="n">
        <v>3.717</v>
      </c>
      <c r="Q35" s="125"/>
      <c r="R35" s="125"/>
      <c r="S35" s="128" t="n">
        <v>161.6</v>
      </c>
      <c r="T35" s="129" t="n">
        <v>0.00383089374892371</v>
      </c>
      <c r="U35" s="129" t="n">
        <v>0.0037435087984314</v>
      </c>
      <c r="X35" s="130" t="n">
        <v>32.3361691062511</v>
      </c>
      <c r="Y35" s="130" t="n">
        <v>31.598561978083</v>
      </c>
      <c r="Z35" s="129" t="n">
        <v>2.149</v>
      </c>
      <c r="AA35" s="129" t="n">
        <v>2.09998003992913</v>
      </c>
      <c r="AB35" s="130" t="n">
        <v>32.43</v>
      </c>
      <c r="AC35" s="130" t="n">
        <v>31.6902525336909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35.1434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1.487</v>
      </c>
      <c r="Q36" s="136"/>
      <c r="R36" s="136"/>
      <c r="S36" s="139" t="n">
        <v>64.7</v>
      </c>
      <c r="T36" s="129" t="n">
        <v>0.00383089374892371</v>
      </c>
      <c r="U36" s="129" t="n">
        <v>0.0037435087984314</v>
      </c>
      <c r="X36" s="130" t="n">
        <v>30.2861691062511</v>
      </c>
      <c r="Y36" s="130" t="n">
        <v>29.5953236896443</v>
      </c>
      <c r="Z36" s="129" t="n">
        <v>1.883</v>
      </c>
      <c r="AA36" s="129" t="n">
        <v>1.8400476571366</v>
      </c>
      <c r="AB36" s="130" t="n">
        <v>13.46</v>
      </c>
      <c r="AC36" s="130" t="n">
        <v>13.1529694450657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35.6465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3.525</v>
      </c>
      <c r="Q37" s="136"/>
      <c r="R37" s="136"/>
      <c r="S37" s="139" t="n">
        <v>153.4</v>
      </c>
      <c r="T37" s="129" t="n">
        <v>0.0382720854141553</v>
      </c>
      <c r="U37" s="129" t="n">
        <v>0.0373990765268446</v>
      </c>
      <c r="X37" s="130" t="n">
        <v>13.9717279145858</v>
      </c>
      <c r="Y37" s="130" t="n">
        <v>13.6530245434858</v>
      </c>
      <c r="Z37" s="129" t="n">
        <v>1.005</v>
      </c>
      <c r="AA37" s="129" t="n">
        <v>0.98207535603945</v>
      </c>
      <c r="AB37" s="130" t="n">
        <v>5.93</v>
      </c>
      <c r="AC37" s="130" t="n">
        <v>5.79473319533725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35.704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3.675</v>
      </c>
      <c r="Q38" s="136"/>
      <c r="R38" s="136"/>
      <c r="S38" s="139" t="n">
        <v>160</v>
      </c>
      <c r="T38" s="129" t="n">
        <v>0.0468823833304632</v>
      </c>
      <c r="U38" s="129" t="n">
        <v>0.0458129684589479</v>
      </c>
      <c r="X38" s="130" t="n">
        <v>12.6331176166695</v>
      </c>
      <c r="Y38" s="130" t="n">
        <v>12.344948737591</v>
      </c>
      <c r="Z38" s="129" t="n">
        <v>0.921</v>
      </c>
      <c r="AA38" s="129" t="n">
        <v>0.899991445683914</v>
      </c>
      <c r="AB38" s="130" t="n">
        <v>5.29</v>
      </c>
      <c r="AC38" s="130" t="n">
        <v>5.16933197358079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35.8765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3.181</v>
      </c>
      <c r="Q39" s="136"/>
      <c r="R39" s="136"/>
      <c r="S39" s="139" t="n">
        <v>138.5</v>
      </c>
      <c r="T39" s="129" t="n">
        <v>0.606551747890477</v>
      </c>
      <c r="U39" s="129" t="n">
        <v>0.592715944045662</v>
      </c>
      <c r="X39" s="130" t="n">
        <v>11.8634482521095</v>
      </c>
      <c r="Y39" s="130" t="n">
        <v>11.5928359861155</v>
      </c>
      <c r="Z39" s="129" t="n">
        <v>0.913</v>
      </c>
      <c r="AA39" s="129" t="n">
        <v>0.892173930411958</v>
      </c>
      <c r="AB39" s="130" t="n">
        <v>4.34</v>
      </c>
      <c r="AC39" s="130" t="n">
        <v>4.24100203503603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35.8801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3.767</v>
      </c>
      <c r="Q40" s="136"/>
      <c r="R40" s="136"/>
      <c r="S40" s="139" t="n">
        <v>164.1</v>
      </c>
      <c r="T40" s="129" t="n">
        <v>0.873470983296022</v>
      </c>
      <c r="U40" s="129" t="n">
        <v>0.853546593940865</v>
      </c>
      <c r="X40" s="130" t="n">
        <v>7.46652901670398</v>
      </c>
      <c r="Y40" s="130" t="n">
        <v>7.29621307707308</v>
      </c>
      <c r="Z40" s="129" t="n">
        <v>0.659</v>
      </c>
      <c r="AA40" s="129" t="n">
        <v>0.643967820527361</v>
      </c>
      <c r="AB40" s="130" t="n">
        <v>3.23</v>
      </c>
      <c r="AC40" s="130" t="n">
        <v>3.15632179105216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35.886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4.136</v>
      </c>
      <c r="Q41" s="136"/>
      <c r="R41" s="136"/>
      <c r="S41" s="139" t="n">
        <v>180.2</v>
      </c>
      <c r="T41" s="129" t="n">
        <v>0.494617874978474</v>
      </c>
      <c r="U41" s="129" t="n">
        <v>0.48333534892832</v>
      </c>
      <c r="X41" s="130" t="n">
        <v>5.50538212502153</v>
      </c>
      <c r="Y41" s="130" t="n">
        <v>5.37980110503854</v>
      </c>
      <c r="Z41" s="129" t="n">
        <v>0.524</v>
      </c>
      <c r="AA41" s="129" t="n">
        <v>0.512047250313106</v>
      </c>
      <c r="AB41" s="130" t="n">
        <v>2.88</v>
      </c>
      <c r="AC41" s="130" t="n">
        <v>2.81430549790409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35.5726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4.75</v>
      </c>
      <c r="Q42" s="136"/>
      <c r="R42" s="136"/>
      <c r="S42" s="139" t="n">
        <v>207.2</v>
      </c>
      <c r="T42" s="129" t="n">
        <v>0</v>
      </c>
      <c r="U42" s="129" t="n">
        <v>0</v>
      </c>
      <c r="X42" s="130" t="n">
        <v>0.114779404167384</v>
      </c>
      <c r="Y42" s="130" t="n">
        <v>0.112161218123064</v>
      </c>
      <c r="Z42" s="129" t="n">
        <v>0.044</v>
      </c>
      <c r="AA42" s="129" t="n">
        <v>0.042996333995757</v>
      </c>
      <c r="AB42" s="130" t="n">
        <v>0.63</v>
      </c>
      <c r="AC42" s="130" t="n">
        <v>0.615629327666521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35.5243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4.752</v>
      </c>
      <c r="Q43" s="136"/>
      <c r="R43" s="136"/>
      <c r="S43" s="139" t="n">
        <v>207.3</v>
      </c>
      <c r="T43" s="129" t="n">
        <v>0</v>
      </c>
      <c r="U43" s="129" t="n">
        <v>0</v>
      </c>
      <c r="X43" s="130" t="n">
        <v>0.0847794041673842</v>
      </c>
      <c r="Y43" s="130" t="n">
        <v>0.0828455358532301</v>
      </c>
      <c r="Z43" s="129" t="n">
        <v>0.041</v>
      </c>
      <c r="AA43" s="129" t="n">
        <v>0.0400647657687736</v>
      </c>
      <c r="AB43" s="130" t="n">
        <v>0.68</v>
      </c>
      <c r="AC43" s="130" t="n">
        <v>0.664488798116245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35.5216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4.753</v>
      </c>
      <c r="Q44" s="136"/>
      <c r="R44" s="136"/>
      <c r="S44" s="139" t="n">
        <v>207.4</v>
      </c>
      <c r="T44" s="129" t="n">
        <v>0</v>
      </c>
      <c r="U44" s="129" t="n">
        <v>0</v>
      </c>
      <c r="X44" s="130" t="n">
        <v>0.0947794041673842</v>
      </c>
      <c r="Y44" s="130" t="n">
        <v>0.0926174299431749</v>
      </c>
      <c r="Z44" s="129" t="n">
        <v>0.041</v>
      </c>
      <c r="AA44" s="129" t="n">
        <v>0.0400647657687736</v>
      </c>
      <c r="AB44" s="130" t="n">
        <v>0.62</v>
      </c>
      <c r="AC44" s="130" t="n">
        <v>0.605857433576576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35.5213</v>
      </c>
      <c r="H45" s="124" t="n">
        <v>0</v>
      </c>
      <c r="I45" s="124" t="n">
        <v>0.6</v>
      </c>
      <c r="J45" s="136"/>
      <c r="K45" s="136"/>
      <c r="L45" s="136"/>
      <c r="M45" s="136"/>
      <c r="N45" s="136"/>
      <c r="O45" s="136"/>
      <c r="P45" s="136" t="n">
        <v>4.743</v>
      </c>
      <c r="Q45" s="136"/>
      <c r="R45" s="136"/>
      <c r="S45" s="139" t="n">
        <v>206.9</v>
      </c>
      <c r="T45" s="129" t="n">
        <v>0</v>
      </c>
      <c r="U45" s="129" t="n">
        <v>0</v>
      </c>
      <c r="X45" s="130" t="n">
        <v>0.0997794041673842</v>
      </c>
      <c r="Y45" s="130" t="n">
        <v>0.0975033769881473</v>
      </c>
      <c r="Z45" s="129" t="n">
        <v>0.0385</v>
      </c>
      <c r="AA45" s="129" t="n">
        <v>0.0376217922462874</v>
      </c>
      <c r="AB45" s="130" t="n">
        <v>0.67</v>
      </c>
      <c r="AC45" s="130" t="n">
        <v>0.6547169040263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29.97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0°29,97</v>
      </c>
      <c r="P9" s="31" t="s">
        <v>13</v>
      </c>
      <c r="Q9" s="35" t="n">
        <f aca="false">IF(ISBLANK(I9),"",IF(ISBLANK(J9),"",IF(J9&gt;60,"ERREUR !!",O11*(I9+(J9/60)))))</f>
        <v>0.4995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0.04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6°0,04</v>
      </c>
      <c r="P10" s="31" t="s">
        <v>14</v>
      </c>
      <c r="Q10" s="35" t="n">
        <f aca="false">IF(ISBLANK(I10),"",IF(ISBLANK(J10),"",IF(J10&gt;60,"ERREUR !!",O12*(I10+(J10/60)))))</f>
        <v>6.00066666666667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37160</v>
      </c>
      <c r="K11" s="40"/>
      <c r="L11" s="40"/>
      <c r="M11" s="40"/>
      <c r="N11" s="41" t="str">
        <f aca="false">I9&amp;"°"&amp;J9</f>
        <v>0°29,97</v>
      </c>
      <c r="O11" s="42" t="n">
        <f aca="false">IF(P9=M10,-1,1)</f>
        <v>1</v>
      </c>
      <c r="P11" s="43" t="str">
        <f aca="false">TEXT(J11,"aaaa-mm-jj")&amp;"T"&amp;TEXT(J12,"hh:mm:ss")&amp;"z"</f>
        <v>2005-09-27T03:15:00z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0.135416666666667</v>
      </c>
      <c r="K12" s="48"/>
      <c r="L12" s="48"/>
      <c r="M12" s="48"/>
      <c r="N12" s="49" t="str">
        <f aca="false">I10&amp;"°"&amp;J10</f>
        <v>6°0,04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34.6817</v>
      </c>
      <c r="H35" s="123" t="n">
        <v>2000</v>
      </c>
      <c r="I35" s="124" t="n">
        <v>1003</v>
      </c>
      <c r="J35" s="125"/>
      <c r="K35" s="126"/>
      <c r="L35" s="126"/>
      <c r="M35" s="126"/>
      <c r="N35" s="127"/>
      <c r="O35" s="126"/>
      <c r="P35" s="125" t="n">
        <v>3.706</v>
      </c>
      <c r="Q35" s="125"/>
      <c r="R35" s="125"/>
      <c r="S35" s="128" t="n">
        <v>161.1</v>
      </c>
      <c r="T35" s="129" t="n">
        <v>0.0124411916652316</v>
      </c>
      <c r="U35" s="129" t="n">
        <v>0.0121574007305347</v>
      </c>
      <c r="X35" s="130" t="n">
        <v>32.2575588083348</v>
      </c>
      <c r="Y35" s="130" t="n">
        <v>31.5217448275213</v>
      </c>
      <c r="Z35" s="129" t="n">
        <v>2.124</v>
      </c>
      <c r="AA35" s="129" t="n">
        <v>2.07555030470427</v>
      </c>
      <c r="AB35" s="130" t="n">
        <v>32.18</v>
      </c>
      <c r="AC35" s="130" t="n">
        <v>31.4459551814423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35.0992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1.548</v>
      </c>
      <c r="Q36" s="136"/>
      <c r="R36" s="136"/>
      <c r="S36" s="139" t="n">
        <v>67.3</v>
      </c>
      <c r="T36" s="129" t="n">
        <v>0.0210514895815395</v>
      </c>
      <c r="U36" s="129" t="n">
        <v>0.020571292662638</v>
      </c>
      <c r="X36" s="130" t="n">
        <v>30.6389485104185</v>
      </c>
      <c r="Y36" s="130" t="n">
        <v>29.940055987108</v>
      </c>
      <c r="Z36" s="129" t="n">
        <v>1.908</v>
      </c>
      <c r="AA36" s="129" t="n">
        <v>1.86447739236146</v>
      </c>
      <c r="AB36" s="130" t="n">
        <v>13.81</v>
      </c>
      <c r="AC36" s="130" t="n">
        <v>13.4949857382137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35.5881</v>
      </c>
      <c r="H37" s="124" t="n">
        <v>160</v>
      </c>
      <c r="I37" s="124" t="n">
        <v>159</v>
      </c>
      <c r="J37" s="136"/>
      <c r="K37" s="137"/>
      <c r="L37" s="137"/>
      <c r="M37" s="137"/>
      <c r="N37" s="138"/>
      <c r="O37" s="137"/>
      <c r="P37" s="136" t="n">
        <v>3.424</v>
      </c>
      <c r="Q37" s="136"/>
      <c r="R37" s="136"/>
      <c r="S37" s="139" t="n">
        <v>149</v>
      </c>
      <c r="T37" s="129" t="n">
        <v>0.0296617874978474</v>
      </c>
      <c r="U37" s="129" t="n">
        <v>0.0289851845947413</v>
      </c>
      <c r="X37" s="130" t="n">
        <v>14.8703382125022</v>
      </c>
      <c r="Y37" s="130" t="n">
        <v>14.531137009423</v>
      </c>
      <c r="Z37" s="129" t="n">
        <v>1.033</v>
      </c>
      <c r="AA37" s="129" t="n">
        <v>1.0094366594913</v>
      </c>
      <c r="AB37" s="130" t="n">
        <v>6</v>
      </c>
      <c r="AC37" s="130" t="n">
        <v>5.86313645396686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35.716</v>
      </c>
      <c r="H38" s="124" t="n">
        <v>130</v>
      </c>
      <c r="I38" s="124" t="n">
        <v>129</v>
      </c>
      <c r="J38" s="136"/>
      <c r="K38" s="137"/>
      <c r="L38" s="137"/>
      <c r="M38" s="137"/>
      <c r="N38" s="138"/>
      <c r="O38" s="137"/>
      <c r="P38" s="136" t="n">
        <v>3.566</v>
      </c>
      <c r="Q38" s="136"/>
      <c r="R38" s="136"/>
      <c r="S38" s="139" t="n">
        <v>155.2</v>
      </c>
      <c r="T38" s="129" t="n">
        <v>0.0641029791630791</v>
      </c>
      <c r="U38" s="129" t="n">
        <v>0.0626407523231545</v>
      </c>
      <c r="X38" s="130" t="n">
        <v>12.9058970208369</v>
      </c>
      <c r="Y38" s="130" t="n">
        <v>12.6115058823352</v>
      </c>
      <c r="Z38" s="129" t="n">
        <v>0.93</v>
      </c>
      <c r="AA38" s="129" t="n">
        <v>0.908786150364864</v>
      </c>
      <c r="AB38" s="130" t="n">
        <v>5.27</v>
      </c>
      <c r="AC38" s="130" t="n">
        <v>5.1497881854009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35.88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3.363</v>
      </c>
      <c r="Q39" s="136"/>
      <c r="R39" s="136"/>
      <c r="S39" s="139" t="n">
        <v>146.4</v>
      </c>
      <c r="T39" s="129" t="n">
        <v>0.150205958326158</v>
      </c>
      <c r="U39" s="129" t="n">
        <v>0.146779671644188</v>
      </c>
      <c r="X39" s="130" t="n">
        <v>12.0597940416738</v>
      </c>
      <c r="Y39" s="130" t="n">
        <v>11.7847030121784</v>
      </c>
      <c r="Z39" s="129" t="n">
        <v>0.878</v>
      </c>
      <c r="AA39" s="129" t="n">
        <v>0.857972301097151</v>
      </c>
      <c r="AB39" s="130" t="n">
        <v>4.49</v>
      </c>
      <c r="AC39" s="130" t="n">
        <v>4.3875804463852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35.9406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3.753</v>
      </c>
      <c r="Q40" s="136"/>
      <c r="R40" s="136"/>
      <c r="S40" s="139" t="n">
        <v>163.5</v>
      </c>
      <c r="T40" s="129" t="n">
        <v>0.391294299982779</v>
      </c>
      <c r="U40" s="129" t="n">
        <v>0.38236864574308</v>
      </c>
      <c r="X40" s="130" t="n">
        <v>7.94870570001722</v>
      </c>
      <c r="Y40" s="130" t="n">
        <v>7.76739102527086</v>
      </c>
      <c r="Z40" s="129" t="n">
        <v>0.648</v>
      </c>
      <c r="AA40" s="129" t="n">
        <v>0.633218737028421</v>
      </c>
      <c r="AB40" s="130" t="n">
        <v>3.18</v>
      </c>
      <c r="AC40" s="130" t="n">
        <v>3.10746232060244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35.7185</v>
      </c>
      <c r="H41" s="124" t="n">
        <v>60</v>
      </c>
      <c r="I41" s="124" t="n">
        <v>61</v>
      </c>
      <c r="J41" s="136"/>
      <c r="K41" s="137"/>
      <c r="L41" s="137"/>
      <c r="M41" s="137"/>
      <c r="N41" s="138"/>
      <c r="O41" s="137"/>
      <c r="P41" s="136" t="n">
        <v>4.331</v>
      </c>
      <c r="Q41" s="136"/>
      <c r="R41" s="136"/>
      <c r="S41" s="139" t="n">
        <v>188.8</v>
      </c>
      <c r="T41" s="129" t="n">
        <v>0.3051913208197</v>
      </c>
      <c r="U41" s="129" t="n">
        <v>0.298229726422047</v>
      </c>
      <c r="X41" s="130" t="n">
        <v>3.2848086791803</v>
      </c>
      <c r="Y41" s="130" t="n">
        <v>3.20988025186813</v>
      </c>
      <c r="Z41" s="129" t="n">
        <v>0.318</v>
      </c>
      <c r="AA41" s="129" t="n">
        <v>0.310746232060244</v>
      </c>
      <c r="AB41" s="130" t="n">
        <v>1.73</v>
      </c>
      <c r="AC41" s="130" t="n">
        <v>1.69053767756045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35.5081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4.735</v>
      </c>
      <c r="Q42" s="136"/>
      <c r="R42" s="136"/>
      <c r="S42" s="139" t="n">
        <v>206.6</v>
      </c>
      <c r="T42" s="129" t="n">
        <v>0.0296617874978474</v>
      </c>
      <c r="U42" s="129" t="n">
        <v>0.0289851845947413</v>
      </c>
      <c r="X42" s="130" t="n">
        <v>0.0603382125021526</v>
      </c>
      <c r="Y42" s="130" t="n">
        <v>0.0589618622147617</v>
      </c>
      <c r="Z42" s="129" t="n">
        <v>0.018</v>
      </c>
      <c r="AA42" s="129" t="n">
        <v>0.0175894093619006</v>
      </c>
      <c r="AB42" s="130" t="n">
        <v>0.43</v>
      </c>
      <c r="AC42" s="130" t="n">
        <v>0.420191445867625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35.5091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4.757</v>
      </c>
      <c r="Q43" s="136"/>
      <c r="R43" s="136"/>
      <c r="S43" s="139" t="n">
        <v>207.5</v>
      </c>
      <c r="T43" s="129" t="n">
        <v>0.0296617874978474</v>
      </c>
      <c r="U43" s="129" t="n">
        <v>0.0289851845947413</v>
      </c>
      <c r="X43" s="130" t="n">
        <v>0.0503382125021526</v>
      </c>
      <c r="Y43" s="130" t="n">
        <v>0.0491899681248169</v>
      </c>
      <c r="Z43" s="129" t="n">
        <v>0.00599999999999999</v>
      </c>
      <c r="AA43" s="129" t="n">
        <v>0.00586313645396686</v>
      </c>
      <c r="AB43" s="130" t="n">
        <v>0.49</v>
      </c>
      <c r="AC43" s="130" t="n">
        <v>0.478822810407294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35.5089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4.725</v>
      </c>
      <c r="Q44" s="136"/>
      <c r="R44" s="136"/>
      <c r="S44" s="139" t="n">
        <v>206.1</v>
      </c>
      <c r="T44" s="129" t="n">
        <v>0.0210514895815395</v>
      </c>
      <c r="U44" s="129" t="n">
        <v>0.020571292662638</v>
      </c>
      <c r="X44" s="130" t="n">
        <v>0.0889485104184605</v>
      </c>
      <c r="Y44" s="130" t="n">
        <v>0.0869195423267545</v>
      </c>
      <c r="Z44" s="129" t="n">
        <v>0.022</v>
      </c>
      <c r="AA44" s="129" t="n">
        <v>0.0214981669978785</v>
      </c>
      <c r="AB44" s="130" t="n">
        <v>0.46</v>
      </c>
      <c r="AC44" s="130" t="n">
        <v>0.44950712813746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76" t="n">
        <v>35.5073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4.735</v>
      </c>
      <c r="Q45" s="136"/>
      <c r="R45" s="136"/>
      <c r="S45" s="139" t="n">
        <v>206.6</v>
      </c>
      <c r="T45" s="129" t="n">
        <v>0.0124411916652316</v>
      </c>
      <c r="U45" s="129" t="n">
        <v>0.0121574007305347</v>
      </c>
      <c r="X45" s="130" t="n">
        <v>0.0825588083347684</v>
      </c>
      <c r="Y45" s="130" t="n">
        <v>0.0806755931239407</v>
      </c>
      <c r="Z45" s="129" t="n">
        <v>0.016</v>
      </c>
      <c r="AA45" s="129" t="n">
        <v>0.0156350305439116</v>
      </c>
      <c r="AB45" s="130" t="n">
        <v>0.475</v>
      </c>
      <c r="AC45" s="130" t="n">
        <v>0.464164969272377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0</v>
      </c>
      <c r="J9" s="31" t="n">
        <v>59.94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0°59,94</v>
      </c>
      <c r="P9" s="31" t="s">
        <v>13</v>
      </c>
      <c r="Q9" s="35" t="n">
        <f aca="false">IF(ISBLANK(I9),"",IF(ISBLANK(J9),"",IF(J9&gt;60,"ERREUR !!",O11*(I9+(J9/60)))))</f>
        <v>0.999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0.01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6°0,01</v>
      </c>
      <c r="P10" s="31" t="s">
        <v>14</v>
      </c>
      <c r="Q10" s="35" t="n">
        <f aca="false">IF(ISBLANK(I10),"",IF(ISBLANK(J10),"",IF(J10&gt;60,"ERREUR !!",O12*(I10+(J10/60)))))</f>
        <v>6.00016666666667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37160</v>
      </c>
      <c r="K11" s="40"/>
      <c r="L11" s="40"/>
      <c r="M11" s="40"/>
      <c r="N11" s="41" t="str">
        <f aca="false">I9&amp;"°"&amp;J9</f>
        <v>0°59,94</v>
      </c>
      <c r="O11" s="42" t="n">
        <f aca="false">IF(P9=M10,-1,1)</f>
        <v>1</v>
      </c>
      <c r="P11" s="43" t="str">
        <f aca="false">TEXT(J11,"aaaa-mm-jj")&amp;"T"&amp;TEXT(J12,"hh:mm:ss")&amp;"z"</f>
        <v>2005-09-27T07:35:00z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0.315972222222222</v>
      </c>
      <c r="K12" s="48"/>
      <c r="L12" s="48"/>
      <c r="M12" s="48"/>
      <c r="N12" s="49" t="str">
        <f aca="false">I10&amp;"°"&amp;J10</f>
        <v>6°0,01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76" t="n">
        <v>34.677</v>
      </c>
      <c r="H35" s="123" t="n">
        <v>2000</v>
      </c>
      <c r="I35" s="124" t="n">
        <v>1000</v>
      </c>
      <c r="J35" s="125"/>
      <c r="K35" s="126"/>
      <c r="L35" s="126"/>
      <c r="M35" s="126"/>
      <c r="N35" s="127"/>
      <c r="O35" s="126"/>
      <c r="P35" s="125" t="n">
        <v>3.73</v>
      </c>
      <c r="Q35" s="125"/>
      <c r="R35" s="125"/>
      <c r="S35" s="128" t="n">
        <v>162.2</v>
      </c>
      <c r="T35" s="129" t="n">
        <v>0</v>
      </c>
      <c r="U35" s="129" t="n">
        <v>0</v>
      </c>
      <c r="X35" s="130" t="n">
        <v>32.5747794041674</v>
      </c>
      <c r="Y35" s="130" t="n">
        <v>31.8317294340838</v>
      </c>
      <c r="Z35" s="129" t="n">
        <v>2.156</v>
      </c>
      <c r="AA35" s="129" t="n">
        <v>2.10682036579209</v>
      </c>
      <c r="AB35" s="130" t="n">
        <v>32.675</v>
      </c>
      <c r="AC35" s="130" t="n">
        <v>31.9296639388946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35.1111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1.623</v>
      </c>
      <c r="Q36" s="136"/>
      <c r="R36" s="136"/>
      <c r="S36" s="139" t="n">
        <v>70.6</v>
      </c>
      <c r="T36" s="129" t="n">
        <v>0</v>
      </c>
      <c r="U36" s="129" t="n">
        <v>0</v>
      </c>
      <c r="X36" s="130" t="n">
        <v>29.9147794041674</v>
      </c>
      <c r="Y36" s="130" t="n">
        <v>29.2324056061585</v>
      </c>
      <c r="Z36" s="129" t="n">
        <v>1.861</v>
      </c>
      <c r="AA36" s="129" t="n">
        <v>1.81854949013872</v>
      </c>
      <c r="AB36" s="130" t="n">
        <v>13.28</v>
      </c>
      <c r="AC36" s="130" t="n">
        <v>12.9770753514467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35.5653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3.231</v>
      </c>
      <c r="Q37" s="136"/>
      <c r="R37" s="136"/>
      <c r="S37" s="139" t="n">
        <v>140.6</v>
      </c>
      <c r="T37" s="129" t="n">
        <v>0.0210514895815395</v>
      </c>
      <c r="U37" s="129" t="n">
        <v>0.020571292662638</v>
      </c>
      <c r="X37" s="130" t="n">
        <v>16.0989485104185</v>
      </c>
      <c r="Y37" s="130" t="n">
        <v>15.7317219803283</v>
      </c>
      <c r="Z37" s="129" t="n">
        <v>1.102</v>
      </c>
      <c r="AA37" s="129" t="n">
        <v>1.07686272871191</v>
      </c>
      <c r="AB37" s="130" t="n">
        <v>6.5</v>
      </c>
      <c r="AC37" s="130" t="n">
        <v>6.3517311584641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35.6065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3.405</v>
      </c>
      <c r="Q38" s="136"/>
      <c r="R38" s="136"/>
      <c r="S38" s="139" t="n">
        <v>148.2</v>
      </c>
      <c r="T38" s="129" t="n">
        <v>0.0296617874978474</v>
      </c>
      <c r="U38" s="129" t="n">
        <v>0.0289851845947413</v>
      </c>
      <c r="X38" s="130" t="n">
        <v>14.6403382125022</v>
      </c>
      <c r="Y38" s="130" t="n">
        <v>14.3063834453542</v>
      </c>
      <c r="Z38" s="129" t="n">
        <v>1.021</v>
      </c>
      <c r="AA38" s="129" t="n">
        <v>0.997710386583361</v>
      </c>
      <c r="AB38" s="130" t="n">
        <v>5.92</v>
      </c>
      <c r="AC38" s="130" t="n">
        <v>5.78496130124731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35.7907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3.224</v>
      </c>
      <c r="Q39" s="136"/>
      <c r="R39" s="136"/>
      <c r="S39" s="139" t="n">
        <v>140.4</v>
      </c>
      <c r="T39" s="129" t="n">
        <v>0.3051913208197</v>
      </c>
      <c r="U39" s="129" t="n">
        <v>0.298229726422047</v>
      </c>
      <c r="X39" s="130" t="n">
        <v>13.0048086791803</v>
      </c>
      <c r="Y39" s="130" t="n">
        <v>12.7081613072944</v>
      </c>
      <c r="Z39" s="129" t="n">
        <v>0.938</v>
      </c>
      <c r="AA39" s="129" t="n">
        <v>0.91660366563682</v>
      </c>
      <c r="AB39" s="130" t="n">
        <v>5.04</v>
      </c>
      <c r="AC39" s="130" t="n">
        <v>4.92503462133217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35.8906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3.842</v>
      </c>
      <c r="Q40" s="136"/>
      <c r="R40" s="136"/>
      <c r="S40" s="139" t="n">
        <v>167.4</v>
      </c>
      <c r="T40" s="129" t="n">
        <v>0.374073704150164</v>
      </c>
      <c r="U40" s="129" t="n">
        <v>0.365540861878873</v>
      </c>
      <c r="X40" s="130" t="n">
        <v>7.43592629584984</v>
      </c>
      <c r="Y40" s="130" t="n">
        <v>7.266308422368</v>
      </c>
      <c r="Z40" s="129" t="n">
        <v>0.603</v>
      </c>
      <c r="AA40" s="129" t="n">
        <v>0.58924521362367</v>
      </c>
      <c r="AB40" s="130" t="n">
        <v>3.14</v>
      </c>
      <c r="AC40" s="130" t="n">
        <v>3.06837474424266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35.5538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4.594</v>
      </c>
      <c r="Q41" s="136"/>
      <c r="R41" s="136"/>
      <c r="S41" s="139" t="n">
        <v>200.4</v>
      </c>
      <c r="T41" s="129" t="n">
        <v>0.0813235749956948</v>
      </c>
      <c r="U41" s="129" t="n">
        <v>0.0794685361873611</v>
      </c>
      <c r="X41" s="130" t="n">
        <v>0.998676425004305</v>
      </c>
      <c r="Y41" s="130" t="n">
        <v>0.975896025526674</v>
      </c>
      <c r="Z41" s="129" t="n">
        <v>0.116</v>
      </c>
      <c r="AA41" s="129" t="n">
        <v>0.113353971443359</v>
      </c>
      <c r="AB41" s="130" t="n">
        <v>0.87</v>
      </c>
      <c r="AC41" s="130" t="n">
        <v>0.850154785825195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35.4536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4.761</v>
      </c>
      <c r="Q42" s="136"/>
      <c r="R42" s="136"/>
      <c r="S42" s="139" t="n">
        <v>207.7</v>
      </c>
      <c r="T42" s="129" t="n">
        <v>0.0124411916652316</v>
      </c>
      <c r="U42" s="129" t="n">
        <v>0.0121574007305347</v>
      </c>
      <c r="X42" s="130" t="n">
        <v>0.127558808334768</v>
      </c>
      <c r="Y42" s="130" t="n">
        <v>0.124649116528692</v>
      </c>
      <c r="Z42" s="129" t="n">
        <v>0.016</v>
      </c>
      <c r="AA42" s="129" t="n">
        <v>0.0156350305439116</v>
      </c>
      <c r="AB42" s="130" t="n">
        <v>0.36</v>
      </c>
      <c r="AC42" s="130" t="n">
        <v>0.351788187238012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35.4512</v>
      </c>
      <c r="H43" s="124" t="n">
        <v>20</v>
      </c>
      <c r="I43" s="124" t="n">
        <v>19</v>
      </c>
      <c r="J43" s="136"/>
      <c r="K43" s="136"/>
      <c r="L43" s="136"/>
      <c r="M43" s="136"/>
      <c r="N43" s="136"/>
      <c r="O43" s="136"/>
      <c r="P43" s="136" t="n">
        <v>4.75</v>
      </c>
      <c r="Q43" s="136"/>
      <c r="R43" s="136"/>
      <c r="S43" s="139" t="n">
        <v>207.3</v>
      </c>
      <c r="T43" s="129" t="n">
        <v>0.00383089374892371</v>
      </c>
      <c r="U43" s="129" t="n">
        <v>0.0037435087984314</v>
      </c>
      <c r="X43" s="130" t="n">
        <v>0.126169106251076</v>
      </c>
      <c r="Y43" s="130" t="n">
        <v>0.123291114370851</v>
      </c>
      <c r="Z43" s="129" t="n">
        <v>0.022</v>
      </c>
      <c r="AA43" s="129" t="n">
        <v>0.0214981669978785</v>
      </c>
      <c r="AB43" s="130" t="n">
        <v>0.38</v>
      </c>
      <c r="AC43" s="130" t="n">
        <v>0.371331975417901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35.451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4.726</v>
      </c>
      <c r="Q44" s="136"/>
      <c r="R44" s="136"/>
      <c r="S44" s="139" t="n">
        <v>206.2</v>
      </c>
      <c r="T44" s="129" t="n">
        <v>0.0124411916652316</v>
      </c>
      <c r="U44" s="129" t="n">
        <v>0.0121574007305347</v>
      </c>
      <c r="X44" s="130" t="n">
        <v>0.0875588083347684</v>
      </c>
      <c r="Y44" s="130" t="n">
        <v>0.0855615401689131</v>
      </c>
      <c r="Z44" s="129" t="n">
        <v>0.023</v>
      </c>
      <c r="AA44" s="129" t="n">
        <v>0.022475356406873</v>
      </c>
      <c r="AB44" s="130" t="n">
        <v>0.4</v>
      </c>
      <c r="AC44" s="130" t="n">
        <v>0.390875763597791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35.451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4.736</v>
      </c>
      <c r="Q45" s="136"/>
      <c r="R45" s="136"/>
      <c r="S45" s="139" t="n">
        <v>206.7</v>
      </c>
      <c r="T45" s="129" t="n">
        <v>0.0296617874978474</v>
      </c>
      <c r="U45" s="129" t="n">
        <v>0.0289851845947413</v>
      </c>
      <c r="X45" s="130" t="n">
        <v>0.0903382125021526</v>
      </c>
      <c r="Y45" s="130" t="n">
        <v>0.088277544484596</v>
      </c>
      <c r="Z45" s="129" t="n">
        <v>0.083</v>
      </c>
      <c r="AA45" s="129" t="n">
        <v>0.0811067209465416</v>
      </c>
      <c r="AB45" s="130" t="n">
        <v>0.48</v>
      </c>
      <c r="AC45" s="130" t="n">
        <v>0.469050916317349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37160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1</v>
      </c>
      <c r="J9" s="31" t="n">
        <v>30.25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1°30,25</v>
      </c>
      <c r="P9" s="31" t="s">
        <v>13</v>
      </c>
      <c r="Q9" s="35" t="n">
        <f aca="false">IF(ISBLANK(I9),"",IF(ISBLANK(J9),"",IF(J9&gt;60,"ERREUR !!",O11*(I9+(J9/60)))))</f>
        <v>1.50416666666667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59.8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5°59,8</v>
      </c>
      <c r="P10" s="31" t="s">
        <v>14</v>
      </c>
      <c r="Q10" s="35" t="n">
        <f aca="false">IF(ISBLANK(I10),"",IF(ISBLANK(J10),"",IF(J10&gt;60,"ERREUR !!",O12*(I10+(J10/60)))))</f>
        <v>5.99666666666667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37160</v>
      </c>
      <c r="K11" s="40"/>
      <c r="L11" s="40"/>
      <c r="M11" s="40"/>
      <c r="N11" s="41" t="str">
        <f aca="false">I9&amp;"°"&amp;J9</f>
        <v>1°30,25</v>
      </c>
      <c r="O11" s="42" t="n">
        <f aca="false">IF(P9=M10,-1,1)</f>
        <v>1</v>
      </c>
      <c r="P11" s="43" t="str">
        <f aca="false">TEXT(J11,"aaaa-mm-jj")&amp;"T"&amp;TEXT(J12,"hh:mm:ss")&amp;"z"</f>
        <v>2005-09-27T12:00:00z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0.5</v>
      </c>
      <c r="K12" s="48"/>
      <c r="L12" s="48"/>
      <c r="M12" s="48"/>
      <c r="N12" s="49" t="str">
        <f aca="false">I10&amp;"°"&amp;J10</f>
        <v>5°59,8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34.6558</v>
      </c>
      <c r="H35" s="123" t="n">
        <v>2000</v>
      </c>
      <c r="I35" s="124" t="n">
        <v>1001.5</v>
      </c>
      <c r="J35" s="125"/>
      <c r="K35" s="126"/>
      <c r="L35" s="126"/>
      <c r="M35" s="126"/>
      <c r="N35" s="127"/>
      <c r="O35" s="126"/>
      <c r="P35" s="125" t="n">
        <v>3.601</v>
      </c>
      <c r="Q35" s="125"/>
      <c r="R35" s="125"/>
      <c r="S35" s="128" t="n">
        <v>156.5</v>
      </c>
      <c r="T35" s="129" t="n">
        <v>0.00383089374892371</v>
      </c>
      <c r="U35" s="129" t="n">
        <v>0.0037435087984314</v>
      </c>
      <c r="X35" s="130" t="n">
        <v>33.2961691062511</v>
      </c>
      <c r="Y35" s="130" t="n">
        <v>32.5366638107177</v>
      </c>
      <c r="Z35" s="129" t="n">
        <v>2.208</v>
      </c>
      <c r="AA35" s="129" t="n">
        <v>2.15763421505981</v>
      </c>
      <c r="AB35" s="130" t="n">
        <v>33.59</v>
      </c>
      <c r="AC35" s="130" t="n">
        <v>32.8237922481245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76" t="n">
        <v>35.1065</v>
      </c>
      <c r="H36" s="124" t="n">
        <v>300</v>
      </c>
      <c r="I36" s="124" t="n">
        <v>298</v>
      </c>
      <c r="J36" s="136"/>
      <c r="K36" s="137"/>
      <c r="L36" s="137"/>
      <c r="M36" s="137"/>
      <c r="N36" s="138"/>
      <c r="O36" s="137"/>
      <c r="P36" s="136" t="n">
        <v>1.606</v>
      </c>
      <c r="Q36" s="136"/>
      <c r="R36" s="136"/>
      <c r="S36" s="139" t="n">
        <v>69.9</v>
      </c>
      <c r="T36" s="129" t="n">
        <v>0.0124411916652316</v>
      </c>
      <c r="U36" s="129" t="n">
        <v>0.0121574007305347</v>
      </c>
      <c r="X36" s="130" t="n">
        <v>30.3375588083348</v>
      </c>
      <c r="Y36" s="130" t="n">
        <v>29.6455411622519</v>
      </c>
      <c r="Z36" s="129" t="n">
        <v>1.8755</v>
      </c>
      <c r="AA36" s="129" t="n">
        <v>1.83271873656914</v>
      </c>
      <c r="AB36" s="130" t="n">
        <v>13.725</v>
      </c>
      <c r="AC36" s="130" t="n">
        <v>13.4119246384492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35.5509</v>
      </c>
      <c r="H37" s="124" t="n">
        <v>160</v>
      </c>
      <c r="I37" s="124" t="n">
        <v>161</v>
      </c>
      <c r="J37" s="136"/>
      <c r="K37" s="137"/>
      <c r="L37" s="137"/>
      <c r="M37" s="137"/>
      <c r="N37" s="138"/>
      <c r="O37" s="137"/>
      <c r="P37" s="136" t="n">
        <v>3.005</v>
      </c>
      <c r="Q37" s="136"/>
      <c r="R37" s="136"/>
      <c r="S37" s="139" t="n">
        <v>130.8</v>
      </c>
      <c r="T37" s="129" t="n">
        <v>0.0124411916652316</v>
      </c>
      <c r="U37" s="129" t="n">
        <v>0.0121574007305347</v>
      </c>
      <c r="X37" s="130" t="n">
        <v>16.9275588083348</v>
      </c>
      <c r="Y37" s="130" t="n">
        <v>16.5414311876359</v>
      </c>
      <c r="Z37" s="129" t="n">
        <v>1.143</v>
      </c>
      <c r="AA37" s="129" t="n">
        <v>1.11692749448069</v>
      </c>
      <c r="AB37" s="130" t="n">
        <v>6.83</v>
      </c>
      <c r="AC37" s="130" t="n">
        <v>6.67420366343228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35.5915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3.356</v>
      </c>
      <c r="Q38" s="136"/>
      <c r="R38" s="136"/>
      <c r="S38" s="139" t="n">
        <v>146.1</v>
      </c>
      <c r="T38" s="129" t="n">
        <v>0.0124411916652316</v>
      </c>
      <c r="U38" s="129" t="n">
        <v>0.0121574007305347</v>
      </c>
      <c r="X38" s="130" t="n">
        <v>15.3275588083348</v>
      </c>
      <c r="Y38" s="130" t="n">
        <v>14.9779281332448</v>
      </c>
      <c r="Z38" s="129" t="n">
        <v>1.055</v>
      </c>
      <c r="AA38" s="129" t="n">
        <v>1.03093482648917</v>
      </c>
      <c r="AB38" s="130" t="n">
        <v>6.15</v>
      </c>
      <c r="AC38" s="130" t="n">
        <v>6.00971486531604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35.7152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3.269</v>
      </c>
      <c r="Q39" s="136"/>
      <c r="R39" s="136"/>
      <c r="S39" s="139" t="n">
        <v>142.3</v>
      </c>
      <c r="T39" s="129" t="n">
        <v>0.219088341656621</v>
      </c>
      <c r="U39" s="129" t="n">
        <v>0.214090807101014</v>
      </c>
      <c r="X39" s="130" t="n">
        <v>13.9909116583434</v>
      </c>
      <c r="Y39" s="130" t="n">
        <v>13.6717706947105</v>
      </c>
      <c r="Z39" s="129" t="n">
        <v>0.991</v>
      </c>
      <c r="AA39" s="129" t="n">
        <v>0.968394704313527</v>
      </c>
      <c r="AB39" s="130" t="n">
        <v>5.34</v>
      </c>
      <c r="AC39" s="130" t="n">
        <v>5.21819144403051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35.8224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3.929</v>
      </c>
      <c r="Q40" s="136"/>
      <c r="R40" s="136"/>
      <c r="S40" s="139" t="n">
        <v>171.1</v>
      </c>
      <c r="T40" s="129" t="n">
        <v>0.339632512484932</v>
      </c>
      <c r="U40" s="129" t="n">
        <v>0.33188529415046</v>
      </c>
      <c r="X40" s="130" t="n">
        <v>7.29036748751507</v>
      </c>
      <c r="Y40" s="130" t="n">
        <v>7.1240698964774</v>
      </c>
      <c r="Z40" s="129" t="n">
        <v>0.6</v>
      </c>
      <c r="AA40" s="129" t="n">
        <v>0.586313645396686</v>
      </c>
      <c r="AB40" s="130" t="n">
        <v>3.31</v>
      </c>
      <c r="AC40" s="130" t="n">
        <v>3.23449694377172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35.5651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4.532</v>
      </c>
      <c r="Q41" s="136"/>
      <c r="R41" s="136"/>
      <c r="S41" s="139" t="n">
        <v>197.7</v>
      </c>
      <c r="T41" s="129" t="n">
        <v>0.0985441708283107</v>
      </c>
      <c r="U41" s="129" t="n">
        <v>0.0962963200515677</v>
      </c>
      <c r="X41" s="130" t="n">
        <v>1.86145582917169</v>
      </c>
      <c r="Y41" s="130" t="n">
        <v>1.81899492157761</v>
      </c>
      <c r="Z41" s="129" t="n">
        <v>0.205</v>
      </c>
      <c r="AA41" s="129" t="n">
        <v>0.200323828843868</v>
      </c>
      <c r="AB41" s="130" t="n">
        <v>1.25</v>
      </c>
      <c r="AC41" s="130" t="n">
        <v>1.2214867612431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35.4354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4.777</v>
      </c>
      <c r="Q42" s="136"/>
      <c r="R42" s="136"/>
      <c r="S42" s="139" t="n">
        <v>208.5</v>
      </c>
      <c r="T42" s="129" t="n">
        <v>0</v>
      </c>
      <c r="U42" s="129" t="n">
        <v>0</v>
      </c>
      <c r="X42" s="130" t="n">
        <v>0.0947794041673842</v>
      </c>
      <c r="Y42" s="130" t="n">
        <v>0.0926174299431749</v>
      </c>
      <c r="Z42" s="129" t="n">
        <v>0.028</v>
      </c>
      <c r="AA42" s="129" t="n">
        <v>0.0273613034518454</v>
      </c>
      <c r="AB42" s="130" t="n">
        <v>0.37</v>
      </c>
      <c r="AC42" s="130" t="n">
        <v>0.361560081327957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35.3037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4.635</v>
      </c>
      <c r="Q43" s="136"/>
      <c r="R43" s="136"/>
      <c r="S43" s="139" t="n">
        <v>202.3</v>
      </c>
      <c r="T43" s="129" t="n">
        <v>0.0124411916652316</v>
      </c>
      <c r="U43" s="129" t="n">
        <v>0.0121574007305347</v>
      </c>
      <c r="X43" s="130" t="n">
        <v>0.0575588083347684</v>
      </c>
      <c r="Y43" s="130" t="n">
        <v>0.0562458578990787</v>
      </c>
      <c r="Z43" s="129" t="n">
        <v>0.031</v>
      </c>
      <c r="AA43" s="129" t="n">
        <v>0.0302928716788288</v>
      </c>
      <c r="AB43" s="130" t="n">
        <v>0.57</v>
      </c>
      <c r="AC43" s="130" t="n">
        <v>0.556997963126852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35.2923</v>
      </c>
      <c r="H44" s="124" t="n">
        <v>10</v>
      </c>
      <c r="I44" s="124" t="n">
        <v>9</v>
      </c>
      <c r="J44" s="136"/>
      <c r="K44" s="136"/>
      <c r="L44" s="136"/>
      <c r="M44" s="136"/>
      <c r="N44" s="136"/>
      <c r="O44" s="136"/>
      <c r="P44" s="136" t="n">
        <v>4.765</v>
      </c>
      <c r="Q44" s="136"/>
      <c r="R44" s="136"/>
      <c r="S44" s="139" t="n">
        <v>208</v>
      </c>
      <c r="T44" s="129" t="n">
        <v>0</v>
      </c>
      <c r="U44" s="129" t="n">
        <v>0</v>
      </c>
      <c r="X44" s="130" t="n">
        <v>0.0647794041673842</v>
      </c>
      <c r="Y44" s="130" t="n">
        <v>0.0633017476733405</v>
      </c>
      <c r="Z44" s="129" t="n">
        <v>0.036</v>
      </c>
      <c r="AA44" s="129" t="n">
        <v>0.0351788187238012</v>
      </c>
      <c r="AB44" s="130" t="n">
        <v>0.65</v>
      </c>
      <c r="AC44" s="130" t="n">
        <v>0.63517311584641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35.296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4.706</v>
      </c>
      <c r="Q45" s="136"/>
      <c r="R45" s="136"/>
      <c r="S45" s="139" t="n">
        <v>205.4</v>
      </c>
      <c r="T45" s="129" t="n">
        <v>0</v>
      </c>
      <c r="U45" s="129" t="n">
        <v>0</v>
      </c>
      <c r="X45" s="130" t="n">
        <v>0.0747794041673842</v>
      </c>
      <c r="Y45" s="130" t="n">
        <v>0.0730736417632853</v>
      </c>
      <c r="Z45" s="129" t="n">
        <v>0.033</v>
      </c>
      <c r="AA45" s="129" t="n">
        <v>0.0322472504968178</v>
      </c>
      <c r="AB45" s="130" t="n">
        <v>0.57</v>
      </c>
      <c r="AC45" s="130" t="n">
        <v>0.556997963126852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0.04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2°0,04</v>
      </c>
      <c r="P9" s="31" t="s">
        <v>13</v>
      </c>
      <c r="Q9" s="35" t="n">
        <f aca="false">IF(ISBLANK(I9),"",IF(ISBLANK(J9),"",IF(J9&gt;60,"ERREUR !!",O11*(I9+(J9/60)))))</f>
        <v>2.00066666666667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5</v>
      </c>
      <c r="J10" s="31" t="n">
        <v>59.9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5°59,9</v>
      </c>
      <c r="P10" s="31" t="s">
        <v>14</v>
      </c>
      <c r="Q10" s="35" t="n">
        <f aca="false">IF(ISBLANK(I10),"",IF(ISBLANK(J10),"",IF(J10&gt;60,"ERREUR !!",O12*(I10+(J10/60)))))</f>
        <v>5.99833333333333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37160</v>
      </c>
      <c r="K11" s="40"/>
      <c r="L11" s="40"/>
      <c r="M11" s="40"/>
      <c r="N11" s="41" t="str">
        <f aca="false">I9&amp;"°"&amp;J9</f>
        <v>2°0,04</v>
      </c>
      <c r="O11" s="42" t="n">
        <f aca="false">IF(P9=M10,-1,1)</f>
        <v>1</v>
      </c>
      <c r="P11" s="43" t="str">
        <f aca="false">TEXT(J11,"aaaa-mm-jj")&amp;"T"&amp;TEXT(J12,"hh:mm:ss")&amp;"z"</f>
        <v>2005-09-27T16:00:00z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0.666666666666667</v>
      </c>
      <c r="K12" s="48"/>
      <c r="L12" s="48"/>
      <c r="M12" s="48"/>
      <c r="N12" s="49" t="str">
        <f aca="false">I10&amp;"°"&amp;J10</f>
        <v>5°59,9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34.6585</v>
      </c>
      <c r="H35" s="123" t="n">
        <v>2000</v>
      </c>
      <c r="I35" s="124" t="n">
        <v>998</v>
      </c>
      <c r="J35" s="125"/>
      <c r="K35" s="126"/>
      <c r="L35" s="126"/>
      <c r="M35" s="126"/>
      <c r="N35" s="127"/>
      <c r="O35" s="126"/>
      <c r="P35" s="125" t="n">
        <v>3.584</v>
      </c>
      <c r="Q35" s="125"/>
      <c r="R35" s="125"/>
      <c r="S35" s="128" t="n">
        <v>155.8</v>
      </c>
      <c r="T35" s="129" t="n">
        <v>0.00383089374892371</v>
      </c>
      <c r="U35" s="129" t="n">
        <v>0.0037435087984314</v>
      </c>
      <c r="X35" s="130" t="n">
        <v>33.1661691062511</v>
      </c>
      <c r="Y35" s="130" t="n">
        <v>32.4096291875484</v>
      </c>
      <c r="Z35" s="129" t="n">
        <v>2.202</v>
      </c>
      <c r="AA35" s="129" t="n">
        <v>2.15177107860584</v>
      </c>
      <c r="AB35" s="130" t="n">
        <v>30.97</v>
      </c>
      <c r="AC35" s="130" t="n">
        <v>30.263555996559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35.1518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1.673</v>
      </c>
      <c r="Q36" s="136"/>
      <c r="R36" s="136"/>
      <c r="S36" s="139" t="n">
        <v>72.8</v>
      </c>
      <c r="T36" s="129" t="n">
        <v>0.0124411916652316</v>
      </c>
      <c r="U36" s="129" t="n">
        <v>0.0121574007305347</v>
      </c>
      <c r="X36" s="130" t="n">
        <v>29.3475588083348</v>
      </c>
      <c r="Y36" s="130" t="n">
        <v>28.6781236473473</v>
      </c>
      <c r="Z36" s="129" t="n">
        <v>1.85</v>
      </c>
      <c r="AA36" s="129" t="n">
        <v>1.80780040663978</v>
      </c>
      <c r="AB36" s="130" t="n">
        <v>12.23</v>
      </c>
      <c r="AC36" s="130" t="n">
        <v>11.9510264720025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35.5887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3.175</v>
      </c>
      <c r="Q37" s="136"/>
      <c r="R37" s="136"/>
      <c r="S37" s="139" t="n">
        <v>138.2</v>
      </c>
      <c r="T37" s="129" t="n">
        <v>0.0296617874978474</v>
      </c>
      <c r="U37" s="129" t="n">
        <v>0.0289851845947413</v>
      </c>
      <c r="X37" s="130" t="n">
        <v>16.0703382125022</v>
      </c>
      <c r="Y37" s="130" t="n">
        <v>15.7037643002163</v>
      </c>
      <c r="Z37" s="129" t="n">
        <v>1.112</v>
      </c>
      <c r="AA37" s="129" t="n">
        <v>1.08663462280186</v>
      </c>
      <c r="AB37" s="130" t="n">
        <v>6.18</v>
      </c>
      <c r="AC37" s="130" t="n">
        <v>6.03903054758587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76" t="n">
        <v>35.609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3.175</v>
      </c>
      <c r="Q38" s="136"/>
      <c r="R38" s="136"/>
      <c r="S38" s="139" t="n">
        <v>138.2</v>
      </c>
      <c r="T38" s="129" t="n">
        <v>0.0296617874978474</v>
      </c>
      <c r="U38" s="129" t="n">
        <v>0.0289851845947413</v>
      </c>
      <c r="X38" s="130" t="n">
        <v>15.4903382125022</v>
      </c>
      <c r="Y38" s="130" t="n">
        <v>15.1369944429995</v>
      </c>
      <c r="Z38" s="129" t="n">
        <v>1.0875</v>
      </c>
      <c r="AA38" s="129" t="n">
        <v>1.06269348228149</v>
      </c>
      <c r="AB38" s="130" t="n">
        <v>6.01</v>
      </c>
      <c r="AC38" s="130" t="n">
        <v>5.87290834805681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35.7446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3.402</v>
      </c>
      <c r="Q39" s="136"/>
      <c r="R39" s="136"/>
      <c r="S39" s="139" t="n">
        <v>148.1</v>
      </c>
      <c r="T39" s="129" t="n">
        <v>0.132985362493542</v>
      </c>
      <c r="U39" s="129" t="n">
        <v>0.129951887779981</v>
      </c>
      <c r="X39" s="130" t="n">
        <v>12.9970146375065</v>
      </c>
      <c r="Y39" s="130" t="n">
        <v>12.7005450523175</v>
      </c>
      <c r="Z39" s="129" t="n">
        <v>0.928</v>
      </c>
      <c r="AA39" s="129" t="n">
        <v>0.906831771546875</v>
      </c>
      <c r="AB39" s="130" t="n">
        <v>4.71</v>
      </c>
      <c r="AC39" s="130" t="n">
        <v>4.60256211636399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35.8238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3.941</v>
      </c>
      <c r="Q40" s="136"/>
      <c r="R40" s="136"/>
      <c r="S40" s="139" t="n">
        <v>171.7</v>
      </c>
      <c r="T40" s="129" t="n">
        <v>0.339632512484932</v>
      </c>
      <c r="U40" s="129" t="n">
        <v>0.33188529415046</v>
      </c>
      <c r="X40" s="130" t="n">
        <v>7.24036748751507</v>
      </c>
      <c r="Y40" s="130" t="n">
        <v>7.07521042602768</v>
      </c>
      <c r="Z40" s="129" t="n">
        <v>0.634</v>
      </c>
      <c r="AA40" s="129" t="n">
        <v>0.619538085302499</v>
      </c>
      <c r="AB40" s="130" t="n">
        <v>3.17</v>
      </c>
      <c r="AC40" s="130" t="n">
        <v>3.09769042651249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35.4625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4.767</v>
      </c>
      <c r="Q41" s="136"/>
      <c r="R41" s="136"/>
      <c r="S41" s="139" t="n">
        <v>208</v>
      </c>
      <c r="T41" s="129" t="n">
        <v>0.0124411916652316</v>
      </c>
      <c r="U41" s="129" t="n">
        <v>0.0121574007305347</v>
      </c>
      <c r="X41" s="130" t="n">
        <v>0.177558808334768</v>
      </c>
      <c r="Y41" s="130" t="n">
        <v>0.173508586978416</v>
      </c>
      <c r="Z41" s="129" t="n">
        <v>0.062</v>
      </c>
      <c r="AA41" s="129" t="n">
        <v>0.0605857433576576</v>
      </c>
      <c r="AB41" s="130" t="n">
        <v>0.64</v>
      </c>
      <c r="AC41" s="130" t="n">
        <v>0.625401221756466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35.425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4.723</v>
      </c>
      <c r="Q42" s="136"/>
      <c r="R42" s="136"/>
      <c r="S42" s="139" t="n">
        <v>206.1</v>
      </c>
      <c r="T42" s="129" t="n">
        <v>0.00383089374892371</v>
      </c>
      <c r="U42" s="129" t="n">
        <v>0.0037435087984314</v>
      </c>
      <c r="X42" s="130" t="n">
        <v>0.116169106251076</v>
      </c>
      <c r="Y42" s="130" t="n">
        <v>0.113519220280906</v>
      </c>
      <c r="Z42" s="129" t="n">
        <v>0.03</v>
      </c>
      <c r="AA42" s="129" t="n">
        <v>0.0293156822698343</v>
      </c>
      <c r="AB42" s="130" t="n">
        <v>0.55</v>
      </c>
      <c r="AC42" s="130" t="n">
        <v>0.537454174946963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35.2579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4.713</v>
      </c>
      <c r="Q43" s="136"/>
      <c r="R43" s="136"/>
      <c r="S43" s="139" t="n">
        <v>205.7</v>
      </c>
      <c r="T43" s="129" t="n">
        <v>0.0124411916652316</v>
      </c>
      <c r="U43" s="129" t="n">
        <v>0.0121574007305347</v>
      </c>
      <c r="X43" s="130" t="n">
        <v>0.117558808334768</v>
      </c>
      <c r="Y43" s="130" t="n">
        <v>0.114877222438747</v>
      </c>
      <c r="Z43" s="129" t="n">
        <v>0.027</v>
      </c>
      <c r="AA43" s="129" t="n">
        <v>0.0263841140428509</v>
      </c>
      <c r="AB43" s="130" t="n">
        <v>0.73</v>
      </c>
      <c r="AC43" s="130" t="n">
        <v>0.713348268565969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35.2508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4.736</v>
      </c>
      <c r="Q44" s="136"/>
      <c r="R44" s="136"/>
      <c r="S44" s="139" t="n">
        <v>206.7</v>
      </c>
      <c r="T44" s="129" t="n">
        <v>0.0124411916652316</v>
      </c>
      <c r="U44" s="129" t="n">
        <v>0.0121574007305347</v>
      </c>
      <c r="X44" s="130" t="n">
        <v>0.0475588083347684</v>
      </c>
      <c r="Y44" s="130" t="n">
        <v>0.0464739638091339</v>
      </c>
      <c r="Z44" s="129" t="n">
        <v>0.024</v>
      </c>
      <c r="AA44" s="129" t="n">
        <v>0.0234525458158675</v>
      </c>
      <c r="AB44" s="130" t="n">
        <v>0.75</v>
      </c>
      <c r="AC44" s="130" t="n">
        <v>0.732892056745858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35.2518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4.695</v>
      </c>
      <c r="Q45" s="136"/>
      <c r="R45" s="136"/>
      <c r="S45" s="139" t="n">
        <v>204.9</v>
      </c>
      <c r="T45" s="129" t="n">
        <v>0</v>
      </c>
      <c r="U45" s="129" t="n">
        <v>0</v>
      </c>
      <c r="X45" s="130" t="n">
        <v>0.11</v>
      </c>
      <c r="Y45" s="130" t="n">
        <v>0.107490834989393</v>
      </c>
      <c r="Z45" s="129" t="n">
        <v>0.025</v>
      </c>
      <c r="AA45" s="129" t="n">
        <v>0.0244297352248619</v>
      </c>
      <c r="AB45" s="130" t="n">
        <v>0.69</v>
      </c>
      <c r="AC45" s="130" t="n">
        <v>0.67426069220619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0" sqref="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2</v>
      </c>
      <c r="J9" s="31" t="n">
        <v>30.12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2°30,12</v>
      </c>
      <c r="P9" s="31" t="s">
        <v>13</v>
      </c>
      <c r="Q9" s="35" t="n">
        <f aca="false">IF(ISBLANK(I9),"",IF(ISBLANK(J9),"",IF(J9&gt;60,"ERREUR !!",O11*(I9+(J9/60)))))</f>
        <v>2.502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0.07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6°0,07</v>
      </c>
      <c r="P10" s="31" t="s">
        <v>14</v>
      </c>
      <c r="Q10" s="35" t="n">
        <f aca="false">IF(ISBLANK(I10),"",IF(ISBLANK(J10),"",IF(J10&gt;60,"ERREUR !!",O12*(I10+(J10/60)))))</f>
        <v>6.00116666666667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37160</v>
      </c>
      <c r="K11" s="40"/>
      <c r="L11" s="40"/>
      <c r="M11" s="40"/>
      <c r="N11" s="41" t="str">
        <f aca="false">I9&amp;"°"&amp;J9</f>
        <v>2°30,12</v>
      </c>
      <c r="O11" s="42" t="n">
        <f aca="false">IF(P9=M10,-1,1)</f>
        <v>1</v>
      </c>
      <c r="P11" s="43" t="str">
        <f aca="false">TEXT(J11,"aaaa-mm-jj")&amp;"T"&amp;TEXT(J12,"hh:mm:ss")&amp;"z"</f>
        <v>2005-09-27T20:00:00z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0.833333333333333</v>
      </c>
      <c r="K12" s="48"/>
      <c r="L12" s="48"/>
      <c r="M12" s="48"/>
      <c r="N12" s="49" t="str">
        <f aca="false">I10&amp;"°"&amp;J10</f>
        <v>6°0,07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34.6593</v>
      </c>
      <c r="H35" s="123" t="n">
        <v>2000</v>
      </c>
      <c r="I35" s="124" t="n">
        <v>1004</v>
      </c>
      <c r="J35" s="125"/>
      <c r="K35" s="126"/>
      <c r="L35" s="126"/>
      <c r="M35" s="126"/>
      <c r="N35" s="127"/>
      <c r="O35" s="126"/>
      <c r="P35" s="125" t="n">
        <v>3.604</v>
      </c>
      <c r="Q35" s="125"/>
      <c r="R35" s="125"/>
      <c r="S35" s="128" t="n">
        <v>156.7</v>
      </c>
      <c r="T35" s="129" t="n">
        <v>0</v>
      </c>
      <c r="U35" s="129" t="n">
        <v>0</v>
      </c>
      <c r="X35" s="130" t="n">
        <v>33.21</v>
      </c>
      <c r="Y35" s="130" t="n">
        <v>32.4524602727066</v>
      </c>
      <c r="Z35" s="129" t="n">
        <v>2.217</v>
      </c>
      <c r="AA35" s="129" t="n">
        <v>2.16642891974076</v>
      </c>
      <c r="AB35" s="130" t="n">
        <v>31.66</v>
      </c>
      <c r="AC35" s="130" t="n">
        <v>30.9378166887652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35.1361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1.864</v>
      </c>
      <c r="Q36" s="136"/>
      <c r="R36" s="136"/>
      <c r="S36" s="139" t="n">
        <v>81.1</v>
      </c>
      <c r="T36" s="129" t="n">
        <v>0</v>
      </c>
      <c r="U36" s="129" t="n">
        <v>0</v>
      </c>
      <c r="X36" s="130" t="n">
        <v>28.6</v>
      </c>
      <c r="Y36" s="130" t="n">
        <v>27.9476170972421</v>
      </c>
      <c r="Z36" s="129" t="n">
        <v>1.791</v>
      </c>
      <c r="AA36" s="129" t="n">
        <v>1.75014623150911</v>
      </c>
      <c r="AB36" s="130" t="n">
        <v>12.13</v>
      </c>
      <c r="AC36" s="130" t="n">
        <v>11.853307531103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35.5788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3.111</v>
      </c>
      <c r="Q37" s="136"/>
      <c r="R37" s="136"/>
      <c r="S37" s="139" t="n">
        <v>135.4</v>
      </c>
      <c r="T37" s="129" t="n">
        <v>0.0124411916652316</v>
      </c>
      <c r="U37" s="129" t="n">
        <v>0.0121574007305347</v>
      </c>
      <c r="X37" s="130" t="n">
        <v>16.3825588083348</v>
      </c>
      <c r="Y37" s="130" t="n">
        <v>16.0088629597339</v>
      </c>
      <c r="Z37" s="129" t="n">
        <v>1.119</v>
      </c>
      <c r="AA37" s="129" t="n">
        <v>1.09347494866482</v>
      </c>
      <c r="AB37" s="130" t="n">
        <v>6.42</v>
      </c>
      <c r="AC37" s="130" t="n">
        <v>6.27355600574455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35.6352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3.218</v>
      </c>
      <c r="Q38" s="136"/>
      <c r="R38" s="136"/>
      <c r="S38" s="139" t="n">
        <v>140.1</v>
      </c>
      <c r="T38" s="129" t="n">
        <v>0.0210514895815395</v>
      </c>
      <c r="U38" s="129" t="n">
        <v>0.020571292662638</v>
      </c>
      <c r="X38" s="130" t="n">
        <v>15.3089485104185</v>
      </c>
      <c r="Y38" s="130" t="n">
        <v>14.9597423472227</v>
      </c>
      <c r="Z38" s="129" t="n">
        <v>1.063</v>
      </c>
      <c r="AA38" s="129" t="n">
        <v>1.03875234176113</v>
      </c>
      <c r="AB38" s="130" t="n">
        <v>6.11</v>
      </c>
      <c r="AC38" s="130" t="n">
        <v>5.97062728895626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22" t="n">
        <v>35.6927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3.214</v>
      </c>
      <c r="Q39" s="136"/>
      <c r="R39" s="136"/>
      <c r="S39" s="139" t="n">
        <v>139.9</v>
      </c>
      <c r="T39" s="129" t="n">
        <v>0.0296617874978474</v>
      </c>
      <c r="U39" s="129" t="n">
        <v>0.0289851845947413</v>
      </c>
      <c r="X39" s="130" t="n">
        <v>14.2203382125022</v>
      </c>
      <c r="Y39" s="130" t="n">
        <v>13.8959638935766</v>
      </c>
      <c r="Z39" s="129" t="n">
        <v>1.003</v>
      </c>
      <c r="AA39" s="129" t="n">
        <v>0.980120977221461</v>
      </c>
      <c r="AB39" s="130" t="n">
        <v>5.22</v>
      </c>
      <c r="AC39" s="130" t="n">
        <v>5.10092871495117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35.7393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3.351</v>
      </c>
      <c r="Q40" s="136"/>
      <c r="R40" s="136"/>
      <c r="S40" s="139" t="n">
        <v>145.9</v>
      </c>
      <c r="T40" s="129" t="n">
        <v>0.537669364560014</v>
      </c>
      <c r="U40" s="129" t="n">
        <v>0.525404808588836</v>
      </c>
      <c r="X40" s="130" t="n">
        <v>11.61233063544</v>
      </c>
      <c r="Y40" s="130" t="n">
        <v>11.3474465106941</v>
      </c>
      <c r="Z40" s="129" t="n">
        <v>0.89</v>
      </c>
      <c r="AA40" s="129" t="n">
        <v>0.869698574005085</v>
      </c>
      <c r="AB40" s="130" t="n">
        <v>4.37</v>
      </c>
      <c r="AC40" s="130" t="n">
        <v>4.27031771730587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35.4673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4.602</v>
      </c>
      <c r="Q41" s="136"/>
      <c r="R41" s="136"/>
      <c r="S41" s="139" t="n">
        <v>200.8</v>
      </c>
      <c r="T41" s="129" t="n">
        <v>0.0468823833304632</v>
      </c>
      <c r="U41" s="129" t="n">
        <v>0.0458129684589479</v>
      </c>
      <c r="X41" s="130" t="n">
        <v>0.693117616669537</v>
      </c>
      <c r="Y41" s="130" t="n">
        <v>0.677307194196965</v>
      </c>
      <c r="Z41" s="129" t="n">
        <v>0.096</v>
      </c>
      <c r="AA41" s="129" t="n">
        <v>0.0938101832634698</v>
      </c>
      <c r="AB41" s="130" t="n">
        <v>0.92</v>
      </c>
      <c r="AC41" s="130" t="n">
        <v>0.899014256274919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35.4438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4.703</v>
      </c>
      <c r="Q42" s="136"/>
      <c r="R42" s="136"/>
      <c r="S42" s="139" t="n">
        <v>205.2</v>
      </c>
      <c r="T42" s="129" t="n">
        <v>0</v>
      </c>
      <c r="U42" s="129" t="n">
        <v>0</v>
      </c>
      <c r="X42" s="130" t="n">
        <v>0.11</v>
      </c>
      <c r="Y42" s="130" t="n">
        <v>0.107490834989393</v>
      </c>
      <c r="Z42" s="129" t="n">
        <v>0.031</v>
      </c>
      <c r="AA42" s="129" t="n">
        <v>0.0302928716788288</v>
      </c>
      <c r="AB42" s="130" t="n">
        <v>0.82</v>
      </c>
      <c r="AC42" s="130" t="n">
        <v>0.801295315375472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35.383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4.723</v>
      </c>
      <c r="Q43" s="136"/>
      <c r="R43" s="136"/>
      <c r="S43" s="139" t="n">
        <v>206.1</v>
      </c>
      <c r="T43" s="129" t="n">
        <v>0.0124411916652316</v>
      </c>
      <c r="U43" s="129" t="n">
        <v>0.0121574007305347</v>
      </c>
      <c r="X43" s="130" t="n">
        <v>0.0175588083347684</v>
      </c>
      <c r="Y43" s="130" t="n">
        <v>0.0171582815392996</v>
      </c>
      <c r="Z43" s="129" t="n">
        <v>0.034</v>
      </c>
      <c r="AA43" s="129" t="n">
        <v>0.0332244399058122</v>
      </c>
      <c r="AB43" s="130" t="n">
        <v>0.88</v>
      </c>
      <c r="AC43" s="130" t="n">
        <v>0.85992667991514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35.292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4.706</v>
      </c>
      <c r="Q44" s="136"/>
      <c r="R44" s="136"/>
      <c r="S44" s="139" t="n">
        <v>205.4</v>
      </c>
      <c r="T44" s="129" t="n">
        <v>0</v>
      </c>
      <c r="U44" s="129" t="n">
        <v>0</v>
      </c>
      <c r="X44" s="130" t="n">
        <v>0.03</v>
      </c>
      <c r="Y44" s="130" t="n">
        <v>0.0293156822698343</v>
      </c>
      <c r="Z44" s="129" t="n">
        <v>0.041</v>
      </c>
      <c r="AA44" s="129" t="n">
        <v>0.0400647657687736</v>
      </c>
      <c r="AB44" s="130" t="n">
        <v>1.03</v>
      </c>
      <c r="AC44" s="130" t="n">
        <v>1.00650509126431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35.2713</v>
      </c>
      <c r="H45" s="124" t="n">
        <v>0</v>
      </c>
      <c r="I45" s="124" t="n">
        <v>0</v>
      </c>
      <c r="J45" s="136"/>
      <c r="K45" s="136"/>
      <c r="L45" s="136"/>
      <c r="M45" s="136"/>
      <c r="N45" s="136"/>
      <c r="O45" s="136"/>
      <c r="P45" s="136" t="n">
        <v>4.707</v>
      </c>
      <c r="Q45" s="136"/>
      <c r="R45" s="136"/>
      <c r="S45" s="139" t="n">
        <v>205.4</v>
      </c>
      <c r="T45" s="129" t="n">
        <v>0</v>
      </c>
      <c r="U45" s="129" t="n">
        <v>0</v>
      </c>
      <c r="X45" s="130" t="n">
        <v>0.07</v>
      </c>
      <c r="Y45" s="130" t="n">
        <v>0.0684032586296134</v>
      </c>
      <c r="Z45" s="129" t="n">
        <v>0.035</v>
      </c>
      <c r="AA45" s="129" t="n">
        <v>0.0342016293148067</v>
      </c>
      <c r="AB45" s="130" t="n">
        <v>1.08</v>
      </c>
      <c r="AC45" s="130" t="n">
        <v>1.05536456171404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31" colorId="64" zoomScale="100" zoomScaleNormal="100" zoomScalePageLayoutView="100" workbookViewId="0">
      <selection pane="topLeft" activeCell="D54" activeCellId="0" sqref="D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1"/>
    <col collapsed="false" customWidth="true" hidden="false" outlineLevel="0" max="9" min="4" style="0" width="10.28"/>
    <col collapsed="false" customWidth="true" hidden="false" outlineLevel="0" max="10" min="10" style="0" width="13.57"/>
    <col collapsed="false" customWidth="true" hidden="true" outlineLevel="0" max="11" min="11" style="0" width="0.57"/>
    <col collapsed="false" customWidth="true" hidden="true" outlineLevel="0" max="12" min="12" style="0" width="2.14"/>
    <col collapsed="false" customWidth="true" hidden="true" outlineLevel="0" max="13" min="13" style="0" width="21.85"/>
    <col collapsed="false" customWidth="true" hidden="true" outlineLevel="0" max="14" min="14" style="0" width="23"/>
    <col collapsed="false" customWidth="true" hidden="true" outlineLevel="0" max="15" min="15" style="0" width="19.57"/>
    <col collapsed="false" customWidth="true" hidden="false" outlineLevel="0" max="16" min="16" style="0" width="8.28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.28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37161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21"/>
    </row>
    <row r="8" customFormat="false" ht="15" hidden="false" customHeight="true" outlineLevel="0" collapsed="false">
      <c r="C8" s="22"/>
      <c r="D8" s="18"/>
      <c r="G8" s="23" t="s">
        <v>6</v>
      </c>
      <c r="H8" s="23"/>
      <c r="I8" s="24" t="s">
        <v>7</v>
      </c>
      <c r="J8" s="24" t="s">
        <v>8</v>
      </c>
      <c r="K8" s="25"/>
      <c r="L8" s="25"/>
      <c r="M8" s="25"/>
      <c r="N8" s="25"/>
      <c r="O8" s="26"/>
      <c r="P8" s="27" t="s">
        <v>9</v>
      </c>
      <c r="Q8" s="28" t="s">
        <v>10</v>
      </c>
      <c r="R8" s="28"/>
    </row>
    <row r="9" customFormat="false" ht="14.25" hidden="false" customHeight="true" outlineLevel="0" collapsed="false">
      <c r="C9" s="22"/>
      <c r="D9" s="18"/>
      <c r="G9" s="29" t="s">
        <v>11</v>
      </c>
      <c r="H9" s="29"/>
      <c r="I9" s="30" t="n">
        <v>3</v>
      </c>
      <c r="J9" s="31" t="n">
        <v>0.06</v>
      </c>
      <c r="K9" s="32" t="s">
        <v>12</v>
      </c>
      <c r="L9" s="33" t="str">
        <f aca="false">IF(P9=M9,"+","-")</f>
        <v>+</v>
      </c>
      <c r="M9" s="32" t="s">
        <v>13</v>
      </c>
      <c r="N9" s="32" t="s">
        <v>14</v>
      </c>
      <c r="O9" s="34" t="str">
        <f aca="false">IF(ISBLANK(I9),"",IF(ISBLANK(J9),"",IF(P9=M10,L9&amp;N11,N11)))</f>
        <v>3°0,06</v>
      </c>
      <c r="P9" s="31" t="s">
        <v>13</v>
      </c>
      <c r="Q9" s="35" t="n">
        <f aca="false">IF(ISBLANK(I9),"",IF(ISBLANK(J9),"",IF(J9&gt;60,"ERREUR !!",O11*(I9+(J9/60)))))</f>
        <v>3.001</v>
      </c>
      <c r="R9" s="35"/>
    </row>
    <row r="10" customFormat="false" ht="15" hidden="false" customHeight="true" outlineLevel="0" collapsed="false">
      <c r="C10" s="22"/>
      <c r="D10" s="18"/>
      <c r="G10" s="29" t="s">
        <v>15</v>
      </c>
      <c r="H10" s="29"/>
      <c r="I10" s="30" t="n">
        <v>6</v>
      </c>
      <c r="J10" s="31" t="n">
        <v>0.01</v>
      </c>
      <c r="K10" s="32" t="s">
        <v>12</v>
      </c>
      <c r="L10" s="33" t="str">
        <f aca="false">IF(P10=N9,"+","-")</f>
        <v>+</v>
      </c>
      <c r="M10" s="32" t="s">
        <v>16</v>
      </c>
      <c r="N10" s="32" t="s">
        <v>17</v>
      </c>
      <c r="O10" s="36" t="str">
        <f aca="false">IF(ISBLANK(I10),"",IF(ISBLANK(J10),"",IF(P10=N10,L10&amp;N12,N12)))</f>
        <v>6°0,01</v>
      </c>
      <c r="P10" s="31" t="s">
        <v>14</v>
      </c>
      <c r="Q10" s="35" t="n">
        <f aca="false">IF(ISBLANK(I10),"",IF(ISBLANK(J10),"",IF(J10&gt;60,"ERREUR !!",O12*(I10+(J10/60)))))</f>
        <v>6.00016666666667</v>
      </c>
      <c r="R10" s="35"/>
      <c r="S10" s="37"/>
      <c r="T10" s="37"/>
    </row>
    <row r="11" customFormat="false" ht="15" hidden="false" customHeight="false" outlineLevel="0" collapsed="false">
      <c r="G11" s="38" t="s">
        <v>18</v>
      </c>
      <c r="H11" s="38"/>
      <c r="I11" s="39" t="s">
        <v>19</v>
      </c>
      <c r="J11" s="40" t="n">
        <v>37161</v>
      </c>
      <c r="K11" s="40"/>
      <c r="L11" s="40"/>
      <c r="M11" s="40"/>
      <c r="N11" s="41" t="str">
        <f aca="false">I9&amp;"°"&amp;J9</f>
        <v>3°0,06</v>
      </c>
      <c r="O11" s="42" t="n">
        <f aca="false">IF(P9=M10,-1,1)</f>
        <v>1</v>
      </c>
      <c r="P11" s="43" t="str">
        <f aca="false">TEXT(J11,"aaaa-mm-jj")&amp;"T"&amp;TEXT(J12,"hh:mm:ss")&amp;"z"</f>
        <v>2005-09-28T01:30:00z</v>
      </c>
      <c r="Q11" s="43"/>
      <c r="R11" s="43"/>
      <c r="T11" s="44"/>
      <c r="U11" s="44"/>
      <c r="V11" s="45"/>
      <c r="W11" s="45"/>
    </row>
    <row r="12" customFormat="false" ht="15.75" hidden="false" customHeight="false" outlineLevel="0" collapsed="false">
      <c r="G12" s="38"/>
      <c r="H12" s="38"/>
      <c r="I12" s="46" t="s">
        <v>20</v>
      </c>
      <c r="J12" s="47" t="n">
        <v>0.0625</v>
      </c>
      <c r="K12" s="48"/>
      <c r="L12" s="48"/>
      <c r="M12" s="48"/>
      <c r="N12" s="49" t="str">
        <f aca="false">I10&amp;"°"&amp;J10</f>
        <v>6°0,01</v>
      </c>
      <c r="O12" s="42" t="n">
        <f aca="false">IF(P10=N10,-1,1)</f>
        <v>1</v>
      </c>
      <c r="P12" s="43"/>
      <c r="Q12" s="43"/>
      <c r="R12" s="43"/>
      <c r="T12" s="44"/>
      <c r="U12" s="44"/>
      <c r="V12" s="45"/>
      <c r="W12" s="45"/>
    </row>
    <row r="13" customFormat="false" ht="15.75" hidden="false" customHeight="false" outlineLevel="0" collapsed="false">
      <c r="C13" s="50" t="s">
        <v>21</v>
      </c>
      <c r="D13" s="50"/>
      <c r="E13" s="5"/>
      <c r="K13" s="51"/>
      <c r="L13" s="51"/>
      <c r="M13" s="51"/>
      <c r="N13" s="51"/>
      <c r="O13" s="51"/>
      <c r="P13" s="51"/>
      <c r="Q13" s="52"/>
    </row>
    <row r="14" customFormat="false" ht="15" hidden="false" customHeight="true" outlineLevel="0" collapsed="false">
      <c r="C14" s="53" t="s">
        <v>22</v>
      </c>
      <c r="D14" s="54"/>
      <c r="E14" s="54"/>
      <c r="F14" s="54"/>
      <c r="G14" s="54"/>
      <c r="H14" s="55"/>
      <c r="I14" s="55"/>
      <c r="J14" s="55"/>
      <c r="K14" s="54"/>
      <c r="L14" s="54"/>
      <c r="M14" s="54"/>
      <c r="N14" s="55"/>
      <c r="O14" s="56"/>
      <c r="P14" s="55"/>
      <c r="Q14" s="56" t="s">
        <v>23</v>
      </c>
      <c r="R14" s="57"/>
      <c r="S14" s="58" t="s">
        <v>24</v>
      </c>
    </row>
    <row r="15" customFormat="false" ht="14.25" hidden="false" customHeight="true" outlineLevel="0" collapsed="false">
      <c r="C15" s="59" t="s">
        <v>25</v>
      </c>
      <c r="D15" s="60"/>
      <c r="E15" s="60"/>
      <c r="F15" s="60"/>
      <c r="G15" s="60"/>
      <c r="H15" s="61"/>
      <c r="I15" s="61"/>
      <c r="J15" s="61"/>
      <c r="K15" s="60"/>
      <c r="L15" s="60"/>
      <c r="M15" s="60"/>
      <c r="N15" s="61"/>
      <c r="O15" s="62"/>
      <c r="P15" s="61"/>
      <c r="Q15" s="62" t="s">
        <v>26</v>
      </c>
      <c r="R15" s="63"/>
      <c r="S15" s="64" t="s">
        <v>24</v>
      </c>
    </row>
    <row r="16" customFormat="false" ht="15" hidden="false" customHeight="false" outlineLevel="0" collapsed="false">
      <c r="C16" s="59" t="s">
        <v>27</v>
      </c>
      <c r="D16" s="60"/>
      <c r="E16" s="60"/>
      <c r="F16" s="60"/>
      <c r="G16" s="60"/>
      <c r="H16" s="61"/>
      <c r="I16" s="61"/>
      <c r="J16" s="61"/>
      <c r="K16" s="60"/>
      <c r="L16" s="60"/>
      <c r="M16" s="60"/>
      <c r="N16" s="61"/>
      <c r="O16" s="62"/>
      <c r="P16" s="61"/>
      <c r="Q16" s="62" t="s">
        <v>28</v>
      </c>
      <c r="R16" s="65"/>
      <c r="S16" s="64" t="s">
        <v>29</v>
      </c>
    </row>
    <row r="17" customFormat="false" ht="15.75" hidden="false" customHeight="false" outlineLevel="0" collapsed="false">
      <c r="C17" s="66" t="s">
        <v>30</v>
      </c>
      <c r="D17" s="67"/>
      <c r="E17" s="67"/>
      <c r="F17" s="67"/>
      <c r="G17" s="67"/>
      <c r="H17" s="68"/>
      <c r="I17" s="68"/>
      <c r="J17" s="68"/>
      <c r="K17" s="67"/>
      <c r="L17" s="67"/>
      <c r="M17" s="67"/>
      <c r="N17" s="68"/>
      <c r="O17" s="69"/>
      <c r="P17" s="68"/>
      <c r="Q17" s="69" t="s">
        <v>31</v>
      </c>
      <c r="R17" s="70"/>
      <c r="S17" s="71" t="s">
        <v>29</v>
      </c>
    </row>
    <row r="18" customFormat="false" ht="15" hidden="true" customHeight="false" outlineLevel="0" collapsed="false">
      <c r="C18" s="72" t="s">
        <v>32</v>
      </c>
      <c r="D18" s="73"/>
      <c r="E18" s="73"/>
      <c r="F18" s="73"/>
      <c r="G18" s="73"/>
      <c r="H18" s="73"/>
      <c r="I18" s="73"/>
      <c r="J18" s="73"/>
      <c r="K18" s="74"/>
      <c r="L18" s="74"/>
      <c r="M18" s="74"/>
      <c r="N18" s="74"/>
      <c r="O18" s="75" t="s">
        <v>33</v>
      </c>
      <c r="P18" s="76" t="n">
        <f aca="false">(0.999842594+(0.00006793952*$R$14)-(0.00000909529*$R$14^2)+(0.0000001001685*$R$14^3)-(0.000000001120083*$R$14^4)+(0.000000000006536332*$R$14^5))</f>
        <v>0.999842594</v>
      </c>
      <c r="Q18" s="74"/>
      <c r="R18" s="6"/>
    </row>
    <row r="19" customFormat="false" ht="15" hidden="true" customHeight="false" outlineLevel="0" collapsed="false">
      <c r="C19" s="72" t="s">
        <v>34</v>
      </c>
      <c r="D19" s="73"/>
      <c r="E19" s="73"/>
      <c r="F19" s="73"/>
      <c r="G19" s="73"/>
      <c r="H19" s="73"/>
      <c r="I19" s="73"/>
      <c r="J19" s="73"/>
      <c r="K19" s="74"/>
      <c r="L19" s="74"/>
      <c r="M19" s="74"/>
      <c r="N19" s="74"/>
      <c r="O19" s="75" t="s">
        <v>35</v>
      </c>
      <c r="P19" s="76" t="e">
        <f aca="false">$P$24*($P$18/#REF!)</f>
        <v>#REF!</v>
      </c>
      <c r="Q19" s="74" t="s">
        <v>13</v>
      </c>
      <c r="R19" s="6"/>
    </row>
    <row r="20" customFormat="false" ht="15" hidden="true" customHeight="false" outlineLevel="0" collapsed="false">
      <c r="C20" s="72" t="s">
        <v>36</v>
      </c>
      <c r="D20" s="73"/>
      <c r="E20" s="73"/>
      <c r="F20" s="73"/>
      <c r="G20" s="73"/>
      <c r="H20" s="73"/>
      <c r="I20" s="73"/>
      <c r="J20" s="73"/>
      <c r="K20" s="74"/>
      <c r="L20" s="74"/>
      <c r="M20" s="74"/>
      <c r="N20" s="74"/>
      <c r="O20" s="75" t="s">
        <v>37</v>
      </c>
      <c r="P20" s="76" t="e">
        <f aca="false">5+#REF!</f>
        <v>#REF!</v>
      </c>
      <c r="Q20" s="74" t="s">
        <v>29</v>
      </c>
      <c r="R20" s="6"/>
    </row>
    <row r="21" customFormat="false" ht="15" hidden="true" customHeight="false" outlineLevel="0" collapsed="false">
      <c r="C21" s="72" t="s">
        <v>38</v>
      </c>
      <c r="D21" s="73"/>
      <c r="E21" s="73"/>
      <c r="F21" s="73"/>
      <c r="G21" s="73"/>
      <c r="H21" s="73"/>
      <c r="I21" s="73"/>
      <c r="J21" s="73"/>
      <c r="K21" s="74"/>
      <c r="L21" s="74"/>
      <c r="M21" s="74"/>
      <c r="N21" s="74"/>
      <c r="O21" s="75" t="s">
        <v>39</v>
      </c>
      <c r="P21" s="76" t="e">
        <f aca="false">P20*(1+0.00001*(R14-20))</f>
        <v>#REF!</v>
      </c>
      <c r="Q21" s="74" t="s">
        <v>29</v>
      </c>
      <c r="R21" s="6"/>
    </row>
    <row r="22" customFormat="false" ht="15" hidden="true" customHeight="false" outlineLevel="0" collapsed="false">
      <c r="C22" s="72" t="s">
        <v>40</v>
      </c>
      <c r="D22" s="73"/>
      <c r="E22" s="73"/>
      <c r="F22" s="73"/>
      <c r="G22" s="73"/>
      <c r="H22" s="73"/>
      <c r="I22" s="73"/>
      <c r="J22" s="73"/>
      <c r="K22" s="74"/>
      <c r="L22" s="74"/>
      <c r="M22" s="74"/>
      <c r="N22" s="74"/>
      <c r="O22" s="75" t="s">
        <v>41</v>
      </c>
      <c r="P22" s="77" t="n">
        <f aca="false">$R$16*(1+0.00001*(20-$R$14))</f>
        <v>0</v>
      </c>
      <c r="Q22" s="74" t="s">
        <v>29</v>
      </c>
      <c r="R22" s="6"/>
    </row>
    <row r="23" customFormat="false" ht="15" hidden="true" customHeight="false" outlineLevel="0" collapsed="false">
      <c r="C23" s="72" t="s">
        <v>42</v>
      </c>
      <c r="D23" s="73"/>
      <c r="E23" s="73"/>
      <c r="F23" s="73"/>
      <c r="G23" s="73"/>
      <c r="H23" s="73"/>
      <c r="I23" s="73"/>
      <c r="J23" s="73"/>
      <c r="K23" s="74"/>
      <c r="L23" s="74"/>
      <c r="M23" s="74"/>
      <c r="N23" s="74"/>
      <c r="O23" s="75" t="s">
        <v>43</v>
      </c>
      <c r="P23" s="77" t="n">
        <f aca="false">$R$17*(1+0.00001*(20-$R$14))</f>
        <v>0</v>
      </c>
      <c r="Q23" s="74" t="s">
        <v>29</v>
      </c>
      <c r="R23" s="6"/>
    </row>
    <row r="24" customFormat="false" ht="15" hidden="true" customHeight="false" outlineLevel="0" collapsed="false">
      <c r="C24" s="72" t="s">
        <v>44</v>
      </c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5" t="s">
        <v>45</v>
      </c>
      <c r="P24" s="61" t="e">
        <f aca="false">MAX(#REF!)</f>
        <v>#VALUE!</v>
      </c>
      <c r="Q24" s="74" t="s">
        <v>13</v>
      </c>
      <c r="R24" s="6"/>
    </row>
    <row r="25" customFormat="false" ht="15" hidden="true" customHeight="false" outlineLevel="0" collapsed="false">
      <c r="C25" s="72" t="s">
        <v>46</v>
      </c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5" t="s">
        <v>47</v>
      </c>
      <c r="P25" s="61" t="str">
        <f aca="false">IF(ISBLANK(R14),"",IF(ISBLANK(P21),"",IF(ISBLANK(R17),"",(($P$24*$P$18)/($P$22-$P$23)))))</f>
        <v/>
      </c>
      <c r="Q25" s="74" t="s">
        <v>13</v>
      </c>
      <c r="R25" s="6"/>
    </row>
    <row r="26" customFormat="false" ht="15" hidden="true" customHeight="false" outlineLevel="0" collapsed="false">
      <c r="C26" s="78" t="s">
        <v>48</v>
      </c>
      <c r="D26" s="79"/>
      <c r="E26" s="79"/>
      <c r="F26" s="79"/>
      <c r="G26" s="79"/>
      <c r="H26" s="79"/>
      <c r="I26" s="79"/>
      <c r="J26" s="79"/>
      <c r="K26" s="74"/>
      <c r="L26" s="74"/>
      <c r="M26" s="74"/>
      <c r="N26" s="74"/>
      <c r="O26" s="75" t="s">
        <v>49</v>
      </c>
      <c r="P26" s="61" t="e">
        <f aca="false">2+(#REF!+#REF!)</f>
        <v>#REF!</v>
      </c>
      <c r="Q26" s="74" t="s">
        <v>29</v>
      </c>
      <c r="R26" s="6"/>
    </row>
    <row r="27" customFormat="false" ht="15.75" hidden="true" customHeight="false" outlineLevel="0" collapsed="false">
      <c r="C27" s="80"/>
      <c r="D27" s="81"/>
      <c r="E27" s="81"/>
      <c r="F27" s="81"/>
      <c r="G27" s="81"/>
      <c r="H27" s="81"/>
      <c r="I27" s="81"/>
      <c r="J27" s="81"/>
      <c r="K27" s="82"/>
      <c r="L27" s="82"/>
      <c r="M27" s="82"/>
      <c r="N27" s="82"/>
      <c r="O27" s="83" t="s">
        <v>50</v>
      </c>
      <c r="P27" s="68" t="n">
        <v>0.0017</v>
      </c>
      <c r="Q27" s="82"/>
      <c r="R27" s="84"/>
    </row>
    <row r="29" customFormat="false" ht="15.75" hidden="false" customHeight="false" outlineLevel="0" collapsed="false">
      <c r="E29" s="85" t="s">
        <v>51</v>
      </c>
      <c r="F29" s="85"/>
      <c r="G29" s="85"/>
      <c r="H29" s="85"/>
      <c r="I29" s="86" t="s">
        <v>52</v>
      </c>
      <c r="K29" s="87"/>
      <c r="L29" s="87"/>
      <c r="M29" s="87"/>
      <c r="N29" s="88"/>
      <c r="O29" s="87" t="s">
        <v>52</v>
      </c>
    </row>
    <row r="30" customFormat="false" ht="16.5" hidden="false" customHeight="false" outlineLevel="0" collapsed="false">
      <c r="E30" s="85"/>
      <c r="F30" s="85"/>
      <c r="G30" s="85"/>
      <c r="H30" s="85"/>
      <c r="I30" s="85"/>
      <c r="J30" s="89"/>
      <c r="K30" s="90"/>
      <c r="L30" s="90"/>
      <c r="M30" s="90"/>
      <c r="N30" s="88"/>
      <c r="O30" s="88" t="s">
        <v>53</v>
      </c>
      <c r="P30" s="88"/>
    </row>
    <row r="31" customFormat="false" ht="15.75" hidden="false" customHeight="true" outlineLevel="0" collapsed="false">
      <c r="C31" s="91" t="s">
        <v>54</v>
      </c>
      <c r="D31" s="92" t="s">
        <v>55</v>
      </c>
      <c r="E31" s="92" t="s">
        <v>56</v>
      </c>
      <c r="F31" s="92" t="s">
        <v>57</v>
      </c>
      <c r="G31" s="92" t="s">
        <v>58</v>
      </c>
      <c r="H31" s="92" t="s">
        <v>59</v>
      </c>
      <c r="I31" s="92" t="s">
        <v>60</v>
      </c>
      <c r="J31" s="92" t="s">
        <v>61</v>
      </c>
      <c r="K31" s="92" t="s">
        <v>62</v>
      </c>
      <c r="L31" s="92" t="s">
        <v>63</v>
      </c>
      <c r="M31" s="92" t="s">
        <v>64</v>
      </c>
      <c r="N31" s="92" t="s">
        <v>65</v>
      </c>
      <c r="O31" s="92" t="s">
        <v>66</v>
      </c>
      <c r="P31" s="93" t="s">
        <v>67</v>
      </c>
      <c r="Q31" s="93"/>
      <c r="R31" s="93"/>
      <c r="S31" s="93"/>
      <c r="T31" s="94" t="s">
        <v>68</v>
      </c>
      <c r="U31" s="94"/>
      <c r="V31" s="94" t="s">
        <v>69</v>
      </c>
      <c r="W31" s="94"/>
      <c r="X31" s="94" t="s">
        <v>70</v>
      </c>
      <c r="Y31" s="94"/>
      <c r="Z31" s="94" t="s">
        <v>71</v>
      </c>
      <c r="AA31" s="94"/>
      <c r="AB31" s="95" t="s">
        <v>72</v>
      </c>
      <c r="AC31" s="95"/>
      <c r="AD31" s="96" t="s">
        <v>73</v>
      </c>
      <c r="AE31" s="96" t="s">
        <v>74</v>
      </c>
      <c r="AF31" s="96" t="s">
        <v>75</v>
      </c>
      <c r="AG31" s="97" t="s">
        <v>76</v>
      </c>
      <c r="AH31" s="96" t="s">
        <v>77</v>
      </c>
      <c r="AI31" s="96" t="s">
        <v>78</v>
      </c>
      <c r="AJ31" s="96" t="s">
        <v>79</v>
      </c>
      <c r="AK31" s="96" t="s">
        <v>80</v>
      </c>
      <c r="AL31" s="97" t="s">
        <v>81</v>
      </c>
      <c r="AM31" s="96" t="s">
        <v>82</v>
      </c>
      <c r="AN31" s="96" t="s">
        <v>83</v>
      </c>
      <c r="AO31" s="96" t="s">
        <v>84</v>
      </c>
      <c r="AP31" s="96" t="s">
        <v>85</v>
      </c>
      <c r="AQ31" s="96" t="s">
        <v>86</v>
      </c>
      <c r="AR31" s="97" t="s">
        <v>87</v>
      </c>
      <c r="AS31" s="97" t="s">
        <v>88</v>
      </c>
      <c r="AT31" s="97" t="s">
        <v>89</v>
      </c>
      <c r="AU31" s="96" t="s">
        <v>90</v>
      </c>
      <c r="AV31" s="96" t="s">
        <v>91</v>
      </c>
      <c r="AW31" s="98" t="s">
        <v>92</v>
      </c>
      <c r="AX31" s="96" t="s">
        <v>93</v>
      </c>
      <c r="AY31" s="96" t="s">
        <v>94</v>
      </c>
      <c r="AZ31" s="97" t="s">
        <v>95</v>
      </c>
      <c r="BA31" s="96" t="s">
        <v>96</v>
      </c>
      <c r="BB31" s="99" t="s">
        <v>97</v>
      </c>
    </row>
    <row r="32" customFormat="false" ht="15.75" hidden="false" customHeight="true" outlineLevel="0" collapsed="false">
      <c r="C32" s="91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  <c r="Q32" s="93"/>
      <c r="R32" s="93"/>
      <c r="S32" s="93"/>
      <c r="T32" s="94"/>
      <c r="U32" s="94"/>
      <c r="V32" s="94"/>
      <c r="W32" s="94"/>
      <c r="X32" s="94"/>
      <c r="Y32" s="94"/>
      <c r="Z32" s="94"/>
      <c r="AA32" s="94"/>
      <c r="AB32" s="95"/>
      <c r="AC32" s="95"/>
      <c r="AD32" s="96"/>
      <c r="AE32" s="96"/>
      <c r="AF32" s="96"/>
      <c r="AG32" s="97"/>
      <c r="AH32" s="96"/>
      <c r="AI32" s="96"/>
      <c r="AJ32" s="96"/>
      <c r="AK32" s="96"/>
      <c r="AL32" s="97"/>
      <c r="AM32" s="96"/>
      <c r="AN32" s="96"/>
      <c r="AO32" s="96"/>
      <c r="AP32" s="96"/>
      <c r="AQ32" s="96"/>
      <c r="AR32" s="97"/>
      <c r="AS32" s="97"/>
      <c r="AT32" s="97"/>
      <c r="AU32" s="96"/>
      <c r="AV32" s="96"/>
      <c r="AW32" s="98"/>
      <c r="AX32" s="96"/>
      <c r="AY32" s="96"/>
      <c r="AZ32" s="97"/>
      <c r="BA32" s="96"/>
      <c r="BB32" s="99"/>
    </row>
    <row r="33" customFormat="false" ht="15.75" hidden="false" customHeight="true" outlineLevel="0" collapsed="false">
      <c r="C33" s="100" t="s">
        <v>98</v>
      </c>
      <c r="D33" s="101" t="s">
        <v>99</v>
      </c>
      <c r="E33" s="101" t="s">
        <v>24</v>
      </c>
      <c r="F33" s="102" t="s">
        <v>100</v>
      </c>
      <c r="G33" s="103"/>
      <c r="H33" s="102" t="s">
        <v>101</v>
      </c>
      <c r="I33" s="102" t="s">
        <v>101</v>
      </c>
      <c r="J33" s="102" t="s">
        <v>100</v>
      </c>
      <c r="K33" s="103"/>
      <c r="L33" s="103"/>
      <c r="M33" s="103"/>
      <c r="N33" s="103"/>
      <c r="O33" s="103"/>
      <c r="P33" s="104" t="s">
        <v>102</v>
      </c>
      <c r="Q33" s="104"/>
      <c r="R33" s="104" t="s">
        <v>103</v>
      </c>
      <c r="S33" s="104" t="s">
        <v>104</v>
      </c>
      <c r="T33" s="105" t="s">
        <v>105</v>
      </c>
      <c r="U33" s="105" t="s">
        <v>106</v>
      </c>
      <c r="V33" s="105" t="s">
        <v>107</v>
      </c>
      <c r="W33" s="105" t="s">
        <v>108</v>
      </c>
      <c r="X33" s="105" t="s">
        <v>109</v>
      </c>
      <c r="Y33" s="105" t="s">
        <v>110</v>
      </c>
      <c r="Z33" s="105" t="s">
        <v>111</v>
      </c>
      <c r="AA33" s="105" t="s">
        <v>112</v>
      </c>
      <c r="AB33" s="105" t="s">
        <v>113</v>
      </c>
      <c r="AC33" s="106" t="s">
        <v>114</v>
      </c>
      <c r="AD33" s="107" t="s">
        <v>115</v>
      </c>
      <c r="AE33" s="107" t="s">
        <v>116</v>
      </c>
      <c r="AF33" s="107" t="s">
        <v>117</v>
      </c>
      <c r="AG33" s="107" t="s">
        <v>118</v>
      </c>
      <c r="AH33" s="107" t="s">
        <v>119</v>
      </c>
      <c r="AI33" s="108" t="s">
        <v>120</v>
      </c>
      <c r="AJ33" s="107" t="s">
        <v>121</v>
      </c>
      <c r="AK33" s="108" t="s">
        <v>122</v>
      </c>
      <c r="AL33" s="107" t="s">
        <v>123</v>
      </c>
      <c r="AM33" s="107" t="s">
        <v>124</v>
      </c>
      <c r="AN33" s="107" t="s">
        <v>125</v>
      </c>
      <c r="AO33" s="107" t="s">
        <v>126</v>
      </c>
      <c r="AP33" s="107" t="s">
        <v>127</v>
      </c>
      <c r="AQ33" s="108" t="s">
        <v>128</v>
      </c>
      <c r="AR33" s="107" t="s">
        <v>129</v>
      </c>
      <c r="AS33" s="107" t="s">
        <v>130</v>
      </c>
      <c r="AT33" s="109" t="s">
        <v>131</v>
      </c>
      <c r="AU33" s="108" t="s">
        <v>132</v>
      </c>
      <c r="AV33" s="108" t="s">
        <v>133</v>
      </c>
      <c r="AW33" s="108" t="s">
        <v>134</v>
      </c>
      <c r="AX33" s="107" t="s">
        <v>135</v>
      </c>
      <c r="AY33" s="107" t="s">
        <v>136</v>
      </c>
      <c r="AZ33" s="107" t="s">
        <v>137</v>
      </c>
      <c r="BA33" s="107" t="s">
        <v>138</v>
      </c>
      <c r="BB33" s="110" t="s">
        <v>139</v>
      </c>
    </row>
    <row r="34" customFormat="false" ht="14.25" hidden="false" customHeight="true" outlineLevel="0" collapsed="false">
      <c r="C34" s="100"/>
      <c r="D34" s="101"/>
      <c r="E34" s="101"/>
      <c r="F34" s="102"/>
      <c r="G34" s="103"/>
      <c r="H34" s="102"/>
      <c r="I34" s="102"/>
      <c r="J34" s="102"/>
      <c r="K34" s="111"/>
      <c r="L34" s="111"/>
      <c r="M34" s="111"/>
      <c r="N34" s="112" t="s">
        <v>29</v>
      </c>
      <c r="O34" s="111"/>
      <c r="P34" s="112" t="s">
        <v>140</v>
      </c>
      <c r="Q34" s="112" t="s">
        <v>141</v>
      </c>
      <c r="R34" s="112" t="s">
        <v>142</v>
      </c>
      <c r="S34" s="112" t="s">
        <v>143</v>
      </c>
      <c r="T34" s="113" t="s">
        <v>142</v>
      </c>
      <c r="U34" s="113" t="s">
        <v>143</v>
      </c>
      <c r="V34" s="113" t="s">
        <v>142</v>
      </c>
      <c r="W34" s="113" t="s">
        <v>143</v>
      </c>
      <c r="X34" s="113" t="s">
        <v>142</v>
      </c>
      <c r="Y34" s="113" t="s">
        <v>143</v>
      </c>
      <c r="Z34" s="113" t="s">
        <v>142</v>
      </c>
      <c r="AA34" s="113" t="s">
        <v>143</v>
      </c>
      <c r="AB34" s="113" t="s">
        <v>142</v>
      </c>
      <c r="AC34" s="114" t="s">
        <v>143</v>
      </c>
      <c r="AD34" s="115" t="s">
        <v>144</v>
      </c>
      <c r="AE34" s="115" t="s">
        <v>144</v>
      </c>
      <c r="AF34" s="115" t="s">
        <v>144</v>
      </c>
      <c r="AG34" s="115" t="s">
        <v>144</v>
      </c>
      <c r="AH34" s="115" t="s">
        <v>144</v>
      </c>
      <c r="AI34" s="115" t="s">
        <v>144</v>
      </c>
      <c r="AJ34" s="115" t="s">
        <v>144</v>
      </c>
      <c r="AK34" s="115" t="s">
        <v>144</v>
      </c>
      <c r="AL34" s="115" t="s">
        <v>144</v>
      </c>
      <c r="AM34" s="115" t="s">
        <v>144</v>
      </c>
      <c r="AN34" s="115" t="s">
        <v>144</v>
      </c>
      <c r="AO34" s="115" t="s">
        <v>144</v>
      </c>
      <c r="AP34" s="115" t="s">
        <v>144</v>
      </c>
      <c r="AQ34" s="115" t="s">
        <v>144</v>
      </c>
      <c r="AR34" s="115" t="s">
        <v>144</v>
      </c>
      <c r="AS34" s="115" t="s">
        <v>144</v>
      </c>
      <c r="AT34" s="115" t="s">
        <v>144</v>
      </c>
      <c r="AU34" s="115" t="s">
        <v>144</v>
      </c>
      <c r="AV34" s="115" t="s">
        <v>144</v>
      </c>
      <c r="AW34" s="115" t="s">
        <v>144</v>
      </c>
      <c r="AX34" s="115" t="s">
        <v>144</v>
      </c>
      <c r="AY34" s="115" t="s">
        <v>144</v>
      </c>
      <c r="AZ34" s="115" t="s">
        <v>144</v>
      </c>
      <c r="BA34" s="115" t="s">
        <v>144</v>
      </c>
      <c r="BB34" s="115" t="s">
        <v>144</v>
      </c>
    </row>
    <row r="35" customFormat="false" ht="15.75" hidden="false" customHeight="false" outlineLevel="0" collapsed="false">
      <c r="A35" s="116" t="n">
        <f aca="false">IF(ISBLANK(VLOOKUP(D35,#REF!,3)),0,1)</f>
        <v>1</v>
      </c>
      <c r="B35" s="117" t="n">
        <f aca="false">IF(ISBLANK(D35),0,IF(ISBLANK(E35),0,IF(ISBLANK(F35),0,1)))</f>
        <v>0</v>
      </c>
      <c r="C35" s="118" t="n">
        <v>1</v>
      </c>
      <c r="D35" s="119"/>
      <c r="E35" s="120"/>
      <c r="F35" s="121"/>
      <c r="G35" s="122" t="n">
        <v>34.6595</v>
      </c>
      <c r="H35" s="123" t="n">
        <v>2000</v>
      </c>
      <c r="I35" s="124" t="n">
        <v>1003</v>
      </c>
      <c r="J35" s="125"/>
      <c r="K35" s="126"/>
      <c r="L35" s="126"/>
      <c r="M35" s="126"/>
      <c r="N35" s="127"/>
      <c r="O35" s="126"/>
      <c r="P35" s="125" t="n">
        <v>3.579</v>
      </c>
      <c r="Q35" s="125"/>
      <c r="R35" s="125"/>
      <c r="S35" s="128" t="n">
        <v>155.6</v>
      </c>
      <c r="T35" s="129" t="n">
        <v>0.0210514895815395</v>
      </c>
      <c r="U35" s="129" t="n">
        <v>0.020571292662638</v>
      </c>
      <c r="X35" s="130" t="n">
        <v>33.1389485104185</v>
      </c>
      <c r="Y35" s="130" t="n">
        <v>32.3830295095942</v>
      </c>
      <c r="Z35" s="129" t="n">
        <v>2.234</v>
      </c>
      <c r="AA35" s="129" t="n">
        <v>2.18304113969366</v>
      </c>
      <c r="AB35" s="130" t="n">
        <v>31.07</v>
      </c>
      <c r="AC35" s="130" t="n">
        <v>30.3612749374584</v>
      </c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2"/>
    </row>
    <row r="36" customFormat="false" ht="15.75" hidden="false" customHeight="false" outlineLevel="0" collapsed="false">
      <c r="A36" s="116" t="n">
        <f aca="false">IF(ISBLANK(VLOOKUP(D36,#REF!,3)),0,1)</f>
        <v>1</v>
      </c>
      <c r="B36" s="117" t="n">
        <f aca="false">IF(ISBLANK(D36),0,IF(ISBLANK(E36),0,IF(ISBLANK(F36),0,1)))</f>
        <v>0</v>
      </c>
      <c r="C36" s="133" t="n">
        <v>2</v>
      </c>
      <c r="D36" s="134"/>
      <c r="E36" s="134"/>
      <c r="F36" s="135"/>
      <c r="G36" s="122" t="n">
        <v>35.1769</v>
      </c>
      <c r="H36" s="124" t="n">
        <v>300</v>
      </c>
      <c r="I36" s="124" t="n">
        <v>300</v>
      </c>
      <c r="J36" s="136"/>
      <c r="K36" s="137"/>
      <c r="L36" s="137"/>
      <c r="M36" s="137"/>
      <c r="N36" s="138"/>
      <c r="O36" s="137"/>
      <c r="P36" s="136" t="n">
        <v>1.713</v>
      </c>
      <c r="Q36" s="136"/>
      <c r="R36" s="136"/>
      <c r="S36" s="139" t="n">
        <v>74.6</v>
      </c>
      <c r="T36" s="129" t="n">
        <v>0.0296617874978474</v>
      </c>
      <c r="U36" s="129" t="n">
        <v>0.0289851845947413</v>
      </c>
      <c r="X36" s="130" t="n">
        <v>28.5803382125022</v>
      </c>
      <c r="Y36" s="130" t="n">
        <v>27.9284038067373</v>
      </c>
      <c r="Z36" s="129" t="n">
        <v>1.793</v>
      </c>
      <c r="AA36" s="129" t="n">
        <v>1.7521006103271</v>
      </c>
      <c r="AB36" s="130" t="n">
        <v>11.34</v>
      </c>
      <c r="AC36" s="130" t="n">
        <v>11.0813278979974</v>
      </c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1"/>
    </row>
    <row r="37" customFormat="false" ht="15.75" hidden="false" customHeight="false" outlineLevel="0" collapsed="false">
      <c r="A37" s="116" t="n">
        <f aca="false">IF(ISBLANK(VLOOKUP(D37,#REF!,3)),0,1)</f>
        <v>1</v>
      </c>
      <c r="B37" s="117" t="n">
        <f aca="false">IF(ISBLANK(D37),0,IF(ISBLANK(E37),0,IF(ISBLANK(F37),0,1)))</f>
        <v>0</v>
      </c>
      <c r="C37" s="133" t="n">
        <v>3</v>
      </c>
      <c r="D37" s="134"/>
      <c r="E37" s="134"/>
      <c r="F37" s="142"/>
      <c r="G37" s="122" t="n">
        <v>35.5843</v>
      </c>
      <c r="H37" s="124" t="n">
        <v>160</v>
      </c>
      <c r="I37" s="124" t="n">
        <v>160</v>
      </c>
      <c r="J37" s="136"/>
      <c r="K37" s="137"/>
      <c r="L37" s="137"/>
      <c r="M37" s="137"/>
      <c r="N37" s="138"/>
      <c r="O37" s="137"/>
      <c r="P37" s="136" t="n">
        <v>3.03</v>
      </c>
      <c r="Q37" s="136"/>
      <c r="R37" s="136"/>
      <c r="S37" s="139" t="n">
        <v>131.9</v>
      </c>
      <c r="T37" s="129" t="n">
        <v>0.0296617874978474</v>
      </c>
      <c r="U37" s="129" t="n">
        <v>0.0289851845947413</v>
      </c>
      <c r="X37" s="130" t="n">
        <v>16.7903382125022</v>
      </c>
      <c r="Y37" s="130" t="n">
        <v>16.4073406746924</v>
      </c>
      <c r="Z37" s="129" t="n">
        <v>1.161</v>
      </c>
      <c r="AA37" s="129" t="n">
        <v>1.13451690384259</v>
      </c>
      <c r="AB37" s="130" t="n">
        <v>6.77</v>
      </c>
      <c r="AC37" s="130" t="n">
        <v>6.61557229889261</v>
      </c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1"/>
    </row>
    <row r="38" customFormat="false" ht="15.75" hidden="false" customHeight="false" outlineLevel="0" collapsed="false">
      <c r="A38" s="116" t="n">
        <f aca="false">IF(ISBLANK(VLOOKUP(D38,#REF!,3)),0,1)</f>
        <v>1</v>
      </c>
      <c r="B38" s="117" t="n">
        <f aca="false">IF(ISBLANK(D38),0,IF(ISBLANK(E38),0,IF(ISBLANK(F38),0,1)))</f>
        <v>0</v>
      </c>
      <c r="C38" s="133" t="n">
        <v>4</v>
      </c>
      <c r="D38" s="143"/>
      <c r="E38" s="143"/>
      <c r="F38" s="144"/>
      <c r="G38" s="122" t="n">
        <v>35.6484</v>
      </c>
      <c r="H38" s="124" t="n">
        <v>130</v>
      </c>
      <c r="I38" s="124" t="n">
        <v>130</v>
      </c>
      <c r="J38" s="136"/>
      <c r="K38" s="137"/>
      <c r="L38" s="137"/>
      <c r="M38" s="137"/>
      <c r="N38" s="138"/>
      <c r="O38" s="137"/>
      <c r="P38" s="136" t="n">
        <v>2.544</v>
      </c>
      <c r="Q38" s="136"/>
      <c r="R38" s="136"/>
      <c r="S38" s="139" t="n">
        <v>110.8</v>
      </c>
      <c r="T38" s="129" t="n">
        <v>0.0296617874978474</v>
      </c>
      <c r="U38" s="129" t="n">
        <v>0.0289851845947413</v>
      </c>
      <c r="X38" s="130" t="n">
        <v>18.5303382125022</v>
      </c>
      <c r="Y38" s="130" t="n">
        <v>18.1076502463428</v>
      </c>
      <c r="Z38" s="129" t="n">
        <v>1.243</v>
      </c>
      <c r="AA38" s="129" t="n">
        <v>1.21464643538014</v>
      </c>
      <c r="AB38" s="130" t="n">
        <v>6.28</v>
      </c>
      <c r="AC38" s="130" t="n">
        <v>6.13674948848532</v>
      </c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1"/>
    </row>
    <row r="39" customFormat="false" ht="15.75" hidden="false" customHeight="false" outlineLevel="0" collapsed="false">
      <c r="A39" s="116" t="n">
        <f aca="false">IF(ISBLANK(VLOOKUP(D39,#REF!,3)),0,1)</f>
        <v>1</v>
      </c>
      <c r="B39" s="117" t="n">
        <f aca="false">IF(ISBLANK(D39),0,IF(ISBLANK(E39),0,IF(ISBLANK(F39),0,1)))</f>
        <v>0</v>
      </c>
      <c r="C39" s="133" t="n">
        <v>5</v>
      </c>
      <c r="D39" s="134"/>
      <c r="E39" s="134"/>
      <c r="F39" s="142"/>
      <c r="G39" s="176" t="n">
        <v>35.841</v>
      </c>
      <c r="H39" s="124" t="n">
        <v>100</v>
      </c>
      <c r="I39" s="124" t="n">
        <v>100</v>
      </c>
      <c r="J39" s="136"/>
      <c r="K39" s="137"/>
      <c r="L39" s="137"/>
      <c r="M39" s="137"/>
      <c r="N39" s="138"/>
      <c r="O39" s="137"/>
      <c r="P39" s="136" t="n">
        <v>3.013</v>
      </c>
      <c r="Q39" s="136"/>
      <c r="R39" s="136"/>
      <c r="S39" s="139" t="n">
        <v>131.2</v>
      </c>
      <c r="T39" s="129" t="n">
        <v>0.0727132770793869</v>
      </c>
      <c r="U39" s="129" t="n">
        <v>0.0710546442552578</v>
      </c>
      <c r="X39" s="130" t="n">
        <v>14.0572867229206</v>
      </c>
      <c r="Y39" s="130" t="n">
        <v>13.7366317048367</v>
      </c>
      <c r="Z39" s="129" t="n">
        <v>0.993</v>
      </c>
      <c r="AA39" s="129" t="n">
        <v>0.970349083131516</v>
      </c>
      <c r="AB39" s="130" t="n">
        <v>5.215</v>
      </c>
      <c r="AC39" s="130" t="n">
        <v>5.0960427679062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6"/>
    </row>
    <row r="40" customFormat="false" ht="15.75" hidden="false" customHeight="false" outlineLevel="0" collapsed="false">
      <c r="A40" s="116" t="n">
        <f aca="false">IF(ISBLANK(VLOOKUP(D40,#REF!,3)),0,1)</f>
        <v>1</v>
      </c>
      <c r="B40" s="117" t="n">
        <f aca="false">IF(ISBLANK(D40),0,IF(ISBLANK(E40),0,IF(ISBLANK(F40),0,1)))</f>
        <v>0</v>
      </c>
      <c r="C40" s="133" t="n">
        <v>6</v>
      </c>
      <c r="D40" s="134"/>
      <c r="E40" s="134"/>
      <c r="F40" s="142"/>
      <c r="G40" s="122" t="n">
        <v>35.9262</v>
      </c>
      <c r="H40" s="124" t="n">
        <v>80</v>
      </c>
      <c r="I40" s="124" t="n">
        <v>80</v>
      </c>
      <c r="J40" s="136"/>
      <c r="K40" s="137"/>
      <c r="L40" s="137"/>
      <c r="M40" s="137"/>
      <c r="N40" s="138"/>
      <c r="O40" s="137"/>
      <c r="P40" s="136" t="n">
        <v>3.153</v>
      </c>
      <c r="Q40" s="136"/>
      <c r="R40" s="136"/>
      <c r="S40" s="139" t="n">
        <v>137.3</v>
      </c>
      <c r="T40" s="129" t="n">
        <v>0.115764766660926</v>
      </c>
      <c r="U40" s="129" t="n">
        <v>0.113124103915774</v>
      </c>
      <c r="X40" s="130" t="n">
        <v>12.2842352333391</v>
      </c>
      <c r="Y40" s="130" t="n">
        <v>12.0040245676157</v>
      </c>
      <c r="Z40" s="129" t="n">
        <v>0.884</v>
      </c>
      <c r="AA40" s="129" t="n">
        <v>0.863835437551118</v>
      </c>
      <c r="AB40" s="130" t="n">
        <v>4.8</v>
      </c>
      <c r="AC40" s="130" t="n">
        <v>4.69050916317349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6"/>
    </row>
    <row r="41" customFormat="false" ht="15.75" hidden="false" customHeight="false" outlineLevel="0" collapsed="false">
      <c r="A41" s="116" t="n">
        <f aca="false">IF(ISBLANK(VLOOKUP(D41,#REF!,3)),0,1)</f>
        <v>1</v>
      </c>
      <c r="B41" s="117" t="n">
        <f aca="false">IF(ISBLANK(D41),0,IF(ISBLANK(E41),0,IF(ISBLANK(F41),0,1)))</f>
        <v>0</v>
      </c>
      <c r="C41" s="133" t="n">
        <v>7</v>
      </c>
      <c r="D41" s="134"/>
      <c r="E41" s="134"/>
      <c r="F41" s="142"/>
      <c r="G41" s="122" t="n">
        <v>35.5579</v>
      </c>
      <c r="H41" s="124" t="n">
        <v>60</v>
      </c>
      <c r="I41" s="124" t="n">
        <v>60</v>
      </c>
      <c r="J41" s="136"/>
      <c r="K41" s="137"/>
      <c r="L41" s="137"/>
      <c r="M41" s="137"/>
      <c r="N41" s="138"/>
      <c r="O41" s="137"/>
      <c r="P41" s="136" t="n">
        <v>4.204</v>
      </c>
      <c r="Q41" s="136"/>
      <c r="R41" s="136"/>
      <c r="S41" s="139" t="n">
        <v>183.3</v>
      </c>
      <c r="T41" s="129" t="n">
        <v>0.132985362493542</v>
      </c>
      <c r="U41" s="129" t="n">
        <v>0.129951887779981</v>
      </c>
      <c r="X41" s="130" t="n">
        <v>3.29701463750646</v>
      </c>
      <c r="Y41" s="130" t="n">
        <v>3.22180778507108</v>
      </c>
      <c r="Z41" s="129" t="n">
        <v>0.28</v>
      </c>
      <c r="AA41" s="129" t="n">
        <v>0.273613034518454</v>
      </c>
      <c r="AB41" s="130" t="n">
        <v>2.05</v>
      </c>
      <c r="AC41" s="130" t="n">
        <v>2.00323828843868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6"/>
    </row>
    <row r="42" customFormat="false" ht="15.75" hidden="false" customHeight="false" outlineLevel="0" collapsed="false">
      <c r="A42" s="116" t="n">
        <f aca="false">IF(ISBLANK(VLOOKUP(D42,#REF!,3)),0,1)</f>
        <v>1</v>
      </c>
      <c r="B42" s="117" t="n">
        <f aca="false">IF(ISBLANK(D42),0,IF(ISBLANK(E42),0,IF(ISBLANK(F42),0,1)))</f>
        <v>0</v>
      </c>
      <c r="C42" s="133" t="n">
        <v>8</v>
      </c>
      <c r="D42" s="134"/>
      <c r="E42" s="134"/>
      <c r="F42" s="142"/>
      <c r="G42" s="122" t="n">
        <v>35.3131</v>
      </c>
      <c r="H42" s="124" t="n">
        <v>40</v>
      </c>
      <c r="I42" s="124" t="n">
        <v>40</v>
      </c>
      <c r="J42" s="136"/>
      <c r="K42" s="136"/>
      <c r="L42" s="136"/>
      <c r="M42" s="136"/>
      <c r="N42" s="136"/>
      <c r="O42" s="136"/>
      <c r="P42" s="136" t="n">
        <v>4.694</v>
      </c>
      <c r="Q42" s="136"/>
      <c r="R42" s="136"/>
      <c r="S42" s="139" t="n">
        <v>204.8</v>
      </c>
      <c r="T42" s="129" t="n">
        <v>0.0210514895815395</v>
      </c>
      <c r="U42" s="129" t="n">
        <v>0.020571292662638</v>
      </c>
      <c r="X42" s="130" t="n">
        <v>0.0889485104184605</v>
      </c>
      <c r="Y42" s="130" t="n">
        <v>0.0869195423267545</v>
      </c>
      <c r="Z42" s="129" t="n">
        <v>0.037</v>
      </c>
      <c r="AA42" s="129" t="n">
        <v>0.0361560081327957</v>
      </c>
      <c r="AB42" s="130" t="n">
        <v>1.09</v>
      </c>
      <c r="AC42" s="130" t="n">
        <v>1.06513645580398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6"/>
    </row>
    <row r="43" customFormat="false" ht="15.75" hidden="false" customHeight="false" outlineLevel="0" collapsed="false">
      <c r="A43" s="116" t="n">
        <f aca="false">IF(ISBLANK(VLOOKUP(D43,#REF!,3)),0,1)</f>
        <v>1</v>
      </c>
      <c r="B43" s="117" t="n">
        <f aca="false">IF(ISBLANK(D43),0,IF(ISBLANK(E43),0,IF(ISBLANK(F43),0,1)))</f>
        <v>0</v>
      </c>
      <c r="C43" s="133" t="n">
        <v>9</v>
      </c>
      <c r="D43" s="134"/>
      <c r="E43" s="134"/>
      <c r="F43" s="142"/>
      <c r="G43" s="122" t="n">
        <v>35.3115</v>
      </c>
      <c r="H43" s="124" t="n">
        <v>20</v>
      </c>
      <c r="I43" s="124" t="n">
        <v>20</v>
      </c>
      <c r="J43" s="136"/>
      <c r="K43" s="136"/>
      <c r="L43" s="136"/>
      <c r="M43" s="136"/>
      <c r="N43" s="136"/>
      <c r="O43" s="136"/>
      <c r="P43" s="136" t="n">
        <v>4.684</v>
      </c>
      <c r="Q43" s="136"/>
      <c r="R43" s="136"/>
      <c r="S43" s="139" t="n">
        <v>204.4</v>
      </c>
      <c r="T43" s="129" t="n">
        <v>0.0296617874978474</v>
      </c>
      <c r="U43" s="129" t="n">
        <v>0.0289851845947413</v>
      </c>
      <c r="X43" s="130" t="n">
        <v>0.110338212502153</v>
      </c>
      <c r="Y43" s="130" t="n">
        <v>0.107821332664486</v>
      </c>
      <c r="Z43" s="129" t="n">
        <v>0.033</v>
      </c>
      <c r="AA43" s="129" t="n">
        <v>0.0322472504968178</v>
      </c>
      <c r="AB43" s="130" t="n">
        <v>1.15</v>
      </c>
      <c r="AC43" s="130" t="n">
        <v>1.12376782034365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6"/>
    </row>
    <row r="44" customFormat="false" ht="15.75" hidden="false" customHeight="false" outlineLevel="0" collapsed="false">
      <c r="A44" s="116" t="n">
        <f aca="false">IF(ISBLANK(VLOOKUP(D44,#REF!,3)),0,1)</f>
        <v>1</v>
      </c>
      <c r="B44" s="117" t="n">
        <f aca="false">IF(ISBLANK(D44),0,IF(ISBLANK(E44),0,IF(ISBLANK(F44),0,1)))</f>
        <v>0</v>
      </c>
      <c r="C44" s="133" t="n">
        <v>10</v>
      </c>
      <c r="D44" s="134"/>
      <c r="E44" s="134"/>
      <c r="F44" s="142"/>
      <c r="G44" s="122" t="n">
        <v>35.2959</v>
      </c>
      <c r="H44" s="124" t="n">
        <v>10</v>
      </c>
      <c r="I44" s="124" t="n">
        <v>10</v>
      </c>
      <c r="J44" s="136"/>
      <c r="K44" s="136"/>
      <c r="L44" s="136"/>
      <c r="M44" s="136"/>
      <c r="N44" s="136"/>
      <c r="O44" s="136"/>
      <c r="P44" s="136" t="n">
        <v>4.685</v>
      </c>
      <c r="Q44" s="136"/>
      <c r="R44" s="136"/>
      <c r="S44" s="139" t="n">
        <v>204.5</v>
      </c>
      <c r="T44" s="129" t="n">
        <v>0.0210514895815395</v>
      </c>
      <c r="U44" s="129" t="n">
        <v>0.020571292662638</v>
      </c>
      <c r="X44" s="130" t="n">
        <v>0.0889485104184605</v>
      </c>
      <c r="Y44" s="130" t="n">
        <v>0.0869195423267545</v>
      </c>
      <c r="Z44" s="129" t="n">
        <v>0.036</v>
      </c>
      <c r="AA44" s="129" t="n">
        <v>0.0351788187238012</v>
      </c>
      <c r="AB44" s="130" t="n">
        <v>1.22</v>
      </c>
      <c r="AC44" s="130" t="n">
        <v>1.19217107897326</v>
      </c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1"/>
    </row>
    <row r="45" customFormat="false" ht="15.75" hidden="false" customHeight="false" outlineLevel="0" collapsed="false">
      <c r="A45" s="116" t="n">
        <f aca="false">IF(ISBLANK(VLOOKUP(D45,#REF!,3)),0,1)</f>
        <v>1</v>
      </c>
      <c r="B45" s="117" t="n">
        <f aca="false">IF(ISBLANK(D45),0,IF(ISBLANK(E45),0,IF(ISBLANK(F45),0,1)))</f>
        <v>0</v>
      </c>
      <c r="C45" s="133" t="n">
        <v>11</v>
      </c>
      <c r="D45" s="134"/>
      <c r="E45" s="134"/>
      <c r="F45" s="142"/>
      <c r="G45" s="122" t="n">
        <v>35.2856</v>
      </c>
      <c r="H45" s="124" t="n">
        <v>0</v>
      </c>
      <c r="I45" s="124" t="n">
        <v>1</v>
      </c>
      <c r="J45" s="136"/>
      <c r="K45" s="136"/>
      <c r="L45" s="136"/>
      <c r="M45" s="136"/>
      <c r="N45" s="136"/>
      <c r="O45" s="136"/>
      <c r="P45" s="136" t="n">
        <v>4.679</v>
      </c>
      <c r="Q45" s="136"/>
      <c r="R45" s="136"/>
      <c r="S45" s="139" t="n">
        <v>204.2</v>
      </c>
      <c r="T45" s="129" t="n">
        <v>0.0296617874978474</v>
      </c>
      <c r="U45" s="129" t="n">
        <v>0.0289851845947413</v>
      </c>
      <c r="X45" s="130" t="n">
        <v>0.0803382125021526</v>
      </c>
      <c r="Y45" s="130" t="n">
        <v>0.0785056503946512</v>
      </c>
      <c r="Z45" s="129" t="n">
        <v>0.033</v>
      </c>
      <c r="AA45" s="129" t="n">
        <v>0.0322472504968178</v>
      </c>
      <c r="AB45" s="130" t="n">
        <v>1.02</v>
      </c>
      <c r="AC45" s="130" t="n">
        <v>0.996733197174367</v>
      </c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customFormat="false" ht="15.75" hidden="false" customHeight="false" outlineLevel="0" collapsed="false">
      <c r="A46" s="116" t="n">
        <f aca="false">IF(ISBLANK(VLOOKUP(D46,#REF!,3)),0,1)</f>
        <v>1</v>
      </c>
      <c r="B46" s="117" t="n">
        <f aca="false">IF(ISBLANK(D46),0,IF(ISBLANK(E46),0,IF(ISBLANK(F46),0,1)))</f>
        <v>0</v>
      </c>
      <c r="C46" s="133" t="n">
        <v>12</v>
      </c>
      <c r="D46" s="147"/>
      <c r="E46" s="147"/>
      <c r="F46" s="148"/>
      <c r="G46" s="148"/>
      <c r="H46" s="147"/>
      <c r="I46" s="150"/>
      <c r="J46" s="136" t="str">
        <f aca="false">IF(ISBLANK(D46),"",IF(VLOOKUP(D46,#REF!,2)=0,"",IF(D46&gt;#REF!,"Mauvais numéro",IF(D46&lt;#REF!,"Mauvais numéro",(VLOOKUP(D46,#REF!,3))))))</f>
        <v/>
      </c>
      <c r="K46" s="151" t="str">
        <f aca="false">IF(ISBLANK(E46),"",(0.000824493-(0.0000040899*E46)+(0.000000076438*E46^2)-(0.00000000082467*E46^3)+(0.0000000000053875*E46^4)))</f>
        <v/>
      </c>
      <c r="L46" s="151" t="str">
        <f aca="false">IF(ISBLANK(E46),"",(-0.00000572466+(0.00000010227*E46)-(0.0000000016546*E46^2)))</f>
        <v/>
      </c>
      <c r="M46" s="151" t="str">
        <f aca="false">IF(ISBLANK(E46),"",IF(ISBLANK(G46),(O46+(K46*35)+(L46*35^1.5)+(0.00000048314*35^2)),(O46+(K46*G46)+(L46*G46^1.5)+(0.00000048314*G46^2))))</f>
        <v/>
      </c>
      <c r="N46" s="152" t="str">
        <f aca="false">IF(ISBLANK(D46),"",IF(ISBLANK(G46),J46*(1+0.00001*(35-20)),J46*(1+0.00001*(G46-20))))</f>
        <v/>
      </c>
      <c r="O46" s="151" t="str">
        <f aca="false">IF(ISBLANK(E46),"",(0.999842594+(0.00006793952*E46)-(0.00000909529*E46^2)+(0.0000001001685*E46^3)-(0.000000001120083*E46^4)+(0.000000000006536332*E46^5)))</f>
        <v/>
      </c>
      <c r="P46" s="153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4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5"/>
      <c r="S46" s="155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1"/>
    </row>
    <row r="47" customFormat="false" ht="15.75" hidden="false" customHeight="false" outlineLevel="0" collapsed="false">
      <c r="A47" s="116" t="n">
        <f aca="false">IF(ISBLANK(VLOOKUP(D47,#REF!,3)),0,1)</f>
        <v>1</v>
      </c>
      <c r="B47" s="117" t="n">
        <f aca="false">IF(ISBLANK(D47),0,IF(ISBLANK(E47),0,IF(ISBLANK(F47),0,1)))</f>
        <v>0</v>
      </c>
      <c r="C47" s="133" t="n">
        <v>13</v>
      </c>
      <c r="D47" s="156"/>
      <c r="E47" s="156"/>
      <c r="F47" s="157"/>
      <c r="G47" s="157"/>
      <c r="H47" s="156"/>
      <c r="I47" s="156"/>
      <c r="J47" s="136" t="str">
        <f aca="false">IF(ISBLANK(D47),"",IF(VLOOKUP(D47,#REF!,2)=0,"",IF(D47&gt;#REF!,"Mauvais numéro",IF(D47&lt;#REF!,"Mauvais numéro",(VLOOKUP(D47,#REF!,3))))))</f>
        <v/>
      </c>
      <c r="K47" s="137" t="str">
        <f aca="false">IF(ISBLANK(E47),"",(0.000824493-(0.0000040899*E47)+(0.000000076438*E47^2)-(0.00000000082467*E47^3)+(0.0000000000053875*E47^4)))</f>
        <v/>
      </c>
      <c r="L47" s="137" t="str">
        <f aca="false">IF(ISBLANK(E47),"",(-0.00000572466+(0.00000010227*E47)-(0.0000000016546*E47^2)))</f>
        <v/>
      </c>
      <c r="M47" s="137" t="str">
        <f aca="false">IF(ISBLANK(E47),"",IF(ISBLANK(G47),(O47+(K47*35)+(L47*35^1.5)+(0.00000048314*35^2)),(O47+(K47*G47)+(L47*G47^1.5)+(0.00000048314*G47^2))))</f>
        <v/>
      </c>
      <c r="N47" s="138" t="str">
        <f aca="false">IF(ISBLANK(D47),"",IF(ISBLANK(G47),J47*(1+0.00001*(35-20)),J47*(1+0.00001*(G47-20))))</f>
        <v/>
      </c>
      <c r="O47" s="137" t="str">
        <f aca="false">IF(ISBLANK(E47),"",(0.999842594+(0.00006793952*E47)-(0.00000909529*E47^2)+(0.0000001001685*E47^3)-(0.000000001120083*E47^4)+(0.000000000006536332*E47^5)))</f>
        <v/>
      </c>
      <c r="P47" s="159"/>
      <c r="Q47" s="154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60"/>
      <c r="S47" s="159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1"/>
    </row>
    <row r="48" customFormat="false" ht="15.75" hidden="false" customHeight="false" outlineLevel="0" collapsed="false">
      <c r="A48" s="116" t="n">
        <f aca="false">IF(ISBLANK(VLOOKUP(D48,#REF!,3)),0,1)</f>
        <v>1</v>
      </c>
      <c r="B48" s="117" t="n">
        <f aca="false">IF(ISBLANK(D48),0,IF(ISBLANK(E48),0,IF(ISBLANK(F48),0,1)))</f>
        <v>0</v>
      </c>
      <c r="C48" s="133" t="n">
        <v>14</v>
      </c>
      <c r="D48" s="156"/>
      <c r="E48" s="156"/>
      <c r="F48" s="157"/>
      <c r="G48" s="158"/>
      <c r="H48" s="156"/>
      <c r="I48" s="156"/>
      <c r="J48" s="136" t="str">
        <f aca="false">IF(ISBLANK(D48),"",IF(VLOOKUP(D48,#REF!,2)=0,"",IF(D48&gt;#REF!,"Mauvais numéro",IF(D48&lt;#REF!,"Mauvais numéro",(VLOOKUP(D48,#REF!,3))))))</f>
        <v/>
      </c>
      <c r="K48" s="137" t="str">
        <f aca="false">IF(ISBLANK(E48),"",(0.000824493-(0.0000040899*E48)+(0.000000076438*E48^2)-(0.00000000082467*E48^3)+(0.0000000000053875*E48^4)))</f>
        <v/>
      </c>
      <c r="L48" s="137" t="str">
        <f aca="false">IF(ISBLANK(E48),"",(-0.00000572466+(0.00000010227*E48)-(0.0000000016546*E48^2)))</f>
        <v/>
      </c>
      <c r="M48" s="137" t="str">
        <f aca="false">IF(ISBLANK(E48),"",IF(ISBLANK(G48),(O48+(K48*35)+(L48*35^1.5)+(0.00000048314*35^2)),(O48+(K48*G48)+(L48*G48^1.5)+(0.00000048314*G48^2))))</f>
        <v/>
      </c>
      <c r="N48" s="138" t="str">
        <f aca="false">IF(ISBLANK(D48),"",IF(ISBLANK(G48),J48*(1+0.00001*(35-20)),J48*(1+0.00001*(G48-20))))</f>
        <v/>
      </c>
      <c r="O48" s="137" t="str">
        <f aca="false">IF(ISBLANK(E48),"",(0.999842594+(0.00006793952*E48)-(0.00000909529*E48^2)+(0.0000001001685*E48^3)-(0.000000001120083*E48^4)+(0.000000000006536332*E48^5)))</f>
        <v/>
      </c>
      <c r="P48" s="159"/>
      <c r="Q48" s="154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0"/>
      <c r="S48" s="159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0"/>
      <c r="AK48" s="140"/>
      <c r="AL48" s="140"/>
      <c r="AM48" s="140"/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1"/>
    </row>
    <row r="49" customFormat="false" ht="15.75" hidden="false" customHeight="false" outlineLevel="0" collapsed="false">
      <c r="A49" s="116" t="n">
        <f aca="false">IF(ISBLANK(VLOOKUP(D49,#REF!,3)),0,1)</f>
        <v>1</v>
      </c>
      <c r="B49" s="117" t="n">
        <f aca="false">IF(ISBLANK(D49),0,IF(ISBLANK(E49),0,IF(ISBLANK(F49),0,1)))</f>
        <v>0</v>
      </c>
      <c r="C49" s="133" t="n">
        <v>15</v>
      </c>
      <c r="D49" s="156"/>
      <c r="E49" s="156"/>
      <c r="F49" s="157"/>
      <c r="G49" s="161"/>
      <c r="H49" s="156"/>
      <c r="I49" s="156"/>
      <c r="J49" s="136" t="str">
        <f aca="false">IF(ISBLANK(D49),"",IF(VLOOKUP(D49,#REF!,2)=0,"",IF(D49&gt;#REF!,"Mauvais numéro",IF(D49&lt;#REF!,"Mauvais numéro",(VLOOKUP(D49,#REF!,3))))))</f>
        <v/>
      </c>
      <c r="K49" s="137" t="str">
        <f aca="false">IF(ISBLANK(E49),"",(0.000824493-(0.0000040899*E49)+(0.000000076438*E49^2)-(0.00000000082467*E49^3)+(0.0000000000053875*E49^4)))</f>
        <v/>
      </c>
      <c r="L49" s="137" t="str">
        <f aca="false">IF(ISBLANK(E49),"",(-0.00000572466+(0.00000010227*E49)-(0.0000000016546*E49^2)))</f>
        <v/>
      </c>
      <c r="M49" s="137" t="str">
        <f aca="false">IF(ISBLANK(E49),"",IF(ISBLANK(G49),(O49+(K49*35)+(L49*35^1.5)+(0.00000048314*35^2)),(O49+(K49*G49)+(L49*G49^1.5)+(0.00000048314*G49^2))))</f>
        <v/>
      </c>
      <c r="N49" s="138" t="str">
        <f aca="false">IF(ISBLANK(D49),"",IF(ISBLANK(G49),J49*(1+0.00001*(35-20)),J49*(1+0.00001*(G49-20))))</f>
        <v/>
      </c>
      <c r="O49" s="137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4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0"/>
      <c r="S49" s="160"/>
      <c r="T49" s="34"/>
      <c r="U49" s="34"/>
      <c r="V49" s="163"/>
      <c r="W49" s="163"/>
      <c r="X49" s="163"/>
      <c r="Y49" s="163"/>
      <c r="Z49" s="34"/>
      <c r="AA49" s="34"/>
      <c r="AB49" s="163"/>
      <c r="AC49" s="163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1"/>
    </row>
    <row r="50" customFormat="false" ht="15.75" hidden="false" customHeight="false" outlineLevel="0" collapsed="false">
      <c r="A50" s="116" t="n">
        <f aca="false">IF(ISBLANK(VLOOKUP(D50,#REF!,3)),0,1)</f>
        <v>1</v>
      </c>
      <c r="B50" s="117" t="n">
        <f aca="false">IF(ISBLANK(D50),0,IF(ISBLANK(E50),0,IF(ISBLANK(F50),0,1)))</f>
        <v>0</v>
      </c>
      <c r="C50" s="133" t="n">
        <v>16</v>
      </c>
      <c r="D50" s="156"/>
      <c r="E50" s="156"/>
      <c r="F50" s="157"/>
      <c r="G50" s="161"/>
      <c r="H50" s="156"/>
      <c r="I50" s="156"/>
      <c r="J50" s="136" t="str">
        <f aca="false">IF(ISBLANK(D50),"",IF(VLOOKUP(D50,#REF!,2)=0,"",IF(D50&gt;#REF!,"Mauvais numéro",IF(D50&lt;#REF!,"Mauvais numéro",(VLOOKUP(D50,#REF!,3))))))</f>
        <v/>
      </c>
      <c r="K50" s="137" t="str">
        <f aca="false">IF(ISBLANK(E50),"",(0.000824493-(0.0000040899*E50)+(0.000000076438*E50^2)-(0.00000000082467*E50^3)+(0.0000000000053875*E50^4)))</f>
        <v/>
      </c>
      <c r="L50" s="137" t="str">
        <f aca="false">IF(ISBLANK(E50),"",(-0.00000572466+(0.00000010227*E50)-(0.0000000016546*E50^2)))</f>
        <v/>
      </c>
      <c r="M50" s="137" t="str">
        <f aca="false">IF(ISBLANK(E50),"",IF(ISBLANK(G50),(O50+(K50*35)+(L50*35^1.5)+(0.00000048314*35^2)),(O50+(K50*G50)+(L50*G50^1.5)+(0.00000048314*G50^2))))</f>
        <v/>
      </c>
      <c r="N50" s="138" t="str">
        <f aca="false">IF(ISBLANK(D50),"",IF(ISBLANK(G50),J50*(1+0.00001*(35-20)),J50*(1+0.00001*(G50-20))))</f>
        <v/>
      </c>
      <c r="O50" s="137" t="str">
        <f aca="false">IF(ISBLANK(E50),"",(0.999842594+(0.00006793952*E50)-(0.00000909529*E50^2)+(0.0000001001685*E50^3)-(0.000000001120083*E50^4)+(0.000000000006536332*E50^5)))</f>
        <v/>
      </c>
      <c r="P50" s="162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4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60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1"/>
    </row>
    <row r="51" customFormat="false" ht="15.75" hidden="false" customHeight="false" outlineLevel="0" collapsed="false">
      <c r="A51" s="116" t="n">
        <f aca="false">IF(ISBLANK(VLOOKUP(D51,#REF!,3)),0,1)</f>
        <v>1</v>
      </c>
      <c r="B51" s="117" t="n">
        <f aca="false">IF(ISBLANK(D51),0,IF(ISBLANK(E51),0,IF(ISBLANK(F51),0,1)))</f>
        <v>0</v>
      </c>
      <c r="C51" s="133" t="n">
        <v>17</v>
      </c>
      <c r="D51" s="156"/>
      <c r="E51" s="156"/>
      <c r="F51" s="157"/>
      <c r="G51" s="161"/>
      <c r="H51" s="156"/>
      <c r="I51" s="156"/>
      <c r="J51" s="136" t="str">
        <f aca="false">IF(ISBLANK(D51),"",IF(VLOOKUP(D51,#REF!,2)=0,"",IF(D51&gt;#REF!,"Mauvais numéro",IF(D51&lt;#REF!,"Mauvais numéro",(VLOOKUP(D51,#REF!,3))))))</f>
        <v/>
      </c>
      <c r="K51" s="137" t="str">
        <f aca="false">IF(ISBLANK(E51),"",(0.000824493-(0.0000040899*E51)+(0.000000076438*E51^2)-(0.00000000082467*E51^3)+(0.0000000000053875*E51^4)))</f>
        <v/>
      </c>
      <c r="L51" s="137" t="str">
        <f aca="false">IF(ISBLANK(E51),"",(-0.00000572466+(0.00000010227*E51)-(0.0000000016546*E51^2)))</f>
        <v/>
      </c>
      <c r="M51" s="137" t="str">
        <f aca="false">IF(ISBLANK(E51),"",IF(ISBLANK(G51),(O51+(K51*35)+(L51*35^1.5)+(0.00000048314*35^2)),(O51+(K51*G51)+(L51*G51^1.5)+(0.00000048314*G51^2))))</f>
        <v/>
      </c>
      <c r="N51" s="138" t="str">
        <f aca="false">IF(ISBLANK(D51),"",IF(ISBLANK(G51),J51*(1+0.00001*(35-20)),J51*(1+0.00001*(G51-20))))</f>
        <v/>
      </c>
      <c r="O51" s="137" t="str">
        <f aca="false">IF(ISBLANK(E51),"",(0.999842594+(0.00006793952*E51)-(0.00000909529*E51^2)+(0.0000001001685*E51^3)-(0.000000001120083*E51^4)+(0.000000000006536332*E51^5)))</f>
        <v/>
      </c>
      <c r="P51" s="162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4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60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163"/>
      <c r="W51" s="163"/>
      <c r="X51" s="163"/>
      <c r="Y51" s="163"/>
      <c r="Z51" s="34"/>
      <c r="AA51" s="34"/>
      <c r="AB51" s="163"/>
      <c r="AC51" s="163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1"/>
    </row>
    <row r="52" customFormat="false" ht="15.75" hidden="false" customHeight="false" outlineLevel="0" collapsed="false">
      <c r="A52" s="116" t="n">
        <f aca="false">IF(ISBLANK(VLOOKUP(D52,#REF!,3)),0,1)</f>
        <v>1</v>
      </c>
      <c r="B52" s="117" t="n">
        <f aca="false">IF(ISBLANK(D52),0,IF(ISBLANK(E52),0,IF(ISBLANK(F52),0,1)))</f>
        <v>0</v>
      </c>
      <c r="C52" s="133" t="n">
        <v>18</v>
      </c>
      <c r="D52" s="156"/>
      <c r="E52" s="156"/>
      <c r="F52" s="157"/>
      <c r="G52" s="161"/>
      <c r="H52" s="156"/>
      <c r="I52" s="156"/>
      <c r="J52" s="136" t="str">
        <f aca="false">IF(ISBLANK(D52),"",IF(VLOOKUP(D52,#REF!,2)=0,"",IF(D52&gt;#REF!,"Mauvais numéro",IF(D52&lt;#REF!,"Mauvais numéro",(VLOOKUP(D52,#REF!,3))))))</f>
        <v/>
      </c>
      <c r="K52" s="137" t="str">
        <f aca="false">IF(ISBLANK(E52),"",(0.000824493-(0.0000040899*E52)+(0.000000076438*E52^2)-(0.00000000082467*E52^3)+(0.0000000000053875*E52^4)))</f>
        <v/>
      </c>
      <c r="L52" s="137" t="str">
        <f aca="false">IF(ISBLANK(E52),"",(-0.00000572466+(0.00000010227*E52)-(0.0000000016546*E52^2)))</f>
        <v/>
      </c>
      <c r="M52" s="137" t="str">
        <f aca="false">IF(ISBLANK(E52),"",IF(ISBLANK(G52),(O52+(K52*35)+(L52*35^1.5)+(0.00000048314*35^2)),(O52+(K52*G52)+(L52*G52^1.5)+(0.00000048314*G52^2))))</f>
        <v/>
      </c>
      <c r="N52" s="138" t="str">
        <f aca="false">IF(ISBLANK(D52),"",IF(ISBLANK(G52),J52*(1+0.00001*(35-20)),J52*(1+0.00001*(G52-20))))</f>
        <v/>
      </c>
      <c r="O52" s="137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4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0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1"/>
    </row>
    <row r="53" customFormat="false" ht="15.75" hidden="false" customHeight="false" outlineLevel="0" collapsed="false">
      <c r="A53" s="116" t="n">
        <f aca="false">IF(ISBLANK(VLOOKUP(D53,#REF!,3)),0,1)</f>
        <v>1</v>
      </c>
      <c r="B53" s="117" t="n">
        <f aca="false">IF(ISBLANK(D53),0,IF(ISBLANK(E53),0,IF(ISBLANK(F53),0,1)))</f>
        <v>0</v>
      </c>
      <c r="C53" s="133" t="n">
        <v>19</v>
      </c>
      <c r="D53" s="156"/>
      <c r="E53" s="156"/>
      <c r="F53" s="157"/>
      <c r="G53" s="161"/>
      <c r="H53" s="156"/>
      <c r="I53" s="156"/>
      <c r="J53" s="136" t="str">
        <f aca="false">IF(ISBLANK(D53),"",IF(VLOOKUP(D53,#REF!,2)=0,"",IF(D53&gt;#REF!,"Mauvais numéro",IF(D53&lt;#REF!,"Mauvais numéro",(VLOOKUP(D53,#REF!,3))))))</f>
        <v/>
      </c>
      <c r="K53" s="137" t="str">
        <f aca="false">IF(ISBLANK(E53),"",(0.000824493-(0.0000040899*E53)+(0.000000076438*E53^2)-(0.00000000082467*E53^3)+(0.0000000000053875*E53^4)))</f>
        <v/>
      </c>
      <c r="L53" s="137" t="str">
        <f aca="false">IF(ISBLANK(E53),"",(-0.00000572466+(0.00000010227*E53)-(0.0000000016546*E53^2)))</f>
        <v/>
      </c>
      <c r="M53" s="137" t="str">
        <f aca="false">IF(ISBLANK(E53),"",IF(ISBLANK(G53),(O53+(K53*35)+(L53*35^1.5)+(0.00000048314*35^2)),(O53+(K53*G53)+(L53*G53^1.5)+(0.00000048314*G53^2))))</f>
        <v/>
      </c>
      <c r="N53" s="138" t="str">
        <f aca="false">IF(ISBLANK(D53),"",IF(ISBLANK(G53),J53*(1+0.00001*(35-20)),J53*(1+0.00001*(G53-20))))</f>
        <v/>
      </c>
      <c r="O53" s="137" t="str">
        <f aca="false">IF(ISBLANK(E53),"",(0.999842594+(0.00006793952*E53)-(0.00000909529*E53^2)+(0.0000001001685*E53^3)-(0.000000001120083*E53^4)+(0.000000000006536332*E53^5)))</f>
        <v/>
      </c>
      <c r="P53" s="162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4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60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1"/>
    </row>
    <row r="54" customFormat="false" ht="15.75" hidden="false" customHeight="false" outlineLevel="0" collapsed="false">
      <c r="A54" s="116" t="n">
        <f aca="false">IF(ISBLANK(VLOOKUP(D54,#REF!,3)),0,1)</f>
        <v>1</v>
      </c>
      <c r="B54" s="117" t="n">
        <f aca="false">IF(ISBLANK(D54),0,IF(ISBLANK(E54),0,IF(ISBLANK(F54),0,1)))</f>
        <v>0</v>
      </c>
      <c r="C54" s="133" t="n">
        <v>20</v>
      </c>
      <c r="D54" s="156"/>
      <c r="E54" s="156"/>
      <c r="F54" s="157"/>
      <c r="G54" s="161"/>
      <c r="H54" s="156"/>
      <c r="I54" s="156"/>
      <c r="J54" s="136" t="str">
        <f aca="false">IF(ISBLANK(D54),"",IF(VLOOKUP(D54,#REF!,2)=0,"",IF(D54&gt;#REF!,"Mauvais numéro",IF(D54&lt;#REF!,"Mauvais numéro",(VLOOKUP(D54,#REF!,3))))))</f>
        <v/>
      </c>
      <c r="K54" s="137" t="str">
        <f aca="false">IF(ISBLANK(E54),"",(0.000824493-(0.0000040899*E54)+(0.000000076438*E54^2)-(0.00000000082467*E54^3)+(0.0000000000053875*E54^4)))</f>
        <v/>
      </c>
      <c r="L54" s="137" t="str">
        <f aca="false">IF(ISBLANK(E54),"",(-0.00000572466+(0.00000010227*E54)-(0.0000000016546*E54^2)))</f>
        <v/>
      </c>
      <c r="M54" s="137" t="str">
        <f aca="false">IF(ISBLANK(E54),"",IF(ISBLANK(G54),(O54+(K54*35)+(L54*35^1.5)+(0.00000048314*35^2)),(O54+(K54*G54)+(L54*G54^1.5)+(0.00000048314*G54^2))))</f>
        <v/>
      </c>
      <c r="N54" s="138" t="str">
        <f aca="false">IF(ISBLANK(D54),"",IF(ISBLANK(G54),J54*(1+0.00001*(35-20)),J54*(1+0.00001*(G54-20))))</f>
        <v/>
      </c>
      <c r="O54" s="137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4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0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1"/>
    </row>
    <row r="55" customFormat="false" ht="15.75" hidden="false" customHeight="false" outlineLevel="0" collapsed="false">
      <c r="A55" s="116" t="n">
        <f aca="false">IF(ISBLANK(VLOOKUP(D55,#REF!,3)),0,1)</f>
        <v>1</v>
      </c>
      <c r="B55" s="117" t="n">
        <f aca="false">IF(ISBLANK(D55),0,IF(ISBLANK(E55),0,IF(ISBLANK(F55),0,1)))</f>
        <v>0</v>
      </c>
      <c r="C55" s="133" t="n">
        <v>21</v>
      </c>
      <c r="D55" s="156"/>
      <c r="E55" s="156"/>
      <c r="F55" s="157"/>
      <c r="G55" s="161"/>
      <c r="H55" s="156"/>
      <c r="I55" s="156"/>
      <c r="J55" s="136" t="str">
        <f aca="false">IF(ISBLANK(D55),"",IF(VLOOKUP(D55,#REF!,2)=0,"",IF(D55&gt;#REF!,"Mauvais numéro",IF(D55&lt;#REF!,"Mauvais numéro",(VLOOKUP(D55,#REF!,3))))))</f>
        <v/>
      </c>
      <c r="K55" s="137" t="str">
        <f aca="false">IF(ISBLANK(E55),"",(0.000824493-(0.0000040899*E55)+(0.000000076438*E55^2)-(0.00000000082467*E55^3)+(0.0000000000053875*E55^4)))</f>
        <v/>
      </c>
      <c r="L55" s="137" t="str">
        <f aca="false">IF(ISBLANK(E55),"",(-0.00000572466+(0.00000010227*E55)-(0.0000000016546*E55^2)))</f>
        <v/>
      </c>
      <c r="M55" s="137" t="str">
        <f aca="false">IF(ISBLANK(E55),"",IF(ISBLANK(G55),(O55+(K55*35)+(L55*35^1.5)+(0.00000048314*35^2)),(O55+(K55*G55)+(L55*G55^1.5)+(0.00000048314*G55^2))))</f>
        <v/>
      </c>
      <c r="N55" s="138" t="str">
        <f aca="false">IF(ISBLANK(D55),"",IF(ISBLANK(G55),J55*(1+0.00001*(35-20)),J55*(1+0.00001*(G55-20))))</f>
        <v/>
      </c>
      <c r="O55" s="137" t="str">
        <f aca="false">IF(ISBLANK(E55),"",(0.999842594+(0.00006793952*E55)-(0.00000909529*E55^2)+(0.0000001001685*E55^3)-(0.000000001120083*E55^4)+(0.000000000006536332*E55^5)))</f>
        <v/>
      </c>
      <c r="P55" s="162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4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60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1"/>
    </row>
    <row r="56" customFormat="false" ht="15.75" hidden="false" customHeight="false" outlineLevel="0" collapsed="false">
      <c r="A56" s="116" t="n">
        <f aca="false">IF(ISBLANK(VLOOKUP(D56,#REF!,3)),0,1)</f>
        <v>1</v>
      </c>
      <c r="B56" s="117" t="n">
        <f aca="false">IF(ISBLANK(D56),0,IF(ISBLANK(E56),0,IF(ISBLANK(F56),0,1)))</f>
        <v>0</v>
      </c>
      <c r="C56" s="133" t="n">
        <v>22</v>
      </c>
      <c r="D56" s="156"/>
      <c r="E56" s="156"/>
      <c r="F56" s="157"/>
      <c r="G56" s="161"/>
      <c r="H56" s="156"/>
      <c r="I56" s="156"/>
      <c r="J56" s="136" t="str">
        <f aca="false">IF(ISBLANK(D56),"",IF(VLOOKUP(D56,#REF!,2)=0,"",IF(D56&gt;#REF!,"Mauvais numéro",IF(D56&lt;#REF!,"Mauvais numéro",(VLOOKUP(D56,#REF!,3))))))</f>
        <v/>
      </c>
      <c r="K56" s="137" t="str">
        <f aca="false">IF(ISBLANK(E56),"",(0.000824493-(0.0000040899*E56)+(0.000000076438*E56^2)-(0.00000000082467*E56^3)+(0.0000000000053875*E56^4)))</f>
        <v/>
      </c>
      <c r="L56" s="137" t="str">
        <f aca="false">IF(ISBLANK(E56),"",(-0.00000572466+(0.00000010227*E56)-(0.0000000016546*E56^2)))</f>
        <v/>
      </c>
      <c r="M56" s="137" t="str">
        <f aca="false">IF(ISBLANK(E56),"",IF(ISBLANK(G56),(O56+(K56*35)+(L56*35^1.5)+(0.00000048314*35^2)),(O56+(K56*G56)+(L56*G56^1.5)+(0.00000048314*G56^2))))</f>
        <v/>
      </c>
      <c r="N56" s="138" t="str">
        <f aca="false">IF(ISBLANK(D56),"",IF(ISBLANK(G56),J56*(1+0.00001*(35-20)),J56*(1+0.00001*(G56-20))))</f>
        <v/>
      </c>
      <c r="O56" s="137" t="str">
        <f aca="false">IF(ISBLANK(E56),"",(0.999842594+(0.00006793952*E56)-(0.00000909529*E56^2)+(0.0000001001685*E56^3)-(0.000000001120083*E56^4)+(0.000000000006536332*E56^5)))</f>
        <v/>
      </c>
      <c r="P56" s="162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4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60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163"/>
      <c r="W56" s="163"/>
      <c r="X56" s="163"/>
      <c r="Y56" s="163"/>
      <c r="Z56" s="34"/>
      <c r="AA56" s="34"/>
      <c r="AB56" s="163"/>
      <c r="AC56" s="163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1"/>
    </row>
    <row r="57" customFormat="false" ht="15.75" hidden="false" customHeight="false" outlineLevel="0" collapsed="false">
      <c r="A57" s="116" t="n">
        <f aca="false">IF(ISBLANK(VLOOKUP(D57,#REF!,3)),0,1)</f>
        <v>1</v>
      </c>
      <c r="B57" s="117" t="n">
        <f aca="false">IF(ISBLANK(D57),0,IF(ISBLANK(E57),0,IF(ISBLANK(F57),0,1)))</f>
        <v>0</v>
      </c>
      <c r="C57" s="133" t="n">
        <v>23</v>
      </c>
      <c r="D57" s="156"/>
      <c r="E57" s="156"/>
      <c r="F57" s="157"/>
      <c r="G57" s="161"/>
      <c r="H57" s="156"/>
      <c r="I57" s="156"/>
      <c r="J57" s="136" t="str">
        <f aca="false">IF(ISBLANK(D57),"",IF(VLOOKUP(D57,#REF!,2)=0,"",IF(D57&gt;#REF!,"Mauvais numéro",IF(D57&lt;#REF!,"Mauvais numéro",(VLOOKUP(D57,#REF!,3))))))</f>
        <v/>
      </c>
      <c r="K57" s="137" t="str">
        <f aca="false">IF(ISBLANK(E57),"",(0.000824493-(0.0000040899*E57)+(0.000000076438*E57^2)-(0.00000000082467*E57^3)+(0.0000000000053875*E57^4)))</f>
        <v/>
      </c>
      <c r="L57" s="137" t="str">
        <f aca="false">IF(ISBLANK(E57),"",(-0.00000572466+(0.00000010227*E57)-(0.0000000016546*E57^2)))</f>
        <v/>
      </c>
      <c r="M57" s="137" t="str">
        <f aca="false">IF(ISBLANK(E57),"",IF(ISBLANK(G57),(O57+(K57*35)+(L57*35^1.5)+(0.00000048314*35^2)),(O57+(K57*G57)+(L57*G57^1.5)+(0.00000048314*G57^2))))</f>
        <v/>
      </c>
      <c r="N57" s="138" t="str">
        <f aca="false">IF(ISBLANK(D57),"",IF(ISBLANK(G57),J57*(1+0.00001*(35-20)),J57*(1+0.00001*(G57-20))))</f>
        <v/>
      </c>
      <c r="O57" s="137" t="str">
        <f aca="false">IF(ISBLANK(E57),"",(0.999842594+(0.00006793952*E57)-(0.00000909529*E57^2)+(0.0000001001685*E57^3)-(0.000000001120083*E57^4)+(0.000000000006536332*E57^5)))</f>
        <v/>
      </c>
      <c r="P57" s="162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4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60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1"/>
    </row>
    <row r="58" customFormat="false" ht="16.5" hidden="false" customHeight="false" outlineLevel="0" collapsed="false">
      <c r="A58" s="116" t="n">
        <f aca="false">IF(ISBLANK(VLOOKUP(D58,#REF!,3)),0,1)</f>
        <v>1</v>
      </c>
      <c r="B58" s="117" t="n">
        <f aca="false">IF(ISBLANK(D58),0,IF(ISBLANK(E58),0,IF(ISBLANK(F58),0,1)))</f>
        <v>0</v>
      </c>
      <c r="C58" s="164" t="n">
        <v>24</v>
      </c>
      <c r="D58" s="165"/>
      <c r="E58" s="165"/>
      <c r="F58" s="166"/>
      <c r="G58" s="167"/>
      <c r="H58" s="165"/>
      <c r="I58" s="165"/>
      <c r="J58" s="168" t="str">
        <f aca="false">IF(ISBLANK(D58),"",IF(VLOOKUP(D58,#REF!,2)=0,"",IF(D58&gt;#REF!,"Mauvais numéro",IF(D58&lt;#REF!,"Mauvais numéro",(VLOOKUP(D58,#REF!,3))))))</f>
        <v/>
      </c>
      <c r="K58" s="169" t="str">
        <f aca="false">IF(ISBLANK(E58),"",(0.000824493-(0.0000040899*E58)+(0.000000076438*E58^2)-(0.00000000082467*E58^3)+(0.0000000000053875*E58^4)))</f>
        <v/>
      </c>
      <c r="L58" s="169" t="str">
        <f aca="false">IF(ISBLANK(E58),"",(-0.00000572466+(0.00000010227*E58)-(0.0000000016546*E58^2)))</f>
        <v/>
      </c>
      <c r="M58" s="169" t="str">
        <f aca="false">IF(ISBLANK(E58),"",IF(ISBLANK(G58),(O58+(K58*35)+(L58*35^1.5)+(0.00000048314*35^2)),(O58+(K58*G58)+(L58*G58^1.5)+(0.00000048314*G58^2))))</f>
        <v/>
      </c>
      <c r="N58" s="170" t="str">
        <f aca="false">IF(ISBLANK(D58),"",IF(ISBLANK(G58),J58*(1+0.00001*(35-20)),J58*(1+0.00001*(G58-20))))</f>
        <v/>
      </c>
      <c r="O58" s="169" t="str">
        <f aca="false">IF(ISBLANK(E58),"",(0.999842594+(0.00006793952*E58)-(0.00000909529*E58^2)+(0.0000001001685*E58^3)-(0.000000001120083*E58^4)+(0.000000000006536332*E58^5)))</f>
        <v/>
      </c>
      <c r="P58" s="171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72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73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 s="174"/>
      <c r="BA58" s="174"/>
      <c r="BB58" s="175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2020-09-24T16:17:44Z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