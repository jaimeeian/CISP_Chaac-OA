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PIRATA\PIRATA-FR12\data-final\CHIMIE\"/>
    </mc:Choice>
  </mc:AlternateContent>
  <bookViews>
    <workbookView xWindow="12" yWindow="-12" windowWidth="9216" windowHeight="11760" firstSheet="3" activeTab="14"/>
  </bookViews>
  <sheets>
    <sheet name="001_01" sheetId="312" r:id="rId1"/>
    <sheet name="002_01" sheetId="257" r:id="rId2"/>
    <sheet name="003_01" sheetId="258" r:id="rId3"/>
    <sheet name="004_01" sheetId="313" r:id="rId4"/>
    <sheet name="005_01" sheetId="314" r:id="rId5"/>
    <sheet name="006_01" sheetId="315" r:id="rId6"/>
    <sheet name="007_01" sheetId="316" r:id="rId7"/>
    <sheet name="008_01" sheetId="318" r:id="rId8"/>
    <sheet name="009_01" sheetId="320" r:id="rId9"/>
    <sheet name="010_01" sheetId="321" r:id="rId10"/>
    <sheet name="011_01" sheetId="322" r:id="rId11"/>
    <sheet name="012_01" sheetId="323" r:id="rId12"/>
    <sheet name="013_01" sheetId="324" r:id="rId13"/>
    <sheet name="014_01" sheetId="325" r:id="rId14"/>
    <sheet name="015_01" sheetId="326" r:id="rId15"/>
  </sheets>
  <externalReferences>
    <externalReference r:id="rId16"/>
    <externalReference r:id="rId17"/>
  </externalReferences>
  <definedNames>
    <definedName name="Blanc">"$#REF !.$O$15"</definedName>
    <definedName name="Blanc___0">"$#REF !.$E$13"</definedName>
    <definedName name="Blanc___1">"$#REF !.$O$15"</definedName>
    <definedName name="Blanc___10">"$#REF !.$O$15"</definedName>
    <definedName name="Blanc___11">"$#REF !.$O$15"</definedName>
    <definedName name="Blanc___12">"$#REF !.$O$15"</definedName>
    <definedName name="Blanc___13">"$#REF !.$O$15"</definedName>
    <definedName name="Blanc___14">"$#REF !.$O$15"</definedName>
    <definedName name="Blanc___15">"$#REF !.$O$15"</definedName>
    <definedName name="Blanc___16">"$#REF !.$O$15"</definedName>
    <definedName name="Blanc___17">"$#REF !.$O$15"</definedName>
    <definedName name="Blanc___18">"$#REF !.$O$15"</definedName>
    <definedName name="Blanc___19">"$#REF !.$O$15"</definedName>
    <definedName name="Blanc___20">"$#REF !.$O$15"</definedName>
    <definedName name="Blanc___21">"$#REF !.$O$15"</definedName>
    <definedName name="Blanc___22">"$#REF !.$O$15"</definedName>
    <definedName name="Blanc___23">"$#REF !.$O$15"</definedName>
    <definedName name="Blanc___24">"$#REF !.$O$16"</definedName>
    <definedName name="Blanc___24_11">"$#REF !.$O$16"</definedName>
    <definedName name="Blanc___24_13">"$#REF !.$O$16"</definedName>
    <definedName name="Blanc___24_15">"$#REF !.$O$16"</definedName>
    <definedName name="Blanc___24_17">"$#REF !.$O$16"</definedName>
    <definedName name="Blanc___24_19">"$#REF !.$O$16"</definedName>
    <definedName name="Blanc___24_21">"$#REF !.$O$16"</definedName>
    <definedName name="Blanc___24_23">"$#REF !.$O$16"</definedName>
    <definedName name="Blanc___24_25">"$#REF !.$O$16"</definedName>
    <definedName name="Blanc___24_27">"$#REF !.$O$16"</definedName>
    <definedName name="Blanc___24_29">"$#REF !.$O$16"</definedName>
    <definedName name="Blanc___24_31">"$#REF !.$O$16"</definedName>
    <definedName name="Blanc___24_33">"$#REF !.$O$16"</definedName>
    <definedName name="Blanc___24_35">"$#REF !.$O$16"</definedName>
    <definedName name="Blanc___24_37">"$#REF !.$O$16"</definedName>
    <definedName name="Blanc___24_39">"$#REF !.$O$16"</definedName>
    <definedName name="Blanc___24_41">"$#REF !.$O$16"</definedName>
    <definedName name="Blanc___24_43">"$#REF !.$O$16"</definedName>
    <definedName name="Blanc___24_45">"$#REF !.$O$16"</definedName>
    <definedName name="Blanc___24_47">"$#REF !.$O$16"</definedName>
    <definedName name="Blanc___24_49">"$#REF !.$O$16"</definedName>
    <definedName name="Blanc___24_51">"$#REF !.$O$16"</definedName>
    <definedName name="Blanc___24_53">"$#REF !.$O$16"</definedName>
    <definedName name="Blanc___24_55">"$#REF !.$O$16"</definedName>
    <definedName name="Blanc___24_57">"$#REF !.$O$16"</definedName>
    <definedName name="Blanc___24_59">"$#REF !.$O$16"</definedName>
    <definedName name="Blanc___24_61">"$#REF !.$O$16"</definedName>
    <definedName name="Blanc___24_63">"$#REF !.$O$16"</definedName>
    <definedName name="Blanc___24_65">"$#REF !.$O$16"</definedName>
    <definedName name="Blanc___24_67">"$#REF !.$O$16"</definedName>
    <definedName name="Blanc___24_69">"$#REF !.$O$16"</definedName>
    <definedName name="Blanc___24_71">"$#REF !.$O$16"</definedName>
    <definedName name="Blanc___24_73">"$#REF !.$O$16"</definedName>
    <definedName name="Blanc___24_75">"$#REF !.$O$16"</definedName>
    <definedName name="Blanc___24_77">"$#REF !.$O$16"</definedName>
    <definedName name="Blanc___24_79">"$#REF !.$O$16"</definedName>
    <definedName name="Blanc___24_81">"$#REF !.$O$16"</definedName>
    <definedName name="Blanc___24_83">'001_01'!$O$15</definedName>
    <definedName name="Blanc___24_83_2">"$#REF !.$O$16"</definedName>
    <definedName name="Blanc___24_83_3" localSheetId="7">#REF!</definedName>
    <definedName name="Blanc___24_83_3" localSheetId="8">#REF!</definedName>
    <definedName name="Blanc___24_83_3" localSheetId="9">#REF!</definedName>
    <definedName name="Blanc___24_83_3" localSheetId="10">#REF!</definedName>
    <definedName name="Blanc___24_83_3" localSheetId="11">#REF!</definedName>
    <definedName name="Blanc___24_83_3" localSheetId="12">#REF!</definedName>
    <definedName name="Blanc___24_83_3" localSheetId="13">#REF!</definedName>
    <definedName name="Blanc___24_83_3" localSheetId="14">#REF!</definedName>
    <definedName name="Blanc___24_83_3">#REF!</definedName>
    <definedName name="Blanc___24_83_3_1">"$#REF !.$O$16"</definedName>
    <definedName name="Blanc___24_83_4" localSheetId="7">#REF!</definedName>
    <definedName name="Blanc___24_83_4" localSheetId="8">#REF!</definedName>
    <definedName name="Blanc___24_83_4" localSheetId="9">#REF!</definedName>
    <definedName name="Blanc___24_83_4" localSheetId="10">#REF!</definedName>
    <definedName name="Blanc___24_83_4" localSheetId="11">#REF!</definedName>
    <definedName name="Blanc___24_83_4" localSheetId="12">#REF!</definedName>
    <definedName name="Blanc___24_83_4" localSheetId="13">#REF!</definedName>
    <definedName name="Blanc___24_83_4" localSheetId="14">#REF!</definedName>
    <definedName name="Blanc___24_83_4">#REF!</definedName>
    <definedName name="Blanc___24_83_4_1">"$#REF !.$O$16"</definedName>
    <definedName name="Blanc___24_83_5" localSheetId="7">#REF!</definedName>
    <definedName name="Blanc___24_83_5" localSheetId="8">#REF!</definedName>
    <definedName name="Blanc___24_83_5" localSheetId="9">#REF!</definedName>
    <definedName name="Blanc___24_83_5" localSheetId="10">#REF!</definedName>
    <definedName name="Blanc___24_83_5" localSheetId="11">#REF!</definedName>
    <definedName name="Blanc___24_83_5" localSheetId="12">#REF!</definedName>
    <definedName name="Blanc___24_83_5" localSheetId="13">#REF!</definedName>
    <definedName name="Blanc___24_83_5" localSheetId="14">#REF!</definedName>
    <definedName name="Blanc___24_83_5">#REF!</definedName>
    <definedName name="Blanc___24_83_5_1">"$#REF !.$O$16"</definedName>
    <definedName name="Blanc___24_83_6" localSheetId="7">#REF!</definedName>
    <definedName name="Blanc___24_83_6" localSheetId="8">#REF!</definedName>
    <definedName name="Blanc___24_83_6" localSheetId="9">#REF!</definedName>
    <definedName name="Blanc___24_83_6" localSheetId="10">#REF!</definedName>
    <definedName name="Blanc___24_83_6" localSheetId="11">#REF!</definedName>
    <definedName name="Blanc___24_83_6" localSheetId="12">#REF!</definedName>
    <definedName name="Blanc___24_83_6" localSheetId="13">#REF!</definedName>
    <definedName name="Blanc___24_83_6" localSheetId="14">#REF!</definedName>
    <definedName name="Blanc___24_83_6">#REF!</definedName>
    <definedName name="Blanc___24_83_6_1">"$#REF !.$O$16"</definedName>
    <definedName name="Blanc___24_83_7" localSheetId="7">#REF!</definedName>
    <definedName name="Blanc___24_83_7" localSheetId="8">#REF!</definedName>
    <definedName name="Blanc___24_83_7" localSheetId="9">#REF!</definedName>
    <definedName name="Blanc___24_83_7" localSheetId="10">#REF!</definedName>
    <definedName name="Blanc___24_83_7" localSheetId="11">#REF!</definedName>
    <definedName name="Blanc___24_83_7" localSheetId="12">#REF!</definedName>
    <definedName name="Blanc___24_83_7" localSheetId="13">#REF!</definedName>
    <definedName name="Blanc___24_83_7" localSheetId="14">#REF!</definedName>
    <definedName name="Blanc___24_83_7">#REF!</definedName>
    <definedName name="Blanc___24_83_7_1">"$#REF !.$O$16"</definedName>
    <definedName name="Blanc___25">"$#REF !.$O$16"</definedName>
    <definedName name="Blanc___26">"$#REF !.$O$16"</definedName>
    <definedName name="Blanc___27">"$#REF !.$O$16"</definedName>
    <definedName name="Blanc___28">"$#REF !.$O$16"</definedName>
    <definedName name="Blanc___3">"$#REF !.$O$15"</definedName>
    <definedName name="Blanc___33">"$#REF !.$O$15"</definedName>
    <definedName name="Blanc___33_89" localSheetId="7">#REF!</definedName>
    <definedName name="Blanc___33_89" localSheetId="8">#REF!</definedName>
    <definedName name="Blanc___33_89" localSheetId="9">#REF!</definedName>
    <definedName name="Blanc___33_89" localSheetId="10">#REF!</definedName>
    <definedName name="Blanc___33_89" localSheetId="11">#REF!</definedName>
    <definedName name="Blanc___33_89" localSheetId="12">#REF!</definedName>
    <definedName name="Blanc___33_89" localSheetId="13">#REF!</definedName>
    <definedName name="Blanc___33_89" localSheetId="14">#REF!</definedName>
    <definedName name="Blanc___33_89">#REF!</definedName>
    <definedName name="Blanc___4">"$#REF !.$O$15"</definedName>
    <definedName name="Blanc___5">"$#REF !.$O$15"</definedName>
    <definedName name="Blanc___6">"$#REF !.$O$15"</definedName>
    <definedName name="Blanc___7">"$#REF !.$O$15"</definedName>
    <definedName name="Blanc___8">"$#REF !.$O$15"</definedName>
    <definedName name="Blanc___9">"$#REF !.$O$15"</definedName>
    <definedName name="CASSES_1" localSheetId="7">#REF!</definedName>
    <definedName name="CASSES_1" localSheetId="8">#REF!</definedName>
    <definedName name="CASSES_1" localSheetId="9">#REF!</definedName>
    <definedName name="CASSES_1" localSheetId="10">#REF!</definedName>
    <definedName name="CASSES_1" localSheetId="11">#REF!</definedName>
    <definedName name="CASSES_1" localSheetId="12">#REF!</definedName>
    <definedName name="CASSES_1" localSheetId="13">#REF!</definedName>
    <definedName name="CASSES_1" localSheetId="14">#REF!</definedName>
    <definedName name="CASSES_1">#REF!</definedName>
    <definedName name="Correction_10ml">[1]corrections_de_vol_!$G$9</definedName>
    <definedName name="correction_5ml" localSheetId="7">#REF!</definedName>
    <definedName name="correction_5ml" localSheetId="8">#REF!</definedName>
    <definedName name="correction_5ml" localSheetId="9">#REF!</definedName>
    <definedName name="correction_5ml" localSheetId="10">#REF!</definedName>
    <definedName name="correction_5ml" localSheetId="11">#REF!</definedName>
    <definedName name="correction_5ml" localSheetId="12">#REF!</definedName>
    <definedName name="correction_5ml" localSheetId="13">#REF!</definedName>
    <definedName name="correction_5ml" localSheetId="14">#REF!</definedName>
    <definedName name="correction_5ml">#REF!</definedName>
    <definedName name="correction_react" localSheetId="7">#REF!</definedName>
    <definedName name="correction_react" localSheetId="8">#REF!</definedName>
    <definedName name="correction_react" localSheetId="9">#REF!</definedName>
    <definedName name="correction_react" localSheetId="10">#REF!</definedName>
    <definedName name="correction_react" localSheetId="11">#REF!</definedName>
    <definedName name="correction_react" localSheetId="12">#REF!</definedName>
    <definedName name="correction_react" localSheetId="13">#REF!</definedName>
    <definedName name="correction_react" localSheetId="14">#REF!</definedName>
    <definedName name="correction_react">#REF!</definedName>
    <definedName name="densite_eau_pure_20">[2]TITRE_IODATE!$F$14</definedName>
    <definedName name="Flacons_N" localSheetId="7">#REF!</definedName>
    <definedName name="Flacons_N" localSheetId="8">#REF!</definedName>
    <definedName name="Flacons_N" localSheetId="9">#REF!</definedName>
    <definedName name="Flacons_N" localSheetId="10">#REF!</definedName>
    <definedName name="Flacons_N" localSheetId="11">#REF!</definedName>
    <definedName name="Flacons_N" localSheetId="12">#REF!</definedName>
    <definedName name="Flacons_N" localSheetId="13">#REF!</definedName>
    <definedName name="Flacons_N" localSheetId="14">#REF!</definedName>
    <definedName name="Flacons_N">#REF!</definedName>
    <definedName name="N_iodate">"$#REF !.$O$18"</definedName>
    <definedName name="N_iodate___0">"$#REF !.$E$10"</definedName>
    <definedName name="N_iodate___1">"$#REF !.$O$18"</definedName>
    <definedName name="N_iodate___10">"$#REF !.$O$18"</definedName>
    <definedName name="N_iodate___11">"$#REF !.$O$18"</definedName>
    <definedName name="N_iodate___12">"$#REF !.$O$18"</definedName>
    <definedName name="N_iodate___13">"$#REF !.$O$18"</definedName>
    <definedName name="N_iodate___14">"$#REF !.$O$18"</definedName>
    <definedName name="N_iodate___15">"$#REF !.$O$18"</definedName>
    <definedName name="N_iodate___16">"$#REF !.$O$18"</definedName>
    <definedName name="N_iodate___17">"$#REF !.$O$18"</definedName>
    <definedName name="N_iodate___18">"$#REF !.$O$18"</definedName>
    <definedName name="N_iodate___19">"$#REF !.$O$18"</definedName>
    <definedName name="N_iodate___20">"$#REF !.$O$18"</definedName>
    <definedName name="N_iodate___21">"$#REF !.$O$18"</definedName>
    <definedName name="N_iodate___22">"$#REF !.$O$18"</definedName>
    <definedName name="N_iodate___23">"$#REF !.$O$18"</definedName>
    <definedName name="N_iodate___24">"$#REF !.$O$19"</definedName>
    <definedName name="N_iodate___24_11">"$#REF !.$O$19"</definedName>
    <definedName name="N_iodate___24_13">"$#REF !.$O$19"</definedName>
    <definedName name="N_iodate___24_15">"$#REF !.$O$19"</definedName>
    <definedName name="N_iodate___24_17">"$#REF !.$O$19"</definedName>
    <definedName name="N_iodate___24_19">"$#REF !.$O$19"</definedName>
    <definedName name="N_iodate___24_21">"$#REF !.$O$19"</definedName>
    <definedName name="N_iodate___24_23">"$#REF !.$O$19"</definedName>
    <definedName name="N_iodate___24_25">"$#REF !.$O$19"</definedName>
    <definedName name="N_iodate___24_27">"$#REF !.$O$19"</definedName>
    <definedName name="N_iodate___24_29">"$#REF !.$O$19"</definedName>
    <definedName name="N_iodate___24_31">"$#REF !.$O$19"</definedName>
    <definedName name="N_iodate___24_33">"$#REF !.$O$19"</definedName>
    <definedName name="N_iodate___24_35">"$#REF !.$O$19"</definedName>
    <definedName name="N_iodate___24_37">"$#REF !.$O$19"</definedName>
    <definedName name="N_iodate___24_39">"$#REF !.$O$19"</definedName>
    <definedName name="N_iodate___24_41">"$#REF !.$O$19"</definedName>
    <definedName name="N_iodate___24_43">"$#REF !.$O$19"</definedName>
    <definedName name="N_iodate___24_45">"$#REF !.$O$19"</definedName>
    <definedName name="N_iodate___24_47">"$#REF !.$O$19"</definedName>
    <definedName name="N_iodate___24_49">"$#REF !.$O$19"</definedName>
    <definedName name="N_iodate___24_51">"$#REF !.$O$19"</definedName>
    <definedName name="N_iodate___24_53">"$#REF !.$O$19"</definedName>
    <definedName name="N_iodate___24_55">"$#REF !.$O$19"</definedName>
    <definedName name="N_iodate___24_57">"$#REF !.$O$19"</definedName>
    <definedName name="N_iodate___24_59">"$#REF !.$O$19"</definedName>
    <definedName name="N_iodate___24_61">"$#REF !.$O$19"</definedName>
    <definedName name="N_iodate___24_63">"$#REF !.$O$19"</definedName>
    <definedName name="N_iodate___24_65">"$#REF !.$O$19"</definedName>
    <definedName name="N_iodate___24_67">"$#REF !.$O$19"</definedName>
    <definedName name="N_iodate___24_69">"$#REF !.$O$19"</definedName>
    <definedName name="N_iodate___24_71">"$#REF !.$O$19"</definedName>
    <definedName name="N_iodate___24_73">"$#REF !.$O$19"</definedName>
    <definedName name="N_iodate___24_75">"$#REF !.$O$19"</definedName>
    <definedName name="N_iodate___24_77">"$#REF !.$O$19"</definedName>
    <definedName name="N_iodate___24_79">"$#REF !.$O$19"</definedName>
    <definedName name="N_iodate___24_81">"$#REF !.$O$19"</definedName>
    <definedName name="N_iodate___24_83_2">"$#REF !.$O$19"</definedName>
    <definedName name="N_iodate___24_83_3" localSheetId="7">#REF!</definedName>
    <definedName name="N_iodate___24_83_3" localSheetId="8">#REF!</definedName>
    <definedName name="N_iodate___24_83_3" localSheetId="9">#REF!</definedName>
    <definedName name="N_iodate___24_83_3" localSheetId="10">#REF!</definedName>
    <definedName name="N_iodate___24_83_3" localSheetId="11">#REF!</definedName>
    <definedName name="N_iodate___24_83_3" localSheetId="12">#REF!</definedName>
    <definedName name="N_iodate___24_83_3" localSheetId="13">#REF!</definedName>
    <definedName name="N_iodate___24_83_3" localSheetId="14">#REF!</definedName>
    <definedName name="N_iodate___24_83_3">#REF!</definedName>
    <definedName name="N_iodate___24_83_3_1">"$#REF !.$O$19"</definedName>
    <definedName name="N_iodate___24_83_4" localSheetId="7">#REF!</definedName>
    <definedName name="N_iodate___24_83_4" localSheetId="8">#REF!</definedName>
    <definedName name="N_iodate___24_83_4" localSheetId="9">#REF!</definedName>
    <definedName name="N_iodate___24_83_4" localSheetId="10">#REF!</definedName>
    <definedName name="N_iodate___24_83_4" localSheetId="11">#REF!</definedName>
    <definedName name="N_iodate___24_83_4" localSheetId="12">#REF!</definedName>
    <definedName name="N_iodate___24_83_4" localSheetId="13">#REF!</definedName>
    <definedName name="N_iodate___24_83_4" localSheetId="14">#REF!</definedName>
    <definedName name="N_iodate___24_83_4">#REF!</definedName>
    <definedName name="N_iodate___24_83_4_1">"$#REF !.$O$19"</definedName>
    <definedName name="N_iodate___24_83_5" localSheetId="7">#REF!</definedName>
    <definedName name="N_iodate___24_83_5" localSheetId="8">#REF!</definedName>
    <definedName name="N_iodate___24_83_5" localSheetId="9">#REF!</definedName>
    <definedName name="N_iodate___24_83_5" localSheetId="10">#REF!</definedName>
    <definedName name="N_iodate___24_83_5" localSheetId="11">#REF!</definedName>
    <definedName name="N_iodate___24_83_5" localSheetId="12">#REF!</definedName>
    <definedName name="N_iodate___24_83_5" localSheetId="13">#REF!</definedName>
    <definedName name="N_iodate___24_83_5" localSheetId="14">#REF!</definedName>
    <definedName name="N_iodate___24_83_5">#REF!</definedName>
    <definedName name="N_iodate___24_83_5_1">"$#REF !.$O$19"</definedName>
    <definedName name="N_iodate___24_83_6" localSheetId="7">#REF!</definedName>
    <definedName name="N_iodate___24_83_6" localSheetId="8">#REF!</definedName>
    <definedName name="N_iodate___24_83_6" localSheetId="9">#REF!</definedName>
    <definedName name="N_iodate___24_83_6" localSheetId="10">#REF!</definedName>
    <definedName name="N_iodate___24_83_6" localSheetId="11">#REF!</definedName>
    <definedName name="N_iodate___24_83_6" localSheetId="12">#REF!</definedName>
    <definedName name="N_iodate___24_83_6" localSheetId="13">#REF!</definedName>
    <definedName name="N_iodate___24_83_6" localSheetId="14">#REF!</definedName>
    <definedName name="N_iodate___24_83_6">#REF!</definedName>
    <definedName name="N_iodate___24_83_6_1">"$#REF !.$O$19"</definedName>
    <definedName name="N_iodate___24_83_7" localSheetId="7">#REF!</definedName>
    <definedName name="N_iodate___24_83_7" localSheetId="8">#REF!</definedName>
    <definedName name="N_iodate___24_83_7" localSheetId="9">#REF!</definedName>
    <definedName name="N_iodate___24_83_7" localSheetId="10">#REF!</definedName>
    <definedName name="N_iodate___24_83_7" localSheetId="11">#REF!</definedName>
    <definedName name="N_iodate___24_83_7" localSheetId="12">#REF!</definedName>
    <definedName name="N_iodate___24_83_7" localSheetId="13">#REF!</definedName>
    <definedName name="N_iodate___24_83_7" localSheetId="14">#REF!</definedName>
    <definedName name="N_iodate___24_83_7">#REF!</definedName>
    <definedName name="N_iodate___24_83_7_1">"$#REF !.$O$19"</definedName>
    <definedName name="N_iodate___25">"$#REF !.$O$19"</definedName>
    <definedName name="N_iodate___26">"$#REF !.$O$19"</definedName>
    <definedName name="N_iodate___27">"$#REF !.$O$19"</definedName>
    <definedName name="N_iodate___28">"$#REF !.$O$19"</definedName>
    <definedName name="N_iodate___3">"$#REF !.$O$18"</definedName>
    <definedName name="N_iodate___33">"$#REF !.$O$18"</definedName>
    <definedName name="N_iodate___33_89" localSheetId="7">#REF!</definedName>
    <definedName name="N_iodate___33_89" localSheetId="8">#REF!</definedName>
    <definedName name="N_iodate___33_89" localSheetId="9">#REF!</definedName>
    <definedName name="N_iodate___33_89" localSheetId="10">#REF!</definedName>
    <definedName name="N_iodate___33_89" localSheetId="11">#REF!</definedName>
    <definedName name="N_iodate___33_89" localSheetId="12">#REF!</definedName>
    <definedName name="N_iodate___33_89" localSheetId="13">#REF!</definedName>
    <definedName name="N_iodate___33_89" localSheetId="14">#REF!</definedName>
    <definedName name="N_iodate___33_89">#REF!</definedName>
    <definedName name="N_iodate___4">"$#REF !.$O$18"</definedName>
    <definedName name="N_iodate___5">"$#REF !.$O$18"</definedName>
    <definedName name="N_iodate___6">"$#REF !.$O$18"</definedName>
    <definedName name="N_iodate___7">"$#REF !.$O$18"</definedName>
    <definedName name="N_iodate___8">"$#REF !.$O$18"</definedName>
    <definedName name="N_iodate___9">"$#REF !.$O$18"</definedName>
    <definedName name="NORMALITE">"$#REF !.$O$11"</definedName>
    <definedName name="NORMALITE___0">"$#REF !.$O$11"</definedName>
    <definedName name="NORMALITE___0_89" localSheetId="7">#REF!</definedName>
    <definedName name="NORMALITE___0_89" localSheetId="8">#REF!</definedName>
    <definedName name="NORMALITE___0_89" localSheetId="9">#REF!</definedName>
    <definedName name="NORMALITE___0_89" localSheetId="10">#REF!</definedName>
    <definedName name="NORMALITE___0_89" localSheetId="11">#REF!</definedName>
    <definedName name="NORMALITE___0_89" localSheetId="12">#REF!</definedName>
    <definedName name="NORMALITE___0_89" localSheetId="13">#REF!</definedName>
    <definedName name="NORMALITE___0_89" localSheetId="14">#REF!</definedName>
    <definedName name="NORMALITE___0_89">#REF!</definedName>
    <definedName name="NORMALITE___1">"$#REF !.$O$11"</definedName>
    <definedName name="NORMALITE___10">"$#REF !.$O$11"</definedName>
    <definedName name="NORMALITE___11">"$#REF !.$O$11"</definedName>
    <definedName name="NORMALITE___12">"$#REF !.$O$11"</definedName>
    <definedName name="NORMALITE___13">"$#REF !.$O$11"</definedName>
    <definedName name="NORMALITE___14">"$#REF !.$O$11"</definedName>
    <definedName name="NORMALITE___15">"$#REF !.$O$11"</definedName>
    <definedName name="NORMALITE___16">"$#REF !.$O$11"</definedName>
    <definedName name="NORMALITE___17">"$#REF !.$O$11"</definedName>
    <definedName name="NORMALITE___18">"$#REF !.$O$11"</definedName>
    <definedName name="NORMALITE___19">"$#REF !.$O$11"</definedName>
    <definedName name="NORMALITE___20">"$#REF !.$O$11"</definedName>
    <definedName name="NORMALITE___21">"$#REF !.$O$11"</definedName>
    <definedName name="NORMALITE___22">"$#REF !.$O$11"</definedName>
    <definedName name="NORMALITE___23">"$#REF !.$O$11"</definedName>
    <definedName name="NORMALITE___24">"$#REF !.$O$12"</definedName>
    <definedName name="NORMALITE___24_11">"$#REF !.$O$12"</definedName>
    <definedName name="NORMALITE___24_13">"$#REF !.$O$12"</definedName>
    <definedName name="NORMALITE___24_15">"$#REF !.$O$12"</definedName>
    <definedName name="NORMALITE___24_17">"$#REF !.$O$12"</definedName>
    <definedName name="NORMALITE___24_19">"$#REF !.$O$12"</definedName>
    <definedName name="NORMALITE___24_21">"$#REF !.$O$12"</definedName>
    <definedName name="NORMALITE___24_23">"$#REF !.$O$12"</definedName>
    <definedName name="NORMALITE___24_25">"$#REF !.$O$12"</definedName>
    <definedName name="NORMALITE___24_27">"$#REF !.$O$12"</definedName>
    <definedName name="NORMALITE___24_29">"$#REF !.$O$12"</definedName>
    <definedName name="NORMALITE___24_31">"$#REF !.$O$12"</definedName>
    <definedName name="NORMALITE___24_33">"$#REF !.$O$12"</definedName>
    <definedName name="NORMALITE___24_35">"$#REF !.$O$12"</definedName>
    <definedName name="NORMALITE___24_37">"$#REF !.$O$12"</definedName>
    <definedName name="NORMALITE___24_39">"$#REF !.$O$12"</definedName>
    <definedName name="NORMALITE___24_41">"$#REF !.$O$12"</definedName>
    <definedName name="NORMALITE___24_43">"$#REF !.$O$12"</definedName>
    <definedName name="NORMALITE___24_45">"$#REF !.$O$12"</definedName>
    <definedName name="NORMALITE___24_47">"$#REF !.$O$12"</definedName>
    <definedName name="NORMALITE___24_49">"$#REF !.$O$12"</definedName>
    <definedName name="NORMALITE___24_51">"$#REF !.$O$12"</definedName>
    <definedName name="NORMALITE___24_53">"$#REF !.$O$12"</definedName>
    <definedName name="NORMALITE___24_55">"$#REF !.$O$12"</definedName>
    <definedName name="NORMALITE___24_57">"$#REF !.$O$12"</definedName>
    <definedName name="NORMALITE___24_59">"$#REF !.$O$12"</definedName>
    <definedName name="NORMALITE___24_61">"$#REF !.$O$12"</definedName>
    <definedName name="NORMALITE___24_63">"$#REF !.$O$12"</definedName>
    <definedName name="NORMALITE___24_65">"$#REF !.$O$12"</definedName>
    <definedName name="NORMALITE___24_67">"$#REF !.$O$12"</definedName>
    <definedName name="NORMALITE___24_69">"$#REF !.$O$12"</definedName>
    <definedName name="NORMALITE___24_71">"$#REF !.$O$12"</definedName>
    <definedName name="NORMALITE___24_73">"$#REF !.$O$12"</definedName>
    <definedName name="NORMALITE___24_75">"$#REF !.$O$12"</definedName>
    <definedName name="NORMALITE___24_77">"$#REF !.$O$12"</definedName>
    <definedName name="NORMALITE___24_79">"$#REF !.$O$12"</definedName>
    <definedName name="NORMALITE___24_81">"$#REF !.$O$12"</definedName>
    <definedName name="NORMALITE___24_83">'001_01'!$O$11</definedName>
    <definedName name="NORMALITE___24_83_2">"$#REF !.$O$12"</definedName>
    <definedName name="NORMALITE___24_83_3" localSheetId="7">#REF!</definedName>
    <definedName name="NORMALITE___24_83_3" localSheetId="8">#REF!</definedName>
    <definedName name="NORMALITE___24_83_3" localSheetId="9">#REF!</definedName>
    <definedName name="NORMALITE___24_83_3" localSheetId="10">#REF!</definedName>
    <definedName name="NORMALITE___24_83_3" localSheetId="11">#REF!</definedName>
    <definedName name="NORMALITE___24_83_3" localSheetId="12">#REF!</definedName>
    <definedName name="NORMALITE___24_83_3" localSheetId="13">#REF!</definedName>
    <definedName name="NORMALITE___24_83_3" localSheetId="14">#REF!</definedName>
    <definedName name="NORMALITE___24_83_3">#REF!</definedName>
    <definedName name="NORMALITE___24_83_3_1">"$#REF !.$O$12"</definedName>
    <definedName name="NORMALITE___24_83_4" localSheetId="7">#REF!</definedName>
    <definedName name="NORMALITE___24_83_4" localSheetId="8">#REF!</definedName>
    <definedName name="NORMALITE___24_83_4" localSheetId="9">#REF!</definedName>
    <definedName name="NORMALITE___24_83_4" localSheetId="10">#REF!</definedName>
    <definedName name="NORMALITE___24_83_4" localSheetId="11">#REF!</definedName>
    <definedName name="NORMALITE___24_83_4" localSheetId="12">#REF!</definedName>
    <definedName name="NORMALITE___24_83_4" localSheetId="13">#REF!</definedName>
    <definedName name="NORMALITE___24_83_4" localSheetId="14">#REF!</definedName>
    <definedName name="NORMALITE___24_83_4">#REF!</definedName>
    <definedName name="NORMALITE___24_83_4_1">"$#REF !.$O$12"</definedName>
    <definedName name="NORMALITE___24_83_5" localSheetId="7">#REF!</definedName>
    <definedName name="NORMALITE___24_83_5" localSheetId="8">#REF!</definedName>
    <definedName name="NORMALITE___24_83_5" localSheetId="9">#REF!</definedName>
    <definedName name="NORMALITE___24_83_5" localSheetId="10">#REF!</definedName>
    <definedName name="NORMALITE___24_83_5" localSheetId="11">#REF!</definedName>
    <definedName name="NORMALITE___24_83_5" localSheetId="12">#REF!</definedName>
    <definedName name="NORMALITE___24_83_5" localSheetId="13">#REF!</definedName>
    <definedName name="NORMALITE___24_83_5" localSheetId="14">#REF!</definedName>
    <definedName name="NORMALITE___24_83_5">#REF!</definedName>
    <definedName name="NORMALITE___24_83_5_1">"$#REF !.$O$12"</definedName>
    <definedName name="NORMALITE___24_83_6" localSheetId="7">#REF!</definedName>
    <definedName name="NORMALITE___24_83_6" localSheetId="8">#REF!</definedName>
    <definedName name="NORMALITE___24_83_6" localSheetId="9">#REF!</definedName>
    <definedName name="NORMALITE___24_83_6" localSheetId="10">#REF!</definedName>
    <definedName name="NORMALITE___24_83_6" localSheetId="11">#REF!</definedName>
    <definedName name="NORMALITE___24_83_6" localSheetId="12">#REF!</definedName>
    <definedName name="NORMALITE___24_83_6" localSheetId="13">#REF!</definedName>
    <definedName name="NORMALITE___24_83_6" localSheetId="14">#REF!</definedName>
    <definedName name="NORMALITE___24_83_6">#REF!</definedName>
    <definedName name="NORMALITE___24_83_6_1">"$#REF !.$O$12"</definedName>
    <definedName name="NORMALITE___24_83_7" localSheetId="7">#REF!</definedName>
    <definedName name="NORMALITE___24_83_7" localSheetId="8">#REF!</definedName>
    <definedName name="NORMALITE___24_83_7" localSheetId="9">#REF!</definedName>
    <definedName name="NORMALITE___24_83_7" localSheetId="10">#REF!</definedName>
    <definedName name="NORMALITE___24_83_7" localSheetId="11">#REF!</definedName>
    <definedName name="NORMALITE___24_83_7" localSheetId="12">#REF!</definedName>
    <definedName name="NORMALITE___24_83_7" localSheetId="13">#REF!</definedName>
    <definedName name="NORMALITE___24_83_7" localSheetId="14">#REF!</definedName>
    <definedName name="NORMALITE___24_83_7">#REF!</definedName>
    <definedName name="NORMALITE___24_83_7_1">"$#REF !.$O$12"</definedName>
    <definedName name="NORMALITE___25">"$#REF !.$O$12"</definedName>
    <definedName name="NORMALITE___26">"$#REF !.$O$12"</definedName>
    <definedName name="NORMALITE___27">"$#REF !.$O$12"</definedName>
    <definedName name="NORMALITE___28">"$#REF !.$O$12"</definedName>
    <definedName name="NORMALITE___3">"$#REF !.$O$11"</definedName>
    <definedName name="NORMALITE___4">"$#REF !.$O$11"</definedName>
    <definedName name="NORMALITE___5">"$#REF !.$O$11"</definedName>
    <definedName name="NORMALITE___6">"$#REF !.$O$11"</definedName>
    <definedName name="NORMALITE___7">"$#REF !.$O$11"</definedName>
    <definedName name="NORMALITE___8">"$#REF !.$O$11"</definedName>
    <definedName name="NORMALITE___9">"$#REF !.$O$11"</definedName>
    <definedName name="Vol_Flacons" localSheetId="7">#REF!</definedName>
    <definedName name="Vol_Flacons" localSheetId="8">#REF!</definedName>
    <definedName name="Vol_Flacons" localSheetId="9">#REF!</definedName>
    <definedName name="Vol_Flacons" localSheetId="10">#REF!</definedName>
    <definedName name="Vol_Flacons" localSheetId="11">#REF!</definedName>
    <definedName name="Vol_Flacons" localSheetId="12">#REF!</definedName>
    <definedName name="Vol_Flacons" localSheetId="13">#REF!</definedName>
    <definedName name="Vol_Flacons" localSheetId="14">#REF!</definedName>
    <definedName name="Vol_Flacons">#REF!</definedName>
    <definedName name="Vol_iodate">"$#REF !.$O$12"</definedName>
    <definedName name="Vol_iodate___0">"$#REF !.$E$11"</definedName>
    <definedName name="Vol_iodate___1">"$#REF !.$O$12"</definedName>
    <definedName name="Vol_iodate___10">"$#REF !.$O$12"</definedName>
    <definedName name="Vol_iodate___11">"$#REF !.$O$12"</definedName>
    <definedName name="Vol_iodate___12">"$#REF !.$O$12"</definedName>
    <definedName name="Vol_iodate___13">"$#REF !.$O$12"</definedName>
    <definedName name="Vol_iodate___14">"$#REF !.$O$12"</definedName>
    <definedName name="Vol_iodate___15">"$#REF !.$O$12"</definedName>
    <definedName name="Vol_iodate___16">"$#REF !.$O$12"</definedName>
    <definedName name="Vol_iodate___17">"$#REF !.$O$12"</definedName>
    <definedName name="Vol_iodate___18">"$#REF !.$O$12"</definedName>
    <definedName name="Vol_iodate___19">"$#REF !.$O$12"</definedName>
    <definedName name="Vol_iodate___20">"$#REF !.$O$12"</definedName>
    <definedName name="Vol_iodate___21">"$#REF !.$O$12"</definedName>
    <definedName name="Vol_iodate___22">"$#REF !.$O$12"</definedName>
    <definedName name="Vol_iodate___23">"$#REF !.$O$12"</definedName>
    <definedName name="Vol_iodate___24">"$#REF !.$O$13"</definedName>
    <definedName name="Vol_iodate___24_11">"$#REF !.$O$13"</definedName>
    <definedName name="Vol_iodate___24_13">"$#REF !.$O$13"</definedName>
    <definedName name="Vol_iodate___24_15">"$#REF !.$O$13"</definedName>
    <definedName name="Vol_iodate___24_17">"$#REF !.$O$13"</definedName>
    <definedName name="Vol_iodate___24_19">"$#REF !.$O$13"</definedName>
    <definedName name="Vol_iodate___24_21">"$#REF !.$O$13"</definedName>
    <definedName name="Vol_iodate___24_23">"$#REF !.$O$13"</definedName>
    <definedName name="Vol_iodate___24_25">"$#REF !.$O$13"</definedName>
    <definedName name="Vol_iodate___24_27">"$#REF !.$O$13"</definedName>
    <definedName name="Vol_iodate___24_29">"$#REF !.$O$13"</definedName>
    <definedName name="Vol_iodate___24_31">"$#REF !.$O$13"</definedName>
    <definedName name="Vol_iodate___24_33">"$#REF !.$O$13"</definedName>
    <definedName name="Vol_iodate___24_35">"$#REF !.$O$13"</definedName>
    <definedName name="Vol_iodate___24_37">"$#REF !.$O$13"</definedName>
    <definedName name="Vol_iodate___24_39">"$#REF !.$O$13"</definedName>
    <definedName name="Vol_iodate___24_41">"$#REF !.$O$13"</definedName>
    <definedName name="Vol_iodate___24_43">"$#REF !.$O$13"</definedName>
    <definedName name="Vol_iodate___24_45">"$#REF !.$O$13"</definedName>
    <definedName name="Vol_iodate___24_47">"$#REF !.$O$13"</definedName>
    <definedName name="Vol_iodate___24_49">"$#REF !.$O$13"</definedName>
    <definedName name="Vol_iodate___24_51">"$#REF !.$O$13"</definedName>
    <definedName name="Vol_iodate___24_53">"$#REF !.$O$13"</definedName>
    <definedName name="Vol_iodate___24_55">"$#REF !.$O$13"</definedName>
    <definedName name="Vol_iodate___24_57">"$#REF !.$O$13"</definedName>
    <definedName name="Vol_iodate___24_59">"$#REF !.$O$13"</definedName>
    <definedName name="Vol_iodate___24_61">"$#REF !.$O$13"</definedName>
    <definedName name="Vol_iodate___24_63">"$#REF !.$O$13"</definedName>
    <definedName name="Vol_iodate___24_65">"$#REF !.$O$13"</definedName>
    <definedName name="Vol_iodate___24_67">"$#REF !.$O$13"</definedName>
    <definedName name="Vol_iodate___24_69">"$#REF !.$O$13"</definedName>
    <definedName name="Vol_iodate___24_71">"$#REF !.$O$13"</definedName>
    <definedName name="Vol_iodate___24_73">"$#REF !.$O$13"</definedName>
    <definedName name="Vol_iodate___24_75">"$#REF !.$O$13"</definedName>
    <definedName name="Vol_iodate___24_77">"$#REF !.$O$13"</definedName>
    <definedName name="Vol_iodate___24_79">"$#REF !.$O$13"</definedName>
    <definedName name="Vol_iodate___24_81">"$#REF !.$O$13"</definedName>
    <definedName name="Vol_iodate___24_83_2">"$#REF !.$O$13"</definedName>
    <definedName name="Vol_iodate___24_83_3" localSheetId="7">#REF!</definedName>
    <definedName name="Vol_iodate___24_83_3" localSheetId="8">#REF!</definedName>
    <definedName name="Vol_iodate___24_83_3" localSheetId="9">#REF!</definedName>
    <definedName name="Vol_iodate___24_83_3" localSheetId="10">#REF!</definedName>
    <definedName name="Vol_iodate___24_83_3" localSheetId="11">#REF!</definedName>
    <definedName name="Vol_iodate___24_83_3" localSheetId="12">#REF!</definedName>
    <definedName name="Vol_iodate___24_83_3" localSheetId="13">#REF!</definedName>
    <definedName name="Vol_iodate___24_83_3" localSheetId="14">#REF!</definedName>
    <definedName name="Vol_iodate___24_83_3">#REF!</definedName>
    <definedName name="Vol_iodate___24_83_3_1">"$#REF !.$O$13"</definedName>
    <definedName name="Vol_iodate___24_83_4" localSheetId="7">#REF!</definedName>
    <definedName name="Vol_iodate___24_83_4" localSheetId="8">#REF!</definedName>
    <definedName name="Vol_iodate___24_83_4" localSheetId="9">#REF!</definedName>
    <definedName name="Vol_iodate___24_83_4" localSheetId="10">#REF!</definedName>
    <definedName name="Vol_iodate___24_83_4" localSheetId="11">#REF!</definedName>
    <definedName name="Vol_iodate___24_83_4" localSheetId="12">#REF!</definedName>
    <definedName name="Vol_iodate___24_83_4" localSheetId="13">#REF!</definedName>
    <definedName name="Vol_iodate___24_83_4" localSheetId="14">#REF!</definedName>
    <definedName name="Vol_iodate___24_83_4">#REF!</definedName>
    <definedName name="Vol_iodate___24_83_4_1">"$#REF !.$O$13"</definedName>
    <definedName name="Vol_iodate___24_83_5" localSheetId="7">#REF!</definedName>
    <definedName name="Vol_iodate___24_83_5" localSheetId="8">#REF!</definedName>
    <definedName name="Vol_iodate___24_83_5" localSheetId="9">#REF!</definedName>
    <definedName name="Vol_iodate___24_83_5" localSheetId="10">#REF!</definedName>
    <definedName name="Vol_iodate___24_83_5" localSheetId="11">#REF!</definedName>
    <definedName name="Vol_iodate___24_83_5" localSheetId="12">#REF!</definedName>
    <definedName name="Vol_iodate___24_83_5" localSheetId="13">#REF!</definedName>
    <definedName name="Vol_iodate___24_83_5" localSheetId="14">#REF!</definedName>
    <definedName name="Vol_iodate___24_83_5">#REF!</definedName>
    <definedName name="Vol_iodate___24_83_5_1">"$#REF !.$O$13"</definedName>
    <definedName name="Vol_iodate___24_83_6" localSheetId="7">#REF!</definedName>
    <definedName name="Vol_iodate___24_83_6" localSheetId="8">#REF!</definedName>
    <definedName name="Vol_iodate___24_83_6" localSheetId="9">#REF!</definedName>
    <definedName name="Vol_iodate___24_83_6" localSheetId="10">#REF!</definedName>
    <definedName name="Vol_iodate___24_83_6" localSheetId="11">#REF!</definedName>
    <definedName name="Vol_iodate___24_83_6" localSheetId="12">#REF!</definedName>
    <definedName name="Vol_iodate___24_83_6" localSheetId="13">#REF!</definedName>
    <definedName name="Vol_iodate___24_83_6" localSheetId="14">#REF!</definedName>
    <definedName name="Vol_iodate___24_83_6">#REF!</definedName>
    <definedName name="Vol_iodate___24_83_6_1">"$#REF !.$O$13"</definedName>
    <definedName name="Vol_iodate___24_83_7" localSheetId="7">#REF!</definedName>
    <definedName name="Vol_iodate___24_83_7" localSheetId="8">#REF!</definedName>
    <definedName name="Vol_iodate___24_83_7" localSheetId="9">#REF!</definedName>
    <definedName name="Vol_iodate___24_83_7" localSheetId="10">#REF!</definedName>
    <definedName name="Vol_iodate___24_83_7" localSheetId="11">#REF!</definedName>
    <definedName name="Vol_iodate___24_83_7" localSheetId="12">#REF!</definedName>
    <definedName name="Vol_iodate___24_83_7" localSheetId="13">#REF!</definedName>
    <definedName name="Vol_iodate___24_83_7" localSheetId="14">#REF!</definedName>
    <definedName name="Vol_iodate___24_83_7">#REF!</definedName>
    <definedName name="Vol_iodate___24_83_7_1">"$#REF !.$O$13"</definedName>
    <definedName name="Vol_iodate___25">"$#REF !.$O$13"</definedName>
    <definedName name="Vol_iodate___26">"$#REF !.$O$13"</definedName>
    <definedName name="Vol_iodate___27">"$#REF !.$O$13"</definedName>
    <definedName name="Vol_iodate___28">"$#REF !.$O$13"</definedName>
    <definedName name="Vol_iodate___3">"$#REF !.$O$12"</definedName>
    <definedName name="Vol_iodate___33">"$#REF !.$O$12"</definedName>
    <definedName name="Vol_iodate___33_89" localSheetId="7">#REF!</definedName>
    <definedName name="Vol_iodate___33_89" localSheetId="8">#REF!</definedName>
    <definedName name="Vol_iodate___33_89" localSheetId="9">#REF!</definedName>
    <definedName name="Vol_iodate___33_89" localSheetId="10">#REF!</definedName>
    <definedName name="Vol_iodate___33_89" localSheetId="11">#REF!</definedName>
    <definedName name="Vol_iodate___33_89" localSheetId="12">#REF!</definedName>
    <definedName name="Vol_iodate___33_89" localSheetId="13">#REF!</definedName>
    <definedName name="Vol_iodate___33_89" localSheetId="14">#REF!</definedName>
    <definedName name="Vol_iodate___33_89">#REF!</definedName>
    <definedName name="Vol_iodate___4">"$#REF !.$O$12"</definedName>
    <definedName name="Vol_iodate___5">"$#REF !.$O$12"</definedName>
    <definedName name="Vol_iodate___6">"$#REF !.$O$12"</definedName>
    <definedName name="Vol_iodate___7">"$#REF !.$O$12"</definedName>
    <definedName name="Vol_iodate___8">"$#REF !.$O$12"</definedName>
    <definedName name="Vol_iodate___9">"$#REF !.$O$12"</definedName>
    <definedName name="vol_iodate_tc">"$#REF !.$O$13"</definedName>
    <definedName name="vol_iodate_tc___0">"$#REF !.$O$13"</definedName>
    <definedName name="vol_iodate_tc___0_89" localSheetId="7">#REF!</definedName>
    <definedName name="vol_iodate_tc___0_89" localSheetId="8">#REF!</definedName>
    <definedName name="vol_iodate_tc___0_89" localSheetId="9">#REF!</definedName>
    <definedName name="vol_iodate_tc___0_89" localSheetId="10">#REF!</definedName>
    <definedName name="vol_iodate_tc___0_89" localSheetId="11">#REF!</definedName>
    <definedName name="vol_iodate_tc___0_89" localSheetId="12">#REF!</definedName>
    <definedName name="vol_iodate_tc___0_89" localSheetId="13">#REF!</definedName>
    <definedName name="vol_iodate_tc___0_89" localSheetId="14">#REF!</definedName>
    <definedName name="vol_iodate_tc___0_89">#REF!</definedName>
    <definedName name="vol_iodate_tc___1">"$#REF !.$O$13"</definedName>
    <definedName name="vol_iodate_tc___10">"$#REF !.$O$13"</definedName>
    <definedName name="vol_iodate_tc___11">"$#REF !.$O$13"</definedName>
    <definedName name="vol_iodate_tc___12">"$#REF !.$O$13"</definedName>
    <definedName name="vol_iodate_tc___13">"$#REF !.$O$13"</definedName>
    <definedName name="vol_iodate_tc___14">"$#REF !.$O$13"</definedName>
    <definedName name="vol_iodate_tc___15">"$#REF !.$O$13"</definedName>
    <definedName name="vol_iodate_tc___16">"$#REF !.$O$13"</definedName>
    <definedName name="vol_iodate_tc___17">"$#REF !.$O$13"</definedName>
    <definedName name="vol_iodate_tc___18">"$#REF !.$O$13"</definedName>
    <definedName name="vol_iodate_tc___19">"$#REF !.$O$13"</definedName>
    <definedName name="vol_iodate_tc___20">"$#REF !.$O$13"</definedName>
    <definedName name="vol_iodate_tc___21">"$#REF !.$O$13"</definedName>
    <definedName name="vol_iodate_tc___22">"$#REF !.$O$13"</definedName>
    <definedName name="vol_iodate_tc___23">"$#REF !.$O$13"</definedName>
    <definedName name="vol_iodate_tc___24">"$#REF !.$O$14"</definedName>
    <definedName name="vol_iodate_tc___24_11">"$#REF !.$O$14"</definedName>
    <definedName name="vol_iodate_tc___24_13">"$#REF !.$O$14"</definedName>
    <definedName name="vol_iodate_tc___24_15">"$#REF !.$O$14"</definedName>
    <definedName name="vol_iodate_tc___24_17">"$#REF !.$O$14"</definedName>
    <definedName name="vol_iodate_tc___24_19">"$#REF !.$O$14"</definedName>
    <definedName name="vol_iodate_tc___24_21">"$#REF !.$O$14"</definedName>
    <definedName name="vol_iodate_tc___24_23">"$#REF !.$O$14"</definedName>
    <definedName name="vol_iodate_tc___24_25">"$#REF !.$O$14"</definedName>
    <definedName name="vol_iodate_tc___24_27">"$#REF !.$O$14"</definedName>
    <definedName name="vol_iodate_tc___24_29">"$#REF !.$O$14"</definedName>
    <definedName name="vol_iodate_tc___24_31">"$#REF !.$O$14"</definedName>
    <definedName name="vol_iodate_tc___24_33">"$#REF !.$O$14"</definedName>
    <definedName name="vol_iodate_tc___24_35">"$#REF !.$O$14"</definedName>
    <definedName name="vol_iodate_tc___24_37">"$#REF !.$O$14"</definedName>
    <definedName name="vol_iodate_tc___24_39">"$#REF !.$O$14"</definedName>
    <definedName name="vol_iodate_tc___24_41">"$#REF !.$O$14"</definedName>
    <definedName name="vol_iodate_tc___24_43">"$#REF !.$O$14"</definedName>
    <definedName name="vol_iodate_tc___24_45">"$#REF !.$O$14"</definedName>
    <definedName name="vol_iodate_tc___24_47">"$#REF !.$O$14"</definedName>
    <definedName name="vol_iodate_tc___24_49">"$#REF !.$O$14"</definedName>
    <definedName name="vol_iodate_tc___24_51">"$#REF !.$O$14"</definedName>
    <definedName name="vol_iodate_tc___24_53">"$#REF !.$O$14"</definedName>
    <definedName name="vol_iodate_tc___24_55">"$#REF !.$O$14"</definedName>
    <definedName name="vol_iodate_tc___24_57">"$#REF !.$O$14"</definedName>
    <definedName name="vol_iodate_tc___24_59">"$#REF !.$O$14"</definedName>
    <definedName name="vol_iodate_tc___24_61">"$#REF !.$O$14"</definedName>
    <definedName name="vol_iodate_tc___24_63">"$#REF !.$O$14"</definedName>
    <definedName name="vol_iodate_tc___24_65">"$#REF !.$O$14"</definedName>
    <definedName name="vol_iodate_tc___24_67">"$#REF !.$O$14"</definedName>
    <definedName name="vol_iodate_tc___24_69">"$#REF !.$O$14"</definedName>
    <definedName name="vol_iodate_tc___24_71">"$#REF !.$O$14"</definedName>
    <definedName name="vol_iodate_tc___24_73">"$#REF !.$O$14"</definedName>
    <definedName name="vol_iodate_tc___24_75">"$#REF !.$O$14"</definedName>
    <definedName name="vol_iodate_tc___24_77">"$#REF !.$O$14"</definedName>
    <definedName name="vol_iodate_tc___24_79">"$#REF !.$O$14"</definedName>
    <definedName name="vol_iodate_tc___24_81">"$#REF !.$O$14"</definedName>
    <definedName name="vol_iodate_tc___24_83">'001_01'!$O$13</definedName>
    <definedName name="vol_iodate_tc___24_83_2">"$#REF !.$O$14"</definedName>
    <definedName name="vol_iodate_tc___24_83_3" localSheetId="7">#REF!</definedName>
    <definedName name="vol_iodate_tc___24_83_3" localSheetId="8">#REF!</definedName>
    <definedName name="vol_iodate_tc___24_83_3" localSheetId="9">#REF!</definedName>
    <definedName name="vol_iodate_tc___24_83_3" localSheetId="10">#REF!</definedName>
    <definedName name="vol_iodate_tc___24_83_3" localSheetId="11">#REF!</definedName>
    <definedName name="vol_iodate_tc___24_83_3" localSheetId="12">#REF!</definedName>
    <definedName name="vol_iodate_tc___24_83_3" localSheetId="13">#REF!</definedName>
    <definedName name="vol_iodate_tc___24_83_3" localSheetId="14">#REF!</definedName>
    <definedName name="vol_iodate_tc___24_83_3">#REF!</definedName>
    <definedName name="vol_iodate_tc___24_83_3_1">"$#REF !.$O$14"</definedName>
    <definedName name="vol_iodate_tc___24_83_4" localSheetId="7">#REF!</definedName>
    <definedName name="vol_iodate_tc___24_83_4" localSheetId="8">#REF!</definedName>
    <definedName name="vol_iodate_tc___24_83_4" localSheetId="9">#REF!</definedName>
    <definedName name="vol_iodate_tc___24_83_4" localSheetId="10">#REF!</definedName>
    <definedName name="vol_iodate_tc___24_83_4" localSheetId="11">#REF!</definedName>
    <definedName name="vol_iodate_tc___24_83_4" localSheetId="12">#REF!</definedName>
    <definedName name="vol_iodate_tc___24_83_4" localSheetId="13">#REF!</definedName>
    <definedName name="vol_iodate_tc___24_83_4" localSheetId="14">#REF!</definedName>
    <definedName name="vol_iodate_tc___24_83_4">#REF!</definedName>
    <definedName name="vol_iodate_tc___24_83_4_1">"$#REF !.$O$14"</definedName>
    <definedName name="vol_iodate_tc___24_83_5" localSheetId="7">#REF!</definedName>
    <definedName name="vol_iodate_tc___24_83_5" localSheetId="8">#REF!</definedName>
    <definedName name="vol_iodate_tc___24_83_5" localSheetId="9">#REF!</definedName>
    <definedName name="vol_iodate_tc___24_83_5" localSheetId="10">#REF!</definedName>
    <definedName name="vol_iodate_tc___24_83_5" localSheetId="11">#REF!</definedName>
    <definedName name="vol_iodate_tc___24_83_5" localSheetId="12">#REF!</definedName>
    <definedName name="vol_iodate_tc___24_83_5" localSheetId="13">#REF!</definedName>
    <definedName name="vol_iodate_tc___24_83_5" localSheetId="14">#REF!</definedName>
    <definedName name="vol_iodate_tc___24_83_5">#REF!</definedName>
    <definedName name="vol_iodate_tc___24_83_5_1">"$#REF !.$O$14"</definedName>
    <definedName name="vol_iodate_tc___24_83_6" localSheetId="7">#REF!</definedName>
    <definedName name="vol_iodate_tc___24_83_6" localSheetId="8">#REF!</definedName>
    <definedName name="vol_iodate_tc___24_83_6" localSheetId="9">#REF!</definedName>
    <definedName name="vol_iodate_tc___24_83_6" localSheetId="10">#REF!</definedName>
    <definedName name="vol_iodate_tc___24_83_6" localSheetId="11">#REF!</definedName>
    <definedName name="vol_iodate_tc___24_83_6" localSheetId="12">#REF!</definedName>
    <definedName name="vol_iodate_tc___24_83_6" localSheetId="13">#REF!</definedName>
    <definedName name="vol_iodate_tc___24_83_6" localSheetId="14">#REF!</definedName>
    <definedName name="vol_iodate_tc___24_83_6">#REF!</definedName>
    <definedName name="vol_iodate_tc___24_83_6_1">"$#REF !.$O$14"</definedName>
    <definedName name="vol_iodate_tc___24_83_7" localSheetId="7">#REF!</definedName>
    <definedName name="vol_iodate_tc___24_83_7" localSheetId="8">#REF!</definedName>
    <definedName name="vol_iodate_tc___24_83_7" localSheetId="9">#REF!</definedName>
    <definedName name="vol_iodate_tc___24_83_7" localSheetId="10">#REF!</definedName>
    <definedName name="vol_iodate_tc___24_83_7" localSheetId="11">#REF!</definedName>
    <definedName name="vol_iodate_tc___24_83_7" localSheetId="12">#REF!</definedName>
    <definedName name="vol_iodate_tc___24_83_7" localSheetId="13">#REF!</definedName>
    <definedName name="vol_iodate_tc___24_83_7" localSheetId="14">#REF!</definedName>
    <definedName name="vol_iodate_tc___24_83_7">#REF!</definedName>
    <definedName name="vol_iodate_tc___24_83_7_1">"$#REF !.$O$14"</definedName>
    <definedName name="vol_iodate_tc___25">"$#REF !.$O$14"</definedName>
    <definedName name="vol_iodate_tc___26">"$#REF !.$O$14"</definedName>
    <definedName name="vol_iodate_tc___27">"$#REF !.$O$14"</definedName>
    <definedName name="vol_iodate_tc___28">"$#REF !.$O$14"</definedName>
    <definedName name="vol_iodate_tc___3">"$#REF !.$O$13"</definedName>
    <definedName name="vol_iodate_tc___4">"$#REF !.$O$13"</definedName>
    <definedName name="vol_iodate_tc___5">"$#REF !.$O$13"</definedName>
    <definedName name="vol_iodate_tc___6">"$#REF !.$O$13"</definedName>
    <definedName name="vol_iodate_tc___7">"$#REF !.$O$13"</definedName>
    <definedName name="vol_iodate_tc___8">"$#REF !.$O$13"</definedName>
    <definedName name="vol_iodate_tc___9">"$#REF !.$O$13"</definedName>
    <definedName name="Vol_reactif">"$#REF !.$N$20"</definedName>
    <definedName name="Vol_reactif___0">"$#REF !.$E$14"</definedName>
    <definedName name="Vol_reactif___1">"$#REF !.$N$20"</definedName>
    <definedName name="Vol_reactif___10">"$#REF !.$N$20"</definedName>
    <definedName name="Vol_reactif___11">"$#REF !.$N$20"</definedName>
    <definedName name="Vol_reactif___12">"$#REF !.$N$20"</definedName>
    <definedName name="Vol_reactif___13">"$#REF !.$N$20"</definedName>
    <definedName name="Vol_reactif___14">"$#REF !.$N$20"</definedName>
    <definedName name="Vol_reactif___15">"$#REF !.$N$20"</definedName>
    <definedName name="Vol_reactif___16">"$#REF !.$N$20"</definedName>
    <definedName name="Vol_reactif___17">"$#REF !.$N$20"</definedName>
    <definedName name="Vol_reactif___18">"$#REF !.$N$20"</definedName>
    <definedName name="Vol_reactif___19">"$#REF !.$N$20"</definedName>
    <definedName name="Vol_reactif___20">"$#REF !.$N$20"</definedName>
    <definedName name="Vol_reactif___21">"$#REF !.$N$20"</definedName>
    <definedName name="Vol_reactif___22">"$#REF !.$N$20"</definedName>
    <definedName name="Vol_reactif___23">"$#REF !.$N$20"</definedName>
    <definedName name="Vol_reactif___24">"$#REF !.$N$21"</definedName>
    <definedName name="Vol_reactif___24_11">"$#REF !.$N$21"</definedName>
    <definedName name="Vol_reactif___24_13">"$#REF !.$N$21"</definedName>
    <definedName name="Vol_reactif___24_15">"$#REF !.$N$21"</definedName>
    <definedName name="Vol_reactif___24_17">"$#REF !.$N$21"</definedName>
    <definedName name="Vol_reactif___24_19">"$#REF !.$N$21"</definedName>
    <definedName name="Vol_reactif___24_21">"$#REF !.$N$21"</definedName>
    <definedName name="Vol_reactif___24_23">"$#REF !.$N$21"</definedName>
    <definedName name="Vol_reactif___24_25">"$#REF !.$N$21"</definedName>
    <definedName name="Vol_reactif___24_27">"$#REF !.$N$21"</definedName>
    <definedName name="Vol_reactif___24_29">"$#REF !.$N$21"</definedName>
    <definedName name="Vol_reactif___24_31">"$#REF !.$N$21"</definedName>
    <definedName name="Vol_reactif___24_33">"$#REF !.$N$21"</definedName>
    <definedName name="Vol_reactif___24_35">"$#REF !.$N$21"</definedName>
    <definedName name="Vol_reactif___24_37">"$#REF !.$N$21"</definedName>
    <definedName name="Vol_reactif___24_39">"$#REF !.$N$21"</definedName>
    <definedName name="Vol_reactif___24_41">"$#REF !.$N$21"</definedName>
    <definedName name="Vol_reactif___24_43">"$#REF !.$N$21"</definedName>
    <definedName name="Vol_reactif___24_45">"$#REF !.$N$21"</definedName>
    <definedName name="Vol_reactif___24_47">"$#REF !.$N$21"</definedName>
    <definedName name="Vol_reactif___24_49">"$#REF !.$N$21"</definedName>
    <definedName name="Vol_reactif___24_51">"$#REF !.$N$21"</definedName>
    <definedName name="Vol_reactif___24_53">"$#REF !.$N$21"</definedName>
    <definedName name="Vol_reactif___24_55">"$#REF !.$N$21"</definedName>
    <definedName name="Vol_reactif___24_57">"$#REF !.$N$21"</definedName>
    <definedName name="Vol_reactif___24_59">"$#REF !.$N$21"</definedName>
    <definedName name="Vol_reactif___24_61">"$#REF !.$N$21"</definedName>
    <definedName name="Vol_reactif___24_63">"$#REF !.$N$21"</definedName>
    <definedName name="Vol_reactif___24_65">"$#REF !.$N$21"</definedName>
    <definedName name="Vol_reactif___24_67">"$#REF !.$N$21"</definedName>
    <definedName name="Vol_reactif___24_69">"$#REF !.$N$21"</definedName>
    <definedName name="Vol_reactif___24_71">"$#REF !.$N$21"</definedName>
    <definedName name="Vol_reactif___24_73">"$#REF !.$N$21"</definedName>
    <definedName name="Vol_reactif___24_75">"$#REF !.$N$21"</definedName>
    <definedName name="Vol_reactif___24_77">"$#REF !.$N$21"</definedName>
    <definedName name="Vol_reactif___24_79">"$#REF !.$N$21"</definedName>
    <definedName name="Vol_reactif___24_81">"$#REF !.$N$21"</definedName>
    <definedName name="Vol_reactif___24_83">'001_01'!$N$20</definedName>
    <definedName name="Vol_reactif___24_83_2">"$#REF !.$N$21"</definedName>
    <definedName name="Vol_reactif___24_83_3" localSheetId="7">#REF!</definedName>
    <definedName name="Vol_reactif___24_83_3" localSheetId="8">#REF!</definedName>
    <definedName name="Vol_reactif___24_83_3" localSheetId="9">#REF!</definedName>
    <definedName name="Vol_reactif___24_83_3" localSheetId="10">#REF!</definedName>
    <definedName name="Vol_reactif___24_83_3" localSheetId="11">#REF!</definedName>
    <definedName name="Vol_reactif___24_83_3" localSheetId="12">#REF!</definedName>
    <definedName name="Vol_reactif___24_83_3" localSheetId="13">#REF!</definedName>
    <definedName name="Vol_reactif___24_83_3" localSheetId="14">#REF!</definedName>
    <definedName name="Vol_reactif___24_83_3">#REF!</definedName>
    <definedName name="Vol_reactif___24_83_3_1">"$#REF !.$N$21"</definedName>
    <definedName name="Vol_reactif___24_83_4" localSheetId="7">#REF!</definedName>
    <definedName name="Vol_reactif___24_83_4" localSheetId="8">#REF!</definedName>
    <definedName name="Vol_reactif___24_83_4" localSheetId="9">#REF!</definedName>
    <definedName name="Vol_reactif___24_83_4" localSheetId="10">#REF!</definedName>
    <definedName name="Vol_reactif___24_83_4" localSheetId="11">#REF!</definedName>
    <definedName name="Vol_reactif___24_83_4" localSheetId="12">#REF!</definedName>
    <definedName name="Vol_reactif___24_83_4" localSheetId="13">#REF!</definedName>
    <definedName name="Vol_reactif___24_83_4" localSheetId="14">#REF!</definedName>
    <definedName name="Vol_reactif___24_83_4">#REF!</definedName>
    <definedName name="Vol_reactif___24_83_4_1">"$#REF !.$N$21"</definedName>
    <definedName name="Vol_reactif___24_83_5" localSheetId="7">#REF!</definedName>
    <definedName name="Vol_reactif___24_83_5" localSheetId="8">#REF!</definedName>
    <definedName name="Vol_reactif___24_83_5" localSheetId="9">#REF!</definedName>
    <definedName name="Vol_reactif___24_83_5" localSheetId="10">#REF!</definedName>
    <definedName name="Vol_reactif___24_83_5" localSheetId="11">#REF!</definedName>
    <definedName name="Vol_reactif___24_83_5" localSheetId="12">#REF!</definedName>
    <definedName name="Vol_reactif___24_83_5" localSheetId="13">#REF!</definedName>
    <definedName name="Vol_reactif___24_83_5" localSheetId="14">#REF!</definedName>
    <definedName name="Vol_reactif___24_83_5">#REF!</definedName>
    <definedName name="Vol_reactif___24_83_5_1">"$#REF !.$N$21"</definedName>
    <definedName name="Vol_reactif___24_83_6" localSheetId="7">#REF!</definedName>
    <definedName name="Vol_reactif___24_83_6" localSheetId="8">#REF!</definedName>
    <definedName name="Vol_reactif___24_83_6" localSheetId="9">#REF!</definedName>
    <definedName name="Vol_reactif___24_83_6" localSheetId="10">#REF!</definedName>
    <definedName name="Vol_reactif___24_83_6" localSheetId="11">#REF!</definedName>
    <definedName name="Vol_reactif___24_83_6" localSheetId="12">#REF!</definedName>
    <definedName name="Vol_reactif___24_83_6" localSheetId="13">#REF!</definedName>
    <definedName name="Vol_reactif___24_83_6" localSheetId="14">#REF!</definedName>
    <definedName name="Vol_reactif___24_83_6">#REF!</definedName>
    <definedName name="Vol_reactif___24_83_6_1">"$#REF !.$N$21"</definedName>
    <definedName name="Vol_reactif___24_83_7" localSheetId="7">#REF!</definedName>
    <definedName name="Vol_reactif___24_83_7" localSheetId="8">#REF!</definedName>
    <definedName name="Vol_reactif___24_83_7" localSheetId="9">#REF!</definedName>
    <definedName name="Vol_reactif___24_83_7" localSheetId="10">#REF!</definedName>
    <definedName name="Vol_reactif___24_83_7" localSheetId="11">#REF!</definedName>
    <definedName name="Vol_reactif___24_83_7" localSheetId="12">#REF!</definedName>
    <definedName name="Vol_reactif___24_83_7" localSheetId="13">#REF!</definedName>
    <definedName name="Vol_reactif___24_83_7" localSheetId="14">#REF!</definedName>
    <definedName name="Vol_reactif___24_83_7">#REF!</definedName>
    <definedName name="Vol_reactif___24_83_7_1">"$#REF !.$N$21"</definedName>
    <definedName name="Vol_reactif___25">"$#REF !.$N$21"</definedName>
    <definedName name="Vol_reactif___26">"$#REF !.$N$21"</definedName>
    <definedName name="Vol_reactif___27">"$#REF !.$N$21"</definedName>
    <definedName name="Vol_reactif___28">"$#REF !.$N$21"</definedName>
    <definedName name="Vol_reactif___3">"$#REF !.$N$20"</definedName>
    <definedName name="Vol_reactif___33">"$#REF !.$N$20"</definedName>
    <definedName name="Vol_reactif___33_89" localSheetId="7">#REF!</definedName>
    <definedName name="Vol_reactif___33_89" localSheetId="8">#REF!</definedName>
    <definedName name="Vol_reactif___33_89" localSheetId="9">#REF!</definedName>
    <definedName name="Vol_reactif___33_89" localSheetId="10">#REF!</definedName>
    <definedName name="Vol_reactif___33_89" localSheetId="11">#REF!</definedName>
    <definedName name="Vol_reactif___33_89" localSheetId="12">#REF!</definedName>
    <definedName name="Vol_reactif___33_89" localSheetId="13">#REF!</definedName>
    <definedName name="Vol_reactif___33_89" localSheetId="14">#REF!</definedName>
    <definedName name="Vol_reactif___33_89">#REF!</definedName>
    <definedName name="Vol_reactif___4">"$#REF !.$N$20"</definedName>
    <definedName name="Vol_reactif___5">"$#REF !.$N$20"</definedName>
    <definedName name="Vol_reactif___6">"$#REF !.$N$20"</definedName>
    <definedName name="Vol_reactif___7">"$#REF !.$N$20"</definedName>
    <definedName name="Vol_reactif___8">"$#REF !.$N$20"</definedName>
    <definedName name="Vol_reactif___9">"$#REF !.$N$20"</definedName>
    <definedName name="Vol_thio_iodate">"$#REF !.$O$14"</definedName>
    <definedName name="Vol_thio_iodate___0">"$#REF !.$E$12"</definedName>
    <definedName name="Vol_thio_iodate___1">"$#REF !.$O$14"</definedName>
    <definedName name="Vol_thio_iodate___10">"$#REF !.$O$14"</definedName>
    <definedName name="Vol_thio_iodate___11">"$#REF !.$O$14"</definedName>
    <definedName name="Vol_thio_iodate___12">"$#REF !.$O$14"</definedName>
    <definedName name="Vol_thio_iodate___13">"$#REF !.$O$14"</definedName>
    <definedName name="Vol_thio_iodate___14">"$#REF !.$O$14"</definedName>
    <definedName name="Vol_thio_iodate___15">"$#REF !.$O$14"</definedName>
    <definedName name="Vol_thio_iodate___16">"$#REF !.$O$14"</definedName>
    <definedName name="Vol_thio_iodate___17">"$#REF !.$O$14"</definedName>
    <definedName name="Vol_thio_iodate___18">"$#REF !.$O$14"</definedName>
    <definedName name="Vol_thio_iodate___19">"$#REF !.$O$14"</definedName>
    <definedName name="Vol_thio_iodate___20">"$#REF !.$O$14"</definedName>
    <definedName name="Vol_thio_iodate___21">"$#REF !.$O$14"</definedName>
    <definedName name="Vol_thio_iodate___22">"$#REF !.$O$14"</definedName>
    <definedName name="Vol_thio_iodate___23">"$#REF !.$O$14"</definedName>
    <definedName name="Vol_thio_iodate___24">"$#REF !.$O$15"</definedName>
    <definedName name="Vol_thio_iodate___24_11">"$#REF !.$O$15"</definedName>
    <definedName name="Vol_thio_iodate___24_13">"$#REF !.$O$15"</definedName>
    <definedName name="Vol_thio_iodate___24_15">"$#REF !.$O$15"</definedName>
    <definedName name="Vol_thio_iodate___24_17">"$#REF !.$O$15"</definedName>
    <definedName name="Vol_thio_iodate___24_19">"$#REF !.$O$15"</definedName>
    <definedName name="Vol_thio_iodate___24_21">"$#REF !.$O$15"</definedName>
    <definedName name="Vol_thio_iodate___24_23">"$#REF !.$O$15"</definedName>
    <definedName name="Vol_thio_iodate___24_25">"$#REF !.$O$15"</definedName>
    <definedName name="Vol_thio_iodate___24_27">"$#REF !.$O$15"</definedName>
    <definedName name="Vol_thio_iodate___24_29">"$#REF !.$O$15"</definedName>
    <definedName name="Vol_thio_iodate___24_31">"$#REF !.$O$15"</definedName>
    <definedName name="Vol_thio_iodate___24_33">"$#REF !.$O$15"</definedName>
    <definedName name="Vol_thio_iodate___24_35">"$#REF !.$O$15"</definedName>
    <definedName name="Vol_thio_iodate___24_37">"$#REF !.$O$15"</definedName>
    <definedName name="Vol_thio_iodate___24_39">"$#REF !.$O$15"</definedName>
    <definedName name="Vol_thio_iodate___24_41">"$#REF !.$O$15"</definedName>
    <definedName name="Vol_thio_iodate___24_43">"$#REF !.$O$15"</definedName>
    <definedName name="Vol_thio_iodate___24_45">"$#REF !.$O$15"</definedName>
    <definedName name="Vol_thio_iodate___24_47">"$#REF !.$O$15"</definedName>
    <definedName name="Vol_thio_iodate___24_49">"$#REF !.$O$15"</definedName>
    <definedName name="Vol_thio_iodate___24_51">"$#REF !.$O$15"</definedName>
    <definedName name="Vol_thio_iodate___24_53">"$#REF !.$O$15"</definedName>
    <definedName name="Vol_thio_iodate___24_55">"$#REF !.$O$15"</definedName>
    <definedName name="Vol_thio_iodate___24_57">"$#REF !.$O$15"</definedName>
    <definedName name="Vol_thio_iodate___24_59">"$#REF !.$O$15"</definedName>
    <definedName name="Vol_thio_iodate___24_61">"$#REF !.$O$15"</definedName>
    <definedName name="Vol_thio_iodate___24_63">"$#REF !.$O$15"</definedName>
    <definedName name="Vol_thio_iodate___24_65">"$#REF !.$O$15"</definedName>
    <definedName name="Vol_thio_iodate___24_67">"$#REF !.$O$15"</definedName>
    <definedName name="Vol_thio_iodate___24_69">"$#REF !.$O$15"</definedName>
    <definedName name="Vol_thio_iodate___24_71">"$#REF !.$O$15"</definedName>
    <definedName name="Vol_thio_iodate___24_73">"$#REF !.$O$15"</definedName>
    <definedName name="Vol_thio_iodate___24_75">"$#REF !.$O$15"</definedName>
    <definedName name="Vol_thio_iodate___24_77">"$#REF !.$O$15"</definedName>
    <definedName name="Vol_thio_iodate___24_79">"$#REF !.$O$15"</definedName>
    <definedName name="Vol_thio_iodate___24_81">"$#REF !.$O$15"</definedName>
    <definedName name="Vol_thio_iodate___24_83">'001_01'!$O$14</definedName>
    <definedName name="Vol_thio_iodate___24_83_2">"$#REF !.$O$15"</definedName>
    <definedName name="Vol_thio_iodate___24_83_3" localSheetId="7">#REF!</definedName>
    <definedName name="Vol_thio_iodate___24_83_3" localSheetId="8">#REF!</definedName>
    <definedName name="Vol_thio_iodate___24_83_3" localSheetId="9">#REF!</definedName>
    <definedName name="Vol_thio_iodate___24_83_3" localSheetId="10">#REF!</definedName>
    <definedName name="Vol_thio_iodate___24_83_3" localSheetId="11">#REF!</definedName>
    <definedName name="Vol_thio_iodate___24_83_3" localSheetId="12">#REF!</definedName>
    <definedName name="Vol_thio_iodate___24_83_3" localSheetId="13">#REF!</definedName>
    <definedName name="Vol_thio_iodate___24_83_3" localSheetId="14">#REF!</definedName>
    <definedName name="Vol_thio_iodate___24_83_3">#REF!</definedName>
    <definedName name="Vol_thio_iodate___24_83_3_1">"$#REF !.$O$15"</definedName>
    <definedName name="Vol_thio_iodate___24_83_4" localSheetId="7">#REF!</definedName>
    <definedName name="Vol_thio_iodate___24_83_4" localSheetId="8">#REF!</definedName>
    <definedName name="Vol_thio_iodate___24_83_4" localSheetId="9">#REF!</definedName>
    <definedName name="Vol_thio_iodate___24_83_4" localSheetId="10">#REF!</definedName>
    <definedName name="Vol_thio_iodate___24_83_4" localSheetId="11">#REF!</definedName>
    <definedName name="Vol_thio_iodate___24_83_4" localSheetId="12">#REF!</definedName>
    <definedName name="Vol_thio_iodate___24_83_4" localSheetId="13">#REF!</definedName>
    <definedName name="Vol_thio_iodate___24_83_4" localSheetId="14">#REF!</definedName>
    <definedName name="Vol_thio_iodate___24_83_4">#REF!</definedName>
    <definedName name="Vol_thio_iodate___24_83_4_1">"$#REF !.$O$15"</definedName>
    <definedName name="Vol_thio_iodate___24_83_5" localSheetId="7">#REF!</definedName>
    <definedName name="Vol_thio_iodate___24_83_5" localSheetId="8">#REF!</definedName>
    <definedName name="Vol_thio_iodate___24_83_5" localSheetId="9">#REF!</definedName>
    <definedName name="Vol_thio_iodate___24_83_5" localSheetId="10">#REF!</definedName>
    <definedName name="Vol_thio_iodate___24_83_5" localSheetId="11">#REF!</definedName>
    <definedName name="Vol_thio_iodate___24_83_5" localSheetId="12">#REF!</definedName>
    <definedName name="Vol_thio_iodate___24_83_5" localSheetId="13">#REF!</definedName>
    <definedName name="Vol_thio_iodate___24_83_5" localSheetId="14">#REF!</definedName>
    <definedName name="Vol_thio_iodate___24_83_5">#REF!</definedName>
    <definedName name="Vol_thio_iodate___24_83_5_1">"$#REF !.$O$15"</definedName>
    <definedName name="Vol_thio_iodate___24_83_6" localSheetId="7">#REF!</definedName>
    <definedName name="Vol_thio_iodate___24_83_6" localSheetId="8">#REF!</definedName>
    <definedName name="Vol_thio_iodate___24_83_6" localSheetId="9">#REF!</definedName>
    <definedName name="Vol_thio_iodate___24_83_6" localSheetId="10">#REF!</definedName>
    <definedName name="Vol_thio_iodate___24_83_6" localSheetId="11">#REF!</definedName>
    <definedName name="Vol_thio_iodate___24_83_6" localSheetId="12">#REF!</definedName>
    <definedName name="Vol_thio_iodate___24_83_6" localSheetId="13">#REF!</definedName>
    <definedName name="Vol_thio_iodate___24_83_6" localSheetId="14">#REF!</definedName>
    <definedName name="Vol_thio_iodate___24_83_6">#REF!</definedName>
    <definedName name="Vol_thio_iodate___24_83_6_1">"$#REF !.$O$15"</definedName>
    <definedName name="Vol_thio_iodate___24_83_7" localSheetId="7">#REF!</definedName>
    <definedName name="Vol_thio_iodate___24_83_7" localSheetId="8">#REF!</definedName>
    <definedName name="Vol_thio_iodate___24_83_7" localSheetId="9">#REF!</definedName>
    <definedName name="Vol_thio_iodate___24_83_7" localSheetId="10">#REF!</definedName>
    <definedName name="Vol_thio_iodate___24_83_7" localSheetId="11">#REF!</definedName>
    <definedName name="Vol_thio_iodate___24_83_7" localSheetId="12">#REF!</definedName>
    <definedName name="Vol_thio_iodate___24_83_7" localSheetId="13">#REF!</definedName>
    <definedName name="Vol_thio_iodate___24_83_7" localSheetId="14">#REF!</definedName>
    <definedName name="Vol_thio_iodate___24_83_7">#REF!</definedName>
    <definedName name="Vol_thio_iodate___24_83_7_1">"$#REF !.$O$15"</definedName>
    <definedName name="Vol_thio_iodate___25">"$#REF !.$O$15"</definedName>
    <definedName name="Vol_thio_iodate___26">"$#REF !.$O$15"</definedName>
    <definedName name="Vol_thio_iodate___27">"$#REF !.$O$15"</definedName>
    <definedName name="Vol_thio_iodate___28">"$#REF !.$O$15"</definedName>
    <definedName name="Vol_thio_iodate___3">"$#REF !.$O$14"</definedName>
    <definedName name="Vol_thio_iodate___33">"$#REF !.$O$14"</definedName>
    <definedName name="Vol_thio_iodate___33_89" localSheetId="7">#REF!</definedName>
    <definedName name="Vol_thio_iodate___33_89" localSheetId="8">#REF!</definedName>
    <definedName name="Vol_thio_iodate___33_89" localSheetId="9">#REF!</definedName>
    <definedName name="Vol_thio_iodate___33_89" localSheetId="10">#REF!</definedName>
    <definedName name="Vol_thio_iodate___33_89" localSheetId="11">#REF!</definedName>
    <definedName name="Vol_thio_iodate___33_89" localSheetId="12">#REF!</definedName>
    <definedName name="Vol_thio_iodate___33_89" localSheetId="13">#REF!</definedName>
    <definedName name="Vol_thio_iodate___33_89" localSheetId="14">#REF!</definedName>
    <definedName name="Vol_thio_iodate___33_89">#REF!</definedName>
    <definedName name="Vol_thio_iodate___4">"$#REF !.$O$14"</definedName>
    <definedName name="Vol_thio_iodate___5">"$#REF !.$O$14"</definedName>
    <definedName name="Vol_thio_iodate___6">"$#REF !.$O$14"</definedName>
    <definedName name="Vol_thio_iodate___7">"$#REF !.$O$14"</definedName>
    <definedName name="Vol_thio_iodate___8">"$#REF !.$O$14"</definedName>
    <definedName name="Vol_thio_iodate___9">"$#REF !.$O$14"</definedName>
    <definedName name="Volume_du_flacon">"$#REF !.$B$14"</definedName>
  </definedNames>
  <calcPr calcId="152511"/>
</workbook>
</file>

<file path=xl/calcChain.xml><?xml version="1.0" encoding="utf-8"?>
<calcChain xmlns="http://schemas.openxmlformats.org/spreadsheetml/2006/main">
  <c r="R46" i="326" l="1"/>
  <c r="B58" i="326"/>
  <c r="A58" i="326"/>
  <c r="B57" i="326"/>
  <c r="A57" i="326"/>
  <c r="B56" i="326"/>
  <c r="A56" i="326"/>
  <c r="B55" i="326"/>
  <c r="A55" i="326"/>
  <c r="B54" i="326"/>
  <c r="A54" i="326"/>
  <c r="B53" i="326"/>
  <c r="A53" i="326"/>
  <c r="B52" i="326"/>
  <c r="A52" i="326"/>
  <c r="B51" i="326"/>
  <c r="A51" i="326"/>
  <c r="B50" i="326"/>
  <c r="A50" i="326"/>
  <c r="B49" i="326"/>
  <c r="A49" i="326"/>
  <c r="B48" i="326"/>
  <c r="A48" i="326"/>
  <c r="B47" i="326"/>
  <c r="A47" i="326"/>
  <c r="Q46" i="326"/>
  <c r="O46" i="326"/>
  <c r="N46" i="326"/>
  <c r="M46" i="326"/>
  <c r="L46" i="326"/>
  <c r="K46" i="326"/>
  <c r="B46" i="326"/>
  <c r="A46" i="326"/>
  <c r="B45" i="326"/>
  <c r="A45" i="326"/>
  <c r="B44" i="326"/>
  <c r="A44" i="326"/>
  <c r="B43" i="326"/>
  <c r="A43" i="326"/>
  <c r="B42" i="326"/>
  <c r="A42" i="326"/>
  <c r="B41" i="326"/>
  <c r="A41" i="326"/>
  <c r="B40" i="326"/>
  <c r="A40" i="326"/>
  <c r="B39" i="326"/>
  <c r="A39" i="326"/>
  <c r="B38" i="326"/>
  <c r="A38" i="326"/>
  <c r="B37" i="326"/>
  <c r="A37" i="326"/>
  <c r="B36" i="326"/>
  <c r="A36" i="326"/>
  <c r="B35" i="326"/>
  <c r="A35" i="326"/>
  <c r="P26" i="326"/>
  <c r="P25" i="326"/>
  <c r="P24" i="326"/>
  <c r="P23" i="326"/>
  <c r="P22" i="326"/>
  <c r="P20" i="326"/>
  <c r="P21" i="326" s="1"/>
  <c r="P19" i="326"/>
  <c r="P18" i="326"/>
  <c r="O12" i="326"/>
  <c r="N12" i="326"/>
  <c r="P11" i="326"/>
  <c r="O11" i="326"/>
  <c r="N11" i="326"/>
  <c r="Q10" i="326"/>
  <c r="L10" i="326"/>
  <c r="Q9" i="326"/>
  <c r="L9" i="326"/>
  <c r="O9" i="326" s="1"/>
  <c r="R46" i="325"/>
  <c r="B58" i="325"/>
  <c r="A58" i="325"/>
  <c r="B57" i="325"/>
  <c r="A57" i="325"/>
  <c r="B56" i="325"/>
  <c r="A56" i="325"/>
  <c r="B55" i="325"/>
  <c r="A55" i="325"/>
  <c r="B54" i="325"/>
  <c r="A54" i="325"/>
  <c r="B53" i="325"/>
  <c r="A53" i="325"/>
  <c r="B52" i="325"/>
  <c r="A52" i="325"/>
  <c r="B51" i="325"/>
  <c r="A51" i="325"/>
  <c r="B50" i="325"/>
  <c r="A50" i="325"/>
  <c r="B49" i="325"/>
  <c r="A49" i="325"/>
  <c r="B48" i="325"/>
  <c r="A48" i="325"/>
  <c r="B47" i="325"/>
  <c r="A47" i="325"/>
  <c r="Q46" i="325"/>
  <c r="O46" i="325"/>
  <c r="N46" i="325"/>
  <c r="M46" i="325"/>
  <c r="L46" i="325"/>
  <c r="K46" i="325"/>
  <c r="B46" i="325"/>
  <c r="A46" i="325"/>
  <c r="B45" i="325"/>
  <c r="A45" i="325"/>
  <c r="B44" i="325"/>
  <c r="A44" i="325"/>
  <c r="B43" i="325"/>
  <c r="A43" i="325"/>
  <c r="B42" i="325"/>
  <c r="A42" i="325"/>
  <c r="B41" i="325"/>
  <c r="A41" i="325"/>
  <c r="B40" i="325"/>
  <c r="A40" i="325"/>
  <c r="B39" i="325"/>
  <c r="A39" i="325"/>
  <c r="B38" i="325"/>
  <c r="A38" i="325"/>
  <c r="B37" i="325"/>
  <c r="A37" i="325"/>
  <c r="B36" i="325"/>
  <c r="A36" i="325"/>
  <c r="B35" i="325"/>
  <c r="A35" i="325"/>
  <c r="P26" i="325"/>
  <c r="P25" i="325"/>
  <c r="P24" i="325"/>
  <c r="P19" i="325" s="1"/>
  <c r="P23" i="325"/>
  <c r="P22" i="325"/>
  <c r="P20" i="325"/>
  <c r="P21" i="325" s="1"/>
  <c r="P18" i="325"/>
  <c r="O12" i="325"/>
  <c r="Q10" i="325" s="1"/>
  <c r="N12" i="325"/>
  <c r="P11" i="325"/>
  <c r="O11" i="325"/>
  <c r="N11" i="325"/>
  <c r="O10" i="325"/>
  <c r="L10" i="325"/>
  <c r="Q9" i="325"/>
  <c r="L9" i="325"/>
  <c r="O9" i="325" s="1"/>
  <c r="R46" i="324"/>
  <c r="B58" i="324"/>
  <c r="A58" i="324"/>
  <c r="B57" i="324"/>
  <c r="A57" i="324"/>
  <c r="B56" i="324"/>
  <c r="A56" i="324"/>
  <c r="B55" i="324"/>
  <c r="A55" i="324"/>
  <c r="B54" i="324"/>
  <c r="A54" i="324"/>
  <c r="B53" i="324"/>
  <c r="A53" i="324"/>
  <c r="B52" i="324"/>
  <c r="A52" i="324"/>
  <c r="B51" i="324"/>
  <c r="A51" i="324"/>
  <c r="B50" i="324"/>
  <c r="A50" i="324"/>
  <c r="B49" i="324"/>
  <c r="A49" i="324"/>
  <c r="B48" i="324"/>
  <c r="A48" i="324"/>
  <c r="B47" i="324"/>
  <c r="A47" i="324"/>
  <c r="Q46" i="324"/>
  <c r="O46" i="324"/>
  <c r="N46" i="324"/>
  <c r="M46" i="324"/>
  <c r="L46" i="324"/>
  <c r="K46" i="324"/>
  <c r="B46" i="324"/>
  <c r="A46" i="324"/>
  <c r="B45" i="324"/>
  <c r="A45" i="324"/>
  <c r="B44" i="324"/>
  <c r="A44" i="324"/>
  <c r="B43" i="324"/>
  <c r="A43" i="324"/>
  <c r="B42" i="324"/>
  <c r="A42" i="324"/>
  <c r="B41" i="324"/>
  <c r="A41" i="324"/>
  <c r="B40" i="324"/>
  <c r="A40" i="324"/>
  <c r="B39" i="324"/>
  <c r="A39" i="324"/>
  <c r="B38" i="324"/>
  <c r="A38" i="324"/>
  <c r="B37" i="324"/>
  <c r="A37" i="324"/>
  <c r="B36" i="324"/>
  <c r="A36" i="324"/>
  <c r="B35" i="324"/>
  <c r="A35" i="324"/>
  <c r="P26" i="324"/>
  <c r="P25" i="324"/>
  <c r="P24" i="324"/>
  <c r="P23" i="324"/>
  <c r="P22" i="324"/>
  <c r="P20" i="324"/>
  <c r="P21" i="324" s="1"/>
  <c r="P18" i="324"/>
  <c r="O12" i="324"/>
  <c r="N12" i="324"/>
  <c r="P11" i="324"/>
  <c r="O11" i="324"/>
  <c r="N11" i="324"/>
  <c r="Q10" i="324"/>
  <c r="L10" i="324"/>
  <c r="Q9" i="324"/>
  <c r="L9" i="324"/>
  <c r="O9" i="324" s="1"/>
  <c r="R46" i="323"/>
  <c r="B58" i="323"/>
  <c r="A58" i="323"/>
  <c r="B57" i="323"/>
  <c r="A57" i="323"/>
  <c r="B56" i="323"/>
  <c r="A56" i="323"/>
  <c r="B55" i="323"/>
  <c r="A55" i="323"/>
  <c r="B54" i="323"/>
  <c r="A54" i="323"/>
  <c r="B53" i="323"/>
  <c r="A53" i="323"/>
  <c r="B52" i="323"/>
  <c r="A52" i="323"/>
  <c r="B51" i="323"/>
  <c r="A51" i="323"/>
  <c r="B50" i="323"/>
  <c r="A50" i="323"/>
  <c r="B49" i="323"/>
  <c r="A49" i="323"/>
  <c r="B48" i="323"/>
  <c r="A48" i="323"/>
  <c r="B47" i="323"/>
  <c r="A47" i="323"/>
  <c r="Q46" i="323"/>
  <c r="O46" i="323"/>
  <c r="N46" i="323"/>
  <c r="M46" i="323"/>
  <c r="L46" i="323"/>
  <c r="K46" i="323"/>
  <c r="B46" i="323"/>
  <c r="A46" i="323"/>
  <c r="B45" i="323"/>
  <c r="A45" i="323"/>
  <c r="B44" i="323"/>
  <c r="A44" i="323"/>
  <c r="B43" i="323"/>
  <c r="A43" i="323"/>
  <c r="B42" i="323"/>
  <c r="A42" i="323"/>
  <c r="B41" i="323"/>
  <c r="A41" i="323"/>
  <c r="B40" i="323"/>
  <c r="A40" i="323"/>
  <c r="B39" i="323"/>
  <c r="A39" i="323"/>
  <c r="B38" i="323"/>
  <c r="A38" i="323"/>
  <c r="B37" i="323"/>
  <c r="A37" i="323"/>
  <c r="B36" i="323"/>
  <c r="A36" i="323"/>
  <c r="B35" i="323"/>
  <c r="A35" i="323"/>
  <c r="P26" i="323"/>
  <c r="P25" i="323"/>
  <c r="P24" i="323"/>
  <c r="P23" i="323"/>
  <c r="P22" i="323"/>
  <c r="P21" i="323"/>
  <c r="P20" i="323"/>
  <c r="P18" i="323"/>
  <c r="O12" i="323"/>
  <c r="Q10" i="323" s="1"/>
  <c r="N12" i="323"/>
  <c r="P11" i="323"/>
  <c r="O11" i="323"/>
  <c r="N11" i="323"/>
  <c r="L10" i="323"/>
  <c r="O10" i="323" s="1"/>
  <c r="Q9" i="323"/>
  <c r="L9" i="323"/>
  <c r="O9" i="323" s="1"/>
  <c r="R46" i="322"/>
  <c r="B58" i="322"/>
  <c r="A58" i="322"/>
  <c r="B57" i="322"/>
  <c r="A57" i="322"/>
  <c r="B56" i="322"/>
  <c r="A56" i="322"/>
  <c r="B55" i="322"/>
  <c r="A55" i="322"/>
  <c r="B54" i="322"/>
  <c r="A54" i="322"/>
  <c r="B53" i="322"/>
  <c r="A53" i="322"/>
  <c r="B52" i="322"/>
  <c r="A52" i="322"/>
  <c r="B51" i="322"/>
  <c r="A51" i="322"/>
  <c r="B50" i="322"/>
  <c r="A50" i="322"/>
  <c r="B49" i="322"/>
  <c r="A49" i="322"/>
  <c r="B48" i="322"/>
  <c r="A48" i="322"/>
  <c r="B47" i="322"/>
  <c r="A47" i="322"/>
  <c r="Q46" i="322"/>
  <c r="O46" i="322"/>
  <c r="N46" i="322"/>
  <c r="M46" i="322"/>
  <c r="L46" i="322"/>
  <c r="K46" i="322"/>
  <c r="B46" i="322"/>
  <c r="A46" i="322"/>
  <c r="B45" i="322"/>
  <c r="A45" i="322"/>
  <c r="B44" i="322"/>
  <c r="A44" i="322"/>
  <c r="B43" i="322"/>
  <c r="A43" i="322"/>
  <c r="B42" i="322"/>
  <c r="A42" i="322"/>
  <c r="B41" i="322"/>
  <c r="A41" i="322"/>
  <c r="B40" i="322"/>
  <c r="A40" i="322"/>
  <c r="B39" i="322"/>
  <c r="A39" i="322"/>
  <c r="B38" i="322"/>
  <c r="A38" i="322"/>
  <c r="B37" i="322"/>
  <c r="A37" i="322"/>
  <c r="B36" i="322"/>
  <c r="A36" i="322"/>
  <c r="B35" i="322"/>
  <c r="A35" i="322"/>
  <c r="P26" i="322"/>
  <c r="P25" i="322"/>
  <c r="P24" i="322"/>
  <c r="P23" i="322"/>
  <c r="P22" i="322"/>
  <c r="P20" i="322"/>
  <c r="P21" i="322" s="1"/>
  <c r="P18" i="322"/>
  <c r="O12" i="322"/>
  <c r="Q10" i="322" s="1"/>
  <c r="N12" i="322"/>
  <c r="P11" i="322"/>
  <c r="O11" i="322"/>
  <c r="N11" i="322"/>
  <c r="L10" i="322"/>
  <c r="O10" i="322" s="1"/>
  <c r="Q9" i="322"/>
  <c r="L9" i="322"/>
  <c r="O9" i="322" s="1"/>
  <c r="R46" i="321"/>
  <c r="B58" i="321"/>
  <c r="A58" i="321"/>
  <c r="B57" i="321"/>
  <c r="A57" i="321"/>
  <c r="B56" i="321"/>
  <c r="A56" i="321"/>
  <c r="B55" i="321"/>
  <c r="A55" i="321"/>
  <c r="B54" i="321"/>
  <c r="A54" i="321"/>
  <c r="B53" i="321"/>
  <c r="A53" i="321"/>
  <c r="B52" i="321"/>
  <c r="A52" i="321"/>
  <c r="B51" i="321"/>
  <c r="A51" i="321"/>
  <c r="B50" i="321"/>
  <c r="A50" i="321"/>
  <c r="B49" i="321"/>
  <c r="A49" i="321"/>
  <c r="B48" i="321"/>
  <c r="A48" i="321"/>
  <c r="B47" i="321"/>
  <c r="A47" i="321"/>
  <c r="Q46" i="321"/>
  <c r="O46" i="321"/>
  <c r="N46" i="321"/>
  <c r="M46" i="321"/>
  <c r="L46" i="321"/>
  <c r="K46" i="321"/>
  <c r="B46" i="321"/>
  <c r="A46" i="321"/>
  <c r="B45" i="321"/>
  <c r="A45" i="321"/>
  <c r="B44" i="321"/>
  <c r="A44" i="321"/>
  <c r="B43" i="321"/>
  <c r="A43" i="321"/>
  <c r="B42" i="321"/>
  <c r="A42" i="321"/>
  <c r="B41" i="321"/>
  <c r="A41" i="321"/>
  <c r="B40" i="321"/>
  <c r="A40" i="321"/>
  <c r="B39" i="321"/>
  <c r="A39" i="321"/>
  <c r="B38" i="321"/>
  <c r="A38" i="321"/>
  <c r="B37" i="321"/>
  <c r="A37" i="321"/>
  <c r="B36" i="321"/>
  <c r="A36" i="321"/>
  <c r="B35" i="321"/>
  <c r="A35" i="321"/>
  <c r="P26" i="321"/>
  <c r="P25" i="321"/>
  <c r="P24" i="321"/>
  <c r="P23" i="321"/>
  <c r="P22" i="321"/>
  <c r="P20" i="321"/>
  <c r="P21" i="321" s="1"/>
  <c r="P18" i="321"/>
  <c r="O12" i="321"/>
  <c r="Q10" i="321" s="1"/>
  <c r="N12" i="321"/>
  <c r="P11" i="321"/>
  <c r="O11" i="321"/>
  <c r="Q9" i="321" s="1"/>
  <c r="N11" i="321"/>
  <c r="L10" i="321"/>
  <c r="O10" i="321" s="1"/>
  <c r="L9" i="321"/>
  <c r="R46" i="320"/>
  <c r="B58" i="320"/>
  <c r="A58" i="320"/>
  <c r="B57" i="320"/>
  <c r="A57" i="320"/>
  <c r="B56" i="320"/>
  <c r="A56" i="320"/>
  <c r="B55" i="320"/>
  <c r="A55" i="320"/>
  <c r="B54" i="320"/>
  <c r="A54" i="320"/>
  <c r="B53" i="320"/>
  <c r="A53" i="320"/>
  <c r="B52" i="320"/>
  <c r="A52" i="320"/>
  <c r="B51" i="320"/>
  <c r="A51" i="320"/>
  <c r="B50" i="320"/>
  <c r="A50" i="320"/>
  <c r="B49" i="320"/>
  <c r="A49" i="320"/>
  <c r="B48" i="320"/>
  <c r="A48" i="320"/>
  <c r="B47" i="320"/>
  <c r="A47" i="320"/>
  <c r="Q46" i="320"/>
  <c r="O46" i="320"/>
  <c r="N46" i="320"/>
  <c r="M46" i="320"/>
  <c r="L46" i="320"/>
  <c r="K46" i="320"/>
  <c r="B46" i="320"/>
  <c r="A46" i="320"/>
  <c r="B45" i="320"/>
  <c r="A45" i="320"/>
  <c r="B44" i="320"/>
  <c r="A44" i="320"/>
  <c r="B43" i="320"/>
  <c r="A43" i="320"/>
  <c r="B42" i="320"/>
  <c r="A42" i="320"/>
  <c r="B41" i="320"/>
  <c r="A41" i="320"/>
  <c r="B40" i="320"/>
  <c r="A40" i="320"/>
  <c r="B39" i="320"/>
  <c r="A39" i="320"/>
  <c r="B38" i="320"/>
  <c r="A38" i="320"/>
  <c r="B37" i="320"/>
  <c r="A37" i="320"/>
  <c r="B36" i="320"/>
  <c r="A36" i="320"/>
  <c r="B35" i="320"/>
  <c r="A35" i="320"/>
  <c r="P26" i="320"/>
  <c r="P25" i="320"/>
  <c r="P24" i="320"/>
  <c r="P19" i="320" s="1"/>
  <c r="P23" i="320"/>
  <c r="P22" i="320"/>
  <c r="P20" i="320"/>
  <c r="P21" i="320" s="1"/>
  <c r="P18" i="320"/>
  <c r="O12" i="320"/>
  <c r="Q10" i="320" s="1"/>
  <c r="N12" i="320"/>
  <c r="P11" i="320"/>
  <c r="O11" i="320"/>
  <c r="N11" i="320"/>
  <c r="L10" i="320"/>
  <c r="O10" i="320" s="1"/>
  <c r="Q9" i="320"/>
  <c r="L9" i="320"/>
  <c r="R46" i="318"/>
  <c r="B58" i="318"/>
  <c r="A58" i="318"/>
  <c r="B57" i="318"/>
  <c r="A57" i="318"/>
  <c r="B56" i="318"/>
  <c r="A56" i="318"/>
  <c r="B55" i="318"/>
  <c r="A55" i="318"/>
  <c r="B54" i="318"/>
  <c r="A54" i="318"/>
  <c r="B53" i="318"/>
  <c r="A53" i="318"/>
  <c r="B52" i="318"/>
  <c r="A52" i="318"/>
  <c r="B51" i="318"/>
  <c r="A51" i="318"/>
  <c r="B50" i="318"/>
  <c r="A50" i="318"/>
  <c r="B49" i="318"/>
  <c r="A49" i="318"/>
  <c r="B48" i="318"/>
  <c r="A48" i="318"/>
  <c r="B47" i="318"/>
  <c r="A47" i="318"/>
  <c r="Q46" i="318"/>
  <c r="O46" i="318"/>
  <c r="N46" i="318"/>
  <c r="M46" i="318"/>
  <c r="L46" i="318"/>
  <c r="K46" i="318"/>
  <c r="B46" i="318"/>
  <c r="A46" i="318"/>
  <c r="B45" i="318"/>
  <c r="A45" i="318"/>
  <c r="B44" i="318"/>
  <c r="A44" i="318"/>
  <c r="B43" i="318"/>
  <c r="A43" i="318"/>
  <c r="B42" i="318"/>
  <c r="A42" i="318"/>
  <c r="B41" i="318"/>
  <c r="A41" i="318"/>
  <c r="B40" i="318"/>
  <c r="A40" i="318"/>
  <c r="B39" i="318"/>
  <c r="A39" i="318"/>
  <c r="B38" i="318"/>
  <c r="A38" i="318"/>
  <c r="B37" i="318"/>
  <c r="A37" i="318"/>
  <c r="B36" i="318"/>
  <c r="A36" i="318"/>
  <c r="B35" i="318"/>
  <c r="A35" i="318"/>
  <c r="P26" i="318"/>
  <c r="P25" i="318"/>
  <c r="P24" i="318"/>
  <c r="P23" i="318"/>
  <c r="P22" i="318"/>
  <c r="P20" i="318"/>
  <c r="P21" i="318" s="1"/>
  <c r="P18" i="318"/>
  <c r="P19" i="318" s="1"/>
  <c r="O12" i="318"/>
  <c r="N12" i="318"/>
  <c r="P11" i="318"/>
  <c r="O11" i="318"/>
  <c r="N11" i="318"/>
  <c r="Q10" i="318"/>
  <c r="L10" i="318"/>
  <c r="Q9" i="318"/>
  <c r="L9" i="318"/>
  <c r="O9" i="318" s="1"/>
  <c r="R46" i="316"/>
  <c r="R46" i="315"/>
  <c r="R46" i="314"/>
  <c r="S58" i="313"/>
  <c r="R58" i="313"/>
  <c r="K58" i="313"/>
  <c r="J58" i="313"/>
  <c r="R46" i="257"/>
  <c r="R46" i="312"/>
  <c r="P19" i="323" l="1"/>
  <c r="O10" i="318"/>
  <c r="P19" i="321"/>
  <c r="P19" i="322"/>
  <c r="P19" i="324"/>
  <c r="O10" i="324"/>
  <c r="O10" i="326"/>
  <c r="O9" i="320"/>
  <c r="O9" i="321"/>
  <c r="B58" i="316" l="1"/>
  <c r="A58" i="316"/>
  <c r="B57" i="316"/>
  <c r="A57" i="316"/>
  <c r="B56" i="316"/>
  <c r="A56" i="316"/>
  <c r="B55" i="316"/>
  <c r="A55" i="316"/>
  <c r="B54" i="316"/>
  <c r="A54" i="316"/>
  <c r="B53" i="316"/>
  <c r="A53" i="316"/>
  <c r="B52" i="316"/>
  <c r="A52" i="316"/>
  <c r="B51" i="316"/>
  <c r="A51" i="316"/>
  <c r="B50" i="316"/>
  <c r="A50" i="316"/>
  <c r="B49" i="316"/>
  <c r="A49" i="316"/>
  <c r="B48" i="316"/>
  <c r="A48" i="316"/>
  <c r="B47" i="316"/>
  <c r="A47" i="316"/>
  <c r="Q46" i="316"/>
  <c r="O46" i="316"/>
  <c r="N46" i="316"/>
  <c r="M46" i="316"/>
  <c r="L46" i="316"/>
  <c r="K46" i="316"/>
  <c r="B46" i="316"/>
  <c r="A46" i="316"/>
  <c r="B45" i="316"/>
  <c r="A45" i="316"/>
  <c r="B44" i="316"/>
  <c r="A44" i="316"/>
  <c r="B43" i="316"/>
  <c r="A43" i="316"/>
  <c r="B42" i="316"/>
  <c r="A42" i="316"/>
  <c r="B41" i="316"/>
  <c r="A41" i="316"/>
  <c r="B40" i="316"/>
  <c r="A40" i="316"/>
  <c r="B39" i="316"/>
  <c r="A39" i="316"/>
  <c r="B38" i="316"/>
  <c r="A38" i="316"/>
  <c r="B37" i="316"/>
  <c r="A37" i="316"/>
  <c r="B36" i="316"/>
  <c r="A36" i="316"/>
  <c r="B35" i="316"/>
  <c r="A35" i="316"/>
  <c r="P25" i="316"/>
  <c r="P23" i="316"/>
  <c r="P22" i="316"/>
  <c r="P18" i="316"/>
  <c r="O12" i="316"/>
  <c r="Q10" i="316" s="1"/>
  <c r="N12" i="316"/>
  <c r="P11" i="316"/>
  <c r="O11" i="316"/>
  <c r="N11" i="316"/>
  <c r="L10" i="316"/>
  <c r="Q9" i="316"/>
  <c r="L9" i="316"/>
  <c r="B58" i="315"/>
  <c r="A58" i="315"/>
  <c r="B57" i="315"/>
  <c r="A57" i="315"/>
  <c r="B56" i="315"/>
  <c r="A56" i="315"/>
  <c r="B55" i="315"/>
  <c r="A55" i="315"/>
  <c r="B54" i="315"/>
  <c r="A54" i="315"/>
  <c r="B53" i="315"/>
  <c r="A53" i="315"/>
  <c r="B52" i="315"/>
  <c r="A52" i="315"/>
  <c r="B51" i="315"/>
  <c r="A51" i="315"/>
  <c r="B50" i="315"/>
  <c r="A50" i="315"/>
  <c r="B49" i="315"/>
  <c r="A49" i="315"/>
  <c r="B48" i="315"/>
  <c r="A48" i="315"/>
  <c r="B47" i="315"/>
  <c r="A47" i="315"/>
  <c r="Q46" i="315"/>
  <c r="O46" i="315"/>
  <c r="N46" i="315"/>
  <c r="M46" i="315"/>
  <c r="L46" i="315"/>
  <c r="K46" i="315"/>
  <c r="B46" i="315"/>
  <c r="A46" i="315"/>
  <c r="B45" i="315"/>
  <c r="A45" i="315"/>
  <c r="B44" i="315"/>
  <c r="A44" i="315"/>
  <c r="B43" i="315"/>
  <c r="A43" i="315"/>
  <c r="B42" i="315"/>
  <c r="A42" i="315"/>
  <c r="B41" i="315"/>
  <c r="A41" i="315"/>
  <c r="B40" i="315"/>
  <c r="A40" i="315"/>
  <c r="B39" i="315"/>
  <c r="A39" i="315"/>
  <c r="B38" i="315"/>
  <c r="A38" i="315"/>
  <c r="B37" i="315"/>
  <c r="A37" i="315"/>
  <c r="B36" i="315"/>
  <c r="A36" i="315"/>
  <c r="B35" i="315"/>
  <c r="A35" i="315"/>
  <c r="P25" i="315"/>
  <c r="P23" i="315"/>
  <c r="P22" i="315"/>
  <c r="P18" i="315"/>
  <c r="O12" i="315"/>
  <c r="Q10" i="315" s="1"/>
  <c r="N12" i="315"/>
  <c r="P11" i="315"/>
  <c r="O11" i="315"/>
  <c r="Q9" i="315" s="1"/>
  <c r="N11" i="315"/>
  <c r="L10" i="315"/>
  <c r="L9" i="315"/>
  <c r="S58" i="314"/>
  <c r="R58" i="314"/>
  <c r="Q58" i="314"/>
  <c r="P58" i="314"/>
  <c r="O58" i="314"/>
  <c r="N58" i="314"/>
  <c r="M58" i="314"/>
  <c r="L58" i="314"/>
  <c r="K58" i="314"/>
  <c r="J58" i="314"/>
  <c r="B58" i="314"/>
  <c r="A58" i="314"/>
  <c r="S57" i="314"/>
  <c r="R57" i="314"/>
  <c r="Q57" i="314"/>
  <c r="P57" i="314"/>
  <c r="O57" i="314"/>
  <c r="N57" i="314"/>
  <c r="M57" i="314"/>
  <c r="L57" i="314"/>
  <c r="K57" i="314"/>
  <c r="J57" i="314"/>
  <c r="B57" i="314"/>
  <c r="A57" i="314"/>
  <c r="S56" i="314"/>
  <c r="R56" i="314"/>
  <c r="Q56" i="314"/>
  <c r="P56" i="314"/>
  <c r="O56" i="314"/>
  <c r="N56" i="314"/>
  <c r="M56" i="314"/>
  <c r="L56" i="314"/>
  <c r="K56" i="314"/>
  <c r="J56" i="314"/>
  <c r="B56" i="314"/>
  <c r="A56" i="314"/>
  <c r="S55" i="314"/>
  <c r="R55" i="314"/>
  <c r="Q55" i="314"/>
  <c r="P55" i="314"/>
  <c r="O55" i="314"/>
  <c r="N55" i="314"/>
  <c r="M55" i="314"/>
  <c r="L55" i="314"/>
  <c r="K55" i="314"/>
  <c r="J55" i="314"/>
  <c r="B55" i="314"/>
  <c r="A55" i="314"/>
  <c r="S54" i="314"/>
  <c r="R54" i="314"/>
  <c r="Q54" i="314"/>
  <c r="P54" i="314"/>
  <c r="O54" i="314"/>
  <c r="N54" i="314"/>
  <c r="M54" i="314"/>
  <c r="L54" i="314"/>
  <c r="K54" i="314"/>
  <c r="J54" i="314"/>
  <c r="B54" i="314"/>
  <c r="A54" i="314"/>
  <c r="S53" i="314"/>
  <c r="R53" i="314"/>
  <c r="Q53" i="314"/>
  <c r="P53" i="314"/>
  <c r="O53" i="314"/>
  <c r="N53" i="314"/>
  <c r="M53" i="314"/>
  <c r="L53" i="314"/>
  <c r="K53" i="314"/>
  <c r="J53" i="314"/>
  <c r="B53" i="314"/>
  <c r="A53" i="314"/>
  <c r="S52" i="314"/>
  <c r="R52" i="314"/>
  <c r="Q52" i="314"/>
  <c r="P52" i="314"/>
  <c r="O52" i="314"/>
  <c r="N52" i="314"/>
  <c r="M52" i="314"/>
  <c r="L52" i="314"/>
  <c r="K52" i="314"/>
  <c r="J52" i="314"/>
  <c r="B52" i="314"/>
  <c r="A52" i="314"/>
  <c r="S51" i="314"/>
  <c r="R51" i="314"/>
  <c r="Q51" i="314"/>
  <c r="P51" i="314"/>
  <c r="O51" i="314"/>
  <c r="N51" i="314"/>
  <c r="M51" i="314"/>
  <c r="L51" i="314"/>
  <c r="K51" i="314"/>
  <c r="J51" i="314"/>
  <c r="B51" i="314"/>
  <c r="A51" i="314"/>
  <c r="S50" i="314"/>
  <c r="R50" i="314"/>
  <c r="Q50" i="314"/>
  <c r="P50" i="314"/>
  <c r="O50" i="314"/>
  <c r="N50" i="314"/>
  <c r="M50" i="314"/>
  <c r="L50" i="314"/>
  <c r="K50" i="314"/>
  <c r="J50" i="314"/>
  <c r="B50" i="314"/>
  <c r="A50" i="314"/>
  <c r="S49" i="314"/>
  <c r="R49" i="314"/>
  <c r="Q49" i="314"/>
  <c r="P49" i="314"/>
  <c r="O49" i="314"/>
  <c r="N49" i="314"/>
  <c r="M49" i="314"/>
  <c r="L49" i="314"/>
  <c r="K49" i="314"/>
  <c r="J49" i="314"/>
  <c r="B49" i="314"/>
  <c r="A49" i="314"/>
  <c r="R48" i="314"/>
  <c r="Q48" i="314"/>
  <c r="O48" i="314"/>
  <c r="N48" i="314"/>
  <c r="M48" i="314"/>
  <c r="L48" i="314"/>
  <c r="K48" i="314"/>
  <c r="J48" i="314"/>
  <c r="B48" i="314"/>
  <c r="A48" i="314"/>
  <c r="R47" i="314"/>
  <c r="Q47" i="314"/>
  <c r="O47" i="314"/>
  <c r="N47" i="314"/>
  <c r="M47" i="314"/>
  <c r="L47" i="314"/>
  <c r="K47" i="314"/>
  <c r="J47" i="314"/>
  <c r="B47" i="314"/>
  <c r="A47" i="314"/>
  <c r="Q46" i="314"/>
  <c r="O46" i="314"/>
  <c r="N46" i="314"/>
  <c r="M46" i="314"/>
  <c r="L46" i="314"/>
  <c r="K46" i="314"/>
  <c r="J46" i="314"/>
  <c r="B46" i="314"/>
  <c r="A46" i="314"/>
  <c r="B45" i="314"/>
  <c r="A45" i="314"/>
  <c r="B44" i="314"/>
  <c r="A44" i="314"/>
  <c r="B43" i="314"/>
  <c r="A43" i="314"/>
  <c r="B42" i="314"/>
  <c r="A42" i="314"/>
  <c r="B41" i="314"/>
  <c r="A41" i="314"/>
  <c r="B40" i="314"/>
  <c r="A40" i="314"/>
  <c r="B39" i="314"/>
  <c r="A39" i="314"/>
  <c r="B38" i="314"/>
  <c r="A38" i="314"/>
  <c r="B37" i="314"/>
  <c r="A37" i="314"/>
  <c r="B36" i="314"/>
  <c r="A36" i="314"/>
  <c r="B35" i="314"/>
  <c r="A35" i="314"/>
  <c r="P25" i="314"/>
  <c r="P23" i="314"/>
  <c r="P22" i="314"/>
  <c r="P18" i="314"/>
  <c r="O12" i="314"/>
  <c r="Q10" i="314" s="1"/>
  <c r="N12" i="314"/>
  <c r="P11" i="314"/>
  <c r="O11" i="314"/>
  <c r="Q9" i="314" s="1"/>
  <c r="N11" i="314"/>
  <c r="L10" i="314"/>
  <c r="L9" i="314"/>
  <c r="Q58" i="313"/>
  <c r="P58" i="313"/>
  <c r="O58" i="313"/>
  <c r="N58" i="313"/>
  <c r="M58" i="313"/>
  <c r="B58" i="313"/>
  <c r="A58" i="313"/>
  <c r="S57" i="313"/>
  <c r="Q57" i="313"/>
  <c r="P57" i="313"/>
  <c r="O57" i="313"/>
  <c r="N57" i="313"/>
  <c r="M57" i="313"/>
  <c r="L57" i="313"/>
  <c r="K57" i="313"/>
  <c r="B57" i="313"/>
  <c r="A57" i="313"/>
  <c r="S56" i="313"/>
  <c r="Q56" i="313"/>
  <c r="P56" i="313"/>
  <c r="O56" i="313"/>
  <c r="N56" i="313"/>
  <c r="M56" i="313"/>
  <c r="L56" i="313"/>
  <c r="K56" i="313"/>
  <c r="B56" i="313"/>
  <c r="A56" i="313"/>
  <c r="S55" i="313"/>
  <c r="Q55" i="313"/>
  <c r="P55" i="313"/>
  <c r="O55" i="313"/>
  <c r="N55" i="313"/>
  <c r="M55" i="313"/>
  <c r="L55" i="313"/>
  <c r="K55" i="313"/>
  <c r="B55" i="313"/>
  <c r="A55" i="313"/>
  <c r="S54" i="313"/>
  <c r="Q54" i="313"/>
  <c r="P54" i="313"/>
  <c r="O54" i="313"/>
  <c r="N54" i="313"/>
  <c r="M54" i="313"/>
  <c r="L54" i="313"/>
  <c r="K54" i="313"/>
  <c r="B54" i="313"/>
  <c r="A54" i="313"/>
  <c r="S53" i="313"/>
  <c r="Q53" i="313"/>
  <c r="P53" i="313"/>
  <c r="O53" i="313"/>
  <c r="N53" i="313"/>
  <c r="M53" i="313"/>
  <c r="L53" i="313"/>
  <c r="K53" i="313"/>
  <c r="B53" i="313"/>
  <c r="A53" i="313"/>
  <c r="S52" i="313"/>
  <c r="Q52" i="313"/>
  <c r="P52" i="313"/>
  <c r="O52" i="313"/>
  <c r="N52" i="313"/>
  <c r="M52" i="313"/>
  <c r="L52" i="313"/>
  <c r="K52" i="313"/>
  <c r="B52" i="313"/>
  <c r="A52" i="313"/>
  <c r="S51" i="313"/>
  <c r="Q51" i="313"/>
  <c r="P51" i="313"/>
  <c r="O51" i="313"/>
  <c r="N51" i="313"/>
  <c r="M51" i="313"/>
  <c r="L51" i="313"/>
  <c r="K51" i="313"/>
  <c r="B51" i="313"/>
  <c r="A51" i="313"/>
  <c r="S50" i="313"/>
  <c r="Q50" i="313"/>
  <c r="P50" i="313"/>
  <c r="O50" i="313"/>
  <c r="N50" i="313"/>
  <c r="M50" i="313"/>
  <c r="L50" i="313"/>
  <c r="K50" i="313"/>
  <c r="B50" i="313"/>
  <c r="A50" i="313"/>
  <c r="S49" i="313"/>
  <c r="Q49" i="313"/>
  <c r="P49" i="313"/>
  <c r="O49" i="313"/>
  <c r="N49" i="313"/>
  <c r="M49" i="313"/>
  <c r="L49" i="313"/>
  <c r="K49" i="313"/>
  <c r="B49" i="313"/>
  <c r="A49" i="313"/>
  <c r="Q48" i="313"/>
  <c r="O48" i="313"/>
  <c r="N48" i="313"/>
  <c r="M48" i="313"/>
  <c r="L48" i="313"/>
  <c r="K48" i="313"/>
  <c r="B48" i="313"/>
  <c r="A48" i="313"/>
  <c r="Q47" i="313"/>
  <c r="O47" i="313"/>
  <c r="N47" i="313"/>
  <c r="M47" i="313"/>
  <c r="L47" i="313"/>
  <c r="K47" i="313"/>
  <c r="B47" i="313"/>
  <c r="A47" i="313"/>
  <c r="Q46" i="313"/>
  <c r="O46" i="313"/>
  <c r="N46" i="313"/>
  <c r="M46" i="313"/>
  <c r="L46" i="313"/>
  <c r="K46" i="313"/>
  <c r="J46" i="313"/>
  <c r="B46" i="313"/>
  <c r="A46" i="313"/>
  <c r="B45" i="313"/>
  <c r="A45" i="313"/>
  <c r="B44" i="313"/>
  <c r="A44" i="313"/>
  <c r="B43" i="313"/>
  <c r="A43" i="313"/>
  <c r="B42" i="313"/>
  <c r="A42" i="313"/>
  <c r="B41" i="313"/>
  <c r="A41" i="313"/>
  <c r="B40" i="313"/>
  <c r="A40" i="313"/>
  <c r="B39" i="313"/>
  <c r="A39" i="313"/>
  <c r="B38" i="313"/>
  <c r="A38" i="313"/>
  <c r="B37" i="313"/>
  <c r="A37" i="313"/>
  <c r="B36" i="313"/>
  <c r="A36" i="313"/>
  <c r="B35" i="313"/>
  <c r="A35" i="313"/>
  <c r="P25" i="313"/>
  <c r="P23" i="313"/>
  <c r="P22" i="313"/>
  <c r="P18" i="313"/>
  <c r="O12" i="313"/>
  <c r="Q10" i="313" s="1"/>
  <c r="N12" i="313"/>
  <c r="P11" i="313"/>
  <c r="O11" i="313"/>
  <c r="Q9" i="313" s="1"/>
  <c r="N11" i="313"/>
  <c r="O9" i="313" s="1"/>
  <c r="L10" i="313"/>
  <c r="L9" i="313"/>
  <c r="S58" i="312"/>
  <c r="R58" i="312"/>
  <c r="Q58" i="312"/>
  <c r="P58" i="312"/>
  <c r="O58" i="312"/>
  <c r="N58" i="312"/>
  <c r="M58" i="312"/>
  <c r="L58" i="312"/>
  <c r="K58" i="312"/>
  <c r="J58" i="312"/>
  <c r="B58" i="312"/>
  <c r="A58" i="312"/>
  <c r="S57" i="312"/>
  <c r="R57" i="312"/>
  <c r="Q57" i="312"/>
  <c r="P57" i="312"/>
  <c r="O57" i="312"/>
  <c r="N57" i="312"/>
  <c r="M57" i="312"/>
  <c r="L57" i="312"/>
  <c r="K57" i="312"/>
  <c r="J57" i="312"/>
  <c r="B57" i="312"/>
  <c r="A57" i="312"/>
  <c r="S56" i="312"/>
  <c r="R56" i="312"/>
  <c r="Q56" i="312"/>
  <c r="P56" i="312"/>
  <c r="O56" i="312"/>
  <c r="N56" i="312"/>
  <c r="M56" i="312"/>
  <c r="L56" i="312"/>
  <c r="K56" i="312"/>
  <c r="J56" i="312"/>
  <c r="B56" i="312"/>
  <c r="A56" i="312"/>
  <c r="S55" i="312"/>
  <c r="R55" i="312"/>
  <c r="Q55" i="312"/>
  <c r="P55" i="312"/>
  <c r="O55" i="312"/>
  <c r="N55" i="312"/>
  <c r="M55" i="312"/>
  <c r="L55" i="312"/>
  <c r="K55" i="312"/>
  <c r="J55" i="312"/>
  <c r="B55" i="312"/>
  <c r="A55" i="312"/>
  <c r="S54" i="312"/>
  <c r="R54" i="312"/>
  <c r="Q54" i="312"/>
  <c r="P54" i="312"/>
  <c r="O54" i="312"/>
  <c r="N54" i="312"/>
  <c r="M54" i="312"/>
  <c r="L54" i="312"/>
  <c r="K54" i="312"/>
  <c r="J54" i="312"/>
  <c r="B54" i="312"/>
  <c r="A54" i="312"/>
  <c r="S53" i="312"/>
  <c r="R53" i="312"/>
  <c r="Q53" i="312"/>
  <c r="P53" i="312"/>
  <c r="O53" i="312"/>
  <c r="N53" i="312"/>
  <c r="M53" i="312"/>
  <c r="L53" i="312"/>
  <c r="K53" i="312"/>
  <c r="J53" i="312"/>
  <c r="B53" i="312"/>
  <c r="A53" i="312"/>
  <c r="S52" i="312"/>
  <c r="R52" i="312"/>
  <c r="Q52" i="312"/>
  <c r="P52" i="312"/>
  <c r="O52" i="312"/>
  <c r="N52" i="312"/>
  <c r="M52" i="312"/>
  <c r="L52" i="312"/>
  <c r="K52" i="312"/>
  <c r="J52" i="312"/>
  <c r="B52" i="312"/>
  <c r="A52" i="312"/>
  <c r="S51" i="312"/>
  <c r="R51" i="312"/>
  <c r="Q51" i="312"/>
  <c r="P51" i="312"/>
  <c r="O51" i="312"/>
  <c r="N51" i="312"/>
  <c r="M51" i="312"/>
  <c r="L51" i="312"/>
  <c r="K51" i="312"/>
  <c r="J51" i="312"/>
  <c r="B51" i="312"/>
  <c r="A51" i="312"/>
  <c r="S50" i="312"/>
  <c r="R50" i="312"/>
  <c r="Q50" i="312"/>
  <c r="P50" i="312"/>
  <c r="O50" i="312"/>
  <c r="N50" i="312"/>
  <c r="M50" i="312"/>
  <c r="L50" i="312"/>
  <c r="K50" i="312"/>
  <c r="J50" i="312"/>
  <c r="B50" i="312"/>
  <c r="A50" i="312"/>
  <c r="S49" i="312"/>
  <c r="R49" i="312"/>
  <c r="Q49" i="312"/>
  <c r="P49" i="312"/>
  <c r="O49" i="312"/>
  <c r="N49" i="312"/>
  <c r="M49" i="312"/>
  <c r="L49" i="312"/>
  <c r="K49" i="312"/>
  <c r="J49" i="312"/>
  <c r="B49" i="312"/>
  <c r="A49" i="312"/>
  <c r="R48" i="312"/>
  <c r="Q48" i="312"/>
  <c r="O48" i="312"/>
  <c r="N48" i="312"/>
  <c r="M48" i="312"/>
  <c r="L48" i="312"/>
  <c r="K48" i="312"/>
  <c r="J48" i="312"/>
  <c r="B48" i="312"/>
  <c r="A48" i="312"/>
  <c r="R47" i="312"/>
  <c r="Q47" i="312"/>
  <c r="O47" i="312"/>
  <c r="N47" i="312"/>
  <c r="M47" i="312"/>
  <c r="L47" i="312"/>
  <c r="K47" i="312"/>
  <c r="J47" i="312"/>
  <c r="B47" i="312"/>
  <c r="A47" i="312"/>
  <c r="Q46" i="312"/>
  <c r="O46" i="312"/>
  <c r="N46" i="312"/>
  <c r="M46" i="312"/>
  <c r="L46" i="312"/>
  <c r="K46" i="312"/>
  <c r="J46" i="312"/>
  <c r="B46" i="312"/>
  <c r="A46" i="312"/>
  <c r="B45" i="312"/>
  <c r="A45" i="312"/>
  <c r="B44" i="312"/>
  <c r="A44" i="312"/>
  <c r="B43" i="312"/>
  <c r="A43" i="312"/>
  <c r="B42" i="312"/>
  <c r="A42" i="312"/>
  <c r="B41" i="312"/>
  <c r="A41" i="312"/>
  <c r="B40" i="312"/>
  <c r="A40" i="312"/>
  <c r="B39" i="312"/>
  <c r="A39" i="312"/>
  <c r="B38" i="312"/>
  <c r="A38" i="312"/>
  <c r="B37" i="312"/>
  <c r="A37" i="312"/>
  <c r="B36" i="312"/>
  <c r="A36" i="312"/>
  <c r="B35" i="312"/>
  <c r="A35" i="312"/>
  <c r="P25" i="312"/>
  <c r="P23" i="312"/>
  <c r="P22" i="312"/>
  <c r="P18" i="312"/>
  <c r="O12" i="312"/>
  <c r="Q10" i="312" s="1"/>
  <c r="N12" i="312"/>
  <c r="P11" i="312"/>
  <c r="O11" i="312"/>
  <c r="Q9" i="312" s="1"/>
  <c r="N11" i="312"/>
  <c r="O9" i="312" s="1"/>
  <c r="L10" i="312"/>
  <c r="L9" i="312"/>
  <c r="O10" i="316" l="1"/>
  <c r="O9" i="316"/>
  <c r="O10" i="312"/>
  <c r="O10" i="313"/>
  <c r="O10" i="314"/>
  <c r="O9" i="314"/>
  <c r="O9" i="315"/>
  <c r="O10" i="315"/>
  <c r="O58" i="258" l="1"/>
  <c r="N58" i="258"/>
  <c r="M58" i="258"/>
  <c r="L58" i="258"/>
  <c r="K58" i="258"/>
  <c r="B58" i="258"/>
  <c r="A58" i="258"/>
  <c r="O57" i="258"/>
  <c r="N57" i="258"/>
  <c r="M57" i="258"/>
  <c r="L57" i="258"/>
  <c r="K57" i="258"/>
  <c r="B57" i="258"/>
  <c r="A57" i="258"/>
  <c r="O56" i="258"/>
  <c r="N56" i="258"/>
  <c r="M56" i="258"/>
  <c r="L56" i="258"/>
  <c r="K56" i="258"/>
  <c r="B56" i="258"/>
  <c r="A56" i="258"/>
  <c r="O55" i="258"/>
  <c r="N55" i="258"/>
  <c r="M55" i="258"/>
  <c r="L55" i="258"/>
  <c r="K55" i="258"/>
  <c r="B55" i="258"/>
  <c r="A55" i="258"/>
  <c r="O54" i="258"/>
  <c r="N54" i="258"/>
  <c r="M54" i="258"/>
  <c r="L54" i="258"/>
  <c r="K54" i="258"/>
  <c r="B54" i="258"/>
  <c r="A54" i="258"/>
  <c r="O53" i="258"/>
  <c r="N53" i="258"/>
  <c r="M53" i="258"/>
  <c r="L53" i="258"/>
  <c r="K53" i="258"/>
  <c r="B53" i="258"/>
  <c r="A53" i="258"/>
  <c r="O52" i="258"/>
  <c r="N52" i="258"/>
  <c r="M52" i="258"/>
  <c r="L52" i="258"/>
  <c r="K52" i="258"/>
  <c r="B52" i="258"/>
  <c r="A52" i="258"/>
  <c r="O51" i="258"/>
  <c r="N51" i="258"/>
  <c r="M51" i="258"/>
  <c r="L51" i="258"/>
  <c r="K51" i="258"/>
  <c r="B51" i="258"/>
  <c r="A51" i="258"/>
  <c r="O50" i="258"/>
  <c r="N50" i="258"/>
  <c r="M50" i="258"/>
  <c r="L50" i="258"/>
  <c r="K50" i="258"/>
  <c r="B50" i="258"/>
  <c r="A50" i="258"/>
  <c r="O49" i="258"/>
  <c r="N49" i="258"/>
  <c r="M49" i="258"/>
  <c r="L49" i="258"/>
  <c r="K49" i="258"/>
  <c r="B49" i="258"/>
  <c r="A49" i="258"/>
  <c r="O48" i="258"/>
  <c r="N48" i="258"/>
  <c r="M48" i="258"/>
  <c r="L48" i="258"/>
  <c r="K48" i="258"/>
  <c r="B48" i="258"/>
  <c r="A48" i="258"/>
  <c r="O47" i="258"/>
  <c r="N47" i="258"/>
  <c r="M47" i="258"/>
  <c r="L47" i="258"/>
  <c r="K47" i="258"/>
  <c r="B47" i="258"/>
  <c r="A47" i="258"/>
  <c r="O46" i="258"/>
  <c r="N46" i="258"/>
  <c r="M46" i="258"/>
  <c r="L46" i="258"/>
  <c r="K46" i="258"/>
  <c r="B46" i="258"/>
  <c r="A46" i="258"/>
  <c r="B45" i="258"/>
  <c r="A45" i="258"/>
  <c r="B44" i="258"/>
  <c r="A44" i="258"/>
  <c r="B43" i="258"/>
  <c r="A43" i="258"/>
  <c r="B42" i="258"/>
  <c r="A42" i="258"/>
  <c r="B41" i="258"/>
  <c r="A41" i="258"/>
  <c r="B40" i="258"/>
  <c r="A40" i="258"/>
  <c r="B39" i="258"/>
  <c r="A39" i="258"/>
  <c r="B38" i="258"/>
  <c r="A38" i="258"/>
  <c r="B37" i="258"/>
  <c r="A37" i="258"/>
  <c r="B36" i="258"/>
  <c r="A36" i="258"/>
  <c r="B35" i="258"/>
  <c r="A35" i="258"/>
  <c r="P25" i="258"/>
  <c r="P23" i="258"/>
  <c r="P22" i="258"/>
  <c r="P18" i="258"/>
  <c r="O12" i="258"/>
  <c r="Q10" i="258" s="1"/>
  <c r="N12" i="258"/>
  <c r="P11" i="258"/>
  <c r="O11" i="258"/>
  <c r="Q9" i="258" s="1"/>
  <c r="N11" i="258"/>
  <c r="O9" i="258" s="1"/>
  <c r="L10" i="258"/>
  <c r="L9" i="258"/>
  <c r="S58" i="257"/>
  <c r="R58" i="257"/>
  <c r="Q58" i="257"/>
  <c r="P58" i="257"/>
  <c r="O58" i="257"/>
  <c r="N58" i="257"/>
  <c r="M58" i="257"/>
  <c r="L58" i="257"/>
  <c r="K58" i="257"/>
  <c r="J58" i="257"/>
  <c r="B58" i="257"/>
  <c r="A58" i="257"/>
  <c r="S57" i="257"/>
  <c r="R57" i="257"/>
  <c r="Q57" i="257"/>
  <c r="P57" i="257"/>
  <c r="O57" i="257"/>
  <c r="N57" i="257"/>
  <c r="M57" i="257"/>
  <c r="L57" i="257"/>
  <c r="K57" i="257"/>
  <c r="J57" i="257"/>
  <c r="B57" i="257"/>
  <c r="A57" i="257"/>
  <c r="S56" i="257"/>
  <c r="R56" i="257"/>
  <c r="Q56" i="257"/>
  <c r="P56" i="257"/>
  <c r="O56" i="257"/>
  <c r="N56" i="257"/>
  <c r="M56" i="257"/>
  <c r="L56" i="257"/>
  <c r="K56" i="257"/>
  <c r="J56" i="257"/>
  <c r="B56" i="257"/>
  <c r="A56" i="257"/>
  <c r="S55" i="257"/>
  <c r="R55" i="257"/>
  <c r="Q55" i="257"/>
  <c r="P55" i="257"/>
  <c r="O55" i="257"/>
  <c r="N55" i="257"/>
  <c r="M55" i="257"/>
  <c r="L55" i="257"/>
  <c r="K55" i="257"/>
  <c r="J55" i="257"/>
  <c r="B55" i="257"/>
  <c r="A55" i="257"/>
  <c r="S54" i="257"/>
  <c r="R54" i="257"/>
  <c r="Q54" i="257"/>
  <c r="P54" i="257"/>
  <c r="O54" i="257"/>
  <c r="N54" i="257"/>
  <c r="M54" i="257"/>
  <c r="L54" i="257"/>
  <c r="K54" i="257"/>
  <c r="J54" i="257"/>
  <c r="B54" i="257"/>
  <c r="A54" i="257"/>
  <c r="S53" i="257"/>
  <c r="R53" i="257"/>
  <c r="Q53" i="257"/>
  <c r="P53" i="257"/>
  <c r="O53" i="257"/>
  <c r="N53" i="257"/>
  <c r="M53" i="257"/>
  <c r="L53" i="257"/>
  <c r="K53" i="257"/>
  <c r="J53" i="257"/>
  <c r="B53" i="257"/>
  <c r="A53" i="257"/>
  <c r="S52" i="257"/>
  <c r="R52" i="257"/>
  <c r="Q52" i="257"/>
  <c r="P52" i="257"/>
  <c r="O52" i="257"/>
  <c r="N52" i="257"/>
  <c r="M52" i="257"/>
  <c r="L52" i="257"/>
  <c r="K52" i="257"/>
  <c r="J52" i="257"/>
  <c r="B52" i="257"/>
  <c r="A52" i="257"/>
  <c r="S51" i="257"/>
  <c r="R51" i="257"/>
  <c r="Q51" i="257"/>
  <c r="P51" i="257"/>
  <c r="O51" i="257"/>
  <c r="N51" i="257"/>
  <c r="M51" i="257"/>
  <c r="L51" i="257"/>
  <c r="K51" i="257"/>
  <c r="J51" i="257"/>
  <c r="B51" i="257"/>
  <c r="A51" i="257"/>
  <c r="S50" i="257"/>
  <c r="R50" i="257"/>
  <c r="Q50" i="257"/>
  <c r="P50" i="257"/>
  <c r="O50" i="257"/>
  <c r="N50" i="257"/>
  <c r="M50" i="257"/>
  <c r="L50" i="257"/>
  <c r="K50" i="257"/>
  <c r="J50" i="257"/>
  <c r="B50" i="257"/>
  <c r="A50" i="257"/>
  <c r="S49" i="257"/>
  <c r="R49" i="257"/>
  <c r="Q49" i="257"/>
  <c r="P49" i="257"/>
  <c r="O49" i="257"/>
  <c r="N49" i="257"/>
  <c r="M49" i="257"/>
  <c r="L49" i="257"/>
  <c r="K49" i="257"/>
  <c r="J49" i="257"/>
  <c r="B49" i="257"/>
  <c r="A49" i="257"/>
  <c r="R48" i="257"/>
  <c r="Q48" i="257"/>
  <c r="O48" i="257"/>
  <c r="N48" i="257"/>
  <c r="M48" i="257"/>
  <c r="L48" i="257"/>
  <c r="K48" i="257"/>
  <c r="J48" i="257"/>
  <c r="B48" i="257"/>
  <c r="A48" i="257"/>
  <c r="Q47" i="257"/>
  <c r="O47" i="257"/>
  <c r="N47" i="257"/>
  <c r="M47" i="257"/>
  <c r="L47" i="257"/>
  <c r="K47" i="257"/>
  <c r="J47" i="257"/>
  <c r="B47" i="257"/>
  <c r="A47" i="257"/>
  <c r="Q46" i="257"/>
  <c r="O46" i="257"/>
  <c r="N46" i="257"/>
  <c r="M46" i="257"/>
  <c r="L46" i="257"/>
  <c r="K46" i="257"/>
  <c r="J46" i="257"/>
  <c r="B46" i="257"/>
  <c r="A46" i="257"/>
  <c r="B45" i="257"/>
  <c r="A45" i="257"/>
  <c r="B44" i="257"/>
  <c r="A44" i="257"/>
  <c r="B43" i="257"/>
  <c r="A43" i="257"/>
  <c r="B42" i="257"/>
  <c r="A42" i="257"/>
  <c r="B41" i="257"/>
  <c r="A41" i="257"/>
  <c r="B40" i="257"/>
  <c r="A40" i="257"/>
  <c r="B39" i="257"/>
  <c r="A39" i="257"/>
  <c r="B38" i="257"/>
  <c r="A38" i="257"/>
  <c r="B37" i="257"/>
  <c r="A37" i="257"/>
  <c r="B36" i="257"/>
  <c r="A36" i="257"/>
  <c r="B35" i="257"/>
  <c r="A35" i="257"/>
  <c r="P25" i="257"/>
  <c r="P23" i="257"/>
  <c r="P22" i="257"/>
  <c r="P18" i="257"/>
  <c r="O12" i="257"/>
  <c r="Q10" i="257" s="1"/>
  <c r="N12" i="257"/>
  <c r="P11" i="257"/>
  <c r="O11" i="257"/>
  <c r="Q9" i="257" s="1"/>
  <c r="N11" i="257"/>
  <c r="L10" i="257"/>
  <c r="L9" i="257"/>
  <c r="O9" i="257" l="1"/>
  <c r="O10" i="258"/>
  <c r="O10" i="257"/>
  <c r="P26" i="314" l="1"/>
  <c r="P26" i="313"/>
  <c r="P26" i="312"/>
  <c r="P26" i="315"/>
  <c r="P26" i="316"/>
  <c r="P26" i="257"/>
  <c r="P26" i="258"/>
  <c r="P20" i="312"/>
  <c r="P21" i="312" s="1"/>
  <c r="P20" i="315"/>
  <c r="P21" i="315" s="1"/>
  <c r="P20" i="316"/>
  <c r="P21" i="316" s="1"/>
  <c r="P20" i="313"/>
  <c r="P21" i="313" s="1"/>
  <c r="P20" i="314"/>
  <c r="P21" i="314" s="1"/>
  <c r="P20" i="258"/>
  <c r="P21" i="258" s="1"/>
  <c r="P20" i="257"/>
  <c r="P21" i="257" s="1"/>
  <c r="P24" i="257"/>
  <c r="P19" i="257" s="1"/>
  <c r="P24" i="258"/>
  <c r="P19" i="258" s="1"/>
  <c r="P24" i="313" l="1"/>
  <c r="P19" i="313" s="1"/>
  <c r="P24" i="312"/>
  <c r="P19" i="312" s="1"/>
  <c r="P24" i="314"/>
  <c r="P19" i="314" s="1"/>
  <c r="P24" i="315"/>
  <c r="P19" i="315" s="1"/>
  <c r="P24" i="316"/>
  <c r="P19" i="316" s="1"/>
</calcChain>
</file>

<file path=xl/sharedStrings.xml><?xml version="1.0" encoding="utf-8"?>
<sst xmlns="http://schemas.openxmlformats.org/spreadsheetml/2006/main" count="2954" uniqueCount="146">
  <si>
    <t>ρ =</t>
  </si>
  <si>
    <t>Données :</t>
  </si>
  <si>
    <t>°C</t>
  </si>
  <si>
    <t>N</t>
  </si>
  <si>
    <t xml:space="preserve"> </t>
  </si>
  <si>
    <t>N°</t>
  </si>
  <si>
    <t>mL</t>
  </si>
  <si>
    <t>Température du laboratoire à la calibration ( t°c )</t>
  </si>
  <si>
    <t>Masse volumique de l'eau pure à la calibration</t>
  </si>
  <si>
    <t>Normalite de l'iodate (NIO3) à la température de calibration</t>
  </si>
  <si>
    <t>Vol. de la prise d'essai d'iodate (VIO3) à t°c</t>
  </si>
  <si>
    <t>Volume moyen de thiosulfate pour la titration à t°c</t>
  </si>
  <si>
    <t>Volume moyen de thiosulfate pour la détermination du blanc à t°c</t>
  </si>
  <si>
    <t>Volume moyen de thiosulfate pour la titration à 20° C</t>
  </si>
  <si>
    <t>Volume moyen de thiosulfate pour la détermination du blanc à 20° C</t>
  </si>
  <si>
    <t>Normalite de l'iodate (NIO3) à 20°C</t>
  </si>
  <si>
    <t>Titre du thiosulfate à 20°C</t>
  </si>
  <si>
    <t>t°c =</t>
  </si>
  <si>
    <t>Vol. de la prise d'essai d'iodate (VIO3) à 20°C</t>
  </si>
  <si>
    <t>Campagne :</t>
  </si>
  <si>
    <t>Salinité</t>
  </si>
  <si>
    <t>A</t>
  </si>
  <si>
    <t>B</t>
  </si>
  <si>
    <t>Densité eau pure à t°</t>
  </si>
  <si>
    <t>N° des Flacons</t>
  </si>
  <si>
    <t>Vol. à t° prél. des flacons</t>
  </si>
  <si>
    <t>Densité eau de mer à t°</t>
  </si>
  <si>
    <t>m</t>
  </si>
  <si>
    <t>µmol/kg</t>
  </si>
  <si>
    <t>DOreg =</t>
  </si>
  <si>
    <t>Vreg =</t>
  </si>
  <si>
    <t>Volume de réactif utilisé</t>
  </si>
  <si>
    <t xml:space="preserve">Température du laboratoire au début de la série d'analyses </t>
  </si>
  <si>
    <t>Date</t>
  </si>
  <si>
    <r>
      <t>t°</t>
    </r>
    <r>
      <rPr>
        <vertAlign val="subscript"/>
        <sz val="10"/>
        <color theme="1"/>
        <rFont val="Calibri"/>
        <family val="2"/>
        <scheme val="minor"/>
      </rPr>
      <t>lab</t>
    </r>
    <r>
      <rPr>
        <sz val="10"/>
        <color theme="1"/>
        <rFont val="Calibri"/>
        <family val="2"/>
        <scheme val="minor"/>
      </rPr>
      <t xml:space="preserve"> =</t>
    </r>
  </si>
  <si>
    <r>
      <t>V</t>
    </r>
    <r>
      <rPr>
        <vertAlign val="subscript"/>
        <sz val="10"/>
        <color theme="1"/>
        <rFont val="Calibri"/>
        <family val="2"/>
      </rPr>
      <t>moy.titr.t°c</t>
    </r>
    <r>
      <rPr>
        <sz val="10"/>
        <color theme="1"/>
        <rFont val="Calibri"/>
        <family val="2"/>
      </rPr>
      <t xml:space="preserve"> =</t>
    </r>
  </si>
  <si>
    <r>
      <t>V</t>
    </r>
    <r>
      <rPr>
        <vertAlign val="subscript"/>
        <sz val="10"/>
        <color theme="1"/>
        <rFont val="Calibri"/>
        <family val="2"/>
      </rPr>
      <t>moy.titr.blanc.t°c</t>
    </r>
    <r>
      <rPr>
        <sz val="10"/>
        <color theme="1"/>
        <rFont val="Calibri"/>
        <family val="2"/>
      </rPr>
      <t xml:space="preserve"> =</t>
    </r>
  </si>
  <si>
    <t>N° de palanquée :</t>
  </si>
  <si>
    <t>N° de station :</t>
  </si>
  <si>
    <r>
      <t>V</t>
    </r>
    <r>
      <rPr>
        <vertAlign val="subscript"/>
        <sz val="8"/>
        <color theme="1"/>
        <rFont val="Calibri"/>
        <family val="2"/>
      </rPr>
      <t>moy.titr.20°C</t>
    </r>
    <r>
      <rPr>
        <sz val="8"/>
        <color theme="1"/>
        <rFont val="Calibri"/>
        <family val="2"/>
      </rPr>
      <t xml:space="preserve"> =</t>
    </r>
  </si>
  <si>
    <r>
      <t>V</t>
    </r>
    <r>
      <rPr>
        <vertAlign val="subscript"/>
        <sz val="8"/>
        <color theme="1"/>
        <rFont val="Calibri"/>
        <family val="2"/>
      </rPr>
      <t>moy.titr.blanc.20°C</t>
    </r>
    <r>
      <rPr>
        <sz val="8"/>
        <color theme="1"/>
        <rFont val="Calibri"/>
        <family val="2"/>
      </rPr>
      <t xml:space="preserve"> =</t>
    </r>
  </si>
  <si>
    <r>
      <t>N(IO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</si>
  <si>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V(Thio)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</si>
  <si>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N(IO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 =</t>
    </r>
  </si>
  <si>
    <r>
      <t>V(IO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</si>
  <si>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V(IO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t°c</t>
    </r>
    <r>
      <rPr>
        <sz val="8"/>
        <color theme="1"/>
        <rFont val="Calibri"/>
        <family val="2"/>
      </rPr>
      <t>=</t>
    </r>
  </si>
  <si>
    <t>Minutes</t>
  </si>
  <si>
    <t>Décimale</t>
  </si>
  <si>
    <t>Latitude</t>
  </si>
  <si>
    <t>Longitude</t>
  </si>
  <si>
    <t xml:space="preserve">Degrés </t>
  </si>
  <si>
    <t>:</t>
  </si>
  <si>
    <t>Cardinal</t>
  </si>
  <si>
    <t>S</t>
  </si>
  <si>
    <t>E</t>
  </si>
  <si>
    <t>W</t>
  </si>
  <si>
    <t xml:space="preserve">Volume de thio. </t>
  </si>
  <si>
    <t>Position</t>
  </si>
  <si>
    <t>T° prélèv.</t>
  </si>
  <si>
    <t>BTL</t>
  </si>
  <si>
    <t>Choix de la série de flacons :</t>
  </si>
  <si>
    <t>ml/l</t>
  </si>
  <si>
    <t>ml</t>
  </si>
  <si>
    <t>µmol/l</t>
  </si>
  <si>
    <t xml:space="preserve">V. flacons 20°C </t>
  </si>
  <si>
    <t>LPO</t>
  </si>
  <si>
    <t>IRD</t>
  </si>
  <si>
    <t>Phosphate</t>
  </si>
  <si>
    <t>Silicate</t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</si>
  <si>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2</t>
    </r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</si>
  <si>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3</t>
    </r>
    <r>
      <rPr>
        <b/>
        <sz val="22"/>
        <color rgb="FFFFFF00"/>
        <rFont val="Calibri"/>
        <family val="2"/>
        <scheme val="minor"/>
      </rPr>
      <t xml:space="preserve"> + NO</t>
    </r>
    <r>
      <rPr>
        <b/>
        <vertAlign val="subscript"/>
        <sz val="22"/>
        <color rgb="FFFFFF00"/>
        <rFont val="Calibri"/>
        <family val="2"/>
        <scheme val="minor"/>
      </rPr>
      <t>2</t>
    </r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</si>
  <si>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3</t>
    </r>
    <r>
      <rPr>
        <b/>
        <sz val="22"/>
        <color rgb="FFFFFF00"/>
        <rFont val="Calibri"/>
        <family val="2"/>
        <scheme val="minor"/>
      </rPr>
      <t xml:space="preserve"> </t>
    </r>
  </si>
  <si>
    <t>Prélèvement</t>
  </si>
  <si>
    <t>Heure</t>
  </si>
  <si>
    <t>Oxygène dissous</t>
  </si>
  <si>
    <t>Données de campagne</t>
  </si>
  <si>
    <t>Prof. Théorique</t>
  </si>
  <si>
    <t>Prof. Effective</t>
  </si>
  <si>
    <t>Date d'analyse :</t>
  </si>
  <si>
    <t>ml/kg</t>
  </si>
  <si>
    <t>chlorophyll-c3</t>
  </si>
  <si>
    <t>chlorophyll-c1+c2</t>
  </si>
  <si>
    <t>peridinin</t>
  </si>
  <si>
    <t>19'-butanoyloxyfucoxanthin</t>
  </si>
  <si>
    <t>fucoxanthine</t>
  </si>
  <si>
    <t>neoxanthin</t>
  </si>
  <si>
    <t>prasinoxanthin</t>
  </si>
  <si>
    <t>violaxanthin</t>
  </si>
  <si>
    <t>19'-hexanoyloxyfucoxanthin</t>
  </si>
  <si>
    <t>diadinoxanthin</t>
  </si>
  <si>
    <t>alloxanthin</t>
  </si>
  <si>
    <t>diatoxanthin</t>
  </si>
  <si>
    <t>zeaxanthin</t>
  </si>
  <si>
    <t>lutein</t>
  </si>
  <si>
    <t>divinyl chlorophyll-b</t>
  </si>
  <si>
    <t>chlorophyll-b</t>
  </si>
  <si>
    <t>total chlorophyll-b</t>
  </si>
  <si>
    <t>alpha-carotene</t>
  </si>
  <si>
    <t>beta-carotene</t>
  </si>
  <si>
    <t>pheophorbide</t>
  </si>
  <si>
    <t xml:space="preserve">divinyl chlorophyll-a </t>
  </si>
  <si>
    <t xml:space="preserve">chlorophyll-a </t>
  </si>
  <si>
    <t>total chlorophyll-a</t>
  </si>
  <si>
    <t>pheophytin_a</t>
  </si>
  <si>
    <t>crocoxanthin</t>
  </si>
  <si>
    <t>DOX1</t>
  </si>
  <si>
    <t>DOXY</t>
  </si>
  <si>
    <t>DOX2</t>
  </si>
  <si>
    <t>NTRI</t>
  </si>
  <si>
    <t>NTIW</t>
  </si>
  <si>
    <t>NTRZ</t>
  </si>
  <si>
    <t>NTZW</t>
  </si>
  <si>
    <t>NTRA</t>
  </si>
  <si>
    <t>NTAW</t>
  </si>
  <si>
    <t>PHOS</t>
  </si>
  <si>
    <t>PHOW</t>
  </si>
  <si>
    <t>SLCA</t>
  </si>
  <si>
    <t>SLCW</t>
  </si>
  <si>
    <t>CHC3</t>
  </si>
  <si>
    <t>CHCZ</t>
  </si>
  <si>
    <t>PERP</t>
  </si>
  <si>
    <t>BFUP</t>
  </si>
  <si>
    <t>FUCP</t>
  </si>
  <si>
    <t>PXAP</t>
  </si>
  <si>
    <t>HFUP</t>
  </si>
  <si>
    <t>DXAP</t>
  </si>
  <si>
    <t>AXAP</t>
  </si>
  <si>
    <t>TXAP</t>
  </si>
  <si>
    <t>ZXAP</t>
  </si>
  <si>
    <t>CHBD</t>
  </si>
  <si>
    <t>CH2P</t>
  </si>
  <si>
    <t>CHLB</t>
  </si>
  <si>
    <t>AACP</t>
  </si>
  <si>
    <t>BBCP</t>
  </si>
  <si>
    <t>PHEP</t>
  </si>
  <si>
    <t>CHAD</t>
  </si>
  <si>
    <t>CH1P</t>
  </si>
  <si>
    <t>CPHL</t>
  </si>
  <si>
    <t>PHEA</t>
  </si>
  <si>
    <t>CXAP</t>
  </si>
  <si>
    <r>
      <t>µg.l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</si>
  <si>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r>
      <t>µg.l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/>
    </r>
  </si>
  <si>
    <t>PIRATA Fr12</t>
  </si>
  <si>
    <t>NEXW</t>
  </si>
  <si>
    <t>VIOW</t>
  </si>
  <si>
    <t>LUTW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</si>
</sst>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0.00000000"/>
    <numFmt numFmtId="165" formatCode="#,##0.00;[Red]&quot;Erreur !&quot;;[Red]&quot;Erreur !&quot;;[Red]General"/>
    <numFmt numFmtId="166" formatCode="0.000"/>
    <numFmt numFmtId="167" formatCode="0.0"/>
    <numFmt numFmtId="168" formatCode="00.00&quot; ''&quot;"/>
    <numFmt numFmtId="169" formatCode="00\°"/>
    <numFmt numFmtId="170" formatCode="00.00\'\'"/>
    <numFmt numFmtId="171" formatCode="yyyy\-mm\-dd\Thh:mm:ss\z"/>
    <numFmt numFmtId="172" formatCode="00"/>
    <numFmt numFmtId="173" formatCode="[$-F800]dddd\,\ mmmm\ dd\,\ yyyy"/>
    <numFmt numFmtId="174" formatCode="yyyy\-mm\-dd"/>
    <numFmt numFmtId="175" formatCode="000"/>
    <numFmt numFmtId="176" formatCode="#,##0.000;[Red]&quot;Erreur !&quot;;[Red]&quot;Erreur !&quot;;[Red]General"/>
    <numFmt numFmtId="177" formatCode="0.0000"/>
    <numFmt numFmtId="178" formatCode="#,##0.0;[Red]#,##0.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</font>
    <font>
      <vertAlign val="subscript"/>
      <sz val="8"/>
      <color theme="1"/>
      <name val="Calibri"/>
      <family val="2"/>
    </font>
    <font>
      <b/>
      <sz val="22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vertAlign val="subscript"/>
      <sz val="22"/>
      <color rgb="FFFFFF0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name val="Arial"/>
      <family val="2"/>
    </font>
    <font>
      <b/>
      <sz val="12"/>
      <color rgb="FFFFFF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26"/>
      </patternFill>
    </fill>
    <fill>
      <patternFill patternType="solid">
        <fgColor rgb="FFFFFF66"/>
        <bgColor indexed="43"/>
      </patternFill>
    </fill>
    <fill>
      <patternFill patternType="solid">
        <fgColor rgb="FF00B0F0"/>
        <bgColor indexed="64"/>
      </patternFill>
    </fill>
    <fill>
      <patternFill patternType="solid">
        <fgColor indexed="26"/>
        <bgColor indexed="43"/>
      </patternFill>
    </fill>
    <fill>
      <patternFill patternType="solid">
        <fgColor indexed="29"/>
        <bgColor indexed="4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27">
    <xf numFmtId="0" fontId="0" fillId="0" borderId="0" xfId="0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18" xfId="0" applyBorder="1"/>
    <xf numFmtId="0" fontId="1" fillId="0" borderId="23" xfId="0" applyFont="1" applyBorder="1"/>
    <xf numFmtId="0" fontId="0" fillId="0" borderId="0" xfId="0" applyBorder="1"/>
    <xf numFmtId="0" fontId="4" fillId="0" borderId="0" xfId="0" applyFont="1" applyBorder="1" applyAlignment="1">
      <alignment horizontal="center"/>
    </xf>
    <xf numFmtId="0" fontId="9" fillId="0" borderId="14" xfId="1" applyFont="1" applyFill="1" applyBorder="1" applyAlignment="1" applyProtection="1"/>
    <xf numFmtId="0" fontId="9" fillId="0" borderId="0" xfId="1" applyFont="1" applyFill="1" applyBorder="1" applyAlignment="1" applyProtection="1"/>
    <xf numFmtId="0" fontId="10" fillId="0" borderId="0" xfId="0" applyFont="1" applyBorder="1"/>
    <xf numFmtId="0" fontId="0" fillId="0" borderId="1" xfId="0" applyBorder="1" applyAlignment="1">
      <alignment horizontal="center"/>
    </xf>
    <xf numFmtId="0" fontId="13" fillId="0" borderId="12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5" fillId="0" borderId="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17" fillId="3" borderId="12" xfId="0" applyFont="1" applyFill="1" applyBorder="1"/>
    <xf numFmtId="0" fontId="17" fillId="3" borderId="0" xfId="0" applyFont="1" applyFill="1" applyBorder="1"/>
    <xf numFmtId="166" fontId="17" fillId="0" borderId="0" xfId="0" applyNumberFormat="1" applyFont="1" applyBorder="1"/>
    <xf numFmtId="166" fontId="17" fillId="3" borderId="0" xfId="0" applyNumberFormat="1" applyFont="1" applyFill="1" applyBorder="1"/>
    <xf numFmtId="166" fontId="17" fillId="3" borderId="17" xfId="0" applyNumberFormat="1" applyFont="1" applyFill="1" applyBorder="1"/>
    <xf numFmtId="166" fontId="13" fillId="0" borderId="0" xfId="0" applyNumberFormat="1" applyFont="1" applyBorder="1"/>
    <xf numFmtId="0" fontId="13" fillId="0" borderId="0" xfId="0" applyFont="1" applyBorder="1"/>
    <xf numFmtId="0" fontId="13" fillId="0" borderId="17" xfId="0" applyFont="1" applyBorder="1"/>
    <xf numFmtId="0" fontId="18" fillId="0" borderId="0" xfId="0" applyFont="1" applyBorder="1" applyAlignment="1">
      <alignment horizontal="right"/>
    </xf>
    <xf numFmtId="0" fontId="9" fillId="0" borderId="16" xfId="1" applyFont="1" applyFill="1" applyBorder="1" applyAlignment="1" applyProtection="1">
      <alignment horizontal="left"/>
    </xf>
    <xf numFmtId="0" fontId="9" fillId="0" borderId="17" xfId="1" applyFont="1" applyFill="1" applyBorder="1" applyAlignment="1" applyProtection="1">
      <alignment horizontal="left"/>
    </xf>
    <xf numFmtId="0" fontId="10" fillId="0" borderId="17" xfId="0" applyFont="1" applyBorder="1"/>
    <xf numFmtId="0" fontId="18" fillId="0" borderId="17" xfId="0" applyFont="1" applyBorder="1" applyAlignment="1">
      <alignment horizontal="right"/>
    </xf>
    <xf numFmtId="0" fontId="1" fillId="0" borderId="0" xfId="0" applyFont="1" applyFill="1" applyBorder="1"/>
    <xf numFmtId="168" fontId="0" fillId="0" borderId="0" xfId="0" applyNumberFormat="1"/>
    <xf numFmtId="0" fontId="0" fillId="0" borderId="0" xfId="0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/>
    <xf numFmtId="169" fontId="0" fillId="3" borderId="1" xfId="0" applyNumberFormat="1" applyFont="1" applyFill="1" applyBorder="1" applyAlignment="1">
      <alignment horizontal="center"/>
    </xf>
    <xf numFmtId="170" fontId="0" fillId="3" borderId="1" xfId="0" applyNumberFormat="1" applyFont="1" applyFill="1" applyBorder="1" applyAlignment="1">
      <alignment horizontal="center"/>
    </xf>
    <xf numFmtId="0" fontId="9" fillId="0" borderId="14" xfId="1" applyFont="1" applyFill="1" applyBorder="1" applyAlignment="1" applyProtection="1">
      <alignment horizontal="left"/>
    </xf>
    <xf numFmtId="0" fontId="9" fillId="0" borderId="0" xfId="1" applyFont="1" applyFill="1" applyBorder="1" applyAlignment="1" applyProtection="1">
      <alignment horizontal="left"/>
    </xf>
    <xf numFmtId="0" fontId="0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vertical="center"/>
    </xf>
    <xf numFmtId="0" fontId="23" fillId="3" borderId="1" xfId="1" applyFont="1" applyFill="1" applyBorder="1" applyAlignment="1" applyProtection="1">
      <alignment horizontal="center"/>
      <protection locked="0"/>
    </xf>
    <xf numFmtId="0" fontId="23" fillId="5" borderId="1" xfId="1" applyFont="1" applyFill="1" applyBorder="1" applyAlignment="1" applyProtection="1">
      <alignment horizontal="center"/>
      <protection locked="0"/>
    </xf>
    <xf numFmtId="166" fontId="23" fillId="3" borderId="1" xfId="1" applyNumberFormat="1" applyFont="1" applyFill="1" applyBorder="1" applyAlignment="1" applyProtection="1">
      <alignment horizontal="center"/>
      <protection locked="0"/>
    </xf>
    <xf numFmtId="166" fontId="23" fillId="3" borderId="1" xfId="1" applyNumberFormat="1" applyFont="1" applyFill="1" applyBorder="1" applyAlignment="1" applyProtection="1">
      <alignment horizontal="center"/>
    </xf>
    <xf numFmtId="164" fontId="23" fillId="0" borderId="1" xfId="1" applyNumberFormat="1" applyFont="1" applyFill="1" applyBorder="1" applyAlignment="1" applyProtection="1">
      <alignment horizontal="center"/>
    </xf>
    <xf numFmtId="165" fontId="23" fillId="0" borderId="1" xfId="1" applyNumberFormat="1" applyFont="1" applyFill="1" applyBorder="1" applyAlignment="1" applyProtection="1">
      <alignment horizontal="center"/>
    </xf>
    <xf numFmtId="166" fontId="23" fillId="0" borderId="1" xfId="1" applyNumberFormat="1" applyFont="1" applyFill="1" applyBorder="1" applyAlignment="1" applyProtection="1">
      <alignment horizontal="center"/>
    </xf>
    <xf numFmtId="167" fontId="23" fillId="0" borderId="1" xfId="1" applyNumberFormat="1" applyFont="1" applyFill="1" applyBorder="1" applyAlignment="1" applyProtection="1">
      <alignment horizontal="center"/>
    </xf>
    <xf numFmtId="0" fontId="11" fillId="3" borderId="1" xfId="0" applyFont="1" applyFill="1" applyBorder="1" applyAlignment="1">
      <alignment horizontal="center"/>
    </xf>
    <xf numFmtId="0" fontId="8" fillId="0" borderId="24" xfId="0" applyFont="1" applyBorder="1" applyAlignment="1"/>
    <xf numFmtId="0" fontId="8" fillId="0" borderId="0" xfId="0" applyFont="1"/>
    <xf numFmtId="0" fontId="8" fillId="0" borderId="0" xfId="0" applyFont="1" applyBorder="1" applyAlignment="1"/>
    <xf numFmtId="0" fontId="11" fillId="0" borderId="0" xfId="0" applyFont="1" applyFill="1" applyBorder="1" applyAlignment="1">
      <alignment horizontal="center"/>
    </xf>
    <xf numFmtId="0" fontId="24" fillId="0" borderId="0" xfId="0" applyFont="1"/>
    <xf numFmtId="0" fontId="7" fillId="0" borderId="0" xfId="0" applyFont="1"/>
    <xf numFmtId="0" fontId="0" fillId="0" borderId="1" xfId="0" applyBorder="1"/>
    <xf numFmtId="0" fontId="0" fillId="0" borderId="0" xfId="0"/>
    <xf numFmtId="171" fontId="0" fillId="0" borderId="0" xfId="0" applyNumberFormat="1"/>
    <xf numFmtId="173" fontId="0" fillId="0" borderId="0" xfId="0" applyNumberFormat="1"/>
    <xf numFmtId="0" fontId="1" fillId="0" borderId="1" xfId="0" applyFont="1" applyBorder="1" applyAlignment="1"/>
    <xf numFmtId="0" fontId="1" fillId="0" borderId="6" xfId="0" applyFont="1" applyBorder="1" applyAlignment="1"/>
    <xf numFmtId="174" fontId="0" fillId="3" borderId="1" xfId="0" applyNumberFormat="1" applyFill="1" applyBorder="1" applyAlignment="1"/>
    <xf numFmtId="2" fontId="0" fillId="3" borderId="1" xfId="0" applyNumberFormat="1" applyFill="1" applyBorder="1" applyAlignment="1"/>
    <xf numFmtId="0" fontId="0" fillId="3" borderId="1" xfId="0" applyNumberFormat="1" applyFill="1" applyBorder="1" applyAlignment="1"/>
    <xf numFmtId="21" fontId="0" fillId="3" borderId="6" xfId="0" applyNumberFormat="1" applyFill="1" applyBorder="1" applyAlignment="1"/>
    <xf numFmtId="2" fontId="0" fillId="3" borderId="6" xfId="0" applyNumberFormat="1" applyFill="1" applyBorder="1" applyAlignment="1"/>
    <xf numFmtId="0" fontId="2" fillId="0" borderId="12" xfId="1" applyFont="1" applyFill="1" applyBorder="1" applyAlignment="1" applyProtection="1"/>
    <xf numFmtId="0" fontId="13" fillId="0" borderId="12" xfId="0" applyFont="1" applyBorder="1"/>
    <xf numFmtId="0" fontId="13" fillId="0" borderId="13" xfId="0" applyFont="1" applyBorder="1"/>
    <xf numFmtId="0" fontId="2" fillId="0" borderId="0" xfId="1" applyFont="1" applyFill="1" applyBorder="1" applyAlignment="1" applyProtection="1"/>
    <xf numFmtId="0" fontId="13" fillId="0" borderId="15" xfId="0" applyFont="1" applyBorder="1"/>
    <xf numFmtId="0" fontId="2" fillId="0" borderId="17" xfId="1" applyFont="1" applyFill="1" applyBorder="1" applyAlignment="1" applyProtection="1"/>
    <xf numFmtId="0" fontId="13" fillId="0" borderId="18" xfId="0" applyFont="1" applyBorder="1"/>
    <xf numFmtId="0" fontId="26" fillId="0" borderId="11" xfId="1" applyFont="1" applyFill="1" applyBorder="1" applyAlignment="1" applyProtection="1"/>
    <xf numFmtId="0" fontId="26" fillId="0" borderId="14" xfId="1" applyFont="1" applyFill="1" applyBorder="1" applyAlignment="1" applyProtection="1"/>
    <xf numFmtId="0" fontId="26" fillId="0" borderId="16" xfId="1" applyFont="1" applyFill="1" applyBorder="1" applyAlignment="1" applyProtection="1"/>
    <xf numFmtId="0" fontId="6" fillId="6" borderId="34" xfId="0" applyFont="1" applyFill="1" applyBorder="1" applyAlignment="1">
      <alignment horizontal="center"/>
    </xf>
    <xf numFmtId="0" fontId="28" fillId="3" borderId="1" xfId="1" applyFont="1" applyFill="1" applyBorder="1" applyAlignment="1" applyProtection="1">
      <alignment horizontal="center"/>
      <protection locked="0"/>
    </xf>
    <xf numFmtId="0" fontId="28" fillId="5" borderId="1" xfId="1" applyFont="1" applyFill="1" applyBorder="1" applyAlignment="1" applyProtection="1">
      <alignment horizontal="center"/>
      <protection locked="0"/>
    </xf>
    <xf numFmtId="166" fontId="28" fillId="3" borderId="1" xfId="1" applyNumberFormat="1" applyFont="1" applyFill="1" applyBorder="1" applyAlignment="1" applyProtection="1">
      <alignment horizontal="center"/>
      <protection locked="0"/>
    </xf>
    <xf numFmtId="164" fontId="28" fillId="0" borderId="1" xfId="1" applyNumberFormat="1" applyFont="1" applyFill="1" applyBorder="1" applyAlignment="1" applyProtection="1">
      <alignment horizontal="center"/>
    </xf>
    <xf numFmtId="165" fontId="28" fillId="0" borderId="1" xfId="1" applyNumberFormat="1" applyFont="1" applyFill="1" applyBorder="1" applyAlignment="1" applyProtection="1">
      <alignment horizontal="center"/>
    </xf>
    <xf numFmtId="177" fontId="23" fillId="3" borderId="1" xfId="1" applyNumberFormat="1" applyFont="1" applyFill="1" applyBorder="1" applyAlignment="1" applyProtection="1">
      <alignment horizontal="center"/>
    </xf>
    <xf numFmtId="21" fontId="0" fillId="3" borderId="6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77" fontId="23" fillId="0" borderId="1" xfId="1" applyNumberFormat="1" applyFont="1" applyFill="1" applyBorder="1" applyAlignment="1" applyProtection="1">
      <alignment horizontal="center"/>
    </xf>
    <xf numFmtId="0" fontId="6" fillId="4" borderId="34" xfId="1" applyFont="1" applyFill="1" applyBorder="1" applyAlignment="1" applyProtection="1">
      <alignment horizontal="center"/>
    </xf>
    <xf numFmtId="0" fontId="22" fillId="4" borderId="34" xfId="1" applyFont="1" applyFill="1" applyBorder="1" applyAlignment="1" applyProtection="1">
      <alignment horizontal="center"/>
    </xf>
    <xf numFmtId="176" fontId="23" fillId="0" borderId="1" xfId="1" applyNumberFormat="1" applyFont="1" applyFill="1" applyBorder="1" applyAlignment="1" applyProtection="1">
      <alignment horizontal="center"/>
    </xf>
    <xf numFmtId="166" fontId="23" fillId="0" borderId="1" xfId="0" applyNumberFormat="1" applyFont="1" applyBorder="1" applyAlignment="1">
      <alignment horizontal="center"/>
    </xf>
    <xf numFmtId="167" fontId="23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4" borderId="34" xfId="1" applyFont="1" applyFill="1" applyBorder="1" applyAlignment="1" applyProtection="1">
      <alignment horizontal="center" vertical="center" wrapText="1"/>
    </xf>
    <xf numFmtId="0" fontId="30" fillId="4" borderId="34" xfId="1" applyFont="1" applyFill="1" applyBorder="1" applyAlignment="1" applyProtection="1">
      <alignment horizontal="center" vertical="center" wrapText="1"/>
    </xf>
    <xf numFmtId="0" fontId="30" fillId="6" borderId="34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/>
    </xf>
    <xf numFmtId="177" fontId="1" fillId="9" borderId="34" xfId="0" applyNumberFormat="1" applyFont="1" applyFill="1" applyBorder="1" applyAlignment="1">
      <alignment horizontal="center"/>
    </xf>
    <xf numFmtId="177" fontId="1" fillId="10" borderId="34" xfId="0" applyNumberFormat="1" applyFont="1" applyFill="1" applyBorder="1" applyAlignment="1">
      <alignment horizontal="center"/>
    </xf>
    <xf numFmtId="0" fontId="0" fillId="7" borderId="1" xfId="0" applyFont="1" applyFill="1" applyBorder="1" applyAlignment="1" applyProtection="1">
      <alignment horizontal="center"/>
      <protection locked="0"/>
    </xf>
    <xf numFmtId="166" fontId="0" fillId="7" borderId="1" xfId="0" applyNumberFormat="1" applyFill="1" applyBorder="1" applyAlignment="1" applyProtection="1">
      <alignment horizontal="center"/>
      <protection locked="0"/>
    </xf>
    <xf numFmtId="166" fontId="0" fillId="7" borderId="1" xfId="0" applyNumberFormat="1" applyFont="1" applyFill="1" applyBorder="1" applyAlignment="1" applyProtection="1">
      <alignment horizontal="center"/>
      <protection locked="0"/>
    </xf>
    <xf numFmtId="0" fontId="3" fillId="7" borderId="1" xfId="0" applyFont="1" applyFill="1" applyBorder="1" applyAlignment="1" applyProtection="1">
      <alignment horizontal="center"/>
      <protection locked="0"/>
    </xf>
    <xf numFmtId="166" fontId="3" fillId="7" borderId="1" xfId="0" applyNumberFormat="1" applyFont="1" applyFill="1" applyBorder="1" applyAlignment="1" applyProtection="1">
      <alignment horizontal="center"/>
      <protection locked="0"/>
    </xf>
    <xf numFmtId="0" fontId="23" fillId="2" borderId="25" xfId="1" applyFont="1" applyFill="1" applyBorder="1" applyAlignment="1" applyProtection="1">
      <alignment horizontal="center"/>
    </xf>
    <xf numFmtId="0" fontId="0" fillId="7" borderId="2" xfId="0" applyFont="1" applyFill="1" applyBorder="1" applyAlignment="1" applyProtection="1">
      <alignment horizontal="center"/>
      <protection locked="0"/>
    </xf>
    <xf numFmtId="0" fontId="0" fillId="7" borderId="2" xfId="0" applyFill="1" applyBorder="1" applyAlignment="1" applyProtection="1">
      <alignment horizontal="center"/>
      <protection locked="0"/>
    </xf>
    <xf numFmtId="166" fontId="0" fillId="7" borderId="2" xfId="0" applyNumberFormat="1" applyFill="1" applyBorder="1" applyAlignment="1" applyProtection="1">
      <alignment horizontal="center"/>
      <protection locked="0"/>
    </xf>
    <xf numFmtId="176" fontId="23" fillId="0" borderId="2" xfId="1" applyNumberFormat="1" applyFont="1" applyFill="1" applyBorder="1" applyAlignment="1" applyProtection="1">
      <alignment horizontal="center"/>
    </xf>
    <xf numFmtId="164" fontId="23" fillId="0" borderId="2" xfId="1" applyNumberFormat="1" applyFont="1" applyFill="1" applyBorder="1" applyAlignment="1" applyProtection="1">
      <alignment horizontal="center"/>
    </xf>
    <xf numFmtId="165" fontId="23" fillId="0" borderId="2" xfId="1" applyNumberFormat="1" applyFont="1" applyFill="1" applyBorder="1" applyAlignment="1" applyProtection="1">
      <alignment horizontal="center"/>
    </xf>
    <xf numFmtId="0" fontId="0" fillId="0" borderId="2" xfId="0" applyBorder="1"/>
    <xf numFmtId="0" fontId="0" fillId="0" borderId="3" xfId="0" applyBorder="1"/>
    <xf numFmtId="0" fontId="23" fillId="2" borderId="26" xfId="1" applyFont="1" applyFill="1" applyBorder="1" applyAlignment="1" applyProtection="1">
      <alignment horizontal="center"/>
    </xf>
    <xf numFmtId="0" fontId="0" fillId="0" borderId="4" xfId="0" applyBorder="1"/>
    <xf numFmtId="0" fontId="23" fillId="2" borderId="5" xfId="1" applyFont="1" applyFill="1" applyBorder="1" applyAlignment="1" applyProtection="1">
      <alignment horizontal="center"/>
    </xf>
    <xf numFmtId="0" fontId="23" fillId="3" borderId="6" xfId="1" applyFont="1" applyFill="1" applyBorder="1" applyAlignment="1" applyProtection="1">
      <alignment horizontal="center"/>
      <protection locked="0"/>
    </xf>
    <xf numFmtId="0" fontId="23" fillId="5" borderId="6" xfId="1" applyFont="1" applyFill="1" applyBorder="1" applyAlignment="1" applyProtection="1">
      <alignment horizontal="center"/>
      <protection locked="0"/>
    </xf>
    <xf numFmtId="166" fontId="23" fillId="3" borderId="6" xfId="1" applyNumberFormat="1" applyFont="1" applyFill="1" applyBorder="1" applyAlignment="1" applyProtection="1">
      <alignment horizontal="center"/>
      <protection locked="0"/>
    </xf>
    <xf numFmtId="166" fontId="23" fillId="3" borderId="6" xfId="1" applyNumberFormat="1" applyFont="1" applyFill="1" applyBorder="1" applyAlignment="1" applyProtection="1">
      <alignment horizontal="center"/>
    </xf>
    <xf numFmtId="176" fontId="23" fillId="0" borderId="6" xfId="1" applyNumberFormat="1" applyFont="1" applyFill="1" applyBorder="1" applyAlignment="1" applyProtection="1">
      <alignment horizontal="center"/>
    </xf>
    <xf numFmtId="164" fontId="23" fillId="0" borderId="6" xfId="1" applyNumberFormat="1" applyFont="1" applyFill="1" applyBorder="1" applyAlignment="1" applyProtection="1">
      <alignment horizontal="center"/>
    </xf>
    <xf numFmtId="165" fontId="23" fillId="0" borderId="6" xfId="1" applyNumberFormat="1" applyFont="1" applyFill="1" applyBorder="1" applyAlignment="1" applyProtection="1">
      <alignment horizontal="center"/>
    </xf>
    <xf numFmtId="166" fontId="23" fillId="0" borderId="6" xfId="1" applyNumberFormat="1" applyFont="1" applyFill="1" applyBorder="1" applyAlignment="1" applyProtection="1">
      <alignment horizontal="center"/>
    </xf>
    <xf numFmtId="166" fontId="23" fillId="0" borderId="6" xfId="0" applyNumberFormat="1" applyFont="1" applyBorder="1" applyAlignment="1">
      <alignment horizontal="center"/>
    </xf>
    <xf numFmtId="167" fontId="23" fillId="0" borderId="6" xfId="1" applyNumberFormat="1" applyFont="1" applyFill="1" applyBorder="1" applyAlignment="1" applyProtection="1">
      <alignment horizontal="center"/>
    </xf>
    <xf numFmtId="0" fontId="0" fillId="0" borderId="6" xfId="0" applyBorder="1"/>
    <xf numFmtId="0" fontId="0" fillId="0" borderId="7" xfId="0" applyBorder="1"/>
    <xf numFmtId="177" fontId="0" fillId="0" borderId="1" xfId="0" applyNumberFormat="1" applyBorder="1" applyAlignment="1">
      <alignment horizontal="center"/>
    </xf>
    <xf numFmtId="0" fontId="6" fillId="4" borderId="34" xfId="1" applyFont="1" applyFill="1" applyBorder="1" applyAlignment="1" applyProtection="1">
      <alignment horizontal="center" vertical="center" wrapText="1"/>
    </xf>
    <xf numFmtId="0" fontId="8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0" fontId="0" fillId="0" borderId="38" xfId="0" applyBorder="1"/>
    <xf numFmtId="178" fontId="23" fillId="0" borderId="2" xfId="1" applyNumberFormat="1" applyFont="1" applyFill="1" applyBorder="1" applyAlignment="1" applyProtection="1">
      <alignment horizontal="center"/>
    </xf>
    <xf numFmtId="178" fontId="23" fillId="0" borderId="1" xfId="1" applyNumberFormat="1" applyFont="1" applyFill="1" applyBorder="1" applyAlignment="1" applyProtection="1">
      <alignment horizontal="center"/>
    </xf>
    <xf numFmtId="0" fontId="1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4" borderId="34" xfId="1" applyFont="1" applyFill="1" applyBorder="1" applyAlignment="1" applyProtection="1">
      <alignment horizontal="center" vertical="center" wrapText="1"/>
    </xf>
    <xf numFmtId="0" fontId="29" fillId="8" borderId="37" xfId="0" applyFont="1" applyFill="1" applyBorder="1" applyAlignment="1" applyProtection="1">
      <alignment horizontal="center"/>
      <protection locked="0"/>
    </xf>
    <xf numFmtId="167" fontId="32" fillId="0" borderId="1" xfId="1" applyNumberFormat="1" applyFont="1" applyFill="1" applyBorder="1" applyAlignment="1" applyProtection="1">
      <alignment horizontal="center"/>
    </xf>
    <xf numFmtId="177" fontId="2" fillId="11" borderId="40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horizontal="center"/>
    </xf>
    <xf numFmtId="0" fontId="29" fillId="11" borderId="40" xfId="0" applyFont="1" applyFill="1" applyBorder="1" applyAlignment="1" applyProtection="1">
      <alignment horizontal="center"/>
    </xf>
    <xf numFmtId="1" fontId="29" fillId="8" borderId="37" xfId="0" applyNumberFormat="1" applyFont="1" applyFill="1" applyBorder="1" applyAlignment="1" applyProtection="1">
      <alignment horizontal="center"/>
      <protection locked="0"/>
    </xf>
    <xf numFmtId="166" fontId="3" fillId="11" borderId="40" xfId="0" applyNumberFormat="1" applyFont="1" applyFill="1" applyBorder="1" applyAlignment="1" applyProtection="1">
      <alignment horizontal="center"/>
    </xf>
    <xf numFmtId="167" fontId="3" fillId="11" borderId="4" xfId="0" applyNumberFormat="1" applyFont="1" applyFill="1" applyBorder="1" applyAlignment="1" applyProtection="1">
      <alignment horizontal="center"/>
    </xf>
    <xf numFmtId="2" fontId="0" fillId="0" borderId="40" xfId="0" applyNumberFormat="1" applyBorder="1" applyAlignment="1">
      <alignment horizontal="center"/>
    </xf>
    <xf numFmtId="167" fontId="0" fillId="0" borderId="40" xfId="0" applyNumberFormat="1" applyBorder="1" applyAlignment="1">
      <alignment horizontal="center"/>
    </xf>
    <xf numFmtId="167" fontId="2" fillId="0" borderId="40" xfId="0" applyNumberFormat="1" applyFont="1" applyFill="1" applyBorder="1" applyAlignment="1" applyProtection="1">
      <alignment horizontal="center"/>
    </xf>
    <xf numFmtId="167" fontId="2" fillId="2" borderId="39" xfId="0" applyNumberFormat="1" applyFont="1" applyFill="1" applyBorder="1" applyAlignment="1" applyProtection="1">
      <alignment horizontal="center"/>
    </xf>
    <xf numFmtId="167" fontId="0" fillId="0" borderId="40" xfId="0" applyNumberFormat="1" applyFill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66" fontId="2" fillId="11" borderId="40" xfId="0" applyNumberFormat="1" applyFont="1" applyFill="1" applyBorder="1" applyAlignment="1" applyProtection="1">
      <alignment horizontal="center"/>
    </xf>
    <xf numFmtId="167" fontId="2" fillId="11" borderId="4" xfId="0" applyNumberFormat="1" applyFont="1" applyFill="1" applyBorder="1" applyAlignment="1" applyProtection="1">
      <alignment horizontal="center"/>
    </xf>
    <xf numFmtId="2" fontId="21" fillId="10" borderId="1" xfId="0" applyNumberFormat="1" applyFont="1" applyFill="1" applyBorder="1" applyAlignment="1">
      <alignment horizontal="center" vertical="center"/>
    </xf>
    <xf numFmtId="0" fontId="6" fillId="4" borderId="35" xfId="1" applyFont="1" applyFill="1" applyBorder="1" applyAlignment="1" applyProtection="1">
      <alignment horizontal="center" vertical="center"/>
    </xf>
    <xf numFmtId="0" fontId="6" fillId="4" borderId="22" xfId="1" applyFont="1" applyFill="1" applyBorder="1" applyAlignment="1" applyProtection="1">
      <alignment horizontal="center" vertical="center"/>
    </xf>
    <xf numFmtId="0" fontId="6" fillId="4" borderId="34" xfId="1" applyFont="1" applyFill="1" applyBorder="1" applyAlignment="1" applyProtection="1">
      <alignment horizontal="center" vertical="center"/>
    </xf>
    <xf numFmtId="0" fontId="6" fillId="4" borderId="21" xfId="1" applyFont="1" applyFill="1" applyBorder="1" applyAlignment="1" applyProtection="1">
      <alignment horizontal="center" vertical="center"/>
    </xf>
    <xf numFmtId="0" fontId="22" fillId="4" borderId="34" xfId="1" applyFont="1" applyFill="1" applyBorder="1" applyAlignment="1" applyProtection="1">
      <alignment horizontal="center" vertical="center"/>
    </xf>
    <xf numFmtId="0" fontId="22" fillId="4" borderId="21" xfId="1" applyFont="1" applyFill="1" applyBorder="1" applyAlignment="1" applyProtection="1">
      <alignment horizontal="center" vertical="center"/>
    </xf>
    <xf numFmtId="0" fontId="6" fillId="4" borderId="34" xfId="1" applyFont="1" applyFill="1" applyBorder="1" applyAlignment="1" applyProtection="1">
      <alignment horizontal="center" vertical="center" wrapText="1"/>
    </xf>
    <xf numFmtId="0" fontId="6" fillId="4" borderId="21" xfId="1" applyFont="1" applyFill="1" applyBorder="1" applyAlignment="1" applyProtection="1">
      <alignment horizontal="center" vertical="center" wrapText="1"/>
    </xf>
    <xf numFmtId="177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1" fillId="10" borderId="1" xfId="0" applyNumberFormat="1" applyFont="1" applyFill="1" applyBorder="1" applyAlignment="1" applyProtection="1">
      <alignment horizontal="center" vertical="center"/>
    </xf>
    <xf numFmtId="0" fontId="20" fillId="4" borderId="2" xfId="1" applyFont="1" applyFill="1" applyBorder="1" applyAlignment="1" applyProtection="1">
      <alignment horizontal="center" vertical="center" wrapText="1"/>
    </xf>
    <xf numFmtId="0" fontId="20" fillId="4" borderId="1" xfId="1" applyFont="1" applyFill="1" applyBorder="1" applyAlignment="1" applyProtection="1">
      <alignment horizontal="center" vertical="center" wrapText="1"/>
    </xf>
    <xf numFmtId="0" fontId="20" fillId="6" borderId="2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1" xfId="1" applyFont="1" applyFill="1" applyBorder="1" applyAlignment="1" applyProtection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6" fillId="4" borderId="25" xfId="1" applyFont="1" applyFill="1" applyBorder="1" applyAlignment="1" applyProtection="1">
      <alignment horizontal="center" vertical="center"/>
    </xf>
    <xf numFmtId="0" fontId="6" fillId="4" borderId="26" xfId="1" applyFont="1" applyFill="1" applyBorder="1" applyAlignment="1" applyProtection="1">
      <alignment horizontal="center" vertical="center"/>
    </xf>
    <xf numFmtId="0" fontId="6" fillId="4" borderId="20" xfId="1" applyFont="1" applyFill="1" applyBorder="1" applyAlignment="1" applyProtection="1">
      <alignment horizontal="center" vertical="center" wrapText="1"/>
    </xf>
    <xf numFmtId="0" fontId="6" fillId="4" borderId="19" xfId="1" applyFont="1" applyFill="1" applyBorder="1" applyAlignment="1" applyProtection="1">
      <alignment horizontal="center" vertical="center" wrapText="1"/>
    </xf>
    <xf numFmtId="0" fontId="0" fillId="0" borderId="19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175" fontId="8" fillId="3" borderId="9" xfId="0" applyNumberFormat="1" applyFont="1" applyFill="1" applyBorder="1" applyAlignment="1">
      <alignment horizontal="center" vertical="center"/>
    </xf>
    <xf numFmtId="172" fontId="8" fillId="3" borderId="9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right" vertical="center"/>
    </xf>
    <xf numFmtId="14" fontId="8" fillId="3" borderId="9" xfId="0" applyNumberFormat="1" applyFont="1" applyFill="1" applyBorder="1" applyAlignment="1">
      <alignment horizontal="center" vertical="center"/>
    </xf>
    <xf numFmtId="14" fontId="8" fillId="3" borderId="10" xfId="0" applyNumberFormat="1" applyFont="1" applyFill="1" applyBorder="1" applyAlignment="1">
      <alignment horizontal="center" vertical="center"/>
    </xf>
    <xf numFmtId="177" fontId="1" fillId="9" borderId="38" xfId="0" applyNumberFormat="1" applyFont="1" applyFill="1" applyBorder="1" applyAlignment="1">
      <alignment horizontal="center"/>
    </xf>
    <xf numFmtId="177" fontId="1" fillId="10" borderId="38" xfId="0" applyNumberFormat="1" applyFont="1" applyFill="1" applyBorder="1" applyAlignment="1">
      <alignment horizontal="center"/>
    </xf>
    <xf numFmtId="177" fontId="21" fillId="9" borderId="38" xfId="0" applyNumberFormat="1" applyFont="1" applyFill="1" applyBorder="1" applyAlignment="1">
      <alignment horizontal="center"/>
    </xf>
    <xf numFmtId="177" fontId="27" fillId="9" borderId="38" xfId="0" applyNumberFormat="1" applyFont="1" applyFill="1" applyBorder="1" applyAlignment="1">
      <alignment horizontal="center"/>
    </xf>
    <xf numFmtId="2" fontId="27" fillId="10" borderId="38" xfId="0" applyNumberFormat="1" applyFont="1" applyFill="1" applyBorder="1" applyAlignment="1">
      <alignment horizontal="center"/>
    </xf>
  </cellXfs>
  <cellStyles count="8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</cellStyles>
  <dxfs count="0"/>
  <tableStyles count="0" defaultTableStyle="TableStyleMedium2" defaultPivotStyle="PivotStyleLight16"/>
  <colors>
    <mruColors>
      <color rgb="FFD68C8A"/>
      <color rgb="FFC2514E"/>
      <color rgb="FFFA6F58"/>
      <color rgb="FFFF8080"/>
      <color rgb="FFC35855"/>
      <color rgb="FFCE7270"/>
      <color rgb="FFBF4845"/>
      <color rgb="FF00FF00"/>
      <color rgb="FF00CC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baurand/AppData/Roaming/Microsoft/Excel/Sel_Nut/PIRATA-FR24_Analyses_02_Sal_NUTRIE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irataFR20_o2_nettoy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on 01"/>
      <sheetName val="station 02"/>
      <sheetName val="station 04"/>
      <sheetName val="station 05"/>
      <sheetName val="station 06"/>
      <sheetName val="station 07"/>
      <sheetName val="station 08"/>
      <sheetName val="station 09"/>
      <sheetName val="station 10"/>
      <sheetName val="station 11"/>
      <sheetName val="station 12"/>
      <sheetName val="station 13"/>
      <sheetName val="station 14"/>
      <sheetName val="station 15"/>
      <sheetName val="station 16"/>
      <sheetName val="station 17"/>
      <sheetName val="station 18"/>
      <sheetName val="station 19"/>
      <sheetName val="station 20"/>
      <sheetName val="station 21"/>
      <sheetName val="station 22"/>
      <sheetName val="station 23"/>
      <sheetName val="station 24"/>
      <sheetName val="station 25"/>
      <sheetName val="station 26"/>
      <sheetName val="station 27"/>
      <sheetName val="station 28"/>
      <sheetName val="station 29"/>
      <sheetName val="station 30"/>
      <sheetName val="station 31"/>
      <sheetName val="station 32"/>
      <sheetName val="station 33"/>
      <sheetName val="station 34"/>
      <sheetName val="station 35"/>
      <sheetName val="station 36"/>
      <sheetName val="station 37"/>
      <sheetName val="station 38"/>
      <sheetName val="station 39"/>
      <sheetName val="station 40"/>
      <sheetName val="station 41"/>
      <sheetName val="station 42"/>
      <sheetName val="station 43"/>
      <sheetName val="station 44"/>
      <sheetName val="station 45"/>
      <sheetName val="station 46"/>
      <sheetName val="station 47"/>
      <sheetName val="station 48"/>
      <sheetName val="exemple"/>
      <sheetName val="Volumétrie"/>
      <sheetName val="Feuil1"/>
      <sheetName val="TITRE_IODATE"/>
      <sheetName val="volumes"/>
      <sheetName val="corrections_de_vol_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>
        <row r="9">
          <cell r="G9">
            <v>-1.4999999999965041E-4</v>
          </cell>
        </row>
      </sheetData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on_01"/>
      <sheetName val="station_02"/>
      <sheetName val="station_03"/>
      <sheetName val="station_04"/>
      <sheetName val="station_05"/>
      <sheetName val="station_06"/>
      <sheetName val="station_07"/>
      <sheetName val="station_08"/>
      <sheetName val="station_09"/>
      <sheetName val="station_10"/>
      <sheetName val="station_11"/>
      <sheetName val="station_12"/>
      <sheetName val="station_13"/>
      <sheetName val="station_14"/>
      <sheetName val="station_15"/>
      <sheetName val="station_16"/>
      <sheetName val="station_17"/>
      <sheetName val="station_18"/>
      <sheetName val="station_19"/>
      <sheetName val="station_20"/>
      <sheetName val="station_21"/>
      <sheetName val="station_22"/>
      <sheetName val="station_23"/>
      <sheetName val="station_24"/>
      <sheetName val="station_25"/>
      <sheetName val="station_ 26"/>
      <sheetName val="station_27"/>
      <sheetName val="station_28"/>
      <sheetName val="station_29"/>
      <sheetName val="station_30"/>
      <sheetName val="station_31"/>
      <sheetName val="TITRE_IODATE"/>
      <sheetName val="volumes"/>
      <sheetName val="corrections_de_vol_"/>
      <sheetName val="Module1"/>
    </sheetNames>
    <sheetDataSet>
      <sheetData sheetId="0">
        <row r="11">
          <cell r="O11">
            <v>2.0147364275479699E-2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4">
          <cell r="F14">
            <v>0.99820631938240001</v>
          </cell>
        </row>
      </sheetData>
      <sheetData sheetId="32">
        <row r="7">
          <cell r="K7">
            <v>112</v>
          </cell>
        </row>
      </sheetData>
      <sheetData sheetId="33">
        <row r="7">
          <cell r="E7">
            <v>5000</v>
          </cell>
        </row>
      </sheetData>
      <sheetData sheetId="3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S7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1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36555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3" t="s">
        <v>50</v>
      </c>
      <c r="J8" s="143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0</v>
      </c>
      <c r="J9" s="39">
        <v>0.13400000000000001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0°0,134</v>
      </c>
      <c r="P9" s="39" t="s">
        <v>3</v>
      </c>
      <c r="Q9" s="207">
        <f>IF(ISBLANK(I9),"",IF(ISBLANK(J9),"",IF(J9&gt;60,"ERREUR !!",O11*(I9+(J9/60)))))</f>
        <v>2.2333333333333333E-3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5</v>
      </c>
      <c r="J10" s="39">
        <v>7.5999999999999998E-2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5°0,076</v>
      </c>
      <c r="P10" s="39" t="s">
        <v>54</v>
      </c>
      <c r="Q10" s="207">
        <f>IF(ISBLANK(I10),"",IF(ISBLANK(J10),"",IF(J10&gt;60,"ERREUR !!",O12*(I10+(J10/60)))))</f>
        <v>5.001266666666667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36554</v>
      </c>
      <c r="K11" s="72"/>
      <c r="L11" s="72"/>
      <c r="M11" s="72"/>
      <c r="N11" s="73" t="str">
        <f>I9&amp;"°"&amp;J9</f>
        <v>0°0,134</v>
      </c>
      <c r="O11" s="74">
        <f>IF(P9=M10,-1,1)</f>
        <v>1</v>
      </c>
      <c r="P11" s="191" t="str">
        <f>TEXT(J11,"aaaa-mm-jj")&amp;"T"&amp;TEXT(J12,"hh:mm:ss")&amp;"z"</f>
        <v>2004-01-30T15:00:00z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0.625</v>
      </c>
      <c r="K12" s="75"/>
      <c r="L12" s="75"/>
      <c r="M12" s="75"/>
      <c r="N12" s="76" t="str">
        <f>I10&amp;"°"&amp;J10</f>
        <v>5°0,076</v>
      </c>
      <c r="O12" s="74">
        <f>IF(P10=N10,-1,1)</f>
        <v>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2"/>
      <c r="F30" s="142"/>
      <c r="G30" s="142"/>
      <c r="H30" s="142"/>
      <c r="I30" s="142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41"/>
      <c r="L33" s="141"/>
      <c r="M33" s="141"/>
      <c r="N33" s="141"/>
      <c r="O33" s="141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34.632800000000003</v>
      </c>
      <c r="H35" s="154">
        <v>500</v>
      </c>
      <c r="I35" s="154">
        <v>501</v>
      </c>
      <c r="J35" s="120"/>
      <c r="K35" s="121"/>
      <c r="L35" s="121"/>
      <c r="M35" s="121"/>
      <c r="N35" s="122"/>
      <c r="O35" s="121"/>
      <c r="P35" s="120">
        <v>2.476</v>
      </c>
      <c r="Q35" s="120"/>
      <c r="R35" s="120"/>
      <c r="S35" s="146">
        <v>107.7</v>
      </c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34.632399999999997</v>
      </c>
      <c r="H36" s="154">
        <v>500</v>
      </c>
      <c r="I36" s="154">
        <v>501</v>
      </c>
      <c r="J36" s="99"/>
      <c r="K36" s="55"/>
      <c r="L36" s="55"/>
      <c r="M36" s="55"/>
      <c r="N36" s="56"/>
      <c r="O36" s="55"/>
      <c r="P36" s="99">
        <v>2.4660000000000002</v>
      </c>
      <c r="Q36" s="99"/>
      <c r="R36" s="99"/>
      <c r="S36" s="147">
        <v>107.2</v>
      </c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5.6" x14ac:dyDescent="0.3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34.632399999999997</v>
      </c>
      <c r="H37" s="154">
        <v>500</v>
      </c>
      <c r="I37" s="154">
        <v>501</v>
      </c>
      <c r="J37" s="99"/>
      <c r="K37" s="55"/>
      <c r="L37" s="55"/>
      <c r="M37" s="55"/>
      <c r="N37" s="56"/>
      <c r="O37" s="55"/>
      <c r="P37" s="99">
        <v>2.4820000000000002</v>
      </c>
      <c r="Q37" s="99"/>
      <c r="R37" s="99"/>
      <c r="S37" s="147">
        <v>108</v>
      </c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34.632300000000001</v>
      </c>
      <c r="H38" s="154">
        <v>500</v>
      </c>
      <c r="I38" s="154">
        <v>501</v>
      </c>
      <c r="J38" s="99"/>
      <c r="K38" s="55"/>
      <c r="L38" s="55"/>
      <c r="M38" s="55"/>
      <c r="N38" s="56"/>
      <c r="O38" s="55"/>
      <c r="P38" s="99">
        <v>2.4609999999999999</v>
      </c>
      <c r="Q38" s="99"/>
      <c r="R38" s="99"/>
      <c r="S38" s="147">
        <v>107</v>
      </c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26"/>
    </row>
    <row r="39" spans="1:54" ht="15.6" x14ac:dyDescent="0.3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34.632199999999997</v>
      </c>
      <c r="H39" s="154">
        <v>500</v>
      </c>
      <c r="I39" s="154">
        <v>501</v>
      </c>
      <c r="J39" s="99"/>
      <c r="K39" s="55"/>
      <c r="L39" s="55"/>
      <c r="M39" s="55"/>
      <c r="N39" s="56"/>
      <c r="O39" s="55"/>
      <c r="P39" s="99">
        <v>2.4569999999999999</v>
      </c>
      <c r="Q39" s="99"/>
      <c r="R39" s="99"/>
      <c r="S39" s="147">
        <v>106.8</v>
      </c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48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34.634</v>
      </c>
      <c r="H40" s="154">
        <v>500</v>
      </c>
      <c r="I40" s="154">
        <v>501</v>
      </c>
      <c r="J40" s="99"/>
      <c r="K40" s="55"/>
      <c r="L40" s="55"/>
      <c r="M40" s="55"/>
      <c r="N40" s="56"/>
      <c r="O40" s="55"/>
      <c r="P40" s="99">
        <v>2.4590000000000001</v>
      </c>
      <c r="Q40" s="99"/>
      <c r="R40" s="99"/>
      <c r="S40" s="147">
        <v>107</v>
      </c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48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34.633000000000003</v>
      </c>
      <c r="H41" s="154">
        <v>500</v>
      </c>
      <c r="I41" s="154">
        <v>501</v>
      </c>
      <c r="J41" s="99"/>
      <c r="K41" s="55"/>
      <c r="L41" s="55"/>
      <c r="M41" s="55"/>
      <c r="N41" s="56"/>
      <c r="O41" s="55"/>
      <c r="P41" s="99">
        <v>2.4609999999999999</v>
      </c>
      <c r="Q41" s="99"/>
      <c r="R41" s="99"/>
      <c r="S41" s="147">
        <v>107.1</v>
      </c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48"/>
    </row>
    <row r="42" spans="1:54" ht="15.6" x14ac:dyDescent="0.3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34.631999999999998</v>
      </c>
      <c r="H42" s="154">
        <v>500</v>
      </c>
      <c r="I42" s="154">
        <v>501</v>
      </c>
      <c r="J42" s="99"/>
      <c r="K42" s="55"/>
      <c r="L42" s="55"/>
      <c r="M42" s="55"/>
      <c r="N42" s="56"/>
      <c r="O42" s="55"/>
      <c r="P42" s="99">
        <v>2.4609999999999999</v>
      </c>
      <c r="Q42" s="99"/>
      <c r="R42" s="99"/>
      <c r="S42" s="147">
        <v>107</v>
      </c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48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34.632800000000003</v>
      </c>
      <c r="H43" s="154">
        <v>500</v>
      </c>
      <c r="I43" s="154">
        <v>501</v>
      </c>
      <c r="J43" s="99"/>
      <c r="K43" s="55"/>
      <c r="L43" s="55"/>
      <c r="M43" s="55"/>
      <c r="N43" s="56"/>
      <c r="O43" s="55"/>
      <c r="P43" s="99">
        <v>2.4700000000000002</v>
      </c>
      <c r="Q43" s="99"/>
      <c r="R43" s="99"/>
      <c r="S43" s="99">
        <v>107.43600000000001</v>
      </c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48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34.632800000000003</v>
      </c>
      <c r="H44" s="154">
        <v>500</v>
      </c>
      <c r="I44" s="154">
        <v>501</v>
      </c>
      <c r="J44" s="99"/>
      <c r="K44" s="55"/>
      <c r="L44" s="55"/>
      <c r="M44" s="55"/>
      <c r="N44" s="56"/>
      <c r="O44" s="55"/>
      <c r="P44" s="99">
        <v>2.46</v>
      </c>
      <c r="Q44" s="99"/>
      <c r="R44" s="99"/>
      <c r="S44" s="99">
        <v>106.998</v>
      </c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34.632300000000001</v>
      </c>
      <c r="H45" s="154">
        <v>500</v>
      </c>
      <c r="I45" s="154">
        <v>501</v>
      </c>
      <c r="J45" s="99"/>
      <c r="K45" s="55"/>
      <c r="L45" s="55"/>
      <c r="M45" s="55"/>
      <c r="N45" s="56"/>
      <c r="O45" s="55"/>
      <c r="P45" s="99">
        <v>2.4529999999999998</v>
      </c>
      <c r="Q45" s="99"/>
      <c r="R45" s="99"/>
      <c r="S45" s="99">
        <v>106.727</v>
      </c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34.632599999999996</v>
      </c>
      <c r="H46" s="154">
        <v>500</v>
      </c>
      <c r="I46" s="154">
        <v>501</v>
      </c>
      <c r="J46" s="99" t="str">
        <f>IF(ISBLANK(D46),"",IF(VLOOKUP(D46,#REF!,2)=0,"",IF(D46&gt;#REF!,"Mauvais numéro",IF(D46&lt;#REF!,"Mauvais numéro",(VLOOKUP(D46,#REF!,3))))))</f>
        <v/>
      </c>
      <c r="K46" s="91" t="str">
        <f t="shared" ref="K46:K57" si="1">IF(ISBLANK(E46),"",(0.000824493-(0.0000040899*E46)+(0.000000076438*E46^2)-(0.00000000082467*E46^3)+(0.0000000000053875*E46^4)))</f>
        <v/>
      </c>
      <c r="L46" s="91" t="str">
        <f t="shared" ref="L46:L58" si="2">IF(ISBLANK(E46),"",(-0.00000572466+(0.00000010227*E46)-(0.0000000016546*E46^2)))</f>
        <v/>
      </c>
      <c r="M46" s="91" t="str">
        <f t="shared" ref="M46:M58" si="3">IF(ISBLANK(E46),"",IF(ISBLANK(G46),(O46+(K46*35)+(L46*35^1.5)+(0.00000048314*35^2)),(O46+(K46*G46)+(L46*G46^1.5)+(0.00000048314*G46^2))))</f>
        <v/>
      </c>
      <c r="N46" s="92" t="str">
        <f t="shared" ref="N46:N58" si="4">IF(ISBLANK(D46),"",IF(ISBLANK(G46),J46*(1+0.00001*(35-20)),J46*(1+0.00001*(G46-20))))</f>
        <v/>
      </c>
      <c r="O46" s="91" t="str">
        <f t="shared" ref="O46:O58" si="5">IF(ISBLANK(E46),"",(0.999842594+(0.00006793952*E46)-(0.00000909529*E46^2)+(0.0000001001685*E46^3)-(0.000000001120083*E46^4)+(0.000000000006536332*E46^5)))</f>
        <v/>
      </c>
      <c r="P46" s="152">
        <v>2.5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108</v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6"/>
      <c r="Q47" s="100" t="str">
        <f t="shared" ref="Q47:Q58" si="6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58" t="str">
        <f t="shared" ref="R47:R58" si="7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9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6"/>
      <c r="Q48" s="100" t="str">
        <f t="shared" si="6"/>
        <v/>
      </c>
      <c r="R48" s="58" t="str">
        <f t="shared" si="7"/>
        <v/>
      </c>
      <c r="S48" s="9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0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0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0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0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0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0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0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0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0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132" t="str">
        <f>IF(ISBLANK(D58),"",IF(VLOOKUP(D58,#REF!,2)=0,"",IF(D58&gt;#REF!,"Mauvais numéro",IF(D58&lt;#REF!,"Mauvais numéro",(VLOOKUP(D58,#REF!,3))))))</f>
        <v/>
      </c>
      <c r="K58" s="133" t="str">
        <f>IF(ISBLANK(E58),"",(0.000824493-(0.0000040899*E58)+(0.000000076438*E58^2)-(0.00000000082467*E58^3)+(0.0000000000053875*E58^4)))</f>
        <v/>
      </c>
      <c r="L58" s="133" t="str">
        <f t="shared" si="2"/>
        <v/>
      </c>
      <c r="M58" s="133" t="str">
        <f t="shared" si="3"/>
        <v/>
      </c>
      <c r="N58" s="134" t="str">
        <f t="shared" si="4"/>
        <v/>
      </c>
      <c r="O58" s="133" t="str">
        <f t="shared" si="5"/>
        <v/>
      </c>
      <c r="P58" s="135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36" t="str">
        <f t="shared" si="6"/>
        <v/>
      </c>
      <c r="R58" s="137" t="str">
        <f t="shared" si="7"/>
        <v/>
      </c>
      <c r="S58" s="137" t="str">
        <f t="shared" si="8"/>
        <v/>
      </c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AT31:AT32"/>
    <mergeCell ref="AI31:AI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O31:AO32"/>
    <mergeCell ref="AP31:AP32"/>
    <mergeCell ref="AQ31:AQ32"/>
    <mergeCell ref="AR31:AR32"/>
    <mergeCell ref="AS31:AS32"/>
    <mergeCell ref="AJ31:AJ32"/>
    <mergeCell ref="AK31:AK32"/>
    <mergeCell ref="AL31:AL32"/>
    <mergeCell ref="AM31:AM32"/>
    <mergeCell ref="AN31:AN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U31:AU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U7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4" width="10.6640625" style="67" hidden="1" customWidth="1"/>
    <col min="15" max="15" width="1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2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36557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02" t="s">
        <v>50</v>
      </c>
      <c r="J8" s="102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0</v>
      </c>
      <c r="J9" s="39">
        <v>9.5000000000000001E-2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-0°0,095</v>
      </c>
      <c r="P9" s="39" t="s">
        <v>53</v>
      </c>
      <c r="Q9" s="207">
        <f>IF(ISBLANK(I9),"",IF(ISBLANK(J9),"",IF(J9&gt;60,"ERREUR !!",O11*(I9+(J9/60)))))</f>
        <v>-1.5833333333333333E-3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0</v>
      </c>
      <c r="J10" s="39">
        <v>0.52600000000000002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0°0,526</v>
      </c>
      <c r="P10" s="39" t="s">
        <v>54</v>
      </c>
      <c r="Q10" s="207">
        <f>IF(ISBLANK(I10),"",IF(ISBLANK(J10),"",IF(J10&gt;60,"ERREUR !!",O12*(I10+(J10/60)))))</f>
        <v>8.7666666666666674E-3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36556</v>
      </c>
      <c r="K11" s="72"/>
      <c r="L11" s="72"/>
      <c r="M11" s="72"/>
      <c r="N11" s="73" t="str">
        <f>I9&amp;"°"&amp;J9</f>
        <v>0°0,095</v>
      </c>
      <c r="O11" s="74">
        <f>IF(P9=M10,-1,1)</f>
        <v>-1</v>
      </c>
      <c r="P11" s="191" t="str">
        <f>TEXT(J11,"aaaa-mm-jj")&amp;"T"&amp;TEXT(J12,"hh:mm:ss")&amp;"z"</f>
        <v>2004-02-01T08:00:00z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0.33333333333333331</v>
      </c>
      <c r="K12" s="75"/>
      <c r="L12" s="75"/>
      <c r="M12" s="75"/>
      <c r="N12" s="76" t="str">
        <f>I10&amp;"°"&amp;J10</f>
        <v>0°0,526</v>
      </c>
      <c r="O12" s="74">
        <f>IF(P10=N10,-1,1)</f>
        <v>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03"/>
      <c r="F30" s="103"/>
      <c r="G30" s="103"/>
      <c r="H30" s="103"/>
      <c r="I30" s="103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04"/>
      <c r="L33" s="104"/>
      <c r="M33" s="104"/>
      <c r="N33" s="104"/>
      <c r="O33" s="104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34.630299999999998</v>
      </c>
      <c r="H35" s="151">
        <v>1000</v>
      </c>
      <c r="I35" s="155">
        <v>1000</v>
      </c>
      <c r="J35" s="120"/>
      <c r="K35" s="121"/>
      <c r="L35" s="121"/>
      <c r="M35" s="121"/>
      <c r="N35" s="122"/>
      <c r="O35" s="121"/>
      <c r="P35" s="157">
        <v>3.6160000000000001</v>
      </c>
      <c r="Q35" s="120"/>
      <c r="R35" s="120"/>
      <c r="S35" s="158">
        <v>157.19999999999999</v>
      </c>
      <c r="T35" s="159">
        <v>0</v>
      </c>
      <c r="U35" s="159">
        <v>0</v>
      </c>
      <c r="V35" s="159"/>
      <c r="W35" s="159"/>
      <c r="X35" s="160">
        <v>32.799999999999997</v>
      </c>
      <c r="Y35" s="160">
        <v>32</v>
      </c>
      <c r="Z35" s="159">
        <v>1.94</v>
      </c>
      <c r="AA35" s="159">
        <v>1.9</v>
      </c>
      <c r="AB35" s="160">
        <v>25.2</v>
      </c>
      <c r="AC35" s="160">
        <v>24.6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34.629399999999997</v>
      </c>
      <c r="H36" s="151">
        <v>1000</v>
      </c>
      <c r="I36" s="155">
        <v>1001</v>
      </c>
      <c r="J36" s="99"/>
      <c r="K36" s="55"/>
      <c r="L36" s="55"/>
      <c r="M36" s="55"/>
      <c r="N36" s="56"/>
      <c r="O36" s="55"/>
      <c r="P36" s="157">
        <v>3.6139999999999999</v>
      </c>
      <c r="Q36" s="99"/>
      <c r="R36" s="99"/>
      <c r="S36" s="158">
        <v>157.1</v>
      </c>
      <c r="T36" s="159">
        <v>0.04</v>
      </c>
      <c r="U36" s="159">
        <v>0.03</v>
      </c>
      <c r="V36" s="159"/>
      <c r="W36" s="159"/>
      <c r="X36" s="160">
        <v>34.4</v>
      </c>
      <c r="Y36" s="160">
        <v>33.700000000000003</v>
      </c>
      <c r="Z36" s="159">
        <v>1.98</v>
      </c>
      <c r="AA36" s="159">
        <v>1.93</v>
      </c>
      <c r="AB36" s="160">
        <v>26.6</v>
      </c>
      <c r="AC36" s="160">
        <v>26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5.6" x14ac:dyDescent="0.3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34.525300000000001</v>
      </c>
      <c r="H37" s="151">
        <v>800</v>
      </c>
      <c r="I37" s="155">
        <v>800</v>
      </c>
      <c r="J37" s="99"/>
      <c r="K37" s="55"/>
      <c r="L37" s="55"/>
      <c r="M37" s="55"/>
      <c r="N37" s="56"/>
      <c r="O37" s="55"/>
      <c r="P37" s="157">
        <v>3.3330000000000002</v>
      </c>
      <c r="Q37" s="99"/>
      <c r="R37" s="99"/>
      <c r="S37" s="158">
        <v>145</v>
      </c>
      <c r="T37" s="159">
        <v>0.01</v>
      </c>
      <c r="U37" s="159">
        <v>0.01</v>
      </c>
      <c r="V37" s="159"/>
      <c r="W37" s="159"/>
      <c r="X37" s="160">
        <v>32.1</v>
      </c>
      <c r="Y37" s="160">
        <v>31.4</v>
      </c>
      <c r="Z37" s="159">
        <v>1.96</v>
      </c>
      <c r="AA37" s="159">
        <v>1.91</v>
      </c>
      <c r="AB37" s="160">
        <v>22.8</v>
      </c>
      <c r="AC37" s="160">
        <v>22.3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6.2" thickBot="1" x14ac:dyDescent="0.35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34.624299999999998</v>
      </c>
      <c r="H38" s="151">
        <v>500</v>
      </c>
      <c r="I38" s="155">
        <v>498</v>
      </c>
      <c r="J38" s="99"/>
      <c r="K38" s="55"/>
      <c r="L38" s="55"/>
      <c r="M38" s="55"/>
      <c r="N38" s="56"/>
      <c r="O38" s="55"/>
      <c r="P38" s="157">
        <v>2.6030000000000002</v>
      </c>
      <c r="Q38" s="99"/>
      <c r="R38" s="99"/>
      <c r="S38" s="158">
        <v>113.2</v>
      </c>
      <c r="T38" s="159">
        <v>0.05</v>
      </c>
      <c r="U38" s="159">
        <v>0.05</v>
      </c>
      <c r="V38" s="159"/>
      <c r="W38" s="159"/>
      <c r="X38" s="160">
        <v>31.5</v>
      </c>
      <c r="Y38" s="160">
        <v>30.8</v>
      </c>
      <c r="Z38" s="159">
        <v>1.75</v>
      </c>
      <c r="AA38" s="159">
        <v>1.71</v>
      </c>
      <c r="AB38" s="160">
        <v>13.9</v>
      </c>
      <c r="AC38" s="160">
        <v>13.5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26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35.085599999999999</v>
      </c>
      <c r="H39" s="151">
        <v>300</v>
      </c>
      <c r="I39" s="155">
        <v>299</v>
      </c>
      <c r="J39" s="99"/>
      <c r="K39" s="55"/>
      <c r="L39" s="55"/>
      <c r="M39" s="55"/>
      <c r="N39" s="56"/>
      <c r="O39" s="55"/>
      <c r="P39" s="157">
        <v>1.4850000000000001</v>
      </c>
      <c r="Q39" s="99"/>
      <c r="R39" s="99"/>
      <c r="S39" s="158">
        <v>64.599999999999994</v>
      </c>
      <c r="T39" s="159">
        <v>0.01</v>
      </c>
      <c r="U39" s="159">
        <v>0.01</v>
      </c>
      <c r="V39" s="159"/>
      <c r="W39" s="159"/>
      <c r="X39" s="160">
        <v>24.1</v>
      </c>
      <c r="Y39" s="160">
        <v>23.5</v>
      </c>
      <c r="Z39" s="159">
        <v>1.31</v>
      </c>
      <c r="AA39" s="159">
        <v>1.28</v>
      </c>
      <c r="AB39" s="160">
        <v>8</v>
      </c>
      <c r="AC39" s="160">
        <v>7.8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4"/>
    </row>
    <row r="40" spans="1:54" ht="16.2" thickBot="1" x14ac:dyDescent="0.35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35.747399999999999</v>
      </c>
      <c r="H40" s="151">
        <v>100</v>
      </c>
      <c r="I40" s="155">
        <v>99</v>
      </c>
      <c r="J40" s="99"/>
      <c r="K40" s="55"/>
      <c r="L40" s="55"/>
      <c r="M40" s="55"/>
      <c r="N40" s="56"/>
      <c r="O40" s="55"/>
      <c r="P40" s="157">
        <v>3.5739999999999998</v>
      </c>
      <c r="Q40" s="99"/>
      <c r="R40" s="99"/>
      <c r="S40" s="158">
        <v>155.6</v>
      </c>
      <c r="T40" s="159">
        <v>0.03</v>
      </c>
      <c r="U40" s="159">
        <v>0.03</v>
      </c>
      <c r="V40" s="159"/>
      <c r="W40" s="159"/>
      <c r="X40" s="160">
        <v>12.7</v>
      </c>
      <c r="Y40" s="160">
        <v>12.4</v>
      </c>
      <c r="Z40" s="159">
        <v>0.73</v>
      </c>
      <c r="AA40" s="159">
        <v>0.71</v>
      </c>
      <c r="AB40" s="160">
        <v>3.9</v>
      </c>
      <c r="AC40" s="160">
        <v>3.8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4"/>
    </row>
    <row r="41" spans="1:54" ht="16.2" thickBot="1" x14ac:dyDescent="0.35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35.901899999999998</v>
      </c>
      <c r="H41" s="151">
        <v>80</v>
      </c>
      <c r="I41" s="155">
        <v>79</v>
      </c>
      <c r="J41" s="99"/>
      <c r="K41" s="55"/>
      <c r="L41" s="55"/>
      <c r="M41" s="55"/>
      <c r="N41" s="56"/>
      <c r="O41" s="55"/>
      <c r="P41" s="157">
        <v>3.2719999999999998</v>
      </c>
      <c r="Q41" s="99"/>
      <c r="R41" s="99"/>
      <c r="S41" s="158">
        <v>142.5</v>
      </c>
      <c r="T41" s="159">
        <v>0.08</v>
      </c>
      <c r="U41" s="159">
        <v>0.08</v>
      </c>
      <c r="V41" s="159"/>
      <c r="W41" s="159"/>
      <c r="X41" s="160">
        <v>9.6</v>
      </c>
      <c r="Y41" s="160">
        <v>9.4</v>
      </c>
      <c r="Z41" s="159">
        <v>0.56999999999999995</v>
      </c>
      <c r="AA41" s="159">
        <v>0.56000000000000005</v>
      </c>
      <c r="AB41" s="160">
        <v>2.7</v>
      </c>
      <c r="AC41" s="160">
        <v>2.6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4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36.284300000000002</v>
      </c>
      <c r="H42" s="151">
        <v>60</v>
      </c>
      <c r="I42" s="155">
        <v>59</v>
      </c>
      <c r="J42" s="99"/>
      <c r="K42" s="55"/>
      <c r="L42" s="55"/>
      <c r="M42" s="55"/>
      <c r="N42" s="56"/>
      <c r="O42" s="55"/>
      <c r="P42" s="157">
        <v>3.9380000000000002</v>
      </c>
      <c r="Q42" s="99"/>
      <c r="R42" s="99"/>
      <c r="S42" s="158">
        <v>171.5</v>
      </c>
      <c r="T42" s="159">
        <v>0.24</v>
      </c>
      <c r="U42" s="159">
        <v>0.24</v>
      </c>
      <c r="V42" s="159"/>
      <c r="W42" s="159"/>
      <c r="X42" s="160">
        <v>6.4</v>
      </c>
      <c r="Y42" s="160">
        <v>6.3</v>
      </c>
      <c r="Z42" s="159">
        <v>0.42</v>
      </c>
      <c r="AA42" s="159">
        <v>0.41</v>
      </c>
      <c r="AB42" s="160">
        <v>2</v>
      </c>
      <c r="AC42" s="160">
        <v>1.9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4"/>
    </row>
    <row r="43" spans="1:54" ht="16.2" thickBot="1" x14ac:dyDescent="0.35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35.875100000000003</v>
      </c>
      <c r="H43" s="151">
        <v>40</v>
      </c>
      <c r="I43" s="155">
        <v>38</v>
      </c>
      <c r="J43" s="99"/>
      <c r="K43" s="55"/>
      <c r="L43" s="55"/>
      <c r="M43" s="55"/>
      <c r="N43" s="56"/>
      <c r="O43" s="55"/>
      <c r="P43" s="157">
        <v>4.59</v>
      </c>
      <c r="Q43" s="99"/>
      <c r="R43" s="99"/>
      <c r="S43" s="158">
        <v>200.2</v>
      </c>
      <c r="T43" s="159">
        <v>0.02</v>
      </c>
      <c r="U43" s="159">
        <v>0.02</v>
      </c>
      <c r="V43" s="159"/>
      <c r="W43" s="159"/>
      <c r="X43" s="160">
        <v>1.1000000000000001</v>
      </c>
      <c r="Y43" s="160">
        <v>1.1000000000000001</v>
      </c>
      <c r="Z43" s="159">
        <v>0.1</v>
      </c>
      <c r="AA43" s="159">
        <v>0.1</v>
      </c>
      <c r="AB43" s="160">
        <v>0.5</v>
      </c>
      <c r="AC43" s="160">
        <v>0.4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4"/>
    </row>
    <row r="44" spans="1:54" ht="16.2" thickBot="1" x14ac:dyDescent="0.35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34.157400000000003</v>
      </c>
      <c r="H44" s="156">
        <v>20</v>
      </c>
      <c r="I44" s="155">
        <v>19</v>
      </c>
      <c r="J44" s="99"/>
      <c r="K44" s="55"/>
      <c r="L44" s="55"/>
      <c r="M44" s="55"/>
      <c r="N44" s="56"/>
      <c r="O44" s="55"/>
      <c r="P44" s="157">
        <v>4.5389999999999997</v>
      </c>
      <c r="Q44" s="99"/>
      <c r="R44" s="99"/>
      <c r="S44" s="158">
        <v>198.4</v>
      </c>
      <c r="T44" s="159">
        <v>0.02</v>
      </c>
      <c r="U44" s="159">
        <v>0.02</v>
      </c>
      <c r="V44" s="159"/>
      <c r="W44" s="159"/>
      <c r="X44" s="160">
        <v>0.6</v>
      </c>
      <c r="Y44" s="160">
        <v>0.6</v>
      </c>
      <c r="Z44" s="159">
        <v>0.03</v>
      </c>
      <c r="AA44" s="159">
        <v>0.03</v>
      </c>
      <c r="AB44" s="160">
        <v>0.7</v>
      </c>
      <c r="AC44" s="160">
        <v>0.7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4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34.089799999999997</v>
      </c>
      <c r="H45" s="156">
        <v>10</v>
      </c>
      <c r="I45" s="155">
        <v>9</v>
      </c>
      <c r="J45" s="99"/>
      <c r="K45" s="55"/>
      <c r="L45" s="55"/>
      <c r="M45" s="55"/>
      <c r="N45" s="56"/>
      <c r="O45" s="55"/>
      <c r="P45" s="157">
        <v>4.5339999999999998</v>
      </c>
      <c r="Q45" s="99"/>
      <c r="R45" s="99"/>
      <c r="S45" s="158">
        <v>198.2</v>
      </c>
      <c r="T45" s="159">
        <v>0.06</v>
      </c>
      <c r="U45" s="159">
        <v>0.06</v>
      </c>
      <c r="V45" s="159"/>
      <c r="W45" s="159"/>
      <c r="X45" s="160">
        <v>0.5</v>
      </c>
      <c r="Y45" s="160">
        <v>0.5</v>
      </c>
      <c r="Z45" s="159">
        <v>0</v>
      </c>
      <c r="AA45" s="159">
        <v>0</v>
      </c>
      <c r="AB45" s="160">
        <v>0.5</v>
      </c>
      <c r="AC45" s="160">
        <v>0.5</v>
      </c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4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34.090000000000003</v>
      </c>
      <c r="H46" s="156">
        <v>0</v>
      </c>
      <c r="I46" s="155">
        <v>1</v>
      </c>
      <c r="J46" s="99" t="str">
        <f>IF(ISBLANK(D46),"",IF(VLOOKUP(D46,#REF!,2)=0,"",IF(D46&gt;#REF!,"Mauvais numéro",IF(D46&lt;#REF!,"Mauvais numéro",(VLOOKUP(D46,#REF!,3))))))</f>
        <v/>
      </c>
      <c r="K46" s="91" t="str">
        <f t="shared" ref="K46:K57" si="1">IF(ISBLANK(E46),"",(0.000824493-(0.0000040899*E46)+(0.000000076438*E46^2)-(0.00000000082467*E46^3)+(0.0000000000053875*E46^4)))</f>
        <v/>
      </c>
      <c r="L46" s="91" t="str">
        <f t="shared" ref="L46:L58" si="2">IF(ISBLANK(E46),"",(-0.00000572466+(0.00000010227*E46)-(0.0000000016546*E46^2)))</f>
        <v/>
      </c>
      <c r="M46" s="91" t="str">
        <f t="shared" ref="M46:M58" si="3">IF(ISBLANK(E46),"",IF(ISBLANK(G46),(O46+(K46*35)+(L46*35^1.5)+(0.00000048314*35^2)),(O46+(K46*G46)+(L46*G46^1.5)+(0.00000048314*G46^2))))</f>
        <v/>
      </c>
      <c r="N46" s="92" t="str">
        <f t="shared" ref="N46:N58" si="4">IF(ISBLANK(D46),"",IF(ISBLANK(G46),J46*(1+0.00001*(35-20)),J46*(1+0.00001*(G46-20))))</f>
        <v/>
      </c>
      <c r="O46" s="91" t="str">
        <f t="shared" ref="O46:O58" si="5">IF(ISBLANK(E46),"",(0.999842594+(0.00006793952*E46)-(0.00000909529*E46^2)+(0.0000001001685*E46^3)-(0.000000001120083*E46^4)+(0.000000000006536332*E46^5)))</f>
        <v/>
      </c>
      <c r="P46" s="157">
        <v>4.5380000000000003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8">
        <v>198.4</v>
      </c>
      <c r="T46" s="159">
        <v>0.04</v>
      </c>
      <c r="U46" s="159">
        <v>0.04</v>
      </c>
      <c r="V46" s="159"/>
      <c r="W46" s="159"/>
      <c r="X46" s="160">
        <v>0.4</v>
      </c>
      <c r="Y46" s="160">
        <v>0.4</v>
      </c>
      <c r="Z46" s="159">
        <v>0.03</v>
      </c>
      <c r="AA46" s="159">
        <v>0.03</v>
      </c>
      <c r="AB46" s="160">
        <v>0.6</v>
      </c>
      <c r="AC46" s="160">
        <v>0.6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6"/>
      <c r="Q47" s="100" t="str">
        <f t="shared" ref="Q47:Q58" si="6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58"/>
      <c r="S47" s="9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6"/>
      <c r="Q48" s="100" t="str">
        <f t="shared" si="6"/>
        <v/>
      </c>
      <c r="R48" s="58" t="str">
        <f t="shared" ref="R48:R58" si="7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9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0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0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0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0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0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0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0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0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0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132" t="str">
        <f>IF(ISBLANK(D58),"",IF(VLOOKUP(D58,#REF!,2)=0,"",IF(D58&gt;#REF!,"Mauvais numéro",IF(D58&lt;#REF!,"Mauvais numéro",(VLOOKUP(D58,#REF!,3))))))</f>
        <v/>
      </c>
      <c r="K58" s="133" t="str">
        <f>IF(ISBLANK(E58),"",(0.000824493-(0.0000040899*E58)+(0.000000076438*E58^2)-(0.00000000082467*E58^3)+(0.0000000000053875*E58^4)))</f>
        <v/>
      </c>
      <c r="L58" s="133" t="str">
        <f t="shared" si="2"/>
        <v/>
      </c>
      <c r="M58" s="133" t="str">
        <f t="shared" si="3"/>
        <v/>
      </c>
      <c r="N58" s="134" t="str">
        <f t="shared" si="4"/>
        <v/>
      </c>
      <c r="O58" s="133" t="str">
        <f t="shared" si="5"/>
        <v/>
      </c>
      <c r="P58" s="135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36" t="str">
        <f t="shared" si="6"/>
        <v/>
      </c>
      <c r="R58" s="137" t="str">
        <f t="shared" si="7"/>
        <v/>
      </c>
      <c r="S58" s="137" t="str">
        <f t="shared" si="8"/>
        <v/>
      </c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R1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3320312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3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36560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02" t="s">
        <v>50</v>
      </c>
      <c r="J8" s="102">
        <v>0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1</v>
      </c>
      <c r="J9" s="39">
        <v>0.35099999999999998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1°0,351</v>
      </c>
      <c r="P9" s="39" t="s">
        <v>3</v>
      </c>
      <c r="Q9" s="207">
        <f>IF(ISBLANK(I9),"",IF(ISBLANK(J9),"",IF(J9&gt;60,"ERREUR !!",O11*(I9+(J9/60)))))</f>
        <v>1.0058499999999999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10</v>
      </c>
      <c r="J10" s="39">
        <v>0.16400000000000001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-10°0,164</v>
      </c>
      <c r="P10" s="39" t="s">
        <v>55</v>
      </c>
      <c r="Q10" s="207">
        <f>IF(ISBLANK(I10),"",IF(ISBLANK(J10),"",IF(J10&gt;60,"ERREUR !!",O12*(I10+(J10/60)))))</f>
        <v>-10.002733333333333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36558</v>
      </c>
      <c r="K11" s="72"/>
      <c r="L11" s="72"/>
      <c r="M11" s="72"/>
      <c r="N11" s="73" t="str">
        <f>I9&amp;"°"&amp;J9</f>
        <v>1°0,351</v>
      </c>
      <c r="O11" s="74">
        <f>IF(P9=M10,-1,1)</f>
        <v>1</v>
      </c>
      <c r="P11" s="191" t="str">
        <f>TEXT(J11,"aaaa-mm-jj")&amp;"T"&amp;TEXT(J12,"hh:mm:ss")&amp;"z"</f>
        <v>2004-02-03T17:00:00z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0.70833333333333337</v>
      </c>
      <c r="K12" s="75"/>
      <c r="L12" s="75"/>
      <c r="M12" s="75"/>
      <c r="N12" s="76" t="str">
        <f>I10&amp;"°"&amp;J10</f>
        <v>10°0,164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03"/>
      <c r="F30" s="103"/>
      <c r="G30" s="103"/>
      <c r="H30" s="103"/>
      <c r="I30" s="103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04"/>
      <c r="L33" s="104"/>
      <c r="M33" s="104"/>
      <c r="N33" s="104"/>
      <c r="O33" s="104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34.638199999999998</v>
      </c>
      <c r="H35" s="151">
        <v>1000</v>
      </c>
      <c r="I35" s="155">
        <v>1000</v>
      </c>
      <c r="J35" s="120"/>
      <c r="K35" s="121"/>
      <c r="L35" s="121"/>
      <c r="M35" s="121"/>
      <c r="N35" s="122"/>
      <c r="O35" s="121"/>
      <c r="P35" s="120">
        <v>3.5939999999999999</v>
      </c>
      <c r="Q35" s="120"/>
      <c r="R35" s="120"/>
      <c r="S35" s="152">
        <v>156.30000000000001</v>
      </c>
      <c r="T35" s="159">
        <v>0.03</v>
      </c>
      <c r="U35" s="159">
        <v>0.03</v>
      </c>
      <c r="V35" s="159"/>
      <c r="W35" s="159"/>
      <c r="X35" s="161">
        <v>32.9</v>
      </c>
      <c r="Y35" s="161">
        <v>32.200000000000003</v>
      </c>
      <c r="Z35" s="159">
        <v>1.88</v>
      </c>
      <c r="AA35" s="159">
        <v>1.84</v>
      </c>
      <c r="AB35" s="160">
        <v>27.1</v>
      </c>
      <c r="AC35" s="160">
        <v>26.5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34.556600000000003</v>
      </c>
      <c r="H36" s="151">
        <v>800</v>
      </c>
      <c r="I36" s="155">
        <v>800</v>
      </c>
      <c r="J36" s="99"/>
      <c r="K36" s="55"/>
      <c r="L36" s="55"/>
      <c r="M36" s="55"/>
      <c r="N36" s="56"/>
      <c r="O36" s="55"/>
      <c r="P36" s="99">
        <v>3.331</v>
      </c>
      <c r="Q36" s="99"/>
      <c r="R36" s="99"/>
      <c r="S36" s="58">
        <v>144.80000000000001</v>
      </c>
      <c r="T36" s="159">
        <v>0.02</v>
      </c>
      <c r="U36" s="159">
        <v>0.02</v>
      </c>
      <c r="V36" s="159"/>
      <c r="W36" s="159"/>
      <c r="X36" s="161">
        <v>34.6</v>
      </c>
      <c r="Y36" s="161">
        <v>33.9</v>
      </c>
      <c r="Z36" s="159">
        <v>1.98</v>
      </c>
      <c r="AA36" s="159">
        <v>1.94</v>
      </c>
      <c r="AB36" s="160">
        <v>26.3</v>
      </c>
      <c r="AC36" s="160">
        <v>25.7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5.6" x14ac:dyDescent="0.3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34.556600000000003</v>
      </c>
      <c r="H37" s="151">
        <v>800</v>
      </c>
      <c r="I37" s="155">
        <v>801</v>
      </c>
      <c r="J37" s="99"/>
      <c r="K37" s="55"/>
      <c r="L37" s="55"/>
      <c r="M37" s="55"/>
      <c r="N37" s="56"/>
      <c r="O37" s="55"/>
      <c r="P37" s="99">
        <v>3.3559999999999999</v>
      </c>
      <c r="Q37" s="99"/>
      <c r="R37" s="99"/>
      <c r="S37" s="58">
        <v>145.9</v>
      </c>
      <c r="T37" s="159">
        <v>0.06</v>
      </c>
      <c r="U37" s="159">
        <v>0.06</v>
      </c>
      <c r="V37" s="159"/>
      <c r="W37" s="159"/>
      <c r="X37" s="161">
        <v>34.700000000000003</v>
      </c>
      <c r="Y37" s="161">
        <v>33.9</v>
      </c>
      <c r="Z37" s="159">
        <v>1.99</v>
      </c>
      <c r="AA37" s="159">
        <v>1.95</v>
      </c>
      <c r="AB37" s="160">
        <v>26</v>
      </c>
      <c r="AC37" s="160">
        <v>25.4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6.2" thickBot="1" x14ac:dyDescent="0.35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34.632399999999997</v>
      </c>
      <c r="H38" s="151">
        <v>500</v>
      </c>
      <c r="I38" s="155">
        <v>500</v>
      </c>
      <c r="J38" s="99"/>
      <c r="K38" s="55"/>
      <c r="L38" s="55"/>
      <c r="M38" s="55"/>
      <c r="N38" s="56"/>
      <c r="O38" s="55"/>
      <c r="P38" s="99">
        <v>2.95</v>
      </c>
      <c r="Q38" s="99"/>
      <c r="R38" s="99"/>
      <c r="S38" s="58">
        <v>128.30000000000001</v>
      </c>
      <c r="T38" s="159">
        <v>0.03</v>
      </c>
      <c r="U38" s="159">
        <v>0.03</v>
      </c>
      <c r="V38" s="159"/>
      <c r="W38" s="159"/>
      <c r="X38" s="160">
        <v>32.799999999999997</v>
      </c>
      <c r="Y38" s="160">
        <v>32</v>
      </c>
      <c r="Z38" s="159">
        <v>1.85</v>
      </c>
      <c r="AA38" s="159">
        <v>1.8</v>
      </c>
      <c r="AB38" s="160">
        <v>17.7</v>
      </c>
      <c r="AC38" s="160">
        <v>17.3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26"/>
    </row>
    <row r="39" spans="1:54" ht="15.6" x14ac:dyDescent="0.3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35.061100000000003</v>
      </c>
      <c r="H39" s="151">
        <v>300</v>
      </c>
      <c r="I39" s="155">
        <v>300</v>
      </c>
      <c r="J39" s="99"/>
      <c r="K39" s="55"/>
      <c r="L39" s="55"/>
      <c r="M39" s="55"/>
      <c r="N39" s="56"/>
      <c r="O39" s="55"/>
      <c r="P39" s="99">
        <v>1.83</v>
      </c>
      <c r="Q39" s="99"/>
      <c r="R39" s="99"/>
      <c r="S39" s="58">
        <v>79.599999999999994</v>
      </c>
      <c r="T39" s="159">
        <v>0.04</v>
      </c>
      <c r="U39" s="159">
        <v>0.04</v>
      </c>
      <c r="V39" s="159"/>
      <c r="W39" s="159"/>
      <c r="X39" s="160">
        <v>29.5</v>
      </c>
      <c r="Y39" s="160">
        <v>28.8</v>
      </c>
      <c r="Z39" s="159">
        <v>1.54</v>
      </c>
      <c r="AA39" s="159">
        <v>1.51</v>
      </c>
      <c r="AB39" s="160">
        <v>10.5</v>
      </c>
      <c r="AC39" s="160">
        <v>10.3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4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35.530700000000003</v>
      </c>
      <c r="H40" s="151">
        <v>100</v>
      </c>
      <c r="I40" s="155">
        <v>100</v>
      </c>
      <c r="J40" s="99"/>
      <c r="K40" s="55"/>
      <c r="L40" s="55"/>
      <c r="M40" s="55"/>
      <c r="N40" s="56"/>
      <c r="O40" s="55"/>
      <c r="P40" s="99">
        <v>3.3889999999999998</v>
      </c>
      <c r="Q40" s="99"/>
      <c r="R40" s="99"/>
      <c r="S40" s="58">
        <v>147.5</v>
      </c>
      <c r="T40" s="159">
        <v>0.04</v>
      </c>
      <c r="U40" s="159">
        <v>0.04</v>
      </c>
      <c r="V40" s="159"/>
      <c r="W40" s="159"/>
      <c r="X40" s="160">
        <v>15.6</v>
      </c>
      <c r="Y40" s="160">
        <v>15.2</v>
      </c>
      <c r="Z40" s="159">
        <v>0.87</v>
      </c>
      <c r="AA40" s="159">
        <v>0.85</v>
      </c>
      <c r="AB40" s="160">
        <v>5</v>
      </c>
      <c r="AC40" s="160">
        <v>4.8</v>
      </c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126"/>
    </row>
    <row r="41" spans="1:54" ht="16.2" thickBot="1" x14ac:dyDescent="0.35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35.665799999999997</v>
      </c>
      <c r="H41" s="151">
        <v>80</v>
      </c>
      <c r="I41" s="155">
        <v>79</v>
      </c>
      <c r="J41" s="99"/>
      <c r="K41" s="55"/>
      <c r="L41" s="55"/>
      <c r="M41" s="55"/>
      <c r="N41" s="56"/>
      <c r="O41" s="55"/>
      <c r="P41" s="99">
        <v>2.7890000000000001</v>
      </c>
      <c r="Q41" s="99"/>
      <c r="R41" s="99"/>
      <c r="S41" s="58">
        <v>121.4</v>
      </c>
      <c r="T41" s="159">
        <v>0.06</v>
      </c>
      <c r="U41" s="159">
        <v>0.06</v>
      </c>
      <c r="V41" s="159"/>
      <c r="W41" s="159"/>
      <c r="X41" s="160">
        <v>16.7</v>
      </c>
      <c r="Y41" s="160">
        <v>16.3</v>
      </c>
      <c r="Z41" s="159">
        <v>0.93</v>
      </c>
      <c r="AA41" s="159">
        <v>0.91</v>
      </c>
      <c r="AB41" s="160">
        <v>4.7</v>
      </c>
      <c r="AC41" s="160">
        <v>4.5999999999999996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126"/>
    </row>
    <row r="42" spans="1:54" ht="15.6" x14ac:dyDescent="0.3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36.001300000000001</v>
      </c>
      <c r="H42" s="151">
        <v>60</v>
      </c>
      <c r="I42" s="155">
        <v>60</v>
      </c>
      <c r="J42" s="99"/>
      <c r="K42" s="55"/>
      <c r="L42" s="55"/>
      <c r="M42" s="55"/>
      <c r="N42" s="56"/>
      <c r="O42" s="55"/>
      <c r="P42" s="99">
        <v>3.5230000000000001</v>
      </c>
      <c r="Q42" s="99"/>
      <c r="R42" s="99"/>
      <c r="S42" s="58">
        <v>153.5</v>
      </c>
      <c r="T42" s="159">
        <v>0.32</v>
      </c>
      <c r="U42" s="159">
        <v>0.31</v>
      </c>
      <c r="V42" s="159"/>
      <c r="W42" s="159"/>
      <c r="X42" s="160">
        <v>7.3</v>
      </c>
      <c r="Y42" s="160">
        <v>7.1</v>
      </c>
      <c r="Z42" s="159">
        <v>0.44</v>
      </c>
      <c r="AA42" s="159">
        <v>0.43</v>
      </c>
      <c r="AB42" s="160">
        <v>2.2999999999999998</v>
      </c>
      <c r="AC42" s="160">
        <v>2.2999999999999998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4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35.670699999999997</v>
      </c>
      <c r="H43" s="151">
        <v>40</v>
      </c>
      <c r="I43" s="155">
        <v>40</v>
      </c>
      <c r="J43" s="99"/>
      <c r="K43" s="55"/>
      <c r="L43" s="55"/>
      <c r="M43" s="55"/>
      <c r="N43" s="56"/>
      <c r="O43" s="55"/>
      <c r="P43" s="99">
        <v>4.508</v>
      </c>
      <c r="Q43" s="99"/>
      <c r="R43" s="99"/>
      <c r="S43" s="101">
        <v>196.7</v>
      </c>
      <c r="T43" s="159">
        <v>7.0000000000000007E-2</v>
      </c>
      <c r="U43" s="159">
        <v>7.0000000000000007E-2</v>
      </c>
      <c r="V43" s="159"/>
      <c r="W43" s="159"/>
      <c r="X43" s="160">
        <v>1</v>
      </c>
      <c r="Y43" s="160">
        <v>0.9</v>
      </c>
      <c r="Z43" s="159">
        <v>0.02</v>
      </c>
      <c r="AA43" s="159">
        <v>0.02</v>
      </c>
      <c r="AB43" s="160">
        <v>0.8</v>
      </c>
      <c r="AC43" s="160">
        <v>0.8</v>
      </c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126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35.042400000000001</v>
      </c>
      <c r="H44" s="156">
        <v>20</v>
      </c>
      <c r="I44" s="155">
        <v>20</v>
      </c>
      <c r="J44" s="99"/>
      <c r="K44" s="55"/>
      <c r="L44" s="55"/>
      <c r="M44" s="55"/>
      <c r="N44" s="56"/>
      <c r="O44" s="55"/>
      <c r="P44" s="99">
        <v>4.6059999999999999</v>
      </c>
      <c r="Q44" s="99"/>
      <c r="R44" s="99"/>
      <c r="S44" s="101">
        <v>201.2</v>
      </c>
      <c r="T44" s="159">
        <v>0.01</v>
      </c>
      <c r="U44" s="159">
        <v>0.01</v>
      </c>
      <c r="V44" s="159"/>
      <c r="W44" s="159"/>
      <c r="X44" s="160">
        <v>0.2</v>
      </c>
      <c r="Y44" s="160">
        <v>0.2</v>
      </c>
      <c r="Z44" s="159">
        <v>0.02</v>
      </c>
      <c r="AA44" s="159">
        <v>0.02</v>
      </c>
      <c r="AB44" s="160">
        <v>0.7</v>
      </c>
      <c r="AC44" s="160">
        <v>0.7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34.997300000000003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4.5810000000000004</v>
      </c>
      <c r="Q45" s="99"/>
      <c r="R45" s="99"/>
      <c r="S45" s="101">
        <v>200.1</v>
      </c>
      <c r="T45" s="159">
        <v>0.02</v>
      </c>
      <c r="U45" s="159">
        <v>0.02</v>
      </c>
      <c r="V45" s="159"/>
      <c r="W45" s="159"/>
      <c r="X45" s="160">
        <v>0.2</v>
      </c>
      <c r="Y45" s="160">
        <v>0.2</v>
      </c>
      <c r="Z45" s="159">
        <v>0.01</v>
      </c>
      <c r="AA45" s="159">
        <v>0.01</v>
      </c>
      <c r="AB45" s="160">
        <v>0.7</v>
      </c>
      <c r="AC45" s="160">
        <v>0.6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34.992199999999997</v>
      </c>
      <c r="H46" s="156">
        <v>0</v>
      </c>
      <c r="I46" s="155">
        <v>0</v>
      </c>
      <c r="J46" s="99"/>
      <c r="K46" s="91" t="str">
        <f t="shared" ref="K46:K57" si="1">IF(ISBLANK(E46),"",(0.000824493-(0.0000040899*E46)+(0.000000076438*E46^2)-(0.00000000082467*E46^3)+(0.0000000000053875*E46^4)))</f>
        <v/>
      </c>
      <c r="L46" s="91" t="str">
        <f t="shared" ref="L46:L58" si="2">IF(ISBLANK(E46),"",(-0.00000572466+(0.00000010227*E46)-(0.0000000016546*E46^2)))</f>
        <v/>
      </c>
      <c r="M46" s="91" t="str">
        <f t="shared" ref="M46:M58" si="3">IF(ISBLANK(E46),"",IF(ISBLANK(G46),(O46+(K46*35)+(L46*35^1.5)+(0.00000048314*35^2)),(O46+(K46*G46)+(L46*G46^1.5)+(0.00000048314*G46^2))))</f>
        <v/>
      </c>
      <c r="N46" s="92" t="str">
        <f t="shared" ref="N46:N58" si="4">IF(ISBLANK(D46),"",IF(ISBLANK(G46),J46*(1+0.00001*(35-20)),J46*(1+0.00001*(G46-20))))</f>
        <v/>
      </c>
      <c r="O46" s="91" t="str">
        <f t="shared" ref="O46:O58" si="5">IF(ISBLANK(E46),"",(0.999842594+(0.00006793952*E46)-(0.00000909529*E46^2)+(0.0000001001685*E46^3)-(0.000000001120083*E46^4)+(0.000000000006536332*E46^5)))</f>
        <v/>
      </c>
      <c r="P46" s="58">
        <v>4.5999999999999996</v>
      </c>
      <c r="Q46" s="99"/>
      <c r="R46" s="99"/>
      <c r="S46" s="152">
        <v>200.2</v>
      </c>
      <c r="T46" s="159">
        <v>0.04</v>
      </c>
      <c r="U46" s="159">
        <v>0.03</v>
      </c>
      <c r="V46" s="159"/>
      <c r="W46" s="159"/>
      <c r="X46" s="160">
        <v>0.3</v>
      </c>
      <c r="Y46" s="160">
        <v>0.3</v>
      </c>
      <c r="Z46" s="159">
        <v>0.03</v>
      </c>
      <c r="AA46" s="159">
        <v>0.03</v>
      </c>
      <c r="AB46" s="160">
        <v>0.7</v>
      </c>
      <c r="AC46" s="160">
        <v>0.7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6"/>
      <c r="Q47" s="99"/>
      <c r="R47" s="99"/>
      <c r="S47" s="9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6"/>
      <c r="Q48" s="99"/>
      <c r="R48" s="99"/>
      <c r="S48" s="9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96"/>
      <c r="Q49" s="99"/>
      <c r="R49" s="99"/>
      <c r="S49" s="96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96"/>
      <c r="Q50" s="99"/>
      <c r="R50" s="99"/>
      <c r="S50" s="9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96"/>
      <c r="Q51" s="99"/>
      <c r="R51" s="99"/>
      <c r="S51" s="96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96"/>
      <c r="Q52" s="99"/>
      <c r="R52" s="99"/>
      <c r="S52" s="9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96"/>
      <c r="Q53" s="99"/>
      <c r="R53" s="99"/>
      <c r="S53" s="9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96"/>
      <c r="Q54" s="99"/>
      <c r="R54" s="99"/>
      <c r="S54" s="9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96"/>
      <c r="Q55" s="99"/>
      <c r="R55" s="99"/>
      <c r="S55" s="9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96"/>
      <c r="Q56" s="99"/>
      <c r="R56" s="99"/>
      <c r="S56" s="96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96"/>
      <c r="Q57" s="99"/>
      <c r="R57" s="99"/>
      <c r="S57" s="9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133" t="str">
        <f>IF(ISBLANK(E58),"",(0.000824493-(0.0000040899*E58)+(0.000000076438*E58^2)-(0.00000000082467*E58^3)+(0.0000000000053875*E58^4)))</f>
        <v/>
      </c>
      <c r="L58" s="133" t="str">
        <f t="shared" si="2"/>
        <v/>
      </c>
      <c r="M58" s="133" t="str">
        <f t="shared" si="3"/>
        <v/>
      </c>
      <c r="N58" s="134" t="str">
        <f t="shared" si="4"/>
        <v/>
      </c>
      <c r="O58" s="133" t="str">
        <f t="shared" si="5"/>
        <v/>
      </c>
      <c r="P58" s="96"/>
      <c r="Q58" s="99"/>
      <c r="R58" s="99"/>
      <c r="S58" s="96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P31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4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36560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3" t="s">
        <v>50</v>
      </c>
      <c r="J8" s="143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0</v>
      </c>
      <c r="J9" s="39">
        <v>1.0309999999999999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0°1,031</v>
      </c>
      <c r="P9" s="39" t="s">
        <v>3</v>
      </c>
      <c r="Q9" s="207">
        <f>IF(ISBLANK(I9),"",IF(ISBLANK(J9),"",IF(J9&gt;60,"ERREUR !!",O11*(I9+(J9/60)))))</f>
        <v>1.7183333333333332E-2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9</v>
      </c>
      <c r="J10" s="39">
        <v>55.646999999999998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-9°55,647</v>
      </c>
      <c r="P10" s="39" t="s">
        <v>55</v>
      </c>
      <c r="Q10" s="207">
        <f>IF(ISBLANK(I10),"",IF(ISBLANK(J10),"",IF(J10&gt;60,"ERREUR !!",O12*(I10+(J10/60)))))</f>
        <v>-9.9274500000000003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36560</v>
      </c>
      <c r="K11" s="72"/>
      <c r="L11" s="72"/>
      <c r="M11" s="72"/>
      <c r="N11" s="73" t="str">
        <f>I9&amp;"°"&amp;J9</f>
        <v>0°1,031</v>
      </c>
      <c r="O11" s="74">
        <f>IF(P9=M10,-1,1)</f>
        <v>1</v>
      </c>
      <c r="P11" s="191" t="str">
        <f>TEXT(J11,"aaaa-mm-jj")&amp;"T"&amp;TEXT(J12,"hh:mm:ss")&amp;"z"</f>
        <v>2004-02-05T01:30:00z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6.25E-2</v>
      </c>
      <c r="K12" s="75"/>
      <c r="L12" s="75"/>
      <c r="M12" s="75"/>
      <c r="N12" s="76" t="str">
        <f>I10&amp;"°"&amp;J10</f>
        <v>9°55,647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2"/>
      <c r="F30" s="142"/>
      <c r="G30" s="142"/>
      <c r="H30" s="142"/>
      <c r="I30" s="142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41"/>
      <c r="L33" s="141"/>
      <c r="M33" s="141"/>
      <c r="N33" s="141"/>
      <c r="O33" s="141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34.664900000000003</v>
      </c>
      <c r="H35" s="151">
        <v>1000</v>
      </c>
      <c r="I35" s="155">
        <v>1001</v>
      </c>
      <c r="J35" s="120"/>
      <c r="K35" s="121"/>
      <c r="L35" s="121"/>
      <c r="M35" s="121"/>
      <c r="N35" s="122"/>
      <c r="O35" s="121"/>
      <c r="P35" s="165">
        <v>3.6949999999999998</v>
      </c>
      <c r="Q35" s="120"/>
      <c r="R35" s="120"/>
      <c r="S35" s="166">
        <v>160.69999999999999</v>
      </c>
      <c r="T35" s="159">
        <v>0.05</v>
      </c>
      <c r="U35" s="159">
        <v>0.05</v>
      </c>
      <c r="V35" s="159"/>
      <c r="W35" s="159"/>
      <c r="X35" s="160">
        <v>24.6</v>
      </c>
      <c r="Y35" s="160">
        <v>24</v>
      </c>
      <c r="Z35" s="159">
        <v>1.59</v>
      </c>
      <c r="AA35" s="159">
        <v>1.56</v>
      </c>
      <c r="AB35" s="160">
        <v>19.899999999999999</v>
      </c>
      <c r="AC35" s="160">
        <v>19.5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34.521999999999998</v>
      </c>
      <c r="H36" s="151">
        <v>800</v>
      </c>
      <c r="I36" s="155">
        <v>800</v>
      </c>
      <c r="J36" s="99"/>
      <c r="K36" s="55"/>
      <c r="L36" s="55"/>
      <c r="M36" s="55"/>
      <c r="N36" s="56"/>
      <c r="O36" s="55"/>
      <c r="P36" s="165">
        <v>3.4020000000000001</v>
      </c>
      <c r="Q36" s="99"/>
      <c r="R36" s="99"/>
      <c r="S36" s="166">
        <v>147.9</v>
      </c>
      <c r="T36" s="159">
        <v>0</v>
      </c>
      <c r="U36" s="159">
        <v>0</v>
      </c>
      <c r="V36" s="159"/>
      <c r="W36" s="159"/>
      <c r="X36" s="160">
        <v>29.5</v>
      </c>
      <c r="Y36" s="160">
        <v>28.8</v>
      </c>
      <c r="Z36" s="159">
        <v>1.66</v>
      </c>
      <c r="AA36" s="159">
        <v>1.62</v>
      </c>
      <c r="AB36" s="160">
        <v>18.899999999999999</v>
      </c>
      <c r="AC36" s="160">
        <v>18.5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5.6" x14ac:dyDescent="0.3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34.607999999999997</v>
      </c>
      <c r="H37" s="151">
        <v>500</v>
      </c>
      <c r="I37" s="155">
        <v>500</v>
      </c>
      <c r="J37" s="99"/>
      <c r="K37" s="55"/>
      <c r="L37" s="55"/>
      <c r="M37" s="55"/>
      <c r="N37" s="56"/>
      <c r="O37" s="55"/>
      <c r="P37" s="165">
        <v>2.996</v>
      </c>
      <c r="Q37" s="99"/>
      <c r="R37" s="99"/>
      <c r="S37" s="166">
        <v>130.30000000000001</v>
      </c>
      <c r="T37" s="159">
        <v>0</v>
      </c>
      <c r="U37" s="159">
        <v>0</v>
      </c>
      <c r="V37" s="159"/>
      <c r="W37" s="159"/>
      <c r="X37" s="160">
        <v>35.200000000000003</v>
      </c>
      <c r="Y37" s="160">
        <v>34.4</v>
      </c>
      <c r="Z37" s="159">
        <v>2.04</v>
      </c>
      <c r="AA37" s="159">
        <v>1.99</v>
      </c>
      <c r="AB37" s="160">
        <v>16.399999999999999</v>
      </c>
      <c r="AC37" s="160">
        <v>16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6.2" thickBot="1" x14ac:dyDescent="0.35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34.6083</v>
      </c>
      <c r="H38" s="151">
        <v>500</v>
      </c>
      <c r="I38" s="155">
        <v>501</v>
      </c>
      <c r="J38" s="99"/>
      <c r="K38" s="55"/>
      <c r="L38" s="55"/>
      <c r="M38" s="55"/>
      <c r="N38" s="56"/>
      <c r="O38" s="55"/>
      <c r="P38" s="165">
        <v>2.9950000000000001</v>
      </c>
      <c r="Q38" s="99"/>
      <c r="R38" s="99"/>
      <c r="S38" s="166">
        <v>130.19999999999999</v>
      </c>
      <c r="T38" s="159">
        <v>0.04</v>
      </c>
      <c r="U38" s="159">
        <v>0.04</v>
      </c>
      <c r="V38" s="159"/>
      <c r="W38" s="159"/>
      <c r="X38" s="160">
        <v>24.3</v>
      </c>
      <c r="Y38" s="160">
        <v>23.7</v>
      </c>
      <c r="Z38" s="159">
        <v>1.51</v>
      </c>
      <c r="AA38" s="159">
        <v>1.47</v>
      </c>
      <c r="AB38" s="160">
        <v>10.199999999999999</v>
      </c>
      <c r="AC38" s="160">
        <v>10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26"/>
    </row>
    <row r="39" spans="1:54" ht="15.6" x14ac:dyDescent="0.3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34.982900000000001</v>
      </c>
      <c r="H39" s="151">
        <v>300</v>
      </c>
      <c r="I39" s="155">
        <v>300</v>
      </c>
      <c r="J39" s="99"/>
      <c r="K39" s="55"/>
      <c r="L39" s="55"/>
      <c r="M39" s="55"/>
      <c r="N39" s="56"/>
      <c r="O39" s="55"/>
      <c r="P39" s="165">
        <v>1.9410000000000001</v>
      </c>
      <c r="Q39" s="99"/>
      <c r="R39" s="99"/>
      <c r="S39" s="166">
        <v>84.4</v>
      </c>
      <c r="T39" s="159">
        <v>0.12</v>
      </c>
      <c r="U39" s="159">
        <v>0.11</v>
      </c>
      <c r="V39" s="159"/>
      <c r="W39" s="159"/>
      <c r="X39" s="160">
        <v>23.3</v>
      </c>
      <c r="Y39" s="160">
        <v>22.8</v>
      </c>
      <c r="Z39" s="159">
        <v>1.25</v>
      </c>
      <c r="AA39" s="159">
        <v>1.22</v>
      </c>
      <c r="AB39" s="160">
        <v>7.7</v>
      </c>
      <c r="AC39" s="160">
        <v>7.5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4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34.643599999999999</v>
      </c>
      <c r="H40" s="151">
        <v>100</v>
      </c>
      <c r="I40" s="155">
        <v>97</v>
      </c>
      <c r="J40" s="99"/>
      <c r="K40" s="55"/>
      <c r="L40" s="55"/>
      <c r="M40" s="55"/>
      <c r="N40" s="56"/>
      <c r="O40" s="55"/>
      <c r="P40" s="165">
        <v>3.3650000000000002</v>
      </c>
      <c r="Q40" s="99"/>
      <c r="R40" s="99"/>
      <c r="S40" s="166">
        <v>146.6</v>
      </c>
      <c r="T40" s="159">
        <v>0.16</v>
      </c>
      <c r="U40" s="159">
        <v>0.16</v>
      </c>
      <c r="V40" s="159"/>
      <c r="W40" s="159"/>
      <c r="X40" s="160">
        <v>9.3000000000000007</v>
      </c>
      <c r="Y40" s="160">
        <v>9.1</v>
      </c>
      <c r="Z40" s="159">
        <v>0.61</v>
      </c>
      <c r="AA40" s="159">
        <v>0.59</v>
      </c>
      <c r="AB40" s="160">
        <v>1.8</v>
      </c>
      <c r="AC40" s="160">
        <v>1.8</v>
      </c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126"/>
    </row>
    <row r="41" spans="1:54" ht="16.2" thickBot="1" x14ac:dyDescent="0.35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35.768599999999999</v>
      </c>
      <c r="H41" s="151">
        <v>80</v>
      </c>
      <c r="I41" s="155">
        <v>80</v>
      </c>
      <c r="J41" s="99"/>
      <c r="K41" s="55"/>
      <c r="L41" s="55"/>
      <c r="M41" s="55"/>
      <c r="N41" s="56"/>
      <c r="O41" s="55"/>
      <c r="P41" s="165">
        <v>3.403</v>
      </c>
      <c r="Q41" s="99"/>
      <c r="R41" s="99"/>
      <c r="S41" s="166">
        <v>148.1</v>
      </c>
      <c r="T41" s="159">
        <v>0.03</v>
      </c>
      <c r="U41" s="159">
        <v>0.03</v>
      </c>
      <c r="V41" s="159"/>
      <c r="W41" s="159"/>
      <c r="X41" s="160">
        <v>1.1000000000000001</v>
      </c>
      <c r="Y41" s="160">
        <v>1.1000000000000001</v>
      </c>
      <c r="Z41" s="159">
        <v>0.23</v>
      </c>
      <c r="AA41" s="159">
        <v>0.22</v>
      </c>
      <c r="AB41" s="160">
        <v>0.2</v>
      </c>
      <c r="AC41" s="160">
        <v>0.2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126"/>
    </row>
    <row r="42" spans="1:54" ht="15.6" x14ac:dyDescent="0.3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36.159100000000002</v>
      </c>
      <c r="H42" s="151">
        <v>60</v>
      </c>
      <c r="I42" s="155">
        <v>59</v>
      </c>
      <c r="J42" s="99"/>
      <c r="K42" s="55"/>
      <c r="L42" s="55"/>
      <c r="M42" s="55"/>
      <c r="N42" s="56"/>
      <c r="O42" s="55"/>
      <c r="P42" s="165">
        <v>4.1449999999999996</v>
      </c>
      <c r="Q42" s="99"/>
      <c r="R42" s="99"/>
      <c r="S42" s="166">
        <v>180.5</v>
      </c>
      <c r="T42" s="159">
        <v>0</v>
      </c>
      <c r="U42" s="159">
        <v>0</v>
      </c>
      <c r="V42" s="159"/>
      <c r="W42" s="159"/>
      <c r="X42" s="160">
        <v>0</v>
      </c>
      <c r="Y42" s="160">
        <v>0</v>
      </c>
      <c r="Z42" s="159">
        <v>0.16</v>
      </c>
      <c r="AA42" s="159">
        <v>0.16</v>
      </c>
      <c r="AB42" s="160">
        <v>0.1</v>
      </c>
      <c r="AC42" s="160">
        <v>0.1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4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36.106999999999999</v>
      </c>
      <c r="H43" s="151">
        <v>40</v>
      </c>
      <c r="I43" s="155">
        <v>40</v>
      </c>
      <c r="J43" s="99"/>
      <c r="K43" s="55"/>
      <c r="L43" s="55"/>
      <c r="M43" s="55"/>
      <c r="N43" s="56"/>
      <c r="O43" s="55"/>
      <c r="P43" s="165">
        <v>4.5110000000000001</v>
      </c>
      <c r="Q43" s="99"/>
      <c r="R43" s="99"/>
      <c r="S43" s="166">
        <v>196.7</v>
      </c>
      <c r="T43" s="159">
        <v>0.01</v>
      </c>
      <c r="U43" s="159">
        <v>0.01</v>
      </c>
      <c r="V43" s="159"/>
      <c r="W43" s="159"/>
      <c r="X43" s="160">
        <v>0</v>
      </c>
      <c r="Y43" s="160">
        <v>0</v>
      </c>
      <c r="Z43" s="159">
        <v>0.12</v>
      </c>
      <c r="AA43" s="159">
        <v>0.12</v>
      </c>
      <c r="AB43" s="160">
        <v>0</v>
      </c>
      <c r="AC43" s="160">
        <v>0</v>
      </c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126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35.686</v>
      </c>
      <c r="H44" s="156">
        <v>20</v>
      </c>
      <c r="I44" s="155">
        <v>20</v>
      </c>
      <c r="J44" s="99"/>
      <c r="K44" s="55"/>
      <c r="L44" s="55"/>
      <c r="M44" s="55"/>
      <c r="N44" s="56"/>
      <c r="O44" s="55"/>
      <c r="P44" s="165">
        <v>4.5819999999999999</v>
      </c>
      <c r="Q44" s="99"/>
      <c r="R44" s="99"/>
      <c r="S44" s="166">
        <v>200</v>
      </c>
      <c r="T44" s="159">
        <v>0</v>
      </c>
      <c r="U44" s="159">
        <v>0</v>
      </c>
      <c r="V44" s="159"/>
      <c r="W44" s="159"/>
      <c r="X44" s="160">
        <v>0</v>
      </c>
      <c r="Y44" s="160">
        <v>0</v>
      </c>
      <c r="Z44" s="159">
        <v>0.22</v>
      </c>
      <c r="AA44" s="159">
        <v>0.21</v>
      </c>
      <c r="AB44" s="160">
        <v>0.4</v>
      </c>
      <c r="AC44" s="160">
        <v>0.4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35.521000000000001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165">
        <v>4.5960000000000001</v>
      </c>
      <c r="Q45" s="99"/>
      <c r="R45" s="99"/>
      <c r="S45" s="166">
        <v>200.6</v>
      </c>
      <c r="T45" s="159">
        <v>0.01</v>
      </c>
      <c r="U45" s="159">
        <v>0.01</v>
      </c>
      <c r="V45" s="159"/>
      <c r="W45" s="159"/>
      <c r="X45" s="160">
        <v>0</v>
      </c>
      <c r="Y45" s="160">
        <v>0</v>
      </c>
      <c r="Z45" s="159">
        <v>0.22</v>
      </c>
      <c r="AA45" s="159">
        <v>0.21</v>
      </c>
      <c r="AB45" s="160">
        <v>0.3</v>
      </c>
      <c r="AC45" s="160">
        <v>0.3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35.492100000000001</v>
      </c>
      <c r="H46" s="156">
        <v>0</v>
      </c>
      <c r="I46" s="155">
        <v>1</v>
      </c>
      <c r="J46" s="99" t="str">
        <f>IF(ISBLANK(D46),"",IF(VLOOKUP(D46,#REF!,2)=0,"",IF(D46&gt;#REF!,"Mauvais numéro",IF(D46&lt;#REF!,"Mauvais numéro",(VLOOKUP(D46,#REF!,3))))))</f>
        <v/>
      </c>
      <c r="K46" s="91" t="str">
        <f t="shared" ref="K46:K57" si="1">IF(ISBLANK(E46),"",(0.000824493-(0.0000040899*E46)+(0.000000076438*E46^2)-(0.00000000082467*E46^3)+(0.0000000000053875*E46^4)))</f>
        <v/>
      </c>
      <c r="L46" s="91" t="str">
        <f t="shared" ref="L46:L57" si="2">IF(ISBLANK(E46),"",(-0.00000572466+(0.00000010227*E46)-(0.0000000016546*E46^2)))</f>
        <v/>
      </c>
      <c r="M46" s="91" t="str">
        <f t="shared" ref="M46:M58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:O58" si="5">IF(ISBLANK(E46),"",(0.999842594+(0.00006793952*E46)-(0.00000909529*E46^2)+(0.0000001001685*E46^3)-(0.000000001120083*E46^4)+(0.000000000006536332*E46^5)))</f>
        <v/>
      </c>
      <c r="P46" s="165">
        <v>4.6150000000000002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99"/>
      <c r="S46" s="166">
        <v>201.5</v>
      </c>
      <c r="T46" s="159">
        <v>0.08</v>
      </c>
      <c r="U46" s="159">
        <v>0.08</v>
      </c>
      <c r="V46" s="159"/>
      <c r="W46" s="159"/>
      <c r="X46" s="160">
        <v>0</v>
      </c>
      <c r="Y46" s="160">
        <v>0</v>
      </c>
      <c r="Z46" s="159">
        <v>0.26</v>
      </c>
      <c r="AA46" s="159">
        <v>0.26</v>
      </c>
      <c r="AB46" s="160">
        <v>0.3</v>
      </c>
      <c r="AC46" s="160">
        <v>0.3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>IF(ISBLANK(D47),"",IF(ISBLANK(G47),#REF!*(1+0.00001*(35-20)),#REF!*(1+0.00001*(G47-20))))</f>
        <v/>
      </c>
      <c r="O47" s="55" t="str">
        <f t="shared" si="5"/>
        <v/>
      </c>
      <c r="P47" s="96"/>
      <c r="Q47" s="100" t="str">
        <f t="shared" ref="Q47:Q58" si="6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99"/>
      <c r="S47" s="9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>IF(ISBLANK(D48),"",IF(ISBLANK(G48),#REF!*(1+0.00001*(35-20)),#REF!*(1+0.00001*(G48-20))))</f>
        <v/>
      </c>
      <c r="O48" s="55" t="str">
        <f t="shared" si="5"/>
        <v/>
      </c>
      <c r="P48" s="96"/>
      <c r="Q48" s="100" t="str">
        <f t="shared" si="6"/>
        <v/>
      </c>
      <c r="R48" s="99"/>
      <c r="S48" s="9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>IF(ISBLANK(D49),"",IF(ISBLANK(G49),#REF!*(1+0.00001*(35-20)),#REF!*(1+0.00001*(G49-20))))</f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0" t="str">
        <f t="shared" si="6"/>
        <v/>
      </c>
      <c r="R49" s="99"/>
      <c r="S49" s="58" t="str">
        <f>IF(ISBLANK($R$16),"",IF(A49=0,"",IF(ISBLANK($R$17),"",IF(B49=0,"",IF(ISBLANK(#REF!),"",IF(AND(D49&gt;1202,D49&lt;2001),"Err.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>IF(ISBLANK(D50),"",IF(ISBLANK(G50),#REF!*(1+0.00001*(35-20)),#REF!*(1+0.00001*(G50-20))))</f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0" t="str">
        <f t="shared" si="6"/>
        <v/>
      </c>
      <c r="R50" s="99"/>
      <c r="S50" s="58" t="str">
        <f>IF(ISBLANK($R$16),"",IF(A50=0,"",IF(ISBLANK($R$17),"",IF(B50=0,"",IF(ISBLANK(#REF!),"",IF(AND(D50&gt;1202,D50&lt;2001),"Err. N°",IF(AND(D50&gt;499,D50&lt;1141),"Err.N°",IF($I$29=$O$28,"",IF(AND($I$29=$O$29,D50&lt;1000),"N° Flac.",IF(AND($I$29=$O$30,D50&gt;1000),"N° Flac.",((44.66*P50)/M50)))))))))))</f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>IF(ISBLANK(D51),"",IF(ISBLANK(G51),#REF!*(1+0.00001*(35-20)),#REF!*(1+0.00001*(G51-20))))</f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0" t="str">
        <f t="shared" si="6"/>
        <v/>
      </c>
      <c r="R51" s="99"/>
      <c r="S51" s="58" t="str">
        <f>IF(ISBLANK($R$16),"",IF(A51=0,"",IF(ISBLANK($R$17),"",IF(B51=0,"",IF(ISBLANK(#REF!),"",IF(AND(D51&gt;1202,D51&lt;2001),"Err. N°",IF(AND(D51&gt;499,D51&lt;1141),"Err.N°",IF($I$29=$O$28,"",IF(AND($I$29=$O$29,D51&lt;1000),"N° Flac.",IF(AND($I$29=$O$30,D51&gt;1000),"N° Flac.",((44.66*P51)/M51)))))))))))</f>
        <v/>
      </c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>IF(ISBLANK(D52),"",IF(ISBLANK(G52),#REF!*(1+0.00001*(35-20)),#REF!*(1+0.00001*(G52-20))))</f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0" t="str">
        <f t="shared" si="6"/>
        <v/>
      </c>
      <c r="R52" s="99"/>
      <c r="S52" s="58" t="str">
        <f>IF(ISBLANK($R$16),"",IF(A52=0,"",IF(ISBLANK($R$17),"",IF(B52=0,"",IF(ISBLANK(#REF!),"",IF(AND(D52&gt;1202,D52&lt;2001),"Err. N°",IF(AND(D52&gt;499,D52&lt;1141),"Err.N°",IF($I$29=$O$28,"",IF(AND($I$29=$O$29,D52&lt;1000),"N° Flac.",IF(AND($I$29=$O$30,D52&gt;1000),"N° Flac.",((44.66*P52)/M52)))))))))))</f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>IF(ISBLANK(D53),"",IF(ISBLANK(G53),#REF!*(1+0.00001*(35-20)),#REF!*(1+0.00001*(G53-20))))</f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0" t="str">
        <f t="shared" si="6"/>
        <v/>
      </c>
      <c r="R53" s="99"/>
      <c r="S53" s="58" t="str">
        <f>IF(ISBLANK($R$16),"",IF(A53=0,"",IF(ISBLANK($R$17),"",IF(B53=0,"",IF(ISBLANK(#REF!),"",IF(AND(D53&gt;1202,D53&lt;2001),"Err. N°",IF(AND(D53&gt;499,D53&lt;1141),"Err.N°",IF($I$29=$O$28,"",IF(AND($I$29=$O$29,D53&lt;1000),"N° Flac.",IF(AND($I$29=$O$30,D53&gt;1000),"N° Flac.",((44.66*P53)/M53)))))))))))</f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>IF(ISBLANK(D54),"",IF(ISBLANK(G54),#REF!*(1+0.00001*(35-20)),#REF!*(1+0.00001*(G54-20))))</f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0" t="str">
        <f t="shared" si="6"/>
        <v/>
      </c>
      <c r="R54" s="99"/>
      <c r="S54" s="58" t="str">
        <f>IF(ISBLANK($R$16),"",IF(A54=0,"",IF(ISBLANK($R$17),"",IF(B54=0,"",IF(ISBLANK(#REF!),"",IF(AND(D54&gt;1202,D54&lt;2001),"Err. N°",IF(AND(D54&gt;499,D54&lt;1141),"Err.N°",IF($I$29=$O$28,"",IF(AND($I$29=$O$29,D54&lt;1000),"N° Flac.",IF(AND($I$29=$O$30,D54&gt;1000),"N° Flac.",((44.66*P54)/M54)))))))))))</f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>IF(ISBLANK(D55),"",IF(ISBLANK(G55),#REF!*(1+0.00001*(35-20)),#REF!*(1+0.00001*(G55-20))))</f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0" t="str">
        <f t="shared" si="6"/>
        <v/>
      </c>
      <c r="R55" s="99"/>
      <c r="S55" s="58" t="str">
        <f>IF(ISBLANK($R$16),"",IF(A55=0,"",IF(ISBLANK($R$17),"",IF(B55=0,"",IF(ISBLANK(#REF!),"",IF(AND(D55&gt;1202,D55&lt;2001),"Err. N°",IF(AND(D55&gt;499,D55&lt;1141),"Err.N°",IF($I$29=$O$28,"",IF(AND($I$29=$O$29,D55&lt;1000),"N° Flac.",IF(AND($I$29=$O$30,D55&gt;1000),"N° Flac.",((44.66*P55)/M55)))))))))))</f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>IF(ISBLANK(D56),"",IF(ISBLANK(G56),#REF!*(1+0.00001*(35-20)),#REF!*(1+0.00001*(G56-20))))</f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0" t="str">
        <f t="shared" si="6"/>
        <v/>
      </c>
      <c r="R56" s="99"/>
      <c r="S56" s="58" t="str">
        <f>IF(ISBLANK($R$16),"",IF(A56=0,"",IF(ISBLANK($R$17),"",IF(B56=0,"",IF(ISBLANK(#REF!),"",IF(AND(D56&gt;1202,D56&lt;2001),"Err. N°",IF(AND(D56&gt;499,D56&lt;1141),"Err.N°",IF($I$29=$O$28,"",IF(AND($I$29=$O$29,D56&lt;1000),"N° Flac.",IF(AND($I$29=$O$30,D56&gt;1000),"N° Flac.",((44.66*P56)/M56)))))))))))</f>
        <v/>
      </c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>IF(ISBLANK(D57),"",IF(ISBLANK(G57),#REF!*(1+0.00001*(35-20)),#REF!*(1+0.00001*(G57-20))))</f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0" t="str">
        <f t="shared" si="6"/>
        <v/>
      </c>
      <c r="R57" s="99"/>
      <c r="S57" s="58" t="str">
        <f>IF(ISBLANK($R$16),"",IF(A57=0,"",IF(ISBLANK($R$17),"",IF(B57=0,"",IF(ISBLANK(#REF!),"",IF(AND(D57&gt;1202,D57&lt;2001),"Err. N°",IF(AND(D57&gt;499,D57&lt;1141),"Err.N°",IF($I$29=$O$28,"",IF(AND($I$29=$O$29,D57&lt;1000),"N° Flac.",IF(AND($I$29=$O$30,D57&gt;1000),"N° Flac.",((44.66*P57)/M57)))))))))))</f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57" t="str">
        <f>IF(ISBLANK($R$16),"",IF(#REF!=0,"",IF(ISBLANK($R$17),"",IF(#REF!=0,"",IF($O$28=$I$29,"",IF(AND($I$29=$O$29,#REF!&lt;1000),"N° Flac.",IF(AND($I$29=$O$30,#REF!&gt;1000),"N° Flac.",IF(AND(#REF!&gt;1202,#REF!&lt;2001),"Err. N°",IF(AND(#REF!&gt;499,#REF!&lt;1141),"Err.N°",(((((#REF!)+#REF!)*(($P$21)*($P$19)*5598)/(($R$16)-($R$17)))-(($P$27)*1000))/((H58)-($P$26))))))))))))</f>
        <v/>
      </c>
      <c r="K58" s="100" t="str">
        <f t="shared" ref="K58" si="7">IF(ISBLANK($R$16),"",IF(#REF!=0,"",IF(ISBLANK($R$17),"",IF(AND(#REF!&gt;1202,#REF!&lt;2001),"Err. N°",IF(AND(#REF!&gt;499,#REF!&lt;1141),"Err.N°",IF(#REF!=0,"",IF($O$28=$I$29,"",IF(AND($I$29=$O$29,#REF!&lt;1000),"N° Flac.",IF(AND($I$29=$O$30,#REF!&gt;1000),"N° Flac.",J58/G58)))))))))</f>
        <v/>
      </c>
      <c r="L58" s="99"/>
      <c r="M58" s="133" t="str">
        <f t="shared" si="3"/>
        <v/>
      </c>
      <c r="N58" s="134" t="str">
        <f>IF(ISBLANK(D58),"",IF(ISBLANK(G58),#REF!*(1+0.00001*(35-20)),#REF!*(1+0.00001*(G58-20))))</f>
        <v/>
      </c>
      <c r="O58" s="133" t="str">
        <f t="shared" si="5"/>
        <v/>
      </c>
      <c r="P58" s="135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36" t="str">
        <f t="shared" si="6"/>
        <v/>
      </c>
      <c r="R58" s="57" t="str">
        <f>IF(ISBLANK($R$16),"",IF(C58=0,"",IF(ISBLANK($R$17),"",IF(D58=0,"",IF($O$28=$I$29,"",IF(AND($I$29=$O$29,F58&lt;1000),"N° Flac.",IF(AND($I$29=$O$30,F58&gt;1000),"N° Flac.",IF(AND(F58&gt;1202,F58&lt;2001),"Err. N°",IF(AND(F58&gt;499,F58&lt;1141),"Err.N°",(((((H58)+#REF!)*(($P$21)*($P$19)*5598)/(($R$16)-($R$17)))-(($P$27)*1000))/((P58)-($P$26))))))))))))</f>
        <v/>
      </c>
      <c r="S58" s="100" t="str">
        <f t="shared" ref="S58" si="8">IF(ISBLANK($R$16),"",IF(C58=0,"",IF(ISBLANK($R$17),"",IF(AND(F58&gt;1202,F58&lt;2001),"Err. N°",IF(AND(F58&gt;499,F58&lt;1141),"Err.N°",IF(D58=0,"",IF($O$28=$I$29,"",IF(AND($I$29=$O$29,F58&lt;1000),"N° Flac.",IF(AND($I$29=$O$30,F58&gt;1000),"N° Flac.",R58/O58)))))))))</f>
        <v/>
      </c>
      <c r="T58" s="99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AT31:AT32"/>
    <mergeCell ref="AI31:AI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O31:AO32"/>
    <mergeCell ref="AP31:AP32"/>
    <mergeCell ref="AQ31:AQ32"/>
    <mergeCell ref="AR31:AR32"/>
    <mergeCell ref="AS31:AS32"/>
    <mergeCell ref="AJ31:AJ32"/>
    <mergeCell ref="AK31:AK32"/>
    <mergeCell ref="AL31:AL32"/>
    <mergeCell ref="AM31:AM32"/>
    <mergeCell ref="AN31:AN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U31:AU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P13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5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36562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3" t="s">
        <v>50</v>
      </c>
      <c r="J8" s="143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1</v>
      </c>
      <c r="J9" s="39">
        <v>4.7E-2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-1°0,047</v>
      </c>
      <c r="P9" s="39" t="s">
        <v>53</v>
      </c>
      <c r="Q9" s="207">
        <f>IF(ISBLANK(I9),"",IF(ISBLANK(J9),"",IF(J9&gt;60,"ERREUR !!",O11*(I9+(J9/60)))))</f>
        <v>-1.0007833333333334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10</v>
      </c>
      <c r="J10" s="39">
        <v>0.56999999999999995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-10°0,57</v>
      </c>
      <c r="P10" s="39" t="s">
        <v>55</v>
      </c>
      <c r="Q10" s="207">
        <f>IF(ISBLANK(I10),"",IF(ISBLANK(J10),"",IF(J10&gt;60,"ERREUR !!",O12*(I10+(J10/60)))))</f>
        <v>-10.009499999999999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36560</v>
      </c>
      <c r="K11" s="72"/>
      <c r="L11" s="72"/>
      <c r="M11" s="72"/>
      <c r="N11" s="73" t="str">
        <f>I9&amp;"°"&amp;J9</f>
        <v>1°0,047</v>
      </c>
      <c r="O11" s="74">
        <f>IF(P9=M10,-1,1)</f>
        <v>-1</v>
      </c>
      <c r="P11" s="191" t="str">
        <f>TEXT(J11,"aaaa-mm-jj")&amp;"T"&amp;TEXT(J12,"hh:mm:ss")&amp;"z"</f>
        <v>2004-02-05T17:30:00z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0.72916666666666663</v>
      </c>
      <c r="K12" s="75"/>
      <c r="L12" s="75"/>
      <c r="M12" s="75"/>
      <c r="N12" s="76" t="str">
        <f>I10&amp;"°"&amp;J10</f>
        <v>10°0,57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2"/>
      <c r="F30" s="142"/>
      <c r="G30" s="142"/>
      <c r="H30" s="142"/>
      <c r="I30" s="142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41"/>
      <c r="L33" s="141"/>
      <c r="M33" s="141"/>
      <c r="N33" s="141"/>
      <c r="O33" s="141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34.644300000000001</v>
      </c>
      <c r="H35" s="151">
        <v>1000</v>
      </c>
      <c r="I35" s="155">
        <v>1001</v>
      </c>
      <c r="J35" s="120"/>
      <c r="K35" s="121"/>
      <c r="L35" s="121"/>
      <c r="M35" s="121"/>
      <c r="N35" s="122"/>
      <c r="O35" s="121"/>
      <c r="P35" s="120">
        <v>3.6549999999999998</v>
      </c>
      <c r="Q35" s="120"/>
      <c r="R35" s="120"/>
      <c r="S35" s="146">
        <v>158.9</v>
      </c>
      <c r="T35" s="159">
        <v>0.37</v>
      </c>
      <c r="U35" s="159">
        <v>0.36</v>
      </c>
      <c r="V35" s="159"/>
      <c r="W35" s="159"/>
      <c r="X35" s="160">
        <v>19.8</v>
      </c>
      <c r="Y35" s="160">
        <v>19.3</v>
      </c>
      <c r="Z35" s="159">
        <v>1.42</v>
      </c>
      <c r="AA35" s="159">
        <v>1.39</v>
      </c>
      <c r="AB35" s="160">
        <v>32.700000000000003</v>
      </c>
      <c r="AC35" s="160">
        <v>32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34.5154</v>
      </c>
      <c r="H36" s="151">
        <v>800</v>
      </c>
      <c r="I36" s="155">
        <v>800</v>
      </c>
      <c r="J36" s="99"/>
      <c r="K36" s="55"/>
      <c r="L36" s="55"/>
      <c r="M36" s="55"/>
      <c r="N36" s="56"/>
      <c r="O36" s="55"/>
      <c r="P36" s="99">
        <v>3.448</v>
      </c>
      <c r="Q36" s="99"/>
      <c r="R36" s="99"/>
      <c r="S36" s="147">
        <v>149.9</v>
      </c>
      <c r="T36" s="159">
        <v>0.33</v>
      </c>
      <c r="U36" s="159">
        <v>0.32</v>
      </c>
      <c r="V36" s="159"/>
      <c r="W36" s="159"/>
      <c r="X36" s="160">
        <v>18.399999999999999</v>
      </c>
      <c r="Y36" s="160">
        <v>18</v>
      </c>
      <c r="Z36" s="159">
        <v>1.25</v>
      </c>
      <c r="AA36" s="159">
        <v>1.22</v>
      </c>
      <c r="AB36" s="160">
        <v>28.4</v>
      </c>
      <c r="AC36" s="160">
        <v>27.8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5.6" x14ac:dyDescent="0.3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34.644399999999997</v>
      </c>
      <c r="H37" s="151">
        <v>500</v>
      </c>
      <c r="I37" s="155">
        <v>500</v>
      </c>
      <c r="J37" s="99"/>
      <c r="K37" s="55"/>
      <c r="L37" s="55"/>
      <c r="M37" s="55"/>
      <c r="N37" s="56"/>
      <c r="O37" s="55"/>
      <c r="P37" s="99">
        <v>2.7509999999999999</v>
      </c>
      <c r="Q37" s="99"/>
      <c r="R37" s="99"/>
      <c r="S37" s="147">
        <v>119.7</v>
      </c>
      <c r="T37" s="159">
        <v>0.34</v>
      </c>
      <c r="U37" s="159">
        <v>0.33</v>
      </c>
      <c r="V37" s="159"/>
      <c r="W37" s="159"/>
      <c r="X37" s="160">
        <v>17.8</v>
      </c>
      <c r="Y37" s="160">
        <v>17.399999999999999</v>
      </c>
      <c r="Z37" s="159">
        <v>1.1399999999999999</v>
      </c>
      <c r="AA37" s="159">
        <v>1.1100000000000001</v>
      </c>
      <c r="AB37" s="160">
        <v>23.4</v>
      </c>
      <c r="AC37" s="160">
        <v>22.8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6.2" thickBot="1" x14ac:dyDescent="0.35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35.001899999999999</v>
      </c>
      <c r="H38" s="151">
        <v>300</v>
      </c>
      <c r="I38" s="155">
        <v>300</v>
      </c>
      <c r="J38" s="99"/>
      <c r="K38" s="55"/>
      <c r="L38" s="55"/>
      <c r="M38" s="55"/>
      <c r="N38" s="56"/>
      <c r="O38" s="55"/>
      <c r="P38" s="99">
        <v>1.637</v>
      </c>
      <c r="Q38" s="99"/>
      <c r="R38" s="99"/>
      <c r="S38" s="147">
        <v>71.2</v>
      </c>
      <c r="T38" s="159">
        <v>0</v>
      </c>
      <c r="U38" s="159">
        <v>0</v>
      </c>
      <c r="V38" s="159"/>
      <c r="W38" s="159"/>
      <c r="X38" s="160">
        <v>19.399999999999999</v>
      </c>
      <c r="Y38" s="160">
        <v>19</v>
      </c>
      <c r="Z38" s="159">
        <v>1.1299999999999999</v>
      </c>
      <c r="AA38" s="159">
        <v>1.1000000000000001</v>
      </c>
      <c r="AB38" s="160">
        <v>14.4</v>
      </c>
      <c r="AC38" s="160">
        <v>14.1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26"/>
    </row>
    <row r="39" spans="1:54" ht="15.6" x14ac:dyDescent="0.3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35.006700000000002</v>
      </c>
      <c r="H39" s="151">
        <v>300</v>
      </c>
      <c r="I39" s="155">
        <v>300</v>
      </c>
      <c r="J39" s="99"/>
      <c r="K39" s="55"/>
      <c r="L39" s="55"/>
      <c r="M39" s="55"/>
      <c r="N39" s="56"/>
      <c r="O39" s="55"/>
      <c r="P39" s="99">
        <v>1.625</v>
      </c>
      <c r="Q39" s="99"/>
      <c r="R39" s="99"/>
      <c r="S39" s="147">
        <v>70.7</v>
      </c>
      <c r="T39" s="159">
        <v>0</v>
      </c>
      <c r="U39" s="159">
        <v>0</v>
      </c>
      <c r="V39" s="159"/>
      <c r="W39" s="159"/>
      <c r="X39" s="160">
        <v>27.8</v>
      </c>
      <c r="Y39" s="160">
        <v>27.1</v>
      </c>
      <c r="Z39" s="159">
        <v>1.55</v>
      </c>
      <c r="AA39" s="159">
        <v>1.51</v>
      </c>
      <c r="AB39" s="160">
        <v>21.8</v>
      </c>
      <c r="AC39" s="160">
        <v>21.3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4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35.5824</v>
      </c>
      <c r="H40" s="151">
        <v>100</v>
      </c>
      <c r="I40" s="155">
        <v>100</v>
      </c>
      <c r="J40" s="99"/>
      <c r="K40" s="55"/>
      <c r="L40" s="55"/>
      <c r="M40" s="55"/>
      <c r="N40" s="56"/>
      <c r="O40" s="55"/>
      <c r="P40" s="99">
        <v>2.7450000000000001</v>
      </c>
      <c r="Q40" s="99"/>
      <c r="R40" s="99"/>
      <c r="S40" s="147">
        <v>119.5</v>
      </c>
      <c r="T40" s="159">
        <v>0</v>
      </c>
      <c r="U40" s="159">
        <v>0</v>
      </c>
      <c r="V40" s="159"/>
      <c r="W40" s="159"/>
      <c r="X40" s="160">
        <v>34.1</v>
      </c>
      <c r="Y40" s="160">
        <v>33.299999999999997</v>
      </c>
      <c r="Z40" s="159">
        <v>2.1</v>
      </c>
      <c r="AA40" s="159">
        <v>2.0499999999999998</v>
      </c>
      <c r="AB40" s="160">
        <v>26.6</v>
      </c>
      <c r="AC40" s="160">
        <v>26</v>
      </c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126"/>
    </row>
    <row r="41" spans="1:54" ht="16.2" thickBot="1" x14ac:dyDescent="0.35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35.811599999999999</v>
      </c>
      <c r="H41" s="151">
        <v>80</v>
      </c>
      <c r="I41" s="155">
        <v>79</v>
      </c>
      <c r="J41" s="99"/>
      <c r="K41" s="55"/>
      <c r="L41" s="55"/>
      <c r="M41" s="55"/>
      <c r="N41" s="56"/>
      <c r="O41" s="55"/>
      <c r="P41" s="99">
        <v>2.9780000000000002</v>
      </c>
      <c r="Q41" s="99"/>
      <c r="R41" s="99"/>
      <c r="S41" s="147">
        <v>129.69999999999999</v>
      </c>
      <c r="T41" s="159">
        <v>0.03</v>
      </c>
      <c r="U41" s="159">
        <v>0.02</v>
      </c>
      <c r="V41" s="159"/>
      <c r="W41" s="159"/>
      <c r="X41" s="160">
        <v>31.6</v>
      </c>
      <c r="Y41" s="160">
        <v>30.8</v>
      </c>
      <c r="Z41" s="159">
        <v>1.68</v>
      </c>
      <c r="AA41" s="159">
        <v>1.64</v>
      </c>
      <c r="AB41" s="160">
        <v>14.7</v>
      </c>
      <c r="AC41" s="160">
        <v>14.4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126"/>
    </row>
    <row r="42" spans="1:54" ht="15.6" x14ac:dyDescent="0.3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36.245199999999997</v>
      </c>
      <c r="H42" s="151">
        <v>60</v>
      </c>
      <c r="I42" s="155">
        <v>58</v>
      </c>
      <c r="J42" s="99"/>
      <c r="K42" s="55"/>
      <c r="L42" s="55"/>
      <c r="M42" s="55"/>
      <c r="N42" s="56"/>
      <c r="O42" s="55"/>
      <c r="P42" s="99">
        <v>3.9550000000000001</v>
      </c>
      <c r="Q42" s="99"/>
      <c r="R42" s="99"/>
      <c r="S42" s="147">
        <v>172.3</v>
      </c>
      <c r="T42" s="159">
        <v>0.01</v>
      </c>
      <c r="U42" s="159">
        <v>0.01</v>
      </c>
      <c r="V42" s="159"/>
      <c r="W42" s="159"/>
      <c r="X42" s="160">
        <v>29.5</v>
      </c>
      <c r="Y42" s="160">
        <v>28.9</v>
      </c>
      <c r="Z42" s="159">
        <v>1.48</v>
      </c>
      <c r="AA42" s="159">
        <v>1.45</v>
      </c>
      <c r="AB42" s="160">
        <v>9.8000000000000007</v>
      </c>
      <c r="AC42" s="160">
        <v>9.6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4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35.937600000000003</v>
      </c>
      <c r="H43" s="151">
        <v>40</v>
      </c>
      <c r="I43" s="155">
        <v>41</v>
      </c>
      <c r="J43" s="99"/>
      <c r="K43" s="55"/>
      <c r="L43" s="55"/>
      <c r="M43" s="55"/>
      <c r="N43" s="56"/>
      <c r="O43" s="55"/>
      <c r="P43" s="99">
        <v>4.524</v>
      </c>
      <c r="Q43" s="99"/>
      <c r="R43" s="99"/>
      <c r="S43" s="147">
        <v>197.4</v>
      </c>
      <c r="T43" s="159">
        <v>0.02</v>
      </c>
      <c r="U43" s="159">
        <v>0.02</v>
      </c>
      <c r="V43" s="159"/>
      <c r="W43" s="159"/>
      <c r="X43" s="160">
        <v>14.1</v>
      </c>
      <c r="Y43" s="160">
        <v>13.7</v>
      </c>
      <c r="Z43" s="159">
        <v>0.82</v>
      </c>
      <c r="AA43" s="159">
        <v>0.8</v>
      </c>
      <c r="AB43" s="160">
        <v>4.2</v>
      </c>
      <c r="AC43" s="160">
        <v>4.0999999999999996</v>
      </c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126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35.597999999999999</v>
      </c>
      <c r="H44" s="156">
        <v>20</v>
      </c>
      <c r="I44" s="155">
        <v>20</v>
      </c>
      <c r="J44" s="99"/>
      <c r="K44" s="55"/>
      <c r="L44" s="55"/>
      <c r="M44" s="55"/>
      <c r="N44" s="56"/>
      <c r="O44" s="55"/>
      <c r="P44" s="99">
        <v>4.6280000000000001</v>
      </c>
      <c r="Q44" s="99"/>
      <c r="R44" s="99"/>
      <c r="S44" s="162">
        <v>202.1</v>
      </c>
      <c r="T44" s="159">
        <v>0.15</v>
      </c>
      <c r="U44" s="159">
        <v>0.15</v>
      </c>
      <c r="V44" s="159"/>
      <c r="W44" s="159"/>
      <c r="X44" s="160">
        <v>2.7</v>
      </c>
      <c r="Y44" s="160">
        <v>2.7</v>
      </c>
      <c r="Z44" s="159">
        <v>0.33</v>
      </c>
      <c r="AA44" s="159">
        <v>0.32</v>
      </c>
      <c r="AB44" s="160">
        <v>0.9</v>
      </c>
      <c r="AC44" s="160">
        <v>0.9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35.551600000000001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4.6150000000000002</v>
      </c>
      <c r="Q45" s="99"/>
      <c r="R45" s="99"/>
      <c r="S45" s="162">
        <v>201.5</v>
      </c>
      <c r="T45" s="159">
        <v>0.23</v>
      </c>
      <c r="U45" s="159">
        <v>0.23</v>
      </c>
      <c r="V45" s="159"/>
      <c r="W45" s="159"/>
      <c r="X45" s="160">
        <v>0</v>
      </c>
      <c r="Y45" s="160">
        <v>0</v>
      </c>
      <c r="Z45" s="159">
        <v>0.15</v>
      </c>
      <c r="AA45" s="159">
        <v>0.15</v>
      </c>
      <c r="AB45" s="160">
        <v>0.5</v>
      </c>
      <c r="AC45" s="160">
        <v>0.5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35.544400000000003</v>
      </c>
      <c r="H46" s="156">
        <v>0</v>
      </c>
      <c r="I46" s="155">
        <v>0</v>
      </c>
      <c r="J46" s="99" t="str">
        <f>IF(ISBLANK(D46),"",IF(VLOOKUP(D46,#REF!,2)=0,"",IF(D46&gt;#REF!,"Mauvais numéro",IF(D46&lt;#REF!,"Mauvais numéro",(VLOOKUP(D46,#REF!,3))))))</f>
        <v/>
      </c>
      <c r="K46" s="91" t="str">
        <f t="shared" ref="K46:K57" si="1">IF(ISBLANK(E46),"",(0.000824493-(0.0000040899*E46)+(0.000000076438*E46^2)-(0.00000000082467*E46^3)+(0.0000000000053875*E46^4)))</f>
        <v/>
      </c>
      <c r="L46" s="91" t="str">
        <f t="shared" ref="L46:L58" si="2">IF(ISBLANK(E46),"",(-0.00000572466+(0.00000010227*E46)-(0.0000000016546*E46^2)))</f>
        <v/>
      </c>
      <c r="M46" s="91" t="str">
        <f t="shared" ref="M46:M58" si="3">IF(ISBLANK(E46),"",IF(ISBLANK(G46),(O46+(K46*35)+(L46*35^1.5)+(0.00000048314*35^2)),(O46+(K46*G46)+(L46*G46^1.5)+(0.00000048314*G46^2))))</f>
        <v/>
      </c>
      <c r="N46" s="92" t="str">
        <f t="shared" ref="N46:N58" si="4">IF(ISBLANK(D46),"",IF(ISBLANK(G46),J46*(1+0.00001*(35-20)),J46*(1+0.00001*(G46-20))))</f>
        <v/>
      </c>
      <c r="O46" s="91" t="str">
        <f t="shared" ref="O46:O58" si="5">IF(ISBLANK(E46),"",(0.999842594+(0.00006793952*E46)-(0.00000909529*E46^2)+(0.0000001001685*E46^3)-(0.000000001120083*E46^4)+(0.000000000006536332*E46^5)))</f>
        <v/>
      </c>
      <c r="P46" s="152">
        <v>4.5999999999999996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201</v>
      </c>
      <c r="T46" s="159">
        <v>0</v>
      </c>
      <c r="U46" s="159">
        <v>0</v>
      </c>
      <c r="V46" s="159"/>
      <c r="W46" s="159"/>
      <c r="X46" s="160">
        <v>0</v>
      </c>
      <c r="Y46" s="160">
        <v>0</v>
      </c>
      <c r="Z46" s="159">
        <v>0.25</v>
      </c>
      <c r="AA46" s="159">
        <v>0.24</v>
      </c>
      <c r="AB46" s="160">
        <v>0.3</v>
      </c>
      <c r="AC46" s="160">
        <v>0.3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6"/>
      <c r="Q47" s="100" t="str">
        <f t="shared" ref="Q47:Q58" si="6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58" t="str">
        <f t="shared" ref="R47:R58" si="7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9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6"/>
      <c r="Q48" s="100" t="str">
        <f t="shared" si="6"/>
        <v/>
      </c>
      <c r="R48" s="58" t="str">
        <f t="shared" si="7"/>
        <v/>
      </c>
      <c r="S48" s="9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0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0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0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0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0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0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0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0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0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132" t="str">
        <f>IF(ISBLANK(D58),"",IF(VLOOKUP(D58,#REF!,2)=0,"",IF(D58&gt;#REF!,"Mauvais numéro",IF(D58&lt;#REF!,"Mauvais numéro",(VLOOKUP(D58,#REF!,3))))))</f>
        <v/>
      </c>
      <c r="K58" s="133" t="str">
        <f>IF(ISBLANK(E58),"",(0.000824493-(0.0000040899*E58)+(0.000000076438*E58^2)-(0.00000000082467*E58^3)+(0.0000000000053875*E58^4)))</f>
        <v/>
      </c>
      <c r="L58" s="133" t="str">
        <f t="shared" si="2"/>
        <v/>
      </c>
      <c r="M58" s="133" t="str">
        <f t="shared" si="3"/>
        <v/>
      </c>
      <c r="N58" s="134" t="str">
        <f t="shared" si="4"/>
        <v/>
      </c>
      <c r="O58" s="133" t="str">
        <f t="shared" si="5"/>
        <v/>
      </c>
      <c r="P58" s="135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36" t="str">
        <f t="shared" si="6"/>
        <v/>
      </c>
      <c r="R58" s="137" t="str">
        <f t="shared" si="7"/>
        <v/>
      </c>
      <c r="S58" s="137" t="str">
        <f t="shared" si="8"/>
        <v/>
      </c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AT31:AT32"/>
    <mergeCell ref="AI31:AI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O31:AO32"/>
    <mergeCell ref="AP31:AP32"/>
    <mergeCell ref="AQ31:AQ32"/>
    <mergeCell ref="AR31:AR32"/>
    <mergeCell ref="AS31:AS32"/>
    <mergeCell ref="AJ31:AJ32"/>
    <mergeCell ref="AK31:AK32"/>
    <mergeCell ref="AL31:AL32"/>
    <mergeCell ref="AM31:AM32"/>
    <mergeCell ref="AN31:AN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U31:AU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P13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3320312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6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36562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3" t="s">
        <v>50</v>
      </c>
      <c r="J8" s="143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2</v>
      </c>
      <c r="J9" s="39">
        <v>0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-2°0</v>
      </c>
      <c r="P9" s="39" t="s">
        <v>53</v>
      </c>
      <c r="Q9" s="207">
        <f>IF(ISBLANK(I9),"",IF(ISBLANK(J9),"",IF(J9&gt;60,"ERREUR !!",O11*(I9+(J9/60)))))</f>
        <v>-2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10</v>
      </c>
      <c r="J10" s="39">
        <v>8.7999999999999995E-2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-10°0,088</v>
      </c>
      <c r="P10" s="39" t="s">
        <v>55</v>
      </c>
      <c r="Q10" s="207">
        <f>IF(ISBLANK(I10),"",IF(ISBLANK(J10),"",IF(J10&gt;60,"ERREUR !!",O12*(I10+(J10/60)))))</f>
        <v>-10.001466666666667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36561</v>
      </c>
      <c r="K11" s="72"/>
      <c r="L11" s="72"/>
      <c r="M11" s="72"/>
      <c r="N11" s="73" t="str">
        <f>I9&amp;"°"&amp;J9</f>
        <v>2°0</v>
      </c>
      <c r="O11" s="74">
        <f>IF(P9=M10,-1,1)</f>
        <v>-1</v>
      </c>
      <c r="P11" s="191" t="str">
        <f>TEXT(J11,"aaaa-mm-jj")&amp;"T"&amp;TEXT(J12,"hh:mm:ss")&amp;"z"</f>
        <v>2004-02-06T01:00:00z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4.1666666666666664E-2</v>
      </c>
      <c r="K12" s="75"/>
      <c r="L12" s="75"/>
      <c r="M12" s="75"/>
      <c r="N12" s="76" t="str">
        <f>I10&amp;"°"&amp;J10</f>
        <v>10°0,088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2"/>
      <c r="F30" s="142"/>
      <c r="G30" s="142"/>
      <c r="H30" s="142"/>
      <c r="I30" s="142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41"/>
      <c r="L33" s="141"/>
      <c r="M33" s="141"/>
      <c r="N33" s="141"/>
      <c r="O33" s="141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34.618200000000002</v>
      </c>
      <c r="H35" s="151">
        <v>1000</v>
      </c>
      <c r="I35" s="155">
        <v>1003</v>
      </c>
      <c r="J35" s="120"/>
      <c r="K35" s="121"/>
      <c r="L35" s="121"/>
      <c r="M35" s="121"/>
      <c r="N35" s="122"/>
      <c r="O35" s="121"/>
      <c r="P35" s="120">
        <v>3.5640000000000001</v>
      </c>
      <c r="Q35" s="120"/>
      <c r="R35" s="120"/>
      <c r="S35" s="146">
        <v>154.9</v>
      </c>
      <c r="T35" s="159">
        <v>0.05</v>
      </c>
      <c r="U35" s="159">
        <v>0.05</v>
      </c>
      <c r="V35" s="159"/>
      <c r="W35" s="159"/>
      <c r="X35" s="160">
        <v>32.9</v>
      </c>
      <c r="Y35" s="160">
        <v>32.1</v>
      </c>
      <c r="Z35" s="159">
        <v>1.93</v>
      </c>
      <c r="AA35" s="159">
        <v>1.89</v>
      </c>
      <c r="AB35" s="160">
        <v>28.6</v>
      </c>
      <c r="AC35" s="160">
        <v>28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34.495600000000003</v>
      </c>
      <c r="H36" s="151">
        <v>800</v>
      </c>
      <c r="I36" s="155">
        <v>800</v>
      </c>
      <c r="J36" s="99"/>
      <c r="K36" s="55"/>
      <c r="L36" s="55"/>
      <c r="M36" s="55"/>
      <c r="N36" s="56"/>
      <c r="O36" s="55"/>
      <c r="P36" s="99">
        <v>3.3759999999999999</v>
      </c>
      <c r="Q36" s="99"/>
      <c r="R36" s="99"/>
      <c r="S36" s="147">
        <v>146.80000000000001</v>
      </c>
      <c r="T36" s="159">
        <v>0.03</v>
      </c>
      <c r="U36" s="159">
        <v>0.02</v>
      </c>
      <c r="V36" s="159"/>
      <c r="W36" s="159"/>
      <c r="X36" s="160">
        <v>34.6</v>
      </c>
      <c r="Y36" s="160">
        <v>33.799999999999997</v>
      </c>
      <c r="Z36" s="159">
        <v>2</v>
      </c>
      <c r="AA36" s="159">
        <v>1.96</v>
      </c>
      <c r="AB36" s="160">
        <v>28</v>
      </c>
      <c r="AC36" s="160">
        <v>27.4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34.635599999999997</v>
      </c>
      <c r="H37" s="151">
        <v>500</v>
      </c>
      <c r="I37" s="155">
        <v>500</v>
      </c>
      <c r="J37" s="99"/>
      <c r="K37" s="55"/>
      <c r="L37" s="55"/>
      <c r="M37" s="55"/>
      <c r="N37" s="56"/>
      <c r="O37" s="55"/>
      <c r="P37" s="99">
        <v>2.5609999999999999</v>
      </c>
      <c r="Q37" s="99"/>
      <c r="R37" s="99"/>
      <c r="S37" s="147">
        <v>111.4</v>
      </c>
      <c r="T37" s="159">
        <v>0.21</v>
      </c>
      <c r="U37" s="159">
        <v>0.21</v>
      </c>
      <c r="V37" s="159"/>
      <c r="W37" s="159"/>
      <c r="X37" s="160">
        <v>33.299999999999997</v>
      </c>
      <c r="Y37" s="160">
        <v>32.6</v>
      </c>
      <c r="Z37" s="159">
        <v>1.98</v>
      </c>
      <c r="AA37" s="159">
        <v>1.93</v>
      </c>
      <c r="AB37" s="160">
        <v>17</v>
      </c>
      <c r="AC37" s="160">
        <v>16.7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34.948300000000003</v>
      </c>
      <c r="H38" s="151">
        <v>300</v>
      </c>
      <c r="I38" s="155">
        <v>299</v>
      </c>
      <c r="J38" s="99"/>
      <c r="K38" s="55"/>
      <c r="L38" s="55"/>
      <c r="M38" s="55"/>
      <c r="N38" s="56"/>
      <c r="O38" s="55"/>
      <c r="P38" s="99">
        <v>1.762</v>
      </c>
      <c r="Q38" s="99"/>
      <c r="R38" s="99"/>
      <c r="S38" s="147">
        <v>76.7</v>
      </c>
      <c r="T38" s="159">
        <v>0.03</v>
      </c>
      <c r="U38" s="159">
        <v>0.03</v>
      </c>
      <c r="V38" s="159"/>
      <c r="W38" s="159"/>
      <c r="X38" s="160">
        <v>30.8</v>
      </c>
      <c r="Y38" s="160">
        <v>30.1</v>
      </c>
      <c r="Z38" s="159">
        <v>1.7</v>
      </c>
      <c r="AA38" s="159">
        <v>1.66</v>
      </c>
      <c r="AB38" s="160">
        <v>12.3</v>
      </c>
      <c r="AC38" s="160">
        <v>12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35.548699999999997</v>
      </c>
      <c r="H39" s="151">
        <v>100</v>
      </c>
      <c r="I39" s="155">
        <v>99</v>
      </c>
      <c r="J39" s="99"/>
      <c r="K39" s="55"/>
      <c r="L39" s="55"/>
      <c r="M39" s="55"/>
      <c r="N39" s="56"/>
      <c r="O39" s="55"/>
      <c r="P39" s="99">
        <v>2.4209999999999998</v>
      </c>
      <c r="Q39" s="99"/>
      <c r="R39" s="99"/>
      <c r="S39" s="147">
        <v>105.4</v>
      </c>
      <c r="T39" s="159">
        <v>0</v>
      </c>
      <c r="U39" s="159">
        <v>0</v>
      </c>
      <c r="V39" s="159"/>
      <c r="W39" s="159"/>
      <c r="X39" s="160">
        <v>14.9</v>
      </c>
      <c r="Y39" s="160">
        <v>14.5</v>
      </c>
      <c r="Z39" s="159">
        <v>0.83</v>
      </c>
      <c r="AA39" s="159">
        <v>0.81</v>
      </c>
      <c r="AB39" s="160">
        <v>4.5999999999999996</v>
      </c>
      <c r="AC39" s="160">
        <v>4.5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35.549100000000003</v>
      </c>
      <c r="H40" s="151">
        <v>100</v>
      </c>
      <c r="I40" s="155">
        <v>99</v>
      </c>
      <c r="J40" s="99"/>
      <c r="K40" s="55"/>
      <c r="L40" s="55"/>
      <c r="M40" s="55"/>
      <c r="N40" s="56"/>
      <c r="O40" s="55"/>
      <c r="P40" s="99">
        <v>2.423</v>
      </c>
      <c r="Q40" s="99"/>
      <c r="R40" s="99"/>
      <c r="S40" s="147">
        <v>105.5</v>
      </c>
      <c r="T40" s="159">
        <v>0.01</v>
      </c>
      <c r="U40" s="159">
        <v>0.01</v>
      </c>
      <c r="V40" s="159"/>
      <c r="W40" s="159"/>
      <c r="X40" s="160">
        <v>16.2</v>
      </c>
      <c r="Y40" s="160">
        <v>15.8</v>
      </c>
      <c r="Z40" s="159">
        <v>0.9</v>
      </c>
      <c r="AA40" s="159">
        <v>0.88</v>
      </c>
      <c r="AB40" s="160">
        <v>4.9000000000000004</v>
      </c>
      <c r="AC40" s="160">
        <v>4.8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4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35.400399999999998</v>
      </c>
      <c r="H41" s="151">
        <v>80</v>
      </c>
      <c r="I41" s="155">
        <v>80</v>
      </c>
      <c r="J41" s="99"/>
      <c r="K41" s="55"/>
      <c r="L41" s="55"/>
      <c r="M41" s="55"/>
      <c r="N41" s="56"/>
      <c r="O41" s="55"/>
      <c r="P41" s="99">
        <v>2.3929999999999998</v>
      </c>
      <c r="Q41" s="99"/>
      <c r="R41" s="99"/>
      <c r="S41" s="147">
        <v>104.1</v>
      </c>
      <c r="T41" s="159">
        <v>0.03</v>
      </c>
      <c r="U41" s="159">
        <v>0.03</v>
      </c>
      <c r="V41" s="159"/>
      <c r="W41" s="159"/>
      <c r="X41" s="160">
        <v>20.7</v>
      </c>
      <c r="Y41" s="160">
        <v>20.2</v>
      </c>
      <c r="Z41" s="159">
        <v>1.1299999999999999</v>
      </c>
      <c r="AA41" s="159">
        <v>1.1000000000000001</v>
      </c>
      <c r="AB41" s="160">
        <v>6.8</v>
      </c>
      <c r="AC41" s="160">
        <v>6.6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35.633400000000002</v>
      </c>
      <c r="H42" s="151">
        <v>60</v>
      </c>
      <c r="I42" s="155">
        <v>60</v>
      </c>
      <c r="J42" s="99"/>
      <c r="K42" s="55"/>
      <c r="L42" s="55"/>
      <c r="M42" s="55"/>
      <c r="N42" s="56"/>
      <c r="O42" s="55"/>
      <c r="P42" s="99">
        <v>2.669</v>
      </c>
      <c r="Q42" s="99"/>
      <c r="R42" s="99"/>
      <c r="S42" s="147">
        <v>116.2</v>
      </c>
      <c r="T42" s="159">
        <v>0.16</v>
      </c>
      <c r="U42" s="159">
        <v>0.15</v>
      </c>
      <c r="V42" s="159"/>
      <c r="W42" s="159"/>
      <c r="X42" s="160">
        <v>17.3</v>
      </c>
      <c r="Y42" s="160">
        <v>17</v>
      </c>
      <c r="Z42" s="159">
        <v>0.94</v>
      </c>
      <c r="AA42" s="159">
        <v>0.92</v>
      </c>
      <c r="AB42" s="160">
        <v>4.9000000000000004</v>
      </c>
      <c r="AC42" s="160">
        <v>4.8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35.799999999999997</v>
      </c>
      <c r="H43" s="151">
        <v>40</v>
      </c>
      <c r="I43" s="155">
        <v>40</v>
      </c>
      <c r="J43" s="99"/>
      <c r="K43" s="55"/>
      <c r="L43" s="55"/>
      <c r="M43" s="55"/>
      <c r="N43" s="56"/>
      <c r="O43" s="55"/>
      <c r="P43" s="99">
        <v>3.8420000000000001</v>
      </c>
      <c r="Q43" s="99"/>
      <c r="R43" s="99"/>
      <c r="S43" s="147">
        <v>167.4</v>
      </c>
      <c r="T43" s="159">
        <v>0.14000000000000001</v>
      </c>
      <c r="U43" s="159">
        <v>0.14000000000000001</v>
      </c>
      <c r="V43" s="159"/>
      <c r="W43" s="159"/>
      <c r="X43" s="160">
        <v>6.5</v>
      </c>
      <c r="Y43" s="160">
        <v>6.4</v>
      </c>
      <c r="Z43" s="159">
        <v>0.43</v>
      </c>
      <c r="AA43" s="159">
        <v>0.42</v>
      </c>
      <c r="AB43" s="160">
        <v>2.2999999999999998</v>
      </c>
      <c r="AC43" s="160">
        <v>2.2000000000000002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35.487099999999998</v>
      </c>
      <c r="H44" s="156">
        <v>20</v>
      </c>
      <c r="I44" s="155">
        <v>20</v>
      </c>
      <c r="J44" s="99"/>
      <c r="K44" s="55"/>
      <c r="L44" s="55"/>
      <c r="M44" s="55"/>
      <c r="N44" s="56"/>
      <c r="O44" s="55"/>
      <c r="P44" s="99">
        <v>4.62</v>
      </c>
      <c r="Q44" s="99"/>
      <c r="R44" s="99"/>
      <c r="S44" s="162">
        <v>201.7</v>
      </c>
      <c r="T44" s="159">
        <v>0.03</v>
      </c>
      <c r="U44" s="159">
        <v>0.03</v>
      </c>
      <c r="V44" s="159"/>
      <c r="W44" s="159"/>
      <c r="X44" s="160">
        <v>0.1</v>
      </c>
      <c r="Y44" s="160">
        <v>0.1</v>
      </c>
      <c r="Z44" s="159">
        <v>0.02</v>
      </c>
      <c r="AA44" s="159">
        <v>0.02</v>
      </c>
      <c r="AB44" s="160">
        <v>0.6</v>
      </c>
      <c r="AC44" s="160">
        <v>0.5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35.486199999999997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4.6360000000000001</v>
      </c>
      <c r="Q45" s="99"/>
      <c r="R45" s="99"/>
      <c r="S45" s="162">
        <v>202.4</v>
      </c>
      <c r="T45" s="159">
        <v>0.03</v>
      </c>
      <c r="U45" s="159">
        <v>0.03</v>
      </c>
      <c r="V45" s="159"/>
      <c r="W45" s="159"/>
      <c r="X45" s="160">
        <v>0.1</v>
      </c>
      <c r="Y45" s="160">
        <v>0.1</v>
      </c>
      <c r="Z45" s="159">
        <v>0.02</v>
      </c>
      <c r="AA45" s="159">
        <v>0.02</v>
      </c>
      <c r="AB45" s="160">
        <v>0.4</v>
      </c>
      <c r="AC45" s="160">
        <v>0.4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35.487000000000002</v>
      </c>
      <c r="H46" s="156">
        <v>0</v>
      </c>
      <c r="I46" s="155">
        <v>1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52">
        <v>4.5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196.4</v>
      </c>
      <c r="T46" s="159">
        <v>0.04</v>
      </c>
      <c r="U46" s="159">
        <v>0.04</v>
      </c>
      <c r="V46" s="159"/>
      <c r="W46" s="159"/>
      <c r="X46" s="160">
        <v>0.1</v>
      </c>
      <c r="Y46" s="160">
        <v>0.1</v>
      </c>
      <c r="Z46" s="159">
        <v>0.05</v>
      </c>
      <c r="AA46" s="159">
        <v>0.05</v>
      </c>
      <c r="AB46" s="160">
        <v>0.6</v>
      </c>
      <c r="AC46" s="160">
        <v>0.6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AT31:AT32"/>
    <mergeCell ref="AI31:AI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O31:AO32"/>
    <mergeCell ref="AP31:AP32"/>
    <mergeCell ref="AQ31:AQ32"/>
    <mergeCell ref="AR31:AR32"/>
    <mergeCell ref="AS31:AS32"/>
    <mergeCell ref="AJ31:AJ32"/>
    <mergeCell ref="AK31:AK32"/>
    <mergeCell ref="AL31:AL32"/>
    <mergeCell ref="AM31:AM32"/>
    <mergeCell ref="AN31:AN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U31:AU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P31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7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36562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3" t="s">
        <v>50</v>
      </c>
      <c r="J8" s="143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3</v>
      </c>
      <c r="J9" s="39">
        <v>4.4999999999999998E-2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-3°0,045</v>
      </c>
      <c r="P9" s="39" t="s">
        <v>53</v>
      </c>
      <c r="Q9" s="207">
        <f>IF(ISBLANK(I9),"",IF(ISBLANK(J9),"",IF(J9&gt;60,"ERREUR !!",O11*(I9+(J9/60)))))</f>
        <v>-3.00075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10</v>
      </c>
      <c r="J10" s="39">
        <v>7.0000000000000007E-2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-10°0,07</v>
      </c>
      <c r="P10" s="39" t="s">
        <v>55</v>
      </c>
      <c r="Q10" s="207">
        <f>IF(ISBLANK(I10),"",IF(ISBLANK(J10),"",IF(J10&gt;60,"ERREUR !!",O12*(I10+(J10/60)))))</f>
        <v>-10.001166666666666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36561</v>
      </c>
      <c r="K11" s="72"/>
      <c r="L11" s="72"/>
      <c r="M11" s="72"/>
      <c r="N11" s="73" t="str">
        <f>I9&amp;"°"&amp;J9</f>
        <v>3°0,045</v>
      </c>
      <c r="O11" s="74">
        <f>IF(P9=M10,-1,1)</f>
        <v>-1</v>
      </c>
      <c r="P11" s="191" t="str">
        <f>TEXT(J11,"aaaa-mm-jj")&amp;"T"&amp;TEXT(J12,"hh:mm:ss")&amp;"z"</f>
        <v>2004-02-06T07:00:00z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0.29166666666666669</v>
      </c>
      <c r="K12" s="75"/>
      <c r="L12" s="75"/>
      <c r="M12" s="75"/>
      <c r="N12" s="76" t="str">
        <f>I10&amp;"°"&amp;J10</f>
        <v>10°0,07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2"/>
      <c r="F30" s="142"/>
      <c r="G30" s="142"/>
      <c r="H30" s="142"/>
      <c r="I30" s="142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41"/>
      <c r="L33" s="141"/>
      <c r="M33" s="141"/>
      <c r="N33" s="141"/>
      <c r="O33" s="141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34.631799999999998</v>
      </c>
      <c r="H35" s="151">
        <v>1000</v>
      </c>
      <c r="I35" s="155">
        <v>1002</v>
      </c>
      <c r="J35" s="120"/>
      <c r="K35" s="121"/>
      <c r="L35" s="121"/>
      <c r="M35" s="121"/>
      <c r="N35" s="122"/>
      <c r="O35" s="121"/>
      <c r="P35" s="120">
        <v>3.6930000000000001</v>
      </c>
      <c r="Q35" s="120"/>
      <c r="R35" s="120"/>
      <c r="S35" s="146">
        <v>160.6</v>
      </c>
      <c r="T35" s="120"/>
      <c r="U35" s="120"/>
      <c r="V35" s="144"/>
      <c r="W35" s="144"/>
      <c r="X35" s="120"/>
      <c r="Y35" s="120"/>
      <c r="Z35" s="120"/>
      <c r="AA35" s="120"/>
      <c r="AB35" s="120"/>
      <c r="AC35" s="120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34.486899999999999</v>
      </c>
      <c r="H36" s="151">
        <v>800</v>
      </c>
      <c r="I36" s="155">
        <v>800</v>
      </c>
      <c r="J36" s="99"/>
      <c r="K36" s="55"/>
      <c r="L36" s="55"/>
      <c r="M36" s="55"/>
      <c r="N36" s="56"/>
      <c r="O36" s="55"/>
      <c r="P36" s="99">
        <v>3.391</v>
      </c>
      <c r="Q36" s="99"/>
      <c r="R36" s="99"/>
      <c r="S36" s="147">
        <v>147.5</v>
      </c>
      <c r="T36" s="99"/>
      <c r="U36" s="99"/>
      <c r="V36" s="144"/>
      <c r="W36" s="144"/>
      <c r="X36" s="99"/>
      <c r="Y36" s="99"/>
      <c r="Z36" s="99"/>
      <c r="AA36" s="99"/>
      <c r="AB36" s="99"/>
      <c r="AC36" s="99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34.666400000000003</v>
      </c>
      <c r="H37" s="151">
        <v>500</v>
      </c>
      <c r="I37" s="155">
        <v>499</v>
      </c>
      <c r="J37" s="99"/>
      <c r="K37" s="55"/>
      <c r="L37" s="55"/>
      <c r="M37" s="55"/>
      <c r="N37" s="56"/>
      <c r="O37" s="55"/>
      <c r="P37" s="99">
        <v>2.0699999999999998</v>
      </c>
      <c r="Q37" s="99"/>
      <c r="R37" s="99"/>
      <c r="S37" s="147">
        <v>90.1</v>
      </c>
      <c r="T37" s="99"/>
      <c r="U37" s="99"/>
      <c r="V37" s="144"/>
      <c r="W37" s="144"/>
      <c r="X37" s="99"/>
      <c r="Y37" s="99"/>
      <c r="Z37" s="99"/>
      <c r="AA37" s="99"/>
      <c r="AB37" s="99"/>
      <c r="AC37" s="99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34.994799999999998</v>
      </c>
      <c r="H38" s="151">
        <v>300</v>
      </c>
      <c r="I38" s="155">
        <v>299</v>
      </c>
      <c r="J38" s="99"/>
      <c r="K38" s="55"/>
      <c r="L38" s="55"/>
      <c r="M38" s="55"/>
      <c r="N38" s="56"/>
      <c r="O38" s="55"/>
      <c r="P38" s="99">
        <v>1.4390000000000001</v>
      </c>
      <c r="Q38" s="99"/>
      <c r="R38" s="99"/>
      <c r="S38" s="147">
        <v>62.6</v>
      </c>
      <c r="T38" s="99"/>
      <c r="U38" s="99"/>
      <c r="V38" s="144"/>
      <c r="W38" s="144"/>
      <c r="X38" s="99"/>
      <c r="Y38" s="99"/>
      <c r="Z38" s="99"/>
      <c r="AA38" s="99"/>
      <c r="AB38" s="99"/>
      <c r="AC38" s="99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4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35.563899999999997</v>
      </c>
      <c r="H39" s="151">
        <v>100</v>
      </c>
      <c r="I39" s="155">
        <v>100</v>
      </c>
      <c r="J39" s="99"/>
      <c r="K39" s="55"/>
      <c r="L39" s="55"/>
      <c r="M39" s="55"/>
      <c r="N39" s="56"/>
      <c r="O39" s="55"/>
      <c r="P39" s="99">
        <v>2.3199999999999998</v>
      </c>
      <c r="Q39" s="99"/>
      <c r="R39" s="99"/>
      <c r="S39" s="147">
        <v>101</v>
      </c>
      <c r="T39" s="99"/>
      <c r="U39" s="99"/>
      <c r="V39" s="144"/>
      <c r="W39" s="144"/>
      <c r="X39" s="99"/>
      <c r="Y39" s="99"/>
      <c r="Z39" s="99"/>
      <c r="AA39" s="99"/>
      <c r="AB39" s="99"/>
      <c r="AC39" s="99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12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35.632599999999996</v>
      </c>
      <c r="H40" s="151">
        <v>80</v>
      </c>
      <c r="I40" s="155">
        <v>79</v>
      </c>
      <c r="J40" s="99"/>
      <c r="K40" s="55"/>
      <c r="L40" s="55"/>
      <c r="M40" s="55"/>
      <c r="N40" s="56"/>
      <c r="O40" s="55"/>
      <c r="P40" s="99">
        <v>2.5470000000000002</v>
      </c>
      <c r="Q40" s="99"/>
      <c r="R40" s="99"/>
      <c r="S40" s="147">
        <v>110.9</v>
      </c>
      <c r="T40" s="99"/>
      <c r="U40" s="99"/>
      <c r="V40" s="144"/>
      <c r="W40" s="144"/>
      <c r="X40" s="99"/>
      <c r="Y40" s="99"/>
      <c r="Z40" s="99"/>
      <c r="AA40" s="99"/>
      <c r="AB40" s="99"/>
      <c r="AC40" s="99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4"/>
      <c r="AY40" s="66"/>
      <c r="AZ40" s="66"/>
      <c r="BA40" s="66"/>
      <c r="BB40" s="126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35.632800000000003</v>
      </c>
      <c r="H41" s="151">
        <v>80</v>
      </c>
      <c r="I41" s="155">
        <v>79</v>
      </c>
      <c r="J41" s="99"/>
      <c r="K41" s="55"/>
      <c r="L41" s="55"/>
      <c r="M41" s="55"/>
      <c r="N41" s="56"/>
      <c r="O41" s="55"/>
      <c r="P41" s="99">
        <v>2.552</v>
      </c>
      <c r="Q41" s="99"/>
      <c r="R41" s="99"/>
      <c r="S41" s="147">
        <v>111.1</v>
      </c>
      <c r="T41" s="99"/>
      <c r="U41" s="99"/>
      <c r="V41" s="144"/>
      <c r="W41" s="144"/>
      <c r="X41" s="99"/>
      <c r="Y41" s="99"/>
      <c r="Z41" s="99"/>
      <c r="AA41" s="99"/>
      <c r="AB41" s="99"/>
      <c r="AC41" s="99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12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35.798000000000002</v>
      </c>
      <c r="H42" s="151">
        <v>60</v>
      </c>
      <c r="I42" s="155">
        <v>60</v>
      </c>
      <c r="J42" s="99"/>
      <c r="K42" s="55"/>
      <c r="L42" s="55"/>
      <c r="M42" s="55"/>
      <c r="N42" s="56"/>
      <c r="O42" s="55"/>
      <c r="P42" s="99">
        <v>2.9060000000000001</v>
      </c>
      <c r="Q42" s="99"/>
      <c r="R42" s="99"/>
      <c r="S42" s="147">
        <v>126.6</v>
      </c>
      <c r="T42" s="99"/>
      <c r="U42" s="99"/>
      <c r="V42" s="144"/>
      <c r="W42" s="144"/>
      <c r="X42" s="99"/>
      <c r="Y42" s="99"/>
      <c r="Z42" s="99"/>
      <c r="AA42" s="99"/>
      <c r="AB42" s="99"/>
      <c r="AC42" s="99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12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35.8384</v>
      </c>
      <c r="H43" s="151">
        <v>40</v>
      </c>
      <c r="I43" s="155">
        <v>39</v>
      </c>
      <c r="J43" s="99"/>
      <c r="K43" s="55"/>
      <c r="L43" s="55"/>
      <c r="M43" s="55"/>
      <c r="N43" s="56"/>
      <c r="O43" s="55"/>
      <c r="P43" s="99">
        <v>4.6040000000000001</v>
      </c>
      <c r="Q43" s="99"/>
      <c r="R43" s="99"/>
      <c r="S43" s="147">
        <v>200.7</v>
      </c>
      <c r="T43" s="99"/>
      <c r="U43" s="99"/>
      <c r="V43" s="144"/>
      <c r="W43" s="144"/>
      <c r="X43" s="99"/>
      <c r="Y43" s="99"/>
      <c r="Z43" s="99"/>
      <c r="AA43" s="99"/>
      <c r="AB43" s="99"/>
      <c r="AC43" s="99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4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35.566699999999997</v>
      </c>
      <c r="H44" s="156">
        <v>20</v>
      </c>
      <c r="I44" s="155">
        <v>20</v>
      </c>
      <c r="J44" s="99"/>
      <c r="K44" s="55"/>
      <c r="L44" s="55"/>
      <c r="M44" s="55"/>
      <c r="N44" s="56"/>
      <c r="O44" s="55"/>
      <c r="P44" s="99">
        <v>4.5949999999999998</v>
      </c>
      <c r="Q44" s="99"/>
      <c r="R44" s="99"/>
      <c r="S44" s="147">
        <v>200.6</v>
      </c>
      <c r="T44" s="99"/>
      <c r="U44" s="99"/>
      <c r="V44" s="144"/>
      <c r="W44" s="144"/>
      <c r="X44" s="99"/>
      <c r="Y44" s="99"/>
      <c r="Z44" s="99"/>
      <c r="AA44" s="99"/>
      <c r="AB44" s="99"/>
      <c r="AC44" s="99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12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35.556699999999999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4.577</v>
      </c>
      <c r="Q45" s="99"/>
      <c r="R45" s="99"/>
      <c r="S45" s="147">
        <v>199.8</v>
      </c>
      <c r="T45" s="99"/>
      <c r="U45" s="99"/>
      <c r="V45" s="144"/>
      <c r="W45" s="144"/>
      <c r="X45" s="99"/>
      <c r="Y45" s="99"/>
      <c r="Z45" s="99"/>
      <c r="AA45" s="99"/>
      <c r="AB45" s="99"/>
      <c r="AC45" s="99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35.5608</v>
      </c>
      <c r="H46" s="156">
        <v>0</v>
      </c>
      <c r="I46" s="155">
        <v>1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52">
        <v>4.5999999999999996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199.8</v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AT31:AT32"/>
    <mergeCell ref="AI31:AI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O31:AO32"/>
    <mergeCell ref="AP31:AP32"/>
    <mergeCell ref="AQ31:AQ32"/>
    <mergeCell ref="AR31:AR32"/>
    <mergeCell ref="AS31:AS32"/>
    <mergeCell ref="AJ31:AJ32"/>
    <mergeCell ref="AK31:AK32"/>
    <mergeCell ref="AL31:AL32"/>
    <mergeCell ref="AM31:AM32"/>
    <mergeCell ref="AN31:AN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U31:AU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P13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8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36562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8" t="s">
        <v>50</v>
      </c>
      <c r="J8" s="148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3</v>
      </c>
      <c r="J9" s="39">
        <v>59.930999999999997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-3°59,931</v>
      </c>
      <c r="P9" s="39" t="s">
        <v>53</v>
      </c>
      <c r="Q9" s="207">
        <f>IF(ISBLANK(I9),"",IF(ISBLANK(J9),"",IF(J9&gt;60,"ERREUR !!",O11*(I9+(J9/60)))))</f>
        <v>-3.99885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10</v>
      </c>
      <c r="J10" s="39">
        <v>0.02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-10°0,02</v>
      </c>
      <c r="P10" s="39" t="s">
        <v>55</v>
      </c>
      <c r="Q10" s="207">
        <f>IF(ISBLANK(I10),"",IF(ISBLANK(J10),"",IF(J10&gt;60,"ERREUR !!",O12*(I10+(J10/60)))))</f>
        <v>-10.000333333333334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36561</v>
      </c>
      <c r="K11" s="72"/>
      <c r="L11" s="72"/>
      <c r="M11" s="72"/>
      <c r="N11" s="73" t="str">
        <f>I9&amp;"°"&amp;J9</f>
        <v>3°59,931</v>
      </c>
      <c r="O11" s="74">
        <f>IF(P9=M10,-1,1)</f>
        <v>-1</v>
      </c>
      <c r="P11" s="191" t="str">
        <f>TEXT(J11,"aaaa-mm-jj")&amp;"T"&amp;TEXT(J12,"hh:mm:ss")&amp;"z"</f>
        <v>2004-02-06T14:00:00z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0.58333333333333337</v>
      </c>
      <c r="K12" s="75"/>
      <c r="L12" s="75"/>
      <c r="M12" s="75"/>
      <c r="N12" s="76" t="str">
        <f>I10&amp;"°"&amp;J10</f>
        <v>10°0,02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9"/>
      <c r="F30" s="149"/>
      <c r="G30" s="149"/>
      <c r="H30" s="149"/>
      <c r="I30" s="14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50"/>
      <c r="L33" s="150"/>
      <c r="M33" s="150"/>
      <c r="N33" s="150"/>
      <c r="O33" s="15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34.591000000000001</v>
      </c>
      <c r="H35" s="151">
        <v>1000</v>
      </c>
      <c r="I35" s="155">
        <v>1004</v>
      </c>
      <c r="J35" s="120"/>
      <c r="K35" s="121"/>
      <c r="L35" s="121"/>
      <c r="M35" s="121"/>
      <c r="N35" s="122"/>
      <c r="O35" s="121"/>
      <c r="P35" s="120">
        <v>3.6269999999999998</v>
      </c>
      <c r="Q35" s="120"/>
      <c r="R35" s="120"/>
      <c r="S35" s="146">
        <v>157.69999999999999</v>
      </c>
      <c r="T35" s="159">
        <v>0.06</v>
      </c>
      <c r="U35" s="159">
        <v>0.06</v>
      </c>
      <c r="V35" s="159"/>
      <c r="W35" s="159"/>
      <c r="X35" s="160">
        <v>21.2</v>
      </c>
      <c r="Y35" s="160">
        <v>20.8</v>
      </c>
      <c r="Z35" s="159">
        <v>1.43</v>
      </c>
      <c r="AA35" s="159">
        <v>1.35</v>
      </c>
      <c r="AB35" s="160">
        <v>17.7</v>
      </c>
      <c r="AC35" s="160">
        <v>17.3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34.592100000000002</v>
      </c>
      <c r="H36" s="151">
        <v>1000</v>
      </c>
      <c r="I36" s="155">
        <v>1003</v>
      </c>
      <c r="J36" s="99"/>
      <c r="K36" s="55"/>
      <c r="L36" s="55"/>
      <c r="M36" s="55"/>
      <c r="N36" s="56"/>
      <c r="O36" s="55"/>
      <c r="P36" s="99">
        <v>3.63</v>
      </c>
      <c r="Q36" s="99"/>
      <c r="R36" s="99"/>
      <c r="S36" s="147">
        <v>157.80000000000001</v>
      </c>
      <c r="T36" s="159">
        <v>0.04</v>
      </c>
      <c r="U36" s="159">
        <v>0.04</v>
      </c>
      <c r="V36" s="159"/>
      <c r="W36" s="159"/>
      <c r="X36" s="160">
        <v>29.1</v>
      </c>
      <c r="Y36" s="160">
        <v>28.5</v>
      </c>
      <c r="Z36" s="159">
        <v>1.84</v>
      </c>
      <c r="AA36" s="159">
        <v>1.76</v>
      </c>
      <c r="AB36" s="160">
        <v>26.6</v>
      </c>
      <c r="AC36" s="160">
        <v>26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34.488100000000003</v>
      </c>
      <c r="H37" s="151">
        <v>800</v>
      </c>
      <c r="I37" s="155">
        <v>801</v>
      </c>
      <c r="J37" s="99"/>
      <c r="K37" s="55"/>
      <c r="L37" s="55"/>
      <c r="M37" s="55"/>
      <c r="N37" s="56"/>
      <c r="O37" s="55"/>
      <c r="P37" s="99">
        <v>3.2759999999999998</v>
      </c>
      <c r="Q37" s="99"/>
      <c r="R37" s="99"/>
      <c r="S37" s="147">
        <v>142.5</v>
      </c>
      <c r="T37" s="159">
        <v>0.09</v>
      </c>
      <c r="U37" s="159">
        <v>0.08</v>
      </c>
      <c r="V37" s="159"/>
      <c r="W37" s="159"/>
      <c r="X37" s="160">
        <v>28</v>
      </c>
      <c r="Y37" s="160">
        <v>27.4</v>
      </c>
      <c r="Z37" s="159">
        <v>1.81</v>
      </c>
      <c r="AA37" s="159">
        <v>1.73</v>
      </c>
      <c r="AB37" s="160">
        <v>22.4</v>
      </c>
      <c r="AC37" s="160">
        <v>21.9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34.684699999999999</v>
      </c>
      <c r="H38" s="151">
        <v>500</v>
      </c>
      <c r="I38" s="155">
        <v>501</v>
      </c>
      <c r="J38" s="99"/>
      <c r="K38" s="55"/>
      <c r="L38" s="55"/>
      <c r="M38" s="55"/>
      <c r="N38" s="56"/>
      <c r="O38" s="55"/>
      <c r="P38" s="99">
        <v>2.0910000000000002</v>
      </c>
      <c r="Q38" s="99"/>
      <c r="R38" s="99"/>
      <c r="S38" s="147">
        <v>91</v>
      </c>
      <c r="T38" s="159">
        <v>0.02</v>
      </c>
      <c r="U38" s="159">
        <v>0.02</v>
      </c>
      <c r="V38" s="159"/>
      <c r="W38" s="159"/>
      <c r="X38" s="160">
        <v>24.1</v>
      </c>
      <c r="Y38" s="160">
        <v>23.5</v>
      </c>
      <c r="Z38" s="159">
        <v>1.63</v>
      </c>
      <c r="AA38" s="159">
        <v>1.55</v>
      </c>
      <c r="AB38" s="160">
        <v>12.8</v>
      </c>
      <c r="AC38" s="160">
        <v>12.5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4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35.055599999999998</v>
      </c>
      <c r="H39" s="151">
        <v>300</v>
      </c>
      <c r="I39" s="155">
        <v>298</v>
      </c>
      <c r="J39" s="99"/>
      <c r="K39" s="55"/>
      <c r="L39" s="55"/>
      <c r="M39" s="55"/>
      <c r="N39" s="56"/>
      <c r="O39" s="55"/>
      <c r="P39" s="99">
        <v>2.2210000000000001</v>
      </c>
      <c r="Q39" s="99"/>
      <c r="R39" s="99"/>
      <c r="S39" s="147">
        <v>96.7</v>
      </c>
      <c r="T39" s="159">
        <v>0.03</v>
      </c>
      <c r="U39" s="159">
        <v>0.03</v>
      </c>
      <c r="V39" s="159"/>
      <c r="W39" s="159"/>
      <c r="X39" s="161">
        <v>20.2</v>
      </c>
      <c r="Y39" s="160">
        <v>19.7</v>
      </c>
      <c r="Z39" s="159">
        <v>1.1499999999999999</v>
      </c>
      <c r="AA39" s="159">
        <v>1.07</v>
      </c>
      <c r="AB39" s="160">
        <v>7.6</v>
      </c>
      <c r="AC39" s="160">
        <v>7.4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12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35.573999999999998</v>
      </c>
      <c r="H40" s="151">
        <v>100</v>
      </c>
      <c r="I40" s="155">
        <v>100</v>
      </c>
      <c r="J40" s="99"/>
      <c r="K40" s="55"/>
      <c r="L40" s="55"/>
      <c r="M40" s="55"/>
      <c r="N40" s="56"/>
      <c r="O40" s="55"/>
      <c r="P40" s="99">
        <v>2.4140000000000001</v>
      </c>
      <c r="Q40" s="99"/>
      <c r="R40" s="99"/>
      <c r="S40" s="147">
        <v>105.1</v>
      </c>
      <c r="T40" s="159">
        <v>0.02</v>
      </c>
      <c r="U40" s="159">
        <v>0.02</v>
      </c>
      <c r="V40" s="159"/>
      <c r="W40" s="159"/>
      <c r="X40" s="161">
        <v>17.399999999999999</v>
      </c>
      <c r="Y40" s="160">
        <v>17</v>
      </c>
      <c r="Z40" s="159">
        <v>1.04</v>
      </c>
      <c r="AA40" s="159">
        <v>0.96</v>
      </c>
      <c r="AB40" s="160">
        <v>5.2</v>
      </c>
      <c r="AC40" s="160">
        <v>5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4"/>
      <c r="AY40" s="66"/>
      <c r="AZ40" s="66"/>
      <c r="BA40" s="66"/>
      <c r="BB40" s="126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35.647100000000002</v>
      </c>
      <c r="H41" s="151">
        <v>80</v>
      </c>
      <c r="I41" s="155">
        <v>81</v>
      </c>
      <c r="J41" s="99"/>
      <c r="K41" s="55"/>
      <c r="L41" s="55"/>
      <c r="M41" s="55"/>
      <c r="N41" s="56"/>
      <c r="O41" s="55"/>
      <c r="P41" s="99">
        <v>2.4020000000000001</v>
      </c>
      <c r="Q41" s="99"/>
      <c r="R41" s="99"/>
      <c r="S41" s="147">
        <v>104.6</v>
      </c>
      <c r="T41" s="159">
        <v>0.2</v>
      </c>
      <c r="U41" s="159">
        <v>0.2</v>
      </c>
      <c r="V41" s="159"/>
      <c r="W41" s="159"/>
      <c r="X41" s="161">
        <v>15.7</v>
      </c>
      <c r="Y41" s="160">
        <v>15.4</v>
      </c>
      <c r="Z41" s="159">
        <v>0.92</v>
      </c>
      <c r="AA41" s="159">
        <v>0.84</v>
      </c>
      <c r="AB41" s="160">
        <v>4.5</v>
      </c>
      <c r="AC41" s="160">
        <v>4.4000000000000004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12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35.764200000000002</v>
      </c>
      <c r="H42" s="151">
        <v>60</v>
      </c>
      <c r="I42" s="155">
        <v>60</v>
      </c>
      <c r="J42" s="99"/>
      <c r="K42" s="55"/>
      <c r="L42" s="55"/>
      <c r="M42" s="55"/>
      <c r="N42" s="56"/>
      <c r="O42" s="55"/>
      <c r="P42" s="99">
        <v>3.4750000000000001</v>
      </c>
      <c r="Q42" s="99"/>
      <c r="R42" s="99"/>
      <c r="S42" s="147">
        <v>151.4</v>
      </c>
      <c r="T42" s="159">
        <v>0.34</v>
      </c>
      <c r="U42" s="159">
        <v>0.33</v>
      </c>
      <c r="V42" s="159"/>
      <c r="W42" s="159"/>
      <c r="X42" s="161">
        <v>9.6999999999999993</v>
      </c>
      <c r="Y42" s="160">
        <v>9.5</v>
      </c>
      <c r="Z42" s="159">
        <v>0.65</v>
      </c>
      <c r="AA42" s="159">
        <v>0.56999999999999995</v>
      </c>
      <c r="AB42" s="160">
        <v>3.2</v>
      </c>
      <c r="AC42" s="160">
        <v>3.1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12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35.7376</v>
      </c>
      <c r="H43" s="151">
        <v>40</v>
      </c>
      <c r="I43" s="155">
        <v>40</v>
      </c>
      <c r="J43" s="99"/>
      <c r="K43" s="55"/>
      <c r="L43" s="55"/>
      <c r="M43" s="55"/>
      <c r="N43" s="56"/>
      <c r="O43" s="55"/>
      <c r="P43" s="99">
        <v>4.8010000000000002</v>
      </c>
      <c r="Q43" s="99"/>
      <c r="R43" s="99"/>
      <c r="S43" s="147">
        <v>209.4</v>
      </c>
      <c r="T43" s="159">
        <v>0.19</v>
      </c>
      <c r="U43" s="159">
        <v>0.18</v>
      </c>
      <c r="V43" s="159"/>
      <c r="W43" s="159"/>
      <c r="X43" s="161">
        <v>0.4</v>
      </c>
      <c r="Y43" s="160">
        <v>0.4</v>
      </c>
      <c r="Z43" s="159">
        <v>0.16</v>
      </c>
      <c r="AA43" s="159">
        <v>0.08</v>
      </c>
      <c r="AB43" s="160">
        <v>1.1000000000000001</v>
      </c>
      <c r="AC43" s="160">
        <v>1.1000000000000001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4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35.634599999999999</v>
      </c>
      <c r="H44" s="156">
        <v>20</v>
      </c>
      <c r="I44" s="155">
        <v>21</v>
      </c>
      <c r="J44" s="99"/>
      <c r="K44" s="55"/>
      <c r="L44" s="55"/>
      <c r="M44" s="55"/>
      <c r="N44" s="56"/>
      <c r="O44" s="55"/>
      <c r="P44" s="99">
        <v>4.6050000000000004</v>
      </c>
      <c r="Q44" s="99"/>
      <c r="R44" s="99"/>
      <c r="S44" s="147">
        <v>201</v>
      </c>
      <c r="T44" s="159">
        <v>0.01</v>
      </c>
      <c r="U44" s="159">
        <v>0.01</v>
      </c>
      <c r="V44" s="159"/>
      <c r="W44" s="159"/>
      <c r="X44" s="161">
        <v>0</v>
      </c>
      <c r="Y44" s="160">
        <v>0</v>
      </c>
      <c r="Z44" s="159">
        <v>0.16</v>
      </c>
      <c r="AA44" s="159">
        <v>0.08</v>
      </c>
      <c r="AB44" s="160">
        <v>0.8</v>
      </c>
      <c r="AC44" s="160">
        <v>0.7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12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35.633400000000002</v>
      </c>
      <c r="H45" s="156">
        <v>10</v>
      </c>
      <c r="I45" s="155">
        <v>11</v>
      </c>
      <c r="J45" s="99"/>
      <c r="K45" s="55"/>
      <c r="L45" s="55"/>
      <c r="M45" s="55"/>
      <c r="N45" s="56"/>
      <c r="O45" s="55"/>
      <c r="P45" s="99">
        <v>4.5970000000000004</v>
      </c>
      <c r="Q45" s="99"/>
      <c r="R45" s="99"/>
      <c r="S45" s="147">
        <v>200.7</v>
      </c>
      <c r="T45" s="159">
        <v>0.02</v>
      </c>
      <c r="U45" s="159">
        <v>0.02</v>
      </c>
      <c r="V45" s="159"/>
      <c r="W45" s="159"/>
      <c r="X45" s="161">
        <v>0</v>
      </c>
      <c r="Y45" s="160">
        <v>0</v>
      </c>
      <c r="Z45" s="159">
        <v>0.09</v>
      </c>
      <c r="AA45" s="159">
        <v>0.01</v>
      </c>
      <c r="AB45" s="160">
        <v>0.3</v>
      </c>
      <c r="AC45" s="160">
        <v>0.3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35.634900000000002</v>
      </c>
      <c r="H46" s="156">
        <v>0</v>
      </c>
      <c r="I46" s="155">
        <v>1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00">
        <v>4.593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200.5</v>
      </c>
      <c r="T46" s="159">
        <v>0</v>
      </c>
      <c r="U46" s="159">
        <v>0</v>
      </c>
      <c r="V46" s="159"/>
      <c r="W46" s="159"/>
      <c r="X46" s="161">
        <v>0</v>
      </c>
      <c r="Y46" s="160">
        <v>0</v>
      </c>
      <c r="Z46" s="159">
        <v>0.12</v>
      </c>
      <c r="AA46" s="159">
        <v>0.04</v>
      </c>
      <c r="AB46" s="160">
        <v>0.4</v>
      </c>
      <c r="AC46" s="160">
        <v>0.4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disablePrompts="1"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V16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9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36563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8" t="s">
        <v>50</v>
      </c>
      <c r="J8" s="148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4</v>
      </c>
      <c r="J9" s="39">
        <v>59.96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-4°59,96</v>
      </c>
      <c r="P9" s="39" t="s">
        <v>53</v>
      </c>
      <c r="Q9" s="207">
        <f>IF(ISBLANK(I9),"",IF(ISBLANK(J9),"",IF(J9&gt;60,"ERREUR !!",O11*(I9+(J9/60)))))</f>
        <v>-4.9993333333333334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10</v>
      </c>
      <c r="J10" s="39">
        <v>2.5999999999999999E-2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-10°0,026</v>
      </c>
      <c r="P10" s="39" t="s">
        <v>55</v>
      </c>
      <c r="Q10" s="207">
        <f>IF(ISBLANK(I10),"",IF(ISBLANK(J10),"",IF(J10&gt;60,"ERREUR !!",O12*(I10+(J10/60)))))</f>
        <v>-10.000433333333334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36561</v>
      </c>
      <c r="K11" s="72"/>
      <c r="L11" s="72"/>
      <c r="M11" s="72"/>
      <c r="N11" s="73" t="str">
        <f>I9&amp;"°"&amp;J9</f>
        <v>4°59,96</v>
      </c>
      <c r="O11" s="74">
        <f>IF(P9=M10,-1,1)</f>
        <v>-1</v>
      </c>
      <c r="P11" s="191" t="str">
        <f>TEXT(J11,"aaaa-mm-jj")&amp;"T"&amp;TEXT(J12,"hh:mm:ss")&amp;"z"</f>
        <v>2004-02-06T21:00:00z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0.875</v>
      </c>
      <c r="K12" s="75"/>
      <c r="L12" s="75"/>
      <c r="M12" s="75"/>
      <c r="N12" s="76" t="str">
        <f>I10&amp;"°"&amp;J10</f>
        <v>10°0,026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9"/>
      <c r="F30" s="149"/>
      <c r="G30" s="149"/>
      <c r="H30" s="149"/>
      <c r="I30" s="14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50"/>
      <c r="L33" s="150"/>
      <c r="M33" s="150"/>
      <c r="N33" s="150"/>
      <c r="O33" s="15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34.5944</v>
      </c>
      <c r="H35" s="151">
        <v>1000</v>
      </c>
      <c r="I35" s="155">
        <v>1003</v>
      </c>
      <c r="J35" s="120"/>
      <c r="K35" s="121"/>
      <c r="L35" s="121"/>
      <c r="M35" s="121"/>
      <c r="N35" s="122"/>
      <c r="O35" s="121"/>
      <c r="P35" s="120">
        <v>3.6480000000000001</v>
      </c>
      <c r="Q35" s="120"/>
      <c r="R35" s="120"/>
      <c r="S35" s="146">
        <v>158.6</v>
      </c>
      <c r="T35" s="159">
        <v>0.01</v>
      </c>
      <c r="U35" s="159">
        <v>0.01</v>
      </c>
      <c r="V35" s="159"/>
      <c r="W35" s="159"/>
      <c r="X35" s="161">
        <v>33.1</v>
      </c>
      <c r="Y35" s="160">
        <v>32.4</v>
      </c>
      <c r="Z35" s="159">
        <v>1.9</v>
      </c>
      <c r="AA35" s="159">
        <v>1.85</v>
      </c>
      <c r="AB35" s="160">
        <v>28</v>
      </c>
      <c r="AC35" s="160">
        <v>27.3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34.496699999999997</v>
      </c>
      <c r="H36" s="151">
        <v>800</v>
      </c>
      <c r="I36" s="155">
        <v>800</v>
      </c>
      <c r="J36" s="99"/>
      <c r="K36" s="55"/>
      <c r="L36" s="55"/>
      <c r="M36" s="55"/>
      <c r="N36" s="56"/>
      <c r="O36" s="55"/>
      <c r="P36" s="99">
        <v>3.0329999999999999</v>
      </c>
      <c r="Q36" s="99"/>
      <c r="R36" s="99"/>
      <c r="S36" s="147">
        <v>131.9</v>
      </c>
      <c r="T36" s="159">
        <v>0.02</v>
      </c>
      <c r="U36" s="159">
        <v>0.02</v>
      </c>
      <c r="V36" s="159"/>
      <c r="W36" s="159"/>
      <c r="X36" s="161">
        <v>36.200000000000003</v>
      </c>
      <c r="Y36" s="160">
        <v>35.4</v>
      </c>
      <c r="Z36" s="159">
        <v>2.0299999999999998</v>
      </c>
      <c r="AA36" s="159">
        <v>1.98</v>
      </c>
      <c r="AB36" s="160">
        <v>27.2</v>
      </c>
      <c r="AC36" s="160">
        <v>26.6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34.495899999999999</v>
      </c>
      <c r="H37" s="151">
        <v>800</v>
      </c>
      <c r="I37" s="155">
        <v>800</v>
      </c>
      <c r="J37" s="99"/>
      <c r="K37" s="55"/>
      <c r="L37" s="55"/>
      <c r="M37" s="55"/>
      <c r="N37" s="56"/>
      <c r="O37" s="55"/>
      <c r="P37" s="99">
        <v>3.0390000000000001</v>
      </c>
      <c r="Q37" s="99"/>
      <c r="R37" s="99"/>
      <c r="S37" s="147">
        <v>132.19999999999999</v>
      </c>
      <c r="T37" s="159">
        <v>0</v>
      </c>
      <c r="U37" s="159">
        <v>0</v>
      </c>
      <c r="V37" s="159"/>
      <c r="W37" s="159"/>
      <c r="X37" s="161">
        <v>36.4</v>
      </c>
      <c r="Y37" s="160">
        <v>35.6</v>
      </c>
      <c r="Z37" s="159">
        <v>2.06</v>
      </c>
      <c r="AA37" s="159">
        <v>2.0099999999999998</v>
      </c>
      <c r="AB37" s="160">
        <v>27.1</v>
      </c>
      <c r="AC37" s="160">
        <v>26.5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34.696800000000003</v>
      </c>
      <c r="H38" s="151">
        <v>500</v>
      </c>
      <c r="I38" s="155">
        <v>500</v>
      </c>
      <c r="J38" s="99"/>
      <c r="K38" s="55"/>
      <c r="L38" s="55"/>
      <c r="M38" s="55"/>
      <c r="N38" s="56"/>
      <c r="O38" s="55"/>
      <c r="P38" s="99">
        <v>1.8879999999999999</v>
      </c>
      <c r="Q38" s="99"/>
      <c r="R38" s="99"/>
      <c r="S38" s="147">
        <v>82.1</v>
      </c>
      <c r="T38" s="159">
        <v>0.01</v>
      </c>
      <c r="U38" s="159">
        <v>0.01</v>
      </c>
      <c r="V38" s="159"/>
      <c r="W38" s="159"/>
      <c r="X38" s="160">
        <v>32.6</v>
      </c>
      <c r="Y38" s="160">
        <v>31.9</v>
      </c>
      <c r="Z38" s="159">
        <v>1.8</v>
      </c>
      <c r="AA38" s="159">
        <v>1.75</v>
      </c>
      <c r="AB38" s="160">
        <v>14.2</v>
      </c>
      <c r="AC38" s="160">
        <v>13.9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4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34.990600000000001</v>
      </c>
      <c r="H39" s="151">
        <v>300</v>
      </c>
      <c r="I39" s="155">
        <v>298</v>
      </c>
      <c r="J39" s="99"/>
      <c r="K39" s="55"/>
      <c r="L39" s="55"/>
      <c r="M39" s="55"/>
      <c r="N39" s="56"/>
      <c r="O39" s="55"/>
      <c r="P39" s="99">
        <v>2.0329999999999999</v>
      </c>
      <c r="Q39" s="99"/>
      <c r="R39" s="99"/>
      <c r="S39" s="147">
        <v>88.5</v>
      </c>
      <c r="T39" s="159">
        <v>0.01</v>
      </c>
      <c r="U39" s="159">
        <v>0.01</v>
      </c>
      <c r="V39" s="159"/>
      <c r="W39" s="159"/>
      <c r="X39" s="160">
        <v>29.4</v>
      </c>
      <c r="Y39" s="160">
        <v>28.8</v>
      </c>
      <c r="Z39" s="159">
        <v>1.56</v>
      </c>
      <c r="AA39" s="159">
        <v>1.52</v>
      </c>
      <c r="AB39" s="160">
        <v>10.3</v>
      </c>
      <c r="AC39" s="160">
        <v>10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12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35.433</v>
      </c>
      <c r="H40" s="151">
        <v>100</v>
      </c>
      <c r="I40" s="155">
        <v>98</v>
      </c>
      <c r="J40" s="99"/>
      <c r="K40" s="55"/>
      <c r="L40" s="55"/>
      <c r="M40" s="55"/>
      <c r="N40" s="56"/>
      <c r="O40" s="55"/>
      <c r="P40" s="99">
        <v>2.4300000000000002</v>
      </c>
      <c r="Q40" s="99"/>
      <c r="R40" s="99"/>
      <c r="S40" s="147">
        <v>105.7</v>
      </c>
      <c r="T40" s="159">
        <v>0.05</v>
      </c>
      <c r="U40" s="159">
        <v>0.05</v>
      </c>
      <c r="V40" s="159"/>
      <c r="W40" s="159"/>
      <c r="X40" s="160">
        <v>18</v>
      </c>
      <c r="Y40" s="160">
        <v>17.600000000000001</v>
      </c>
      <c r="Z40" s="159">
        <v>1.03</v>
      </c>
      <c r="AA40" s="159">
        <v>1.01</v>
      </c>
      <c r="AB40" s="160">
        <v>5.6</v>
      </c>
      <c r="AC40" s="160">
        <v>5.5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4"/>
      <c r="AY40" s="66"/>
      <c r="AZ40" s="66"/>
      <c r="BA40" s="66"/>
      <c r="BB40" s="126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35.682400000000001</v>
      </c>
      <c r="H41" s="151">
        <v>80</v>
      </c>
      <c r="I41" s="155">
        <v>79</v>
      </c>
      <c r="J41" s="99"/>
      <c r="K41" s="55"/>
      <c r="L41" s="55"/>
      <c r="M41" s="55"/>
      <c r="N41" s="56"/>
      <c r="O41" s="55"/>
      <c r="P41" s="99">
        <v>2.7440000000000002</v>
      </c>
      <c r="Q41" s="99"/>
      <c r="R41" s="99"/>
      <c r="S41" s="147">
        <v>119.5</v>
      </c>
      <c r="T41" s="159">
        <v>0.23</v>
      </c>
      <c r="U41" s="159">
        <v>0.22</v>
      </c>
      <c r="V41" s="159"/>
      <c r="W41" s="159"/>
      <c r="X41" s="160">
        <v>14.2</v>
      </c>
      <c r="Y41" s="160">
        <v>13.8</v>
      </c>
      <c r="Z41" s="159">
        <v>0.87</v>
      </c>
      <c r="AA41" s="159">
        <v>0.85</v>
      </c>
      <c r="AB41" s="160">
        <v>4</v>
      </c>
      <c r="AC41" s="160">
        <v>3.9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12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35.955800000000004</v>
      </c>
      <c r="H42" s="151">
        <v>60</v>
      </c>
      <c r="I42" s="155">
        <v>60</v>
      </c>
      <c r="J42" s="99"/>
      <c r="K42" s="55"/>
      <c r="L42" s="55"/>
      <c r="M42" s="55"/>
      <c r="N42" s="56"/>
      <c r="O42" s="55"/>
      <c r="P42" s="99">
        <v>3.7250000000000001</v>
      </c>
      <c r="Q42" s="99"/>
      <c r="R42" s="99"/>
      <c r="S42" s="147">
        <v>162.30000000000001</v>
      </c>
      <c r="T42" s="159">
        <v>0.31</v>
      </c>
      <c r="U42" s="159">
        <v>0.3</v>
      </c>
      <c r="V42" s="159"/>
      <c r="W42" s="159"/>
      <c r="X42" s="160">
        <v>6.9</v>
      </c>
      <c r="Y42" s="160">
        <v>6.8</v>
      </c>
      <c r="Z42" s="159">
        <v>0.51</v>
      </c>
      <c r="AA42" s="159">
        <v>0.49</v>
      </c>
      <c r="AB42" s="160">
        <v>2.4</v>
      </c>
      <c r="AC42" s="160">
        <v>2.4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12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36.116999999999997</v>
      </c>
      <c r="H43" s="151">
        <v>40</v>
      </c>
      <c r="I43" s="155">
        <v>40</v>
      </c>
      <c r="J43" s="99"/>
      <c r="K43" s="55"/>
      <c r="L43" s="55"/>
      <c r="M43" s="55"/>
      <c r="N43" s="56"/>
      <c r="O43" s="55"/>
      <c r="P43" s="99">
        <v>4.7080000000000002</v>
      </c>
      <c r="Q43" s="99"/>
      <c r="R43" s="99"/>
      <c r="S43" s="147">
        <v>205.3</v>
      </c>
      <c r="T43" s="159">
        <v>0.01</v>
      </c>
      <c r="U43" s="159">
        <v>0.01</v>
      </c>
      <c r="V43" s="159"/>
      <c r="W43" s="159"/>
      <c r="X43" s="160">
        <v>0.4</v>
      </c>
      <c r="Y43" s="160">
        <v>0.4</v>
      </c>
      <c r="Z43" s="159">
        <v>0.19</v>
      </c>
      <c r="AA43" s="159">
        <v>0.18</v>
      </c>
      <c r="AB43" s="160">
        <v>1.2</v>
      </c>
      <c r="AC43" s="160">
        <v>1.2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4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35.6708</v>
      </c>
      <c r="H44" s="156">
        <v>20</v>
      </c>
      <c r="I44" s="155">
        <v>20</v>
      </c>
      <c r="J44" s="99"/>
      <c r="K44" s="55"/>
      <c r="L44" s="55"/>
      <c r="M44" s="55"/>
      <c r="N44" s="56"/>
      <c r="O44" s="55"/>
      <c r="P44" s="99">
        <v>4.6360000000000001</v>
      </c>
      <c r="Q44" s="99"/>
      <c r="R44" s="99"/>
      <c r="S44" s="147">
        <v>202.3</v>
      </c>
      <c r="T44" s="159">
        <v>0.03</v>
      </c>
      <c r="U44" s="159">
        <v>0.03</v>
      </c>
      <c r="V44" s="159"/>
      <c r="W44" s="159"/>
      <c r="X44" s="160">
        <v>0.4</v>
      </c>
      <c r="Y44" s="160">
        <v>0.4</v>
      </c>
      <c r="Z44" s="159">
        <v>0.12</v>
      </c>
      <c r="AA44" s="159">
        <v>0.12</v>
      </c>
      <c r="AB44" s="160">
        <v>0.8</v>
      </c>
      <c r="AC44" s="160">
        <v>0.8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12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35.573799999999999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4.5990000000000002</v>
      </c>
      <c r="Q45" s="99"/>
      <c r="R45" s="99"/>
      <c r="S45" s="147">
        <v>200.8</v>
      </c>
      <c r="T45" s="159">
        <v>0</v>
      </c>
      <c r="U45" s="159">
        <v>0</v>
      </c>
      <c r="V45" s="159"/>
      <c r="W45" s="159"/>
      <c r="X45" s="160">
        <v>0.1</v>
      </c>
      <c r="Y45" s="160">
        <v>0.1</v>
      </c>
      <c r="Z45" s="159">
        <v>0.09</v>
      </c>
      <c r="AA45" s="159">
        <v>0.09</v>
      </c>
      <c r="AB45" s="160">
        <v>0.9</v>
      </c>
      <c r="AC45" s="160">
        <v>0.9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35.572299999999998</v>
      </c>
      <c r="H46" s="156">
        <v>0</v>
      </c>
      <c r="I46" s="155">
        <v>0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00">
        <v>4.601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200.8</v>
      </c>
      <c r="T46" s="159">
        <v>0.03</v>
      </c>
      <c r="U46" s="159">
        <v>0.02</v>
      </c>
      <c r="V46" s="159"/>
      <c r="W46" s="159"/>
      <c r="X46" s="160">
        <v>0.6</v>
      </c>
      <c r="Y46" s="160">
        <v>0.6</v>
      </c>
      <c r="Z46" s="159">
        <v>0.12</v>
      </c>
      <c r="AA46" s="159">
        <v>0.12</v>
      </c>
      <c r="AB46" s="160">
        <v>0.8</v>
      </c>
      <c r="AC46" s="160">
        <v>0.8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P16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10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36563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8" t="s">
        <v>50</v>
      </c>
      <c r="J8" s="148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6</v>
      </c>
      <c r="J9" s="39">
        <v>7.3999999999999996E-2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-6°0,074</v>
      </c>
      <c r="P9" s="39" t="s">
        <v>53</v>
      </c>
      <c r="Q9" s="207">
        <f>IF(ISBLANK(I9),"",IF(ISBLANK(J9),"",IF(J9&gt;60,"ERREUR !!",O11*(I9+(J9/60)))))</f>
        <v>-6.0012333333333334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9</v>
      </c>
      <c r="J10" s="39">
        <v>59.61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-9°59,61</v>
      </c>
      <c r="P10" s="39" t="s">
        <v>55</v>
      </c>
      <c r="Q10" s="207">
        <f>IF(ISBLANK(I10),"",IF(ISBLANK(J10),"",IF(J10&gt;60,"ERREUR !!",O12*(I10+(J10/60)))))</f>
        <v>-9.9934999999999992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36562</v>
      </c>
      <c r="K11" s="72"/>
      <c r="L11" s="72"/>
      <c r="M11" s="72"/>
      <c r="N11" s="73" t="str">
        <f>I9&amp;"°"&amp;J9</f>
        <v>6°0,074</v>
      </c>
      <c r="O11" s="74">
        <f>IF(P9=M10,-1,1)</f>
        <v>-1</v>
      </c>
      <c r="P11" s="191" t="str">
        <f>TEXT(J11,"aaaa-mm-jj")&amp;"T"&amp;TEXT(J12,"hh:mm:ss")&amp;"z"</f>
        <v>2004-02-07T17:30:00z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0.72916666666666663</v>
      </c>
      <c r="K12" s="75"/>
      <c r="L12" s="75"/>
      <c r="M12" s="75"/>
      <c r="N12" s="76" t="str">
        <f>I10&amp;"°"&amp;J10</f>
        <v>9°59,61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9"/>
      <c r="F30" s="149"/>
      <c r="G30" s="149"/>
      <c r="H30" s="149"/>
      <c r="I30" s="14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50"/>
      <c r="L33" s="150"/>
      <c r="M33" s="150"/>
      <c r="N33" s="150"/>
      <c r="O33" s="15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34.597200000000001</v>
      </c>
      <c r="H35" s="151">
        <v>1000</v>
      </c>
      <c r="I35" s="155">
        <v>999</v>
      </c>
      <c r="J35" s="120"/>
      <c r="K35" s="121"/>
      <c r="L35" s="121"/>
      <c r="M35" s="121"/>
      <c r="N35" s="122"/>
      <c r="O35" s="121"/>
      <c r="P35" s="120">
        <v>3.63</v>
      </c>
      <c r="Q35" s="120"/>
      <c r="R35" s="120"/>
      <c r="S35" s="146">
        <v>157.80000000000001</v>
      </c>
      <c r="T35" s="159">
        <v>0</v>
      </c>
      <c r="U35" s="159">
        <v>0</v>
      </c>
      <c r="V35" s="159"/>
      <c r="W35" s="159"/>
      <c r="X35" s="163">
        <v>31.2</v>
      </c>
      <c r="Y35" s="160">
        <v>30.5</v>
      </c>
      <c r="Z35" s="159">
        <v>1.78</v>
      </c>
      <c r="AA35" s="159">
        <v>1.73</v>
      </c>
      <c r="AB35" s="160">
        <v>28.3</v>
      </c>
      <c r="AC35" s="160">
        <v>27.7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34.4953</v>
      </c>
      <c r="H36" s="151">
        <v>800</v>
      </c>
      <c r="I36" s="155">
        <v>800</v>
      </c>
      <c r="J36" s="99"/>
      <c r="K36" s="55"/>
      <c r="L36" s="55"/>
      <c r="M36" s="55"/>
      <c r="N36" s="56"/>
      <c r="O36" s="55"/>
      <c r="P36" s="99">
        <v>3.165</v>
      </c>
      <c r="Q36" s="99"/>
      <c r="R36" s="99"/>
      <c r="S36" s="147">
        <v>137.6</v>
      </c>
      <c r="T36" s="159">
        <v>0.05</v>
      </c>
      <c r="U36" s="159">
        <v>0.05</v>
      </c>
      <c r="V36" s="159"/>
      <c r="W36" s="159"/>
      <c r="X36" s="163">
        <v>35.9</v>
      </c>
      <c r="Y36" s="160">
        <v>35.1</v>
      </c>
      <c r="Z36" s="159">
        <v>1.95</v>
      </c>
      <c r="AA36" s="159">
        <v>1.91</v>
      </c>
      <c r="AB36" s="160">
        <v>28.7</v>
      </c>
      <c r="AC36" s="160">
        <v>28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34.634399999999999</v>
      </c>
      <c r="H37" s="151">
        <v>500</v>
      </c>
      <c r="I37" s="155">
        <v>500</v>
      </c>
      <c r="J37" s="99"/>
      <c r="K37" s="55"/>
      <c r="L37" s="55"/>
      <c r="M37" s="55"/>
      <c r="N37" s="56"/>
      <c r="O37" s="55"/>
      <c r="P37" s="99">
        <v>2.1930000000000001</v>
      </c>
      <c r="Q37" s="99"/>
      <c r="R37" s="99"/>
      <c r="S37" s="147">
        <v>95.4</v>
      </c>
      <c r="T37" s="159">
        <v>0.03</v>
      </c>
      <c r="U37" s="159">
        <v>0.03</v>
      </c>
      <c r="V37" s="159"/>
      <c r="W37" s="159"/>
      <c r="X37" s="163">
        <v>35.9</v>
      </c>
      <c r="Y37" s="160">
        <v>35.1</v>
      </c>
      <c r="Z37" s="159">
        <v>1.81</v>
      </c>
      <c r="AA37" s="159">
        <v>1.76</v>
      </c>
      <c r="AB37" s="160">
        <v>18.8</v>
      </c>
      <c r="AC37" s="160">
        <v>18.3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34.636400000000002</v>
      </c>
      <c r="H38" s="151">
        <v>500</v>
      </c>
      <c r="I38" s="155">
        <v>500</v>
      </c>
      <c r="J38" s="99"/>
      <c r="K38" s="55"/>
      <c r="L38" s="55"/>
      <c r="M38" s="55"/>
      <c r="N38" s="56"/>
      <c r="O38" s="55"/>
      <c r="P38" s="99">
        <v>2.181</v>
      </c>
      <c r="Q38" s="99"/>
      <c r="R38" s="99"/>
      <c r="S38" s="147">
        <v>94.9</v>
      </c>
      <c r="T38" s="159">
        <v>0.05</v>
      </c>
      <c r="U38" s="159">
        <v>0.05</v>
      </c>
      <c r="V38" s="159"/>
      <c r="W38" s="159"/>
      <c r="X38" s="163">
        <v>29.9</v>
      </c>
      <c r="Y38" s="160">
        <v>29.2</v>
      </c>
      <c r="Z38" s="159">
        <v>1.49</v>
      </c>
      <c r="AA38" s="159">
        <v>1.46</v>
      </c>
      <c r="AB38" s="160">
        <v>16</v>
      </c>
      <c r="AC38" s="160">
        <v>15.6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4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34.903799999999997</v>
      </c>
      <c r="H39" s="151">
        <v>300</v>
      </c>
      <c r="I39" s="155">
        <v>299</v>
      </c>
      <c r="J39" s="99"/>
      <c r="K39" s="55"/>
      <c r="L39" s="55"/>
      <c r="M39" s="55"/>
      <c r="N39" s="56"/>
      <c r="O39" s="55"/>
      <c r="P39" s="99">
        <v>1.923</v>
      </c>
      <c r="Q39" s="99"/>
      <c r="R39" s="99"/>
      <c r="S39" s="147">
        <v>83.6</v>
      </c>
      <c r="T39" s="159">
        <v>0</v>
      </c>
      <c r="U39" s="159">
        <v>0</v>
      </c>
      <c r="V39" s="159"/>
      <c r="W39" s="159"/>
      <c r="X39" s="161">
        <v>31</v>
      </c>
      <c r="Y39" s="160">
        <v>30.3</v>
      </c>
      <c r="Z39" s="159">
        <v>1.53</v>
      </c>
      <c r="AA39" s="159">
        <v>1.5</v>
      </c>
      <c r="AB39" s="160">
        <v>12.4</v>
      </c>
      <c r="AC39" s="160">
        <v>12.1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12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35.707999999999998</v>
      </c>
      <c r="H40" s="151">
        <v>100</v>
      </c>
      <c r="I40" s="155">
        <v>99</v>
      </c>
      <c r="J40" s="99"/>
      <c r="K40" s="55"/>
      <c r="L40" s="55"/>
      <c r="M40" s="55"/>
      <c r="N40" s="56"/>
      <c r="O40" s="55"/>
      <c r="P40" s="99">
        <v>2.6749999999999998</v>
      </c>
      <c r="Q40" s="99"/>
      <c r="R40" s="99"/>
      <c r="S40" s="147">
        <v>116.5</v>
      </c>
      <c r="T40" s="159">
        <v>0.16</v>
      </c>
      <c r="U40" s="159">
        <v>0.16</v>
      </c>
      <c r="V40" s="159"/>
      <c r="W40" s="159"/>
      <c r="X40" s="161">
        <v>16.7</v>
      </c>
      <c r="Y40" s="160">
        <v>16.3</v>
      </c>
      <c r="Z40" s="159">
        <v>0.88</v>
      </c>
      <c r="AA40" s="159">
        <v>0.86</v>
      </c>
      <c r="AB40" s="160">
        <v>4.8</v>
      </c>
      <c r="AC40" s="160">
        <v>4.7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4"/>
      <c r="AY40" s="66"/>
      <c r="AZ40" s="66"/>
      <c r="BA40" s="66"/>
      <c r="BB40" s="126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36.1432</v>
      </c>
      <c r="H41" s="151">
        <v>80</v>
      </c>
      <c r="I41" s="155">
        <v>80</v>
      </c>
      <c r="J41" s="99"/>
      <c r="K41" s="55"/>
      <c r="L41" s="55"/>
      <c r="M41" s="55"/>
      <c r="N41" s="56"/>
      <c r="O41" s="55"/>
      <c r="P41" s="99">
        <v>3.875</v>
      </c>
      <c r="Q41" s="99"/>
      <c r="R41" s="99"/>
      <c r="S41" s="147">
        <v>168.8</v>
      </c>
      <c r="T41" s="159">
        <v>0.17</v>
      </c>
      <c r="U41" s="159">
        <v>0.16</v>
      </c>
      <c r="V41" s="159"/>
      <c r="W41" s="159"/>
      <c r="X41" s="161">
        <v>6.7</v>
      </c>
      <c r="Y41" s="160">
        <v>6.6</v>
      </c>
      <c r="Z41" s="159">
        <v>0.42</v>
      </c>
      <c r="AA41" s="159">
        <v>0.41</v>
      </c>
      <c r="AB41" s="160">
        <v>2.4</v>
      </c>
      <c r="AC41" s="160">
        <v>2.4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12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36.289700000000003</v>
      </c>
      <c r="H42" s="151">
        <v>60</v>
      </c>
      <c r="I42" s="155">
        <v>60</v>
      </c>
      <c r="J42" s="99"/>
      <c r="K42" s="55"/>
      <c r="L42" s="55"/>
      <c r="M42" s="55"/>
      <c r="N42" s="56"/>
      <c r="O42" s="55"/>
      <c r="P42" s="99">
        <v>4.8490000000000002</v>
      </c>
      <c r="Q42" s="99"/>
      <c r="R42" s="99"/>
      <c r="S42" s="147">
        <v>211.4</v>
      </c>
      <c r="T42" s="159">
        <v>0.01</v>
      </c>
      <c r="U42" s="159">
        <v>0.01</v>
      </c>
      <c r="V42" s="159"/>
      <c r="W42" s="159"/>
      <c r="X42" s="161">
        <v>0.1</v>
      </c>
      <c r="Y42" s="160">
        <v>0.1</v>
      </c>
      <c r="Z42" s="159">
        <v>7.0000000000000007E-2</v>
      </c>
      <c r="AA42" s="159">
        <v>0.06</v>
      </c>
      <c r="AB42" s="160">
        <v>1</v>
      </c>
      <c r="AC42" s="160">
        <v>0.9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12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36.169699999999999</v>
      </c>
      <c r="H43" s="151">
        <v>40</v>
      </c>
      <c r="I43" s="155">
        <v>40</v>
      </c>
      <c r="J43" s="99"/>
      <c r="K43" s="55"/>
      <c r="L43" s="55"/>
      <c r="M43" s="55"/>
      <c r="N43" s="56"/>
      <c r="O43" s="55"/>
      <c r="P43" s="99">
        <v>4.6609999999999996</v>
      </c>
      <c r="Q43" s="99"/>
      <c r="R43" s="99"/>
      <c r="S43" s="147">
        <v>203.3</v>
      </c>
      <c r="T43" s="159">
        <v>0.01</v>
      </c>
      <c r="U43" s="159">
        <v>0.01</v>
      </c>
      <c r="V43" s="159"/>
      <c r="W43" s="159"/>
      <c r="X43" s="161">
        <v>0.1</v>
      </c>
      <c r="Y43" s="160">
        <v>0.1</v>
      </c>
      <c r="Z43" s="159">
        <v>0.1</v>
      </c>
      <c r="AA43" s="159">
        <v>0.1</v>
      </c>
      <c r="AB43" s="160">
        <v>0.9</v>
      </c>
      <c r="AC43" s="160">
        <v>0.9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4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35.925400000000003</v>
      </c>
      <c r="H44" s="156">
        <v>20</v>
      </c>
      <c r="I44" s="155">
        <v>20</v>
      </c>
      <c r="J44" s="99"/>
      <c r="K44" s="55"/>
      <c r="L44" s="55"/>
      <c r="M44" s="55"/>
      <c r="N44" s="56"/>
      <c r="O44" s="55"/>
      <c r="P44" s="99">
        <v>4.601</v>
      </c>
      <c r="Q44" s="99"/>
      <c r="R44" s="99"/>
      <c r="S44" s="147">
        <v>200.8</v>
      </c>
      <c r="T44" s="159">
        <v>0.06</v>
      </c>
      <c r="U44" s="159">
        <v>0.06</v>
      </c>
      <c r="V44" s="159"/>
      <c r="W44" s="159"/>
      <c r="X44" s="161">
        <v>0.1</v>
      </c>
      <c r="Y44" s="160">
        <v>0.1</v>
      </c>
      <c r="Z44" s="159">
        <v>0.08</v>
      </c>
      <c r="AA44" s="159">
        <v>7.0000000000000007E-2</v>
      </c>
      <c r="AB44" s="160">
        <v>0.6</v>
      </c>
      <c r="AC44" s="160">
        <v>0.6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12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35.748100000000001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4.58</v>
      </c>
      <c r="Q45" s="99"/>
      <c r="R45" s="99"/>
      <c r="S45" s="147">
        <v>199.9</v>
      </c>
      <c r="T45" s="159">
        <v>0</v>
      </c>
      <c r="U45" s="159">
        <v>0</v>
      </c>
      <c r="V45" s="159"/>
      <c r="W45" s="159"/>
      <c r="X45" s="161">
        <v>0.1</v>
      </c>
      <c r="Y45" s="160">
        <v>0.1</v>
      </c>
      <c r="Z45" s="159">
        <v>0.06</v>
      </c>
      <c r="AA45" s="159">
        <v>0.05</v>
      </c>
      <c r="AB45" s="160">
        <v>0.6</v>
      </c>
      <c r="AC45" s="160">
        <v>0.6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35.752000000000002</v>
      </c>
      <c r="H46" s="156">
        <v>0</v>
      </c>
      <c r="I46" s="155">
        <v>0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00">
        <v>4.5679999999999996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199.4</v>
      </c>
      <c r="T46" s="159">
        <v>0.04</v>
      </c>
      <c r="U46" s="159">
        <v>0.04</v>
      </c>
      <c r="V46" s="159"/>
      <c r="W46" s="159"/>
      <c r="X46" s="161">
        <v>0.1</v>
      </c>
      <c r="Y46" s="160">
        <v>0.1</v>
      </c>
      <c r="Z46" s="159">
        <v>0.11</v>
      </c>
      <c r="AA46" s="159">
        <v>0.11</v>
      </c>
      <c r="AB46" s="160">
        <v>0.8</v>
      </c>
      <c r="AC46" s="160">
        <v>0.8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R16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11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36564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8" t="s">
        <v>50</v>
      </c>
      <c r="J8" s="148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6</v>
      </c>
      <c r="J9" s="39">
        <v>59.976999999999997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-6°59,977</v>
      </c>
      <c r="P9" s="39" t="s">
        <v>53</v>
      </c>
      <c r="Q9" s="207">
        <f>IF(ISBLANK(I9),"",IF(ISBLANK(J9),"",IF(J9&gt;60,"ERREUR !!",O11*(I9+(J9/60)))))</f>
        <v>-6.9996166666666664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9</v>
      </c>
      <c r="J10" s="39">
        <v>59.957000000000001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-9°59,957</v>
      </c>
      <c r="P10" s="39" t="s">
        <v>55</v>
      </c>
      <c r="Q10" s="207">
        <f>IF(ISBLANK(I10),"",IF(ISBLANK(J10),"",IF(J10&gt;60,"ERREUR !!",O12*(I10+(J10/60)))))</f>
        <v>-9.9992833333333326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36563</v>
      </c>
      <c r="K11" s="72"/>
      <c r="L11" s="72"/>
      <c r="M11" s="72"/>
      <c r="N11" s="73" t="str">
        <f>I9&amp;"°"&amp;J9</f>
        <v>6°59,977</v>
      </c>
      <c r="O11" s="74">
        <f>IF(P9=M10,-1,1)</f>
        <v>-1</v>
      </c>
      <c r="P11" s="191" t="str">
        <f>TEXT(J11,"aaaa-mm-jj")&amp;"T"&amp;TEXT(J12,"hh:mm:ss")&amp;"z"</f>
        <v>2004-02-08T01:00:00z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4.1666666666666664E-2</v>
      </c>
      <c r="K12" s="75"/>
      <c r="L12" s="75"/>
      <c r="M12" s="75"/>
      <c r="N12" s="76" t="str">
        <f>I10&amp;"°"&amp;J10</f>
        <v>9°59,957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9"/>
      <c r="F30" s="149"/>
      <c r="G30" s="149"/>
      <c r="H30" s="149"/>
      <c r="I30" s="14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50"/>
      <c r="L33" s="150"/>
      <c r="M33" s="150"/>
      <c r="N33" s="150"/>
      <c r="O33" s="15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34.591900000000003</v>
      </c>
      <c r="H35" s="151">
        <v>1000</v>
      </c>
      <c r="I35" s="155">
        <v>1001</v>
      </c>
      <c r="J35" s="120"/>
      <c r="K35" s="121"/>
      <c r="L35" s="121"/>
      <c r="M35" s="121"/>
      <c r="N35" s="122"/>
      <c r="O35" s="121"/>
      <c r="P35" s="120">
        <v>3.6859999999999999</v>
      </c>
      <c r="Q35" s="120"/>
      <c r="R35" s="120"/>
      <c r="S35" s="146">
        <v>160.30000000000001</v>
      </c>
      <c r="T35" s="159">
        <v>0.05</v>
      </c>
      <c r="U35" s="159">
        <v>0.05</v>
      </c>
      <c r="V35" s="159"/>
      <c r="W35" s="159"/>
      <c r="X35" s="160">
        <v>33.299999999999997</v>
      </c>
      <c r="Y35" s="160">
        <v>32.5</v>
      </c>
      <c r="Z35" s="159">
        <v>2.13</v>
      </c>
      <c r="AA35" s="159">
        <v>2.08</v>
      </c>
      <c r="AB35" s="160">
        <v>30.5</v>
      </c>
      <c r="AC35" s="160">
        <v>29.8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34.492800000000003</v>
      </c>
      <c r="H36" s="151">
        <v>800</v>
      </c>
      <c r="I36" s="155">
        <v>800</v>
      </c>
      <c r="J36" s="99"/>
      <c r="K36" s="55"/>
      <c r="L36" s="55"/>
      <c r="M36" s="55"/>
      <c r="N36" s="56"/>
      <c r="O36" s="55"/>
      <c r="P36" s="99">
        <v>3.1720000000000002</v>
      </c>
      <c r="Q36" s="99"/>
      <c r="R36" s="99"/>
      <c r="S36" s="147">
        <v>137.9</v>
      </c>
      <c r="T36" s="159">
        <v>0.05</v>
      </c>
      <c r="U36" s="159">
        <v>0.05</v>
      </c>
      <c r="V36" s="159"/>
      <c r="W36" s="159"/>
      <c r="X36" s="160">
        <v>25.1</v>
      </c>
      <c r="Y36" s="160">
        <v>24.5</v>
      </c>
      <c r="Z36" s="159">
        <v>1.81</v>
      </c>
      <c r="AA36" s="159">
        <v>1.77</v>
      </c>
      <c r="AB36" s="160">
        <v>28.3</v>
      </c>
      <c r="AC36" s="160">
        <v>27.7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34.691400000000002</v>
      </c>
      <c r="H37" s="151">
        <v>500</v>
      </c>
      <c r="I37" s="155">
        <v>498</v>
      </c>
      <c r="J37" s="99"/>
      <c r="K37" s="55"/>
      <c r="L37" s="55"/>
      <c r="M37" s="55"/>
      <c r="N37" s="56"/>
      <c r="O37" s="55"/>
      <c r="P37" s="99">
        <v>1.6080000000000001</v>
      </c>
      <c r="Q37" s="99"/>
      <c r="R37" s="99"/>
      <c r="S37" s="147">
        <v>70</v>
      </c>
      <c r="T37" s="159">
        <v>0.05</v>
      </c>
      <c r="U37" s="159">
        <v>0.05</v>
      </c>
      <c r="V37" s="159"/>
      <c r="W37" s="159"/>
      <c r="X37" s="160">
        <v>29.2</v>
      </c>
      <c r="Y37" s="160">
        <v>28.5</v>
      </c>
      <c r="Z37" s="159">
        <v>1.83</v>
      </c>
      <c r="AA37" s="159">
        <v>1.79</v>
      </c>
      <c r="AB37" s="160">
        <v>19.600000000000001</v>
      </c>
      <c r="AC37" s="160">
        <v>19.2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34.872999999999998</v>
      </c>
      <c r="H38" s="151">
        <v>300</v>
      </c>
      <c r="I38" s="155">
        <v>299</v>
      </c>
      <c r="J38" s="99"/>
      <c r="K38" s="55"/>
      <c r="L38" s="55"/>
      <c r="M38" s="55"/>
      <c r="N38" s="56"/>
      <c r="O38" s="55"/>
      <c r="P38" s="99">
        <v>1.95</v>
      </c>
      <c r="Q38" s="99"/>
      <c r="R38" s="99"/>
      <c r="S38" s="147">
        <v>84.8</v>
      </c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4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34.872700000000002</v>
      </c>
      <c r="H39" s="151">
        <v>300</v>
      </c>
      <c r="I39" s="155">
        <v>299</v>
      </c>
      <c r="J39" s="99"/>
      <c r="K39" s="55"/>
      <c r="L39" s="55"/>
      <c r="M39" s="55"/>
      <c r="N39" s="56"/>
      <c r="O39" s="55"/>
      <c r="P39" s="99">
        <v>1.9330000000000001</v>
      </c>
      <c r="Q39" s="99"/>
      <c r="R39" s="99"/>
      <c r="S39" s="147">
        <v>84.1</v>
      </c>
      <c r="T39" s="159">
        <v>0.03</v>
      </c>
      <c r="U39" s="159">
        <v>0.03</v>
      </c>
      <c r="V39" s="159"/>
      <c r="W39" s="159"/>
      <c r="X39" s="160">
        <v>22.1</v>
      </c>
      <c r="Y39" s="159">
        <v>21.6</v>
      </c>
      <c r="Z39" s="159">
        <v>1.36</v>
      </c>
      <c r="AA39" s="159">
        <v>1.33</v>
      </c>
      <c r="AB39" s="160">
        <v>14</v>
      </c>
      <c r="AC39" s="160">
        <v>13.7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12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36.089399999999998</v>
      </c>
      <c r="H40" s="151">
        <v>100</v>
      </c>
      <c r="I40" s="155">
        <v>99</v>
      </c>
      <c r="J40" s="99"/>
      <c r="K40" s="55"/>
      <c r="L40" s="55"/>
      <c r="M40" s="55"/>
      <c r="N40" s="56"/>
      <c r="O40" s="55"/>
      <c r="P40" s="99">
        <v>3.6030000000000002</v>
      </c>
      <c r="Q40" s="99"/>
      <c r="R40" s="99"/>
      <c r="S40" s="147">
        <v>156.9</v>
      </c>
      <c r="T40" s="159">
        <v>0.18</v>
      </c>
      <c r="U40" s="159">
        <v>0.18</v>
      </c>
      <c r="V40" s="159"/>
      <c r="W40" s="159"/>
      <c r="X40" s="160">
        <v>2</v>
      </c>
      <c r="Y40" s="160">
        <v>1.9</v>
      </c>
      <c r="Z40" s="159">
        <v>0.12</v>
      </c>
      <c r="AA40" s="159">
        <v>0.11</v>
      </c>
      <c r="AB40" s="160">
        <v>3.8</v>
      </c>
      <c r="AC40" s="160">
        <v>3.7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4"/>
      <c r="AY40" s="66"/>
      <c r="AZ40" s="66"/>
      <c r="BA40" s="66"/>
      <c r="BB40" s="126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36.2714</v>
      </c>
      <c r="H41" s="151">
        <v>80</v>
      </c>
      <c r="I41" s="155">
        <v>80</v>
      </c>
      <c r="J41" s="99"/>
      <c r="K41" s="55"/>
      <c r="L41" s="55"/>
      <c r="M41" s="55"/>
      <c r="N41" s="56"/>
      <c r="O41" s="55"/>
      <c r="P41" s="99">
        <v>4.867</v>
      </c>
      <c r="Q41" s="99"/>
      <c r="R41" s="99"/>
      <c r="S41" s="147">
        <v>212.1</v>
      </c>
      <c r="T41" s="159">
        <v>0</v>
      </c>
      <c r="U41" s="159">
        <v>0</v>
      </c>
      <c r="V41" s="159"/>
      <c r="W41" s="159"/>
      <c r="X41" s="160">
        <v>0</v>
      </c>
      <c r="Y41" s="160">
        <v>0</v>
      </c>
      <c r="Z41" s="159">
        <v>0</v>
      </c>
      <c r="AA41" s="159">
        <v>0</v>
      </c>
      <c r="AB41" s="160">
        <v>3.4</v>
      </c>
      <c r="AC41" s="160">
        <v>3.3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12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36.244100000000003</v>
      </c>
      <c r="H42" s="151">
        <v>60</v>
      </c>
      <c r="I42" s="155">
        <v>59</v>
      </c>
      <c r="J42" s="99"/>
      <c r="K42" s="55"/>
      <c r="L42" s="55"/>
      <c r="M42" s="55"/>
      <c r="N42" s="56"/>
      <c r="O42" s="55"/>
      <c r="P42" s="99">
        <v>4.6980000000000004</v>
      </c>
      <c r="Q42" s="99"/>
      <c r="R42" s="99"/>
      <c r="S42" s="147">
        <v>204.9</v>
      </c>
      <c r="T42" s="159">
        <v>0</v>
      </c>
      <c r="U42" s="159">
        <v>0</v>
      </c>
      <c r="V42" s="159"/>
      <c r="W42" s="159"/>
      <c r="X42" s="160">
        <v>0</v>
      </c>
      <c r="Y42" s="160">
        <v>0</v>
      </c>
      <c r="Z42" s="159">
        <v>0</v>
      </c>
      <c r="AA42" s="159">
        <v>0</v>
      </c>
      <c r="AB42" s="160">
        <v>3.1</v>
      </c>
      <c r="AC42" s="160">
        <v>3.1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12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36.0764</v>
      </c>
      <c r="H43" s="151">
        <v>40</v>
      </c>
      <c r="I43" s="155">
        <v>40</v>
      </c>
      <c r="J43" s="99"/>
      <c r="K43" s="55"/>
      <c r="L43" s="55"/>
      <c r="M43" s="55"/>
      <c r="N43" s="56"/>
      <c r="O43" s="55"/>
      <c r="P43" s="99">
        <v>4.6079999999999997</v>
      </c>
      <c r="Q43" s="99"/>
      <c r="R43" s="99"/>
      <c r="S43" s="147">
        <v>201</v>
      </c>
      <c r="T43" s="159">
        <v>0.05</v>
      </c>
      <c r="U43" s="159">
        <v>0.05</v>
      </c>
      <c r="V43" s="159"/>
      <c r="W43" s="159"/>
      <c r="X43" s="160">
        <v>0.1</v>
      </c>
      <c r="Y43" s="160">
        <v>0.1</v>
      </c>
      <c r="Z43" s="159">
        <v>0.03</v>
      </c>
      <c r="AA43" s="159">
        <v>0.03</v>
      </c>
      <c r="AB43" s="160">
        <v>0.7</v>
      </c>
      <c r="AC43" s="160">
        <v>0.7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4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36.077800000000003</v>
      </c>
      <c r="H44" s="156">
        <v>20</v>
      </c>
      <c r="I44" s="155">
        <v>19</v>
      </c>
      <c r="J44" s="99"/>
      <c r="K44" s="55"/>
      <c r="L44" s="55"/>
      <c r="M44" s="55"/>
      <c r="N44" s="56"/>
      <c r="O44" s="55"/>
      <c r="P44" s="99">
        <v>4.6059999999999999</v>
      </c>
      <c r="Q44" s="99"/>
      <c r="R44" s="99"/>
      <c r="S44" s="147">
        <v>200.9</v>
      </c>
      <c r="T44" s="159">
        <v>0</v>
      </c>
      <c r="U44" s="159">
        <v>0</v>
      </c>
      <c r="V44" s="159"/>
      <c r="W44" s="159"/>
      <c r="X44" s="160">
        <v>0</v>
      </c>
      <c r="Y44" s="160">
        <v>0</v>
      </c>
      <c r="Z44" s="159">
        <v>0</v>
      </c>
      <c r="AA44" s="159">
        <v>0</v>
      </c>
      <c r="AB44" s="160">
        <v>0.1</v>
      </c>
      <c r="AC44" s="160">
        <v>0.1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12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36.078400000000002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4.5890000000000004</v>
      </c>
      <c r="Q45" s="99"/>
      <c r="R45" s="99"/>
      <c r="S45" s="147">
        <v>200.2</v>
      </c>
      <c r="T45" s="159">
        <v>0</v>
      </c>
      <c r="U45" s="159">
        <v>0</v>
      </c>
      <c r="V45" s="159"/>
      <c r="W45" s="159"/>
      <c r="X45" s="160">
        <v>0</v>
      </c>
      <c r="Y45" s="160">
        <v>0</v>
      </c>
      <c r="Z45" s="159">
        <v>0</v>
      </c>
      <c r="AA45" s="159">
        <v>0</v>
      </c>
      <c r="AB45" s="160">
        <v>0.3</v>
      </c>
      <c r="AC45" s="160">
        <v>0.3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36.076000000000001</v>
      </c>
      <c r="H46" s="156">
        <v>0</v>
      </c>
      <c r="I46" s="155">
        <v>0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00">
        <v>4.5880000000000001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200.2</v>
      </c>
      <c r="T46" s="159">
        <v>0</v>
      </c>
      <c r="U46" s="159">
        <v>0</v>
      </c>
      <c r="V46" s="159"/>
      <c r="W46" s="159"/>
      <c r="X46" s="160">
        <v>0</v>
      </c>
      <c r="Y46" s="160">
        <v>0</v>
      </c>
      <c r="Z46" s="159">
        <v>0.03</v>
      </c>
      <c r="AA46" s="159">
        <v>0.03</v>
      </c>
      <c r="AB46" s="160">
        <v>0.3</v>
      </c>
      <c r="AC46" s="160">
        <v>0.3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Q11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12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36564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8" t="s">
        <v>50</v>
      </c>
      <c r="J8" s="148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7</v>
      </c>
      <c r="J9" s="39">
        <v>59.976999999999997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-7°59,977</v>
      </c>
      <c r="P9" s="39" t="s">
        <v>53</v>
      </c>
      <c r="Q9" s="207">
        <f>IF(ISBLANK(I9),"",IF(ISBLANK(J9),"",IF(J9&gt;60,"ERREUR !!",O11*(I9+(J9/60)))))</f>
        <v>-7.9996166666666664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10</v>
      </c>
      <c r="J10" s="39">
        <v>0.03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-10°0,03</v>
      </c>
      <c r="P10" s="39" t="s">
        <v>55</v>
      </c>
      <c r="Q10" s="207">
        <f>IF(ISBLANK(I10),"",IF(ISBLANK(J10),"",IF(J10&gt;60,"ERREUR !!",O12*(I10+(J10/60)))))</f>
        <v>-10.000500000000001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36563</v>
      </c>
      <c r="K11" s="72"/>
      <c r="L11" s="72"/>
      <c r="M11" s="72"/>
      <c r="N11" s="73" t="str">
        <f>I9&amp;"°"&amp;J9</f>
        <v>7°59,977</v>
      </c>
      <c r="O11" s="74">
        <f>IF(P9=M10,-1,1)</f>
        <v>-1</v>
      </c>
      <c r="P11" s="191" t="str">
        <f>TEXT(J11,"aaaa-mm-jj")&amp;"T"&amp;TEXT(J12,"hh:mm:ss")&amp;"z"</f>
        <v>2004-02-08T08:00:00z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0.33333333333333331</v>
      </c>
      <c r="K12" s="75"/>
      <c r="L12" s="75"/>
      <c r="M12" s="75"/>
      <c r="N12" s="76" t="str">
        <f>I10&amp;"°"&amp;J10</f>
        <v>10°0,03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9"/>
      <c r="F30" s="149"/>
      <c r="G30" s="149"/>
      <c r="H30" s="149"/>
      <c r="I30" s="14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50"/>
      <c r="L33" s="150"/>
      <c r="M33" s="150"/>
      <c r="N33" s="150"/>
      <c r="O33" s="15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34.581299999999999</v>
      </c>
      <c r="H35" s="151">
        <v>1000</v>
      </c>
      <c r="I35" s="155">
        <v>1006</v>
      </c>
      <c r="J35" s="120"/>
      <c r="K35" s="121"/>
      <c r="L35" s="121"/>
      <c r="M35" s="121"/>
      <c r="N35" s="122"/>
      <c r="O35" s="121"/>
      <c r="P35" s="120">
        <v>3.6070000000000002</v>
      </c>
      <c r="Q35" s="120"/>
      <c r="R35" s="120"/>
      <c r="S35" s="146">
        <v>156.80000000000001</v>
      </c>
      <c r="T35" s="159">
        <v>0.04</v>
      </c>
      <c r="U35" s="159">
        <v>0.03</v>
      </c>
      <c r="V35" s="159"/>
      <c r="W35" s="159"/>
      <c r="X35" s="160">
        <v>33.799999999999997</v>
      </c>
      <c r="Y35" s="160">
        <v>33</v>
      </c>
      <c r="Z35" s="159">
        <v>2.19</v>
      </c>
      <c r="AA35" s="159">
        <v>2.14</v>
      </c>
      <c r="AB35" s="161">
        <v>31.1</v>
      </c>
      <c r="AC35" s="160">
        <v>30.4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34.583599999999997</v>
      </c>
      <c r="H36" s="151">
        <v>1000</v>
      </c>
      <c r="I36" s="155">
        <v>1006</v>
      </c>
      <c r="J36" s="99"/>
      <c r="K36" s="55"/>
      <c r="L36" s="55"/>
      <c r="M36" s="55"/>
      <c r="N36" s="56"/>
      <c r="O36" s="55"/>
      <c r="P36" s="99">
        <v>3.62</v>
      </c>
      <c r="Q36" s="99"/>
      <c r="R36" s="99"/>
      <c r="S36" s="147">
        <v>157.4</v>
      </c>
      <c r="T36" s="159">
        <v>0.1</v>
      </c>
      <c r="U36" s="159">
        <v>0.1</v>
      </c>
      <c r="V36" s="159"/>
      <c r="W36" s="159"/>
      <c r="X36" s="160">
        <v>33.799999999999997</v>
      </c>
      <c r="Y36" s="160">
        <v>33</v>
      </c>
      <c r="Z36" s="159">
        <v>2.04</v>
      </c>
      <c r="AA36" s="159">
        <v>2</v>
      </c>
      <c r="AB36" s="161">
        <v>30.8</v>
      </c>
      <c r="AC36" s="160">
        <v>30.1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34.491399999999999</v>
      </c>
      <c r="H37" s="151">
        <v>800</v>
      </c>
      <c r="I37" s="155">
        <v>800</v>
      </c>
      <c r="J37" s="99"/>
      <c r="K37" s="55"/>
      <c r="L37" s="55"/>
      <c r="M37" s="55"/>
      <c r="N37" s="56"/>
      <c r="O37" s="55"/>
      <c r="P37" s="99">
        <v>3.173</v>
      </c>
      <c r="Q37" s="99"/>
      <c r="R37" s="99"/>
      <c r="S37" s="147">
        <v>138</v>
      </c>
      <c r="T37" s="159">
        <v>0.05</v>
      </c>
      <c r="U37" s="159">
        <v>0.05</v>
      </c>
      <c r="V37" s="159"/>
      <c r="W37" s="159"/>
      <c r="X37" s="160">
        <v>34.200000000000003</v>
      </c>
      <c r="Y37" s="160">
        <v>33.4</v>
      </c>
      <c r="Z37" s="159">
        <v>2.21</v>
      </c>
      <c r="AA37" s="159">
        <v>2.16</v>
      </c>
      <c r="AB37" s="161">
        <v>28.4</v>
      </c>
      <c r="AC37" s="160">
        <v>27.8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34.663400000000003</v>
      </c>
      <c r="H38" s="151">
        <v>500</v>
      </c>
      <c r="I38" s="155">
        <v>500</v>
      </c>
      <c r="J38" s="99"/>
      <c r="K38" s="55"/>
      <c r="L38" s="55"/>
      <c r="M38" s="55"/>
      <c r="N38" s="56"/>
      <c r="O38" s="55"/>
      <c r="P38" s="99">
        <v>1.756</v>
      </c>
      <c r="Q38" s="99"/>
      <c r="R38" s="99"/>
      <c r="S38" s="147">
        <v>76.400000000000006</v>
      </c>
      <c r="T38" s="159">
        <v>0.05</v>
      </c>
      <c r="U38" s="159">
        <v>0.04</v>
      </c>
      <c r="V38" s="159"/>
      <c r="W38" s="159"/>
      <c r="X38" s="160">
        <v>43.4</v>
      </c>
      <c r="Y38" s="160">
        <v>42.4</v>
      </c>
      <c r="Z38" s="159">
        <v>2.36</v>
      </c>
      <c r="AA38" s="159">
        <v>2.2999999999999998</v>
      </c>
      <c r="AB38" s="161">
        <v>21</v>
      </c>
      <c r="AC38" s="160">
        <v>20.5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4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34.895299999999999</v>
      </c>
      <c r="H39" s="151">
        <v>300</v>
      </c>
      <c r="I39" s="155">
        <v>300</v>
      </c>
      <c r="J39" s="99"/>
      <c r="K39" s="55"/>
      <c r="L39" s="55"/>
      <c r="M39" s="55"/>
      <c r="N39" s="56"/>
      <c r="O39" s="55"/>
      <c r="P39" s="99">
        <v>2.1120000000000001</v>
      </c>
      <c r="Q39" s="99"/>
      <c r="R39" s="99"/>
      <c r="S39" s="147">
        <v>91.9</v>
      </c>
      <c r="T39" s="159">
        <v>0.03</v>
      </c>
      <c r="U39" s="159">
        <v>0.03</v>
      </c>
      <c r="V39" s="159"/>
      <c r="W39" s="159"/>
      <c r="X39" s="160">
        <v>30.4</v>
      </c>
      <c r="Y39" s="160">
        <v>29.7</v>
      </c>
      <c r="Z39" s="159">
        <v>1.63</v>
      </c>
      <c r="AA39" s="159">
        <v>1.6</v>
      </c>
      <c r="AB39" s="161">
        <v>11.8</v>
      </c>
      <c r="AC39" s="160">
        <v>11.5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12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35.610399999999998</v>
      </c>
      <c r="H40" s="151">
        <v>100</v>
      </c>
      <c r="I40" s="155">
        <v>99</v>
      </c>
      <c r="J40" s="99"/>
      <c r="K40" s="55"/>
      <c r="L40" s="55"/>
      <c r="M40" s="55"/>
      <c r="N40" s="56"/>
      <c r="O40" s="55"/>
      <c r="P40" s="99">
        <v>2.4319999999999999</v>
      </c>
      <c r="Q40" s="99"/>
      <c r="R40" s="99"/>
      <c r="S40" s="147">
        <v>105.9</v>
      </c>
      <c r="T40" s="159">
        <v>0.19</v>
      </c>
      <c r="U40" s="159">
        <v>0.19</v>
      </c>
      <c r="V40" s="159"/>
      <c r="W40" s="159"/>
      <c r="X40" s="160">
        <v>19</v>
      </c>
      <c r="Y40" s="160">
        <v>18.600000000000001</v>
      </c>
      <c r="Z40" s="159">
        <v>1.07</v>
      </c>
      <c r="AA40" s="159">
        <v>1.05</v>
      </c>
      <c r="AB40" s="161">
        <v>4.8</v>
      </c>
      <c r="AC40" s="160">
        <v>4.7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4"/>
      <c r="AY40" s="66"/>
      <c r="AZ40" s="66"/>
      <c r="BA40" s="66"/>
      <c r="BB40" s="126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35.861600000000003</v>
      </c>
      <c r="H41" s="151">
        <v>80</v>
      </c>
      <c r="I41" s="155">
        <v>80</v>
      </c>
      <c r="J41" s="99"/>
      <c r="K41" s="55"/>
      <c r="L41" s="55"/>
      <c r="M41" s="55"/>
      <c r="N41" s="56"/>
      <c r="O41" s="55"/>
      <c r="P41" s="99">
        <v>3.3359999999999999</v>
      </c>
      <c r="Q41" s="99"/>
      <c r="R41" s="99"/>
      <c r="S41" s="147">
        <v>145.30000000000001</v>
      </c>
      <c r="T41" s="159">
        <v>0.28999999999999998</v>
      </c>
      <c r="U41" s="159">
        <v>0.28000000000000003</v>
      </c>
      <c r="V41" s="159"/>
      <c r="W41" s="159"/>
      <c r="X41" s="160">
        <v>11.1</v>
      </c>
      <c r="Y41" s="160">
        <v>10.8</v>
      </c>
      <c r="Z41" s="159">
        <v>0.71</v>
      </c>
      <c r="AA41" s="159">
        <v>0.69</v>
      </c>
      <c r="AB41" s="161">
        <v>3.2</v>
      </c>
      <c r="AC41" s="160">
        <v>3.2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12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36.035200000000003</v>
      </c>
      <c r="H42" s="151">
        <v>60</v>
      </c>
      <c r="I42" s="155">
        <v>59</v>
      </c>
      <c r="J42" s="99"/>
      <c r="K42" s="55"/>
      <c r="L42" s="55"/>
      <c r="M42" s="55"/>
      <c r="N42" s="56"/>
      <c r="O42" s="55"/>
      <c r="P42" s="99">
        <v>4.6390000000000002</v>
      </c>
      <c r="Q42" s="99"/>
      <c r="R42" s="99"/>
      <c r="S42" s="147">
        <v>202.2</v>
      </c>
      <c r="T42" s="159">
        <v>0.09</v>
      </c>
      <c r="U42" s="159">
        <v>0.09</v>
      </c>
      <c r="V42" s="159"/>
      <c r="W42" s="159"/>
      <c r="X42" s="160">
        <v>1.3</v>
      </c>
      <c r="Y42" s="160">
        <v>1.3</v>
      </c>
      <c r="Z42" s="159">
        <v>0.26</v>
      </c>
      <c r="AA42" s="159">
        <v>0.25</v>
      </c>
      <c r="AB42" s="161">
        <v>1.7</v>
      </c>
      <c r="AC42" s="160">
        <v>1.6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12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36.261600000000001</v>
      </c>
      <c r="H43" s="151">
        <v>40</v>
      </c>
      <c r="I43" s="155">
        <v>32</v>
      </c>
      <c r="J43" s="99"/>
      <c r="K43" s="55"/>
      <c r="L43" s="55"/>
      <c r="M43" s="55"/>
      <c r="N43" s="56"/>
      <c r="O43" s="55"/>
      <c r="P43" s="99">
        <v>4.6779999999999999</v>
      </c>
      <c r="Q43" s="99"/>
      <c r="R43" s="99"/>
      <c r="S43" s="147">
        <v>204</v>
      </c>
      <c r="T43" s="159">
        <v>0.05</v>
      </c>
      <c r="U43" s="159">
        <v>0.05</v>
      </c>
      <c r="V43" s="159"/>
      <c r="W43" s="159"/>
      <c r="X43" s="160">
        <v>0.1</v>
      </c>
      <c r="Y43" s="160">
        <v>0.1</v>
      </c>
      <c r="Z43" s="159">
        <v>0.13</v>
      </c>
      <c r="AA43" s="159">
        <v>0.13</v>
      </c>
      <c r="AB43" s="161">
        <v>0.8</v>
      </c>
      <c r="AC43" s="160">
        <v>0.8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4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36.259300000000003</v>
      </c>
      <c r="H44" s="156">
        <v>20</v>
      </c>
      <c r="I44" s="155">
        <v>18</v>
      </c>
      <c r="J44" s="99"/>
      <c r="K44" s="55"/>
      <c r="L44" s="55"/>
      <c r="M44" s="55"/>
      <c r="N44" s="56"/>
      <c r="O44" s="55"/>
      <c r="P44" s="99">
        <v>4.6740000000000004</v>
      </c>
      <c r="Q44" s="99"/>
      <c r="R44" s="99"/>
      <c r="S44" s="147">
        <v>203.9</v>
      </c>
      <c r="T44" s="159">
        <v>0.05</v>
      </c>
      <c r="U44" s="159">
        <v>0.05</v>
      </c>
      <c r="V44" s="159"/>
      <c r="W44" s="159"/>
      <c r="X44" s="160">
        <v>0.1</v>
      </c>
      <c r="Y44" s="160">
        <v>0.1</v>
      </c>
      <c r="Z44" s="159">
        <v>0.18</v>
      </c>
      <c r="AA44" s="159">
        <v>0.17</v>
      </c>
      <c r="AB44" s="161">
        <v>0.9</v>
      </c>
      <c r="AC44" s="160">
        <v>0.9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12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36.258200000000002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4.66</v>
      </c>
      <c r="Q45" s="99"/>
      <c r="R45" s="99"/>
      <c r="S45" s="147">
        <v>203.3</v>
      </c>
      <c r="T45" s="159">
        <v>0</v>
      </c>
      <c r="U45" s="159">
        <v>0</v>
      </c>
      <c r="V45" s="159"/>
      <c r="W45" s="159"/>
      <c r="X45" s="160">
        <v>0.1</v>
      </c>
      <c r="Y45" s="160">
        <v>0.1</v>
      </c>
      <c r="Z45" s="159">
        <v>0.2</v>
      </c>
      <c r="AA45" s="159">
        <v>0.2</v>
      </c>
      <c r="AB45" s="160">
        <v>0.9</v>
      </c>
      <c r="AC45" s="160">
        <v>0.9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36.257399999999997</v>
      </c>
      <c r="H46" s="156">
        <v>0</v>
      </c>
      <c r="I46" s="155">
        <v>1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00">
        <v>4.6669999999999998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203.6</v>
      </c>
      <c r="T46" s="159">
        <v>0</v>
      </c>
      <c r="U46" s="159">
        <v>0</v>
      </c>
      <c r="V46" s="159"/>
      <c r="W46" s="159"/>
      <c r="X46" s="160">
        <v>0.1</v>
      </c>
      <c r="Y46" s="160">
        <v>0.1</v>
      </c>
      <c r="Z46" s="159">
        <v>0.24</v>
      </c>
      <c r="AA46" s="159">
        <v>0.23</v>
      </c>
      <c r="AB46" s="160">
        <v>1</v>
      </c>
      <c r="AC46" s="160">
        <v>0.9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R13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13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36564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8" t="s">
        <v>50</v>
      </c>
      <c r="J8" s="148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9</v>
      </c>
      <c r="J9" s="39">
        <v>5.2999999999999999E-2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-9°0,053</v>
      </c>
      <c r="P9" s="39" t="s">
        <v>53</v>
      </c>
      <c r="Q9" s="207">
        <f>IF(ISBLANK(I9),"",IF(ISBLANK(J9),"",IF(J9&gt;60,"ERREUR !!",O11*(I9+(J9/60)))))</f>
        <v>-9.0008833333333325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10</v>
      </c>
      <c r="J10" s="39">
        <v>0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</v>
      </c>
      <c r="P10" s="39" t="s">
        <v>55</v>
      </c>
      <c r="Q10" s="207">
        <f>IF(ISBLANK(I10),"",IF(ISBLANK(J10),"",IF(J10&gt;60,"ERREUR !!",O12*(I10+(J10/60)))))</f>
        <v>-10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36563</v>
      </c>
      <c r="K11" s="72"/>
      <c r="L11" s="72"/>
      <c r="M11" s="72"/>
      <c r="N11" s="73" t="str">
        <f>I9&amp;"°"&amp;J9</f>
        <v>9°0,053</v>
      </c>
      <c r="O11" s="74">
        <f>IF(P9=M10,-1,1)</f>
        <v>-1</v>
      </c>
      <c r="P11" s="191" t="str">
        <f>TEXT(J11,"aaaa-mm-jj")&amp;"T"&amp;TEXT(J12,"hh:mm:ss")&amp;"z"</f>
        <v>2004-02-08T14:00:00z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0.58333333333333337</v>
      </c>
      <c r="K12" s="75"/>
      <c r="L12" s="75"/>
      <c r="M12" s="75"/>
      <c r="N12" s="76" t="str">
        <f>I10&amp;"°"&amp;J10</f>
        <v>10°0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9"/>
      <c r="F30" s="149"/>
      <c r="G30" s="149"/>
      <c r="H30" s="149"/>
      <c r="I30" s="14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50"/>
      <c r="L33" s="150"/>
      <c r="M33" s="150"/>
      <c r="N33" s="150"/>
      <c r="O33" s="15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34.604599999999998</v>
      </c>
      <c r="H35" s="151">
        <v>1000</v>
      </c>
      <c r="I35" s="155">
        <v>1002</v>
      </c>
      <c r="J35" s="120"/>
      <c r="K35" s="121"/>
      <c r="L35" s="121"/>
      <c r="M35" s="121"/>
      <c r="N35" s="122"/>
      <c r="O35" s="121"/>
      <c r="P35" s="120">
        <v>3.6949999999999998</v>
      </c>
      <c r="Q35" s="120"/>
      <c r="R35" s="120"/>
      <c r="S35" s="146">
        <v>160.6</v>
      </c>
      <c r="T35" s="120"/>
      <c r="U35" s="120"/>
      <c r="V35" s="144"/>
      <c r="W35" s="144"/>
      <c r="X35" s="120"/>
      <c r="Y35" s="120"/>
      <c r="Z35" s="120"/>
      <c r="AA35" s="120"/>
      <c r="AB35" s="120"/>
      <c r="AC35" s="120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34.4925</v>
      </c>
      <c r="H36" s="151">
        <v>800</v>
      </c>
      <c r="I36" s="155">
        <v>799</v>
      </c>
      <c r="J36" s="99"/>
      <c r="K36" s="55"/>
      <c r="L36" s="55"/>
      <c r="M36" s="55"/>
      <c r="N36" s="56"/>
      <c r="O36" s="55"/>
      <c r="P36" s="99">
        <v>3.198</v>
      </c>
      <c r="Q36" s="99"/>
      <c r="R36" s="99"/>
      <c r="S36" s="147">
        <v>139.1</v>
      </c>
      <c r="T36" s="99"/>
      <c r="U36" s="99"/>
      <c r="V36" s="144"/>
      <c r="W36" s="144"/>
      <c r="X36" s="99"/>
      <c r="Y36" s="99"/>
      <c r="Z36" s="99"/>
      <c r="AA36" s="99"/>
      <c r="AB36" s="99"/>
      <c r="AC36" s="99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34.491799999999998</v>
      </c>
      <c r="H37" s="151">
        <v>800</v>
      </c>
      <c r="I37" s="155">
        <v>799</v>
      </c>
      <c r="J37" s="99"/>
      <c r="K37" s="55"/>
      <c r="L37" s="55"/>
      <c r="M37" s="55"/>
      <c r="N37" s="56"/>
      <c r="O37" s="55"/>
      <c r="P37" s="99">
        <v>3.1970000000000001</v>
      </c>
      <c r="Q37" s="99"/>
      <c r="R37" s="99"/>
      <c r="S37" s="147">
        <v>139</v>
      </c>
      <c r="T37" s="99"/>
      <c r="U37" s="99"/>
      <c r="V37" s="144"/>
      <c r="W37" s="144"/>
      <c r="X37" s="99"/>
      <c r="Y37" s="99"/>
      <c r="Z37" s="99"/>
      <c r="AA37" s="99"/>
      <c r="AB37" s="99"/>
      <c r="AC37" s="99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34.699100000000001</v>
      </c>
      <c r="H38" s="151">
        <v>500</v>
      </c>
      <c r="I38" s="155">
        <v>499</v>
      </c>
      <c r="J38" s="99"/>
      <c r="K38" s="55"/>
      <c r="L38" s="55"/>
      <c r="M38" s="55"/>
      <c r="N38" s="56"/>
      <c r="O38" s="55"/>
      <c r="P38" s="99">
        <v>1.6819999999999999</v>
      </c>
      <c r="Q38" s="99"/>
      <c r="R38" s="99"/>
      <c r="S38" s="147">
        <v>73.2</v>
      </c>
      <c r="T38" s="99"/>
      <c r="U38" s="99"/>
      <c r="V38" s="144"/>
      <c r="W38" s="144"/>
      <c r="X38" s="99"/>
      <c r="Y38" s="99"/>
      <c r="Z38" s="99"/>
      <c r="AA38" s="99"/>
      <c r="AB38" s="99"/>
      <c r="AC38" s="99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4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34.8874</v>
      </c>
      <c r="H39" s="151">
        <v>300</v>
      </c>
      <c r="I39" s="155">
        <v>301</v>
      </c>
      <c r="J39" s="99"/>
      <c r="K39" s="55"/>
      <c r="L39" s="55"/>
      <c r="M39" s="55"/>
      <c r="N39" s="56"/>
      <c r="O39" s="55"/>
      <c r="P39" s="99">
        <v>1.8129999999999999</v>
      </c>
      <c r="Q39" s="99"/>
      <c r="R39" s="99"/>
      <c r="S39" s="147">
        <v>78.900000000000006</v>
      </c>
      <c r="T39" s="99"/>
      <c r="U39" s="99"/>
      <c r="V39" s="144"/>
      <c r="W39" s="144"/>
      <c r="X39" s="99"/>
      <c r="Y39" s="99"/>
      <c r="Z39" s="99"/>
      <c r="AA39" s="99"/>
      <c r="AB39" s="99"/>
      <c r="AC39" s="99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12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35.848399999999998</v>
      </c>
      <c r="H40" s="151">
        <v>100</v>
      </c>
      <c r="I40" s="155">
        <v>100</v>
      </c>
      <c r="J40" s="99"/>
      <c r="K40" s="55"/>
      <c r="L40" s="55"/>
      <c r="M40" s="55"/>
      <c r="N40" s="56"/>
      <c r="O40" s="55"/>
      <c r="P40" s="99">
        <v>2.9470000000000001</v>
      </c>
      <c r="Q40" s="99"/>
      <c r="R40" s="99"/>
      <c r="S40" s="147">
        <v>128.30000000000001</v>
      </c>
      <c r="T40" s="99"/>
      <c r="U40" s="99"/>
      <c r="V40" s="144"/>
      <c r="W40" s="144"/>
      <c r="X40" s="99"/>
      <c r="Y40" s="99"/>
      <c r="Z40" s="99"/>
      <c r="AA40" s="99"/>
      <c r="AB40" s="99"/>
      <c r="AC40" s="99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4"/>
      <c r="AY40" s="66"/>
      <c r="AZ40" s="66"/>
      <c r="BA40" s="66"/>
      <c r="BB40" s="126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36.428600000000003</v>
      </c>
      <c r="H41" s="151">
        <v>80</v>
      </c>
      <c r="I41" s="155">
        <v>79</v>
      </c>
      <c r="J41" s="99"/>
      <c r="K41" s="55"/>
      <c r="L41" s="55"/>
      <c r="M41" s="55"/>
      <c r="N41" s="56"/>
      <c r="O41" s="55"/>
      <c r="P41" s="99">
        <v>4.5449999999999999</v>
      </c>
      <c r="Q41" s="99"/>
      <c r="R41" s="99"/>
      <c r="S41" s="147">
        <v>198</v>
      </c>
      <c r="T41" s="99"/>
      <c r="U41" s="99"/>
      <c r="V41" s="144"/>
      <c r="W41" s="144"/>
      <c r="X41" s="99"/>
      <c r="Y41" s="99"/>
      <c r="Z41" s="99"/>
      <c r="AA41" s="99"/>
      <c r="AB41" s="99"/>
      <c r="AC41" s="99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12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36.630000000000003</v>
      </c>
      <c r="H42" s="151">
        <v>60</v>
      </c>
      <c r="I42" s="155">
        <v>60</v>
      </c>
      <c r="J42" s="99"/>
      <c r="K42" s="55"/>
      <c r="L42" s="55"/>
      <c r="M42" s="55"/>
      <c r="N42" s="56"/>
      <c r="O42" s="55"/>
      <c r="P42" s="99">
        <v>5.0620000000000003</v>
      </c>
      <c r="Q42" s="99"/>
      <c r="R42" s="99"/>
      <c r="S42" s="147">
        <v>220.6</v>
      </c>
      <c r="T42" s="99"/>
      <c r="U42" s="99"/>
      <c r="V42" s="144"/>
      <c r="W42" s="144"/>
      <c r="X42" s="99"/>
      <c r="Y42" s="99"/>
      <c r="Z42" s="99"/>
      <c r="AA42" s="99"/>
      <c r="AB42" s="99"/>
      <c r="AC42" s="99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12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36.288400000000003</v>
      </c>
      <c r="H43" s="151">
        <v>40</v>
      </c>
      <c r="I43" s="155">
        <v>39</v>
      </c>
      <c r="J43" s="99"/>
      <c r="K43" s="55"/>
      <c r="L43" s="55"/>
      <c r="M43" s="55"/>
      <c r="N43" s="56"/>
      <c r="O43" s="55"/>
      <c r="P43" s="99">
        <v>4.7240000000000002</v>
      </c>
      <c r="Q43" s="99"/>
      <c r="R43" s="99"/>
      <c r="S43" s="147">
        <v>206</v>
      </c>
      <c r="T43" s="99"/>
      <c r="U43" s="99"/>
      <c r="V43" s="144"/>
      <c r="W43" s="144"/>
      <c r="X43" s="99"/>
      <c r="Y43" s="99"/>
      <c r="Z43" s="99"/>
      <c r="AA43" s="99"/>
      <c r="AB43" s="99"/>
      <c r="AC43" s="99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4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36.280900000000003</v>
      </c>
      <c r="H44" s="156">
        <v>20</v>
      </c>
      <c r="I44" s="155">
        <v>20</v>
      </c>
      <c r="J44" s="99"/>
      <c r="K44" s="55"/>
      <c r="L44" s="55"/>
      <c r="M44" s="55"/>
      <c r="N44" s="56"/>
      <c r="O44" s="55"/>
      <c r="P44" s="99">
        <v>4.681</v>
      </c>
      <c r="Q44" s="99"/>
      <c r="R44" s="99"/>
      <c r="S44" s="147">
        <v>204.2</v>
      </c>
      <c r="T44" s="99"/>
      <c r="U44" s="99"/>
      <c r="V44" s="144"/>
      <c r="W44" s="144"/>
      <c r="X44" s="99"/>
      <c r="Y44" s="99"/>
      <c r="Z44" s="99"/>
      <c r="AA44" s="99"/>
      <c r="AB44" s="99"/>
      <c r="AC44" s="99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12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36.285200000000003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4.6550000000000002</v>
      </c>
      <c r="Q45" s="99"/>
      <c r="R45" s="99"/>
      <c r="S45" s="147">
        <v>203</v>
      </c>
      <c r="T45" s="99"/>
      <c r="U45" s="99"/>
      <c r="V45" s="144"/>
      <c r="W45" s="144"/>
      <c r="X45" s="99"/>
      <c r="Y45" s="99"/>
      <c r="Z45" s="99"/>
      <c r="AA45" s="99"/>
      <c r="AB45" s="99"/>
      <c r="AC45" s="99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36.283000000000001</v>
      </c>
      <c r="H46" s="156">
        <v>0</v>
      </c>
      <c r="I46" s="155">
        <v>0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00">
        <v>4.6989999999999998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205</v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W16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14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36564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8" t="s">
        <v>50</v>
      </c>
      <c r="J8" s="148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9</v>
      </c>
      <c r="J9" s="39">
        <v>55.51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-9°55,51</v>
      </c>
      <c r="P9" s="39" t="s">
        <v>53</v>
      </c>
      <c r="Q9" s="207">
        <f>IF(ISBLANK(I9),"",IF(ISBLANK(J9),"",IF(J9&gt;60,"ERREUR !!",O11*(I9+(J9/60)))))</f>
        <v>-9.9251666666666658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9</v>
      </c>
      <c r="J10" s="39">
        <v>58.37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-9°58,37</v>
      </c>
      <c r="P10" s="39" t="s">
        <v>55</v>
      </c>
      <c r="Q10" s="207">
        <f>IF(ISBLANK(I10),"",IF(ISBLANK(J10),"",IF(J10&gt;60,"ERREUR !!",O12*(I10+(J10/60)))))</f>
        <v>-9.9728333333333339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36564</v>
      </c>
      <c r="K11" s="72"/>
      <c r="L11" s="72"/>
      <c r="M11" s="72"/>
      <c r="N11" s="73" t="str">
        <f>I9&amp;"°"&amp;J9</f>
        <v>9°55,51</v>
      </c>
      <c r="O11" s="74">
        <f>IF(P9=M10,-1,1)</f>
        <v>-1</v>
      </c>
      <c r="P11" s="191" t="str">
        <f>TEXT(J11,"aaaa-mm-jj")&amp;"T"&amp;TEXT(J12,"hh:mm:ss")&amp;"z"</f>
        <v>2004-02-09T04:30:00z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0.1875</v>
      </c>
      <c r="K12" s="75"/>
      <c r="L12" s="75"/>
      <c r="M12" s="75"/>
      <c r="N12" s="76" t="str">
        <f>I10&amp;"°"&amp;J10</f>
        <v>9°58,37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9"/>
      <c r="F30" s="149"/>
      <c r="G30" s="149"/>
      <c r="H30" s="149"/>
      <c r="I30" s="14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50"/>
      <c r="L33" s="150"/>
      <c r="M33" s="150"/>
      <c r="N33" s="150"/>
      <c r="O33" s="15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34.608400000000003</v>
      </c>
      <c r="H35" s="151">
        <v>1000</v>
      </c>
      <c r="I35" s="155">
        <v>1004</v>
      </c>
      <c r="J35" s="120"/>
      <c r="K35" s="121"/>
      <c r="L35" s="121"/>
      <c r="M35" s="121"/>
      <c r="N35" s="122"/>
      <c r="O35" s="121"/>
      <c r="P35" s="120">
        <v>3.7429999999999999</v>
      </c>
      <c r="Q35" s="120"/>
      <c r="R35" s="120"/>
      <c r="S35" s="146">
        <v>162.69999999999999</v>
      </c>
      <c r="T35" s="159">
        <v>0</v>
      </c>
      <c r="U35" s="159">
        <v>0</v>
      </c>
      <c r="V35" s="159"/>
      <c r="W35" s="159"/>
      <c r="X35" s="160">
        <v>25.9</v>
      </c>
      <c r="Y35" s="160">
        <v>25.3</v>
      </c>
      <c r="Z35" s="159">
        <v>1.91</v>
      </c>
      <c r="AA35" s="159">
        <v>1.86</v>
      </c>
      <c r="AB35" s="160">
        <v>25.7</v>
      </c>
      <c r="AC35" s="160">
        <v>25.1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34.497900000000001</v>
      </c>
      <c r="H36" s="151">
        <v>800</v>
      </c>
      <c r="I36" s="155">
        <v>801</v>
      </c>
      <c r="J36" s="99"/>
      <c r="K36" s="55"/>
      <c r="L36" s="55"/>
      <c r="M36" s="55"/>
      <c r="N36" s="56"/>
      <c r="O36" s="55"/>
      <c r="P36" s="99">
        <v>3.0760000000000001</v>
      </c>
      <c r="Q36" s="99"/>
      <c r="R36" s="99"/>
      <c r="S36" s="147">
        <v>133.80000000000001</v>
      </c>
      <c r="T36" s="159">
        <v>0</v>
      </c>
      <c r="U36" s="159">
        <v>0</v>
      </c>
      <c r="V36" s="159"/>
      <c r="W36" s="159"/>
      <c r="X36" s="160">
        <v>29.5</v>
      </c>
      <c r="Y36" s="160">
        <v>28.8</v>
      </c>
      <c r="Z36" s="159">
        <v>1.77</v>
      </c>
      <c r="AA36" s="159">
        <v>1.73</v>
      </c>
      <c r="AB36" s="160">
        <v>19.3</v>
      </c>
      <c r="AC36" s="160">
        <v>18.899999999999999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34.631</v>
      </c>
      <c r="H37" s="151">
        <v>500</v>
      </c>
      <c r="I37" s="155">
        <v>499</v>
      </c>
      <c r="J37" s="99"/>
      <c r="K37" s="55"/>
      <c r="L37" s="55"/>
      <c r="M37" s="55"/>
      <c r="N37" s="56"/>
      <c r="O37" s="55"/>
      <c r="P37" s="99">
        <v>2.2629999999999999</v>
      </c>
      <c r="Q37" s="99"/>
      <c r="R37" s="99"/>
      <c r="S37" s="147">
        <v>98.4</v>
      </c>
      <c r="T37" s="159">
        <v>0.06</v>
      </c>
      <c r="U37" s="159">
        <v>0.06</v>
      </c>
      <c r="V37" s="159"/>
      <c r="W37" s="159"/>
      <c r="X37" s="160">
        <v>24.5</v>
      </c>
      <c r="Y37" s="160">
        <v>24</v>
      </c>
      <c r="Z37" s="159">
        <v>1.7</v>
      </c>
      <c r="AA37" s="159">
        <v>1.66</v>
      </c>
      <c r="AB37" s="160">
        <v>10.8</v>
      </c>
      <c r="AC37" s="160">
        <v>10.6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34.632399999999997</v>
      </c>
      <c r="H38" s="151">
        <v>500</v>
      </c>
      <c r="I38" s="155">
        <v>499</v>
      </c>
      <c r="J38" s="99"/>
      <c r="K38" s="55"/>
      <c r="L38" s="55"/>
      <c r="M38" s="55"/>
      <c r="N38" s="56"/>
      <c r="O38" s="55"/>
      <c r="P38" s="99">
        <v>2.2509999999999999</v>
      </c>
      <c r="Q38" s="99"/>
      <c r="R38" s="99"/>
      <c r="S38" s="147">
        <v>97.9</v>
      </c>
      <c r="T38" s="159">
        <v>0.08</v>
      </c>
      <c r="U38" s="159">
        <v>0.08</v>
      </c>
      <c r="V38" s="159"/>
      <c r="W38" s="159"/>
      <c r="X38" s="160">
        <v>25.1</v>
      </c>
      <c r="Y38" s="160">
        <v>24.5</v>
      </c>
      <c r="Z38" s="159">
        <v>1.62</v>
      </c>
      <c r="AA38" s="159">
        <v>1.58</v>
      </c>
      <c r="AB38" s="160">
        <v>10.3</v>
      </c>
      <c r="AC38" s="160">
        <v>10.1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4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34.841999999999999</v>
      </c>
      <c r="H39" s="151">
        <v>300</v>
      </c>
      <c r="I39" s="155">
        <v>299</v>
      </c>
      <c r="J39" s="99"/>
      <c r="K39" s="55"/>
      <c r="L39" s="55"/>
      <c r="M39" s="55"/>
      <c r="N39" s="56"/>
      <c r="O39" s="55"/>
      <c r="P39" s="99">
        <v>2.0840000000000001</v>
      </c>
      <c r="Q39" s="99"/>
      <c r="R39" s="99"/>
      <c r="S39" s="147">
        <v>90.6</v>
      </c>
      <c r="T39" s="159">
        <v>0.01</v>
      </c>
      <c r="U39" s="159">
        <v>0</v>
      </c>
      <c r="V39" s="159"/>
      <c r="W39" s="159"/>
      <c r="X39" s="160">
        <v>21.2</v>
      </c>
      <c r="Y39" s="160">
        <v>20.7</v>
      </c>
      <c r="Z39" s="159">
        <v>1.21</v>
      </c>
      <c r="AA39" s="159">
        <v>1.18</v>
      </c>
      <c r="AB39" s="160">
        <v>7.3</v>
      </c>
      <c r="AC39" s="160">
        <v>7.1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12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36.031199999999998</v>
      </c>
      <c r="H40" s="151">
        <v>100</v>
      </c>
      <c r="I40" s="155">
        <v>99</v>
      </c>
      <c r="J40" s="99"/>
      <c r="K40" s="55"/>
      <c r="L40" s="55"/>
      <c r="M40" s="55"/>
      <c r="N40" s="56"/>
      <c r="O40" s="55"/>
      <c r="P40" s="99">
        <v>3.5529999999999999</v>
      </c>
      <c r="Q40" s="99"/>
      <c r="R40" s="99"/>
      <c r="S40" s="147">
        <v>154.69999999999999</v>
      </c>
      <c r="T40" s="159">
        <v>0.17</v>
      </c>
      <c r="U40" s="159">
        <v>0.16</v>
      </c>
      <c r="V40" s="159"/>
      <c r="W40" s="159"/>
      <c r="X40" s="160">
        <v>10.6</v>
      </c>
      <c r="Y40" s="160">
        <v>10.4</v>
      </c>
      <c r="Z40" s="159">
        <v>0.79</v>
      </c>
      <c r="AA40" s="159">
        <v>0.77</v>
      </c>
      <c r="AB40" s="160">
        <v>2.5</v>
      </c>
      <c r="AC40" s="160">
        <v>2.5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4"/>
      <c r="AY40" s="66"/>
      <c r="AZ40" s="66"/>
      <c r="BA40" s="66"/>
      <c r="BB40" s="126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36.527700000000003</v>
      </c>
      <c r="H41" s="151">
        <v>80</v>
      </c>
      <c r="I41" s="155">
        <v>80</v>
      </c>
      <c r="J41" s="99"/>
      <c r="K41" s="55"/>
      <c r="L41" s="55"/>
      <c r="M41" s="55"/>
      <c r="N41" s="56"/>
      <c r="O41" s="55"/>
      <c r="P41" s="99">
        <v>4.7430000000000003</v>
      </c>
      <c r="Q41" s="99"/>
      <c r="R41" s="99"/>
      <c r="S41" s="147">
        <v>206.5</v>
      </c>
      <c r="T41" s="159">
        <v>0.03</v>
      </c>
      <c r="U41" s="159">
        <v>0.03</v>
      </c>
      <c r="V41" s="159"/>
      <c r="W41" s="159"/>
      <c r="X41" s="160">
        <v>1.5</v>
      </c>
      <c r="Y41" s="160">
        <v>1.4</v>
      </c>
      <c r="Z41" s="159">
        <v>0.38</v>
      </c>
      <c r="AA41" s="159">
        <v>0.38</v>
      </c>
      <c r="AB41" s="160">
        <v>0.7</v>
      </c>
      <c r="AC41" s="160">
        <v>0.7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12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36.726100000000002</v>
      </c>
      <c r="H42" s="151">
        <v>60</v>
      </c>
      <c r="I42" s="155">
        <v>60</v>
      </c>
      <c r="J42" s="99"/>
      <c r="K42" s="55"/>
      <c r="L42" s="55"/>
      <c r="M42" s="55"/>
      <c r="N42" s="56"/>
      <c r="O42" s="55"/>
      <c r="P42" s="99">
        <v>5.0819999999999999</v>
      </c>
      <c r="Q42" s="99"/>
      <c r="R42" s="99"/>
      <c r="S42" s="147">
        <v>221.4</v>
      </c>
      <c r="T42" s="159">
        <v>0</v>
      </c>
      <c r="U42" s="159">
        <v>0</v>
      </c>
      <c r="V42" s="159"/>
      <c r="W42" s="159"/>
      <c r="X42" s="160">
        <v>0</v>
      </c>
      <c r="Y42" s="160">
        <v>0</v>
      </c>
      <c r="Z42" s="159">
        <v>0.26</v>
      </c>
      <c r="AA42" s="159">
        <v>0.26</v>
      </c>
      <c r="AB42" s="160">
        <v>0.4</v>
      </c>
      <c r="AC42" s="160">
        <v>0.4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12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36.403599999999997</v>
      </c>
      <c r="H43" s="151">
        <v>40</v>
      </c>
      <c r="I43" s="155">
        <v>39</v>
      </c>
      <c r="J43" s="99"/>
      <c r="K43" s="55"/>
      <c r="L43" s="55"/>
      <c r="M43" s="55"/>
      <c r="N43" s="56"/>
      <c r="O43" s="55"/>
      <c r="P43" s="99">
        <v>4.7590000000000003</v>
      </c>
      <c r="Q43" s="99"/>
      <c r="R43" s="99"/>
      <c r="S43" s="147">
        <v>207.5</v>
      </c>
      <c r="T43" s="159">
        <v>0</v>
      </c>
      <c r="U43" s="159">
        <v>0</v>
      </c>
      <c r="V43" s="159"/>
      <c r="W43" s="159"/>
      <c r="X43" s="160">
        <v>0</v>
      </c>
      <c r="Y43" s="160">
        <v>0</v>
      </c>
      <c r="Z43" s="159">
        <v>0.25</v>
      </c>
      <c r="AA43" s="159">
        <v>0.24</v>
      </c>
      <c r="AB43" s="160">
        <v>0.4</v>
      </c>
      <c r="AC43" s="160">
        <v>0.4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4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36.35</v>
      </c>
      <c r="H44" s="156">
        <v>20</v>
      </c>
      <c r="I44" s="155">
        <v>20</v>
      </c>
      <c r="J44" s="99"/>
      <c r="K44" s="55"/>
      <c r="L44" s="55"/>
      <c r="M44" s="55"/>
      <c r="N44" s="56"/>
      <c r="O44" s="55"/>
      <c r="P44" s="99">
        <v>4.6779999999999999</v>
      </c>
      <c r="Q44" s="99"/>
      <c r="R44" s="99"/>
      <c r="S44" s="147">
        <v>204</v>
      </c>
      <c r="T44" s="159">
        <v>0</v>
      </c>
      <c r="U44" s="159">
        <v>0</v>
      </c>
      <c r="V44" s="159"/>
      <c r="W44" s="159"/>
      <c r="X44" s="160">
        <v>0</v>
      </c>
      <c r="Y44" s="160">
        <v>0</v>
      </c>
      <c r="Z44" s="159">
        <v>0.32</v>
      </c>
      <c r="AA44" s="159">
        <v>0.32</v>
      </c>
      <c r="AB44" s="160">
        <v>0.8</v>
      </c>
      <c r="AC44" s="160">
        <v>0.8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12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36.3431</v>
      </c>
      <c r="H45" s="156">
        <v>10</v>
      </c>
      <c r="I45" s="155">
        <v>10</v>
      </c>
      <c r="J45" s="99"/>
      <c r="K45" s="55"/>
      <c r="L45" s="55"/>
      <c r="M45" s="55"/>
      <c r="N45" s="56"/>
      <c r="O45" s="55"/>
      <c r="P45" s="99">
        <v>4.67</v>
      </c>
      <c r="Q45" s="99"/>
      <c r="R45" s="99"/>
      <c r="S45" s="147">
        <v>203.6</v>
      </c>
      <c r="T45" s="159">
        <v>0</v>
      </c>
      <c r="U45" s="159">
        <v>0</v>
      </c>
      <c r="V45" s="159"/>
      <c r="W45" s="159"/>
      <c r="X45" s="160">
        <v>0</v>
      </c>
      <c r="Y45" s="160">
        <v>0</v>
      </c>
      <c r="Z45" s="159">
        <v>0.33</v>
      </c>
      <c r="AA45" s="159">
        <v>0.32</v>
      </c>
      <c r="AB45" s="160">
        <v>0.8</v>
      </c>
      <c r="AC45" s="160">
        <v>0.7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36.3431</v>
      </c>
      <c r="H46" s="156">
        <v>0</v>
      </c>
      <c r="I46" s="155">
        <v>0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00">
        <v>4.673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203.8</v>
      </c>
      <c r="T46" s="159">
        <v>0.1</v>
      </c>
      <c r="U46" s="159">
        <v>0.09</v>
      </c>
      <c r="V46" s="159"/>
      <c r="W46" s="159"/>
      <c r="X46" s="160">
        <v>0</v>
      </c>
      <c r="Y46" s="160">
        <v>0</v>
      </c>
      <c r="Z46" s="159">
        <v>0.31</v>
      </c>
      <c r="AA46" s="159">
        <v>0.31</v>
      </c>
      <c r="AB46" s="160">
        <v>0.5</v>
      </c>
      <c r="AC46" s="160">
        <v>0.5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abSelected="1" topLeftCell="A10" zoomScaleNormal="100" workbookViewId="0">
      <selection activeCell="AD33" sqref="AD33:BB33"/>
    </sheetView>
  </sheetViews>
  <sheetFormatPr baseColWidth="10" defaultColWidth="11.44140625" defaultRowHeight="14.4" x14ac:dyDescent="0.3"/>
  <cols>
    <col min="1" max="2" width="0.88671875" style="67" customWidth="1"/>
    <col min="3" max="3" width="3.6640625" style="67" customWidth="1"/>
    <col min="4" max="9" width="10.33203125" style="67" customWidth="1"/>
    <col min="10" max="10" width="10.6640625" style="67" customWidth="1"/>
    <col min="11" max="15" width="10.6640625" style="67" hidden="1" customWidth="1"/>
    <col min="16" max="16" width="10.6640625" style="67" customWidth="1"/>
    <col min="17" max="29" width="10.33203125" style="67" customWidth="1"/>
    <col min="30" max="30" width="13.5546875" style="67" bestFit="1" customWidth="1"/>
    <col min="31" max="31" width="16.5546875" style="67" bestFit="1" customWidth="1"/>
    <col min="32" max="32" width="9.109375" style="67" bestFit="1" customWidth="1"/>
    <col min="33" max="33" width="26.109375" style="67" bestFit="1" customWidth="1"/>
    <col min="34" max="34" width="12.6640625" style="67" bestFit="1" customWidth="1"/>
    <col min="35" max="35" width="11.109375" style="67" bestFit="1" customWidth="1"/>
    <col min="36" max="36" width="14.33203125" style="67" bestFit="1" customWidth="1"/>
    <col min="37" max="37" width="12" style="67" bestFit="1" customWidth="1"/>
    <col min="38" max="38" width="26.5546875" style="67" bestFit="1" customWidth="1"/>
    <col min="39" max="39" width="14.44140625" style="67" bestFit="1" customWidth="1"/>
    <col min="40" max="40" width="11.33203125" style="67" bestFit="1" customWidth="1"/>
    <col min="41" max="41" width="12.33203125" style="67" bestFit="1" customWidth="1"/>
    <col min="42" max="42" width="10.6640625" style="67" bestFit="1" customWidth="1"/>
    <col min="43" max="43" width="6.33203125" style="67" bestFit="1" customWidth="1"/>
    <col min="44" max="44" width="19.44140625" style="67" bestFit="1" customWidth="1"/>
    <col min="45" max="45" width="12.88671875" style="67" bestFit="1" customWidth="1"/>
    <col min="46" max="46" width="17.5546875" style="67" bestFit="1" customWidth="1"/>
    <col min="47" max="47" width="14.44140625" style="67" bestFit="1" customWidth="1"/>
    <col min="48" max="48" width="13.5546875" style="67" bestFit="1" customWidth="1"/>
    <col min="49" max="49" width="13.6640625" style="67" bestFit="1" customWidth="1"/>
    <col min="50" max="50" width="19.6640625" style="67" bestFit="1" customWidth="1"/>
    <col min="51" max="51" width="13.109375" style="67" bestFit="1" customWidth="1"/>
    <col min="52" max="52" width="17.44140625" style="67" bestFit="1" customWidth="1"/>
    <col min="53" max="53" width="13.33203125" style="67" bestFit="1" customWidth="1"/>
    <col min="54" max="54" width="12.44140625" style="67" bestFit="1" customWidth="1"/>
    <col min="55" max="16384" width="11.44140625" style="67"/>
  </cols>
  <sheetData>
    <row r="1" spans="3:23" ht="3" customHeight="1" thickBot="1" x14ac:dyDescent="0.35"/>
    <row r="2" spans="3:23" ht="21" x14ac:dyDescent="0.4">
      <c r="C2" s="209" t="s">
        <v>19</v>
      </c>
      <c r="D2" s="210"/>
      <c r="E2" s="210"/>
      <c r="F2" s="211" t="s">
        <v>142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1"/>
    </row>
    <row r="3" spans="3:23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6" thickBot="1" x14ac:dyDescent="0.45">
      <c r="C4" s="212" t="s">
        <v>75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5">
      <c r="C6" s="215" t="s">
        <v>38</v>
      </c>
      <c r="D6" s="216"/>
      <c r="E6" s="216"/>
      <c r="F6" s="217">
        <v>15</v>
      </c>
      <c r="G6" s="217"/>
      <c r="H6" s="216" t="s">
        <v>37</v>
      </c>
      <c r="I6" s="216"/>
      <c r="J6" s="216"/>
      <c r="K6" s="50"/>
      <c r="L6" s="50"/>
      <c r="M6" s="50"/>
      <c r="N6" s="49"/>
      <c r="O6" s="50"/>
      <c r="P6" s="218">
        <v>1</v>
      </c>
      <c r="Q6" s="218"/>
      <c r="R6" s="219" t="s">
        <v>78</v>
      </c>
      <c r="S6" s="219"/>
      <c r="T6" s="220">
        <v>36568</v>
      </c>
      <c r="U6" s="221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3">
      <c r="C8" s="46"/>
      <c r="D8" s="33"/>
      <c r="G8" s="201" t="s">
        <v>57</v>
      </c>
      <c r="H8" s="202"/>
      <c r="I8" s="148" t="s">
        <v>50</v>
      </c>
      <c r="J8" s="148" t="s">
        <v>46</v>
      </c>
      <c r="K8" s="44"/>
      <c r="L8" s="44"/>
      <c r="M8" s="44"/>
      <c r="N8" s="44"/>
      <c r="O8" s="47"/>
      <c r="P8" s="45" t="s">
        <v>52</v>
      </c>
      <c r="Q8" s="203" t="s">
        <v>47</v>
      </c>
      <c r="R8" s="204"/>
    </row>
    <row r="9" spans="3:23" ht="14.25" customHeight="1" x14ac:dyDescent="0.3">
      <c r="C9" s="46"/>
      <c r="D9" s="33"/>
      <c r="G9" s="205" t="s">
        <v>48</v>
      </c>
      <c r="H9" s="206"/>
      <c r="I9" s="38">
        <v>0</v>
      </c>
      <c r="J9" s="39">
        <v>0.84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-0°0,84</v>
      </c>
      <c r="P9" s="39" t="s">
        <v>53</v>
      </c>
      <c r="Q9" s="207">
        <f>IF(ISBLANK(I9),"",IF(ISBLANK(J9),"",IF(J9&gt;60,"ERREUR !!",O11*(I9+(J9/60)))))</f>
        <v>-1.4E-2</v>
      </c>
      <c r="R9" s="208"/>
    </row>
    <row r="10" spans="3:23" ht="15" customHeight="1" x14ac:dyDescent="0.3">
      <c r="C10" s="46"/>
      <c r="D10" s="33"/>
      <c r="G10" s="205" t="s">
        <v>49</v>
      </c>
      <c r="H10" s="206"/>
      <c r="I10" s="38">
        <v>23</v>
      </c>
      <c r="J10" s="39">
        <v>0.54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-23°0,54</v>
      </c>
      <c r="P10" s="39" t="s">
        <v>55</v>
      </c>
      <c r="Q10" s="207">
        <f>IF(ISBLANK(I10),"",IF(ISBLANK(J10),"",IF(J10&gt;60,"ERREUR !!",O12*(I10+(J10/60)))))</f>
        <v>-23.009</v>
      </c>
      <c r="R10" s="208"/>
      <c r="S10" s="31"/>
      <c r="T10" s="31"/>
    </row>
    <row r="11" spans="3:23" x14ac:dyDescent="0.3">
      <c r="G11" s="187" t="s">
        <v>72</v>
      </c>
      <c r="H11" s="188"/>
      <c r="I11" s="70" t="s">
        <v>33</v>
      </c>
      <c r="J11" s="72">
        <v>36568</v>
      </c>
      <c r="K11" s="72"/>
      <c r="L11" s="72"/>
      <c r="M11" s="72"/>
      <c r="N11" s="73" t="str">
        <f>I9&amp;"°"&amp;J9</f>
        <v>0°0,84</v>
      </c>
      <c r="O11" s="74">
        <f>IF(P9=M10,-1,1)</f>
        <v>-1</v>
      </c>
      <c r="P11" s="191" t="str">
        <f>TEXT(J11,"aaaa-mm-jj")&amp;"T"&amp;TEXT(J12,"hh:mm:ss")&amp;"z"</f>
        <v>2004-02-13T03:30:00z</v>
      </c>
      <c r="Q11" s="191"/>
      <c r="R11" s="192"/>
      <c r="T11" s="30"/>
      <c r="U11" s="30"/>
      <c r="V11" s="32"/>
      <c r="W11" s="32"/>
    </row>
    <row r="12" spans="3:23" ht="15" thickBot="1" x14ac:dyDescent="0.35">
      <c r="G12" s="189"/>
      <c r="H12" s="190"/>
      <c r="I12" s="71" t="s">
        <v>73</v>
      </c>
      <c r="J12" s="94">
        <v>0.14583333333333334</v>
      </c>
      <c r="K12" s="75"/>
      <c r="L12" s="75"/>
      <c r="M12" s="75"/>
      <c r="N12" s="76" t="str">
        <f>I10&amp;"°"&amp;J10</f>
        <v>23°0,54</v>
      </c>
      <c r="O12" s="74">
        <f>IF(P10=N10,-1,1)</f>
        <v>-1</v>
      </c>
      <c r="P12" s="193"/>
      <c r="Q12" s="193"/>
      <c r="R12" s="194"/>
      <c r="T12" s="30"/>
      <c r="U12" s="30"/>
      <c r="V12" s="32"/>
      <c r="W12" s="32"/>
    </row>
    <row r="13" spans="3:23" ht="15" thickBot="1" x14ac:dyDescent="0.35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3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3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ht="15" x14ac:dyDescent="0.3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6" thickBot="1" x14ac:dyDescent="0.4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6" x14ac:dyDescent="0.3">
      <c r="E29" s="195" t="s">
        <v>60</v>
      </c>
      <c r="F29" s="195"/>
      <c r="G29" s="195"/>
      <c r="H29" s="195"/>
      <c r="I29" s="59" t="s">
        <v>66</v>
      </c>
      <c r="K29" s="60"/>
      <c r="L29" s="60"/>
      <c r="M29" s="60"/>
      <c r="N29" s="61"/>
      <c r="O29" s="60" t="s">
        <v>66</v>
      </c>
    </row>
    <row r="30" spans="3:54" ht="16.2" thickBot="1" x14ac:dyDescent="0.35">
      <c r="E30" s="149"/>
      <c r="F30" s="149"/>
      <c r="G30" s="149"/>
      <c r="H30" s="149"/>
      <c r="I30" s="14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3">
      <c r="C31" s="196" t="s">
        <v>5</v>
      </c>
      <c r="D31" s="185" t="s">
        <v>24</v>
      </c>
      <c r="E31" s="185" t="s">
        <v>58</v>
      </c>
      <c r="F31" s="185" t="s">
        <v>56</v>
      </c>
      <c r="G31" s="185" t="s">
        <v>20</v>
      </c>
      <c r="H31" s="185" t="s">
        <v>76</v>
      </c>
      <c r="I31" s="198" t="s">
        <v>77</v>
      </c>
      <c r="J31" s="198" t="s">
        <v>64</v>
      </c>
      <c r="K31" s="185" t="s">
        <v>21</v>
      </c>
      <c r="L31" s="185" t="s">
        <v>22</v>
      </c>
      <c r="M31" s="185" t="s">
        <v>26</v>
      </c>
      <c r="N31" s="185" t="s">
        <v>25</v>
      </c>
      <c r="O31" s="185" t="s">
        <v>23</v>
      </c>
      <c r="P31" s="179" t="s">
        <v>74</v>
      </c>
      <c r="Q31" s="179"/>
      <c r="R31" s="179"/>
      <c r="S31" s="179"/>
      <c r="T31" s="181" t="s">
        <v>69</v>
      </c>
      <c r="U31" s="181"/>
      <c r="V31" s="181" t="s">
        <v>70</v>
      </c>
      <c r="W31" s="181"/>
      <c r="X31" s="181" t="s">
        <v>71</v>
      </c>
      <c r="Y31" s="181"/>
      <c r="Z31" s="181" t="s">
        <v>67</v>
      </c>
      <c r="AA31" s="181"/>
      <c r="AB31" s="181" t="s">
        <v>68</v>
      </c>
      <c r="AC31" s="183"/>
      <c r="AD31" s="176" t="s">
        <v>80</v>
      </c>
      <c r="AE31" s="176" t="s">
        <v>81</v>
      </c>
      <c r="AF31" s="176" t="s">
        <v>82</v>
      </c>
      <c r="AG31" s="178" t="s">
        <v>83</v>
      </c>
      <c r="AH31" s="176" t="s">
        <v>84</v>
      </c>
      <c r="AI31" s="176" t="s">
        <v>85</v>
      </c>
      <c r="AJ31" s="176" t="s">
        <v>86</v>
      </c>
      <c r="AK31" s="176" t="s">
        <v>87</v>
      </c>
      <c r="AL31" s="178" t="s">
        <v>88</v>
      </c>
      <c r="AM31" s="176" t="s">
        <v>89</v>
      </c>
      <c r="AN31" s="176" t="s">
        <v>90</v>
      </c>
      <c r="AO31" s="176" t="s">
        <v>91</v>
      </c>
      <c r="AP31" s="176" t="s">
        <v>92</v>
      </c>
      <c r="AQ31" s="176" t="s">
        <v>93</v>
      </c>
      <c r="AR31" s="178" t="s">
        <v>94</v>
      </c>
      <c r="AS31" s="178" t="s">
        <v>95</v>
      </c>
      <c r="AT31" s="178" t="s">
        <v>96</v>
      </c>
      <c r="AU31" s="176" t="s">
        <v>97</v>
      </c>
      <c r="AV31" s="176" t="s">
        <v>98</v>
      </c>
      <c r="AW31" s="177" t="s">
        <v>99</v>
      </c>
      <c r="AX31" s="176" t="s">
        <v>100</v>
      </c>
      <c r="AY31" s="176" t="s">
        <v>101</v>
      </c>
      <c r="AZ31" s="178" t="s">
        <v>102</v>
      </c>
      <c r="BA31" s="176" t="s">
        <v>103</v>
      </c>
      <c r="BB31" s="167" t="s">
        <v>104</v>
      </c>
    </row>
    <row r="32" spans="3:54" ht="15.75" customHeight="1" x14ac:dyDescent="0.3">
      <c r="C32" s="197"/>
      <c r="D32" s="186"/>
      <c r="E32" s="186"/>
      <c r="F32" s="186"/>
      <c r="G32" s="186"/>
      <c r="H32" s="186"/>
      <c r="I32" s="199"/>
      <c r="J32" s="200"/>
      <c r="K32" s="186"/>
      <c r="L32" s="186"/>
      <c r="M32" s="186"/>
      <c r="N32" s="186"/>
      <c r="O32" s="186"/>
      <c r="P32" s="180"/>
      <c r="Q32" s="180"/>
      <c r="R32" s="180"/>
      <c r="S32" s="180"/>
      <c r="T32" s="182"/>
      <c r="U32" s="182"/>
      <c r="V32" s="182"/>
      <c r="W32" s="182"/>
      <c r="X32" s="182"/>
      <c r="Y32" s="182"/>
      <c r="Z32" s="182"/>
      <c r="AA32" s="182"/>
      <c r="AB32" s="182"/>
      <c r="AC32" s="184"/>
      <c r="AD32" s="176"/>
      <c r="AE32" s="176"/>
      <c r="AF32" s="176"/>
      <c r="AG32" s="178"/>
      <c r="AH32" s="176"/>
      <c r="AI32" s="176"/>
      <c r="AJ32" s="176"/>
      <c r="AK32" s="176"/>
      <c r="AL32" s="178"/>
      <c r="AM32" s="176"/>
      <c r="AN32" s="176"/>
      <c r="AO32" s="176"/>
      <c r="AP32" s="176"/>
      <c r="AQ32" s="176"/>
      <c r="AR32" s="178"/>
      <c r="AS32" s="178"/>
      <c r="AT32" s="178"/>
      <c r="AU32" s="176"/>
      <c r="AV32" s="176"/>
      <c r="AW32" s="177"/>
      <c r="AX32" s="176"/>
      <c r="AY32" s="176"/>
      <c r="AZ32" s="178"/>
      <c r="BA32" s="176"/>
      <c r="BB32" s="167"/>
    </row>
    <row r="33" spans="1:54" ht="15.75" customHeight="1" x14ac:dyDescent="0.3">
      <c r="C33" s="168" t="s">
        <v>59</v>
      </c>
      <c r="D33" s="170" t="s">
        <v>4</v>
      </c>
      <c r="E33" s="170" t="s">
        <v>2</v>
      </c>
      <c r="F33" s="172" t="s">
        <v>62</v>
      </c>
      <c r="G33" s="174"/>
      <c r="H33" s="172" t="s">
        <v>27</v>
      </c>
      <c r="I33" s="172" t="s">
        <v>27</v>
      </c>
      <c r="J33" s="172" t="s">
        <v>62</v>
      </c>
      <c r="K33" s="150"/>
      <c r="L33" s="150"/>
      <c r="M33" s="150"/>
      <c r="N33" s="150"/>
      <c r="O33" s="15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222" t="s">
        <v>118</v>
      </c>
      <c r="AE33" s="222" t="s">
        <v>119</v>
      </c>
      <c r="AF33" s="222" t="s">
        <v>120</v>
      </c>
      <c r="AG33" s="223" t="s">
        <v>121</v>
      </c>
      <c r="AH33" s="222" t="s">
        <v>122</v>
      </c>
      <c r="AI33" s="224" t="s">
        <v>143</v>
      </c>
      <c r="AJ33" s="222" t="s">
        <v>123</v>
      </c>
      <c r="AK33" s="224" t="s">
        <v>144</v>
      </c>
      <c r="AL33" s="222" t="s">
        <v>124</v>
      </c>
      <c r="AM33" s="222" t="s">
        <v>125</v>
      </c>
      <c r="AN33" s="222" t="s">
        <v>126</v>
      </c>
      <c r="AO33" s="222" t="s">
        <v>127</v>
      </c>
      <c r="AP33" s="222" t="s">
        <v>128</v>
      </c>
      <c r="AQ33" s="224" t="s">
        <v>145</v>
      </c>
      <c r="AR33" s="222" t="s">
        <v>129</v>
      </c>
      <c r="AS33" s="222" t="s">
        <v>130</v>
      </c>
      <c r="AT33" s="224" t="s">
        <v>131</v>
      </c>
      <c r="AU33" s="225" t="s">
        <v>132</v>
      </c>
      <c r="AV33" s="225" t="s">
        <v>133</v>
      </c>
      <c r="AW33" s="225" t="s">
        <v>134</v>
      </c>
      <c r="AX33" s="222" t="s">
        <v>135</v>
      </c>
      <c r="AY33" s="222" t="s">
        <v>136</v>
      </c>
      <c r="AZ33" s="223" t="s">
        <v>137</v>
      </c>
      <c r="BA33" s="222" t="s">
        <v>138</v>
      </c>
      <c r="BB33" s="226" t="s">
        <v>139</v>
      </c>
    </row>
    <row r="34" spans="1:54" ht="14.25" customHeight="1" thickBot="1" x14ac:dyDescent="0.35">
      <c r="C34" s="169"/>
      <c r="D34" s="171"/>
      <c r="E34" s="171"/>
      <c r="F34" s="173"/>
      <c r="G34" s="175"/>
      <c r="H34" s="173"/>
      <c r="I34" s="173"/>
      <c r="J34" s="173"/>
      <c r="K34" s="97"/>
      <c r="L34" s="97"/>
      <c r="M34" s="97"/>
      <c r="N34" s="98" t="s">
        <v>6</v>
      </c>
      <c r="O34" s="97"/>
      <c r="P34" s="98" t="s">
        <v>61</v>
      </c>
      <c r="Q34" s="98" t="s">
        <v>79</v>
      </c>
      <c r="R34" s="98" t="s">
        <v>63</v>
      </c>
      <c r="S34" s="98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08" t="s">
        <v>28</v>
      </c>
      <c r="AD34" s="109" t="s">
        <v>140</v>
      </c>
      <c r="AE34" s="109" t="s">
        <v>140</v>
      </c>
      <c r="AF34" s="109" t="s">
        <v>140</v>
      </c>
      <c r="AG34" s="110" t="s">
        <v>141</v>
      </c>
      <c r="AH34" s="109" t="s">
        <v>141</v>
      </c>
      <c r="AI34" s="109" t="s">
        <v>141</v>
      </c>
      <c r="AJ34" s="109" t="s">
        <v>141</v>
      </c>
      <c r="AK34" s="109" t="s">
        <v>141</v>
      </c>
      <c r="AL34" s="109" t="s">
        <v>141</v>
      </c>
      <c r="AM34" s="109" t="s">
        <v>141</v>
      </c>
      <c r="AN34" s="109" t="s">
        <v>141</v>
      </c>
      <c r="AO34" s="109" t="s">
        <v>141</v>
      </c>
      <c r="AP34" s="109" t="s">
        <v>141</v>
      </c>
      <c r="AQ34" s="109" t="s">
        <v>141</v>
      </c>
      <c r="AR34" s="109" t="s">
        <v>141</v>
      </c>
      <c r="AS34" s="109" t="s">
        <v>141</v>
      </c>
      <c r="AT34" s="109" t="s">
        <v>141</v>
      </c>
      <c r="AU34" s="109" t="s">
        <v>141</v>
      </c>
      <c r="AV34" s="109" t="s">
        <v>141</v>
      </c>
      <c r="AW34" s="109" t="s">
        <v>141</v>
      </c>
      <c r="AX34" s="109" t="s">
        <v>141</v>
      </c>
      <c r="AY34" s="109" t="s">
        <v>141</v>
      </c>
      <c r="AZ34" s="109" t="s">
        <v>141</v>
      </c>
      <c r="BA34" s="109" t="s">
        <v>141</v>
      </c>
      <c r="BB34" s="109" t="s">
        <v>141</v>
      </c>
    </row>
    <row r="35" spans="1:54" ht="15.6" x14ac:dyDescent="0.3">
      <c r="A35" s="65">
        <f>IF(ISBLANK(VLOOKUP(D35,#REF!,3)),0,1)</f>
        <v>1</v>
      </c>
      <c r="B35" s="64">
        <f>IF(ISBLANK(D35),0,IF(ISBLANK(E35),0,IF(ISBLANK(F35),0,1)))</f>
        <v>0</v>
      </c>
      <c r="C35" s="116">
        <v>1</v>
      </c>
      <c r="D35" s="117"/>
      <c r="E35" s="118"/>
      <c r="F35" s="119"/>
      <c r="G35" s="153">
        <v>34.887700000000002</v>
      </c>
      <c r="H35" s="151">
        <v>3900</v>
      </c>
      <c r="I35" s="155">
        <v>3900</v>
      </c>
      <c r="J35" s="120"/>
      <c r="K35" s="121"/>
      <c r="L35" s="121"/>
      <c r="M35" s="121"/>
      <c r="N35" s="122"/>
      <c r="O35" s="121"/>
      <c r="P35" s="120">
        <v>5.7089999999999996</v>
      </c>
      <c r="Q35" s="120"/>
      <c r="R35" s="120"/>
      <c r="S35" s="146">
        <v>248.1</v>
      </c>
      <c r="T35" s="159">
        <v>0.3</v>
      </c>
      <c r="U35" s="159">
        <v>0.3</v>
      </c>
      <c r="V35" s="159"/>
      <c r="W35" s="159"/>
      <c r="X35" s="160">
        <v>21.2</v>
      </c>
      <c r="Y35" s="160">
        <v>20.7</v>
      </c>
      <c r="Z35" s="159">
        <v>1.62</v>
      </c>
      <c r="AA35" s="159">
        <v>1.59</v>
      </c>
      <c r="AB35" s="160">
        <v>35.299999999999997</v>
      </c>
      <c r="AC35" s="160">
        <v>34.5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4"/>
    </row>
    <row r="36" spans="1:54" ht="15.6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25">
        <v>2</v>
      </c>
      <c r="D36" s="111"/>
      <c r="E36" s="111"/>
      <c r="F36" s="112"/>
      <c r="G36" s="153">
        <v>34.897799999999997</v>
      </c>
      <c r="H36" s="151">
        <v>3500</v>
      </c>
      <c r="I36" s="155">
        <v>3500</v>
      </c>
      <c r="J36" s="99"/>
      <c r="K36" s="55"/>
      <c r="L36" s="55"/>
      <c r="M36" s="55"/>
      <c r="N36" s="56"/>
      <c r="O36" s="55"/>
      <c r="P36" s="99">
        <v>5.7220000000000004</v>
      </c>
      <c r="Q36" s="99"/>
      <c r="R36" s="99"/>
      <c r="S36" s="147">
        <v>248.6</v>
      </c>
      <c r="T36" s="159">
        <v>0.38</v>
      </c>
      <c r="U36" s="159">
        <v>0.37</v>
      </c>
      <c r="V36" s="159"/>
      <c r="W36" s="159"/>
      <c r="X36" s="160">
        <v>19.5</v>
      </c>
      <c r="Y36" s="160">
        <v>19.100000000000001</v>
      </c>
      <c r="Z36" s="159">
        <v>1.34</v>
      </c>
      <c r="AA36" s="159">
        <v>1.31</v>
      </c>
      <c r="AB36" s="160">
        <v>28.2</v>
      </c>
      <c r="AC36" s="160">
        <v>27.5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26"/>
    </row>
    <row r="37" spans="1:54" ht="16.2" thickBot="1" x14ac:dyDescent="0.35">
      <c r="A37" s="65">
        <f>IF(ISBLANK(VLOOKUP(D37,#REF!,3)),0,1)</f>
        <v>1</v>
      </c>
      <c r="B37" s="64">
        <f t="shared" si="0"/>
        <v>0</v>
      </c>
      <c r="C37" s="125">
        <v>3</v>
      </c>
      <c r="D37" s="111"/>
      <c r="E37" s="111"/>
      <c r="F37" s="113"/>
      <c r="G37" s="153">
        <v>34.924700000000001</v>
      </c>
      <c r="H37" s="151">
        <v>2500</v>
      </c>
      <c r="I37" s="155">
        <v>2500</v>
      </c>
      <c r="J37" s="99"/>
      <c r="K37" s="55"/>
      <c r="L37" s="55"/>
      <c r="M37" s="55"/>
      <c r="N37" s="56"/>
      <c r="O37" s="55"/>
      <c r="P37" s="99">
        <v>5.5549999999999997</v>
      </c>
      <c r="Q37" s="99"/>
      <c r="R37" s="99"/>
      <c r="S37" s="147">
        <v>241.4</v>
      </c>
      <c r="T37" s="159">
        <v>0.38</v>
      </c>
      <c r="U37" s="159">
        <v>0.37</v>
      </c>
      <c r="V37" s="159"/>
      <c r="W37" s="159"/>
      <c r="X37" s="160">
        <v>19.2</v>
      </c>
      <c r="Y37" s="160">
        <v>18.7</v>
      </c>
      <c r="Z37" s="159">
        <v>1.3</v>
      </c>
      <c r="AA37" s="159">
        <v>1.27</v>
      </c>
      <c r="AB37" s="160">
        <v>24.9</v>
      </c>
      <c r="AC37" s="160">
        <v>24.3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26"/>
    </row>
    <row r="38" spans="1:54" ht="15.6" x14ac:dyDescent="0.3">
      <c r="A38" s="65">
        <f>IF(ISBLANK(VLOOKUP(D38,#REF!,3)),0,1)</f>
        <v>1</v>
      </c>
      <c r="B38" s="64">
        <f t="shared" si="0"/>
        <v>0</v>
      </c>
      <c r="C38" s="125">
        <v>4</v>
      </c>
      <c r="D38" s="114"/>
      <c r="E38" s="114"/>
      <c r="F38" s="115"/>
      <c r="G38" s="153">
        <v>34.975999999999999</v>
      </c>
      <c r="H38" s="151">
        <v>1800</v>
      </c>
      <c r="I38" s="155">
        <v>1817</v>
      </c>
      <c r="J38" s="99"/>
      <c r="K38" s="55"/>
      <c r="L38" s="55"/>
      <c r="M38" s="55"/>
      <c r="N38" s="56"/>
      <c r="O38" s="55"/>
      <c r="P38" s="99">
        <v>5.6749999999999998</v>
      </c>
      <c r="Q38" s="99"/>
      <c r="R38" s="99"/>
      <c r="S38" s="147">
        <v>246.6</v>
      </c>
      <c r="T38" s="159">
        <v>0</v>
      </c>
      <c r="U38" s="159">
        <v>0</v>
      </c>
      <c r="V38" s="159"/>
      <c r="W38" s="159"/>
      <c r="X38" s="160">
        <v>19.399999999999999</v>
      </c>
      <c r="Y38" s="160">
        <v>19</v>
      </c>
      <c r="Z38" s="159">
        <v>1.24</v>
      </c>
      <c r="AA38" s="159">
        <v>1.21</v>
      </c>
      <c r="AB38" s="160">
        <v>14.8</v>
      </c>
      <c r="AC38" s="160">
        <v>14.5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4"/>
      <c r="AY38" s="123"/>
      <c r="AZ38" s="123"/>
      <c r="BA38" s="123"/>
      <c r="BB38" s="124"/>
    </row>
    <row r="39" spans="1:54" ht="16.2" thickBot="1" x14ac:dyDescent="0.35">
      <c r="A39" s="65">
        <f>IF(ISBLANK(VLOOKUP(D39,#REF!,3)),0,1)</f>
        <v>1</v>
      </c>
      <c r="B39" s="64">
        <f t="shared" si="0"/>
        <v>0</v>
      </c>
      <c r="C39" s="125">
        <v>5</v>
      </c>
      <c r="D39" s="111"/>
      <c r="E39" s="111"/>
      <c r="F39" s="113"/>
      <c r="G39" s="153">
        <v>34.765700000000002</v>
      </c>
      <c r="H39" s="151">
        <v>1200</v>
      </c>
      <c r="I39" s="155">
        <v>1201</v>
      </c>
      <c r="J39" s="99"/>
      <c r="K39" s="55"/>
      <c r="L39" s="55"/>
      <c r="M39" s="55"/>
      <c r="N39" s="56"/>
      <c r="O39" s="55"/>
      <c r="P39" s="99">
        <v>3.9710000000000001</v>
      </c>
      <c r="Q39" s="99"/>
      <c r="R39" s="99"/>
      <c r="S39" s="147">
        <v>172.6</v>
      </c>
      <c r="T39" s="159">
        <v>0</v>
      </c>
      <c r="U39" s="159">
        <v>0</v>
      </c>
      <c r="V39" s="159"/>
      <c r="W39" s="159"/>
      <c r="X39" s="160">
        <v>26.5</v>
      </c>
      <c r="Y39" s="160">
        <v>25.9</v>
      </c>
      <c r="Z39" s="159">
        <v>1.57</v>
      </c>
      <c r="AA39" s="159">
        <v>1.53</v>
      </c>
      <c r="AB39" s="160">
        <v>22.6</v>
      </c>
      <c r="AC39" s="160">
        <v>22.1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126"/>
      <c r="AY39" s="66"/>
      <c r="AZ39" s="66"/>
      <c r="BA39" s="66"/>
      <c r="BB39" s="126"/>
    </row>
    <row r="40" spans="1:54" ht="15.6" x14ac:dyDescent="0.3">
      <c r="A40" s="65">
        <f>IF(ISBLANK(VLOOKUP(D40,#REF!,3)),0,1)</f>
        <v>1</v>
      </c>
      <c r="B40" s="64">
        <f t="shared" si="0"/>
        <v>0</v>
      </c>
      <c r="C40" s="125">
        <v>6</v>
      </c>
      <c r="D40" s="111"/>
      <c r="E40" s="111"/>
      <c r="F40" s="113"/>
      <c r="G40" s="153">
        <v>34.515900000000002</v>
      </c>
      <c r="H40" s="151">
        <v>800</v>
      </c>
      <c r="I40" s="155">
        <v>806</v>
      </c>
      <c r="J40" s="99"/>
      <c r="K40" s="55"/>
      <c r="L40" s="55"/>
      <c r="M40" s="55"/>
      <c r="N40" s="56"/>
      <c r="O40" s="55"/>
      <c r="P40" s="99">
        <v>3.4510000000000001</v>
      </c>
      <c r="Q40" s="99"/>
      <c r="R40" s="99"/>
      <c r="S40" s="147">
        <v>150</v>
      </c>
      <c r="T40" s="159">
        <v>0</v>
      </c>
      <c r="U40" s="159">
        <v>0</v>
      </c>
      <c r="V40" s="159"/>
      <c r="W40" s="159"/>
      <c r="X40" s="160">
        <v>34.1</v>
      </c>
      <c r="Y40" s="160">
        <v>33.299999999999997</v>
      </c>
      <c r="Z40" s="159">
        <v>2.21</v>
      </c>
      <c r="AA40" s="159">
        <v>2.16</v>
      </c>
      <c r="AB40" s="160">
        <v>27</v>
      </c>
      <c r="AC40" s="160">
        <v>26.4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4"/>
      <c r="AY40" s="66"/>
      <c r="AZ40" s="66"/>
      <c r="BA40" s="66"/>
      <c r="BB40" s="126"/>
    </row>
    <row r="41" spans="1:54" ht="15.6" x14ac:dyDescent="0.3">
      <c r="A41" s="65">
        <f>IF(ISBLANK(VLOOKUP(D41,#REF!,3)),0,1)</f>
        <v>1</v>
      </c>
      <c r="B41" s="64">
        <f t="shared" si="0"/>
        <v>0</v>
      </c>
      <c r="C41" s="125">
        <v>7</v>
      </c>
      <c r="D41" s="111"/>
      <c r="E41" s="111"/>
      <c r="F41" s="113"/>
      <c r="G41" s="153">
        <v>34.595799999999997</v>
      </c>
      <c r="H41" s="151">
        <v>500</v>
      </c>
      <c r="I41" s="155">
        <v>500</v>
      </c>
      <c r="J41" s="99"/>
      <c r="K41" s="55"/>
      <c r="L41" s="55"/>
      <c r="M41" s="55"/>
      <c r="N41" s="56"/>
      <c r="O41" s="55"/>
      <c r="P41" s="99">
        <v>3.14</v>
      </c>
      <c r="Q41" s="99"/>
      <c r="R41" s="99"/>
      <c r="S41" s="147">
        <v>136.6</v>
      </c>
      <c r="T41" s="159">
        <v>0</v>
      </c>
      <c r="U41" s="159">
        <v>0</v>
      </c>
      <c r="V41" s="159"/>
      <c r="W41" s="159"/>
      <c r="X41" s="160">
        <v>31.5</v>
      </c>
      <c r="Y41" s="160">
        <v>30.8</v>
      </c>
      <c r="Z41" s="159">
        <v>1.74</v>
      </c>
      <c r="AA41" s="159">
        <v>1.7</v>
      </c>
      <c r="AB41" s="160">
        <v>15.9</v>
      </c>
      <c r="AC41" s="160">
        <v>15.5</v>
      </c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126"/>
      <c r="AY41" s="66"/>
      <c r="AZ41" s="66"/>
      <c r="BA41" s="66"/>
      <c r="BB41" s="126"/>
    </row>
    <row r="42" spans="1:54" ht="16.2" thickBot="1" x14ac:dyDescent="0.35">
      <c r="A42" s="65">
        <f>IF(ISBLANK(VLOOKUP(D42,#REF!,3)),0,1)</f>
        <v>1</v>
      </c>
      <c r="B42" s="64">
        <f t="shared" si="0"/>
        <v>0</v>
      </c>
      <c r="C42" s="125">
        <v>8</v>
      </c>
      <c r="D42" s="111"/>
      <c r="E42" s="111"/>
      <c r="F42" s="113"/>
      <c r="G42" s="153">
        <v>34.9756</v>
      </c>
      <c r="H42" s="151">
        <v>300</v>
      </c>
      <c r="I42" s="155">
        <v>300</v>
      </c>
      <c r="J42" s="99"/>
      <c r="K42" s="55"/>
      <c r="L42" s="55"/>
      <c r="M42" s="55"/>
      <c r="N42" s="56"/>
      <c r="O42" s="55"/>
      <c r="P42" s="99">
        <v>1.9630000000000001</v>
      </c>
      <c r="Q42" s="99"/>
      <c r="R42" s="99"/>
      <c r="S42" s="147">
        <v>85.4</v>
      </c>
      <c r="T42" s="159">
        <v>0</v>
      </c>
      <c r="U42" s="159">
        <v>0</v>
      </c>
      <c r="V42" s="159"/>
      <c r="W42" s="159"/>
      <c r="X42" s="160">
        <v>29.4</v>
      </c>
      <c r="Y42" s="160">
        <v>28.7</v>
      </c>
      <c r="Z42" s="159">
        <v>1.61</v>
      </c>
      <c r="AA42" s="159">
        <v>1.57</v>
      </c>
      <c r="AB42" s="160">
        <v>10.1</v>
      </c>
      <c r="AC42" s="160">
        <v>9.9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126"/>
      <c r="AY42" s="66"/>
      <c r="AZ42" s="66"/>
      <c r="BA42" s="66"/>
      <c r="BB42" s="126"/>
    </row>
    <row r="43" spans="1:54" ht="15.6" x14ac:dyDescent="0.3">
      <c r="A43" s="65">
        <f>IF(ISBLANK(VLOOKUP(D43,#REF!,3)),0,1)</f>
        <v>1</v>
      </c>
      <c r="B43" s="64">
        <f t="shared" si="0"/>
        <v>0</v>
      </c>
      <c r="C43" s="125">
        <v>9</v>
      </c>
      <c r="D43" s="111"/>
      <c r="E43" s="111"/>
      <c r="F43" s="113"/>
      <c r="G43" s="153">
        <v>35.494</v>
      </c>
      <c r="H43" s="151">
        <v>150</v>
      </c>
      <c r="I43" s="155">
        <v>149</v>
      </c>
      <c r="J43" s="99"/>
      <c r="K43" s="55"/>
      <c r="L43" s="55"/>
      <c r="M43" s="55"/>
      <c r="N43" s="56"/>
      <c r="O43" s="55"/>
      <c r="P43" s="99">
        <v>3.6669999999999998</v>
      </c>
      <c r="Q43" s="99"/>
      <c r="R43" s="99"/>
      <c r="S43" s="147">
        <v>159.6</v>
      </c>
      <c r="T43" s="159">
        <v>0</v>
      </c>
      <c r="U43" s="159">
        <v>0</v>
      </c>
      <c r="V43" s="159"/>
      <c r="W43" s="159"/>
      <c r="X43" s="160">
        <v>14.1</v>
      </c>
      <c r="Y43" s="160">
        <v>13.7</v>
      </c>
      <c r="Z43" s="159">
        <v>0.97</v>
      </c>
      <c r="AA43" s="159">
        <v>0.95</v>
      </c>
      <c r="AB43" s="160">
        <v>4.5999999999999996</v>
      </c>
      <c r="AC43" s="160">
        <v>4.5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4"/>
      <c r="AY43" s="123"/>
      <c r="AZ43" s="123"/>
      <c r="BA43" s="123"/>
      <c r="BB43" s="124"/>
    </row>
    <row r="44" spans="1:54" ht="15.6" x14ac:dyDescent="0.3">
      <c r="A44" s="65">
        <f>IF(ISBLANK(VLOOKUP(D44,#REF!,3)),0,1)</f>
        <v>1</v>
      </c>
      <c r="B44" s="64">
        <f t="shared" si="0"/>
        <v>0</v>
      </c>
      <c r="C44" s="125">
        <v>10</v>
      </c>
      <c r="D44" s="111"/>
      <c r="E44" s="111"/>
      <c r="F44" s="113"/>
      <c r="G44" s="153">
        <v>36.4358</v>
      </c>
      <c r="H44" s="156">
        <v>75</v>
      </c>
      <c r="I44" s="155">
        <v>74</v>
      </c>
      <c r="J44" s="99"/>
      <c r="K44" s="55"/>
      <c r="L44" s="55"/>
      <c r="M44" s="55"/>
      <c r="N44" s="56"/>
      <c r="O44" s="55"/>
      <c r="P44" s="99">
        <v>4.2190000000000003</v>
      </c>
      <c r="Q44" s="99"/>
      <c r="R44" s="99"/>
      <c r="S44" s="147">
        <v>183.8</v>
      </c>
      <c r="T44" s="159">
        <v>0.05</v>
      </c>
      <c r="U44" s="159">
        <v>0.05</v>
      </c>
      <c r="V44" s="159"/>
      <c r="W44" s="159"/>
      <c r="X44" s="160">
        <v>1.8</v>
      </c>
      <c r="Y44" s="160">
        <v>1.7</v>
      </c>
      <c r="Z44" s="159">
        <v>0.43</v>
      </c>
      <c r="AA44" s="159">
        <v>0.42</v>
      </c>
      <c r="AB44" s="160">
        <v>0.8</v>
      </c>
      <c r="AC44" s="160">
        <v>0.8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126"/>
      <c r="AY44" s="66"/>
      <c r="AZ44" s="66"/>
      <c r="BA44" s="66"/>
      <c r="BB44" s="126"/>
    </row>
    <row r="45" spans="1:54" ht="15.6" x14ac:dyDescent="0.3">
      <c r="A45" s="65">
        <f>IF(ISBLANK(VLOOKUP(D45,#REF!,3)),0,1)</f>
        <v>1</v>
      </c>
      <c r="B45" s="64">
        <f t="shared" si="0"/>
        <v>0</v>
      </c>
      <c r="C45" s="125">
        <v>11</v>
      </c>
      <c r="D45" s="111"/>
      <c r="E45" s="111"/>
      <c r="F45" s="113"/>
      <c r="G45" s="153">
        <v>36.067999999999998</v>
      </c>
      <c r="H45" s="156">
        <v>25</v>
      </c>
      <c r="I45" s="155">
        <v>26.6</v>
      </c>
      <c r="J45" s="99"/>
      <c r="K45" s="55"/>
      <c r="L45" s="55"/>
      <c r="M45" s="55"/>
      <c r="N45" s="56"/>
      <c r="O45" s="55"/>
      <c r="P45" s="99">
        <v>4.5460000000000003</v>
      </c>
      <c r="Q45" s="99"/>
      <c r="R45" s="99"/>
      <c r="S45" s="147">
        <v>198.4</v>
      </c>
      <c r="T45" s="159">
        <v>0.43</v>
      </c>
      <c r="U45" s="159">
        <v>0.42</v>
      </c>
      <c r="V45" s="159"/>
      <c r="W45" s="159"/>
      <c r="X45" s="160">
        <v>0.5</v>
      </c>
      <c r="Y45" s="160">
        <v>0.5</v>
      </c>
      <c r="Z45" s="159">
        <v>0.26</v>
      </c>
      <c r="AA45" s="159">
        <v>0.25</v>
      </c>
      <c r="AB45" s="160">
        <v>0.9</v>
      </c>
      <c r="AC45" s="160">
        <v>0.9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6"/>
      <c r="AY45" s="66"/>
      <c r="AZ45" s="66"/>
      <c r="BA45" s="66"/>
      <c r="BB45" s="126"/>
    </row>
    <row r="46" spans="1:54" ht="15.6" x14ac:dyDescent="0.3">
      <c r="A46" s="65">
        <f>IF(ISBLANK(VLOOKUP(D46,#REF!,3)),0,1)</f>
        <v>1</v>
      </c>
      <c r="B46" s="64">
        <f t="shared" si="0"/>
        <v>0</v>
      </c>
      <c r="C46" s="125">
        <v>12</v>
      </c>
      <c r="D46" s="88"/>
      <c r="E46" s="89"/>
      <c r="F46" s="90"/>
      <c r="G46" s="153">
        <v>35.788899999999998</v>
      </c>
      <c r="H46" s="156">
        <v>0</v>
      </c>
      <c r="I46" s="155">
        <v>1</v>
      </c>
      <c r="J46" s="99"/>
      <c r="K46" s="91" t="str">
        <f t="shared" ref="K46" si="1">IF(ISBLANK(E46),"",(0.000824493-(0.0000040899*E46)+(0.000000076438*E46^2)-(0.00000000082467*E46^3)+(0.0000000000053875*E46^4)))</f>
        <v/>
      </c>
      <c r="L46" s="91" t="str">
        <f t="shared" ref="L46" si="2">IF(ISBLANK(E46),"",(-0.00000572466+(0.00000010227*E46)-(0.0000000016546*E46^2)))</f>
        <v/>
      </c>
      <c r="M46" s="91" t="str">
        <f t="shared" ref="M46" si="3">IF(ISBLANK(E46),"",IF(ISBLANK(G46),(O46+(K46*35)+(L46*35^1.5)+(0.00000048314*35^2)),(O46+(K46*G46)+(L46*G46^1.5)+(0.00000048314*G46^2))))</f>
        <v/>
      </c>
      <c r="N46" s="92" t="str">
        <f t="shared" ref="N46" si="4">IF(ISBLANK(D46),"",IF(ISBLANK(G46),J46*(1+0.00001*(35-20)),J46*(1+0.00001*(G46-20))))</f>
        <v/>
      </c>
      <c r="O46" s="91" t="str">
        <f t="shared" ref="O46" si="5">IF(ISBLANK(E46),"",(0.999842594+(0.00006793952*E46)-(0.00000909529*E46^2)+(0.0000001001685*E46^3)-(0.000000001120083*E46^4)+(0.000000000006536332*E46^5)))</f>
        <v/>
      </c>
      <c r="P46" s="100">
        <v>4.6189999999999998</v>
      </c>
      <c r="Q46" s="100" t="str">
        <f>IF(ISBLANK($R$16),"",IF(A46=0,"",IF(ISBLANK($R$17),"",IF(AND(D46&gt;1202,D46&lt;2001),"Err. N°",IF(AND(D46&gt;499,D46&lt;1141),"Err.N°",IF(B46=0,"",IF($O$28=$I$29,"",IF(AND($I$29=$O$29,D46&lt;1000),"N° Flac.",IF(AND($I$29=$O$30,D46&gt;1000),"N° Flac.",#REF!/M46)))))))))</f>
        <v/>
      </c>
      <c r="R46" s="100" t="str">
        <f>IF(ISBLANK($R$16),"",IF(B46=0,"",IF(ISBLANK($R$17),"",IF(AND(E46&gt;1202,E46&lt;2001),"Err. N°",IF(AND(E46&gt;499,E46&lt;1141),"Err.N°",IF(C46=0,"",IF($O$28=$I$29,"",IF(AND($I$29=$O$29,E46&lt;1000),"N° Flac.",IF(AND($I$29=$O$30,E46&gt;1000),"N° Flac.",#REF!/N46)))))))))</f>
        <v/>
      </c>
      <c r="S46" s="152">
        <v>201.6</v>
      </c>
      <c r="T46" s="159">
        <v>0</v>
      </c>
      <c r="U46" s="159">
        <v>0</v>
      </c>
      <c r="V46" s="159"/>
      <c r="W46" s="159"/>
      <c r="X46" s="160">
        <v>0</v>
      </c>
      <c r="Y46" s="160">
        <v>0</v>
      </c>
      <c r="Z46" s="159">
        <v>0.28999999999999998</v>
      </c>
      <c r="AA46" s="159">
        <v>0.28000000000000003</v>
      </c>
      <c r="AB46" s="160">
        <v>0.7</v>
      </c>
      <c r="AC46" s="160">
        <v>0.7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26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25">
        <v>13</v>
      </c>
      <c r="D47" s="51"/>
      <c r="E47" s="52"/>
      <c r="F47" s="53"/>
      <c r="G47" s="93"/>
      <c r="H47" s="51"/>
      <c r="I47" s="5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26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25">
        <v>14</v>
      </c>
      <c r="D48" s="51"/>
      <c r="E48" s="52"/>
      <c r="F48" s="53"/>
      <c r="G48" s="93"/>
      <c r="H48" s="51"/>
      <c r="I48" s="51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26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25">
        <v>15</v>
      </c>
      <c r="D49" s="51"/>
      <c r="E49" s="52"/>
      <c r="F49" s="53"/>
      <c r="G49" s="54"/>
      <c r="H49" s="51"/>
      <c r="I49" s="51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6"/>
      <c r="U49" s="16"/>
      <c r="V49" s="95"/>
      <c r="W49" s="95"/>
      <c r="X49" s="95"/>
      <c r="Y49" s="95"/>
      <c r="Z49" s="16"/>
      <c r="AA49" s="16"/>
      <c r="AB49" s="95"/>
      <c r="AC49" s="95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26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25">
        <v>16</v>
      </c>
      <c r="D50" s="51"/>
      <c r="E50" s="52"/>
      <c r="F50" s="53"/>
      <c r="G50" s="54"/>
      <c r="H50" s="51"/>
      <c r="I50" s="51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26"/>
    </row>
    <row r="51" spans="1:54" ht="15.6" x14ac:dyDescent="0.3">
      <c r="A51" s="65">
        <f>IF(ISBLANK(VLOOKUP(D51,#REF!,3)),0,1)</f>
        <v>1</v>
      </c>
      <c r="B51" s="64">
        <f t="shared" si="0"/>
        <v>0</v>
      </c>
      <c r="C51" s="125">
        <v>17</v>
      </c>
      <c r="D51" s="51"/>
      <c r="E51" s="52"/>
      <c r="F51" s="53"/>
      <c r="G51" s="54"/>
      <c r="H51" s="51"/>
      <c r="I51" s="51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6"/>
      <c r="U51" s="16"/>
      <c r="V51" s="95"/>
      <c r="W51" s="95"/>
      <c r="X51" s="95"/>
      <c r="Y51" s="95"/>
      <c r="Z51" s="16"/>
      <c r="AA51" s="16"/>
      <c r="AB51" s="95"/>
      <c r="AC51" s="95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26"/>
    </row>
    <row r="52" spans="1:54" ht="15.6" x14ac:dyDescent="0.3">
      <c r="A52" s="65">
        <f>IF(ISBLANK(VLOOKUP(D52,#REF!,3)),0,1)</f>
        <v>1</v>
      </c>
      <c r="B52" s="64">
        <f t="shared" si="0"/>
        <v>0</v>
      </c>
      <c r="C52" s="125">
        <v>18</v>
      </c>
      <c r="D52" s="51"/>
      <c r="E52" s="52"/>
      <c r="F52" s="53"/>
      <c r="G52" s="54"/>
      <c r="H52" s="51"/>
      <c r="I52" s="51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26"/>
    </row>
    <row r="53" spans="1:54" ht="15.6" x14ac:dyDescent="0.3">
      <c r="A53" s="65">
        <f>IF(ISBLANK(VLOOKUP(D53,#REF!,3)),0,1)</f>
        <v>1</v>
      </c>
      <c r="B53" s="64">
        <f t="shared" si="0"/>
        <v>0</v>
      </c>
      <c r="C53" s="125">
        <v>19</v>
      </c>
      <c r="D53" s="51"/>
      <c r="E53" s="52"/>
      <c r="F53" s="53"/>
      <c r="G53" s="54"/>
      <c r="H53" s="51"/>
      <c r="I53" s="51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26"/>
    </row>
    <row r="54" spans="1:54" ht="15.6" x14ac:dyDescent="0.3">
      <c r="A54" s="65">
        <f>IF(ISBLANK(VLOOKUP(D54,#REF!,3)),0,1)</f>
        <v>1</v>
      </c>
      <c r="B54" s="64">
        <f t="shared" si="0"/>
        <v>0</v>
      </c>
      <c r="C54" s="125">
        <v>20</v>
      </c>
      <c r="D54" s="51"/>
      <c r="E54" s="52"/>
      <c r="F54" s="53"/>
      <c r="G54" s="54"/>
      <c r="H54" s="51"/>
      <c r="I54" s="51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26"/>
    </row>
    <row r="55" spans="1:54" ht="15.6" x14ac:dyDescent="0.3">
      <c r="A55" s="65">
        <f>IF(ISBLANK(VLOOKUP(D55,#REF!,3)),0,1)</f>
        <v>1</v>
      </c>
      <c r="B55" s="64">
        <f t="shared" si="0"/>
        <v>0</v>
      </c>
      <c r="C55" s="125">
        <v>21</v>
      </c>
      <c r="D55" s="51"/>
      <c r="E55" s="52"/>
      <c r="F55" s="53"/>
      <c r="G55" s="54"/>
      <c r="H55" s="51"/>
      <c r="I55" s="51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26"/>
    </row>
    <row r="56" spans="1:54" ht="15.6" x14ac:dyDescent="0.3">
      <c r="A56" s="65">
        <f>IF(ISBLANK(VLOOKUP(D56,#REF!,3)),0,1)</f>
        <v>1</v>
      </c>
      <c r="B56" s="64">
        <f t="shared" si="0"/>
        <v>0</v>
      </c>
      <c r="C56" s="125">
        <v>22</v>
      </c>
      <c r="D56" s="51"/>
      <c r="E56" s="52"/>
      <c r="F56" s="53"/>
      <c r="G56" s="54"/>
      <c r="H56" s="51"/>
      <c r="I56" s="51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6"/>
      <c r="U56" s="16"/>
      <c r="V56" s="95"/>
      <c r="W56" s="95"/>
      <c r="X56" s="95"/>
      <c r="Y56" s="95"/>
      <c r="Z56" s="16"/>
      <c r="AA56" s="16"/>
      <c r="AB56" s="95"/>
      <c r="AC56" s="95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26"/>
    </row>
    <row r="57" spans="1:54" ht="15.6" x14ac:dyDescent="0.3">
      <c r="A57" s="65">
        <f>IF(ISBLANK(VLOOKUP(D57,#REF!,3)),0,1)</f>
        <v>1</v>
      </c>
      <c r="B57" s="64">
        <f t="shared" si="0"/>
        <v>0</v>
      </c>
      <c r="C57" s="125">
        <v>23</v>
      </c>
      <c r="D57" s="51"/>
      <c r="E57" s="52"/>
      <c r="F57" s="53"/>
      <c r="G57" s="54"/>
      <c r="H57" s="51"/>
      <c r="I57" s="51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26"/>
    </row>
    <row r="58" spans="1:54" ht="16.2" thickBot="1" x14ac:dyDescent="0.35">
      <c r="A58" s="65">
        <f>IF(ISBLANK(VLOOKUP(D58,#REF!,3)),0,1)</f>
        <v>1</v>
      </c>
      <c r="B58" s="64">
        <f t="shared" si="0"/>
        <v>0</v>
      </c>
      <c r="C58" s="127">
        <v>24</v>
      </c>
      <c r="D58" s="128"/>
      <c r="E58" s="129"/>
      <c r="F58" s="130"/>
      <c r="G58" s="131"/>
      <c r="H58" s="128"/>
      <c r="I58" s="12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5</vt:i4>
      </vt:variant>
    </vt:vector>
  </HeadingPairs>
  <TitlesOfParts>
    <vt:vector size="20" baseType="lpstr">
      <vt:lpstr>001_01</vt:lpstr>
      <vt:lpstr>002_01</vt:lpstr>
      <vt:lpstr>003_01</vt:lpstr>
      <vt:lpstr>004_01</vt:lpstr>
      <vt:lpstr>005_01</vt:lpstr>
      <vt:lpstr>006_01</vt:lpstr>
      <vt:lpstr>007_01</vt:lpstr>
      <vt:lpstr>008_01</vt:lpstr>
      <vt:lpstr>009_01</vt:lpstr>
      <vt:lpstr>010_01</vt:lpstr>
      <vt:lpstr>011_01</vt:lpstr>
      <vt:lpstr>012_01</vt:lpstr>
      <vt:lpstr>013_01</vt:lpstr>
      <vt:lpstr>014_01</vt:lpstr>
      <vt:lpstr>015_01</vt:lpstr>
      <vt:lpstr>Blanc___24_83</vt:lpstr>
      <vt:lpstr>NORMALITE___24_83</vt:lpstr>
      <vt:lpstr>vol_iodate_tc___24_83</vt:lpstr>
      <vt:lpstr>Vol_reactif___24_83</vt:lpstr>
      <vt:lpstr>Vol_thio_iodate___24_83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</dc:creator>
  <cp:lastModifiedBy>Pierre ROUSSELOT, Brest IRD</cp:lastModifiedBy>
  <cp:lastPrinted>2015-02-05T12:58:17Z</cp:lastPrinted>
  <dcterms:created xsi:type="dcterms:W3CDTF">2015-01-20T10:06:39Z</dcterms:created>
  <dcterms:modified xsi:type="dcterms:W3CDTF">2017-06-28T08:37:13Z</dcterms:modified>
</cp:coreProperties>
</file>