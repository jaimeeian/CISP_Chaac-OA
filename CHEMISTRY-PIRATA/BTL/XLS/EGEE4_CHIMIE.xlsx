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9.xml" ContentType="application/vnd.openxmlformats-officedocument.spreadsheetml.worksheet+xml"/>
  <Override PartName="/xl/worksheets/sheet26.xml" ContentType="application/vnd.openxmlformats-officedocument.spreadsheetml.worksheet+xml"/>
  <Override PartName="/xl/worksheets/sheet8.xml" ContentType="application/vnd.openxmlformats-officedocument.spreadsheetml.worksheet+xml"/>
  <Override PartName="/xl/worksheets/sheet25.xml" ContentType="application/vnd.openxmlformats-officedocument.spreadsheetml.worksheet+xml"/>
  <Override PartName="/xl/worksheets/sheet7.xml" ContentType="application/vnd.openxmlformats-officedocument.spreadsheetml.worksheet+xml"/>
  <Override PartName="/xl/worksheets/sheet24.xml" ContentType="application/vnd.openxmlformats-officedocument.spreadsheetml.worksheet+xml"/>
  <Override PartName="/xl/worksheets/sheet6.xml" ContentType="application/vnd.openxmlformats-officedocument.spreadsheetml.worksheet+xml"/>
  <Override PartName="/xl/worksheets/sheet23.xml" ContentType="application/vnd.openxmlformats-officedocument.spreadsheetml.worksheet+xml"/>
  <Override PartName="/xl/worksheets/sheet5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22.xml" ContentType="application/vnd.openxmlformats-officedocument.spreadsheetml.worksheet+xml"/>
  <Override PartName="/xl/worksheets/sheet4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30.xml" ContentType="application/vnd.openxmlformats-officedocument.spreadsheetml.worksheet+xml"/>
  <Override PartName="/xl/worksheets/sheet4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3.xml" ContentType="application/vnd.openxmlformats-officedocument.spreadsheetml.worksheet+xml"/>
  <Override PartName="/xl/worksheets/sheet2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001_01" sheetId="1" state="visible" r:id="rId2"/>
    <sheet name="002_01" sheetId="2" state="visible" r:id="rId3"/>
    <sheet name="003_01" sheetId="3" state="visible" r:id="rId4"/>
    <sheet name="004_01" sheetId="4" state="visible" r:id="rId5"/>
    <sheet name="005_01" sheetId="5" state="visible" r:id="rId6"/>
    <sheet name="006_01" sheetId="6" state="visible" r:id="rId7"/>
    <sheet name="007_01" sheetId="7" state="visible" r:id="rId8"/>
    <sheet name="008_01" sheetId="8" state="visible" r:id="rId9"/>
    <sheet name="009_01" sheetId="9" state="visible" r:id="rId10"/>
    <sheet name="010_01" sheetId="10" state="visible" r:id="rId11"/>
    <sheet name="011_01" sheetId="11" state="visible" r:id="rId12"/>
    <sheet name="012_01" sheetId="12" state="visible" r:id="rId13"/>
    <sheet name="013_01" sheetId="13" state="visible" r:id="rId14"/>
    <sheet name="014_01" sheetId="14" state="visible" r:id="rId15"/>
    <sheet name="015_01" sheetId="15" state="visible" r:id="rId16"/>
    <sheet name="016_01" sheetId="16" state="visible" r:id="rId17"/>
    <sheet name="017_01" sheetId="17" state="visible" r:id="rId18"/>
    <sheet name="018_01" sheetId="18" state="visible" r:id="rId19"/>
    <sheet name="019_01" sheetId="19" state="visible" r:id="rId20"/>
    <sheet name="020_01" sheetId="20" state="visible" r:id="rId21"/>
    <sheet name="021_01" sheetId="21" state="visible" r:id="rId22"/>
    <sheet name="022_01" sheetId="22" state="visible" r:id="rId23"/>
    <sheet name="023_01" sheetId="23" state="visible" r:id="rId24"/>
    <sheet name="024_01" sheetId="24" state="visible" r:id="rId25"/>
    <sheet name="025_01" sheetId="25" state="visible" r:id="rId26"/>
    <sheet name="026_01" sheetId="26" state="visible" r:id="rId27"/>
    <sheet name="027_01" sheetId="27" state="visible" r:id="rId28"/>
    <sheet name="028_01" sheetId="28" state="visible" r:id="rId29"/>
    <sheet name="029_01" sheetId="29" state="visible" r:id="rId30"/>
    <sheet name="030_01" sheetId="30" state="visible" r:id="rId31"/>
    <sheet name="031_01" sheetId="31" state="visible" r:id="rId32"/>
    <sheet name="032_01" sheetId="32" state="visible" r:id="rId33"/>
    <sheet name="033_01" sheetId="33" state="visible" r:id="rId34"/>
    <sheet name="034_01" sheetId="34" state="visible" r:id="rId35"/>
    <sheet name="035_01" sheetId="35" state="visible" r:id="rId36"/>
    <sheet name="036_01" sheetId="36" state="visible" r:id="rId37"/>
    <sheet name="037_01" sheetId="37" state="visible" r:id="rId38"/>
    <sheet name="038_01" sheetId="38" state="visible" r:id="rId39"/>
    <sheet name="039_01" sheetId="39" state="visible" r:id="rId40"/>
    <sheet name="040_01" sheetId="40" state="visible" r:id="rId41"/>
    <sheet name="041_01" sheetId="41" state="visible" r:id="rId42"/>
    <sheet name="042_01" sheetId="42" state="visible" r:id="rId4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<sst xmlns="http://schemas.openxmlformats.org/spreadsheetml/2006/main" count="8287" uniqueCount="146">
  <si>
    <t xml:space="preserve">Campagne :</t>
  </si>
  <si>
    <t xml:space="preserve">EGEE 4</t>
  </si>
  <si>
    <t xml:space="preserve">Données de campagne</t>
  </si>
  <si>
    <t xml:space="preserve">N° de station :</t>
  </si>
  <si>
    <t xml:space="preserve">N° de palanquée :</t>
  </si>
  <si>
    <t xml:space="preserve">Date d'analyse :</t>
  </si>
  <si>
    <t xml:space="preserve">Position</t>
  </si>
  <si>
    <t xml:space="preserve">Degrés </t>
  </si>
  <si>
    <t xml:space="preserve">Minutes</t>
  </si>
  <si>
    <t xml:space="preserve">Cardinal</t>
  </si>
  <si>
    <t xml:space="preserve">Décimale</t>
  </si>
  <si>
    <t xml:space="preserve">Latitude</t>
  </si>
  <si>
    <t xml:space="preserve">:</t>
  </si>
  <si>
    <t xml:space="preserve">N</t>
  </si>
  <si>
    <t xml:space="preserve">E</t>
  </si>
  <si>
    <t xml:space="preserve">Longitude</t>
  </si>
  <si>
    <t xml:space="preserve">S</t>
  </si>
  <si>
    <t xml:space="preserve">W</t>
  </si>
  <si>
    <t xml:space="preserve">Prélèvement</t>
  </si>
  <si>
    <t xml:space="preserve">Date</t>
  </si>
  <si>
    <t xml:space="preserve">Heure</t>
  </si>
  <si>
    <t xml:space="preserve">Données :</t>
  </si>
  <si>
    <t xml:space="preserve">Température du laboratoire à la calibration ( t°c )</t>
  </si>
  <si>
    <t xml:space="preserve">t°c =</t>
  </si>
  <si>
    <t xml:space="preserve">°C</t>
  </si>
  <si>
    <t xml:space="preserve">Température du laboratoire au début de la série d'analyses </t>
  </si>
  <si>
    <r>
      <rPr>
        <sz val="10"/>
        <color rgb="FF000000"/>
        <rFont val="Calibri"/>
        <family val="2"/>
        <charset val="1"/>
      </rPr>
      <t xml:space="preserve">t°</t>
    </r>
    <r>
      <rPr>
        <vertAlign val="subscript"/>
        <sz val="10"/>
        <color rgb="FF000000"/>
        <rFont val="Calibri"/>
        <family val="2"/>
        <charset val="1"/>
      </rPr>
      <t xml:space="preserve">lab</t>
    </r>
    <r>
      <rPr>
        <sz val="10"/>
        <color rgb="FF000000"/>
        <rFont val="Calibri"/>
        <family val="2"/>
        <charset val="1"/>
      </rPr>
      <t xml:space="preserve"> =</t>
    </r>
  </si>
  <si>
    <t xml:space="preserve">Volume moyen de thiosulfate pour la titration à t°c</t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</si>
  <si>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moy.titr.t°c</t>
    </r>
    <r>
      <rPr>
        <sz val="10"/>
        <color rgb="FF000000"/>
        <rFont val="Calibri"/>
        <family val="2"/>
        <charset val="1"/>
      </rPr>
      <t xml:space="preserve"> =</t>
    </r>
  </si>
  <si>
    <t xml:space="preserve">mL</t>
  </si>
  <si>
    <t xml:space="preserve">Volume moyen de thiosulfate pour la détermination du blanc à t°c</t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</si>
  <si>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moy.titr.blanc.t°c</t>
    </r>
    <r>
      <rPr>
        <sz val="10"/>
        <color rgb="FF000000"/>
        <rFont val="Calibri"/>
        <family val="2"/>
        <charset val="1"/>
      </rPr>
      <t xml:space="preserve"> =</t>
    </r>
  </si>
  <si>
    <t xml:space="preserve">Masse volumique de l'eau pure à la calibration</t>
  </si>
  <si>
    <t xml:space="preserve">ρ =</t>
  </si>
  <si>
    <t xml:space="preserve">Normalite de l'iodate (NIO3) à la température de calibration</t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</si>
  <si>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 =</t>
    </r>
  </si>
  <si>
    <t xml:space="preserve">Vol. de la prise d'essai d'iodate (VIO3) à 20°C</t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</si>
  <si>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</si>
  <si>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Vol. de la prise d'essai d'iodate (VIO3) à t°c</t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</si>
  <si>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t°c</t>
    </r>
    <r>
      <rPr>
        <sz val="8"/>
        <color rgb="FF000000"/>
        <rFont val="Calibri"/>
        <family val="2"/>
        <charset val="1"/>
      </rPr>
      <t xml:space="preserve">=</t>
    </r>
  </si>
  <si>
    <t xml:space="preserve">Volume moyen de thiosulfate pour la titration à 20° C</t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</si>
  <si>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</si>
  <si>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Volume moyen de thiosulfate pour la détermination du blanc à 20° C</t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</si>
  <si>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moy.titr.blanc.20°C</t>
    </r>
    <r>
      <rPr>
        <sz val="8"/>
        <color rgb="FF000000"/>
        <rFont val="Calibri"/>
        <family val="2"/>
        <charset val="1"/>
      </rPr>
      <t xml:space="preserve"> =</t>
    </r>
  </si>
  <si>
    <t xml:space="preserve">Normalite de l'iodate (NIO3) à 20°C</t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</si>
  <si>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</si>
  <si>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Titre du thiosulfate à 20°C</t>
  </si>
  <si>
    <r>
      <rPr>
        <sz val="8"/>
        <color rgb="FF000000"/>
        <rFont val="Calibri"/>
        <family val="2"/>
        <charset val="1"/>
      </rPr>
      <t xml:space="preserve">V(Thio)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</si>
  <si>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Volume de réactif utilisé</t>
  </si>
  <si>
    <t xml:space="preserve">Vreg =</t>
  </si>
  <si>
    <t xml:space="preserve">DOreg =</t>
  </si>
  <si>
    <t xml:space="preserve">Choix de la série de flacons :</t>
  </si>
  <si>
    <t xml:space="preserve">IRD</t>
  </si>
  <si>
    <t xml:space="preserve">LPO</t>
  </si>
  <si>
    <t xml:space="preserve">N°</t>
  </si>
  <si>
    <t xml:space="preserve">N° des Flacons</t>
  </si>
  <si>
    <t xml:space="preserve">T° prélèv.</t>
  </si>
  <si>
    <t xml:space="preserve">Volume de thio. </t>
  </si>
  <si>
    <t xml:space="preserve">Salinité</t>
  </si>
  <si>
    <t xml:space="preserve">Prof. Théorique</t>
  </si>
  <si>
    <t xml:space="preserve">Prof. Effective</t>
  </si>
  <si>
    <t xml:space="preserve">V. flacons 20°C </t>
  </si>
  <si>
    <t xml:space="preserve">A</t>
  </si>
  <si>
    <t xml:space="preserve">B</t>
  </si>
  <si>
    <t xml:space="preserve">Densité eau de mer à t°</t>
  </si>
  <si>
    <t xml:space="preserve">Vol. à t° prél. des flacons</t>
  </si>
  <si>
    <t xml:space="preserve">Densité eau pure à t°</t>
  </si>
  <si>
    <t xml:space="preserve">Oxygène dissous</t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</si>
  <si>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</si>
  <si>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+ 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</si>
  <si>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</t>
    </r>
  </si>
  <si>
    <t xml:space="preserve">Phosphate</t>
  </si>
  <si>
    <t xml:space="preserve">Silicate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</si>
  <si>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</si>
  <si>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</si>
  <si>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</si>
  <si>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</si>
  <si>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</si>
  <si>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</si>
  <si>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</si>
  <si>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</si>
  <si>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</si>
  <si>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</si>
  <si>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</si>
  <si>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</si>
  <si>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</si>
  <si>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</si>
  <si>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</si>
  <si>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</si>
  <si>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</si>
  <si>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</si>
  <si>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</si>
  <si>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</si>
  <si>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</si>
  <si>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</si>
  <si>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</si>
  <si>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</si>
  <si>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</si>
  <si>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BTL</t>
  </si>
  <si>
    <t xml:space="preserve"> </t>
  </si>
  <si>
    <t xml:space="preserve">ml</t>
  </si>
  <si>
    <t xml:space="preserve">m</t>
  </si>
  <si>
    <t xml:space="preserve">DOX1</t>
  </si>
  <si>
    <t xml:space="preserve">DOXY</t>
  </si>
  <si>
    <t xml:space="preserve">DOX2</t>
  </si>
  <si>
    <t xml:space="preserve">NTRI</t>
  </si>
  <si>
    <t xml:space="preserve">NTIW</t>
  </si>
  <si>
    <t xml:space="preserve">NTRZ</t>
  </si>
  <si>
    <t xml:space="preserve">NTZW</t>
  </si>
  <si>
    <t xml:space="preserve">NTRA</t>
  </si>
  <si>
    <t xml:space="preserve">NTAW</t>
  </si>
  <si>
    <t xml:space="preserve">PHOS</t>
  </si>
  <si>
    <t xml:space="preserve">PHOW</t>
  </si>
  <si>
    <t xml:space="preserve">SLCA</t>
  </si>
  <si>
    <t xml:space="preserve">SLCW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</si>
  <si>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</si>
  <si>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</si>
  <si>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</si>
  <si>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</si>
  <si>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</si>
  <si>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NXAP</t>
  </si>
  <si>
    <t xml:space="preserve">PXAP</t>
  </si>
  <si>
    <t xml:space="preserve">VXAP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</si>
  <si>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</si>
  <si>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</si>
  <si>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</si>
  <si>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</si>
  <si>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</si>
  <si>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LUTP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</si>
  <si>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</si>
  <si>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</si>
  <si>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</si>
  <si>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</si>
  <si>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</si>
  <si>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</si>
  <si>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</si>
  <si>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</si>
  <si>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</si>
  <si>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</si>
  <si>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</si>
  <si>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ml/l</t>
  </si>
  <si>
    <t xml:space="preserve">ml/kg</t>
  </si>
  <si>
    <t xml:space="preserve">µmol/l</t>
  </si>
  <si>
    <t xml:space="preserve">µmol/kg</t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</si>
  <si>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</si>
  <si>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  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</si>
</sst>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000"/>
    <numFmt numFmtId="166" formatCode="00"/>
    <numFmt numFmtId="167" formatCode="dd/mm/yyyy"/>
    <numFmt numFmtId="168" formatCode="00\°"/>
    <numFmt numFmtId="169" formatCode="00.00&quot;''&quot;"/>
    <numFmt numFmtId="170" formatCode="General"/>
    <numFmt numFmtId="171" formatCode="0.00"/>
    <numFmt numFmtId="172" formatCode="00.00&quot; ''&quot;"/>
    <numFmt numFmtId="173" formatCode="yyyy\-mm\-dd"/>
    <numFmt numFmtId="174" formatCode="hh:mm:ss"/>
    <numFmt numFmtId="175" formatCode="yyyy\-mm\-dd\Thh:mm:ss\z"/>
    <numFmt numFmtId="176" formatCode="dddd&quot;, &quot;mmmm\ dd&quot;, &quot;yyyy"/>
    <numFmt numFmtId="177" formatCode="0.000"/>
    <numFmt numFmtId="178" formatCode="0.0000"/>
    <numFmt numFmtId="179" formatCode="#,##0.000;[RED]&quot;Erreur !&quot;;[RED]&quot;Erreur !&quot;;[RED]General"/>
    <numFmt numFmtId="180" formatCode="0.00000000"/>
    <numFmt numFmtId="181" formatCode="#,##0.00;[RED]&quot;Erreur !&quot;;[RED]&quot;Erreur !&quot;;[RED]General"/>
    <numFmt numFmtId="182" formatCode="0.0"/>
    <numFmt numFmtId="183" formatCode="#,##0.0;[RED]#,##0.0"/>
    <numFmt numFmtId="184" formatCode="0"/>
  </numFmts>
  <fonts count="3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2"/>
      <charset val="1"/>
    </font>
    <font>
      <b val="true"/>
      <sz val="16"/>
      <color rgb="FFFF0000"/>
      <name val="Calibri"/>
      <family val="2"/>
      <charset val="1"/>
    </font>
    <font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vertAlign val="subscript"/>
      <sz val="10"/>
      <color rgb="FF000000"/>
      <name val="Calibri"/>
      <family val="2"/>
      <charset val="1"/>
    </font>
    <font>
      <sz val="8"/>
      <name val="Arial"/>
      <family val="2"/>
      <charset val="1"/>
    </font>
    <font>
      <sz val="8"/>
      <color rgb="FF000000"/>
      <name val="Calibri"/>
      <family val="2"/>
      <charset val="1"/>
    </font>
    <font>
      <vertAlign val="subscript"/>
      <sz val="8"/>
      <color rgb="FF000000"/>
      <name val="Calibri"/>
      <family val="2"/>
      <charset val="1"/>
    </font>
    <font>
      <b val="true"/>
      <sz val="11"/>
      <color rgb="FFFFFF00"/>
      <name val="Calibri"/>
      <family val="2"/>
      <charset val="1"/>
    </font>
    <font>
      <b val="true"/>
      <sz val="22"/>
      <color rgb="FFFFFF00"/>
      <name val="Calibri"/>
      <family val="2"/>
      <charset val="1"/>
    </font>
    <font>
      <b val="true"/>
      <vertAlign val="subscript"/>
      <sz val="22"/>
      <color rgb="FFFFFF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FFFF00"/>
      <name val="Calibri"/>
      <family val="2"/>
      <charset val="1"/>
    </font>
    <font>
      <b val="true"/>
      <sz val="12"/>
      <color rgb="FFFFFF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2"/>
      <color rgb="FFFFFFFF"/>
      <name val="Calibri"/>
      <family val="2"/>
      <charset val="1"/>
    </font>
    <font>
      <sz val="11"/>
      <name val="Calibri"/>
      <family val="2"/>
      <charset val="1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color rgb="FF00206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66"/>
        <bgColor rgb="FFFFFF00"/>
      </patternFill>
    </fill>
    <fill>
      <patternFill patternType="solid">
        <fgColor rgb="FF0070C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BFBFBF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8080"/>
        <bgColor rgb="FFFF99CC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2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3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9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1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2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3" borderId="2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3" borderId="2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9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4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1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9" fillId="5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1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1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7" borderId="1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11" fillId="6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8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9" fillId="6" borderId="2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1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7" borderId="1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9" fillId="8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3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31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31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0" fontId="31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31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31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31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8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28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6" borderId="1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8" fillId="2" borderId="1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8" fillId="2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3" fillId="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23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8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18" fillId="4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9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9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6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6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5" activeCellId="1" sqref="U45 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9" min="4" style="0" width="10.43"/>
    <col collapsed="false" customWidth="true" hidden="false" outlineLevel="0" max="10" min="10" style="0" width="13.57"/>
    <col collapsed="false" customWidth="true" hidden="true" outlineLevel="0" max="15" min="11" style="0" width="9.14"/>
    <col collapsed="false" customWidth="true" hidden="false" outlineLevel="0" max="16" min="16" style="0" width="8.28"/>
    <col collapsed="false" customWidth="true" hidden="false" outlineLevel="0" max="29" min="17" style="0" width="10.43"/>
    <col collapsed="false" customWidth="true" hidden="false" outlineLevel="0" max="30" min="30" style="0" width="13.57"/>
    <col collapsed="false" customWidth="true" hidden="false" outlineLevel="0" max="31" min="31" style="0" width="16.71"/>
    <col collapsed="false" customWidth="true" hidden="false" outlineLevel="0" max="32" min="32" style="0" width="9.14"/>
    <col collapsed="false" customWidth="true" hidden="false" outlineLevel="0" max="33" min="33" style="0" width="26.29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6.72"/>
    <col collapsed="false" customWidth="true" hidden="false" outlineLevel="0" max="39" min="39" style="0" width="14.57"/>
    <col collapsed="false" customWidth="true" hidden="false" outlineLevel="0" max="40" min="40" style="0" width="11.28"/>
    <col collapsed="false" customWidth="true" hidden="false" outlineLevel="0" max="41" min="41" style="0" width="12.43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57"/>
    <col collapsed="false" customWidth="true" hidden="false" outlineLevel="0" max="45" min="45" style="0" width="13"/>
    <col collapsed="false" customWidth="true" hidden="false" outlineLevel="0" max="46" min="46" style="0" width="17.71"/>
    <col collapsed="false" customWidth="true" hidden="false" outlineLevel="0" max="47" min="47" style="0" width="14.57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85"/>
    <col collapsed="false" customWidth="true" hidden="false" outlineLevel="0" max="51" min="51" style="0" width="13.14"/>
    <col collapsed="false" customWidth="true" hidden="false" outlineLevel="0" max="52" min="52" style="0" width="17.57"/>
    <col collapsed="false" customWidth="true" hidden="false" outlineLevel="0" max="53" min="53" style="0" width="13.43"/>
    <col collapsed="false" customWidth="true" hidden="false" outlineLevel="0" max="54" min="54" style="0" width="12.57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37579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7</v>
      </c>
      <c r="J9" s="29" t="n">
        <v>28.02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7°28,02</v>
      </c>
      <c r="P9" s="29" t="s">
        <v>13</v>
      </c>
      <c r="Q9" s="33" t="n">
        <f aca="false">IF(ISBLANK(I9),"",IF(ISBLANK(J9),"",IF(J9&gt;60,"ERREUR !!",O11*(I9+(J9/60)))))</f>
        <v>7.467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14</v>
      </c>
      <c r="J10" s="29" t="n">
        <v>22.94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-14°22,94</v>
      </c>
      <c r="P10" s="29" t="s">
        <v>17</v>
      </c>
      <c r="Q10" s="33" t="n">
        <f aca="false">IF(ISBLANK(I10),"",IF(ISBLANK(J10),"",IF(J10&gt;60,"ERREUR !!",O12*(I10+(J10/60)))))</f>
        <v>-14.3823333333333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37577</v>
      </c>
      <c r="K11" s="38"/>
      <c r="L11" s="38"/>
      <c r="M11" s="38"/>
      <c r="N11" s="39" t="str">
        <f aca="false">I9&amp;"°"&amp;J9</f>
        <v>7°28,02</v>
      </c>
      <c r="O11" s="40" t="n">
        <f aca="false">IF(P9=M10,-1,1)</f>
        <v>1</v>
      </c>
      <c r="P11" s="41" t="str">
        <f aca="false">TEXT(J11,"aaaa-mm-jj")&amp;"T"&amp;TEXT(J12,"hh:mm:ss")&amp;"z"</f>
        <v>2006-11-18T17:00:00z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0.708333333333333</v>
      </c>
      <c r="K12" s="45"/>
      <c r="L12" s="45"/>
      <c r="M12" s="45"/>
      <c r="N12" s="46" t="str">
        <f aca="false">I10&amp;"°"&amp;J10</f>
        <v>14°22,94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34.7568</v>
      </c>
      <c r="H35" s="118" t="n">
        <v>1000</v>
      </c>
      <c r="I35" s="119" t="n">
        <v>1014</v>
      </c>
      <c r="J35" s="120"/>
      <c r="K35" s="121"/>
      <c r="L35" s="121"/>
      <c r="M35" s="121"/>
      <c r="N35" s="122"/>
      <c r="O35" s="121"/>
      <c r="P35" s="120" t="n">
        <v>3.192</v>
      </c>
      <c r="Q35" s="120"/>
      <c r="R35" s="120"/>
      <c r="S35" s="123" t="n">
        <v>138.8</v>
      </c>
      <c r="T35" s="124" t="n">
        <v>0.034</v>
      </c>
      <c r="U35" s="124" t="n">
        <v>0.0332244399058122</v>
      </c>
      <c r="X35" s="125" t="n">
        <v>33.666</v>
      </c>
      <c r="Y35" s="125" t="n">
        <v>32.8980586432081</v>
      </c>
      <c r="Z35" s="124" t="n">
        <v>2.231</v>
      </c>
      <c r="AA35" s="124" t="n">
        <v>2.18010957146668</v>
      </c>
      <c r="AB35" s="125" t="n">
        <v>28.48</v>
      </c>
      <c r="AC35" s="125" t="n">
        <v>27.8303543681627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6.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34.7588</v>
      </c>
      <c r="H36" s="131" t="n">
        <v>1000</v>
      </c>
      <c r="I36" s="119" t="n">
        <v>1014</v>
      </c>
      <c r="J36" s="132"/>
      <c r="K36" s="133"/>
      <c r="L36" s="133"/>
      <c r="M36" s="133"/>
      <c r="N36" s="134"/>
      <c r="O36" s="133"/>
      <c r="P36" s="132" t="n">
        <v>3.182</v>
      </c>
      <c r="Q36" s="132"/>
      <c r="R36" s="132"/>
      <c r="S36" s="135" t="n">
        <v>138.4</v>
      </c>
      <c r="T36" s="124" t="n">
        <v>0.046</v>
      </c>
      <c r="U36" s="124" t="n">
        <v>0.044950712813746</v>
      </c>
      <c r="X36" s="125" t="n">
        <v>33.584</v>
      </c>
      <c r="Y36" s="125" t="n">
        <v>32.8179291116705</v>
      </c>
      <c r="Z36" s="124" t="n">
        <v>2.23</v>
      </c>
      <c r="AA36" s="124" t="n">
        <v>2.17913238205768</v>
      </c>
      <c r="AB36" s="125" t="n">
        <v>28.39</v>
      </c>
      <c r="AC36" s="125" t="n">
        <v>27.7424073213532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8"/>
      <c r="G37" s="117" t="n">
        <v>34.759</v>
      </c>
      <c r="H37" s="118" t="n">
        <v>1000</v>
      </c>
      <c r="I37" s="119" t="n">
        <v>1014</v>
      </c>
      <c r="J37" s="132"/>
      <c r="K37" s="133"/>
      <c r="L37" s="133"/>
      <c r="M37" s="133"/>
      <c r="N37" s="134"/>
      <c r="O37" s="133"/>
      <c r="P37" s="132" t="n">
        <v>3.191</v>
      </c>
      <c r="Q37" s="132"/>
      <c r="R37" s="132"/>
      <c r="S37" s="135" t="n">
        <v>138.8</v>
      </c>
      <c r="T37" s="124" t="n">
        <v>0.054</v>
      </c>
      <c r="U37" s="124" t="n">
        <v>0.0527682280857018</v>
      </c>
      <c r="X37" s="125" t="n">
        <v>33.666</v>
      </c>
      <c r="Y37" s="125" t="n">
        <v>32.8980586432081</v>
      </c>
      <c r="Z37" s="124" t="n">
        <v>2.219</v>
      </c>
      <c r="AA37" s="124" t="n">
        <v>2.16838329855875</v>
      </c>
      <c r="AB37" s="125" t="n">
        <v>27.64</v>
      </c>
      <c r="AC37" s="125" t="n">
        <v>27.0095152646074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6.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40"/>
      <c r="G38" s="117" t="n">
        <v>34.7598</v>
      </c>
      <c r="H38" s="131" t="n">
        <v>1000</v>
      </c>
      <c r="I38" s="119" t="n">
        <v>1014</v>
      </c>
      <c r="J38" s="132"/>
      <c r="K38" s="133"/>
      <c r="L38" s="133"/>
      <c r="M38" s="133"/>
      <c r="N38" s="134"/>
      <c r="O38" s="133"/>
      <c r="P38" s="132" t="n">
        <v>3.184</v>
      </c>
      <c r="Q38" s="132"/>
      <c r="R38" s="132"/>
      <c r="S38" s="135" t="n">
        <v>138.5</v>
      </c>
      <c r="T38" s="124" t="n">
        <v>0.036</v>
      </c>
      <c r="U38" s="124" t="n">
        <v>0.0351788187238012</v>
      </c>
      <c r="X38" s="125" t="n">
        <v>33.674</v>
      </c>
      <c r="Y38" s="125" t="n">
        <v>32.90587615848</v>
      </c>
      <c r="Z38" s="124" t="n">
        <v>2.217</v>
      </c>
      <c r="AA38" s="124" t="n">
        <v>2.16642891974076</v>
      </c>
      <c r="AB38" s="125" t="n">
        <v>27.7</v>
      </c>
      <c r="AC38" s="125" t="n">
        <v>27.068146629147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8"/>
      <c r="G39" s="117" t="n">
        <v>34.7621</v>
      </c>
      <c r="H39" s="118" t="n">
        <v>1000</v>
      </c>
      <c r="I39" s="119" t="n">
        <v>1014</v>
      </c>
      <c r="J39" s="132"/>
      <c r="K39" s="133"/>
      <c r="L39" s="133"/>
      <c r="M39" s="133"/>
      <c r="N39" s="134"/>
      <c r="O39" s="133"/>
      <c r="P39" s="132" t="n">
        <v>3.184</v>
      </c>
      <c r="Q39" s="132"/>
      <c r="R39" s="132"/>
      <c r="S39" s="135" t="n">
        <v>138.4</v>
      </c>
      <c r="T39" s="124" t="n">
        <v>0.03</v>
      </c>
      <c r="U39" s="124" t="n">
        <v>0.0293156822698343</v>
      </c>
      <c r="X39" s="125" t="n">
        <v>33.66</v>
      </c>
      <c r="Y39" s="125" t="n">
        <v>32.8921955067541</v>
      </c>
      <c r="Z39" s="124" t="n">
        <v>2.233</v>
      </c>
      <c r="AA39" s="124" t="n">
        <v>2.18206395028467</v>
      </c>
      <c r="AB39" s="125" t="n">
        <v>28.07</v>
      </c>
      <c r="AC39" s="125" t="n">
        <v>27.429706710475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8"/>
      <c r="G40" s="117" t="n">
        <v>34.7595</v>
      </c>
      <c r="H40" s="131" t="n">
        <v>1000</v>
      </c>
      <c r="I40" s="119" t="n">
        <v>1014</v>
      </c>
      <c r="J40" s="132"/>
      <c r="K40" s="133"/>
      <c r="L40" s="133"/>
      <c r="M40" s="133"/>
      <c r="N40" s="134"/>
      <c r="O40" s="133"/>
      <c r="P40" s="132" t="n">
        <v>3.179</v>
      </c>
      <c r="Q40" s="132"/>
      <c r="R40" s="132"/>
      <c r="S40" s="135" t="n">
        <v>138.2</v>
      </c>
      <c r="T40" s="124" t="n">
        <v>0.038</v>
      </c>
      <c r="U40" s="124" t="n">
        <v>0.0371331975417901</v>
      </c>
      <c r="X40" s="125" t="n">
        <v>33.712</v>
      </c>
      <c r="Y40" s="125" t="n">
        <v>32.9430093560218</v>
      </c>
      <c r="Z40" s="124" t="n">
        <v>2.215</v>
      </c>
      <c r="AA40" s="124" t="n">
        <v>2.16447454092277</v>
      </c>
      <c r="AB40" s="125" t="n">
        <v>27.73</v>
      </c>
      <c r="AC40" s="125" t="n">
        <v>27.0974623114169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8"/>
      <c r="G41" s="117" t="n">
        <v>34.7626</v>
      </c>
      <c r="H41" s="118" t="n">
        <v>1000</v>
      </c>
      <c r="I41" s="119" t="n">
        <v>1014</v>
      </c>
      <c r="J41" s="132"/>
      <c r="K41" s="133"/>
      <c r="L41" s="133"/>
      <c r="M41" s="133"/>
      <c r="N41" s="134"/>
      <c r="O41" s="133"/>
      <c r="P41" s="132" t="n">
        <v>3.178</v>
      </c>
      <c r="Q41" s="132"/>
      <c r="R41" s="132"/>
      <c r="S41" s="135" t="n">
        <v>138.2</v>
      </c>
      <c r="T41" s="124" t="n">
        <v>0.039</v>
      </c>
      <c r="U41" s="124" t="n">
        <v>0.0381103869507846</v>
      </c>
      <c r="X41" s="125" t="n">
        <v>33.721</v>
      </c>
      <c r="Y41" s="125" t="n">
        <v>32.9518040607028</v>
      </c>
      <c r="Z41" s="124" t="n">
        <v>2.234</v>
      </c>
      <c r="AA41" s="124" t="n">
        <v>2.18304113969366</v>
      </c>
      <c r="AB41" s="125" t="n">
        <v>27.79</v>
      </c>
      <c r="AC41" s="125" t="n">
        <v>27.1560936759565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6.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8"/>
      <c r="G42" s="117" t="n">
        <v>34.7631</v>
      </c>
      <c r="H42" s="131" t="n">
        <v>1000</v>
      </c>
      <c r="I42" s="119" t="n">
        <v>1015</v>
      </c>
      <c r="J42" s="132"/>
      <c r="K42" s="133"/>
      <c r="L42" s="133"/>
      <c r="M42" s="133"/>
      <c r="N42" s="134"/>
      <c r="O42" s="133"/>
      <c r="P42" s="132" t="n">
        <v>3.177</v>
      </c>
      <c r="Q42" s="132"/>
      <c r="R42" s="132"/>
      <c r="S42" s="135" t="n">
        <v>138.2</v>
      </c>
      <c r="T42" s="124" t="n">
        <v>0.047</v>
      </c>
      <c r="U42" s="124" t="n">
        <v>0.0459279022227404</v>
      </c>
      <c r="X42" s="125" t="n">
        <v>33.553</v>
      </c>
      <c r="Y42" s="125" t="n">
        <v>32.7876362399917</v>
      </c>
      <c r="Z42" s="124" t="n">
        <v>2.235</v>
      </c>
      <c r="AA42" s="124" t="n">
        <v>2.18401832910266</v>
      </c>
      <c r="AB42" s="125" t="n">
        <v>28.17</v>
      </c>
      <c r="AC42" s="125" t="n">
        <v>27.5274256513744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8"/>
      <c r="G43" s="117" t="n">
        <v>34.7588</v>
      </c>
      <c r="H43" s="118" t="n">
        <v>1000</v>
      </c>
      <c r="I43" s="119" t="n">
        <v>1015</v>
      </c>
      <c r="J43" s="132"/>
      <c r="K43" s="133"/>
      <c r="L43" s="133"/>
      <c r="M43" s="133"/>
      <c r="N43" s="134"/>
      <c r="O43" s="133"/>
      <c r="P43" s="132" t="n">
        <v>3.184</v>
      </c>
      <c r="Q43" s="132"/>
      <c r="R43" s="132"/>
      <c r="S43" s="135" t="n">
        <v>138.5</v>
      </c>
      <c r="T43" s="124" t="n">
        <v>0.043</v>
      </c>
      <c r="U43" s="124" t="n">
        <v>0.0420191445867625</v>
      </c>
      <c r="X43" s="125" t="n">
        <v>33.787</v>
      </c>
      <c r="Y43" s="125" t="n">
        <v>33.0162985616964</v>
      </c>
      <c r="Z43" s="124" t="n">
        <v>2.227</v>
      </c>
      <c r="AA43" s="124" t="n">
        <v>2.1762008138307</v>
      </c>
      <c r="AB43" s="125" t="n">
        <v>28.07</v>
      </c>
      <c r="AC43" s="125" t="n">
        <v>27.429706710475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8"/>
      <c r="G44" s="117" t="n">
        <v>34.7573</v>
      </c>
      <c r="H44" s="131" t="n">
        <v>1000</v>
      </c>
      <c r="I44" s="119" t="n">
        <v>1015</v>
      </c>
      <c r="J44" s="132"/>
      <c r="K44" s="133"/>
      <c r="L44" s="133"/>
      <c r="M44" s="133"/>
      <c r="N44" s="134"/>
      <c r="O44" s="133"/>
      <c r="P44" s="132" t="n">
        <v>3.182</v>
      </c>
      <c r="Q44" s="132"/>
      <c r="R44" s="132"/>
      <c r="S44" s="135" t="n">
        <v>138.4</v>
      </c>
      <c r="T44" s="124" t="n">
        <v>0.038</v>
      </c>
      <c r="U44" s="124" t="n">
        <v>0.0371331975417901</v>
      </c>
      <c r="X44" s="125" t="n">
        <v>33.712</v>
      </c>
      <c r="Y44" s="125" t="n">
        <v>32.9430093560218</v>
      </c>
      <c r="Z44" s="124" t="n">
        <v>2.213</v>
      </c>
      <c r="AA44" s="124" t="n">
        <v>2.16252016210478</v>
      </c>
      <c r="AB44" s="125" t="n">
        <v>26.99</v>
      </c>
      <c r="AC44" s="125" t="n">
        <v>26.3743421487609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8"/>
      <c r="G45" s="117" t="n">
        <v>33.496</v>
      </c>
      <c r="H45" s="131" t="n">
        <v>0</v>
      </c>
      <c r="I45" s="119" t="n">
        <v>0</v>
      </c>
      <c r="J45" s="132"/>
      <c r="K45" s="133"/>
      <c r="L45" s="133"/>
      <c r="M45" s="133"/>
      <c r="N45" s="134"/>
      <c r="O45" s="133"/>
      <c r="P45" s="132" t="n">
        <v>4.552</v>
      </c>
      <c r="Q45" s="132"/>
      <c r="R45" s="132"/>
      <c r="S45" s="143" t="n">
        <v>198.2</v>
      </c>
      <c r="T45" s="124" t="n">
        <v>0.046</v>
      </c>
      <c r="U45" s="124" t="n">
        <v>0.044950712813746</v>
      </c>
      <c r="X45" s="125" t="n">
        <v>0.054</v>
      </c>
      <c r="Y45" s="125" t="n">
        <v>0.0527682280857018</v>
      </c>
      <c r="Z45" s="124" t="n">
        <v>0.003</v>
      </c>
      <c r="AA45" s="124" t="n">
        <v>0.00293156822698343</v>
      </c>
      <c r="AB45" s="125" t="n">
        <v>1.39</v>
      </c>
      <c r="AC45" s="125" t="n">
        <v>1.35829327850232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3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3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5.7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B35" activeCellId="1" sqref="U45 AB35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30.12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1°30,12</v>
      </c>
      <c r="P9" s="29" t="s">
        <v>13</v>
      </c>
      <c r="Q9" s="33" t="n">
        <f aca="false">IF(ISBLANK(I9),"",IF(ISBLANK(J9),"",IF(J9&gt;60,"ERREUR !!",O11*(I9+(J9/60)))))</f>
        <v>1.502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0.18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-10°0,18</v>
      </c>
      <c r="P10" s="29" t="s">
        <v>17</v>
      </c>
      <c r="Q10" s="33" t="n">
        <f aca="false">IF(ISBLANK(I10),"",IF(ISBLANK(J10),"",IF(J10&gt;60,"ERREUR !!",O12*(I10+(J10/60)))))</f>
        <v>-10.003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37579</v>
      </c>
      <c r="K11" s="38"/>
      <c r="L11" s="38"/>
      <c r="M11" s="38"/>
      <c r="N11" s="39" t="str">
        <f aca="false">I9&amp;"°"&amp;J9</f>
        <v>1°30,12</v>
      </c>
      <c r="O11" s="40" t="n">
        <f aca="false">IF(P9=M10,-1,1)</f>
        <v>1</v>
      </c>
      <c r="P11" s="41" t="str">
        <f aca="false">TEXT(J11,"aaaa-mm-jj")&amp;"T"&amp;TEXT(J12,"hh:mm:ss")&amp;"z"</f>
        <v>2006-11-20T15:30:00z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0.645833333333333</v>
      </c>
      <c r="K12" s="45"/>
      <c r="L12" s="45"/>
      <c r="M12" s="45"/>
      <c r="N12" s="46" t="str">
        <f aca="false">I10&amp;"°"&amp;J10</f>
        <v>10°0,18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34.6547</v>
      </c>
      <c r="H35" s="118" t="n">
        <v>1000</v>
      </c>
      <c r="I35" s="119" t="n">
        <v>1008</v>
      </c>
      <c r="J35" s="120"/>
      <c r="K35" s="121"/>
      <c r="L35" s="121"/>
      <c r="M35" s="121"/>
      <c r="N35" s="122"/>
      <c r="O35" s="121"/>
      <c r="P35" s="120" t="n">
        <v>3.57</v>
      </c>
      <c r="Q35" s="120"/>
      <c r="R35" s="120"/>
      <c r="S35" s="123" t="n">
        <v>155.2</v>
      </c>
      <c r="T35" s="124" t="n">
        <v>0.0275</v>
      </c>
      <c r="U35" s="124" t="n">
        <v>0.0268727087473481</v>
      </c>
      <c r="X35" s="125" t="n">
        <v>33.3975</v>
      </c>
      <c r="Y35" s="125" t="n">
        <v>32.6356832868931</v>
      </c>
      <c r="Z35" s="124" t="n">
        <v>2.2315</v>
      </c>
      <c r="AA35" s="124" t="n">
        <v>2.18059816617118</v>
      </c>
      <c r="AB35" s="125" t="n">
        <v>32.4</v>
      </c>
      <c r="AC35" s="125" t="n">
        <v>31.6609368514211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6.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34.6528</v>
      </c>
      <c r="H36" s="131" t="n">
        <v>1000</v>
      </c>
      <c r="I36" s="119" t="n">
        <v>1008</v>
      </c>
      <c r="J36" s="132"/>
      <c r="K36" s="133"/>
      <c r="L36" s="133"/>
      <c r="M36" s="133"/>
      <c r="N36" s="134"/>
      <c r="O36" s="133"/>
      <c r="P36" s="132" t="n">
        <v>3.565</v>
      </c>
      <c r="Q36" s="132"/>
      <c r="R36" s="132"/>
      <c r="S36" s="135" t="n">
        <v>155</v>
      </c>
      <c r="T36" s="124" t="n">
        <v>0.028</v>
      </c>
      <c r="U36" s="124" t="n">
        <v>0.0273613034518454</v>
      </c>
      <c r="X36" s="125" t="n">
        <v>33.552</v>
      </c>
      <c r="Y36" s="125" t="n">
        <v>32.7866590505827</v>
      </c>
      <c r="Z36" s="124" t="n">
        <v>2.216</v>
      </c>
      <c r="AA36" s="124" t="n">
        <v>2.16545173033176</v>
      </c>
      <c r="AB36" s="125" t="n">
        <v>32</v>
      </c>
      <c r="AC36" s="125" t="n">
        <v>31.2700610878233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8"/>
      <c r="G37" s="117" t="n">
        <v>34.5624</v>
      </c>
      <c r="H37" s="118" t="n">
        <v>600</v>
      </c>
      <c r="I37" s="119" t="n">
        <v>601</v>
      </c>
      <c r="J37" s="132"/>
      <c r="K37" s="133"/>
      <c r="L37" s="133"/>
      <c r="M37" s="133"/>
      <c r="N37" s="134"/>
      <c r="O37" s="133"/>
      <c r="P37" s="132" t="n">
        <v>3.033</v>
      </c>
      <c r="Q37" s="132"/>
      <c r="R37" s="132"/>
      <c r="S37" s="135" t="n">
        <v>131.9</v>
      </c>
      <c r="T37" s="124" t="n">
        <v>0.024</v>
      </c>
      <c r="U37" s="124" t="n">
        <v>0.0234525458158675</v>
      </c>
      <c r="X37" s="125" t="n">
        <v>34.996</v>
      </c>
      <c r="Y37" s="125" t="n">
        <v>34.1977205571707</v>
      </c>
      <c r="Z37" s="124" t="n">
        <v>2.256</v>
      </c>
      <c r="AA37" s="124" t="n">
        <v>2.20453930669154</v>
      </c>
      <c r="AB37" s="125" t="n">
        <v>24.41</v>
      </c>
      <c r="AC37" s="125" t="n">
        <v>23.8531934735552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6.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40"/>
      <c r="G38" s="117" t="n">
        <v>35.073</v>
      </c>
      <c r="H38" s="131" t="n">
        <v>300</v>
      </c>
      <c r="I38" s="119" t="n">
        <v>300</v>
      </c>
      <c r="J38" s="132"/>
      <c r="K38" s="133"/>
      <c r="L38" s="133"/>
      <c r="M38" s="133"/>
      <c r="N38" s="134"/>
      <c r="O38" s="133"/>
      <c r="P38" s="132" t="n">
        <v>1.776</v>
      </c>
      <c r="Q38" s="132"/>
      <c r="R38" s="132"/>
      <c r="S38" s="135" t="n">
        <v>77.3</v>
      </c>
      <c r="T38" s="124" t="n">
        <v>0.029</v>
      </c>
      <c r="U38" s="124" t="n">
        <v>0.0283384928608398</v>
      </c>
      <c r="X38" s="125" t="n">
        <v>30.101</v>
      </c>
      <c r="Y38" s="125" t="n">
        <v>29.4143784001428</v>
      </c>
      <c r="Z38" s="124" t="n">
        <v>1.861</v>
      </c>
      <c r="AA38" s="124" t="n">
        <v>1.81854949013872</v>
      </c>
      <c r="AB38" s="125" t="n">
        <v>11.21</v>
      </c>
      <c r="AC38" s="125" t="n">
        <v>10.9542932748281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8"/>
      <c r="G39" s="117" t="n">
        <v>35.5493</v>
      </c>
      <c r="H39" s="118" t="n">
        <v>100</v>
      </c>
      <c r="I39" s="119" t="n">
        <v>99.7</v>
      </c>
      <c r="J39" s="132"/>
      <c r="K39" s="133"/>
      <c r="L39" s="133"/>
      <c r="M39" s="133"/>
      <c r="N39" s="134"/>
      <c r="O39" s="133"/>
      <c r="P39" s="132" t="n">
        <v>2.585</v>
      </c>
      <c r="Q39" s="132"/>
      <c r="R39" s="132"/>
      <c r="S39" s="135" t="n">
        <v>112.3</v>
      </c>
      <c r="T39" s="124" t="n">
        <v>0.046</v>
      </c>
      <c r="U39" s="124" t="n">
        <v>0.044950712813746</v>
      </c>
      <c r="X39" s="125" t="n">
        <v>19.524</v>
      </c>
      <c r="Y39" s="125" t="n">
        <v>19.0786460212082</v>
      </c>
      <c r="Z39" s="124" t="n">
        <v>1.299</v>
      </c>
      <c r="AA39" s="124" t="n">
        <v>1.26936904228383</v>
      </c>
      <c r="AB39" s="125" t="n">
        <v>7</v>
      </c>
      <c r="AC39" s="125" t="n">
        <v>6.84032586296134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8"/>
      <c r="G40" s="117" t="n">
        <v>35.6846</v>
      </c>
      <c r="H40" s="131" t="n">
        <v>80</v>
      </c>
      <c r="I40" s="119" t="n">
        <v>80</v>
      </c>
      <c r="J40" s="132"/>
      <c r="K40" s="133"/>
      <c r="L40" s="133"/>
      <c r="M40" s="133"/>
      <c r="N40" s="134"/>
      <c r="O40" s="133"/>
      <c r="P40" s="132" t="n">
        <v>2.638</v>
      </c>
      <c r="Q40" s="132"/>
      <c r="R40" s="132"/>
      <c r="S40" s="135" t="n">
        <v>114.8</v>
      </c>
      <c r="T40" s="124" t="n">
        <v>0.112</v>
      </c>
      <c r="U40" s="124" t="n">
        <v>0.109445213807381</v>
      </c>
      <c r="X40" s="125" t="n">
        <v>17.818</v>
      </c>
      <c r="Y40" s="125" t="n">
        <v>17.4115608894636</v>
      </c>
      <c r="Z40" s="124" t="n">
        <v>1.196</v>
      </c>
      <c r="AA40" s="124" t="n">
        <v>1.16871853315739</v>
      </c>
      <c r="AB40" s="125" t="n">
        <v>5.73</v>
      </c>
      <c r="AC40" s="125" t="n">
        <v>5.59929531353836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8"/>
      <c r="G41" s="117" t="n">
        <v>35.7632</v>
      </c>
      <c r="H41" s="118" t="n">
        <v>60</v>
      </c>
      <c r="I41" s="119" t="n">
        <v>60</v>
      </c>
      <c r="J41" s="132"/>
      <c r="K41" s="133"/>
      <c r="L41" s="133"/>
      <c r="M41" s="133"/>
      <c r="N41" s="134"/>
      <c r="O41" s="133"/>
      <c r="P41" s="132" t="n">
        <v>3.692</v>
      </c>
      <c r="Q41" s="132"/>
      <c r="R41" s="132"/>
      <c r="S41" s="135" t="n">
        <v>160.9</v>
      </c>
      <c r="T41" s="124" t="n">
        <v>0.242</v>
      </c>
      <c r="U41" s="124" t="n">
        <v>0.236479836976664</v>
      </c>
      <c r="X41" s="125" t="n">
        <v>6.628</v>
      </c>
      <c r="Y41" s="125" t="n">
        <v>6.4768114028154</v>
      </c>
      <c r="Z41" s="124" t="n">
        <v>0.534</v>
      </c>
      <c r="AA41" s="124" t="n">
        <v>0.521819144403051</v>
      </c>
      <c r="AB41" s="125" t="n">
        <v>2.66</v>
      </c>
      <c r="AC41" s="125" t="n">
        <v>2.59932382792531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6.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8"/>
      <c r="G42" s="117" t="n">
        <v>35.646</v>
      </c>
      <c r="H42" s="131" t="n">
        <v>40</v>
      </c>
      <c r="I42" s="119" t="n">
        <v>40</v>
      </c>
      <c r="J42" s="132"/>
      <c r="K42" s="133"/>
      <c r="L42" s="133"/>
      <c r="M42" s="133"/>
      <c r="N42" s="134"/>
      <c r="O42" s="133"/>
      <c r="P42" s="132" t="n">
        <v>4.643</v>
      </c>
      <c r="Q42" s="132"/>
      <c r="R42" s="132"/>
      <c r="S42" s="135" t="n">
        <v>202.6</v>
      </c>
      <c r="T42" s="124" t="n">
        <v>0.018</v>
      </c>
      <c r="U42" s="124" t="n">
        <v>0.0175894093619006</v>
      </c>
      <c r="X42" s="125" t="n">
        <v>0.212</v>
      </c>
      <c r="Y42" s="125" t="n">
        <v>0.207164154706829</v>
      </c>
      <c r="Z42" s="124" t="n">
        <v>0.043</v>
      </c>
      <c r="AA42" s="124" t="n">
        <v>0.0420191445867625</v>
      </c>
      <c r="AB42" s="125" t="n">
        <v>0.95</v>
      </c>
      <c r="AC42" s="125" t="n">
        <v>0.928329938544754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8"/>
      <c r="G43" s="117" t="n">
        <v>35.6361</v>
      </c>
      <c r="H43" s="118" t="n">
        <v>20</v>
      </c>
      <c r="I43" s="119" t="n">
        <v>20</v>
      </c>
      <c r="J43" s="132"/>
      <c r="K43" s="133"/>
      <c r="L43" s="133"/>
      <c r="M43" s="133"/>
      <c r="N43" s="134"/>
      <c r="O43" s="133"/>
      <c r="P43" s="132"/>
      <c r="Q43" s="132"/>
      <c r="R43" s="132"/>
      <c r="S43" s="135"/>
      <c r="T43" s="124" t="n">
        <v>0.018</v>
      </c>
      <c r="U43" s="124" t="n">
        <v>0.0175894093619006</v>
      </c>
      <c r="X43" s="125" t="n">
        <v>0.112</v>
      </c>
      <c r="Y43" s="125" t="n">
        <v>0.109445213807381</v>
      </c>
      <c r="Z43" s="124" t="n">
        <v>0.034</v>
      </c>
      <c r="AA43" s="124" t="n">
        <v>0.0332244399058122</v>
      </c>
      <c r="AB43" s="125" t="n">
        <v>1.01</v>
      </c>
      <c r="AC43" s="125" t="n">
        <v>0.986961303084422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8"/>
      <c r="G44" s="117" t="n">
        <v>35.6338</v>
      </c>
      <c r="H44" s="131" t="n">
        <v>10</v>
      </c>
      <c r="I44" s="119" t="n">
        <v>10</v>
      </c>
      <c r="J44" s="132"/>
      <c r="K44" s="133"/>
      <c r="L44" s="133"/>
      <c r="M44" s="133"/>
      <c r="N44" s="134"/>
      <c r="O44" s="133"/>
      <c r="P44" s="132" t="n">
        <v>4.668</v>
      </c>
      <c r="Q44" s="132"/>
      <c r="R44" s="132"/>
      <c r="S44" s="135" t="n">
        <v>203.7</v>
      </c>
      <c r="T44" s="124" t="n">
        <v>0.018</v>
      </c>
      <c r="U44" s="124" t="n">
        <v>0.0175894093619006</v>
      </c>
      <c r="X44" s="125" t="n">
        <v>0.092</v>
      </c>
      <c r="Y44" s="125" t="n">
        <v>0.0899014256274919</v>
      </c>
      <c r="Z44" s="124" t="n">
        <v>0.038</v>
      </c>
      <c r="AA44" s="124" t="n">
        <v>0.0371331975417901</v>
      </c>
      <c r="AB44" s="125" t="n">
        <v>0.88</v>
      </c>
      <c r="AC44" s="125" t="n">
        <v>0.85992667991514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8"/>
      <c r="G45" s="117" t="n">
        <v>35.6342</v>
      </c>
      <c r="H45" s="131" t="n">
        <v>0</v>
      </c>
      <c r="I45" s="119" t="n">
        <v>0</v>
      </c>
      <c r="J45" s="132"/>
      <c r="K45" s="133"/>
      <c r="L45" s="133"/>
      <c r="M45" s="133"/>
      <c r="N45" s="134"/>
      <c r="O45" s="133"/>
      <c r="P45" s="132" t="n">
        <v>4.648</v>
      </c>
      <c r="Q45" s="132"/>
      <c r="R45" s="132"/>
      <c r="S45" s="143" t="n">
        <v>202.9</v>
      </c>
      <c r="T45" s="124" t="n">
        <v>0.023</v>
      </c>
      <c r="U45" s="124" t="n">
        <v>0.022475356406873</v>
      </c>
      <c r="X45" s="125" t="n">
        <v>0.137</v>
      </c>
      <c r="Y45" s="125" t="n">
        <v>0.133874949032243</v>
      </c>
      <c r="Z45" s="124" t="n">
        <v>0.036</v>
      </c>
      <c r="AA45" s="124" t="n">
        <v>0.0351788187238012</v>
      </c>
      <c r="AB45" s="125" t="n">
        <v>1.44</v>
      </c>
      <c r="AC45" s="125" t="n">
        <v>1.40715274895205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3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3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C4" activeCellId="1" sqref="U45 AC4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  <col collapsed="false" customWidth="false" hidden="false" outlineLevel="0" max="25" min="24" style="172" width="9.14"/>
    <col collapsed="false" customWidth="false" hidden="false" outlineLevel="0" max="29" min="28" style="172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0.04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1°0,04</v>
      </c>
      <c r="P9" s="29" t="s">
        <v>13</v>
      </c>
      <c r="Q9" s="33" t="n">
        <f aca="false">IF(ISBLANK(I9),"",IF(ISBLANK(J9),"",IF(J9&gt;60,"ERREUR !!",O11*(I9+(J9/60)))))</f>
        <v>1.00066666666667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0.31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-10°0,31</v>
      </c>
      <c r="P10" s="29" t="s">
        <v>17</v>
      </c>
      <c r="Q10" s="33" t="n">
        <f aca="false">IF(ISBLANK(I10),"",IF(ISBLANK(J10),"",IF(J10&gt;60,"ERREUR !!",O12*(I10+(J10/60)))))</f>
        <v>-10.0051666666667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37579</v>
      </c>
      <c r="K11" s="38"/>
      <c r="L11" s="38"/>
      <c r="M11" s="38"/>
      <c r="N11" s="39" t="str">
        <f aca="false">I9&amp;"°"&amp;J9</f>
        <v>1°0,04</v>
      </c>
      <c r="O11" s="40" t="n">
        <f aca="false">IF(P9=M10,-1,1)</f>
        <v>1</v>
      </c>
      <c r="P11" s="41" t="str">
        <f aca="false">TEXT(J11,"aaaa-mm-jj")&amp;"T"&amp;TEXT(J12,"hh:mm:ss")&amp;"z"</f>
        <v>2006-11-20T20:30:00z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0.854166666666667</v>
      </c>
      <c r="K12" s="45"/>
      <c r="L12" s="45"/>
      <c r="M12" s="45"/>
      <c r="N12" s="46" t="str">
        <f aca="false">I10&amp;"°"&amp;J10</f>
        <v>10°0,31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73" t="s">
        <v>109</v>
      </c>
      <c r="Y33" s="173" t="s">
        <v>110</v>
      </c>
      <c r="Z33" s="100" t="s">
        <v>111</v>
      </c>
      <c r="AA33" s="100" t="s">
        <v>112</v>
      </c>
      <c r="AB33" s="173" t="s">
        <v>113</v>
      </c>
      <c r="AC33" s="174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75" t="s">
        <v>142</v>
      </c>
      <c r="Y34" s="175" t="s">
        <v>143</v>
      </c>
      <c r="Z34" s="108" t="s">
        <v>142</v>
      </c>
      <c r="AA34" s="108" t="s">
        <v>143</v>
      </c>
      <c r="AB34" s="175" t="s">
        <v>142</v>
      </c>
      <c r="AC34" s="176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34.6509</v>
      </c>
      <c r="H35" s="118" t="n">
        <v>1000</v>
      </c>
      <c r="I35" s="119" t="n">
        <v>1002</v>
      </c>
      <c r="J35" s="120"/>
      <c r="K35" s="121"/>
      <c r="L35" s="121"/>
      <c r="M35" s="121"/>
      <c r="N35" s="122"/>
      <c r="O35" s="121"/>
      <c r="P35" s="120" t="n">
        <v>3.582</v>
      </c>
      <c r="Q35" s="120"/>
      <c r="R35" s="120"/>
      <c r="S35" s="123" t="n">
        <v>155.7</v>
      </c>
      <c r="T35" s="124" t="n">
        <v>0.046</v>
      </c>
      <c r="U35" s="124" t="n">
        <v>0.044950712813746</v>
      </c>
      <c r="X35" s="125" t="n">
        <v>33.494</v>
      </c>
      <c r="Y35" s="125" t="n">
        <v>32.729982064861</v>
      </c>
      <c r="Z35" s="124" t="n">
        <v>2.25</v>
      </c>
      <c r="AA35" s="124" t="n">
        <v>2.19867617023757</v>
      </c>
      <c r="AB35" s="125" t="n">
        <v>30.93</v>
      </c>
      <c r="AC35" s="125" t="n">
        <v>30.2244684201992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6.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34.5478</v>
      </c>
      <c r="H36" s="118" t="n">
        <v>600</v>
      </c>
      <c r="I36" s="119" t="n">
        <v>600</v>
      </c>
      <c r="J36" s="132"/>
      <c r="K36" s="133"/>
      <c r="L36" s="133"/>
      <c r="M36" s="133"/>
      <c r="N36" s="134"/>
      <c r="O36" s="133"/>
      <c r="P36" s="132" t="n">
        <v>3.081</v>
      </c>
      <c r="Q36" s="132"/>
      <c r="R36" s="132"/>
      <c r="S36" s="135" t="n">
        <v>134</v>
      </c>
      <c r="T36" s="124" t="n">
        <v>0.0385</v>
      </c>
      <c r="U36" s="124" t="n">
        <v>0.0376217922462874</v>
      </c>
      <c r="X36" s="125" t="n">
        <v>35.1015</v>
      </c>
      <c r="Y36" s="125" t="n">
        <v>34.3008140398196</v>
      </c>
      <c r="Z36" s="124" t="n">
        <v>2.287</v>
      </c>
      <c r="AA36" s="124" t="n">
        <v>2.23483217837037</v>
      </c>
      <c r="AB36" s="125" t="n">
        <v>25.06</v>
      </c>
      <c r="AC36" s="125" t="n">
        <v>24.4883665894016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8"/>
      <c r="G37" s="117" t="n">
        <v>34.5497</v>
      </c>
      <c r="H37" s="118" t="n">
        <v>600</v>
      </c>
      <c r="I37" s="119" t="n">
        <v>600</v>
      </c>
      <c r="J37" s="132"/>
      <c r="K37" s="133"/>
      <c r="L37" s="133"/>
      <c r="M37" s="133"/>
      <c r="N37" s="134"/>
      <c r="O37" s="133"/>
      <c r="P37" s="132" t="n">
        <v>3.045</v>
      </c>
      <c r="Q37" s="132"/>
      <c r="R37" s="132"/>
      <c r="S37" s="135" t="n">
        <v>132.4</v>
      </c>
      <c r="T37" s="124" t="n">
        <v>0.037</v>
      </c>
      <c r="U37" s="124" t="n">
        <v>0.0361560081327957</v>
      </c>
      <c r="X37" s="125" t="n">
        <v>35.053</v>
      </c>
      <c r="Y37" s="125" t="n">
        <v>34.2534203534834</v>
      </c>
      <c r="Z37" s="124" t="n">
        <v>2.288</v>
      </c>
      <c r="AA37" s="124" t="n">
        <v>2.23580936777936</v>
      </c>
      <c r="AB37" s="125" t="n">
        <v>24.01</v>
      </c>
      <c r="AC37" s="125" t="n">
        <v>23.4623177099574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6.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40"/>
      <c r="G38" s="117" t="n">
        <v>34.5502</v>
      </c>
      <c r="H38" s="131" t="n">
        <v>300</v>
      </c>
      <c r="I38" s="119" t="n">
        <v>299</v>
      </c>
      <c r="J38" s="132"/>
      <c r="K38" s="133"/>
      <c r="L38" s="133"/>
      <c r="M38" s="133"/>
      <c r="N38" s="134"/>
      <c r="O38" s="133"/>
      <c r="P38" s="132" t="n">
        <v>1.785</v>
      </c>
      <c r="Q38" s="132"/>
      <c r="R38" s="132"/>
      <c r="S38" s="135" t="n">
        <v>77.7</v>
      </c>
      <c r="T38" s="124" t="n">
        <v>0.033</v>
      </c>
      <c r="U38" s="124" t="n">
        <v>0.0322472504968178</v>
      </c>
      <c r="X38" s="125" t="n">
        <v>28.867</v>
      </c>
      <c r="Y38" s="125" t="n">
        <v>28.2085266694436</v>
      </c>
      <c r="Z38" s="124" t="n">
        <v>1.864</v>
      </c>
      <c r="AA38" s="124" t="n">
        <v>1.82148105836571</v>
      </c>
      <c r="AB38" s="125" t="n">
        <v>11.69</v>
      </c>
      <c r="AC38" s="125" t="n">
        <v>11.4233441911454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8"/>
      <c r="G39" s="117" t="n">
        <v>35.1335</v>
      </c>
      <c r="H39" s="118" t="n">
        <v>100</v>
      </c>
      <c r="I39" s="119" t="n">
        <v>97.7</v>
      </c>
      <c r="J39" s="132"/>
      <c r="K39" s="133"/>
      <c r="L39" s="133"/>
      <c r="M39" s="133"/>
      <c r="N39" s="134"/>
      <c r="O39" s="133"/>
      <c r="P39" s="132" t="n">
        <v>3.403</v>
      </c>
      <c r="Q39" s="132"/>
      <c r="R39" s="132"/>
      <c r="S39" s="135" t="n">
        <v>148.2</v>
      </c>
      <c r="T39" s="124" t="n">
        <v>0.114</v>
      </c>
      <c r="U39" s="124" t="n">
        <v>0.11139959262537</v>
      </c>
      <c r="X39" s="125" t="n">
        <v>14.826</v>
      </c>
      <c r="Y39" s="125" t="n">
        <v>14.4878101777521</v>
      </c>
      <c r="Z39" s="124" t="n">
        <v>1.04</v>
      </c>
      <c r="AA39" s="124" t="n">
        <v>1.01627698535426</v>
      </c>
      <c r="AB39" s="125" t="n">
        <v>7.7</v>
      </c>
      <c r="AC39" s="125" t="n">
        <v>7.52435844925748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8"/>
      <c r="G40" s="117" t="n">
        <v>35.6368</v>
      </c>
      <c r="H40" s="131" t="n">
        <v>80</v>
      </c>
      <c r="I40" s="119" t="n">
        <v>78.6</v>
      </c>
      <c r="J40" s="132"/>
      <c r="K40" s="133"/>
      <c r="L40" s="133"/>
      <c r="M40" s="133"/>
      <c r="N40" s="134"/>
      <c r="O40" s="133"/>
      <c r="P40" s="132" t="n">
        <v>3.056</v>
      </c>
      <c r="Q40" s="132"/>
      <c r="R40" s="132"/>
      <c r="S40" s="135" t="n">
        <v>133.1</v>
      </c>
      <c r="T40" s="124" t="n">
        <v>0.114</v>
      </c>
      <c r="U40" s="124" t="n">
        <v>0.11139959262537</v>
      </c>
      <c r="X40" s="125" t="n">
        <v>15.296</v>
      </c>
      <c r="Y40" s="125" t="n">
        <v>14.9470891999795</v>
      </c>
      <c r="Z40" s="124" t="n">
        <v>1.051</v>
      </c>
      <c r="AA40" s="124" t="n">
        <v>1.0270260688532</v>
      </c>
      <c r="AB40" s="125" t="n">
        <v>4.22</v>
      </c>
      <c r="AC40" s="125" t="n">
        <v>4.12373930595669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8"/>
      <c r="G41" s="117" t="n">
        <v>35.8856</v>
      </c>
      <c r="H41" s="118" t="n">
        <v>60</v>
      </c>
      <c r="I41" s="119" t="n">
        <v>59</v>
      </c>
      <c r="J41" s="132"/>
      <c r="K41" s="133"/>
      <c r="L41" s="133"/>
      <c r="M41" s="133"/>
      <c r="N41" s="134"/>
      <c r="O41" s="133"/>
      <c r="P41" s="132" t="n">
        <v>3.699</v>
      </c>
      <c r="Q41" s="132"/>
      <c r="R41" s="132"/>
      <c r="S41" s="135" t="n">
        <v>161.2</v>
      </c>
      <c r="T41" s="124" t="n">
        <v>0.293</v>
      </c>
      <c r="U41" s="124" t="n">
        <v>0.286316496835382</v>
      </c>
      <c r="X41" s="125" t="n">
        <v>7.167</v>
      </c>
      <c r="Y41" s="125" t="n">
        <v>7.00351649426342</v>
      </c>
      <c r="Z41" s="124" t="n">
        <v>0.587</v>
      </c>
      <c r="AA41" s="124" t="n">
        <v>0.573610183079758</v>
      </c>
      <c r="AB41" s="125" t="n">
        <v>2.57</v>
      </c>
      <c r="AC41" s="125" t="n">
        <v>2.51137678111581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6.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8"/>
      <c r="G42" s="117" t="n">
        <v>35.5856</v>
      </c>
      <c r="H42" s="131" t="n">
        <v>40</v>
      </c>
      <c r="I42" s="119" t="n">
        <v>39</v>
      </c>
      <c r="J42" s="132"/>
      <c r="K42" s="133"/>
      <c r="L42" s="133"/>
      <c r="M42" s="133"/>
      <c r="N42" s="134"/>
      <c r="O42" s="133"/>
      <c r="P42" s="132" t="n">
        <v>4.652</v>
      </c>
      <c r="Q42" s="132"/>
      <c r="R42" s="132"/>
      <c r="S42" s="135" t="n">
        <v>203</v>
      </c>
      <c r="T42" s="124" t="n">
        <v>0.023</v>
      </c>
      <c r="U42" s="124" t="n">
        <v>0.022475356406873</v>
      </c>
      <c r="X42" s="125" t="n">
        <v>0.147</v>
      </c>
      <c r="Y42" s="125" t="n">
        <v>0.143646843122188</v>
      </c>
      <c r="Z42" s="124" t="n">
        <v>0.045</v>
      </c>
      <c r="AA42" s="124" t="n">
        <v>0.0439735234047515</v>
      </c>
      <c r="AB42" s="125" t="n">
        <v>2.76</v>
      </c>
      <c r="AC42" s="125" t="n">
        <v>2.69704276882476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8"/>
      <c r="G43" s="117" t="n">
        <v>35.562</v>
      </c>
      <c r="H43" s="118" t="n">
        <v>20</v>
      </c>
      <c r="I43" s="119" t="n">
        <v>19.3</v>
      </c>
      <c r="J43" s="132"/>
      <c r="K43" s="133"/>
      <c r="L43" s="133"/>
      <c r="M43" s="133"/>
      <c r="N43" s="134"/>
      <c r="O43" s="133"/>
      <c r="P43" s="132" t="n">
        <v>4.674</v>
      </c>
      <c r="Q43" s="132"/>
      <c r="R43" s="132"/>
      <c r="S43" s="135" t="n">
        <v>204</v>
      </c>
      <c r="T43" s="124" t="n">
        <v>0.038</v>
      </c>
      <c r="U43" s="124" t="n">
        <v>0.0371331975417901</v>
      </c>
      <c r="X43" s="125" t="n">
        <v>0.132</v>
      </c>
      <c r="Y43" s="125" t="n">
        <v>0.128989001987271</v>
      </c>
      <c r="Z43" s="124" t="n">
        <v>0.023</v>
      </c>
      <c r="AA43" s="124" t="n">
        <v>0.022475356406873</v>
      </c>
      <c r="AB43" s="125" t="n">
        <v>1.45</v>
      </c>
      <c r="AC43" s="125" t="n">
        <v>1.41692464304199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8"/>
      <c r="G44" s="117" t="n">
        <v>35.557</v>
      </c>
      <c r="H44" s="131" t="n">
        <v>10</v>
      </c>
      <c r="I44" s="119" t="n">
        <v>9.1</v>
      </c>
      <c r="J44" s="132"/>
      <c r="K44" s="133"/>
      <c r="L44" s="133"/>
      <c r="M44" s="133"/>
      <c r="N44" s="134"/>
      <c r="O44" s="133"/>
      <c r="P44" s="132" t="n">
        <v>4.649</v>
      </c>
      <c r="Q44" s="132"/>
      <c r="R44" s="132"/>
      <c r="S44" s="135" t="n">
        <v>202.9</v>
      </c>
      <c r="T44" s="124" t="n">
        <v>0.029</v>
      </c>
      <c r="U44" s="124" t="n">
        <v>0.0283384928608398</v>
      </c>
      <c r="X44" s="125" t="n">
        <v>0.151</v>
      </c>
      <c r="Y44" s="125" t="n">
        <v>0.147555600758166</v>
      </c>
      <c r="Z44" s="124" t="n">
        <v>0.036</v>
      </c>
      <c r="AA44" s="124" t="n">
        <v>0.0351788187238012</v>
      </c>
      <c r="AB44" s="125" t="n">
        <v>1.22</v>
      </c>
      <c r="AC44" s="125" t="n">
        <v>1.19217107897326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8"/>
      <c r="G45" s="117" t="n">
        <v>35.5568</v>
      </c>
      <c r="H45" s="131" t="n">
        <v>0</v>
      </c>
      <c r="I45" s="119" t="n">
        <v>0.7</v>
      </c>
      <c r="J45" s="132"/>
      <c r="K45" s="133"/>
      <c r="L45" s="133"/>
      <c r="M45" s="133"/>
      <c r="N45" s="134"/>
      <c r="O45" s="133"/>
      <c r="P45" s="132" t="n">
        <v>4.644</v>
      </c>
      <c r="Q45" s="132"/>
      <c r="R45" s="132"/>
      <c r="S45" s="143" t="n">
        <v>202.7</v>
      </c>
      <c r="T45" s="124" t="n">
        <v>0.017</v>
      </c>
      <c r="U45" s="124" t="n">
        <v>0.0166122199529061</v>
      </c>
      <c r="X45" s="125" t="n">
        <v>0.113</v>
      </c>
      <c r="Y45" s="125" t="n">
        <v>0.110422403216376</v>
      </c>
      <c r="Z45" s="124" t="n">
        <v>0.023</v>
      </c>
      <c r="AA45" s="124" t="n">
        <v>0.022475356406873</v>
      </c>
      <c r="AB45" s="125" t="n">
        <v>3.27</v>
      </c>
      <c r="AC45" s="125" t="n">
        <v>3.19540936741194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6"/>
      <c r="U46" s="136"/>
      <c r="V46" s="136"/>
      <c r="W46" s="136"/>
      <c r="X46" s="177"/>
      <c r="Y46" s="177"/>
      <c r="Z46" s="136"/>
      <c r="AA46" s="136"/>
      <c r="AB46" s="177"/>
      <c r="AC46" s="177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3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6"/>
      <c r="U47" s="136"/>
      <c r="V47" s="136"/>
      <c r="W47" s="136"/>
      <c r="X47" s="177"/>
      <c r="Y47" s="177"/>
      <c r="Z47" s="136"/>
      <c r="AA47" s="136"/>
      <c r="AB47" s="177"/>
      <c r="AC47" s="177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3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6"/>
      <c r="U48" s="136"/>
      <c r="V48" s="136"/>
      <c r="W48" s="136"/>
      <c r="X48" s="177"/>
      <c r="Y48" s="177"/>
      <c r="Z48" s="136"/>
      <c r="AA48" s="136"/>
      <c r="AB48" s="177"/>
      <c r="AC48" s="177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77"/>
      <c r="Y50" s="177"/>
      <c r="Z50" s="136"/>
      <c r="AA50" s="136"/>
      <c r="AB50" s="177"/>
      <c r="AC50" s="177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77"/>
      <c r="Y52" s="177"/>
      <c r="Z52" s="136"/>
      <c r="AA52" s="136"/>
      <c r="AB52" s="177"/>
      <c r="AC52" s="177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77"/>
      <c r="Y53" s="177"/>
      <c r="Z53" s="136"/>
      <c r="AA53" s="136"/>
      <c r="AB53" s="177"/>
      <c r="AC53" s="177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77"/>
      <c r="Y54" s="177"/>
      <c r="Z54" s="136"/>
      <c r="AA54" s="136"/>
      <c r="AB54" s="177"/>
      <c r="AC54" s="177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77"/>
      <c r="Y55" s="177"/>
      <c r="Z55" s="136"/>
      <c r="AA55" s="136"/>
      <c r="AB55" s="177"/>
      <c r="AC55" s="177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77"/>
      <c r="Y57" s="177"/>
      <c r="Z57" s="136"/>
      <c r="AA57" s="136"/>
      <c r="AB57" s="177"/>
      <c r="AC57" s="177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8"/>
      <c r="Y58" s="178"/>
      <c r="Z58" s="170"/>
      <c r="AA58" s="170"/>
      <c r="AB58" s="178"/>
      <c r="AC58" s="178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G13" colorId="64" zoomScale="100" zoomScaleNormal="100" zoomScalePageLayoutView="100" workbookViewId="0">
      <selection pane="topLeft" activeCell="AC4" activeCellId="1" sqref="U45 AC4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  <col collapsed="false" customWidth="false" hidden="false" outlineLevel="0" max="25" min="24" style="172" width="9.14"/>
    <col collapsed="false" customWidth="false" hidden="false" outlineLevel="0" max="29" min="28" style="172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29.99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0°29,99</v>
      </c>
      <c r="P9" s="29" t="s">
        <v>13</v>
      </c>
      <c r="Q9" s="33" t="n">
        <f aca="false">IF(ISBLANK(I9),"",IF(ISBLANK(J9),"",IF(J9&gt;60,"ERREUR !!",O11*(I9+(J9/60)))))</f>
        <v>0.499833333333333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0.08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-10°0,08</v>
      </c>
      <c r="P10" s="29" t="s">
        <v>17</v>
      </c>
      <c r="Q10" s="33" t="n">
        <f aca="false">IF(ISBLANK(I10),"",IF(ISBLANK(J10),"",IF(J10&gt;60,"ERREUR !!",O12*(I10+(J10/60)))))</f>
        <v>-10.0013333333333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37580</v>
      </c>
      <c r="K11" s="38"/>
      <c r="L11" s="38"/>
      <c r="M11" s="38"/>
      <c r="N11" s="39" t="str">
        <f aca="false">I9&amp;"°"&amp;J9</f>
        <v>0°29,99</v>
      </c>
      <c r="O11" s="40" t="n">
        <f aca="false">IF(P9=M10,-1,1)</f>
        <v>1</v>
      </c>
      <c r="P11" s="41" t="str">
        <f aca="false">TEXT(J11,"aaaa-mm-jj")&amp;"T"&amp;TEXT(J12,"hh:mm:ss")&amp;"z"</f>
        <v>2006-11-21T02:30:00z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0.104166666666667</v>
      </c>
      <c r="K12" s="45"/>
      <c r="L12" s="45"/>
      <c r="M12" s="45"/>
      <c r="N12" s="46" t="str">
        <f aca="false">I10&amp;"°"&amp;J10</f>
        <v>10°0,08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179" t="s">
        <v>70</v>
      </c>
      <c r="Y31" s="179"/>
      <c r="Z31" s="89" t="s">
        <v>71</v>
      </c>
      <c r="AA31" s="89"/>
      <c r="AB31" s="180" t="s">
        <v>72</v>
      </c>
      <c r="AC31" s="18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179"/>
      <c r="Y32" s="179"/>
      <c r="Z32" s="89"/>
      <c r="AA32" s="89"/>
      <c r="AB32" s="180"/>
      <c r="AC32" s="18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73" t="s">
        <v>109</v>
      </c>
      <c r="Y33" s="173" t="s">
        <v>110</v>
      </c>
      <c r="Z33" s="100" t="s">
        <v>111</v>
      </c>
      <c r="AA33" s="100" t="s">
        <v>112</v>
      </c>
      <c r="AB33" s="173" t="s">
        <v>113</v>
      </c>
      <c r="AC33" s="174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75" t="s">
        <v>142</v>
      </c>
      <c r="Y34" s="175" t="s">
        <v>143</v>
      </c>
      <c r="Z34" s="108" t="s">
        <v>142</v>
      </c>
      <c r="AA34" s="108" t="s">
        <v>143</v>
      </c>
      <c r="AB34" s="175" t="s">
        <v>142</v>
      </c>
      <c r="AC34" s="176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34.6312</v>
      </c>
      <c r="H35" s="118" t="n">
        <v>1000</v>
      </c>
      <c r="I35" s="119" t="n">
        <v>1002</v>
      </c>
      <c r="J35" s="120"/>
      <c r="K35" s="121"/>
      <c r="L35" s="121"/>
      <c r="M35" s="121"/>
      <c r="N35" s="122"/>
      <c r="O35" s="121"/>
      <c r="P35" s="120"/>
      <c r="Q35" s="120"/>
      <c r="R35" s="120"/>
      <c r="S35" s="123"/>
      <c r="T35" s="125" t="n">
        <v>0.03</v>
      </c>
      <c r="U35" s="125" t="n">
        <v>0.0293156822698343</v>
      </c>
      <c r="X35" s="125" t="n">
        <v>33.85</v>
      </c>
      <c r="Y35" s="125" t="n">
        <v>33.0778614944631</v>
      </c>
      <c r="Z35" s="124" t="n">
        <v>2.253</v>
      </c>
      <c r="AA35" s="124" t="n">
        <v>2.20160773846456</v>
      </c>
      <c r="AB35" s="125" t="n">
        <v>32.19</v>
      </c>
      <c r="AC35" s="125" t="n">
        <v>31.4557270755322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34.5527</v>
      </c>
      <c r="H36" s="118" t="n">
        <v>600</v>
      </c>
      <c r="I36" s="119" t="n">
        <v>600</v>
      </c>
      <c r="J36" s="132"/>
      <c r="K36" s="133"/>
      <c r="L36" s="133"/>
      <c r="M36" s="133"/>
      <c r="N36" s="134"/>
      <c r="O36" s="133"/>
      <c r="P36" s="132"/>
      <c r="Q36" s="132"/>
      <c r="R36" s="132"/>
      <c r="S36" s="135"/>
      <c r="T36" s="125" t="n">
        <v>0.031</v>
      </c>
      <c r="U36" s="125" t="n">
        <v>0.0302928716788288</v>
      </c>
      <c r="X36" s="125" t="n">
        <v>35.349</v>
      </c>
      <c r="Y36" s="125" t="n">
        <v>34.5426684185458</v>
      </c>
      <c r="Z36" s="124" t="n">
        <v>2.288</v>
      </c>
      <c r="AA36" s="124" t="n">
        <v>2.23580936777936</v>
      </c>
      <c r="AB36" s="125" t="n">
        <v>25.33</v>
      </c>
      <c r="AC36" s="125" t="n">
        <v>24.7522077298301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8"/>
      <c r="G37" s="117" t="n">
        <v>35.0775</v>
      </c>
      <c r="H37" s="131" t="n">
        <v>300</v>
      </c>
      <c r="I37" s="119" t="n">
        <v>300</v>
      </c>
      <c r="J37" s="132"/>
      <c r="K37" s="133"/>
      <c r="L37" s="133"/>
      <c r="M37" s="133"/>
      <c r="N37" s="134"/>
      <c r="O37" s="133"/>
      <c r="P37" s="132" t="n">
        <v>1.799</v>
      </c>
      <c r="Q37" s="132"/>
      <c r="R37" s="132"/>
      <c r="S37" s="135" t="n">
        <v>78.3</v>
      </c>
      <c r="T37" s="125" t="n">
        <v>0.0285</v>
      </c>
      <c r="U37" s="125" t="n">
        <v>0.0278498981563426</v>
      </c>
      <c r="X37" s="125" t="n">
        <v>29.9365</v>
      </c>
      <c r="Y37" s="125" t="n">
        <v>29.2536307423632</v>
      </c>
      <c r="Z37" s="124" t="n">
        <v>1.865</v>
      </c>
      <c r="AA37" s="124" t="n">
        <v>1.8224582477747</v>
      </c>
      <c r="AB37" s="125" t="n">
        <v>13.015</v>
      </c>
      <c r="AC37" s="125" t="n">
        <v>12.7181201580631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6.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40"/>
      <c r="G38" s="117" t="n">
        <v>35.0781</v>
      </c>
      <c r="H38" s="131" t="n">
        <v>300</v>
      </c>
      <c r="I38" s="119" t="n">
        <v>300</v>
      </c>
      <c r="J38" s="132"/>
      <c r="K38" s="133"/>
      <c r="L38" s="133"/>
      <c r="M38" s="133"/>
      <c r="N38" s="134"/>
      <c r="O38" s="133"/>
      <c r="P38" s="132" t="n">
        <v>1.778</v>
      </c>
      <c r="Q38" s="132"/>
      <c r="R38" s="132"/>
      <c r="S38" s="135" t="n">
        <v>77.4</v>
      </c>
      <c r="T38" s="125" t="n">
        <v>0.018</v>
      </c>
      <c r="U38" s="125" t="n">
        <v>0.0175894093619006</v>
      </c>
      <c r="X38" s="125" t="n">
        <v>30.002</v>
      </c>
      <c r="Y38" s="125" t="n">
        <v>29.3176366486523</v>
      </c>
      <c r="Z38" s="124" t="n">
        <v>1.851</v>
      </c>
      <c r="AA38" s="124" t="n">
        <v>1.80877759604878</v>
      </c>
      <c r="AB38" s="125" t="n">
        <v>13.02</v>
      </c>
      <c r="AC38" s="125" t="n">
        <v>12.7230061051081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8"/>
      <c r="G39" s="117" t="n">
        <v>35.7621</v>
      </c>
      <c r="H39" s="118" t="n">
        <v>100</v>
      </c>
      <c r="I39" s="119" t="n">
        <v>99</v>
      </c>
      <c r="J39" s="132"/>
      <c r="K39" s="133"/>
      <c r="L39" s="133"/>
      <c r="M39" s="133"/>
      <c r="N39" s="134"/>
      <c r="O39" s="133"/>
      <c r="P39" s="132" t="n">
        <v>3.863</v>
      </c>
      <c r="Q39" s="132"/>
      <c r="R39" s="132"/>
      <c r="S39" s="135" t="n">
        <v>168.2</v>
      </c>
      <c r="T39" s="125" t="n">
        <v>0.056</v>
      </c>
      <c r="U39" s="125" t="n">
        <v>0.0547226069036907</v>
      </c>
      <c r="X39" s="125" t="n">
        <v>11.344</v>
      </c>
      <c r="Y39" s="125" t="n">
        <v>11.0852366556334</v>
      </c>
      <c r="Z39" s="124" t="n">
        <v>0.835</v>
      </c>
      <c r="AA39" s="124" t="n">
        <v>0.815953156510389</v>
      </c>
      <c r="AB39" s="125" t="n">
        <v>4.91</v>
      </c>
      <c r="AC39" s="125" t="n">
        <v>4.79799999816288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8"/>
      <c r="G40" s="117" t="n">
        <v>35.9495</v>
      </c>
      <c r="H40" s="131" t="n">
        <v>80</v>
      </c>
      <c r="I40" s="119" t="n">
        <v>80</v>
      </c>
      <c r="J40" s="132"/>
      <c r="K40" s="133"/>
      <c r="L40" s="133"/>
      <c r="M40" s="133"/>
      <c r="N40" s="134"/>
      <c r="O40" s="133"/>
      <c r="P40" s="132" t="n">
        <v>3.89</v>
      </c>
      <c r="Q40" s="132"/>
      <c r="R40" s="132"/>
      <c r="S40" s="135" t="n">
        <v>169.4</v>
      </c>
      <c r="T40" s="125" t="n">
        <v>0.094</v>
      </c>
      <c r="U40" s="125" t="n">
        <v>0.0918558044454809</v>
      </c>
      <c r="X40" s="125" t="n">
        <v>9.706</v>
      </c>
      <c r="Y40" s="125" t="n">
        <v>9.4846004037004</v>
      </c>
      <c r="Z40" s="124" t="n">
        <v>0.728</v>
      </c>
      <c r="AA40" s="124" t="n">
        <v>0.71139388974798</v>
      </c>
      <c r="AB40" s="125" t="n">
        <v>4.23</v>
      </c>
      <c r="AC40" s="125" t="n">
        <v>4.13351120004664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8"/>
      <c r="G41" s="117" t="n">
        <v>36.0123</v>
      </c>
      <c r="H41" s="118" t="n">
        <v>60</v>
      </c>
      <c r="I41" s="119" t="n">
        <v>59</v>
      </c>
      <c r="J41" s="132"/>
      <c r="K41" s="133"/>
      <c r="L41" s="133"/>
      <c r="M41" s="133"/>
      <c r="N41" s="134"/>
      <c r="O41" s="133"/>
      <c r="P41" s="132"/>
      <c r="Q41" s="132"/>
      <c r="R41" s="132"/>
      <c r="S41" s="135"/>
      <c r="T41" s="125" t="n">
        <v>0.258</v>
      </c>
      <c r="U41" s="125" t="n">
        <v>0.252114867520575</v>
      </c>
      <c r="X41" s="125" t="n">
        <v>6.582</v>
      </c>
      <c r="Y41" s="125" t="n">
        <v>6.43186069000165</v>
      </c>
      <c r="Z41" s="124" t="n">
        <v>0.525</v>
      </c>
      <c r="AA41" s="124" t="n">
        <v>0.513024439722101</v>
      </c>
      <c r="AB41" s="125" t="n">
        <v>3.07</v>
      </c>
      <c r="AC41" s="125" t="n">
        <v>2.99997148561305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6.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8"/>
      <c r="G42" s="117" t="n">
        <v>35.8009</v>
      </c>
      <c r="H42" s="131" t="n">
        <v>40</v>
      </c>
      <c r="I42" s="119" t="n">
        <v>39</v>
      </c>
      <c r="J42" s="132"/>
      <c r="K42" s="133"/>
      <c r="L42" s="133"/>
      <c r="M42" s="133"/>
      <c r="N42" s="134"/>
      <c r="O42" s="133"/>
      <c r="P42" s="132"/>
      <c r="Q42" s="132"/>
      <c r="R42" s="132"/>
      <c r="S42" s="135"/>
      <c r="T42" s="125" t="n">
        <v>0.074</v>
      </c>
      <c r="U42" s="125" t="n">
        <v>0.0723120162655913</v>
      </c>
      <c r="X42" s="125" t="n">
        <v>1.786</v>
      </c>
      <c r="Y42" s="125" t="n">
        <v>1.74526028446414</v>
      </c>
      <c r="Z42" s="124" t="n">
        <v>0.208</v>
      </c>
      <c r="AA42" s="124" t="n">
        <v>0.203255397070851</v>
      </c>
      <c r="AB42" s="125" t="n">
        <v>1.67</v>
      </c>
      <c r="AC42" s="125" t="n">
        <v>1.63190631302078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8"/>
      <c r="G43" s="117" t="n">
        <v>35.5594</v>
      </c>
      <c r="H43" s="118" t="n">
        <v>20</v>
      </c>
      <c r="I43" s="119" t="n">
        <v>20</v>
      </c>
      <c r="J43" s="132"/>
      <c r="K43" s="133"/>
      <c r="L43" s="133"/>
      <c r="M43" s="133"/>
      <c r="N43" s="134"/>
      <c r="O43" s="133"/>
      <c r="P43" s="132"/>
      <c r="Q43" s="132"/>
      <c r="R43" s="132"/>
      <c r="S43" s="135"/>
      <c r="T43" s="125" t="n">
        <v>0.022</v>
      </c>
      <c r="U43" s="125" t="n">
        <v>0.0214981669978785</v>
      </c>
      <c r="X43" s="125" t="n">
        <v>0.188</v>
      </c>
      <c r="Y43" s="125" t="n">
        <v>0.183711608890962</v>
      </c>
      <c r="Z43" s="124" t="n">
        <v>0.046</v>
      </c>
      <c r="AA43" s="124" t="n">
        <v>0.044950712813746</v>
      </c>
      <c r="AB43" s="125" t="n">
        <v>1.01</v>
      </c>
      <c r="AC43" s="125" t="n">
        <v>0.986961303084422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8"/>
      <c r="G44" s="117" t="n">
        <v>35.5224</v>
      </c>
      <c r="H44" s="131" t="n">
        <v>10</v>
      </c>
      <c r="I44" s="119" t="n">
        <v>9</v>
      </c>
      <c r="J44" s="132"/>
      <c r="K44" s="133"/>
      <c r="L44" s="133"/>
      <c r="M44" s="133"/>
      <c r="N44" s="134"/>
      <c r="O44" s="133"/>
      <c r="P44" s="132"/>
      <c r="Q44" s="132"/>
      <c r="R44" s="132"/>
      <c r="S44" s="135"/>
      <c r="T44" s="125" t="n">
        <v>0.028</v>
      </c>
      <c r="U44" s="125" t="n">
        <v>0.0273613034518454</v>
      </c>
      <c r="X44" s="125" t="n">
        <v>0.092</v>
      </c>
      <c r="Y44" s="125" t="n">
        <v>0.0899014256274919</v>
      </c>
      <c r="Z44" s="124" t="n">
        <v>0.032</v>
      </c>
      <c r="AA44" s="124" t="n">
        <v>0.0312700610878233</v>
      </c>
      <c r="AB44" s="125" t="n">
        <v>1.01</v>
      </c>
      <c r="AC44" s="125" t="n">
        <v>0.986961303084422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8"/>
      <c r="G45" s="117" t="n">
        <v>35.5201</v>
      </c>
      <c r="H45" s="131" t="n">
        <v>0</v>
      </c>
      <c r="I45" s="119" t="n">
        <v>0</v>
      </c>
      <c r="J45" s="132"/>
      <c r="K45" s="133"/>
      <c r="L45" s="133"/>
      <c r="M45" s="133"/>
      <c r="N45" s="134"/>
      <c r="O45" s="133"/>
      <c r="P45" s="132"/>
      <c r="Q45" s="132"/>
      <c r="R45" s="132"/>
      <c r="S45" s="143"/>
      <c r="T45" s="125" t="n">
        <v>0.02</v>
      </c>
      <c r="U45" s="125" t="n">
        <v>0.0195437881798896</v>
      </c>
      <c r="X45" s="125" t="n">
        <v>0.09</v>
      </c>
      <c r="Y45" s="125" t="n">
        <v>0.087947046809503</v>
      </c>
      <c r="Z45" s="124" t="n">
        <v>0.025</v>
      </c>
      <c r="AA45" s="124" t="n">
        <v>0.0244297352248619</v>
      </c>
      <c r="AB45" s="125" t="n">
        <v>1.13</v>
      </c>
      <c r="AC45" s="125" t="n">
        <v>1.10422403216376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6"/>
      <c r="U46" s="136"/>
      <c r="V46" s="136"/>
      <c r="W46" s="136"/>
      <c r="X46" s="177"/>
      <c r="Y46" s="177"/>
      <c r="Z46" s="136"/>
      <c r="AA46" s="136"/>
      <c r="AB46" s="177"/>
      <c r="AC46" s="177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3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6"/>
      <c r="U47" s="136"/>
      <c r="V47" s="136"/>
      <c r="W47" s="136"/>
      <c r="X47" s="177"/>
      <c r="Y47" s="177"/>
      <c r="Z47" s="136"/>
      <c r="AA47" s="136"/>
      <c r="AB47" s="177"/>
      <c r="AC47" s="177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3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6"/>
      <c r="U48" s="136"/>
      <c r="V48" s="136"/>
      <c r="W48" s="136"/>
      <c r="X48" s="177"/>
      <c r="Y48" s="177"/>
      <c r="Z48" s="136"/>
      <c r="AA48" s="136"/>
      <c r="AB48" s="177"/>
      <c r="AC48" s="177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77"/>
      <c r="Y50" s="177"/>
      <c r="Z50" s="136"/>
      <c r="AA50" s="136"/>
      <c r="AB50" s="177"/>
      <c r="AC50" s="177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77"/>
      <c r="Y52" s="177"/>
      <c r="Z52" s="136"/>
      <c r="AA52" s="136"/>
      <c r="AB52" s="177"/>
      <c r="AC52" s="177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77"/>
      <c r="Y53" s="177"/>
      <c r="Z53" s="136"/>
      <c r="AA53" s="136"/>
      <c r="AB53" s="177"/>
      <c r="AC53" s="177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77"/>
      <c r="Y54" s="177"/>
      <c r="Z54" s="136"/>
      <c r="AA54" s="136"/>
      <c r="AB54" s="177"/>
      <c r="AC54" s="177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77"/>
      <c r="Y55" s="177"/>
      <c r="Z55" s="136"/>
      <c r="AA55" s="136"/>
      <c r="AB55" s="177"/>
      <c r="AC55" s="177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77"/>
      <c r="Y57" s="177"/>
      <c r="Z57" s="136"/>
      <c r="AA57" s="136"/>
      <c r="AB57" s="177"/>
      <c r="AC57" s="177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8"/>
      <c r="Y58" s="178"/>
      <c r="Z58" s="170"/>
      <c r="AA58" s="170"/>
      <c r="AB58" s="178"/>
      <c r="AC58" s="178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true" showOutlineSymbols="true" defaultGridColor="true" view="normal" topLeftCell="H13" colorId="64" zoomScale="100" zoomScaleNormal="100" zoomScalePageLayoutView="100" workbookViewId="0">
      <selection pane="topLeft" activeCell="U45" activeCellId="0" sqref="U45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  <col collapsed="false" customWidth="false" hidden="false" outlineLevel="0" max="25" min="24" style="172" width="9.14"/>
    <col collapsed="false" customWidth="false" hidden="false" outlineLevel="0" max="29" min="28" style="172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0.02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-0°0,02</v>
      </c>
      <c r="P9" s="29" t="s">
        <v>16</v>
      </c>
      <c r="Q9" s="33" t="n">
        <f aca="false">IF(ISBLANK(I9),"",IF(ISBLANK(J9),"",IF(J9&gt;60,"ERREUR !!",O11*(I9+(J9/60)))))</f>
        <v>-0.000333333333333333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9</v>
      </c>
      <c r="J10" s="29" t="n">
        <v>59.94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-9°59,94</v>
      </c>
      <c r="P10" s="29" t="s">
        <v>17</v>
      </c>
      <c r="Q10" s="33" t="n">
        <f aca="false">IF(ISBLANK(I10),"",IF(ISBLANK(J10),"",IF(J10&gt;60,"ERREUR !!",O12*(I10+(J10/60)))))</f>
        <v>-9.999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37580</v>
      </c>
      <c r="K11" s="38"/>
      <c r="L11" s="38"/>
      <c r="M11" s="38"/>
      <c r="N11" s="39" t="str">
        <f aca="false">I9&amp;"°"&amp;J9</f>
        <v>0°0,02</v>
      </c>
      <c r="O11" s="40" t="n">
        <f aca="false">IF(P9=M10,-1,1)</f>
        <v>-1</v>
      </c>
      <c r="P11" s="41" t="str">
        <f aca="false">TEXT(J11,"aaaa-mm-jj")&amp;"T"&amp;TEXT(J12,"hh:mm:ss")&amp;"z"</f>
        <v>2006-11-21T07:30:00z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0.3125</v>
      </c>
      <c r="K12" s="45"/>
      <c r="L12" s="45"/>
      <c r="M12" s="45"/>
      <c r="N12" s="46" t="str">
        <f aca="false">I10&amp;"°"&amp;J10</f>
        <v>9°59,94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179" t="s">
        <v>70</v>
      </c>
      <c r="Y31" s="179"/>
      <c r="Z31" s="89" t="s">
        <v>71</v>
      </c>
      <c r="AA31" s="89"/>
      <c r="AB31" s="180" t="s">
        <v>72</v>
      </c>
      <c r="AC31" s="18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179"/>
      <c r="Y32" s="179"/>
      <c r="Z32" s="89"/>
      <c r="AA32" s="89"/>
      <c r="AB32" s="180"/>
      <c r="AC32" s="18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73" t="s">
        <v>109</v>
      </c>
      <c r="Y33" s="173" t="s">
        <v>110</v>
      </c>
      <c r="Z33" s="100" t="s">
        <v>111</v>
      </c>
      <c r="AA33" s="100" t="s">
        <v>112</v>
      </c>
      <c r="AB33" s="173" t="s">
        <v>113</v>
      </c>
      <c r="AC33" s="174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75" t="s">
        <v>142</v>
      </c>
      <c r="Y34" s="175" t="s">
        <v>143</v>
      </c>
      <c r="Z34" s="108" t="s">
        <v>142</v>
      </c>
      <c r="AA34" s="108" t="s">
        <v>143</v>
      </c>
      <c r="AB34" s="175" t="s">
        <v>142</v>
      </c>
      <c r="AC34" s="176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8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34.9647</v>
      </c>
      <c r="H35" s="118" t="n">
        <v>2000</v>
      </c>
      <c r="I35" s="119" t="n">
        <v>2003</v>
      </c>
      <c r="J35" s="120"/>
      <c r="K35" s="121"/>
      <c r="L35" s="121"/>
      <c r="M35" s="121"/>
      <c r="N35" s="122"/>
      <c r="O35" s="121"/>
      <c r="P35" s="120" t="n">
        <v>5.691</v>
      </c>
      <c r="Q35" s="120"/>
      <c r="R35" s="120"/>
      <c r="S35" s="123" t="n">
        <v>247.3</v>
      </c>
      <c r="T35" s="125" t="n">
        <v>0.0127034623169282</v>
      </c>
      <c r="U35" s="124" t="n">
        <v>0.0127034623169282</v>
      </c>
      <c r="X35" s="125" t="n">
        <v>20.797</v>
      </c>
      <c r="Y35" s="125" t="n">
        <v>20.3226081388581</v>
      </c>
      <c r="Z35" s="125" t="n">
        <v>1.366</v>
      </c>
      <c r="AA35" s="124" t="n">
        <v>1.33484073268646</v>
      </c>
      <c r="AB35" s="124" t="n">
        <v>22.94</v>
      </c>
      <c r="AC35" s="125" t="n">
        <v>22.4167250423333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8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34.94</v>
      </c>
      <c r="H36" s="118" t="n">
        <v>1500</v>
      </c>
      <c r="I36" s="119" t="n">
        <v>1500</v>
      </c>
      <c r="J36" s="132"/>
      <c r="K36" s="133"/>
      <c r="L36" s="133"/>
      <c r="M36" s="133"/>
      <c r="N36" s="134"/>
      <c r="O36" s="133"/>
      <c r="P36" s="132" t="n">
        <v>5.049</v>
      </c>
      <c r="Q36" s="132"/>
      <c r="R36" s="132"/>
      <c r="S36" s="135" t="n">
        <v>219.5</v>
      </c>
      <c r="T36" s="125" t="n">
        <v>0.0156350305439116</v>
      </c>
      <c r="U36" s="124" t="n">
        <v>0.0156350305439116</v>
      </c>
      <c r="X36" s="125" t="n">
        <v>23.624</v>
      </c>
      <c r="Y36" s="125" t="n">
        <v>23.0851225980855</v>
      </c>
      <c r="Z36" s="125" t="n">
        <v>1.548</v>
      </c>
      <c r="AA36" s="124" t="n">
        <v>1.51268920512345</v>
      </c>
      <c r="AB36" s="124" t="n">
        <v>20.86</v>
      </c>
      <c r="AC36" s="125" t="n">
        <v>20.3841710716248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8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8"/>
      <c r="G37" s="117" t="n">
        <v>34.639</v>
      </c>
      <c r="H37" s="131" t="n">
        <v>1000</v>
      </c>
      <c r="I37" s="119" t="n">
        <v>1000</v>
      </c>
      <c r="J37" s="132"/>
      <c r="K37" s="133"/>
      <c r="L37" s="133"/>
      <c r="M37" s="133"/>
      <c r="N37" s="134"/>
      <c r="O37" s="133"/>
      <c r="P37" s="132" t="n">
        <v>3.585</v>
      </c>
      <c r="Q37" s="132"/>
      <c r="R37" s="132"/>
      <c r="S37" s="135" t="n">
        <v>155.9</v>
      </c>
      <c r="T37" s="125" t="n">
        <v>0.0087947046809503</v>
      </c>
      <c r="U37" s="124" t="n">
        <v>0.0087947046809503</v>
      </c>
      <c r="X37" s="125" t="n">
        <v>33.701</v>
      </c>
      <c r="Y37" s="125" t="n">
        <v>32.9322602725229</v>
      </c>
      <c r="Z37" s="125" t="n">
        <v>2.235</v>
      </c>
      <c r="AA37" s="124" t="n">
        <v>2.18401832910266</v>
      </c>
      <c r="AB37" s="124" t="n">
        <v>32.8</v>
      </c>
      <c r="AC37" s="125" t="n">
        <v>32.0518126150189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8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40"/>
      <c r="G38" s="117" t="n">
        <v>34.7094</v>
      </c>
      <c r="H38" s="131" t="n">
        <v>500</v>
      </c>
      <c r="I38" s="119" t="n">
        <v>499</v>
      </c>
      <c r="J38" s="132"/>
      <c r="K38" s="133"/>
      <c r="L38" s="133"/>
      <c r="M38" s="133"/>
      <c r="N38" s="134"/>
      <c r="O38" s="133"/>
      <c r="P38" s="132" t="n">
        <v>2.646</v>
      </c>
      <c r="Q38" s="132"/>
      <c r="R38" s="132"/>
      <c r="S38" s="135" t="n">
        <v>115.1</v>
      </c>
      <c r="T38" s="125" t="n">
        <v>0.0273613034518454</v>
      </c>
      <c r="U38" s="124" t="n">
        <v>0.0273613034518454</v>
      </c>
      <c r="X38" s="125" t="n">
        <v>33.292</v>
      </c>
      <c r="Y38" s="125" t="n">
        <v>32.5325898042441</v>
      </c>
      <c r="Z38" s="125" t="n">
        <v>2.095</v>
      </c>
      <c r="AA38" s="124" t="n">
        <v>2.04721181184343</v>
      </c>
      <c r="AB38" s="124" t="n">
        <v>19.435</v>
      </c>
      <c r="AC38" s="125" t="n">
        <v>18.9916761638077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5.8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8"/>
      <c r="G39" s="117" t="n">
        <v>35.6443</v>
      </c>
      <c r="H39" s="118" t="n">
        <v>100</v>
      </c>
      <c r="I39" s="119" t="n">
        <v>100</v>
      </c>
      <c r="J39" s="132"/>
      <c r="K39" s="133"/>
      <c r="L39" s="133"/>
      <c r="M39" s="133"/>
      <c r="N39" s="134"/>
      <c r="O39" s="133"/>
      <c r="P39" s="132" t="n">
        <v>3.822</v>
      </c>
      <c r="Q39" s="132"/>
      <c r="R39" s="132"/>
      <c r="S39" s="135" t="n">
        <v>166.4</v>
      </c>
      <c r="T39" s="125" t="n">
        <v>0.0361560081327957</v>
      </c>
      <c r="U39" s="124" t="n">
        <v>0.0361560081327957</v>
      </c>
      <c r="X39" s="125" t="n">
        <v>12.563</v>
      </c>
      <c r="Y39" s="125" t="n">
        <v>12.2764305451976</v>
      </c>
      <c r="Z39" s="125" t="n">
        <v>0.912</v>
      </c>
      <c r="AA39" s="124" t="n">
        <v>0.891196741002963</v>
      </c>
      <c r="AB39" s="124" t="n">
        <v>5.59</v>
      </c>
      <c r="AC39" s="125" t="n">
        <v>5.46248879627913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8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8"/>
      <c r="G40" s="117" t="n">
        <v>35.9952</v>
      </c>
      <c r="H40" s="131" t="n">
        <v>80</v>
      </c>
      <c r="I40" s="119" t="n">
        <v>78.3</v>
      </c>
      <c r="J40" s="132"/>
      <c r="K40" s="133"/>
      <c r="L40" s="133"/>
      <c r="M40" s="133"/>
      <c r="N40" s="134"/>
      <c r="O40" s="133"/>
      <c r="P40" s="132" t="n">
        <v>4.005</v>
      </c>
      <c r="Q40" s="132"/>
      <c r="R40" s="132"/>
      <c r="S40" s="135" t="n">
        <v>174.4</v>
      </c>
      <c r="T40" s="125" t="n">
        <v>0.0820839103555361</v>
      </c>
      <c r="U40" s="124" t="n">
        <v>0.0820839103555361</v>
      </c>
      <c r="X40" s="125" t="n">
        <v>8.566</v>
      </c>
      <c r="Y40" s="125" t="n">
        <v>8.37060447744669</v>
      </c>
      <c r="Z40" s="125" t="n">
        <v>0.708</v>
      </c>
      <c r="AA40" s="124" t="n">
        <v>0.69185010156809</v>
      </c>
      <c r="AB40" s="124" t="n">
        <v>3.69</v>
      </c>
      <c r="AC40" s="125" t="n">
        <v>3.60582891918962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8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8"/>
      <c r="G41" s="117" t="n">
        <v>36.3435</v>
      </c>
      <c r="H41" s="118" t="n">
        <v>60</v>
      </c>
      <c r="I41" s="119" t="n">
        <v>59.5</v>
      </c>
      <c r="J41" s="132"/>
      <c r="K41" s="133"/>
      <c r="L41" s="133"/>
      <c r="M41" s="133"/>
      <c r="N41" s="134"/>
      <c r="O41" s="133"/>
      <c r="P41" s="132" t="n">
        <v>4.158</v>
      </c>
      <c r="Q41" s="132"/>
      <c r="R41" s="132"/>
      <c r="S41" s="135" t="n">
        <v>181.2</v>
      </c>
      <c r="T41" s="125" t="n">
        <v>0.337130346103095</v>
      </c>
      <c r="U41" s="124" t="n">
        <v>0.337130346103095</v>
      </c>
      <c r="X41" s="125" t="n">
        <v>4.295</v>
      </c>
      <c r="Y41" s="125" t="n">
        <v>4.19702851163128</v>
      </c>
      <c r="Z41" s="125" t="n">
        <v>0.438</v>
      </c>
      <c r="AA41" s="124" t="n">
        <v>0.428008961139581</v>
      </c>
      <c r="AB41" s="124" t="n">
        <v>2.41</v>
      </c>
      <c r="AC41" s="125" t="n">
        <v>2.35502647567669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8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8"/>
      <c r="G42" s="117" t="n">
        <v>35.9738</v>
      </c>
      <c r="H42" s="131" t="n">
        <v>40</v>
      </c>
      <c r="I42" s="119" t="n">
        <v>39</v>
      </c>
      <c r="J42" s="132"/>
      <c r="K42" s="133"/>
      <c r="L42" s="133"/>
      <c r="M42" s="133"/>
      <c r="N42" s="134"/>
      <c r="O42" s="133"/>
      <c r="P42" s="132" t="n">
        <v>4.416</v>
      </c>
      <c r="Q42" s="132"/>
      <c r="R42" s="132"/>
      <c r="S42" s="135" t="n">
        <v>192.5</v>
      </c>
      <c r="T42" s="125" t="n">
        <v>0.178825661845989</v>
      </c>
      <c r="U42" s="124" t="n">
        <v>0.178825661845989</v>
      </c>
      <c r="X42" s="125" t="n">
        <v>2.177</v>
      </c>
      <c r="Y42" s="125" t="n">
        <v>2.12734134338098</v>
      </c>
      <c r="Z42" s="125" t="n">
        <v>0.261</v>
      </c>
      <c r="AA42" s="124" t="n">
        <v>0.255046435747559</v>
      </c>
      <c r="AB42" s="124" t="n">
        <v>1.87</v>
      </c>
      <c r="AC42" s="125" t="n">
        <v>1.82734419481967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8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8"/>
      <c r="G43" s="117" t="n">
        <v>35.632</v>
      </c>
      <c r="H43" s="118" t="n">
        <v>20</v>
      </c>
      <c r="I43" s="119" t="n">
        <v>19</v>
      </c>
      <c r="J43" s="132"/>
      <c r="K43" s="133"/>
      <c r="L43" s="133"/>
      <c r="M43" s="133"/>
      <c r="N43" s="134"/>
      <c r="O43" s="133"/>
      <c r="P43" s="132" t="n">
        <v>4.693</v>
      </c>
      <c r="Q43" s="132"/>
      <c r="R43" s="132"/>
      <c r="S43" s="135" t="n">
        <v>204.8</v>
      </c>
      <c r="T43" s="125" t="n">
        <v>0.0420191445867625</v>
      </c>
      <c r="U43" s="124" t="n">
        <v>0.0420191445867625</v>
      </c>
      <c r="X43" s="125" t="n">
        <v>0.247</v>
      </c>
      <c r="Y43" s="125" t="n">
        <v>0.241365784021636</v>
      </c>
      <c r="Z43" s="125" t="n">
        <v>0.113</v>
      </c>
      <c r="AA43" s="124" t="n">
        <v>0.110422403216376</v>
      </c>
      <c r="AB43" s="124" t="n">
        <v>1.1</v>
      </c>
      <c r="AC43" s="125" t="n">
        <v>1.07490834989393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8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8"/>
      <c r="G44" s="117" t="n">
        <v>35.6322</v>
      </c>
      <c r="H44" s="131" t="n">
        <v>10</v>
      </c>
      <c r="I44" s="119" t="n">
        <v>9</v>
      </c>
      <c r="J44" s="132"/>
      <c r="K44" s="133"/>
      <c r="L44" s="133"/>
      <c r="M44" s="133"/>
      <c r="N44" s="134"/>
      <c r="O44" s="133"/>
      <c r="P44" s="132" t="n">
        <v>4.735</v>
      </c>
      <c r="Q44" s="132"/>
      <c r="R44" s="132"/>
      <c r="S44" s="135" t="n">
        <v>206.6</v>
      </c>
      <c r="T44" s="125" t="n">
        <v>0.0234525458158675</v>
      </c>
      <c r="U44" s="124" t="n">
        <v>0.0234525458158675</v>
      </c>
      <c r="X44" s="125" t="n">
        <v>0.186</v>
      </c>
      <c r="Y44" s="125" t="n">
        <v>0.181757230072973</v>
      </c>
      <c r="Z44" s="125" t="n">
        <v>0.065</v>
      </c>
      <c r="AA44" s="124" t="n">
        <v>0.063517311584641</v>
      </c>
      <c r="AB44" s="124" t="n">
        <v>1</v>
      </c>
      <c r="AC44" s="125" t="n">
        <v>0.977189408994477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8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8"/>
      <c r="G45" s="117" t="n">
        <v>35.6206</v>
      </c>
      <c r="H45" s="131" t="n">
        <v>0</v>
      </c>
      <c r="I45" s="119" t="n">
        <v>0</v>
      </c>
      <c r="J45" s="132"/>
      <c r="K45" s="133"/>
      <c r="L45" s="133"/>
      <c r="M45" s="133"/>
      <c r="N45" s="134"/>
      <c r="O45" s="133"/>
      <c r="P45" s="132"/>
      <c r="Q45" s="132"/>
      <c r="R45" s="132"/>
      <c r="S45" s="143"/>
      <c r="T45" s="125" t="n">
        <v>0.0420191445867625</v>
      </c>
      <c r="U45" s="124" t="n">
        <v>0.0420191445867625</v>
      </c>
      <c r="X45" s="125" t="n">
        <v>0.137</v>
      </c>
      <c r="Y45" s="125" t="n">
        <v>0.133874949032243</v>
      </c>
      <c r="Z45" s="125" t="n">
        <v>0.198</v>
      </c>
      <c r="AA45" s="124" t="n">
        <v>0.193483502980907</v>
      </c>
      <c r="AB45" s="124" t="n">
        <v>1.11</v>
      </c>
      <c r="AC45" s="125" t="n">
        <v>1.08468024398387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6"/>
      <c r="U46" s="136"/>
      <c r="V46" s="136"/>
      <c r="W46" s="136"/>
      <c r="X46" s="177"/>
      <c r="Y46" s="177"/>
      <c r="Z46" s="136"/>
      <c r="AA46" s="136"/>
      <c r="AB46" s="177"/>
      <c r="AC46" s="177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3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6"/>
      <c r="U47" s="136"/>
      <c r="V47" s="136"/>
      <c r="W47" s="136"/>
      <c r="X47" s="177"/>
      <c r="Y47" s="177"/>
      <c r="Z47" s="136"/>
      <c r="AA47" s="136"/>
      <c r="AB47" s="177"/>
      <c r="AC47" s="177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3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6"/>
      <c r="U48" s="136"/>
      <c r="V48" s="136"/>
      <c r="W48" s="136"/>
      <c r="X48" s="177"/>
      <c r="Y48" s="177"/>
      <c r="Z48" s="136"/>
      <c r="AA48" s="136"/>
      <c r="AB48" s="177"/>
      <c r="AC48" s="177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77"/>
      <c r="Y50" s="177"/>
      <c r="Z50" s="136"/>
      <c r="AA50" s="136"/>
      <c r="AB50" s="177"/>
      <c r="AC50" s="177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77"/>
      <c r="Y52" s="177"/>
      <c r="Z52" s="136"/>
      <c r="AA52" s="136"/>
      <c r="AB52" s="177"/>
      <c r="AC52" s="177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77"/>
      <c r="Y53" s="177"/>
      <c r="Z53" s="136"/>
      <c r="AA53" s="136"/>
      <c r="AB53" s="177"/>
      <c r="AC53" s="177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77"/>
      <c r="Y54" s="177"/>
      <c r="Z54" s="136"/>
      <c r="AA54" s="136"/>
      <c r="AB54" s="177"/>
      <c r="AC54" s="177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77"/>
      <c r="Y55" s="177"/>
      <c r="Z55" s="136"/>
      <c r="AA55" s="136"/>
      <c r="AB55" s="177"/>
      <c r="AC55" s="177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77"/>
      <c r="Y57" s="177"/>
      <c r="Z57" s="136"/>
      <c r="AA57" s="136"/>
      <c r="AB57" s="177"/>
      <c r="AC57" s="177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8"/>
      <c r="Y58" s="178"/>
      <c r="Z58" s="170"/>
      <c r="AA58" s="170"/>
      <c r="AB58" s="178"/>
      <c r="AC58" s="178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C4" activeCellId="1" sqref="U45 AC4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  <col collapsed="false" customWidth="false" hidden="false" outlineLevel="0" max="25" min="24" style="172" width="9.14"/>
    <col collapsed="false" customWidth="false" hidden="false" outlineLevel="0" max="29" min="28" style="172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30.04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-0°30,04</v>
      </c>
      <c r="P9" s="29" t="s">
        <v>16</v>
      </c>
      <c r="Q9" s="33" t="n">
        <f aca="false">IF(ISBLANK(I9),"",IF(ISBLANK(J9),"",IF(J9&gt;60,"ERREUR !!",O11*(I9+(J9/60)))))</f>
        <v>-0.500666666666667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9</v>
      </c>
      <c r="J10" s="29" t="n">
        <v>58.5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-9°58,5</v>
      </c>
      <c r="P10" s="29" t="s">
        <v>17</v>
      </c>
      <c r="Q10" s="33" t="n">
        <f aca="false">IF(ISBLANK(I10),"",IF(ISBLANK(J10),"",IF(J10&gt;60,"ERREUR !!",O12*(I10+(J10/60)))))</f>
        <v>-9.975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37580</v>
      </c>
      <c r="K11" s="38"/>
      <c r="L11" s="38"/>
      <c r="M11" s="38"/>
      <c r="N11" s="39" t="str">
        <f aca="false">I9&amp;"°"&amp;J9</f>
        <v>0°30,04</v>
      </c>
      <c r="O11" s="40" t="n">
        <f aca="false">IF(P9=M10,-1,1)</f>
        <v>-1</v>
      </c>
      <c r="P11" s="41" t="str">
        <f aca="false">TEXT(J11,"aaaa-mm-jj")&amp;"T"&amp;TEXT(J12,"hh:mm:ss")&amp;"z"</f>
        <v>2006-11-21T15:00:00z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0.625</v>
      </c>
      <c r="K12" s="45"/>
      <c r="L12" s="45"/>
      <c r="M12" s="45"/>
      <c r="N12" s="46" t="str">
        <f aca="false">I10&amp;"°"&amp;J10</f>
        <v>9°58,5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73" t="s">
        <v>109</v>
      </c>
      <c r="Y33" s="173" t="s">
        <v>110</v>
      </c>
      <c r="Z33" s="100" t="s">
        <v>111</v>
      </c>
      <c r="AA33" s="100" t="s">
        <v>112</v>
      </c>
      <c r="AB33" s="173" t="s">
        <v>113</v>
      </c>
      <c r="AC33" s="174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75" t="s">
        <v>142</v>
      </c>
      <c r="Y34" s="175" t="s">
        <v>143</v>
      </c>
      <c r="Z34" s="108" t="s">
        <v>142</v>
      </c>
      <c r="AA34" s="108" t="s">
        <v>143</v>
      </c>
      <c r="AB34" s="175" t="s">
        <v>142</v>
      </c>
      <c r="AC34" s="176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34.6274</v>
      </c>
      <c r="H35" s="118" t="n">
        <v>1000</v>
      </c>
      <c r="I35" s="119" t="n">
        <v>1001.7</v>
      </c>
      <c r="J35" s="120"/>
      <c r="K35" s="121"/>
      <c r="L35" s="121"/>
      <c r="M35" s="121"/>
      <c r="N35" s="122"/>
      <c r="O35" s="121"/>
      <c r="P35" s="120" t="n">
        <v>3.593</v>
      </c>
      <c r="Q35" s="120"/>
      <c r="R35" s="120"/>
      <c r="S35" s="123" t="n">
        <v>156.2</v>
      </c>
      <c r="T35" s="124" t="n">
        <v>0.014</v>
      </c>
      <c r="U35" s="124" t="n">
        <v>0.0136806517259227</v>
      </c>
      <c r="X35" s="125" t="n">
        <v>33.996</v>
      </c>
      <c r="Y35" s="125" t="n">
        <v>33.2205311481762</v>
      </c>
      <c r="Z35" s="124" t="n">
        <v>2.244</v>
      </c>
      <c r="AA35" s="124" t="n">
        <v>2.19281303378361</v>
      </c>
      <c r="AB35" s="125" t="n">
        <v>32.71</v>
      </c>
      <c r="AC35" s="125" t="n">
        <v>31.9638655682093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34.5371</v>
      </c>
      <c r="H36" s="118" t="n">
        <v>600</v>
      </c>
      <c r="I36" s="119" t="n">
        <v>599</v>
      </c>
      <c r="J36" s="132"/>
      <c r="K36" s="133"/>
      <c r="L36" s="133"/>
      <c r="M36" s="133"/>
      <c r="N36" s="134"/>
      <c r="O36" s="133"/>
      <c r="P36" s="132" t="n">
        <v>3.304</v>
      </c>
      <c r="Q36" s="132"/>
      <c r="R36" s="132"/>
      <c r="S36" s="135" t="n">
        <v>143.7</v>
      </c>
      <c r="T36" s="124" t="n">
        <v>0.017</v>
      </c>
      <c r="U36" s="124" t="n">
        <v>0.0166122199529061</v>
      </c>
      <c r="X36" s="125" t="n">
        <v>34.073</v>
      </c>
      <c r="Y36" s="125" t="n">
        <v>33.2957747326688</v>
      </c>
      <c r="Z36" s="124" t="n">
        <v>2.168</v>
      </c>
      <c r="AA36" s="124" t="n">
        <v>2.11854663870003</v>
      </c>
      <c r="AB36" s="125" t="n">
        <v>23.73</v>
      </c>
      <c r="AC36" s="125" t="n">
        <v>23.1887046754389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8"/>
      <c r="G37" s="117" t="n">
        <v>34.9952</v>
      </c>
      <c r="H37" s="131" t="n">
        <v>300</v>
      </c>
      <c r="I37" s="119" t="n">
        <v>300</v>
      </c>
      <c r="J37" s="132"/>
      <c r="K37" s="133"/>
      <c r="L37" s="133"/>
      <c r="M37" s="133"/>
      <c r="N37" s="134"/>
      <c r="O37" s="133"/>
      <c r="P37" s="132" t="n">
        <v>1.685</v>
      </c>
      <c r="Q37" s="132"/>
      <c r="R37" s="132"/>
      <c r="S37" s="135" t="n">
        <v>73.3</v>
      </c>
      <c r="T37" s="124" t="n">
        <v>0.012</v>
      </c>
      <c r="U37" s="124" t="n">
        <v>0.0117262729079337</v>
      </c>
      <c r="X37" s="125" t="n">
        <v>32.248</v>
      </c>
      <c r="Y37" s="125" t="n">
        <v>31.5124040612539</v>
      </c>
      <c r="Z37" s="124" t="n">
        <v>1.95</v>
      </c>
      <c r="AA37" s="124" t="n">
        <v>1.90551934753923</v>
      </c>
      <c r="AB37" s="125" t="n">
        <v>14.06</v>
      </c>
      <c r="AC37" s="125" t="n">
        <v>13.7392830904624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6.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40"/>
      <c r="G38" s="117" t="n">
        <v>35.7012</v>
      </c>
      <c r="H38" s="131" t="n">
        <v>100</v>
      </c>
      <c r="I38" s="119" t="n">
        <v>100</v>
      </c>
      <c r="J38" s="132"/>
      <c r="K38" s="133"/>
      <c r="L38" s="133"/>
      <c r="M38" s="133"/>
      <c r="N38" s="134"/>
      <c r="O38" s="133"/>
      <c r="P38" s="132" t="n">
        <v>3.664</v>
      </c>
      <c r="Q38" s="132"/>
      <c r="R38" s="132"/>
      <c r="S38" s="135" t="n">
        <v>159.5</v>
      </c>
      <c r="T38" s="124" t="n">
        <v>0.042</v>
      </c>
      <c r="U38" s="124" t="n">
        <v>0.0410419551777681</v>
      </c>
      <c r="X38" s="125" t="n">
        <v>13.088</v>
      </c>
      <c r="Y38" s="125" t="n">
        <v>12.7894549849197</v>
      </c>
      <c r="Z38" s="124" t="n">
        <v>0.939</v>
      </c>
      <c r="AA38" s="124" t="n">
        <v>0.917580855045814</v>
      </c>
      <c r="AB38" s="125" t="n">
        <v>5.05</v>
      </c>
      <c r="AC38" s="125" t="n">
        <v>4.93480651542211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8"/>
      <c r="G39" s="117" t="n">
        <v>35.6971</v>
      </c>
      <c r="H39" s="118" t="n">
        <v>100</v>
      </c>
      <c r="I39" s="119" t="n">
        <v>100</v>
      </c>
      <c r="J39" s="132"/>
      <c r="K39" s="133"/>
      <c r="L39" s="133"/>
      <c r="M39" s="133"/>
      <c r="N39" s="134"/>
      <c r="O39" s="133"/>
      <c r="P39" s="132" t="n">
        <v>3.614</v>
      </c>
      <c r="Q39" s="132"/>
      <c r="R39" s="132"/>
      <c r="S39" s="135" t="n">
        <v>157.3</v>
      </c>
      <c r="T39" s="124" t="n">
        <v>0.0505</v>
      </c>
      <c r="U39" s="124" t="n">
        <v>0.0493480651542211</v>
      </c>
      <c r="X39" s="125" t="n">
        <v>13.1195</v>
      </c>
      <c r="Y39" s="125" t="n">
        <v>12.820236451303</v>
      </c>
      <c r="Z39" s="124" t="n">
        <v>0.9385</v>
      </c>
      <c r="AA39" s="124" t="n">
        <v>0.917092260341317</v>
      </c>
      <c r="AB39" s="125" t="n">
        <v>5.105</v>
      </c>
      <c r="AC39" s="125" t="n">
        <v>4.98855193291681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8"/>
      <c r="G40" s="117" t="n">
        <v>36.1917</v>
      </c>
      <c r="H40" s="131" t="n">
        <v>80</v>
      </c>
      <c r="I40" s="119" t="n">
        <v>68</v>
      </c>
      <c r="J40" s="132"/>
      <c r="K40" s="133"/>
      <c r="L40" s="133"/>
      <c r="M40" s="133"/>
      <c r="N40" s="134"/>
      <c r="O40" s="133"/>
      <c r="P40" s="132" t="n">
        <v>3.644</v>
      </c>
      <c r="Q40" s="132"/>
      <c r="R40" s="132"/>
      <c r="S40" s="135" t="n">
        <v>158.7</v>
      </c>
      <c r="T40" s="124" t="n">
        <v>0.247</v>
      </c>
      <c r="U40" s="124" t="n">
        <v>0.241365784021636</v>
      </c>
      <c r="X40" s="125" t="n">
        <v>8.073</v>
      </c>
      <c r="Y40" s="125" t="n">
        <v>7.88885009881242</v>
      </c>
      <c r="Z40" s="124" t="n">
        <v>0.676</v>
      </c>
      <c r="AA40" s="124" t="n">
        <v>0.660580040480267</v>
      </c>
      <c r="AB40" s="125" t="n">
        <v>2.93</v>
      </c>
      <c r="AC40" s="125" t="n">
        <v>2.86316496835382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8"/>
      <c r="G41" s="117" t="n">
        <v>36.1939</v>
      </c>
      <c r="H41" s="118" t="n">
        <v>60</v>
      </c>
      <c r="I41" s="119" t="n">
        <v>58</v>
      </c>
      <c r="J41" s="132"/>
      <c r="K41" s="133"/>
      <c r="L41" s="133"/>
      <c r="M41" s="133"/>
      <c r="N41" s="134"/>
      <c r="O41" s="133"/>
      <c r="P41" s="132" t="n">
        <v>3.818</v>
      </c>
      <c r="Q41" s="132"/>
      <c r="R41" s="132"/>
      <c r="S41" s="135" t="n">
        <v>166.4</v>
      </c>
      <c r="T41" s="124" t="n">
        <v>0.62</v>
      </c>
      <c r="U41" s="124" t="n">
        <v>0.605857433576576</v>
      </c>
      <c r="X41" s="125" t="n">
        <v>5.02</v>
      </c>
      <c r="Y41" s="125" t="n">
        <v>4.90549083315228</v>
      </c>
      <c r="Z41" s="124" t="n">
        <v>0.503</v>
      </c>
      <c r="AA41" s="124" t="n">
        <v>0.491526272724222</v>
      </c>
      <c r="AB41" s="125" t="n">
        <v>2.12</v>
      </c>
      <c r="AC41" s="125" t="n">
        <v>2.07164154706829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6.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8"/>
      <c r="G42" s="117" t="n">
        <v>35.939</v>
      </c>
      <c r="H42" s="131" t="n">
        <v>40</v>
      </c>
      <c r="I42" s="119" t="n">
        <v>39</v>
      </c>
      <c r="J42" s="132"/>
      <c r="K42" s="133"/>
      <c r="L42" s="133"/>
      <c r="M42" s="133"/>
      <c r="N42" s="134"/>
      <c r="O42" s="133"/>
      <c r="P42" s="132" t="n">
        <v>4.463</v>
      </c>
      <c r="Q42" s="132"/>
      <c r="R42" s="132"/>
      <c r="S42" s="135" t="n">
        <v>194.6</v>
      </c>
      <c r="T42" s="124" t="n">
        <v>0.118</v>
      </c>
      <c r="U42" s="124" t="n">
        <v>0.115308350261348</v>
      </c>
      <c r="X42" s="125" t="n">
        <v>1.672</v>
      </c>
      <c r="Y42" s="125" t="n">
        <v>1.63386069183877</v>
      </c>
      <c r="Z42" s="124" t="n">
        <v>0.211</v>
      </c>
      <c r="AA42" s="124" t="n">
        <v>0.206186965297835</v>
      </c>
      <c r="AB42" s="125" t="n">
        <v>1.39</v>
      </c>
      <c r="AC42" s="125" t="n">
        <v>1.35829327850232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8"/>
      <c r="G43" s="117" t="n">
        <v>35.7427</v>
      </c>
      <c r="H43" s="118" t="n">
        <v>20</v>
      </c>
      <c r="I43" s="119" t="n">
        <v>19</v>
      </c>
      <c r="J43" s="132"/>
      <c r="K43" s="133"/>
      <c r="L43" s="133"/>
      <c r="M43" s="133"/>
      <c r="N43" s="134"/>
      <c r="O43" s="133"/>
      <c r="P43" s="132" t="n">
        <v>4.791</v>
      </c>
      <c r="Q43" s="132"/>
      <c r="R43" s="132"/>
      <c r="S43" s="135" t="n">
        <v>209</v>
      </c>
      <c r="T43" s="124" t="n">
        <v>0.027</v>
      </c>
      <c r="U43" s="124" t="n">
        <v>0.0263841140428509</v>
      </c>
      <c r="X43" s="125" t="n">
        <v>0.393</v>
      </c>
      <c r="Y43" s="125" t="n">
        <v>0.38403543773483</v>
      </c>
      <c r="Z43" s="124" t="n">
        <v>0.1</v>
      </c>
      <c r="AA43" s="124" t="n">
        <v>0.0977189408994478</v>
      </c>
      <c r="AB43" s="125" t="n">
        <v>1.07</v>
      </c>
      <c r="AC43" s="125" t="n">
        <v>1.04559266762409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8"/>
      <c r="G44" s="117" t="n">
        <v>35.7197</v>
      </c>
      <c r="H44" s="131" t="n">
        <v>10</v>
      </c>
      <c r="I44" s="119" t="n">
        <v>10</v>
      </c>
      <c r="J44" s="132"/>
      <c r="K44" s="133"/>
      <c r="L44" s="133"/>
      <c r="M44" s="133"/>
      <c r="N44" s="134"/>
      <c r="O44" s="133"/>
      <c r="P44" s="132" t="n">
        <v>4.918</v>
      </c>
      <c r="Q44" s="132"/>
      <c r="R44" s="132"/>
      <c r="S44" s="135" t="n">
        <v>214.6</v>
      </c>
      <c r="T44" s="124" t="n">
        <v>0.026</v>
      </c>
      <c r="U44" s="124" t="n">
        <v>0.0254069246338564</v>
      </c>
      <c r="X44" s="125" t="n">
        <v>0.214</v>
      </c>
      <c r="Y44" s="125" t="n">
        <v>0.209118533524818</v>
      </c>
      <c r="Z44" s="124" t="n">
        <v>0.087</v>
      </c>
      <c r="AA44" s="124" t="n">
        <v>0.0850154785825195</v>
      </c>
      <c r="AB44" s="125" t="n">
        <v>1.05</v>
      </c>
      <c r="AC44" s="125" t="n">
        <v>1.0260488794442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8"/>
      <c r="G45" s="117" t="n">
        <v>35.7113</v>
      </c>
      <c r="H45" s="131" t="n">
        <v>0</v>
      </c>
      <c r="I45" s="119" t="n">
        <v>0</v>
      </c>
      <c r="J45" s="132"/>
      <c r="K45" s="133"/>
      <c r="L45" s="133"/>
      <c r="M45" s="133"/>
      <c r="N45" s="134"/>
      <c r="O45" s="133"/>
      <c r="P45" s="132" t="n">
        <v>4.775</v>
      </c>
      <c r="Q45" s="132"/>
      <c r="R45" s="132"/>
      <c r="S45" s="143" t="n">
        <v>208.4</v>
      </c>
      <c r="T45" s="124" t="n">
        <v>0.01</v>
      </c>
      <c r="U45" s="124" t="n">
        <v>0.00977189408994478</v>
      </c>
      <c r="X45" s="125" t="n">
        <v>0.16</v>
      </c>
      <c r="Y45" s="125" t="n">
        <v>0.156350305439116</v>
      </c>
      <c r="Z45" s="124" t="n">
        <v>0.082</v>
      </c>
      <c r="AA45" s="124" t="n">
        <v>0.0801295315375471</v>
      </c>
      <c r="AB45" s="125" t="n">
        <v>1.07</v>
      </c>
      <c r="AC45" s="125" t="n">
        <v>1.04559266762409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6"/>
      <c r="U46" s="136"/>
      <c r="V46" s="136"/>
      <c r="W46" s="136"/>
      <c r="X46" s="177"/>
      <c r="Y46" s="177"/>
      <c r="Z46" s="136"/>
      <c r="AA46" s="136"/>
      <c r="AB46" s="177"/>
      <c r="AC46" s="177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3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6"/>
      <c r="U47" s="136"/>
      <c r="V47" s="136"/>
      <c r="W47" s="136"/>
      <c r="X47" s="177"/>
      <c r="Y47" s="177"/>
      <c r="Z47" s="136"/>
      <c r="AA47" s="136"/>
      <c r="AB47" s="177"/>
      <c r="AC47" s="177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3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6"/>
      <c r="U48" s="136"/>
      <c r="V48" s="136"/>
      <c r="W48" s="136"/>
      <c r="X48" s="177"/>
      <c r="Y48" s="177"/>
      <c r="Z48" s="136"/>
      <c r="AA48" s="136"/>
      <c r="AB48" s="177"/>
      <c r="AC48" s="177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77"/>
      <c r="Y50" s="177"/>
      <c r="Z50" s="136"/>
      <c r="AA50" s="136"/>
      <c r="AB50" s="177"/>
      <c r="AC50" s="177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77"/>
      <c r="Y52" s="177"/>
      <c r="Z52" s="136"/>
      <c r="AA52" s="136"/>
      <c r="AB52" s="177"/>
      <c r="AC52" s="177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77"/>
      <c r="Y53" s="177"/>
      <c r="Z53" s="136"/>
      <c r="AA53" s="136"/>
      <c r="AB53" s="177"/>
      <c r="AC53" s="177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77"/>
      <c r="Y54" s="177"/>
      <c r="Z54" s="136"/>
      <c r="AA54" s="136"/>
      <c r="AB54" s="177"/>
      <c r="AC54" s="177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77"/>
      <c r="Y55" s="177"/>
      <c r="Z55" s="136"/>
      <c r="AA55" s="136"/>
      <c r="AB55" s="177"/>
      <c r="AC55" s="177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77"/>
      <c r="Y57" s="177"/>
      <c r="Z57" s="136"/>
      <c r="AA57" s="136"/>
      <c r="AB57" s="177"/>
      <c r="AC57" s="177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8"/>
      <c r="Y58" s="178"/>
      <c r="Z58" s="170"/>
      <c r="AA58" s="170"/>
      <c r="AB58" s="178"/>
      <c r="AC58" s="178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C4" activeCellId="1" sqref="U45 AC4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  <col collapsed="false" customWidth="false" hidden="false" outlineLevel="0" max="25" min="24" style="172" width="9.14"/>
    <col collapsed="false" customWidth="false" hidden="false" outlineLevel="0" max="29" min="28" style="172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0.02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-1°0,02</v>
      </c>
      <c r="P9" s="29" t="s">
        <v>16</v>
      </c>
      <c r="Q9" s="33" t="n">
        <f aca="false">IF(ISBLANK(I9),"",IF(ISBLANK(J9),"",IF(J9&gt;60,"ERREUR !!",O11*(I9+(J9/60)))))</f>
        <v>-1.00033333333333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0.1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-10°0,1</v>
      </c>
      <c r="P10" s="29" t="s">
        <v>17</v>
      </c>
      <c r="Q10" s="33" t="n">
        <f aca="false">IF(ISBLANK(I10),"",IF(ISBLANK(J10),"",IF(J10&gt;60,"ERREUR !!",O12*(I10+(J10/60)))))</f>
        <v>-10.0016666666667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37580</v>
      </c>
      <c r="K11" s="38"/>
      <c r="L11" s="38"/>
      <c r="M11" s="38"/>
      <c r="N11" s="39" t="str">
        <f aca="false">I9&amp;"°"&amp;J9</f>
        <v>1°0,02</v>
      </c>
      <c r="O11" s="40" t="n">
        <f aca="false">IF(P9=M10,-1,1)</f>
        <v>-1</v>
      </c>
      <c r="P11" s="41" t="str">
        <f aca="false">TEXT(J11,"aaaa-mm-jj")&amp;"T"&amp;TEXT(J12,"hh:mm:ss")&amp;"z"</f>
        <v>2006-11-21T20:00:00z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0.833333333333333</v>
      </c>
      <c r="K12" s="45"/>
      <c r="L12" s="45"/>
      <c r="M12" s="45"/>
      <c r="N12" s="46" t="str">
        <f aca="false">I10&amp;"°"&amp;J10</f>
        <v>10°0,1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179" t="s">
        <v>70</v>
      </c>
      <c r="Y31" s="179"/>
      <c r="Z31" s="89" t="s">
        <v>71</v>
      </c>
      <c r="AA31" s="89"/>
      <c r="AB31" s="180" t="s">
        <v>72</v>
      </c>
      <c r="AC31" s="18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179"/>
      <c r="Y32" s="179"/>
      <c r="Z32" s="89"/>
      <c r="AA32" s="89"/>
      <c r="AB32" s="180"/>
      <c r="AC32" s="18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73" t="s">
        <v>109</v>
      </c>
      <c r="Y33" s="173" t="s">
        <v>110</v>
      </c>
      <c r="Z33" s="100" t="s">
        <v>111</v>
      </c>
      <c r="AA33" s="100" t="s">
        <v>112</v>
      </c>
      <c r="AB33" s="173" t="s">
        <v>113</v>
      </c>
      <c r="AC33" s="174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75" t="s">
        <v>142</v>
      </c>
      <c r="Y34" s="175" t="s">
        <v>143</v>
      </c>
      <c r="Z34" s="108" t="s">
        <v>142</v>
      </c>
      <c r="AA34" s="108" t="s">
        <v>143</v>
      </c>
      <c r="AB34" s="175" t="s">
        <v>142</v>
      </c>
      <c r="AC34" s="176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34.5975</v>
      </c>
      <c r="H35" s="118" t="n">
        <v>1000</v>
      </c>
      <c r="I35" s="119" t="n">
        <v>1001</v>
      </c>
      <c r="J35" s="120"/>
      <c r="K35" s="121"/>
      <c r="L35" s="121"/>
      <c r="M35" s="121"/>
      <c r="N35" s="122"/>
      <c r="O35" s="121"/>
      <c r="P35" s="120" t="n">
        <v>3.569</v>
      </c>
      <c r="Q35" s="120"/>
      <c r="R35" s="120"/>
      <c r="S35" s="123" t="n">
        <v>155.2</v>
      </c>
      <c r="T35" s="125" t="n">
        <v>0.01</v>
      </c>
      <c r="U35" s="125" t="n">
        <v>0.00977189408994478</v>
      </c>
      <c r="X35" s="125" t="n">
        <v>34.56</v>
      </c>
      <c r="Y35" s="125" t="n">
        <v>33.7716659748491</v>
      </c>
      <c r="Z35" s="181" t="n">
        <v>2.261</v>
      </c>
      <c r="AA35" s="124" t="n">
        <v>2.20942525373651</v>
      </c>
      <c r="AB35" s="125" t="n">
        <v>34.02</v>
      </c>
      <c r="AC35" s="125" t="n">
        <v>33.2439836939921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34.5481</v>
      </c>
      <c r="H36" s="118" t="n">
        <v>600</v>
      </c>
      <c r="I36" s="119" t="n">
        <v>599</v>
      </c>
      <c r="J36" s="132"/>
      <c r="K36" s="133"/>
      <c r="L36" s="133"/>
      <c r="M36" s="133"/>
      <c r="N36" s="134"/>
      <c r="O36" s="133"/>
      <c r="P36" s="132" t="n">
        <v>3.208</v>
      </c>
      <c r="Q36" s="132"/>
      <c r="R36" s="132"/>
      <c r="S36" s="135" t="n">
        <v>139.5</v>
      </c>
      <c r="T36" s="125" t="n">
        <v>0.01</v>
      </c>
      <c r="U36" s="125" t="n">
        <v>0.00977189408994478</v>
      </c>
      <c r="X36" s="125" t="n">
        <v>34.28</v>
      </c>
      <c r="Y36" s="125" t="n">
        <v>33.4980529403307</v>
      </c>
      <c r="Z36" s="181" t="n">
        <v>2.183</v>
      </c>
      <c r="AA36" s="124" t="n">
        <v>2.13320447983494</v>
      </c>
      <c r="AB36" s="125" t="n">
        <v>24.37</v>
      </c>
      <c r="AC36" s="125" t="n">
        <v>23.8141058971954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8"/>
      <c r="G37" s="117" t="n">
        <v>35.088</v>
      </c>
      <c r="H37" s="131" t="n">
        <v>300</v>
      </c>
      <c r="I37" s="119" t="n">
        <v>299</v>
      </c>
      <c r="J37" s="132"/>
      <c r="K37" s="133"/>
      <c r="L37" s="133"/>
      <c r="M37" s="133"/>
      <c r="N37" s="134"/>
      <c r="O37" s="133"/>
      <c r="P37" s="132" t="n">
        <v>1.726</v>
      </c>
      <c r="Q37" s="132"/>
      <c r="R37" s="132"/>
      <c r="S37" s="135" t="n">
        <v>75.1</v>
      </c>
      <c r="T37" s="125" t="n">
        <v>0.008</v>
      </c>
      <c r="U37" s="125" t="n">
        <v>0.00781751527195582</v>
      </c>
      <c r="X37" s="125" t="n">
        <v>30.312</v>
      </c>
      <c r="Y37" s="125" t="n">
        <v>29.6205653654406</v>
      </c>
      <c r="Z37" s="181" t="n">
        <v>1.853</v>
      </c>
      <c r="AA37" s="124" t="n">
        <v>1.81073197486677</v>
      </c>
      <c r="AB37" s="125" t="n">
        <v>12.96</v>
      </c>
      <c r="AC37" s="125" t="n">
        <v>12.6643747405684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40"/>
      <c r="G38" s="117" t="n">
        <v>35.8712</v>
      </c>
      <c r="H38" s="131" t="n">
        <v>100</v>
      </c>
      <c r="I38" s="119" t="n">
        <v>99</v>
      </c>
      <c r="J38" s="132"/>
      <c r="K38" s="133"/>
      <c r="L38" s="133"/>
      <c r="M38" s="133"/>
      <c r="N38" s="134"/>
      <c r="O38" s="133"/>
      <c r="P38" s="132" t="n">
        <v>3.202</v>
      </c>
      <c r="Q38" s="132"/>
      <c r="R38" s="132"/>
      <c r="S38" s="135" t="n">
        <v>139.3</v>
      </c>
      <c r="T38" s="125" t="n">
        <v>0.043</v>
      </c>
      <c r="U38" s="125" t="n">
        <v>0.0420191445867625</v>
      </c>
      <c r="X38" s="125" t="n">
        <v>16.147</v>
      </c>
      <c r="Y38" s="125" t="n">
        <v>15.7786773870338</v>
      </c>
      <c r="Z38" s="181" t="n">
        <v>1.09</v>
      </c>
      <c r="AA38" s="124" t="n">
        <v>1.06513645580398</v>
      </c>
      <c r="AB38" s="125" t="n">
        <v>6.18</v>
      </c>
      <c r="AC38" s="125" t="n">
        <v>6.03903054758587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8"/>
      <c r="G39" s="117" t="n">
        <v>35.873</v>
      </c>
      <c r="H39" s="131" t="n">
        <v>80</v>
      </c>
      <c r="I39" s="119" t="n">
        <v>77.6</v>
      </c>
      <c r="J39" s="132"/>
      <c r="K39" s="133"/>
      <c r="L39" s="133"/>
      <c r="M39" s="133"/>
      <c r="N39" s="134"/>
      <c r="O39" s="133"/>
      <c r="P39" s="132" t="n">
        <v>3.187</v>
      </c>
      <c r="Q39" s="132"/>
      <c r="R39" s="132"/>
      <c r="S39" s="135" t="n">
        <v>138.7</v>
      </c>
      <c r="T39" s="182" t="n">
        <v>0.104</v>
      </c>
      <c r="U39" s="182" t="n">
        <v>0.101627698535426</v>
      </c>
      <c r="X39" s="182" t="n">
        <v>13.396</v>
      </c>
      <c r="Y39" s="182" t="n">
        <v>13.09042932289</v>
      </c>
      <c r="Z39" s="183" t="n">
        <v>0.948</v>
      </c>
      <c r="AA39" s="184" t="n">
        <v>0.926375559726765</v>
      </c>
      <c r="AB39" s="182" t="n">
        <v>4.7</v>
      </c>
      <c r="AC39" s="182" t="n">
        <v>4.59279022227404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8"/>
      <c r="G40" s="117" t="n">
        <v>35.8731</v>
      </c>
      <c r="H40" s="131" t="n">
        <v>80</v>
      </c>
      <c r="I40" s="119" t="n">
        <v>77.6</v>
      </c>
      <c r="J40" s="132"/>
      <c r="K40" s="133"/>
      <c r="L40" s="133"/>
      <c r="M40" s="133"/>
      <c r="N40" s="134"/>
      <c r="O40" s="133"/>
      <c r="P40" s="132" t="n">
        <v>3.199</v>
      </c>
      <c r="Q40" s="132"/>
      <c r="R40" s="132"/>
      <c r="S40" s="135" t="n">
        <v>139.3</v>
      </c>
      <c r="T40" s="182" t="n">
        <v>0.095</v>
      </c>
      <c r="U40" s="182" t="n">
        <v>0.0928329938544754</v>
      </c>
      <c r="X40" s="182" t="n">
        <v>13.405</v>
      </c>
      <c r="Y40" s="182" t="n">
        <v>13.099224027571</v>
      </c>
      <c r="Z40" s="183" t="n">
        <v>0.949</v>
      </c>
      <c r="AA40" s="184" t="n">
        <v>0.927352749135759</v>
      </c>
      <c r="AB40" s="182" t="n">
        <v>4.62</v>
      </c>
      <c r="AC40" s="182" t="n">
        <v>4.51461506955449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8"/>
      <c r="G41" s="117" t="n">
        <v>36.0421</v>
      </c>
      <c r="H41" s="118" t="n">
        <v>60</v>
      </c>
      <c r="I41" s="119" t="n">
        <v>60</v>
      </c>
      <c r="J41" s="132"/>
      <c r="K41" s="133"/>
      <c r="L41" s="133"/>
      <c r="M41" s="133"/>
      <c r="N41" s="134"/>
      <c r="O41" s="133"/>
      <c r="P41" s="132" t="n">
        <v>3.244</v>
      </c>
      <c r="Q41" s="132"/>
      <c r="R41" s="132"/>
      <c r="S41" s="135" t="n">
        <v>141.3</v>
      </c>
      <c r="T41" s="125" t="n">
        <v>0.559</v>
      </c>
      <c r="U41" s="125" t="n">
        <v>0.546248879627913</v>
      </c>
      <c r="X41" s="125" t="n">
        <v>10.081</v>
      </c>
      <c r="Y41" s="125" t="n">
        <v>9.85104643207333</v>
      </c>
      <c r="Z41" s="181" t="n">
        <v>0.781</v>
      </c>
      <c r="AA41" s="124" t="n">
        <v>0.763184928424687</v>
      </c>
      <c r="AB41" s="125" t="n">
        <v>3.46</v>
      </c>
      <c r="AC41" s="125" t="n">
        <v>3.38107535512089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6.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8"/>
      <c r="G42" s="117" t="n">
        <v>36.0801</v>
      </c>
      <c r="H42" s="131" t="n">
        <v>40</v>
      </c>
      <c r="I42" s="119" t="n">
        <v>38.8</v>
      </c>
      <c r="J42" s="132"/>
      <c r="K42" s="133"/>
      <c r="L42" s="133"/>
      <c r="M42" s="133"/>
      <c r="N42" s="134"/>
      <c r="O42" s="133"/>
      <c r="P42" s="132" t="n">
        <v>4.497</v>
      </c>
      <c r="Q42" s="132"/>
      <c r="R42" s="132"/>
      <c r="S42" s="135" t="n">
        <v>196.1</v>
      </c>
      <c r="T42" s="125" t="n">
        <v>0.129</v>
      </c>
      <c r="U42" s="125" t="n">
        <v>0.126057433760288</v>
      </c>
      <c r="X42" s="125" t="n">
        <v>1.491</v>
      </c>
      <c r="Y42" s="125" t="n">
        <v>1.45698940881077</v>
      </c>
      <c r="Z42" s="181" t="n">
        <v>0.215</v>
      </c>
      <c r="AA42" s="124" t="n">
        <v>0.210095722933813</v>
      </c>
      <c r="AB42" s="125" t="n">
        <v>1.35</v>
      </c>
      <c r="AC42" s="125" t="n">
        <v>1.31920570214254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8"/>
      <c r="G43" s="117" t="n">
        <v>35.815</v>
      </c>
      <c r="H43" s="118" t="n">
        <v>20</v>
      </c>
      <c r="I43" s="119" t="n">
        <v>19.3</v>
      </c>
      <c r="J43" s="132"/>
      <c r="K43" s="133"/>
      <c r="L43" s="133"/>
      <c r="M43" s="133"/>
      <c r="N43" s="134"/>
      <c r="O43" s="133"/>
      <c r="P43" s="132" t="n">
        <v>4.733</v>
      </c>
      <c r="Q43" s="132"/>
      <c r="R43" s="132"/>
      <c r="S43" s="135" t="n">
        <v>206.4</v>
      </c>
      <c r="T43" s="125" t="n">
        <v>0.033</v>
      </c>
      <c r="U43" s="125" t="n">
        <v>0.0322472504968178</v>
      </c>
      <c r="X43" s="125" t="n">
        <v>0.317</v>
      </c>
      <c r="Y43" s="125" t="n">
        <v>0.309769042651249</v>
      </c>
      <c r="Z43" s="181" t="n">
        <v>0.101</v>
      </c>
      <c r="AA43" s="124" t="n">
        <v>0.0986961303084422</v>
      </c>
      <c r="AB43" s="125" t="n">
        <v>1.05</v>
      </c>
      <c r="AC43" s="125" t="n">
        <v>1.0260488794442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8"/>
      <c r="G44" s="117" t="n">
        <v>35.7434</v>
      </c>
      <c r="H44" s="131" t="n">
        <v>10</v>
      </c>
      <c r="I44" s="119" t="n">
        <v>9</v>
      </c>
      <c r="J44" s="132"/>
      <c r="K44" s="133"/>
      <c r="L44" s="133"/>
      <c r="M44" s="133"/>
      <c r="N44" s="134"/>
      <c r="O44" s="133"/>
      <c r="P44" s="132" t="n">
        <v>4.771</v>
      </c>
      <c r="Q44" s="132"/>
      <c r="R44" s="132"/>
      <c r="S44" s="135" t="n">
        <v>208.1</v>
      </c>
      <c r="T44" s="125" t="n">
        <v>0.013</v>
      </c>
      <c r="U44" s="125" t="n">
        <v>0.0127034623169282</v>
      </c>
      <c r="X44" s="125" t="n">
        <v>0.107</v>
      </c>
      <c r="Y44" s="125" t="n">
        <v>0.104559266762409</v>
      </c>
      <c r="Z44" s="181" t="n">
        <v>0.07</v>
      </c>
      <c r="AA44" s="124" t="n">
        <v>0.0684032586296134</v>
      </c>
      <c r="AB44" s="125" t="n">
        <v>0.85</v>
      </c>
      <c r="AC44" s="125" t="n">
        <v>0.830610997645306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8"/>
      <c r="G45" s="117" t="n">
        <v>35.738</v>
      </c>
      <c r="H45" s="131" t="n">
        <v>0</v>
      </c>
      <c r="I45" s="119" t="n">
        <v>0.3</v>
      </c>
      <c r="J45" s="132"/>
      <c r="K45" s="133"/>
      <c r="L45" s="133"/>
      <c r="M45" s="133"/>
      <c r="N45" s="134"/>
      <c r="O45" s="133"/>
      <c r="P45" s="132"/>
      <c r="Q45" s="132"/>
      <c r="R45" s="132"/>
      <c r="S45" s="143"/>
      <c r="T45" s="125" t="n">
        <v>0.009</v>
      </c>
      <c r="U45" s="125" t="n">
        <v>0.0087947046809503</v>
      </c>
      <c r="X45" s="125" t="n">
        <v>0.081</v>
      </c>
      <c r="Y45" s="125" t="n">
        <v>0.0791523421285527</v>
      </c>
      <c r="Z45" s="181" t="n">
        <v>0.083</v>
      </c>
      <c r="AA45" s="124" t="n">
        <v>0.0811067209465416</v>
      </c>
      <c r="AB45" s="125" t="n">
        <v>0.82</v>
      </c>
      <c r="AC45" s="125" t="n">
        <v>0.801295315375472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6"/>
      <c r="U46" s="136"/>
      <c r="V46" s="136"/>
      <c r="W46" s="136"/>
      <c r="X46" s="177"/>
      <c r="Y46" s="177"/>
      <c r="Z46" s="136"/>
      <c r="AA46" s="136"/>
      <c r="AB46" s="177"/>
      <c r="AC46" s="177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3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6"/>
      <c r="U47" s="136"/>
      <c r="V47" s="136"/>
      <c r="W47" s="136"/>
      <c r="X47" s="177"/>
      <c r="Y47" s="177"/>
      <c r="Z47" s="136"/>
      <c r="AA47" s="136"/>
      <c r="AB47" s="177"/>
      <c r="AC47" s="177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3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6"/>
      <c r="U48" s="136"/>
      <c r="V48" s="136"/>
      <c r="W48" s="136"/>
      <c r="X48" s="177"/>
      <c r="Y48" s="177"/>
      <c r="Z48" s="136"/>
      <c r="AA48" s="136"/>
      <c r="AB48" s="177"/>
      <c r="AC48" s="177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77"/>
      <c r="Y50" s="177"/>
      <c r="Z50" s="136"/>
      <c r="AA50" s="136"/>
      <c r="AB50" s="177"/>
      <c r="AC50" s="177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77"/>
      <c r="Y52" s="177"/>
      <c r="Z52" s="136"/>
      <c r="AA52" s="136"/>
      <c r="AB52" s="177"/>
      <c r="AC52" s="177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77"/>
      <c r="Y53" s="177"/>
      <c r="Z53" s="136"/>
      <c r="AA53" s="136"/>
      <c r="AB53" s="177"/>
      <c r="AC53" s="177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77"/>
      <c r="Y54" s="177"/>
      <c r="Z54" s="136"/>
      <c r="AA54" s="136"/>
      <c r="AB54" s="177"/>
      <c r="AC54" s="177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77"/>
      <c r="Y55" s="177"/>
      <c r="Z55" s="136"/>
      <c r="AA55" s="136"/>
      <c r="AB55" s="177"/>
      <c r="AC55" s="177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77"/>
      <c r="Y57" s="177"/>
      <c r="Z57" s="136"/>
      <c r="AA57" s="136"/>
      <c r="AB57" s="177"/>
      <c r="AC57" s="177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8"/>
      <c r="Y58" s="178"/>
      <c r="Z58" s="170"/>
      <c r="AA58" s="170"/>
      <c r="AB58" s="178"/>
      <c r="AC58" s="178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C4" activeCellId="1" sqref="U45 AC4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  <col collapsed="false" customWidth="false" hidden="false" outlineLevel="0" max="25" min="24" style="172" width="9.14"/>
    <col collapsed="false" customWidth="false" hidden="false" outlineLevel="0" max="29" min="28" style="172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30.84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-1°30,84</v>
      </c>
      <c r="P9" s="29" t="s">
        <v>16</v>
      </c>
      <c r="Q9" s="33" t="n">
        <f aca="false">IF(ISBLANK(I9),"",IF(ISBLANK(J9),"",IF(J9&gt;60,"ERREUR !!",O11*(I9+(J9/60)))))</f>
        <v>-1.514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9</v>
      </c>
      <c r="J10" s="29" t="n">
        <v>59.98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-9°59,98</v>
      </c>
      <c r="P10" s="29" t="s">
        <v>17</v>
      </c>
      <c r="Q10" s="33" t="n">
        <f aca="false">IF(ISBLANK(I10),"",IF(ISBLANK(J10),"",IF(J10&gt;60,"ERREUR !!",O12*(I10+(J10/60)))))</f>
        <v>-9.99966666666667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37581</v>
      </c>
      <c r="K11" s="38"/>
      <c r="L11" s="38"/>
      <c r="M11" s="38"/>
      <c r="N11" s="39" t="str">
        <f aca="false">I9&amp;"°"&amp;J9</f>
        <v>1°30,84</v>
      </c>
      <c r="O11" s="40" t="n">
        <f aca="false">IF(P9=M10,-1,1)</f>
        <v>-1</v>
      </c>
      <c r="P11" s="41" t="str">
        <f aca="false">TEXT(J11,"aaaa-mm-jj")&amp;"T"&amp;TEXT(J12,"hh:mm:ss")&amp;"z"</f>
        <v>2006-11-22T01:00:00z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0.0416666666666667</v>
      </c>
      <c r="K12" s="45"/>
      <c r="L12" s="45"/>
      <c r="M12" s="45"/>
      <c r="N12" s="46" t="str">
        <f aca="false">I10&amp;"°"&amp;J10</f>
        <v>9°59,98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179" t="s">
        <v>70</v>
      </c>
      <c r="Y31" s="179"/>
      <c r="Z31" s="89" t="s">
        <v>71</v>
      </c>
      <c r="AA31" s="89"/>
      <c r="AB31" s="180" t="s">
        <v>72</v>
      </c>
      <c r="AC31" s="18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179"/>
      <c r="Y32" s="179"/>
      <c r="Z32" s="89"/>
      <c r="AA32" s="89"/>
      <c r="AB32" s="180"/>
      <c r="AC32" s="18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73" t="s">
        <v>109</v>
      </c>
      <c r="Y33" s="173" t="s">
        <v>110</v>
      </c>
      <c r="Z33" s="100" t="s">
        <v>111</v>
      </c>
      <c r="AA33" s="100" t="s">
        <v>112</v>
      </c>
      <c r="AB33" s="173" t="s">
        <v>113</v>
      </c>
      <c r="AC33" s="174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75" t="s">
        <v>142</v>
      </c>
      <c r="Y34" s="175" t="s">
        <v>143</v>
      </c>
      <c r="Z34" s="108" t="s">
        <v>142</v>
      </c>
      <c r="AA34" s="108" t="s">
        <v>143</v>
      </c>
      <c r="AB34" s="175" t="s">
        <v>142</v>
      </c>
      <c r="AC34" s="176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34.6106</v>
      </c>
      <c r="H35" s="118" t="n">
        <v>1000</v>
      </c>
      <c r="I35" s="119" t="n">
        <v>1010</v>
      </c>
      <c r="J35" s="120"/>
      <c r="K35" s="121"/>
      <c r="L35" s="121"/>
      <c r="M35" s="121"/>
      <c r="N35" s="122"/>
      <c r="O35" s="121"/>
      <c r="P35" s="120" t="n">
        <v>3.608</v>
      </c>
      <c r="Q35" s="120"/>
      <c r="R35" s="120"/>
      <c r="S35" s="123" t="n">
        <v>156.9</v>
      </c>
      <c r="T35" s="124" t="n">
        <v>0</v>
      </c>
      <c r="U35" s="124" t="n">
        <v>0</v>
      </c>
      <c r="X35" s="125" t="n">
        <v>0.13</v>
      </c>
      <c r="Y35" s="125" t="n">
        <v>0.127034623169282</v>
      </c>
      <c r="Z35" s="124" t="n">
        <v>0.065</v>
      </c>
      <c r="AA35" s="124" t="n">
        <v>0.063517311584641</v>
      </c>
      <c r="AB35" s="125" t="n">
        <v>0.57</v>
      </c>
      <c r="AC35" s="125" t="n">
        <v>0.556997963126852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34.5482</v>
      </c>
      <c r="H36" s="118" t="n">
        <v>600</v>
      </c>
      <c r="I36" s="119" t="n">
        <v>599</v>
      </c>
      <c r="J36" s="132"/>
      <c r="K36" s="133"/>
      <c r="L36" s="133"/>
      <c r="M36" s="133"/>
      <c r="N36" s="134"/>
      <c r="O36" s="133"/>
      <c r="P36" s="132" t="n">
        <v>3.183</v>
      </c>
      <c r="Q36" s="132"/>
      <c r="R36" s="132"/>
      <c r="S36" s="135" t="n">
        <v>138.4</v>
      </c>
      <c r="T36" s="124" t="n">
        <v>0.022</v>
      </c>
      <c r="U36" s="124" t="n">
        <v>0.0214981669978785</v>
      </c>
      <c r="X36" s="125" t="n">
        <v>0.108</v>
      </c>
      <c r="Y36" s="125" t="n">
        <v>0.105536456171404</v>
      </c>
      <c r="Z36" s="124" t="n">
        <v>0.061</v>
      </c>
      <c r="AA36" s="124" t="n">
        <v>0.0596085539486631</v>
      </c>
      <c r="AB36" s="125" t="n">
        <v>0.71</v>
      </c>
      <c r="AC36" s="125" t="n">
        <v>0.693804480386079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8"/>
      <c r="G37" s="117" t="n">
        <v>35.1098</v>
      </c>
      <c r="H37" s="131" t="n">
        <v>300</v>
      </c>
      <c r="I37" s="119" t="n">
        <v>299</v>
      </c>
      <c r="J37" s="132"/>
      <c r="K37" s="133"/>
      <c r="L37" s="133"/>
      <c r="M37" s="133"/>
      <c r="N37" s="134"/>
      <c r="O37" s="133"/>
      <c r="P37" s="132" t="n">
        <v>1.57</v>
      </c>
      <c r="Q37" s="132"/>
      <c r="R37" s="132"/>
      <c r="S37" s="135" t="n">
        <v>68.3</v>
      </c>
      <c r="T37" s="124" t="n">
        <v>0.026</v>
      </c>
      <c r="U37" s="124" t="n">
        <v>0.0254069246338564</v>
      </c>
      <c r="X37" s="125" t="n">
        <v>0.104</v>
      </c>
      <c r="Y37" s="125" t="n">
        <v>0.101627698535426</v>
      </c>
      <c r="Z37" s="124" t="n">
        <v>0.061</v>
      </c>
      <c r="AA37" s="124" t="n">
        <v>0.0596085539486631</v>
      </c>
      <c r="AB37" s="125" t="n">
        <v>0.77</v>
      </c>
      <c r="AC37" s="125" t="n">
        <v>0.752435844925748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40"/>
      <c r="G38" s="117" t="n">
        <v>35.47</v>
      </c>
      <c r="H38" s="131" t="n">
        <v>100</v>
      </c>
      <c r="I38" s="119" t="n">
        <v>99</v>
      </c>
      <c r="J38" s="132"/>
      <c r="K38" s="133"/>
      <c r="L38" s="133"/>
      <c r="M38" s="133"/>
      <c r="N38" s="134"/>
      <c r="O38" s="133"/>
      <c r="P38" s="132" t="n">
        <v>3.137</v>
      </c>
      <c r="Q38" s="132"/>
      <c r="R38" s="132"/>
      <c r="S38" s="135" t="n">
        <v>136.5</v>
      </c>
      <c r="T38" s="124" t="n">
        <v>0.15</v>
      </c>
      <c r="U38" s="124" t="n">
        <v>0.146578411349172</v>
      </c>
      <c r="X38" s="125" t="n">
        <v>1.64</v>
      </c>
      <c r="Y38" s="125" t="n">
        <v>1.60259063075094</v>
      </c>
      <c r="Z38" s="124" t="n">
        <v>0.214</v>
      </c>
      <c r="AA38" s="124" t="n">
        <v>0.209118533524818</v>
      </c>
      <c r="AB38" s="125" t="n">
        <v>1.42</v>
      </c>
      <c r="AC38" s="125" t="n">
        <v>1.38760896077216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6.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8"/>
      <c r="G39" s="117" t="n">
        <v>35.5838</v>
      </c>
      <c r="H39" s="131" t="n">
        <v>80</v>
      </c>
      <c r="I39" s="119" t="n">
        <v>79</v>
      </c>
      <c r="J39" s="132"/>
      <c r="K39" s="133"/>
      <c r="L39" s="133"/>
      <c r="M39" s="133"/>
      <c r="N39" s="134"/>
      <c r="O39" s="133"/>
      <c r="P39" s="132" t="n">
        <v>2.336</v>
      </c>
      <c r="Q39" s="132"/>
      <c r="R39" s="132"/>
      <c r="S39" s="135" t="n">
        <v>101.7</v>
      </c>
      <c r="T39" s="185" t="n">
        <v>0.7255</v>
      </c>
      <c r="U39" s="185" t="n">
        <v>0.708950916225493</v>
      </c>
      <c r="X39" s="186" t="n">
        <v>14.8645</v>
      </c>
      <c r="Y39" s="186" t="n">
        <v>14.5254319699984</v>
      </c>
      <c r="Z39" s="185" t="n">
        <v>1.0645</v>
      </c>
      <c r="AA39" s="185" t="n">
        <v>1.04021812587462</v>
      </c>
      <c r="AB39" s="186" t="n">
        <v>4.885</v>
      </c>
      <c r="AC39" s="186" t="n">
        <v>4.77357026293802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8"/>
      <c r="G40" s="117" t="n">
        <v>35.7821</v>
      </c>
      <c r="H40" s="118" t="n">
        <v>60</v>
      </c>
      <c r="I40" s="119" t="n">
        <v>60.8</v>
      </c>
      <c r="J40" s="132"/>
      <c r="K40" s="133"/>
      <c r="L40" s="133"/>
      <c r="M40" s="133"/>
      <c r="N40" s="134"/>
      <c r="O40" s="133"/>
      <c r="P40" s="132" t="n">
        <v>2.755</v>
      </c>
      <c r="Q40" s="132"/>
      <c r="R40" s="132"/>
      <c r="S40" s="135" t="n">
        <v>120</v>
      </c>
      <c r="T40" s="185" t="n">
        <v>0.663</v>
      </c>
      <c r="U40" s="185" t="n">
        <v>0.647876578163339</v>
      </c>
      <c r="X40" s="186" t="n">
        <v>15.077</v>
      </c>
      <c r="Y40" s="186" t="n">
        <v>14.7330847194097</v>
      </c>
      <c r="Z40" s="185" t="n">
        <v>1.082</v>
      </c>
      <c r="AA40" s="185" t="n">
        <v>1.05731894053202</v>
      </c>
      <c r="AB40" s="186" t="n">
        <v>4.94</v>
      </c>
      <c r="AC40" s="186" t="n">
        <v>4.82731568043272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8"/>
      <c r="G41" s="117" t="n">
        <v>35.7874</v>
      </c>
      <c r="H41" s="118" t="n">
        <v>60</v>
      </c>
      <c r="I41" s="119" t="n">
        <v>60.3</v>
      </c>
      <c r="J41" s="132"/>
      <c r="K41" s="133"/>
      <c r="L41" s="133"/>
      <c r="M41" s="133"/>
      <c r="N41" s="134"/>
      <c r="O41" s="133"/>
      <c r="P41" s="132" t="n">
        <v>2.769</v>
      </c>
      <c r="Q41" s="132"/>
      <c r="R41" s="132"/>
      <c r="S41" s="135" t="n">
        <v>120.6</v>
      </c>
      <c r="T41" s="124" t="n">
        <v>0.065</v>
      </c>
      <c r="U41" s="124" t="n">
        <v>0.063517311584641</v>
      </c>
      <c r="X41" s="125" t="n">
        <v>20.555</v>
      </c>
      <c r="Y41" s="125" t="n">
        <v>20.0861283018815</v>
      </c>
      <c r="Z41" s="124" t="n">
        <v>1.338</v>
      </c>
      <c r="AA41" s="124" t="n">
        <v>1.30747942923461</v>
      </c>
      <c r="AB41" s="125" t="n">
        <v>6.92</v>
      </c>
      <c r="AC41" s="125" t="n">
        <v>6.76215071024178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6.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8"/>
      <c r="G42" s="117" t="n">
        <v>35.9785</v>
      </c>
      <c r="H42" s="131" t="n">
        <v>40</v>
      </c>
      <c r="I42" s="119" t="n">
        <v>40</v>
      </c>
      <c r="J42" s="132"/>
      <c r="K42" s="133"/>
      <c r="L42" s="133"/>
      <c r="M42" s="133"/>
      <c r="N42" s="134"/>
      <c r="O42" s="133"/>
      <c r="P42" s="132" t="n">
        <v>4.517</v>
      </c>
      <c r="Q42" s="132"/>
      <c r="R42" s="132"/>
      <c r="S42" s="135" t="n">
        <v>196.9</v>
      </c>
      <c r="T42" s="124" t="n">
        <v>0.021</v>
      </c>
      <c r="U42" s="124" t="n">
        <v>0.020520977588884</v>
      </c>
      <c r="X42" s="125" t="n">
        <v>18.059</v>
      </c>
      <c r="Y42" s="125" t="n">
        <v>17.6470635370313</v>
      </c>
      <c r="Z42" s="124" t="n">
        <v>1.224</v>
      </c>
      <c r="AA42" s="124" t="n">
        <v>1.19607983660924</v>
      </c>
      <c r="AB42" s="125" t="n">
        <v>7.23</v>
      </c>
      <c r="AC42" s="125" t="n">
        <v>7.06507942703007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8"/>
      <c r="G43" s="117" t="n">
        <v>35.7674</v>
      </c>
      <c r="H43" s="118" t="n">
        <v>20</v>
      </c>
      <c r="I43" s="119" t="n">
        <v>20</v>
      </c>
      <c r="J43" s="132"/>
      <c r="K43" s="133"/>
      <c r="L43" s="133"/>
      <c r="M43" s="133"/>
      <c r="N43" s="134"/>
      <c r="O43" s="133"/>
      <c r="P43" s="132" t="n">
        <v>4.754</v>
      </c>
      <c r="Q43" s="132"/>
      <c r="R43" s="132"/>
      <c r="S43" s="135" t="n">
        <v>207.4</v>
      </c>
      <c r="T43" s="124" t="n">
        <v>0.012</v>
      </c>
      <c r="U43" s="124" t="n">
        <v>0.0117262729079337</v>
      </c>
      <c r="X43" s="125" t="n">
        <v>30.998</v>
      </c>
      <c r="Y43" s="125" t="n">
        <v>30.2909173000108</v>
      </c>
      <c r="Z43" s="124" t="n">
        <v>1.901</v>
      </c>
      <c r="AA43" s="124" t="n">
        <v>1.8576370664985</v>
      </c>
      <c r="AB43" s="125" t="n">
        <v>13.28</v>
      </c>
      <c r="AC43" s="125" t="n">
        <v>12.9770753514467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8"/>
      <c r="G44" s="117" t="n">
        <v>35.7562</v>
      </c>
      <c r="H44" s="131" t="n">
        <v>10</v>
      </c>
      <c r="I44" s="119" t="n">
        <v>10</v>
      </c>
      <c r="J44" s="132"/>
      <c r="K44" s="133"/>
      <c r="L44" s="133"/>
      <c r="M44" s="133"/>
      <c r="N44" s="134"/>
      <c r="O44" s="133"/>
      <c r="P44" s="132" t="n">
        <v>4.794</v>
      </c>
      <c r="Q44" s="132"/>
      <c r="R44" s="132"/>
      <c r="S44" s="135" t="n">
        <v>209.2</v>
      </c>
      <c r="T44" s="124" t="n">
        <v>0.029</v>
      </c>
      <c r="U44" s="124" t="n">
        <v>0.0283384928608398</v>
      </c>
      <c r="X44" s="125" t="n">
        <v>34.611</v>
      </c>
      <c r="Y44" s="125" t="n">
        <v>33.8215026347079</v>
      </c>
      <c r="Z44" s="124" t="n">
        <v>2.204</v>
      </c>
      <c r="AA44" s="124" t="n">
        <v>2.15372545742383</v>
      </c>
      <c r="AB44" s="125" t="n">
        <v>24.69</v>
      </c>
      <c r="AC44" s="125" t="n">
        <v>24.1268065080736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8"/>
      <c r="G45" s="117" t="n">
        <v>35.7569</v>
      </c>
      <c r="H45" s="131" t="n">
        <v>0</v>
      </c>
      <c r="I45" s="119" t="n">
        <v>1</v>
      </c>
      <c r="J45" s="132"/>
      <c r="K45" s="133"/>
      <c r="L45" s="133"/>
      <c r="M45" s="133"/>
      <c r="N45" s="134"/>
      <c r="O45" s="133"/>
      <c r="P45" s="132" t="n">
        <v>4.757</v>
      </c>
      <c r="Q45" s="132"/>
      <c r="R45" s="132"/>
      <c r="S45" s="143" t="n">
        <v>207.5</v>
      </c>
      <c r="T45" s="124" t="n">
        <v>0.018</v>
      </c>
      <c r="U45" s="124" t="n">
        <v>0.0175894093619006</v>
      </c>
      <c r="X45" s="125" t="n">
        <v>34.422</v>
      </c>
      <c r="Y45" s="125" t="n">
        <v>33.6368138364079</v>
      </c>
      <c r="Z45" s="124" t="n">
        <v>2.259</v>
      </c>
      <c r="AA45" s="124" t="n">
        <v>2.20747087491852</v>
      </c>
      <c r="AB45" s="125" t="n">
        <v>33.75</v>
      </c>
      <c r="AC45" s="125" t="n">
        <v>32.9801425535636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6"/>
      <c r="U46" s="136"/>
      <c r="V46" s="136"/>
      <c r="W46" s="136"/>
      <c r="X46" s="177"/>
      <c r="Y46" s="177"/>
      <c r="Z46" s="136"/>
      <c r="AA46" s="136"/>
      <c r="AB46" s="177"/>
      <c r="AC46" s="177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3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6"/>
      <c r="U47" s="136"/>
      <c r="V47" s="136"/>
      <c r="W47" s="136"/>
      <c r="X47" s="177"/>
      <c r="Y47" s="177"/>
      <c r="Z47" s="136"/>
      <c r="AA47" s="136"/>
      <c r="AB47" s="177"/>
      <c r="AC47" s="177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3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6"/>
      <c r="U48" s="136"/>
      <c r="V48" s="177"/>
      <c r="W48" s="136"/>
      <c r="X48" s="177"/>
      <c r="Y48" s="177"/>
      <c r="Z48" s="136"/>
      <c r="AA48" s="136"/>
      <c r="AB48" s="177"/>
      <c r="AC48" s="177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77"/>
      <c r="Y50" s="177"/>
      <c r="Z50" s="136"/>
      <c r="AA50" s="136"/>
      <c r="AB50" s="177"/>
      <c r="AC50" s="177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77"/>
      <c r="Y52" s="177"/>
      <c r="Z52" s="136"/>
      <c r="AA52" s="136"/>
      <c r="AB52" s="177"/>
      <c r="AC52" s="177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77"/>
      <c r="Y53" s="177"/>
      <c r="Z53" s="136"/>
      <c r="AA53" s="136"/>
      <c r="AB53" s="177"/>
      <c r="AC53" s="177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77"/>
      <c r="Y54" s="177"/>
      <c r="Z54" s="136"/>
      <c r="AA54" s="136"/>
      <c r="AB54" s="177"/>
      <c r="AC54" s="177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77"/>
      <c r="Y55" s="177"/>
      <c r="Z55" s="136"/>
      <c r="AA55" s="136"/>
      <c r="AB55" s="177"/>
      <c r="AC55" s="177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77"/>
      <c r="Y57" s="177"/>
      <c r="Z57" s="136"/>
      <c r="AA57" s="136"/>
      <c r="AB57" s="177"/>
      <c r="AC57" s="177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8"/>
      <c r="Y58" s="178"/>
      <c r="Z58" s="170"/>
      <c r="AA58" s="170"/>
      <c r="AB58" s="178"/>
      <c r="AC58" s="178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C10" activeCellId="1" sqref="U45 AC10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  <col collapsed="false" customWidth="false" hidden="false" outlineLevel="0" max="25" min="24" style="172" width="9.14"/>
    <col collapsed="false" customWidth="false" hidden="false" outlineLevel="0" max="29" min="28" style="172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2</v>
      </c>
      <c r="J9" s="29" t="n">
        <v>0.16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-2°0,16</v>
      </c>
      <c r="P9" s="29" t="s">
        <v>16</v>
      </c>
      <c r="Q9" s="33" t="n">
        <f aca="false">IF(ISBLANK(I9),"",IF(ISBLANK(J9),"",IF(J9&gt;60,"ERREUR !!",O11*(I9+(J9/60)))))</f>
        <v>-2.00266666666667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0.09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-10°0,09</v>
      </c>
      <c r="P10" s="29" t="s">
        <v>17</v>
      </c>
      <c r="Q10" s="33" t="n">
        <f aca="false">IF(ISBLANK(I10),"",IF(ISBLANK(J10),"",IF(J10&gt;60,"ERREUR !!",O12*(I10+(J10/60)))))</f>
        <v>-10.0015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37581</v>
      </c>
      <c r="K11" s="38"/>
      <c r="L11" s="38"/>
      <c r="M11" s="38"/>
      <c r="N11" s="39" t="str">
        <f aca="false">I9&amp;"°"&amp;J9</f>
        <v>2°0,16</v>
      </c>
      <c r="O11" s="40" t="n">
        <f aca="false">IF(P9=M10,-1,1)</f>
        <v>-1</v>
      </c>
      <c r="P11" s="41" t="str">
        <f aca="false">TEXT(J11,"aaaa-mm-jj")&amp;"T"&amp;TEXT(J12,"hh:mm:ss")&amp;"z"</f>
        <v>2006-11-22T06:00:00z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0.25</v>
      </c>
      <c r="K12" s="45"/>
      <c r="L12" s="45"/>
      <c r="M12" s="45"/>
      <c r="N12" s="46" t="str">
        <f aca="false">I10&amp;"°"&amp;J10</f>
        <v>10°0,09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179" t="s">
        <v>70</v>
      </c>
      <c r="Y31" s="179"/>
      <c r="Z31" s="89" t="s">
        <v>71</v>
      </c>
      <c r="AA31" s="89"/>
      <c r="AB31" s="180" t="s">
        <v>72</v>
      </c>
      <c r="AC31" s="18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179"/>
      <c r="Y32" s="179"/>
      <c r="Z32" s="89"/>
      <c r="AA32" s="89"/>
      <c r="AB32" s="180"/>
      <c r="AC32" s="18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73" t="s">
        <v>109</v>
      </c>
      <c r="Y33" s="173" t="s">
        <v>110</v>
      </c>
      <c r="Z33" s="100" t="s">
        <v>111</v>
      </c>
      <c r="AA33" s="100" t="s">
        <v>112</v>
      </c>
      <c r="AB33" s="173" t="s">
        <v>113</v>
      </c>
      <c r="AC33" s="174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75" t="s">
        <v>142</v>
      </c>
      <c r="Y34" s="175" t="s">
        <v>143</v>
      </c>
      <c r="Z34" s="108" t="s">
        <v>142</v>
      </c>
      <c r="AA34" s="108" t="s">
        <v>143</v>
      </c>
      <c r="AB34" s="175" t="s">
        <v>142</v>
      </c>
      <c r="AC34" s="176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34.5793</v>
      </c>
      <c r="H35" s="118" t="n">
        <v>1000</v>
      </c>
      <c r="I35" s="119" t="n">
        <v>1001</v>
      </c>
      <c r="J35" s="120"/>
      <c r="K35" s="121"/>
      <c r="L35" s="121"/>
      <c r="M35" s="121"/>
      <c r="N35" s="122"/>
      <c r="O35" s="121"/>
      <c r="P35" s="120" t="n">
        <v>3.599</v>
      </c>
      <c r="Q35" s="120"/>
      <c r="R35" s="120"/>
      <c r="S35" s="123" t="n">
        <v>156.5</v>
      </c>
      <c r="T35" s="125" t="n">
        <v>0.007</v>
      </c>
      <c r="U35" s="182" t="n">
        <v>0.00684032586296134</v>
      </c>
      <c r="X35" s="125" t="n">
        <v>34.263</v>
      </c>
      <c r="Y35" s="182" t="n">
        <v>33.4814407203778</v>
      </c>
      <c r="Z35" s="124" t="n">
        <v>2.286</v>
      </c>
      <c r="AA35" s="184" t="n">
        <v>2.23385498896138</v>
      </c>
      <c r="AB35" s="125" t="n">
        <v>33.83</v>
      </c>
      <c r="AC35" s="182" t="n">
        <v>33.0583177062832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34.5445</v>
      </c>
      <c r="H36" s="118" t="n">
        <v>600</v>
      </c>
      <c r="I36" s="119" t="n">
        <v>600.8</v>
      </c>
      <c r="J36" s="132"/>
      <c r="K36" s="133"/>
      <c r="L36" s="133"/>
      <c r="M36" s="133"/>
      <c r="N36" s="134"/>
      <c r="O36" s="133"/>
      <c r="P36" s="132" t="n">
        <v>3.182</v>
      </c>
      <c r="Q36" s="132"/>
      <c r="R36" s="132"/>
      <c r="S36" s="135" t="n">
        <v>138.4</v>
      </c>
      <c r="T36" s="125" t="n">
        <v>0</v>
      </c>
      <c r="U36" s="182" t="n">
        <v>0</v>
      </c>
      <c r="X36" s="125" t="n">
        <v>34.365</v>
      </c>
      <c r="Y36" s="182" t="n">
        <v>33.5811140400952</v>
      </c>
      <c r="Z36" s="124" t="n">
        <v>2.229</v>
      </c>
      <c r="AA36" s="184" t="n">
        <v>2.17815519264869</v>
      </c>
      <c r="AB36" s="125" t="n">
        <v>24.55</v>
      </c>
      <c r="AC36" s="182" t="n">
        <v>23.9899999908144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8"/>
      <c r="G37" s="117" t="n">
        <v>35.162</v>
      </c>
      <c r="H37" s="131" t="n">
        <v>300</v>
      </c>
      <c r="I37" s="119" t="n">
        <v>300</v>
      </c>
      <c r="J37" s="132"/>
      <c r="K37" s="133"/>
      <c r="L37" s="133"/>
      <c r="M37" s="133"/>
      <c r="N37" s="134"/>
      <c r="O37" s="133"/>
      <c r="P37" s="132" t="n">
        <v>1.501</v>
      </c>
      <c r="Q37" s="132"/>
      <c r="R37" s="132"/>
      <c r="S37" s="135" t="n">
        <v>65.3</v>
      </c>
      <c r="T37" s="125" t="n">
        <v>0</v>
      </c>
      <c r="U37" s="182" t="n">
        <v>0</v>
      </c>
      <c r="X37" s="125" t="n">
        <v>29.951</v>
      </c>
      <c r="Y37" s="182" t="n">
        <v>29.2677999887936</v>
      </c>
      <c r="Z37" s="124" t="n">
        <v>1.857</v>
      </c>
      <c r="AA37" s="184" t="n">
        <v>1.81464073250274</v>
      </c>
      <c r="AB37" s="125" t="n">
        <v>12.62</v>
      </c>
      <c r="AC37" s="182" t="n">
        <v>12.3321303415103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40"/>
      <c r="G38" s="117" t="n">
        <v>35.4</v>
      </c>
      <c r="H38" s="131" t="n">
        <v>100</v>
      </c>
      <c r="I38" s="119" t="n">
        <v>100</v>
      </c>
      <c r="J38" s="132"/>
      <c r="K38" s="133"/>
      <c r="L38" s="133"/>
      <c r="M38" s="133"/>
      <c r="N38" s="134"/>
      <c r="O38" s="133"/>
      <c r="P38" s="132" t="n">
        <v>2.869</v>
      </c>
      <c r="Q38" s="132"/>
      <c r="R38" s="132"/>
      <c r="S38" s="135" t="n">
        <v>124.9</v>
      </c>
      <c r="T38" s="125" t="n">
        <v>0.008</v>
      </c>
      <c r="U38" s="182" t="n">
        <v>0.00781751527195582</v>
      </c>
      <c r="X38" s="125" t="n">
        <v>19.852</v>
      </c>
      <c r="Y38" s="182" t="n">
        <v>19.3991641473584</v>
      </c>
      <c r="Z38" s="124" t="n">
        <v>1.313</v>
      </c>
      <c r="AA38" s="184" t="n">
        <v>1.28304969400975</v>
      </c>
      <c r="AB38" s="125" t="n">
        <v>8.05</v>
      </c>
      <c r="AC38" s="182" t="n">
        <v>7.86637474240554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6.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8"/>
      <c r="G39" s="117" t="n">
        <v>35.4661</v>
      </c>
      <c r="H39" s="131" t="n">
        <v>80</v>
      </c>
      <c r="I39" s="119" t="n">
        <v>79</v>
      </c>
      <c r="J39" s="132"/>
      <c r="K39" s="133"/>
      <c r="L39" s="133"/>
      <c r="M39" s="133"/>
      <c r="N39" s="134"/>
      <c r="O39" s="133"/>
      <c r="P39" s="132" t="n">
        <v>3.236</v>
      </c>
      <c r="Q39" s="132"/>
      <c r="R39" s="132"/>
      <c r="S39" s="135" t="n">
        <v>140.8</v>
      </c>
      <c r="T39" s="125" t="n">
        <v>0.017</v>
      </c>
      <c r="U39" s="182" t="n">
        <v>0.0166122199529061</v>
      </c>
      <c r="X39" s="125" t="n">
        <v>17.133</v>
      </c>
      <c r="Y39" s="182" t="n">
        <v>16.7421861443024</v>
      </c>
      <c r="Z39" s="124" t="n">
        <v>1.172</v>
      </c>
      <c r="AA39" s="184" t="n">
        <v>1.14526598734153</v>
      </c>
      <c r="AB39" s="125" t="n">
        <v>7.19</v>
      </c>
      <c r="AC39" s="182" t="n">
        <v>7.02599185067029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8"/>
      <c r="G40" s="117" t="n">
        <v>35.4819</v>
      </c>
      <c r="H40" s="118" t="n">
        <v>60</v>
      </c>
      <c r="I40" s="119" t="n">
        <v>60</v>
      </c>
      <c r="J40" s="132"/>
      <c r="K40" s="133"/>
      <c r="L40" s="133"/>
      <c r="M40" s="133"/>
      <c r="N40" s="134"/>
      <c r="O40" s="133"/>
      <c r="P40" s="132" t="n">
        <v>2.944</v>
      </c>
      <c r="Q40" s="132"/>
      <c r="R40" s="132"/>
      <c r="S40" s="135" t="n">
        <v>128.1</v>
      </c>
      <c r="T40" s="125" t="n">
        <v>0.032</v>
      </c>
      <c r="U40" s="182" t="n">
        <v>0.0312700610878233</v>
      </c>
      <c r="X40" s="125" t="n">
        <v>18.548</v>
      </c>
      <c r="Y40" s="182" t="n">
        <v>18.1249091580296</v>
      </c>
      <c r="Z40" s="124" t="n">
        <v>1.236</v>
      </c>
      <c r="AA40" s="184" t="n">
        <v>1.20780610951717</v>
      </c>
      <c r="AB40" s="125" t="n">
        <v>7.3</v>
      </c>
      <c r="AC40" s="182" t="n">
        <v>7.13348268565968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8"/>
      <c r="G41" s="117" t="n">
        <v>35.7454</v>
      </c>
      <c r="H41" s="131" t="n">
        <v>40</v>
      </c>
      <c r="I41" s="119" t="n">
        <v>40</v>
      </c>
      <c r="J41" s="132"/>
      <c r="K41" s="133"/>
      <c r="L41" s="133"/>
      <c r="M41" s="133"/>
      <c r="N41" s="134"/>
      <c r="O41" s="133"/>
      <c r="P41" s="132" t="n">
        <v>3.028</v>
      </c>
      <c r="Q41" s="132"/>
      <c r="R41" s="132"/>
      <c r="S41" s="135" t="n">
        <v>131.8</v>
      </c>
      <c r="T41" s="186" t="n">
        <v>0.491</v>
      </c>
      <c r="U41" s="186" t="n">
        <v>0.479799999816288</v>
      </c>
      <c r="X41" s="186" t="n">
        <v>13.659</v>
      </c>
      <c r="Y41" s="186" t="n">
        <v>13.3474301374556</v>
      </c>
      <c r="Z41" s="185" t="n">
        <v>0.986</v>
      </c>
      <c r="AA41" s="185" t="n">
        <v>0.963508757268555</v>
      </c>
      <c r="AB41" s="186" t="n">
        <v>4.87</v>
      </c>
      <c r="AC41" s="186" t="n">
        <v>4.7589124218031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6.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8"/>
      <c r="G42" s="117" t="n">
        <v>35.8407</v>
      </c>
      <c r="H42" s="131" t="n">
        <v>40</v>
      </c>
      <c r="I42" s="119" t="n">
        <v>40</v>
      </c>
      <c r="J42" s="132"/>
      <c r="K42" s="133"/>
      <c r="L42" s="133"/>
      <c r="M42" s="133"/>
      <c r="N42" s="134"/>
      <c r="O42" s="133"/>
      <c r="P42" s="132" t="n">
        <v>3.599</v>
      </c>
      <c r="Q42" s="132"/>
      <c r="R42" s="132"/>
      <c r="S42" s="135" t="n">
        <v>156.8</v>
      </c>
      <c r="T42" s="182" t="n">
        <v>0.4165</v>
      </c>
      <c r="U42" s="182" t="n">
        <v>0.4069993888462</v>
      </c>
      <c r="X42" s="182" t="n">
        <v>9.0785</v>
      </c>
      <c r="Y42" s="182" t="n">
        <v>8.87141404955636</v>
      </c>
      <c r="Z42" s="184" t="n">
        <v>0.721</v>
      </c>
      <c r="AA42" s="184" t="n">
        <v>0.704553563885018</v>
      </c>
      <c r="AB42" s="182" t="n">
        <v>3.72</v>
      </c>
      <c r="AC42" s="182" t="n">
        <v>3.63514460145946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8"/>
      <c r="G43" s="117" t="n">
        <v>35.7547</v>
      </c>
      <c r="H43" s="118" t="n">
        <v>20</v>
      </c>
      <c r="I43" s="119" t="n">
        <v>20.6</v>
      </c>
      <c r="J43" s="132"/>
      <c r="K43" s="133"/>
      <c r="L43" s="133"/>
      <c r="M43" s="133"/>
      <c r="N43" s="134"/>
      <c r="O43" s="133"/>
      <c r="P43" s="132" t="n">
        <v>4.709</v>
      </c>
      <c r="Q43" s="132"/>
      <c r="R43" s="132"/>
      <c r="S43" s="135" t="n">
        <v>205.4</v>
      </c>
      <c r="T43" s="125" t="n">
        <v>0.018</v>
      </c>
      <c r="U43" s="182" t="n">
        <v>0.0175894093619006</v>
      </c>
      <c r="X43" s="125" t="n">
        <v>0.082</v>
      </c>
      <c r="Y43" s="182" t="n">
        <v>0.0801295315375472</v>
      </c>
      <c r="Z43" s="124" t="n">
        <v>0.056</v>
      </c>
      <c r="AA43" s="184" t="n">
        <v>0.0547226069036907</v>
      </c>
      <c r="AB43" s="125" t="n">
        <v>1.26</v>
      </c>
      <c r="AC43" s="182" t="n">
        <v>1.23125865533304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8"/>
      <c r="G44" s="117" t="n">
        <v>35.7465</v>
      </c>
      <c r="H44" s="131" t="n">
        <v>10</v>
      </c>
      <c r="I44" s="119" t="n">
        <v>8</v>
      </c>
      <c r="J44" s="132"/>
      <c r="K44" s="133"/>
      <c r="L44" s="133"/>
      <c r="M44" s="133"/>
      <c r="N44" s="134"/>
      <c r="O44" s="133"/>
      <c r="P44" s="132" t="n">
        <v>4.716</v>
      </c>
      <c r="Q44" s="132"/>
      <c r="R44" s="132"/>
      <c r="S44" s="135" t="n">
        <v>205.7</v>
      </c>
      <c r="T44" s="125" t="n">
        <v>0.006</v>
      </c>
      <c r="U44" s="182" t="n">
        <v>0.00586313645396687</v>
      </c>
      <c r="X44" s="125" t="n">
        <v>0.104</v>
      </c>
      <c r="Y44" s="182" t="n">
        <v>0.101627698535426</v>
      </c>
      <c r="Z44" s="124" t="n">
        <v>0.053</v>
      </c>
      <c r="AA44" s="184" t="n">
        <v>0.0517910386767073</v>
      </c>
      <c r="AB44" s="125" t="n">
        <v>1.31</v>
      </c>
      <c r="AC44" s="182" t="n">
        <v>1.28011812578277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8"/>
      <c r="G45" s="117" t="n">
        <v>34.7475</v>
      </c>
      <c r="H45" s="131" t="n">
        <v>0</v>
      </c>
      <c r="I45" s="119" t="n">
        <v>0.8</v>
      </c>
      <c r="J45" s="132"/>
      <c r="K45" s="133"/>
      <c r="L45" s="133"/>
      <c r="M45" s="133"/>
      <c r="N45" s="134"/>
      <c r="O45" s="133"/>
      <c r="P45" s="132" t="n">
        <v>4.727</v>
      </c>
      <c r="Q45" s="132"/>
      <c r="R45" s="132"/>
      <c r="S45" s="143" t="n">
        <v>206.4</v>
      </c>
      <c r="T45" s="125" t="n">
        <v>0.001</v>
      </c>
      <c r="U45" s="182" t="n">
        <v>0.000977189408994478</v>
      </c>
      <c r="X45" s="125" t="n">
        <v>0.109</v>
      </c>
      <c r="Y45" s="182" t="n">
        <v>0.106513645580398</v>
      </c>
      <c r="Z45" s="124" t="n">
        <v>0.053</v>
      </c>
      <c r="AA45" s="184" t="n">
        <v>0.0517910386767073</v>
      </c>
      <c r="AB45" s="125" t="n">
        <v>1.35</v>
      </c>
      <c r="AC45" s="182" t="n">
        <v>1.31920570214254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6"/>
      <c r="U46" s="136"/>
      <c r="V46" s="136"/>
      <c r="W46" s="136"/>
      <c r="X46" s="177"/>
      <c r="Y46" s="177"/>
      <c r="Z46" s="136"/>
      <c r="AA46" s="136"/>
      <c r="AB46" s="177"/>
      <c r="AC46" s="177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3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6"/>
      <c r="U47" s="136"/>
      <c r="V47" s="136"/>
      <c r="W47" s="136"/>
      <c r="X47" s="177"/>
      <c r="Y47" s="177"/>
      <c r="Z47" s="136"/>
      <c r="AA47" s="136"/>
      <c r="AB47" s="177"/>
      <c r="AC47" s="177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3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6"/>
      <c r="U48" s="136"/>
      <c r="V48" s="136"/>
      <c r="W48" s="136"/>
      <c r="X48" s="177"/>
      <c r="Y48" s="177"/>
      <c r="Z48" s="136"/>
      <c r="AA48" s="136"/>
      <c r="AB48" s="177"/>
      <c r="AC48" s="177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77"/>
      <c r="Y50" s="177"/>
      <c r="Z50" s="136"/>
      <c r="AA50" s="136"/>
      <c r="AB50" s="177"/>
      <c r="AC50" s="177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77"/>
      <c r="Y52" s="177"/>
      <c r="Z52" s="136"/>
      <c r="AA52" s="136"/>
      <c r="AB52" s="177"/>
      <c r="AC52" s="177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77"/>
      <c r="Y53" s="177"/>
      <c r="Z53" s="136"/>
      <c r="AA53" s="136"/>
      <c r="AB53" s="177"/>
      <c r="AC53" s="177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77"/>
      <c r="Y54" s="177"/>
      <c r="Z54" s="136"/>
      <c r="AA54" s="136"/>
      <c r="AB54" s="177"/>
      <c r="AC54" s="177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77"/>
      <c r="Y55" s="177"/>
      <c r="Z55" s="136"/>
      <c r="AA55" s="136"/>
      <c r="AB55" s="177"/>
      <c r="AC55" s="177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77"/>
      <c r="Y57" s="177"/>
      <c r="Z57" s="136"/>
      <c r="AA57" s="136"/>
      <c r="AB57" s="177"/>
      <c r="AC57" s="177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8"/>
      <c r="Y58" s="178"/>
      <c r="Z58" s="170"/>
      <c r="AA58" s="170"/>
      <c r="AB58" s="178"/>
      <c r="AC58" s="178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C1" activeCellId="1" sqref="U45 AC1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  <col collapsed="false" customWidth="false" hidden="false" outlineLevel="0" max="25" min="24" style="172" width="9.14"/>
    <col collapsed="false" customWidth="false" hidden="false" outlineLevel="0" max="29" min="28" style="172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2</v>
      </c>
      <c r="J9" s="29" t="n">
        <v>30.42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-2°30,42</v>
      </c>
      <c r="P9" s="29" t="s">
        <v>16</v>
      </c>
      <c r="Q9" s="33" t="n">
        <f aca="false">IF(ISBLANK(I9),"",IF(ISBLANK(J9),"",IF(J9&gt;60,"ERREUR !!",O11*(I9+(J9/60)))))</f>
        <v>-2.507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9</v>
      </c>
      <c r="J10" s="29" t="n">
        <v>59.96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-9°59,96</v>
      </c>
      <c r="P10" s="29" t="s">
        <v>17</v>
      </c>
      <c r="Q10" s="33" t="n">
        <f aca="false">IF(ISBLANK(I10),"",IF(ISBLANK(J10),"",IF(J10&gt;60,"ERREUR !!",O12*(I10+(J10/60)))))</f>
        <v>-9.99933333333333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37581</v>
      </c>
      <c r="K11" s="38"/>
      <c r="L11" s="38"/>
      <c r="M11" s="38"/>
      <c r="N11" s="39" t="str">
        <f aca="false">I9&amp;"°"&amp;J9</f>
        <v>2°30,42</v>
      </c>
      <c r="O11" s="40" t="n">
        <f aca="false">IF(P9=M10,-1,1)</f>
        <v>-1</v>
      </c>
      <c r="P11" s="41" t="str">
        <f aca="false">TEXT(J11,"aaaa-mm-jj")&amp;"T"&amp;TEXT(J12,"hh:mm:ss")&amp;"z"</f>
        <v>2006-11-22T10:30:00z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0.4375</v>
      </c>
      <c r="K12" s="45"/>
      <c r="L12" s="45"/>
      <c r="M12" s="45"/>
      <c r="N12" s="46" t="str">
        <f aca="false">I10&amp;"°"&amp;J10</f>
        <v>9°59,96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179" t="s">
        <v>70</v>
      </c>
      <c r="Y31" s="179"/>
      <c r="Z31" s="89" t="s">
        <v>71</v>
      </c>
      <c r="AA31" s="89"/>
      <c r="AB31" s="180" t="s">
        <v>72</v>
      </c>
      <c r="AC31" s="18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179"/>
      <c r="Y32" s="179"/>
      <c r="Z32" s="89"/>
      <c r="AA32" s="89"/>
      <c r="AB32" s="180"/>
      <c r="AC32" s="18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73" t="s">
        <v>109</v>
      </c>
      <c r="Y33" s="173" t="s">
        <v>110</v>
      </c>
      <c r="Z33" s="100" t="s">
        <v>111</v>
      </c>
      <c r="AA33" s="100" t="s">
        <v>112</v>
      </c>
      <c r="AB33" s="173" t="s">
        <v>113</v>
      </c>
      <c r="AC33" s="174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75" t="s">
        <v>142</v>
      </c>
      <c r="Y34" s="175" t="s">
        <v>143</v>
      </c>
      <c r="Z34" s="108" t="s">
        <v>142</v>
      </c>
      <c r="AA34" s="108" t="s">
        <v>143</v>
      </c>
      <c r="AB34" s="175" t="s">
        <v>142</v>
      </c>
      <c r="AC34" s="176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34.5806</v>
      </c>
      <c r="H35" s="118" t="n">
        <v>1000</v>
      </c>
      <c r="I35" s="119" t="n">
        <v>1009</v>
      </c>
      <c r="J35" s="120"/>
      <c r="K35" s="121"/>
      <c r="L35" s="121"/>
      <c r="M35" s="121"/>
      <c r="N35" s="122"/>
      <c r="O35" s="121"/>
      <c r="P35" s="120" t="n">
        <v>3.529</v>
      </c>
      <c r="Q35" s="120"/>
      <c r="R35" s="120"/>
      <c r="S35" s="123" t="n">
        <v>153.4</v>
      </c>
      <c r="T35" s="125" t="n">
        <v>0</v>
      </c>
      <c r="U35" s="182" t="n">
        <v>0</v>
      </c>
      <c r="X35" s="125" t="n">
        <v>34.72</v>
      </c>
      <c r="Y35" s="182" t="n">
        <v>33.9280162802883</v>
      </c>
      <c r="Z35" s="124" t="n">
        <v>2.322</v>
      </c>
      <c r="AA35" s="184" t="n">
        <v>2.26903380768518</v>
      </c>
      <c r="AB35" s="125" t="n">
        <v>33.67</v>
      </c>
      <c r="AC35" s="182" t="n">
        <v>32.9019674008441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34.5382</v>
      </c>
      <c r="H36" s="118" t="n">
        <v>600</v>
      </c>
      <c r="I36" s="119" t="n">
        <v>598</v>
      </c>
      <c r="J36" s="132"/>
      <c r="K36" s="133"/>
      <c r="L36" s="133"/>
      <c r="M36" s="133"/>
      <c r="N36" s="134"/>
      <c r="O36" s="133"/>
      <c r="P36" s="132" t="n">
        <v>3.232</v>
      </c>
      <c r="Q36" s="132"/>
      <c r="R36" s="132"/>
      <c r="S36" s="135" t="n">
        <v>140.6</v>
      </c>
      <c r="T36" s="125" t="n">
        <v>0.006</v>
      </c>
      <c r="U36" s="182" t="n">
        <v>0.00586313645396687</v>
      </c>
      <c r="X36" s="125" t="n">
        <v>34.134</v>
      </c>
      <c r="Y36" s="182" t="n">
        <v>33.3553832866175</v>
      </c>
      <c r="Z36" s="124" t="n">
        <v>2.217</v>
      </c>
      <c r="AA36" s="184" t="n">
        <v>2.16642891974076</v>
      </c>
      <c r="AB36" s="125" t="n">
        <v>24.25</v>
      </c>
      <c r="AC36" s="182" t="n">
        <v>23.6968431681161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8"/>
      <c r="G37" s="117" t="n">
        <v>35.1626</v>
      </c>
      <c r="H37" s="131" t="n">
        <v>300</v>
      </c>
      <c r="I37" s="119" t="n">
        <v>300</v>
      </c>
      <c r="J37" s="132"/>
      <c r="K37" s="133"/>
      <c r="L37" s="133"/>
      <c r="M37" s="133"/>
      <c r="N37" s="134"/>
      <c r="O37" s="133"/>
      <c r="P37" s="132" t="n">
        <v>1.472</v>
      </c>
      <c r="Q37" s="132"/>
      <c r="R37" s="132"/>
      <c r="S37" s="135" t="n">
        <v>64</v>
      </c>
      <c r="T37" s="125" t="n">
        <v>0</v>
      </c>
      <c r="U37" s="182" t="n">
        <v>0</v>
      </c>
      <c r="X37" s="125" t="n">
        <v>29.97</v>
      </c>
      <c r="Y37" s="182" t="n">
        <v>29.2863665875645</v>
      </c>
      <c r="Z37" s="124" t="n">
        <v>1.865</v>
      </c>
      <c r="AA37" s="184" t="n">
        <v>1.8224582477747</v>
      </c>
      <c r="AB37" s="125" t="n">
        <v>12.46</v>
      </c>
      <c r="AC37" s="182" t="n">
        <v>12.1757800360712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40"/>
      <c r="G38" s="117" t="n">
        <v>35.4473</v>
      </c>
      <c r="H38" s="131" t="n">
        <v>100</v>
      </c>
      <c r="I38" s="119" t="n">
        <v>100</v>
      </c>
      <c r="J38" s="132"/>
      <c r="K38" s="133"/>
      <c r="L38" s="133"/>
      <c r="M38" s="133"/>
      <c r="N38" s="134"/>
      <c r="O38" s="133"/>
      <c r="P38" s="132" t="n">
        <v>3.172</v>
      </c>
      <c r="Q38" s="132"/>
      <c r="R38" s="132"/>
      <c r="S38" s="135" t="n">
        <v>138</v>
      </c>
      <c r="T38" s="125" t="n">
        <v>0.011</v>
      </c>
      <c r="U38" s="182" t="n">
        <v>0.0107490834989393</v>
      </c>
      <c r="X38" s="125" t="n">
        <v>17.539</v>
      </c>
      <c r="Y38" s="182" t="n">
        <v>17.1389250443541</v>
      </c>
      <c r="Z38" s="124" t="n">
        <v>1.179</v>
      </c>
      <c r="AA38" s="184" t="n">
        <v>1.15210631320449</v>
      </c>
      <c r="AB38" s="125" t="n">
        <v>6.98</v>
      </c>
      <c r="AC38" s="182" t="n">
        <v>6.82078207478145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6.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8"/>
      <c r="G39" s="117" t="n">
        <v>35.4684</v>
      </c>
      <c r="H39" s="131" t="n">
        <v>80</v>
      </c>
      <c r="I39" s="119" t="n">
        <v>76</v>
      </c>
      <c r="J39" s="132"/>
      <c r="K39" s="133"/>
      <c r="L39" s="133"/>
      <c r="M39" s="133"/>
      <c r="N39" s="134"/>
      <c r="O39" s="133"/>
      <c r="P39" s="132" t="n">
        <v>2.754</v>
      </c>
      <c r="Q39" s="132"/>
      <c r="R39" s="132"/>
      <c r="S39" s="135" t="n">
        <v>119.9</v>
      </c>
      <c r="T39" s="125" t="n">
        <v>0.008</v>
      </c>
      <c r="U39" s="182" t="n">
        <v>0.00781751527195582</v>
      </c>
      <c r="X39" s="125" t="n">
        <v>19.662</v>
      </c>
      <c r="Y39" s="182" t="n">
        <v>19.2134981596494</v>
      </c>
      <c r="Z39" s="124" t="n">
        <v>1.319</v>
      </c>
      <c r="AA39" s="184" t="n">
        <v>1.28891283046372</v>
      </c>
      <c r="AB39" s="125" t="n">
        <v>7.49</v>
      </c>
      <c r="AC39" s="182" t="n">
        <v>7.31914867336864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8"/>
      <c r="G40" s="117" t="n">
        <v>35.5877</v>
      </c>
      <c r="H40" s="118" t="n">
        <v>60</v>
      </c>
      <c r="I40" s="119" t="n">
        <v>60</v>
      </c>
      <c r="J40" s="132"/>
      <c r="K40" s="133"/>
      <c r="L40" s="133"/>
      <c r="M40" s="133"/>
      <c r="N40" s="134"/>
      <c r="O40" s="133"/>
      <c r="P40" s="132" t="n">
        <v>2.331</v>
      </c>
      <c r="Q40" s="132"/>
      <c r="R40" s="132"/>
      <c r="S40" s="135" t="n">
        <v>101.5</v>
      </c>
      <c r="T40" s="125" t="n">
        <v>0.047</v>
      </c>
      <c r="U40" s="182" t="n">
        <v>0.0459279022227404</v>
      </c>
      <c r="X40" s="125" t="n">
        <v>20.003</v>
      </c>
      <c r="Y40" s="182" t="n">
        <v>19.5467197481165</v>
      </c>
      <c r="Z40" s="124" t="n">
        <v>1.33</v>
      </c>
      <c r="AA40" s="184" t="n">
        <v>1.29966191396265</v>
      </c>
      <c r="AB40" s="125" t="n">
        <v>6.7</v>
      </c>
      <c r="AC40" s="182" t="n">
        <v>6.547169040263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6.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8"/>
      <c r="G41" s="117" t="n">
        <v>35.8273</v>
      </c>
      <c r="H41" s="131" t="n">
        <v>40</v>
      </c>
      <c r="I41" s="119" t="n">
        <v>40</v>
      </c>
      <c r="J41" s="132"/>
      <c r="K41" s="133"/>
      <c r="L41" s="133"/>
      <c r="M41" s="133"/>
      <c r="N41" s="134"/>
      <c r="O41" s="133"/>
      <c r="P41" s="132" t="n">
        <v>3.84</v>
      </c>
      <c r="Q41" s="132"/>
      <c r="R41" s="132"/>
      <c r="S41" s="135" t="n">
        <v>167.3</v>
      </c>
      <c r="T41" s="125" t="n">
        <v>0.21</v>
      </c>
      <c r="U41" s="182" t="n">
        <v>0.20520977588884</v>
      </c>
      <c r="X41" s="125" t="n">
        <v>7.93</v>
      </c>
      <c r="Y41" s="182" t="n">
        <v>7.74911201332621</v>
      </c>
      <c r="Z41" s="124" t="n">
        <v>0.627</v>
      </c>
      <c r="AA41" s="184" t="n">
        <v>0.612697759439537</v>
      </c>
      <c r="AB41" s="125" t="n">
        <v>3.2</v>
      </c>
      <c r="AC41" s="182" t="n">
        <v>3.12700610878233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6.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8"/>
      <c r="G42" s="117" t="n">
        <v>35.7952</v>
      </c>
      <c r="H42" s="118" t="n">
        <v>20</v>
      </c>
      <c r="I42" s="119" t="n">
        <v>20</v>
      </c>
      <c r="J42" s="132"/>
      <c r="K42" s="133"/>
      <c r="L42" s="133"/>
      <c r="M42" s="133"/>
      <c r="N42" s="134"/>
      <c r="O42" s="133"/>
      <c r="P42" s="132" t="n">
        <v>4.704</v>
      </c>
      <c r="Q42" s="132"/>
      <c r="R42" s="132"/>
      <c r="S42" s="135" t="n">
        <v>205.2</v>
      </c>
      <c r="T42" s="182" t="n">
        <v>0.002</v>
      </c>
      <c r="U42" s="182" t="n">
        <v>0.00195437881798896</v>
      </c>
      <c r="X42" s="182" t="n">
        <v>0.118</v>
      </c>
      <c r="Y42" s="182" t="n">
        <v>0.115308350261348</v>
      </c>
      <c r="Z42" s="184" t="n">
        <v>0.047</v>
      </c>
      <c r="AA42" s="184" t="n">
        <v>0.0459279022227404</v>
      </c>
      <c r="AB42" s="182" t="n">
        <v>0.97</v>
      </c>
      <c r="AC42" s="182" t="n">
        <v>0.947873726724643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8"/>
      <c r="G43" s="117" t="n">
        <v>35.7953</v>
      </c>
      <c r="H43" s="118" t="n">
        <v>20</v>
      </c>
      <c r="I43" s="119" t="n">
        <v>20</v>
      </c>
      <c r="J43" s="132"/>
      <c r="K43" s="133"/>
      <c r="L43" s="133"/>
      <c r="M43" s="133"/>
      <c r="N43" s="134"/>
      <c r="O43" s="133"/>
      <c r="P43" s="132" t="n">
        <v>4.717</v>
      </c>
      <c r="Q43" s="132"/>
      <c r="R43" s="132"/>
      <c r="S43" s="135" t="n">
        <v>205.8</v>
      </c>
      <c r="T43" s="182" t="n">
        <v>0.003</v>
      </c>
      <c r="U43" s="182" t="n">
        <v>0.00293156822698343</v>
      </c>
      <c r="X43" s="182" t="n">
        <v>0.087</v>
      </c>
      <c r="Y43" s="182" t="n">
        <v>0.0850154785825195</v>
      </c>
      <c r="Z43" s="184" t="n">
        <v>0.0485</v>
      </c>
      <c r="AA43" s="184" t="n">
        <v>0.0473936863362321</v>
      </c>
      <c r="AB43" s="182" t="n">
        <v>1</v>
      </c>
      <c r="AC43" s="182" t="n">
        <v>0.977189408994477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8"/>
      <c r="G44" s="117" t="n">
        <v>35.7935</v>
      </c>
      <c r="H44" s="131" t="n">
        <v>10</v>
      </c>
      <c r="I44" s="119" t="n">
        <v>10</v>
      </c>
      <c r="J44" s="132"/>
      <c r="K44" s="133"/>
      <c r="L44" s="133"/>
      <c r="M44" s="133"/>
      <c r="N44" s="134"/>
      <c r="O44" s="133"/>
      <c r="P44" s="132" t="n">
        <v>4.705</v>
      </c>
      <c r="Q44" s="132"/>
      <c r="R44" s="132"/>
      <c r="S44" s="135" t="n">
        <v>205.3</v>
      </c>
      <c r="T44" s="125" t="n">
        <v>0</v>
      </c>
      <c r="U44" s="182" t="n">
        <v>0</v>
      </c>
      <c r="X44" s="125" t="n">
        <v>0.08</v>
      </c>
      <c r="Y44" s="182" t="n">
        <v>0.0781751527195582</v>
      </c>
      <c r="Z44" s="124" t="n">
        <v>0.041</v>
      </c>
      <c r="AA44" s="184" t="n">
        <v>0.0400647657687736</v>
      </c>
      <c r="AB44" s="125" t="n">
        <v>0.98</v>
      </c>
      <c r="AC44" s="182" t="n">
        <v>0.957645620814588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8"/>
      <c r="G45" s="117" t="n">
        <v>35.794</v>
      </c>
      <c r="H45" s="131" t="n">
        <v>0</v>
      </c>
      <c r="I45" s="119" t="n">
        <v>1.1</v>
      </c>
      <c r="J45" s="132"/>
      <c r="K45" s="133"/>
      <c r="L45" s="133"/>
      <c r="M45" s="133"/>
      <c r="N45" s="134"/>
      <c r="O45" s="133"/>
      <c r="P45" s="132" t="n">
        <v>4.712</v>
      </c>
      <c r="Q45" s="132"/>
      <c r="R45" s="132"/>
      <c r="S45" s="143" t="n">
        <v>205.6</v>
      </c>
      <c r="T45" s="125" t="n">
        <v>0.001</v>
      </c>
      <c r="U45" s="182" t="n">
        <v>0.000977189408994478</v>
      </c>
      <c r="X45" s="125" t="n">
        <v>0.099</v>
      </c>
      <c r="Y45" s="182" t="n">
        <v>0.0967417514904533</v>
      </c>
      <c r="Z45" s="124" t="n">
        <v>0.045</v>
      </c>
      <c r="AA45" s="184" t="n">
        <v>0.0439735234047515</v>
      </c>
      <c r="AB45" s="125" t="n">
        <v>0.97</v>
      </c>
      <c r="AC45" s="182" t="n">
        <v>0.947873726724643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6"/>
      <c r="U46" s="136"/>
      <c r="V46" s="136"/>
      <c r="W46" s="136"/>
      <c r="X46" s="177"/>
      <c r="Y46" s="177"/>
      <c r="Z46" s="136"/>
      <c r="AA46" s="136"/>
      <c r="AB46" s="177"/>
      <c r="AC46" s="177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3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6"/>
      <c r="U47" s="136"/>
      <c r="V47" s="136"/>
      <c r="W47" s="136"/>
      <c r="X47" s="177"/>
      <c r="Y47" s="177"/>
      <c r="Z47" s="136"/>
      <c r="AA47" s="136"/>
      <c r="AB47" s="177"/>
      <c r="AC47" s="177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3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6"/>
      <c r="U48" s="136"/>
      <c r="V48" s="136"/>
      <c r="W48" s="136"/>
      <c r="X48" s="177"/>
      <c r="Y48" s="177"/>
      <c r="Z48" s="136"/>
      <c r="AA48" s="136"/>
      <c r="AB48" s="177"/>
      <c r="AC48" s="177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77"/>
      <c r="Y50" s="177"/>
      <c r="Z50" s="136"/>
      <c r="AA50" s="136"/>
      <c r="AB50" s="177"/>
      <c r="AC50" s="177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77"/>
      <c r="Y52" s="177"/>
      <c r="Z52" s="136"/>
      <c r="AA52" s="136"/>
      <c r="AB52" s="177"/>
      <c r="AC52" s="177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77"/>
      <c r="Y53" s="177"/>
      <c r="Z53" s="136"/>
      <c r="AA53" s="136"/>
      <c r="AB53" s="177"/>
      <c r="AC53" s="177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77"/>
      <c r="Y54" s="177"/>
      <c r="Z54" s="136"/>
      <c r="AA54" s="136"/>
      <c r="AB54" s="177"/>
      <c r="AC54" s="177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77"/>
      <c r="Y55" s="177"/>
      <c r="Z55" s="136"/>
      <c r="AA55" s="136"/>
      <c r="AB55" s="177"/>
      <c r="AC55" s="177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77"/>
      <c r="Y57" s="177"/>
      <c r="Z57" s="136"/>
      <c r="AA57" s="136"/>
      <c r="AB57" s="177"/>
      <c r="AC57" s="177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8"/>
      <c r="Y58" s="178"/>
      <c r="Z58" s="170"/>
      <c r="AA58" s="170"/>
      <c r="AB58" s="178"/>
      <c r="AC58" s="178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C1" activeCellId="1" sqref="U45 AC1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  <col collapsed="false" customWidth="false" hidden="false" outlineLevel="0" max="25" min="24" style="172" width="9.14"/>
    <col collapsed="false" customWidth="false" hidden="false" outlineLevel="0" max="29" min="28" style="172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3</v>
      </c>
      <c r="J9" s="29" t="n">
        <v>0.23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-3°0,23</v>
      </c>
      <c r="P9" s="29" t="s">
        <v>16</v>
      </c>
      <c r="Q9" s="33" t="n">
        <f aca="false">IF(ISBLANK(I9),"",IF(ISBLANK(J9),"",IF(J9&gt;60,"ERREUR !!",O11*(I9+(J9/60)))))</f>
        <v>-3.00383333333333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9</v>
      </c>
      <c r="J10" s="29" t="n">
        <v>59.78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-9°59,78</v>
      </c>
      <c r="P10" s="29" t="s">
        <v>17</v>
      </c>
      <c r="Q10" s="33" t="n">
        <f aca="false">IF(ISBLANK(I10),"",IF(ISBLANK(J10),"",IF(J10&gt;60,"ERREUR !!",O12*(I10+(J10/60)))))</f>
        <v>-9.99633333333333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37581</v>
      </c>
      <c r="K11" s="38"/>
      <c r="L11" s="38"/>
      <c r="M11" s="38"/>
      <c r="N11" s="39" t="str">
        <f aca="false">I9&amp;"°"&amp;J9</f>
        <v>3°0,23</v>
      </c>
      <c r="O11" s="40" t="n">
        <f aca="false">IF(P9=M10,-1,1)</f>
        <v>-1</v>
      </c>
      <c r="P11" s="41" t="str">
        <f aca="false">TEXT(J11,"aaaa-mm-jj")&amp;"T"&amp;TEXT(J12,"hh:mm:ss")&amp;"z"</f>
        <v>2006-11-22T15:30:00z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0.645833333333333</v>
      </c>
      <c r="K12" s="45"/>
      <c r="L12" s="45"/>
      <c r="M12" s="45"/>
      <c r="N12" s="46" t="str">
        <f aca="false">I10&amp;"°"&amp;J10</f>
        <v>9°59,78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179" t="s">
        <v>70</v>
      </c>
      <c r="Y31" s="179"/>
      <c r="Z31" s="89" t="s">
        <v>71</v>
      </c>
      <c r="AA31" s="89"/>
      <c r="AB31" s="180" t="s">
        <v>72</v>
      </c>
      <c r="AC31" s="18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179"/>
      <c r="Y32" s="179"/>
      <c r="Z32" s="89"/>
      <c r="AA32" s="89"/>
      <c r="AB32" s="180"/>
      <c r="AC32" s="18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73" t="s">
        <v>109</v>
      </c>
      <c r="Y33" s="173" t="s">
        <v>110</v>
      </c>
      <c r="Z33" s="100" t="s">
        <v>111</v>
      </c>
      <c r="AA33" s="100" t="s">
        <v>112</v>
      </c>
      <c r="AB33" s="173" t="s">
        <v>113</v>
      </c>
      <c r="AC33" s="174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75" t="s">
        <v>142</v>
      </c>
      <c r="Y34" s="175" t="s">
        <v>143</v>
      </c>
      <c r="Z34" s="108" t="s">
        <v>142</v>
      </c>
      <c r="AA34" s="108" t="s">
        <v>143</v>
      </c>
      <c r="AB34" s="175" t="s">
        <v>142</v>
      </c>
      <c r="AC34" s="176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34.617</v>
      </c>
      <c r="H35" s="118" t="n">
        <v>1000</v>
      </c>
      <c r="I35" s="119" t="n">
        <v>1000</v>
      </c>
      <c r="J35" s="120"/>
      <c r="K35" s="121"/>
      <c r="L35" s="121"/>
      <c r="M35" s="121"/>
      <c r="N35" s="122"/>
      <c r="O35" s="121"/>
      <c r="P35" s="120" t="n">
        <v>3.592</v>
      </c>
      <c r="Q35" s="120"/>
      <c r="R35" s="120"/>
      <c r="S35" s="123" t="n">
        <v>156.2</v>
      </c>
      <c r="T35" s="125" t="n">
        <v>0.01</v>
      </c>
      <c r="U35" s="182" t="n">
        <v>0.00977189408994478</v>
      </c>
      <c r="X35" s="125" t="n">
        <v>33.87</v>
      </c>
      <c r="Y35" s="182" t="n">
        <v>33.0974052826429</v>
      </c>
      <c r="Z35" s="124" t="n">
        <v>2.28</v>
      </c>
      <c r="AA35" s="184" t="n">
        <v>2.22799185250741</v>
      </c>
      <c r="AB35" s="125" t="n">
        <v>32.89</v>
      </c>
      <c r="AC35" s="182" t="n">
        <v>32.1397596618284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34.516</v>
      </c>
      <c r="H36" s="118" t="n">
        <v>600</v>
      </c>
      <c r="I36" s="119" t="n">
        <v>599</v>
      </c>
      <c r="J36" s="132"/>
      <c r="K36" s="133"/>
      <c r="L36" s="133"/>
      <c r="M36" s="133"/>
      <c r="N36" s="134"/>
      <c r="O36" s="133"/>
      <c r="P36" s="132" t="n">
        <v>3.371</v>
      </c>
      <c r="Q36" s="132"/>
      <c r="R36" s="132"/>
      <c r="S36" s="135" t="n">
        <v>146.6</v>
      </c>
      <c r="T36" s="125" t="n">
        <v>0.014</v>
      </c>
      <c r="U36" s="182" t="n">
        <v>0.0136806517259227</v>
      </c>
      <c r="X36" s="125" t="n">
        <v>33.426</v>
      </c>
      <c r="Y36" s="182" t="n">
        <v>32.6635331850494</v>
      </c>
      <c r="Z36" s="124" t="n">
        <v>2.207</v>
      </c>
      <c r="AA36" s="184" t="n">
        <v>2.15665702565081</v>
      </c>
      <c r="AB36" s="125" t="n">
        <v>24.29</v>
      </c>
      <c r="AC36" s="182" t="n">
        <v>23.7359307444759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8"/>
      <c r="G37" s="117" t="n">
        <v>35.2006</v>
      </c>
      <c r="H37" s="131" t="n">
        <v>300</v>
      </c>
      <c r="I37" s="119" t="n">
        <v>299</v>
      </c>
      <c r="J37" s="132"/>
      <c r="K37" s="133"/>
      <c r="L37" s="133"/>
      <c r="M37" s="133"/>
      <c r="N37" s="134"/>
      <c r="O37" s="133"/>
      <c r="P37" s="132" t="n">
        <v>1.947</v>
      </c>
      <c r="Q37" s="132"/>
      <c r="R37" s="132"/>
      <c r="S37" s="135" t="n">
        <v>84.7</v>
      </c>
      <c r="T37" s="125" t="n">
        <v>0.006</v>
      </c>
      <c r="U37" s="182" t="n">
        <v>0.00586313645396687</v>
      </c>
      <c r="X37" s="125" t="n">
        <v>26.754</v>
      </c>
      <c r="Y37" s="182" t="n">
        <v>26.1437254482382</v>
      </c>
      <c r="Z37" s="124" t="n">
        <v>1.717</v>
      </c>
      <c r="AA37" s="184" t="n">
        <v>1.67783421524352</v>
      </c>
      <c r="AB37" s="125" t="n">
        <v>10.85</v>
      </c>
      <c r="AC37" s="182" t="n">
        <v>10.6025050875901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40"/>
      <c r="G38" s="117" t="n">
        <v>35.4931</v>
      </c>
      <c r="H38" s="131" t="n">
        <v>100</v>
      </c>
      <c r="I38" s="119" t="n">
        <v>100</v>
      </c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25" t="n">
        <v>0.028</v>
      </c>
      <c r="U38" s="182" t="n">
        <v>0.0273613034518454</v>
      </c>
      <c r="X38" s="125" t="n">
        <v>20.672</v>
      </c>
      <c r="Y38" s="182" t="n">
        <v>20.2004594627338</v>
      </c>
      <c r="Z38" s="124" t="n">
        <v>1.374</v>
      </c>
      <c r="AA38" s="184" t="n">
        <v>1.34265824795841</v>
      </c>
      <c r="AB38" s="125" t="n">
        <v>7.21</v>
      </c>
      <c r="AC38" s="182" t="n">
        <v>7.04553563885018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6.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8"/>
      <c r="G39" s="117" t="n">
        <v>35.5381</v>
      </c>
      <c r="H39" s="131" t="n">
        <v>80</v>
      </c>
      <c r="I39" s="119" t="n">
        <v>73</v>
      </c>
      <c r="J39" s="132"/>
      <c r="K39" s="133"/>
      <c r="L39" s="133"/>
      <c r="M39" s="133"/>
      <c r="N39" s="134"/>
      <c r="O39" s="133"/>
      <c r="P39" s="132" t="n">
        <v>2.289</v>
      </c>
      <c r="Q39" s="132"/>
      <c r="R39" s="132"/>
      <c r="S39" s="135" t="n">
        <v>99.6</v>
      </c>
      <c r="T39" s="125" t="n">
        <v>0.048</v>
      </c>
      <c r="U39" s="182" t="n">
        <v>0.0469050916317349</v>
      </c>
      <c r="X39" s="125" t="n">
        <v>21.282</v>
      </c>
      <c r="Y39" s="182" t="n">
        <v>20.7965450022205</v>
      </c>
      <c r="Z39" s="124" t="n">
        <v>1.389</v>
      </c>
      <c r="AA39" s="184" t="n">
        <v>1.35731608909333</v>
      </c>
      <c r="AB39" s="125" t="n">
        <v>7</v>
      </c>
      <c r="AC39" s="182" t="n">
        <v>6.84032586296134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8"/>
      <c r="G40" s="117" t="n">
        <v>35.6101</v>
      </c>
      <c r="H40" s="118" t="n">
        <v>60</v>
      </c>
      <c r="I40" s="119" t="n">
        <v>59</v>
      </c>
      <c r="J40" s="132"/>
      <c r="K40" s="133"/>
      <c r="L40" s="133"/>
      <c r="M40" s="133"/>
      <c r="N40" s="134"/>
      <c r="O40" s="133"/>
      <c r="P40" s="132" t="n">
        <v>2.142</v>
      </c>
      <c r="Q40" s="132"/>
      <c r="R40" s="132"/>
      <c r="S40" s="135" t="n">
        <v>93.2</v>
      </c>
      <c r="T40" s="125" t="n">
        <v>0.148</v>
      </c>
      <c r="U40" s="182" t="n">
        <v>0.144624032531183</v>
      </c>
      <c r="X40" s="125" t="n">
        <v>20.502</v>
      </c>
      <c r="Y40" s="182" t="n">
        <v>20.0343372632048</v>
      </c>
      <c r="Z40" s="124" t="n">
        <v>1.364</v>
      </c>
      <c r="AA40" s="184" t="n">
        <v>1.33288635386847</v>
      </c>
      <c r="AB40" s="125" t="n">
        <v>6.39</v>
      </c>
      <c r="AC40" s="182" t="n">
        <v>6.24424032347471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6.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8"/>
      <c r="G41" s="117" t="n">
        <v>35.7315</v>
      </c>
      <c r="H41" s="131" t="n">
        <v>40</v>
      </c>
      <c r="I41" s="119" t="n">
        <v>39</v>
      </c>
      <c r="J41" s="132"/>
      <c r="K41" s="133"/>
      <c r="L41" s="133"/>
      <c r="M41" s="133"/>
      <c r="N41" s="134"/>
      <c r="O41" s="133"/>
      <c r="P41" s="132" t="n">
        <v>3.318</v>
      </c>
      <c r="Q41" s="132"/>
      <c r="R41" s="132"/>
      <c r="S41" s="135" t="n">
        <v>144.5</v>
      </c>
      <c r="T41" s="125" t="n">
        <v>0.209</v>
      </c>
      <c r="U41" s="182" t="n">
        <v>0.204232586479846</v>
      </c>
      <c r="X41" s="125" t="n">
        <v>12.291</v>
      </c>
      <c r="Y41" s="182" t="n">
        <v>12.0106350259511</v>
      </c>
      <c r="Z41" s="124" t="n">
        <v>0.897</v>
      </c>
      <c r="AA41" s="184" t="n">
        <v>0.876538899868046</v>
      </c>
      <c r="AB41" s="125" t="n">
        <v>4.17</v>
      </c>
      <c r="AC41" s="182" t="n">
        <v>4.07487983550697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8"/>
      <c r="G42" s="117" t="n">
        <v>35.9205</v>
      </c>
      <c r="H42" s="118" t="n">
        <v>20</v>
      </c>
      <c r="I42" s="119" t="n">
        <v>19</v>
      </c>
      <c r="J42" s="132"/>
      <c r="K42" s="133"/>
      <c r="L42" s="133"/>
      <c r="M42" s="133"/>
      <c r="N42" s="134"/>
      <c r="O42" s="133"/>
      <c r="P42" s="132" t="n">
        <v>4.724</v>
      </c>
      <c r="Q42" s="132"/>
      <c r="R42" s="132"/>
      <c r="S42" s="135" t="n">
        <v>206.1</v>
      </c>
      <c r="T42" s="125" t="n">
        <v>0.023</v>
      </c>
      <c r="U42" s="182" t="n">
        <v>0.022475356406873</v>
      </c>
      <c r="X42" s="125" t="n">
        <v>0.547</v>
      </c>
      <c r="Y42" s="182" t="n">
        <v>0.534522606719979</v>
      </c>
      <c r="Z42" s="124" t="n">
        <v>0.146</v>
      </c>
      <c r="AA42" s="184" t="n">
        <v>0.142669653713194</v>
      </c>
      <c r="AB42" s="125" t="n">
        <v>1.22</v>
      </c>
      <c r="AC42" s="182" t="n">
        <v>1.19217107897326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8"/>
      <c r="G43" s="117" t="n">
        <v>35.9277</v>
      </c>
      <c r="H43" s="131" t="n">
        <v>10</v>
      </c>
      <c r="I43" s="119" t="n">
        <v>10</v>
      </c>
      <c r="J43" s="132"/>
      <c r="K43" s="133"/>
      <c r="L43" s="133"/>
      <c r="M43" s="133"/>
      <c r="N43" s="134"/>
      <c r="O43" s="133"/>
      <c r="P43" s="132" t="n">
        <v>4.774</v>
      </c>
      <c r="Q43" s="132"/>
      <c r="R43" s="132"/>
      <c r="S43" s="135" t="n">
        <v>208.2</v>
      </c>
      <c r="T43" s="182" t="n">
        <v>0.015</v>
      </c>
      <c r="U43" s="182" t="n">
        <v>0.0146578411349172</v>
      </c>
      <c r="X43" s="182" t="n">
        <v>0.085</v>
      </c>
      <c r="Y43" s="182" t="n">
        <v>0.0830610997645306</v>
      </c>
      <c r="Z43" s="184" t="n">
        <v>0.105</v>
      </c>
      <c r="AA43" s="184" t="n">
        <v>0.10260488794442</v>
      </c>
      <c r="AB43" s="182" t="n">
        <v>1.05</v>
      </c>
      <c r="AC43" s="182" t="n">
        <v>1.0260488794442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8"/>
      <c r="G44" s="117" t="n">
        <v>35.9277</v>
      </c>
      <c r="H44" s="131" t="n">
        <v>10</v>
      </c>
      <c r="I44" s="119" t="n">
        <v>10</v>
      </c>
      <c r="J44" s="132"/>
      <c r="K44" s="133"/>
      <c r="L44" s="133"/>
      <c r="M44" s="133"/>
      <c r="N44" s="134"/>
      <c r="O44" s="133"/>
      <c r="P44" s="132" t="n">
        <v>4.775</v>
      </c>
      <c r="Q44" s="132"/>
      <c r="R44" s="132"/>
      <c r="S44" s="135" t="n">
        <v>208.3</v>
      </c>
      <c r="T44" s="182" t="n">
        <v>0.0115</v>
      </c>
      <c r="U44" s="182" t="n">
        <v>0.0112376782034365</v>
      </c>
      <c r="X44" s="182" t="n">
        <v>0.0835</v>
      </c>
      <c r="Y44" s="182" t="n">
        <v>0.0815953156510389</v>
      </c>
      <c r="Z44" s="184" t="n">
        <v>0.101</v>
      </c>
      <c r="AA44" s="184" t="n">
        <v>0.0986961303084422</v>
      </c>
      <c r="AB44" s="182" t="n">
        <v>1.06</v>
      </c>
      <c r="AC44" s="182" t="n">
        <v>1.03582077353415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8"/>
      <c r="G45" s="117" t="n">
        <v>35.932</v>
      </c>
      <c r="H45" s="131" t="n">
        <v>0</v>
      </c>
      <c r="I45" s="119" t="n">
        <v>0</v>
      </c>
      <c r="J45" s="132"/>
      <c r="K45" s="133"/>
      <c r="L45" s="133"/>
      <c r="M45" s="133"/>
      <c r="N45" s="134"/>
      <c r="O45" s="133"/>
      <c r="P45" s="132" t="n">
        <v>4.758</v>
      </c>
      <c r="Q45" s="132"/>
      <c r="R45" s="132"/>
      <c r="S45" s="143" t="n">
        <v>207.6</v>
      </c>
      <c r="T45" s="125" t="n">
        <v>0.006</v>
      </c>
      <c r="U45" s="182" t="n">
        <v>0.00586313645396687</v>
      </c>
      <c r="X45" s="125" t="n">
        <v>0.104</v>
      </c>
      <c r="Y45" s="182" t="n">
        <v>0.101627698535426</v>
      </c>
      <c r="Z45" s="124" t="n">
        <v>0.092</v>
      </c>
      <c r="AA45" s="184" t="n">
        <v>0.0899014256274919</v>
      </c>
      <c r="AB45" s="125" t="n">
        <v>1.09</v>
      </c>
      <c r="AC45" s="182" t="n">
        <v>1.06513645580398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6"/>
      <c r="U46" s="136"/>
      <c r="V46" s="136"/>
      <c r="W46" s="136"/>
      <c r="X46" s="177"/>
      <c r="Y46" s="177"/>
      <c r="Z46" s="136"/>
      <c r="AA46" s="136"/>
      <c r="AB46" s="177"/>
      <c r="AC46" s="177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3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6"/>
      <c r="U47" s="136"/>
      <c r="V47" s="136"/>
      <c r="W47" s="136"/>
      <c r="X47" s="177"/>
      <c r="Y47" s="177"/>
      <c r="Z47" s="136"/>
      <c r="AA47" s="136"/>
      <c r="AB47" s="177"/>
      <c r="AC47" s="177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3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6"/>
      <c r="U48" s="136"/>
      <c r="V48" s="136"/>
      <c r="W48" s="136"/>
      <c r="X48" s="177"/>
      <c r="Y48" s="177"/>
      <c r="Z48" s="136"/>
      <c r="AA48" s="136"/>
      <c r="AB48" s="177"/>
      <c r="AC48" s="177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77"/>
      <c r="Y50" s="177"/>
      <c r="Z50" s="136"/>
      <c r="AA50" s="136"/>
      <c r="AB50" s="177"/>
      <c r="AC50" s="177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77"/>
      <c r="Y52" s="177"/>
      <c r="Z52" s="136"/>
      <c r="AA52" s="136"/>
      <c r="AB52" s="177"/>
      <c r="AC52" s="177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77"/>
      <c r="Y53" s="177"/>
      <c r="Z53" s="136"/>
      <c r="AA53" s="136"/>
      <c r="AB53" s="177"/>
      <c r="AC53" s="177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77"/>
      <c r="Y54" s="177"/>
      <c r="Z54" s="136"/>
      <c r="AA54" s="136"/>
      <c r="AB54" s="177"/>
      <c r="AC54" s="177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77"/>
      <c r="Y55" s="177"/>
      <c r="Z55" s="136"/>
      <c r="AA55" s="136"/>
      <c r="AB55" s="177"/>
      <c r="AC55" s="177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77"/>
      <c r="Y57" s="177"/>
      <c r="Z57" s="136"/>
      <c r="AA57" s="136"/>
      <c r="AB57" s="177"/>
      <c r="AC57" s="177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8"/>
      <c r="Y58" s="178"/>
      <c r="Z58" s="170"/>
      <c r="AA58" s="170"/>
      <c r="AB58" s="178"/>
      <c r="AC58" s="178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C1" activeCellId="1" sqref="U45 AC1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  <col collapsed="false" customWidth="false" hidden="false" outlineLevel="0" max="25" min="24" style="172" width="9.14"/>
    <col collapsed="false" customWidth="false" hidden="false" outlineLevel="0" max="29" min="28" style="172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3</v>
      </c>
      <c r="J9" s="29" t="n">
        <v>29.99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-3°29,99</v>
      </c>
      <c r="P9" s="29" t="s">
        <v>16</v>
      </c>
      <c r="Q9" s="33" t="n">
        <f aca="false">IF(ISBLANK(I9),"",IF(ISBLANK(J9),"",IF(J9&gt;60,"ERREUR !!",O11*(I9+(J9/60)))))</f>
        <v>-3.49983333333333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9</v>
      </c>
      <c r="J10" s="29" t="n">
        <v>59.92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-9°59,92</v>
      </c>
      <c r="P10" s="29" t="s">
        <v>17</v>
      </c>
      <c r="Q10" s="33" t="n">
        <f aca="false">IF(ISBLANK(I10),"",IF(ISBLANK(J10),"",IF(J10&gt;60,"ERREUR !!",O12*(I10+(J10/60)))))</f>
        <v>-9.99866666666667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37581</v>
      </c>
      <c r="K11" s="38"/>
      <c r="L11" s="38"/>
      <c r="M11" s="38"/>
      <c r="N11" s="39" t="str">
        <f aca="false">I9&amp;"°"&amp;J9</f>
        <v>3°29,99</v>
      </c>
      <c r="O11" s="40" t="n">
        <f aca="false">IF(P9=M10,-1,1)</f>
        <v>-1</v>
      </c>
      <c r="P11" s="41" t="str">
        <f aca="false">TEXT(J11,"aaaa-mm-jj")&amp;"T"&amp;TEXT(J12,"hh:mm:ss")&amp;"z"</f>
        <v>2006-11-22T20:00:00z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0.833333333333333</v>
      </c>
      <c r="K12" s="45"/>
      <c r="L12" s="45"/>
      <c r="M12" s="45"/>
      <c r="N12" s="46" t="str">
        <f aca="false">I10&amp;"°"&amp;J10</f>
        <v>9°59,92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179" t="s">
        <v>70</v>
      </c>
      <c r="Y31" s="179"/>
      <c r="Z31" s="89" t="s">
        <v>71</v>
      </c>
      <c r="AA31" s="89"/>
      <c r="AB31" s="180" t="s">
        <v>72</v>
      </c>
      <c r="AC31" s="18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179"/>
      <c r="Y32" s="179"/>
      <c r="Z32" s="89"/>
      <c r="AA32" s="89"/>
      <c r="AB32" s="180"/>
      <c r="AC32" s="18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73" t="s">
        <v>109</v>
      </c>
      <c r="Y33" s="173" t="s">
        <v>110</v>
      </c>
      <c r="Z33" s="100" t="s">
        <v>111</v>
      </c>
      <c r="AA33" s="100" t="s">
        <v>112</v>
      </c>
      <c r="AB33" s="173" t="s">
        <v>113</v>
      </c>
      <c r="AC33" s="174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75" t="s">
        <v>142</v>
      </c>
      <c r="Y34" s="175" t="s">
        <v>143</v>
      </c>
      <c r="Z34" s="108" t="s">
        <v>142</v>
      </c>
      <c r="AA34" s="108" t="s">
        <v>143</v>
      </c>
      <c r="AB34" s="175" t="s">
        <v>142</v>
      </c>
      <c r="AC34" s="176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34.5869</v>
      </c>
      <c r="H35" s="118" t="n">
        <v>1000</v>
      </c>
      <c r="I35" s="119" t="n">
        <v>1002</v>
      </c>
      <c r="J35" s="120"/>
      <c r="K35" s="121"/>
      <c r="L35" s="121"/>
      <c r="M35" s="121"/>
      <c r="N35" s="122"/>
      <c r="O35" s="121"/>
      <c r="P35" s="120" t="n">
        <v>3.548</v>
      </c>
      <c r="Q35" s="120"/>
      <c r="R35" s="120"/>
      <c r="S35" s="123" t="n">
        <v>154.2</v>
      </c>
      <c r="T35" s="124" t="n">
        <v>0.042</v>
      </c>
      <c r="U35" s="184" t="n">
        <v>0.0410419551777681</v>
      </c>
      <c r="X35" s="125" t="n">
        <v>34.898</v>
      </c>
      <c r="Y35" s="182" t="n">
        <v>34.1019559950893</v>
      </c>
      <c r="Z35" s="124" t="n">
        <v>2.312</v>
      </c>
      <c r="AA35" s="184" t="n">
        <v>2.25926191359523</v>
      </c>
      <c r="AB35" s="125" t="n">
        <v>34.03</v>
      </c>
      <c r="AC35" s="182" t="n">
        <v>33.2537555880821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34.5244</v>
      </c>
      <c r="H36" s="118" t="n">
        <v>600</v>
      </c>
      <c r="I36" s="119" t="n">
        <v>599</v>
      </c>
      <c r="J36" s="132"/>
      <c r="K36" s="133"/>
      <c r="L36" s="133"/>
      <c r="M36" s="133"/>
      <c r="N36" s="134"/>
      <c r="O36" s="133"/>
      <c r="P36" s="132" t="n">
        <v>3.144</v>
      </c>
      <c r="Q36" s="132"/>
      <c r="R36" s="132"/>
      <c r="S36" s="135" t="n">
        <v>136.7</v>
      </c>
      <c r="T36" s="124" t="n">
        <v>0.018</v>
      </c>
      <c r="U36" s="184" t="n">
        <v>0.0175894093619006</v>
      </c>
      <c r="X36" s="125" t="n">
        <v>34.752</v>
      </c>
      <c r="Y36" s="182" t="n">
        <v>33.9592863413761</v>
      </c>
      <c r="Z36" s="124" t="n">
        <v>2.256</v>
      </c>
      <c r="AA36" s="184" t="n">
        <v>2.20453930669154</v>
      </c>
      <c r="AB36" s="125" t="n">
        <v>24.69</v>
      </c>
      <c r="AC36" s="182" t="n">
        <v>24.1268065080736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8"/>
      <c r="G37" s="117" t="n">
        <v>35.136</v>
      </c>
      <c r="H37" s="131" t="n">
        <v>300</v>
      </c>
      <c r="I37" s="119" t="n">
        <v>300</v>
      </c>
      <c r="J37" s="132"/>
      <c r="K37" s="133"/>
      <c r="L37" s="133"/>
      <c r="M37" s="133"/>
      <c r="N37" s="134"/>
      <c r="O37" s="133"/>
      <c r="P37" s="132" t="n">
        <v>1.96</v>
      </c>
      <c r="Q37" s="132"/>
      <c r="R37" s="132"/>
      <c r="S37" s="135" t="n">
        <v>85.3</v>
      </c>
      <c r="T37" s="124" t="n">
        <v>0.028</v>
      </c>
      <c r="U37" s="184" t="n">
        <v>0.0273613034518454</v>
      </c>
      <c r="X37" s="125" t="n">
        <v>27.732</v>
      </c>
      <c r="Y37" s="182" t="n">
        <v>27.0994166902349</v>
      </c>
      <c r="Z37" s="124" t="n">
        <v>1.739</v>
      </c>
      <c r="AA37" s="184" t="n">
        <v>1.6993323822414</v>
      </c>
      <c r="AB37" s="125" t="n">
        <v>11.1</v>
      </c>
      <c r="AC37" s="182" t="n">
        <v>10.8468024398387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40"/>
      <c r="G38" s="117" t="n">
        <v>35.4968</v>
      </c>
      <c r="H38" s="131" t="n">
        <v>100</v>
      </c>
      <c r="I38" s="119" t="n">
        <v>100</v>
      </c>
      <c r="J38" s="132"/>
      <c r="K38" s="132"/>
      <c r="L38" s="132"/>
      <c r="M38" s="132"/>
      <c r="N38" s="132"/>
      <c r="O38" s="132"/>
      <c r="P38" s="132" t="n">
        <v>2.152</v>
      </c>
      <c r="Q38" s="132"/>
      <c r="R38" s="132"/>
      <c r="S38" s="135" t="n">
        <v>93.6</v>
      </c>
      <c r="T38" s="124" t="n">
        <v>0.027</v>
      </c>
      <c r="U38" s="184" t="n">
        <v>0.0263841140428509</v>
      </c>
      <c r="X38" s="125" t="n">
        <v>22.363</v>
      </c>
      <c r="Y38" s="182" t="n">
        <v>21.8528867533435</v>
      </c>
      <c r="Z38" s="124" t="n">
        <v>1.434</v>
      </c>
      <c r="AA38" s="184" t="n">
        <v>1.40128961249808</v>
      </c>
      <c r="AB38" s="125" t="n">
        <v>7.76</v>
      </c>
      <c r="AC38" s="182" t="n">
        <v>7.58298981379715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6.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8"/>
      <c r="G39" s="117" t="n">
        <v>35.5578</v>
      </c>
      <c r="H39" s="131" t="n">
        <v>80</v>
      </c>
      <c r="I39" s="119" t="n">
        <v>78</v>
      </c>
      <c r="J39" s="132"/>
      <c r="K39" s="133"/>
      <c r="L39" s="133"/>
      <c r="M39" s="133"/>
      <c r="N39" s="134"/>
      <c r="O39" s="133"/>
      <c r="P39" s="132" t="n">
        <v>2.215</v>
      </c>
      <c r="Q39" s="132"/>
      <c r="R39" s="132"/>
      <c r="S39" s="135" t="n">
        <v>96.4</v>
      </c>
      <c r="T39" s="124" t="n">
        <v>0.095</v>
      </c>
      <c r="U39" s="184" t="n">
        <v>0.0928329938544754</v>
      </c>
      <c r="X39" s="125" t="n">
        <v>21.185</v>
      </c>
      <c r="Y39" s="182" t="n">
        <v>20.701757629548</v>
      </c>
      <c r="Z39" s="124" t="n">
        <v>1.374</v>
      </c>
      <c r="AA39" s="184" t="n">
        <v>1.34265824795841</v>
      </c>
      <c r="AB39" s="125" t="n">
        <v>7.05</v>
      </c>
      <c r="AC39" s="182" t="n">
        <v>6.88918533341107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8"/>
      <c r="G40" s="117" t="n">
        <v>35.5999</v>
      </c>
      <c r="H40" s="118" t="n">
        <v>60</v>
      </c>
      <c r="I40" s="119" t="n">
        <v>60</v>
      </c>
      <c r="J40" s="132"/>
      <c r="K40" s="133"/>
      <c r="L40" s="133"/>
      <c r="M40" s="133"/>
      <c r="N40" s="134"/>
      <c r="O40" s="133"/>
      <c r="P40" s="132" t="n">
        <v>2.42</v>
      </c>
      <c r="Q40" s="132"/>
      <c r="R40" s="132"/>
      <c r="S40" s="135" t="n">
        <v>105.4</v>
      </c>
      <c r="T40" s="124" t="n">
        <v>0.226</v>
      </c>
      <c r="U40" s="184" t="n">
        <v>0.220844806432752</v>
      </c>
      <c r="X40" s="125" t="n">
        <v>19.484</v>
      </c>
      <c r="Y40" s="182" t="n">
        <v>19.0395584448484</v>
      </c>
      <c r="Z40" s="124" t="n">
        <v>1.272</v>
      </c>
      <c r="AA40" s="184" t="n">
        <v>1.24298492824098</v>
      </c>
      <c r="AB40" s="125" t="n">
        <v>6.34</v>
      </c>
      <c r="AC40" s="182" t="n">
        <v>6.19538085302499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6.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8"/>
      <c r="G41" s="117" t="n">
        <v>35.865</v>
      </c>
      <c r="H41" s="131" t="n">
        <v>40</v>
      </c>
      <c r="I41" s="119" t="n">
        <v>40</v>
      </c>
      <c r="J41" s="132"/>
      <c r="K41" s="133"/>
      <c r="L41" s="133"/>
      <c r="M41" s="133"/>
      <c r="N41" s="134"/>
      <c r="O41" s="133"/>
      <c r="P41" s="132" t="n">
        <v>4.531</v>
      </c>
      <c r="Q41" s="132"/>
      <c r="R41" s="132"/>
      <c r="S41" s="135" t="n">
        <v>197.5</v>
      </c>
      <c r="T41" s="124" t="n">
        <v>0.072</v>
      </c>
      <c r="U41" s="184" t="n">
        <v>0.0703576374476024</v>
      </c>
      <c r="X41" s="125" t="n">
        <v>2.258</v>
      </c>
      <c r="Y41" s="182" t="n">
        <v>2.20649368550953</v>
      </c>
      <c r="Z41" s="124" t="n">
        <v>0.247</v>
      </c>
      <c r="AA41" s="184" t="n">
        <v>0.241365784021636</v>
      </c>
      <c r="AB41" s="125" t="n">
        <v>1.58</v>
      </c>
      <c r="AC41" s="182" t="n">
        <v>1.54395926621127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8"/>
      <c r="G42" s="117" t="n">
        <v>35.8729</v>
      </c>
      <c r="H42" s="118" t="n">
        <v>20</v>
      </c>
      <c r="I42" s="119" t="n">
        <v>19.6</v>
      </c>
      <c r="J42" s="132"/>
      <c r="K42" s="133"/>
      <c r="L42" s="133"/>
      <c r="M42" s="133"/>
      <c r="N42" s="134"/>
      <c r="O42" s="133"/>
      <c r="P42" s="132" t="n">
        <v>4.78</v>
      </c>
      <c r="Q42" s="132"/>
      <c r="R42" s="132"/>
      <c r="S42" s="135" t="n">
        <v>208.5</v>
      </c>
      <c r="T42" s="124" t="n">
        <v>0.022</v>
      </c>
      <c r="U42" s="184" t="n">
        <v>0.0214981669978785</v>
      </c>
      <c r="X42" s="125" t="n">
        <v>0.148</v>
      </c>
      <c r="Y42" s="182" t="n">
        <v>0.144624032531183</v>
      </c>
      <c r="Z42" s="124" t="n">
        <v>0.068</v>
      </c>
      <c r="AA42" s="184" t="n">
        <v>0.0664488798116245</v>
      </c>
      <c r="AB42" s="125" t="n">
        <v>0.98</v>
      </c>
      <c r="AC42" s="182" t="n">
        <v>0.957645620814588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8"/>
      <c r="G43" s="117" t="n">
        <v>35.8755</v>
      </c>
      <c r="H43" s="131" t="n">
        <v>10</v>
      </c>
      <c r="I43" s="119" t="n">
        <v>10.2</v>
      </c>
      <c r="J43" s="132"/>
      <c r="K43" s="133"/>
      <c r="L43" s="133"/>
      <c r="M43" s="133"/>
      <c r="N43" s="134"/>
      <c r="O43" s="133"/>
      <c r="P43" s="132" t="n">
        <v>4.759</v>
      </c>
      <c r="Q43" s="132"/>
      <c r="R43" s="132"/>
      <c r="S43" s="135" t="n">
        <v>207.6</v>
      </c>
      <c r="T43" s="124" t="n">
        <v>0.006</v>
      </c>
      <c r="U43" s="184" t="n">
        <v>0.00586313645396687</v>
      </c>
      <c r="X43" s="125" t="n">
        <v>0.084</v>
      </c>
      <c r="Y43" s="182" t="n">
        <v>0.0820839103555361</v>
      </c>
      <c r="Z43" s="124" t="n">
        <v>0.067</v>
      </c>
      <c r="AA43" s="184" t="n">
        <v>0.06547169040263</v>
      </c>
      <c r="AB43" s="125" t="n">
        <v>0.94</v>
      </c>
      <c r="AC43" s="182" t="n">
        <v>0.918558044454809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8"/>
      <c r="G44" s="117" t="n">
        <v>35.8754</v>
      </c>
      <c r="H44" s="131" t="n">
        <v>0</v>
      </c>
      <c r="I44" s="119" t="n">
        <v>0.7</v>
      </c>
      <c r="J44" s="132"/>
      <c r="K44" s="133"/>
      <c r="L44" s="133"/>
      <c r="M44" s="133"/>
      <c r="N44" s="134"/>
      <c r="O44" s="133"/>
      <c r="P44" s="132" t="n">
        <v>4.753</v>
      </c>
      <c r="Q44" s="132"/>
      <c r="R44" s="132"/>
      <c r="S44" s="135" t="n">
        <v>207.3</v>
      </c>
      <c r="T44" s="184" t="n">
        <v>0.016</v>
      </c>
      <c r="U44" s="184" t="n">
        <v>0.0156350305439116</v>
      </c>
      <c r="X44" s="182" t="n">
        <v>0.084</v>
      </c>
      <c r="Y44" s="182" t="n">
        <v>0.0820839103555361</v>
      </c>
      <c r="Z44" s="184" t="n">
        <v>0.075</v>
      </c>
      <c r="AA44" s="184" t="n">
        <v>0.0732892056745858</v>
      </c>
      <c r="AB44" s="182" t="n">
        <v>0.99</v>
      </c>
      <c r="AC44" s="182" t="n">
        <v>0.967417514904533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8"/>
      <c r="G45" s="117" t="n">
        <v>35.8755</v>
      </c>
      <c r="H45" s="131" t="n">
        <v>0</v>
      </c>
      <c r="I45" s="119" t="n">
        <v>0.7</v>
      </c>
      <c r="J45" s="132"/>
      <c r="K45" s="133"/>
      <c r="L45" s="133"/>
      <c r="M45" s="133"/>
      <c r="N45" s="134"/>
      <c r="O45" s="133"/>
      <c r="P45" s="132" t="n">
        <v>4.775</v>
      </c>
      <c r="Q45" s="132"/>
      <c r="R45" s="132"/>
      <c r="S45" s="143" t="n">
        <v>208.3</v>
      </c>
      <c r="T45" s="184" t="n">
        <v>0.0015</v>
      </c>
      <c r="U45" s="184" t="n">
        <v>0.00146578411349172</v>
      </c>
      <c r="X45" s="182" t="n">
        <v>0.0785</v>
      </c>
      <c r="Y45" s="182" t="n">
        <v>0.0767093686060665</v>
      </c>
      <c r="Z45" s="184" t="n">
        <v>0.077</v>
      </c>
      <c r="AA45" s="184" t="n">
        <v>0.0752435844925747</v>
      </c>
      <c r="AB45" s="182" t="n">
        <v>0.96</v>
      </c>
      <c r="AC45" s="182" t="n">
        <v>0.938101832634698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6"/>
      <c r="U46" s="136"/>
      <c r="V46" s="136"/>
      <c r="W46" s="136"/>
      <c r="X46" s="177"/>
      <c r="Y46" s="177"/>
      <c r="Z46" s="136"/>
      <c r="AA46" s="136"/>
      <c r="AB46" s="177"/>
      <c r="AC46" s="177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3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6"/>
      <c r="U47" s="136"/>
      <c r="V47" s="136"/>
      <c r="W47" s="136"/>
      <c r="X47" s="177"/>
      <c r="Y47" s="177"/>
      <c r="Z47" s="136"/>
      <c r="AA47" s="136"/>
      <c r="AB47" s="177"/>
      <c r="AC47" s="177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3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6"/>
      <c r="U48" s="136"/>
      <c r="V48" s="136"/>
      <c r="W48" s="136"/>
      <c r="X48" s="177"/>
      <c r="Y48" s="177"/>
      <c r="Z48" s="136"/>
      <c r="AA48" s="136"/>
      <c r="AB48" s="177"/>
      <c r="AC48" s="177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77"/>
      <c r="Y50" s="177"/>
      <c r="Z50" s="136"/>
      <c r="AA50" s="136"/>
      <c r="AB50" s="177"/>
      <c r="AC50" s="177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77"/>
      <c r="Y52" s="177"/>
      <c r="Z52" s="136"/>
      <c r="AA52" s="136"/>
      <c r="AB52" s="177"/>
      <c r="AC52" s="177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77"/>
      <c r="Y53" s="177"/>
      <c r="Z53" s="136"/>
      <c r="AA53" s="136"/>
      <c r="AB53" s="177"/>
      <c r="AC53" s="177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77"/>
      <c r="Y54" s="177"/>
      <c r="Z54" s="136"/>
      <c r="AA54" s="136"/>
      <c r="AB54" s="177"/>
      <c r="AC54" s="177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77"/>
      <c r="Y55" s="177"/>
      <c r="Z55" s="136"/>
      <c r="AA55" s="136"/>
      <c r="AB55" s="177"/>
      <c r="AC55" s="177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77"/>
      <c r="Y57" s="177"/>
      <c r="Z57" s="136"/>
      <c r="AA57" s="136"/>
      <c r="AB57" s="177"/>
      <c r="AC57" s="177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8"/>
      <c r="Y58" s="178"/>
      <c r="Z58" s="170"/>
      <c r="AA58" s="170"/>
      <c r="AB58" s="178"/>
      <c r="AC58" s="178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C1" activeCellId="1" sqref="U45 AC1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  <col collapsed="false" customWidth="false" hidden="false" outlineLevel="0" max="25" min="24" style="172" width="9.14"/>
    <col collapsed="false" customWidth="false" hidden="false" outlineLevel="0" max="29" min="28" style="172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4</v>
      </c>
      <c r="J9" s="29" t="n">
        <v>0.32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-4°0,32</v>
      </c>
      <c r="P9" s="29" t="s">
        <v>16</v>
      </c>
      <c r="Q9" s="33" t="n">
        <f aca="false">IF(ISBLANK(I9),"",IF(ISBLANK(J9),"",IF(J9&gt;60,"ERREUR !!",O11*(I9+(J9/60)))))</f>
        <v>-4.00533333333333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9</v>
      </c>
      <c r="J10" s="29" t="n">
        <v>59.73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-9°59,73</v>
      </c>
      <c r="P10" s="29" t="s">
        <v>17</v>
      </c>
      <c r="Q10" s="33" t="n">
        <f aca="false">IF(ISBLANK(I10),"",IF(ISBLANK(J10),"",IF(J10&gt;60,"ERREUR !!",O12*(I10+(J10/60)))))</f>
        <v>-9.9955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37582</v>
      </c>
      <c r="K11" s="38"/>
      <c r="L11" s="38"/>
      <c r="M11" s="38"/>
      <c r="N11" s="39" t="str">
        <f aca="false">I9&amp;"°"&amp;J9</f>
        <v>4°0,32</v>
      </c>
      <c r="O11" s="40" t="n">
        <f aca="false">IF(P9=M10,-1,1)</f>
        <v>-1</v>
      </c>
      <c r="P11" s="41" t="str">
        <f aca="false">TEXT(J11,"aaaa-mm-jj")&amp;"T"&amp;TEXT(J12,"hh:mm:ss")&amp;"z"</f>
        <v>2006-11-23T01:00:00z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0.0416666666666667</v>
      </c>
      <c r="K12" s="45"/>
      <c r="L12" s="45"/>
      <c r="M12" s="45"/>
      <c r="N12" s="46" t="str">
        <f aca="false">I10&amp;"°"&amp;J10</f>
        <v>9°59,73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179" t="s">
        <v>70</v>
      </c>
      <c r="Y31" s="179"/>
      <c r="Z31" s="89" t="s">
        <v>71</v>
      </c>
      <c r="AA31" s="89"/>
      <c r="AB31" s="180" t="s">
        <v>72</v>
      </c>
      <c r="AC31" s="18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179"/>
      <c r="Y32" s="179"/>
      <c r="Z32" s="89"/>
      <c r="AA32" s="89"/>
      <c r="AB32" s="180"/>
      <c r="AC32" s="18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73" t="s">
        <v>109</v>
      </c>
      <c r="Y33" s="173" t="s">
        <v>110</v>
      </c>
      <c r="Z33" s="100" t="s">
        <v>111</v>
      </c>
      <c r="AA33" s="100" t="s">
        <v>112</v>
      </c>
      <c r="AB33" s="173" t="s">
        <v>113</v>
      </c>
      <c r="AC33" s="174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75" t="s">
        <v>142</v>
      </c>
      <c r="Y34" s="175" t="s">
        <v>143</v>
      </c>
      <c r="Z34" s="108" t="s">
        <v>142</v>
      </c>
      <c r="AA34" s="108" t="s">
        <v>143</v>
      </c>
      <c r="AB34" s="175" t="s">
        <v>142</v>
      </c>
      <c r="AC34" s="176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34.5886</v>
      </c>
      <c r="H35" s="118" t="n">
        <v>1000</v>
      </c>
      <c r="I35" s="119" t="n">
        <v>1008</v>
      </c>
      <c r="J35" s="120"/>
      <c r="K35" s="121"/>
      <c r="L35" s="121"/>
      <c r="M35" s="121"/>
      <c r="N35" s="122"/>
      <c r="O35" s="121"/>
      <c r="P35" s="120" t="n">
        <v>3.597</v>
      </c>
      <c r="Q35" s="120"/>
      <c r="R35" s="120"/>
      <c r="S35" s="123" t="n">
        <v>156.4</v>
      </c>
      <c r="T35" s="184" t="n">
        <v>0.0095</v>
      </c>
      <c r="U35" s="184" t="n">
        <v>0.00928329938544754</v>
      </c>
      <c r="X35" s="182" t="n">
        <v>34.4005</v>
      </c>
      <c r="Y35" s="182" t="n">
        <v>33.6158042641145</v>
      </c>
      <c r="Z35" s="184" t="n">
        <v>2.3095</v>
      </c>
      <c r="AA35" s="184" t="n">
        <v>2.25681894007275</v>
      </c>
      <c r="AB35" s="182" t="n">
        <v>33.205</v>
      </c>
      <c r="AC35" s="182" t="n">
        <v>32.4475743256616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6.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34.5904</v>
      </c>
      <c r="H36" s="118" t="n">
        <v>1000</v>
      </c>
      <c r="I36" s="119" t="n">
        <v>1007</v>
      </c>
      <c r="J36" s="132"/>
      <c r="K36" s="133"/>
      <c r="L36" s="133"/>
      <c r="M36" s="133"/>
      <c r="N36" s="134"/>
      <c r="O36" s="133"/>
      <c r="P36" s="132" t="n">
        <v>3.558</v>
      </c>
      <c r="Q36" s="132"/>
      <c r="R36" s="132"/>
      <c r="S36" s="135" t="n">
        <v>154.7</v>
      </c>
      <c r="T36" s="184" t="n">
        <v>0.015</v>
      </c>
      <c r="U36" s="184" t="n">
        <v>0.0146578411349172</v>
      </c>
      <c r="X36" s="182" t="n">
        <v>34.605</v>
      </c>
      <c r="Y36" s="182" t="n">
        <v>33.8156394982539</v>
      </c>
      <c r="Z36" s="184" t="n">
        <v>2.298</v>
      </c>
      <c r="AA36" s="184" t="n">
        <v>2.24558126186931</v>
      </c>
      <c r="AB36" s="182" t="n">
        <v>33.62</v>
      </c>
      <c r="AC36" s="182" t="n">
        <v>32.8531079303943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8"/>
      <c r="G37" s="117" t="n">
        <v>34.5098</v>
      </c>
      <c r="H37" s="118" t="n">
        <v>600</v>
      </c>
      <c r="I37" s="119" t="n">
        <v>598</v>
      </c>
      <c r="J37" s="132"/>
      <c r="K37" s="133"/>
      <c r="L37" s="133"/>
      <c r="M37" s="133"/>
      <c r="N37" s="134"/>
      <c r="O37" s="133"/>
      <c r="P37" s="132" t="n">
        <v>3.325</v>
      </c>
      <c r="Q37" s="132"/>
      <c r="R37" s="132"/>
      <c r="S37" s="135" t="n">
        <v>144.6</v>
      </c>
      <c r="T37" s="124" t="n">
        <v>0.016</v>
      </c>
      <c r="U37" s="184" t="n">
        <v>0.0156350305439116</v>
      </c>
      <c r="X37" s="125" t="n">
        <v>34.424</v>
      </c>
      <c r="Y37" s="182" t="n">
        <v>33.6387682152259</v>
      </c>
      <c r="Z37" s="124" t="n">
        <v>2.241</v>
      </c>
      <c r="AA37" s="184" t="n">
        <v>2.18988146555662</v>
      </c>
      <c r="AB37" s="125" t="n">
        <v>25.21</v>
      </c>
      <c r="AC37" s="182" t="n">
        <v>24.6349450007508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40"/>
      <c r="G38" s="117" t="n">
        <v>35.1254</v>
      </c>
      <c r="H38" s="131" t="n">
        <v>300</v>
      </c>
      <c r="I38" s="119" t="n">
        <v>298</v>
      </c>
      <c r="J38" s="132"/>
      <c r="K38" s="132"/>
      <c r="L38" s="132"/>
      <c r="M38" s="132"/>
      <c r="N38" s="132"/>
      <c r="O38" s="132"/>
      <c r="P38" s="132" t="n">
        <v>1.714</v>
      </c>
      <c r="Q38" s="132"/>
      <c r="R38" s="132"/>
      <c r="S38" s="135" t="n">
        <v>74.6</v>
      </c>
      <c r="T38" s="124" t="n">
        <v>0.009</v>
      </c>
      <c r="U38" s="184" t="n">
        <v>0.0087947046809503</v>
      </c>
      <c r="X38" s="125" t="n">
        <v>28.931</v>
      </c>
      <c r="Y38" s="182" t="n">
        <v>28.2710667916192</v>
      </c>
      <c r="Z38" s="124" t="n">
        <v>1.812</v>
      </c>
      <c r="AA38" s="184" t="n">
        <v>1.77066720909799</v>
      </c>
      <c r="AB38" s="125" t="n">
        <v>11.64</v>
      </c>
      <c r="AC38" s="182" t="n">
        <v>11.3744847206957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8"/>
      <c r="G39" s="117" t="n">
        <v>35.512</v>
      </c>
      <c r="H39" s="131" t="n">
        <v>100</v>
      </c>
      <c r="I39" s="119" t="n">
        <v>99</v>
      </c>
      <c r="J39" s="132"/>
      <c r="K39" s="133"/>
      <c r="L39" s="133"/>
      <c r="M39" s="133"/>
      <c r="N39" s="134"/>
      <c r="O39" s="133"/>
      <c r="P39" s="132" t="n">
        <v>2.2</v>
      </c>
      <c r="Q39" s="132"/>
      <c r="R39" s="132"/>
      <c r="S39" s="135" t="n">
        <v>95.7</v>
      </c>
      <c r="T39" s="124" t="n">
        <v>0.025</v>
      </c>
      <c r="U39" s="184" t="n">
        <v>0.0244297352248619</v>
      </c>
      <c r="X39" s="125" t="n">
        <v>21.865</v>
      </c>
      <c r="Y39" s="182" t="n">
        <v>21.3662464276643</v>
      </c>
      <c r="Z39" s="124" t="n">
        <v>1.418</v>
      </c>
      <c r="AA39" s="184" t="n">
        <v>1.38565458195417</v>
      </c>
      <c r="AB39" s="125" t="n">
        <v>7.58</v>
      </c>
      <c r="AC39" s="182" t="n">
        <v>7.40709572017814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8"/>
      <c r="G40" s="117" t="n">
        <v>35.5597</v>
      </c>
      <c r="H40" s="131" t="n">
        <v>80</v>
      </c>
      <c r="I40" s="119" t="n">
        <v>69</v>
      </c>
      <c r="J40" s="132"/>
      <c r="K40" s="133"/>
      <c r="L40" s="133"/>
      <c r="M40" s="133"/>
      <c r="N40" s="134"/>
      <c r="O40" s="133"/>
      <c r="P40" s="132" t="n">
        <v>2.234</v>
      </c>
      <c r="Q40" s="132"/>
      <c r="R40" s="132"/>
      <c r="S40" s="135" t="n">
        <v>97.2</v>
      </c>
      <c r="T40" s="124" t="n">
        <v>0.119</v>
      </c>
      <c r="U40" s="184" t="n">
        <v>0.116285539670343</v>
      </c>
      <c r="X40" s="125" t="n">
        <v>21.091</v>
      </c>
      <c r="Y40" s="182" t="n">
        <v>20.6099018251025</v>
      </c>
      <c r="Z40" s="124" t="n">
        <v>1.375</v>
      </c>
      <c r="AA40" s="184" t="n">
        <v>1.34363543736741</v>
      </c>
      <c r="AB40" s="125" t="n">
        <v>7.02</v>
      </c>
      <c r="AC40" s="182" t="n">
        <v>6.85986965114123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8"/>
      <c r="G41" s="117" t="n">
        <v>35.6054</v>
      </c>
      <c r="H41" s="118" t="n">
        <v>60</v>
      </c>
      <c r="I41" s="119" t="n">
        <v>56</v>
      </c>
      <c r="J41" s="132"/>
      <c r="K41" s="133"/>
      <c r="L41" s="133"/>
      <c r="M41" s="133"/>
      <c r="N41" s="134"/>
      <c r="O41" s="133"/>
      <c r="P41" s="132" t="n">
        <v>2.471</v>
      </c>
      <c r="Q41" s="132"/>
      <c r="R41" s="132"/>
      <c r="S41" s="135" t="n">
        <v>107.6</v>
      </c>
      <c r="T41" s="124" t="n">
        <v>0.216</v>
      </c>
      <c r="U41" s="184" t="n">
        <v>0.211072912342807</v>
      </c>
      <c r="X41" s="125" t="n">
        <v>19.234</v>
      </c>
      <c r="Y41" s="182" t="n">
        <v>18.7952610925998</v>
      </c>
      <c r="Z41" s="124" t="n">
        <v>1.278</v>
      </c>
      <c r="AA41" s="184" t="n">
        <v>1.24884806469494</v>
      </c>
      <c r="AB41" s="125" t="n">
        <v>6.14</v>
      </c>
      <c r="AC41" s="182" t="n">
        <v>5.99994297122609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6.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8"/>
      <c r="G42" s="117" t="n">
        <v>35.817</v>
      </c>
      <c r="H42" s="131" t="n">
        <v>40</v>
      </c>
      <c r="I42" s="119" t="n">
        <v>39</v>
      </c>
      <c r="J42" s="132"/>
      <c r="K42" s="133"/>
      <c r="L42" s="133"/>
      <c r="M42" s="133"/>
      <c r="N42" s="134"/>
      <c r="O42" s="133"/>
      <c r="P42" s="132" t="n">
        <v>3.95</v>
      </c>
      <c r="Q42" s="132"/>
      <c r="R42" s="132"/>
      <c r="S42" s="135" t="n">
        <v>172.1</v>
      </c>
      <c r="T42" s="124" t="n">
        <v>0.151</v>
      </c>
      <c r="U42" s="184" t="n">
        <v>0.147555600758166</v>
      </c>
      <c r="X42" s="125" t="n">
        <v>6.759</v>
      </c>
      <c r="Y42" s="182" t="n">
        <v>6.60482321539367</v>
      </c>
      <c r="Z42" s="124" t="n">
        <v>0.6</v>
      </c>
      <c r="AA42" s="184" t="n">
        <v>0.586313645396686</v>
      </c>
      <c r="AB42" s="125" t="n">
        <v>2.8</v>
      </c>
      <c r="AC42" s="182" t="n">
        <v>2.73613034518454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8"/>
      <c r="G43" s="117" t="n">
        <v>35.879</v>
      </c>
      <c r="H43" s="118" t="n">
        <v>20</v>
      </c>
      <c r="I43" s="119" t="n">
        <v>20</v>
      </c>
      <c r="J43" s="132"/>
      <c r="K43" s="133"/>
      <c r="L43" s="133"/>
      <c r="M43" s="133"/>
      <c r="N43" s="134"/>
      <c r="O43" s="133"/>
      <c r="P43" s="132" t="n">
        <v>4.746</v>
      </c>
      <c r="Q43" s="132"/>
      <c r="R43" s="132"/>
      <c r="S43" s="135" t="n">
        <v>207</v>
      </c>
      <c r="T43" s="124" t="n">
        <v>0.015</v>
      </c>
      <c r="U43" s="184" t="n">
        <v>0.0146578411349172</v>
      </c>
      <c r="X43" s="125" t="n">
        <v>0.025</v>
      </c>
      <c r="Y43" s="182" t="n">
        <v>0.0244297352248619</v>
      </c>
      <c r="Z43" s="124" t="n">
        <v>0.088</v>
      </c>
      <c r="AA43" s="184" t="n">
        <v>0.085992667991514</v>
      </c>
      <c r="AB43" s="125" t="n">
        <v>0.9</v>
      </c>
      <c r="AC43" s="182" t="n">
        <v>0.87947046809503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8"/>
      <c r="G44" s="117" t="n">
        <v>35.8792</v>
      </c>
      <c r="H44" s="131" t="n">
        <v>10</v>
      </c>
      <c r="I44" s="119" t="n">
        <v>10</v>
      </c>
      <c r="J44" s="132"/>
      <c r="K44" s="133"/>
      <c r="L44" s="133"/>
      <c r="M44" s="133"/>
      <c r="N44" s="134"/>
      <c r="O44" s="133"/>
      <c r="P44" s="132" t="n">
        <v>4.778</v>
      </c>
      <c r="Q44" s="132"/>
      <c r="R44" s="132"/>
      <c r="S44" s="135" t="n">
        <v>208.4</v>
      </c>
      <c r="T44" s="124" t="n">
        <v>0.015</v>
      </c>
      <c r="U44" s="184" t="n">
        <v>0.0146578411349172</v>
      </c>
      <c r="X44" s="125" t="n">
        <v>0.015</v>
      </c>
      <c r="Y44" s="182" t="n">
        <v>0.0146578411349172</v>
      </c>
      <c r="Z44" s="124" t="n">
        <v>0.083</v>
      </c>
      <c r="AA44" s="184" t="n">
        <v>0.0811067209465416</v>
      </c>
      <c r="AB44" s="125" t="n">
        <v>0.92</v>
      </c>
      <c r="AC44" s="182" t="n">
        <v>0.899014256274919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8"/>
      <c r="G45" s="117" t="n">
        <v>35.8793</v>
      </c>
      <c r="H45" s="131" t="n">
        <v>0</v>
      </c>
      <c r="I45" s="119" t="n">
        <v>1</v>
      </c>
      <c r="J45" s="132"/>
      <c r="K45" s="133"/>
      <c r="L45" s="133"/>
      <c r="M45" s="133"/>
      <c r="N45" s="134"/>
      <c r="O45" s="133"/>
      <c r="P45" s="132" t="n">
        <v>4.755</v>
      </c>
      <c r="Q45" s="132"/>
      <c r="R45" s="132"/>
      <c r="S45" s="143" t="n">
        <v>207.4</v>
      </c>
      <c r="T45" s="124" t="n">
        <v>0</v>
      </c>
      <c r="U45" s="184" t="n">
        <v>0</v>
      </c>
      <c r="X45" s="125" t="n">
        <v>0.022</v>
      </c>
      <c r="Y45" s="182" t="n">
        <v>0.0214981669978785</v>
      </c>
      <c r="Z45" s="124" t="n">
        <v>0.088</v>
      </c>
      <c r="AA45" s="184" t="n">
        <v>0.085992667991514</v>
      </c>
      <c r="AB45" s="125" t="n">
        <v>0.91</v>
      </c>
      <c r="AC45" s="182" t="n">
        <v>0.889242362184974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6"/>
      <c r="U46" s="136"/>
      <c r="V46" s="136"/>
      <c r="W46" s="136"/>
      <c r="X46" s="177"/>
      <c r="Y46" s="177"/>
      <c r="Z46" s="136"/>
      <c r="AA46" s="136"/>
      <c r="AB46" s="177"/>
      <c r="AC46" s="177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3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6"/>
      <c r="U47" s="136"/>
      <c r="V47" s="136"/>
      <c r="W47" s="136"/>
      <c r="X47" s="177"/>
      <c r="Y47" s="177"/>
      <c r="Z47" s="136"/>
      <c r="AA47" s="136"/>
      <c r="AB47" s="177"/>
      <c r="AC47" s="177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3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6"/>
      <c r="U48" s="136"/>
      <c r="V48" s="136"/>
      <c r="W48" s="136"/>
      <c r="X48" s="177"/>
      <c r="Y48" s="177"/>
      <c r="Z48" s="136"/>
      <c r="AA48" s="136"/>
      <c r="AB48" s="177"/>
      <c r="AC48" s="177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77"/>
      <c r="Y50" s="177"/>
      <c r="Z50" s="136"/>
      <c r="AA50" s="136"/>
      <c r="AB50" s="177"/>
      <c r="AC50" s="177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77"/>
      <c r="Y52" s="177"/>
      <c r="Z52" s="136"/>
      <c r="AA52" s="136"/>
      <c r="AB52" s="177"/>
      <c r="AC52" s="177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77"/>
      <c r="Y53" s="177"/>
      <c r="Z53" s="136"/>
      <c r="AA53" s="136"/>
      <c r="AB53" s="177"/>
      <c r="AC53" s="177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77"/>
      <c r="Y54" s="177"/>
      <c r="Z54" s="136"/>
      <c r="AA54" s="136"/>
      <c r="AB54" s="177"/>
      <c r="AC54" s="177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77"/>
      <c r="Y55" s="177"/>
      <c r="Z55" s="136"/>
      <c r="AA55" s="136"/>
      <c r="AB55" s="177"/>
      <c r="AC55" s="177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77"/>
      <c r="Y57" s="177"/>
      <c r="Z57" s="136"/>
      <c r="AA57" s="136"/>
      <c r="AB57" s="177"/>
      <c r="AC57" s="177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8"/>
      <c r="Y58" s="178"/>
      <c r="Z58" s="170"/>
      <c r="AA58" s="170"/>
      <c r="AB58" s="178"/>
      <c r="AC58" s="178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C1" activeCellId="1" sqref="U45 AC1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  <col collapsed="false" customWidth="false" hidden="false" outlineLevel="0" max="25" min="24" style="172" width="9.14"/>
    <col collapsed="false" customWidth="false" hidden="false" outlineLevel="0" max="29" min="28" style="172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4</v>
      </c>
      <c r="J9" s="29" t="n">
        <v>30.03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-4°30,03</v>
      </c>
      <c r="P9" s="29" t="s">
        <v>16</v>
      </c>
      <c r="Q9" s="33" t="n">
        <f aca="false">IF(ISBLANK(I9),"",IF(ISBLANK(J9),"",IF(J9&gt;60,"ERREUR !!",O11*(I9+(J9/60)))))</f>
        <v>-4.5005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9</v>
      </c>
      <c r="J10" s="29" t="n">
        <v>59.96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-9°59,96</v>
      </c>
      <c r="P10" s="29" t="s">
        <v>17</v>
      </c>
      <c r="Q10" s="33" t="n">
        <f aca="false">IF(ISBLANK(I10),"",IF(ISBLANK(J10),"",IF(J10&gt;60,"ERREUR !!",O12*(I10+(J10/60)))))</f>
        <v>-9.99933333333333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37582</v>
      </c>
      <c r="K11" s="38"/>
      <c r="L11" s="38"/>
      <c r="M11" s="38"/>
      <c r="N11" s="39" t="str">
        <f aca="false">I9&amp;"°"&amp;J9</f>
        <v>4°30,03</v>
      </c>
      <c r="O11" s="40" t="n">
        <f aca="false">IF(P9=M10,-1,1)</f>
        <v>-1</v>
      </c>
      <c r="P11" s="41" t="str">
        <f aca="false">TEXT(J11,"aaaa-mm-jj")&amp;"T"&amp;TEXT(J12,"hh:mm:ss")&amp;"z"</f>
        <v>2006-11-23T06:00:00z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0.25</v>
      </c>
      <c r="K12" s="45"/>
      <c r="L12" s="45"/>
      <c r="M12" s="45"/>
      <c r="N12" s="46" t="str">
        <f aca="false">I10&amp;"°"&amp;J10</f>
        <v>9°59,96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179" t="s">
        <v>70</v>
      </c>
      <c r="Y31" s="179"/>
      <c r="Z31" s="89" t="s">
        <v>71</v>
      </c>
      <c r="AA31" s="89"/>
      <c r="AB31" s="180" t="s">
        <v>72</v>
      </c>
      <c r="AC31" s="18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179"/>
      <c r="Y32" s="179"/>
      <c r="Z32" s="89"/>
      <c r="AA32" s="89"/>
      <c r="AB32" s="180"/>
      <c r="AC32" s="18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73" t="s">
        <v>109</v>
      </c>
      <c r="Y33" s="173" t="s">
        <v>110</v>
      </c>
      <c r="Z33" s="100" t="s">
        <v>111</v>
      </c>
      <c r="AA33" s="100" t="s">
        <v>112</v>
      </c>
      <c r="AB33" s="173" t="s">
        <v>113</v>
      </c>
      <c r="AC33" s="174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75" t="s">
        <v>142</v>
      </c>
      <c r="Y34" s="175" t="s">
        <v>143</v>
      </c>
      <c r="Z34" s="108" t="s">
        <v>142</v>
      </c>
      <c r="AA34" s="108" t="s">
        <v>143</v>
      </c>
      <c r="AB34" s="175" t="s">
        <v>142</v>
      </c>
      <c r="AC34" s="176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34.5688</v>
      </c>
      <c r="H35" s="118" t="n">
        <v>1000</v>
      </c>
      <c r="I35" s="119" t="n">
        <v>1002.9</v>
      </c>
      <c r="J35" s="120"/>
      <c r="K35" s="121"/>
      <c r="L35" s="121"/>
      <c r="M35" s="121"/>
      <c r="N35" s="122"/>
      <c r="O35" s="121"/>
      <c r="P35" s="120" t="n">
        <v>3.549</v>
      </c>
      <c r="Q35" s="120"/>
      <c r="R35" s="120"/>
      <c r="S35" s="123" t="n">
        <v>154.3</v>
      </c>
      <c r="T35" s="184" t="n">
        <v>0.013</v>
      </c>
      <c r="U35" s="184" t="n">
        <v>0.0127034623169282</v>
      </c>
      <c r="X35" s="182" t="n">
        <v>34.677</v>
      </c>
      <c r="Y35" s="182" t="n">
        <v>33.8859971357015</v>
      </c>
      <c r="Z35" s="184" t="n">
        <v>2.331</v>
      </c>
      <c r="AA35" s="184" t="n">
        <v>2.27782851236613</v>
      </c>
      <c r="AB35" s="182" t="n">
        <v>33.43</v>
      </c>
      <c r="AC35" s="182" t="n">
        <v>32.6674419426854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6.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34.5095</v>
      </c>
      <c r="H36" s="118" t="n">
        <v>600</v>
      </c>
      <c r="I36" s="119" t="n">
        <v>599</v>
      </c>
      <c r="J36" s="132"/>
      <c r="K36" s="133"/>
      <c r="L36" s="133"/>
      <c r="M36" s="133"/>
      <c r="N36" s="134"/>
      <c r="O36" s="133"/>
      <c r="P36" s="132" t="n">
        <v>2.92</v>
      </c>
      <c r="Q36" s="132"/>
      <c r="R36" s="132"/>
      <c r="S36" s="135" t="n">
        <v>127</v>
      </c>
      <c r="T36" s="184" t="n">
        <v>0.037</v>
      </c>
      <c r="U36" s="184" t="n">
        <v>0.0361560081327957</v>
      </c>
      <c r="X36" s="182" t="n">
        <v>34.288</v>
      </c>
      <c r="Y36" s="182" t="n">
        <v>33.5058704556026</v>
      </c>
      <c r="Z36" s="184" t="n">
        <v>2.2595</v>
      </c>
      <c r="AA36" s="184" t="n">
        <v>2.20795946962302</v>
      </c>
      <c r="AB36" s="182" t="n">
        <v>24.87</v>
      </c>
      <c r="AC36" s="182" t="n">
        <v>24.3027006016927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8"/>
      <c r="G37" s="117" t="n">
        <v>34.5097</v>
      </c>
      <c r="H37" s="118" t="n">
        <v>600</v>
      </c>
      <c r="I37" s="119" t="n">
        <v>599</v>
      </c>
      <c r="J37" s="132"/>
      <c r="K37" s="133"/>
      <c r="L37" s="133"/>
      <c r="M37" s="133"/>
      <c r="N37" s="134"/>
      <c r="O37" s="133"/>
      <c r="P37" s="132" t="n">
        <v>3.302</v>
      </c>
      <c r="Q37" s="132"/>
      <c r="R37" s="132"/>
      <c r="S37" s="135" t="n">
        <v>143.6</v>
      </c>
      <c r="T37" s="184" t="n">
        <v>0.048</v>
      </c>
      <c r="U37" s="184" t="n">
        <v>0.0469050916317349</v>
      </c>
      <c r="X37" s="182" t="n">
        <v>34.642</v>
      </c>
      <c r="Y37" s="182" t="n">
        <v>33.8517955063867</v>
      </c>
      <c r="Z37" s="184" t="n">
        <v>2.26</v>
      </c>
      <c r="AA37" s="184" t="n">
        <v>2.20844806432752</v>
      </c>
      <c r="AB37" s="182" t="n">
        <v>25.08</v>
      </c>
      <c r="AC37" s="182" t="n">
        <v>24.5079103775815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40"/>
      <c r="G38" s="117" t="n">
        <v>35.0389</v>
      </c>
      <c r="H38" s="131" t="n">
        <v>300</v>
      </c>
      <c r="I38" s="119" t="n">
        <v>301</v>
      </c>
      <c r="J38" s="132"/>
      <c r="K38" s="132"/>
      <c r="L38" s="132"/>
      <c r="M38" s="132"/>
      <c r="N38" s="132"/>
      <c r="O38" s="132"/>
      <c r="P38" s="132" t="n">
        <v>2.067</v>
      </c>
      <c r="Q38" s="132"/>
      <c r="R38" s="132"/>
      <c r="S38" s="135" t="n">
        <v>89.9</v>
      </c>
      <c r="T38" s="124" t="n">
        <v>0.048</v>
      </c>
      <c r="U38" s="184" t="n">
        <v>0.0469050916317349</v>
      </c>
      <c r="X38" s="125" t="n">
        <v>28.502</v>
      </c>
      <c r="Y38" s="182" t="n">
        <v>27.8518525351606</v>
      </c>
      <c r="Z38" s="124" t="n">
        <v>1.807</v>
      </c>
      <c r="AA38" s="184" t="n">
        <v>1.76578126205302</v>
      </c>
      <c r="AB38" s="125" t="n">
        <v>11.94</v>
      </c>
      <c r="AC38" s="182" t="n">
        <v>11.6676415433941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8"/>
      <c r="G39" s="117" t="n">
        <v>35.4523</v>
      </c>
      <c r="H39" s="131" t="n">
        <v>100</v>
      </c>
      <c r="I39" s="119" t="n">
        <v>100</v>
      </c>
      <c r="J39" s="132"/>
      <c r="K39" s="133"/>
      <c r="L39" s="133"/>
      <c r="M39" s="133"/>
      <c r="N39" s="134"/>
      <c r="O39" s="133"/>
      <c r="P39" s="132" t="n">
        <v>2.483</v>
      </c>
      <c r="Q39" s="132"/>
      <c r="R39" s="132"/>
      <c r="S39" s="135" t="n">
        <v>108.1</v>
      </c>
      <c r="T39" s="124" t="n">
        <v>0.175</v>
      </c>
      <c r="U39" s="184" t="n">
        <v>0.171008146574034</v>
      </c>
      <c r="X39" s="125" t="n">
        <v>20.885</v>
      </c>
      <c r="Y39" s="182" t="n">
        <v>20.4086008068497</v>
      </c>
      <c r="Z39" s="124" t="n">
        <v>1.371</v>
      </c>
      <c r="AA39" s="184" t="n">
        <v>1.33972667973143</v>
      </c>
      <c r="AB39" s="125" t="n">
        <v>7.17</v>
      </c>
      <c r="AC39" s="182" t="n">
        <v>7.0064480624904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8"/>
      <c r="G40" s="117" t="n">
        <v>35.6248</v>
      </c>
      <c r="H40" s="131" t="n">
        <v>80</v>
      </c>
      <c r="I40" s="119" t="n">
        <v>79.4</v>
      </c>
      <c r="J40" s="132"/>
      <c r="K40" s="133"/>
      <c r="L40" s="133"/>
      <c r="M40" s="133"/>
      <c r="N40" s="134"/>
      <c r="O40" s="133"/>
      <c r="P40" s="132" t="n">
        <v>2.632</v>
      </c>
      <c r="Q40" s="132"/>
      <c r="R40" s="132"/>
      <c r="S40" s="135" t="n">
        <v>114.6</v>
      </c>
      <c r="T40" s="124" t="n">
        <v>0.175</v>
      </c>
      <c r="U40" s="184" t="n">
        <v>0.171008146574034</v>
      </c>
      <c r="X40" s="125" t="n">
        <v>17.985</v>
      </c>
      <c r="Y40" s="182" t="n">
        <v>17.5747515207657</v>
      </c>
      <c r="Z40" s="124" t="n">
        <v>1.236</v>
      </c>
      <c r="AA40" s="184" t="n">
        <v>1.20780610951717</v>
      </c>
      <c r="AB40" s="125" t="n">
        <v>5.91</v>
      </c>
      <c r="AC40" s="182" t="n">
        <v>5.77518940715736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8"/>
      <c r="G41" s="117" t="n">
        <v>35.8021</v>
      </c>
      <c r="H41" s="118" t="n">
        <v>60</v>
      </c>
      <c r="I41" s="119" t="n">
        <v>58.4</v>
      </c>
      <c r="J41" s="132"/>
      <c r="K41" s="133"/>
      <c r="L41" s="133"/>
      <c r="M41" s="133"/>
      <c r="N41" s="134"/>
      <c r="O41" s="133"/>
      <c r="P41" s="132" t="n">
        <v>3.343</v>
      </c>
      <c r="Q41" s="132"/>
      <c r="R41" s="132"/>
      <c r="S41" s="135" t="n">
        <v>145.6</v>
      </c>
      <c r="T41" s="124" t="n">
        <v>0.368</v>
      </c>
      <c r="U41" s="184" t="n">
        <v>0.359605702509968</v>
      </c>
      <c r="X41" s="125" t="n">
        <v>11.262</v>
      </c>
      <c r="Y41" s="182" t="n">
        <v>11.0051071240958</v>
      </c>
      <c r="Z41" s="124" t="n">
        <v>0.855</v>
      </c>
      <c r="AA41" s="184" t="n">
        <v>0.835496944690278</v>
      </c>
      <c r="AB41" s="125" t="n">
        <v>4.06</v>
      </c>
      <c r="AC41" s="182" t="n">
        <v>3.96738900051758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6.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8"/>
      <c r="G42" s="117" t="n">
        <v>35.9149</v>
      </c>
      <c r="H42" s="131" t="n">
        <v>40</v>
      </c>
      <c r="I42" s="119" t="n">
        <v>38.4</v>
      </c>
      <c r="J42" s="132"/>
      <c r="K42" s="133"/>
      <c r="L42" s="133"/>
      <c r="M42" s="133"/>
      <c r="N42" s="134"/>
      <c r="O42" s="133"/>
      <c r="P42" s="132" t="n">
        <v>4.678</v>
      </c>
      <c r="Q42" s="132"/>
      <c r="R42" s="132"/>
      <c r="S42" s="135" t="n">
        <v>204</v>
      </c>
      <c r="T42" s="124" t="n">
        <v>0.029</v>
      </c>
      <c r="U42" s="184" t="n">
        <v>0.0283384928608398</v>
      </c>
      <c r="X42" s="125" t="n">
        <v>0.891</v>
      </c>
      <c r="Y42" s="182" t="n">
        <v>0.870675763414079</v>
      </c>
      <c r="Z42" s="124" t="n">
        <v>0.209</v>
      </c>
      <c r="AA42" s="184" t="n">
        <v>0.204232586479846</v>
      </c>
      <c r="AB42" s="125" t="n">
        <v>1.64</v>
      </c>
      <c r="AC42" s="182" t="n">
        <v>1.60259063075094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8"/>
      <c r="G43" s="117" t="n">
        <v>35.8962</v>
      </c>
      <c r="H43" s="118" t="n">
        <v>20</v>
      </c>
      <c r="I43" s="119" t="n">
        <v>19.1</v>
      </c>
      <c r="J43" s="132"/>
      <c r="K43" s="133"/>
      <c r="L43" s="133"/>
      <c r="M43" s="133"/>
      <c r="N43" s="134"/>
      <c r="O43" s="133"/>
      <c r="P43" s="132" t="n">
        <v>4.769</v>
      </c>
      <c r="Q43" s="132"/>
      <c r="R43" s="132"/>
      <c r="S43" s="135" t="n">
        <v>208</v>
      </c>
      <c r="T43" s="124" t="n">
        <v>0</v>
      </c>
      <c r="U43" s="184" t="n">
        <v>0</v>
      </c>
      <c r="X43" s="125" t="n">
        <v>0.24</v>
      </c>
      <c r="Y43" s="182" t="n">
        <v>0.234525458158675</v>
      </c>
      <c r="Z43" s="124" t="n">
        <v>0.132</v>
      </c>
      <c r="AA43" s="184" t="n">
        <v>0.128989001987271</v>
      </c>
      <c r="AB43" s="125" t="n">
        <v>1.49</v>
      </c>
      <c r="AC43" s="182" t="n">
        <v>1.45601221940177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8"/>
      <c r="G44" s="117" t="n">
        <v>35.8957</v>
      </c>
      <c r="H44" s="131" t="n">
        <v>10</v>
      </c>
      <c r="I44" s="119" t="n">
        <v>9</v>
      </c>
      <c r="J44" s="132"/>
      <c r="K44" s="133"/>
      <c r="L44" s="133"/>
      <c r="M44" s="133"/>
      <c r="N44" s="134"/>
      <c r="O44" s="133"/>
      <c r="P44" s="132" t="n">
        <v>4.77</v>
      </c>
      <c r="Q44" s="132"/>
      <c r="R44" s="132"/>
      <c r="S44" s="135" t="n">
        <v>208.1</v>
      </c>
      <c r="T44" s="124" t="n">
        <v>0</v>
      </c>
      <c r="U44" s="184" t="n">
        <v>0</v>
      </c>
      <c r="X44" s="125" t="n">
        <v>0.23</v>
      </c>
      <c r="Y44" s="182" t="n">
        <v>0.22475356406873</v>
      </c>
      <c r="Z44" s="124" t="n">
        <v>0.129</v>
      </c>
      <c r="AA44" s="184" t="n">
        <v>0.126057433760288</v>
      </c>
      <c r="AB44" s="125" t="n">
        <v>1.54</v>
      </c>
      <c r="AC44" s="182" t="n">
        <v>1.5048716898515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8"/>
      <c r="G45" s="117" t="n">
        <v>35.8956</v>
      </c>
      <c r="H45" s="131" t="n">
        <v>0</v>
      </c>
      <c r="I45" s="119" t="n">
        <v>0.9</v>
      </c>
      <c r="J45" s="132"/>
      <c r="K45" s="133"/>
      <c r="L45" s="133"/>
      <c r="M45" s="133"/>
      <c r="N45" s="134"/>
      <c r="O45" s="133"/>
      <c r="P45" s="132" t="n">
        <v>4.806</v>
      </c>
      <c r="Q45" s="132"/>
      <c r="R45" s="132"/>
      <c r="S45" s="143" t="n">
        <v>209.6</v>
      </c>
      <c r="T45" s="124" t="n">
        <v>0</v>
      </c>
      <c r="U45" s="184" t="n">
        <v>0</v>
      </c>
      <c r="X45" s="125" t="n">
        <v>0.18</v>
      </c>
      <c r="Y45" s="182" t="n">
        <v>0.175894093619006</v>
      </c>
      <c r="Z45" s="124" t="n">
        <v>0.117</v>
      </c>
      <c r="AA45" s="184" t="n">
        <v>0.114331160852354</v>
      </c>
      <c r="AB45" s="125" t="n">
        <v>1.61</v>
      </c>
      <c r="AC45" s="182" t="n">
        <v>1.57327494848111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6"/>
      <c r="U46" s="136"/>
      <c r="V46" s="136"/>
      <c r="W46" s="136"/>
      <c r="X46" s="177"/>
      <c r="Y46" s="177"/>
      <c r="Z46" s="136"/>
      <c r="AA46" s="136"/>
      <c r="AB46" s="177"/>
      <c r="AC46" s="177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3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6"/>
      <c r="U47" s="136"/>
      <c r="V47" s="136"/>
      <c r="W47" s="136"/>
      <c r="X47" s="177"/>
      <c r="Y47" s="177"/>
      <c r="Z47" s="136"/>
      <c r="AA47" s="136"/>
      <c r="AB47" s="177"/>
      <c r="AC47" s="177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3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6"/>
      <c r="U48" s="136"/>
      <c r="V48" s="136"/>
      <c r="W48" s="136"/>
      <c r="X48" s="177"/>
      <c r="Y48" s="177"/>
      <c r="Z48" s="136"/>
      <c r="AA48" s="136"/>
      <c r="AB48" s="177"/>
      <c r="AC48" s="177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77"/>
      <c r="Y50" s="177"/>
      <c r="Z50" s="136"/>
      <c r="AA50" s="136"/>
      <c r="AB50" s="177"/>
      <c r="AC50" s="177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77"/>
      <c r="Y52" s="177"/>
      <c r="Z52" s="136"/>
      <c r="AA52" s="136"/>
      <c r="AB52" s="177"/>
      <c r="AC52" s="177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77"/>
      <c r="Y53" s="177"/>
      <c r="Z53" s="136"/>
      <c r="AA53" s="136"/>
      <c r="AB53" s="177"/>
      <c r="AC53" s="177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77"/>
      <c r="Y54" s="177"/>
      <c r="Z54" s="136"/>
      <c r="AA54" s="136"/>
      <c r="AB54" s="177"/>
      <c r="AC54" s="177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77"/>
      <c r="Y55" s="177"/>
      <c r="Z55" s="136"/>
      <c r="AA55" s="136"/>
      <c r="AB55" s="177"/>
      <c r="AC55" s="177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77"/>
      <c r="Y57" s="177"/>
      <c r="Z57" s="136"/>
      <c r="AA57" s="136"/>
      <c r="AB57" s="177"/>
      <c r="AC57" s="177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8"/>
      <c r="Y58" s="178"/>
      <c r="Z58" s="170"/>
      <c r="AA58" s="170"/>
      <c r="AB58" s="178"/>
      <c r="AC58" s="178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C1" activeCellId="1" sqref="U45 AC1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  <col collapsed="false" customWidth="false" hidden="false" outlineLevel="0" max="25" min="24" style="172" width="9.14"/>
    <col collapsed="false" customWidth="false" hidden="false" outlineLevel="0" max="29" min="28" style="172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5</v>
      </c>
      <c r="J9" s="29" t="n">
        <v>0.36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-5°0,36</v>
      </c>
      <c r="P9" s="29" t="s">
        <v>16</v>
      </c>
      <c r="Q9" s="33" t="n">
        <f aca="false">IF(ISBLANK(I9),"",IF(ISBLANK(J9),"",IF(J9&gt;60,"ERREUR !!",O11*(I9+(J9/60)))))</f>
        <v>-5.006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9</v>
      </c>
      <c r="J10" s="29" t="n">
        <v>59.72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-9°59,72</v>
      </c>
      <c r="P10" s="29" t="s">
        <v>17</v>
      </c>
      <c r="Q10" s="33" t="n">
        <f aca="false">IF(ISBLANK(I10),"",IF(ISBLANK(J10),"",IF(J10&gt;60,"ERREUR !!",O12*(I10+(J10/60)))))</f>
        <v>-9.99533333333333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37582</v>
      </c>
      <c r="K11" s="38"/>
      <c r="L11" s="38"/>
      <c r="M11" s="38"/>
      <c r="N11" s="39" t="str">
        <f aca="false">I9&amp;"°"&amp;J9</f>
        <v>5°0,36</v>
      </c>
      <c r="O11" s="40" t="n">
        <f aca="false">IF(P9=M10,-1,1)</f>
        <v>-1</v>
      </c>
      <c r="P11" s="41" t="str">
        <f aca="false">TEXT(J11,"aaaa-mm-jj")&amp;"T"&amp;TEXT(J12,"hh:mm:ss")&amp;"z"</f>
        <v>2006-11-23T10:30:00z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0.4375</v>
      </c>
      <c r="K12" s="45"/>
      <c r="L12" s="45"/>
      <c r="M12" s="45"/>
      <c r="N12" s="46" t="str">
        <f aca="false">I10&amp;"°"&amp;J10</f>
        <v>9°59,72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179" t="s">
        <v>70</v>
      </c>
      <c r="Y31" s="179"/>
      <c r="Z31" s="89" t="s">
        <v>71</v>
      </c>
      <c r="AA31" s="89"/>
      <c r="AB31" s="180" t="s">
        <v>72</v>
      </c>
      <c r="AC31" s="18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179"/>
      <c r="Y32" s="179"/>
      <c r="Z32" s="89"/>
      <c r="AA32" s="89"/>
      <c r="AB32" s="180"/>
      <c r="AC32" s="18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73" t="s">
        <v>109</v>
      </c>
      <c r="Y33" s="173" t="s">
        <v>110</v>
      </c>
      <c r="Z33" s="100" t="s">
        <v>111</v>
      </c>
      <c r="AA33" s="100" t="s">
        <v>112</v>
      </c>
      <c r="AB33" s="173" t="s">
        <v>113</v>
      </c>
      <c r="AC33" s="174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75" t="s">
        <v>142</v>
      </c>
      <c r="Y34" s="175" t="s">
        <v>143</v>
      </c>
      <c r="Z34" s="108" t="s">
        <v>142</v>
      </c>
      <c r="AA34" s="108" t="s">
        <v>143</v>
      </c>
      <c r="AB34" s="175" t="s">
        <v>142</v>
      </c>
      <c r="AC34" s="176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34.5907</v>
      </c>
      <c r="H35" s="118" t="n">
        <v>1000</v>
      </c>
      <c r="I35" s="119" t="n">
        <v>1006</v>
      </c>
      <c r="J35" s="120"/>
      <c r="K35" s="121"/>
      <c r="L35" s="121"/>
      <c r="M35" s="121"/>
      <c r="N35" s="122"/>
      <c r="O35" s="121"/>
      <c r="P35" s="120" t="n">
        <v>3.655</v>
      </c>
      <c r="Q35" s="120"/>
      <c r="R35" s="120"/>
      <c r="S35" s="123" t="n">
        <v>158.9</v>
      </c>
      <c r="T35" s="182" t="n">
        <v>0.035</v>
      </c>
      <c r="U35" s="182" t="n">
        <v>0.0342016293148067</v>
      </c>
      <c r="X35" s="182" t="n">
        <v>34.285</v>
      </c>
      <c r="Y35" s="182" t="n">
        <v>33.5029388873757</v>
      </c>
      <c r="Z35" s="184" t="n">
        <v>2.279</v>
      </c>
      <c r="AA35" s="184" t="n">
        <v>2.22701466309841</v>
      </c>
      <c r="AB35" s="182" t="n">
        <v>33.88</v>
      </c>
      <c r="AC35" s="182" t="n">
        <v>33.1071771767329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34.5432</v>
      </c>
      <c r="H36" s="118" t="n">
        <v>600</v>
      </c>
      <c r="I36" s="119" t="n">
        <v>600</v>
      </c>
      <c r="J36" s="132"/>
      <c r="K36" s="133"/>
      <c r="L36" s="133"/>
      <c r="M36" s="133"/>
      <c r="N36" s="134"/>
      <c r="O36" s="133"/>
      <c r="P36" s="132" t="n">
        <v>2.747</v>
      </c>
      <c r="Q36" s="132"/>
      <c r="R36" s="132"/>
      <c r="S36" s="135" t="n">
        <v>119.5</v>
      </c>
      <c r="T36" s="182" t="n">
        <v>0.03</v>
      </c>
      <c r="U36" s="182" t="n">
        <v>0.0293156822698343</v>
      </c>
      <c r="X36" s="182" t="n">
        <v>37.1</v>
      </c>
      <c r="Y36" s="182" t="n">
        <v>36.2537270736951</v>
      </c>
      <c r="Z36" s="184" t="n">
        <v>2.392</v>
      </c>
      <c r="AA36" s="184" t="n">
        <v>2.33743706631479</v>
      </c>
      <c r="AB36" s="182" t="n">
        <v>25.51</v>
      </c>
      <c r="AC36" s="182" t="n">
        <v>24.9281018234491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8"/>
      <c r="G37" s="117" t="n">
        <v>34.8868</v>
      </c>
      <c r="H37" s="131" t="n">
        <v>300</v>
      </c>
      <c r="I37" s="119" t="n">
        <v>299</v>
      </c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82" t="n">
        <v>0.0235</v>
      </c>
      <c r="U37" s="182" t="n">
        <v>0.0229639511113702</v>
      </c>
      <c r="X37" s="182" t="n">
        <v>32.3865</v>
      </c>
      <c r="Y37" s="182" t="n">
        <v>31.6477447943996</v>
      </c>
      <c r="Z37" s="184" t="n">
        <v>2.02</v>
      </c>
      <c r="AA37" s="184" t="n">
        <v>1.97392260616884</v>
      </c>
      <c r="AB37" s="182" t="n">
        <v>14.81</v>
      </c>
      <c r="AC37" s="182" t="n">
        <v>14.4721751472082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40"/>
      <c r="G38" s="117" t="n">
        <v>34.8871</v>
      </c>
      <c r="H38" s="131" t="n">
        <v>300</v>
      </c>
      <c r="I38" s="119" t="n">
        <v>300</v>
      </c>
      <c r="J38" s="132"/>
      <c r="K38" s="132"/>
      <c r="L38" s="132"/>
      <c r="M38" s="132"/>
      <c r="N38" s="132"/>
      <c r="O38" s="132"/>
      <c r="P38" s="132" t="n">
        <v>1.918</v>
      </c>
      <c r="Q38" s="132"/>
      <c r="R38" s="132"/>
      <c r="S38" s="143" t="n">
        <v>83.4</v>
      </c>
      <c r="T38" s="182" t="n">
        <v>0.023</v>
      </c>
      <c r="U38" s="182" t="n">
        <v>0.022475356406873</v>
      </c>
      <c r="X38" s="182" t="n">
        <v>32.427</v>
      </c>
      <c r="Y38" s="182" t="n">
        <v>31.6873209654639</v>
      </c>
      <c r="Z38" s="184" t="n">
        <v>1.997</v>
      </c>
      <c r="AA38" s="184" t="n">
        <v>1.95144724976197</v>
      </c>
      <c r="AB38" s="182" t="n">
        <v>14.72</v>
      </c>
      <c r="AC38" s="182" t="n">
        <v>14.3842281003987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8"/>
      <c r="G39" s="117" t="n">
        <v>35.7185</v>
      </c>
      <c r="H39" s="131" t="n">
        <v>100</v>
      </c>
      <c r="I39" s="119" t="n">
        <v>100</v>
      </c>
      <c r="J39" s="132"/>
      <c r="K39" s="133"/>
      <c r="L39" s="133"/>
      <c r="M39" s="133"/>
      <c r="N39" s="134"/>
      <c r="O39" s="133"/>
      <c r="P39" s="132" t="n">
        <v>2.824</v>
      </c>
      <c r="Q39" s="132"/>
      <c r="R39" s="132"/>
      <c r="S39" s="135" t="n">
        <v>122.9</v>
      </c>
      <c r="T39" s="125" t="n">
        <v>0.15</v>
      </c>
      <c r="U39" s="182" t="n">
        <v>0.146578411349172</v>
      </c>
      <c r="X39" s="125" t="n">
        <v>16.17</v>
      </c>
      <c r="Y39" s="182" t="n">
        <v>15.8011527434407</v>
      </c>
      <c r="Z39" s="124" t="n">
        <v>1.111</v>
      </c>
      <c r="AA39" s="184" t="n">
        <v>1.08565743339286</v>
      </c>
      <c r="AB39" s="125" t="n">
        <v>5.15</v>
      </c>
      <c r="AC39" s="182" t="n">
        <v>5.03252545632156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8"/>
      <c r="G40" s="117" t="n">
        <v>36.2873</v>
      </c>
      <c r="H40" s="131" t="n">
        <v>80</v>
      </c>
      <c r="I40" s="119" t="n">
        <v>79</v>
      </c>
      <c r="J40" s="132"/>
      <c r="K40" s="133"/>
      <c r="L40" s="133"/>
      <c r="M40" s="133"/>
      <c r="N40" s="134"/>
      <c r="O40" s="133"/>
      <c r="P40" s="132" t="n">
        <v>3.683</v>
      </c>
      <c r="Q40" s="132"/>
      <c r="R40" s="132"/>
      <c r="S40" s="135" t="n">
        <v>160.4</v>
      </c>
      <c r="T40" s="125" t="n">
        <v>0.4</v>
      </c>
      <c r="U40" s="182" t="n">
        <v>0.390875763597791</v>
      </c>
      <c r="X40" s="125" t="n">
        <v>7.69</v>
      </c>
      <c r="Y40" s="182" t="n">
        <v>7.51458655516753</v>
      </c>
      <c r="Z40" s="124" t="n">
        <v>0.643</v>
      </c>
      <c r="AA40" s="184" t="n">
        <v>0.628332789983449</v>
      </c>
      <c r="AB40" s="125" t="n">
        <v>2.66</v>
      </c>
      <c r="AC40" s="182" t="n">
        <v>2.59932382792531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8"/>
      <c r="G41" s="117" t="n">
        <v>36.2301</v>
      </c>
      <c r="H41" s="118" t="n">
        <v>60</v>
      </c>
      <c r="I41" s="119" t="n">
        <v>60</v>
      </c>
      <c r="J41" s="132"/>
      <c r="K41" s="133"/>
      <c r="L41" s="133"/>
      <c r="M41" s="133"/>
      <c r="N41" s="134"/>
      <c r="O41" s="133"/>
      <c r="P41" s="132" t="n">
        <v>4.595</v>
      </c>
      <c r="Q41" s="132"/>
      <c r="R41" s="132"/>
      <c r="S41" s="135" t="n">
        <v>200.3</v>
      </c>
      <c r="T41" s="125" t="n">
        <v>0.089</v>
      </c>
      <c r="U41" s="182" t="n">
        <v>0.0869698574005085</v>
      </c>
      <c r="X41" s="125" t="n">
        <v>1.021</v>
      </c>
      <c r="Y41" s="182" t="n">
        <v>0.997710386583362</v>
      </c>
      <c r="Z41" s="124" t="n">
        <v>0.222</v>
      </c>
      <c r="AA41" s="184" t="n">
        <v>0.216936048796774</v>
      </c>
      <c r="AB41" s="125" t="n">
        <v>1.29</v>
      </c>
      <c r="AC41" s="182" t="n">
        <v>1.26057433760288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6.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8"/>
      <c r="G42" s="117" t="n">
        <v>35.9838</v>
      </c>
      <c r="H42" s="131" t="n">
        <v>40</v>
      </c>
      <c r="I42" s="119" t="n">
        <v>40</v>
      </c>
      <c r="J42" s="132"/>
      <c r="K42" s="133"/>
      <c r="L42" s="133"/>
      <c r="M42" s="133"/>
      <c r="N42" s="134"/>
      <c r="O42" s="133"/>
      <c r="P42" s="132" t="n">
        <v>4.752</v>
      </c>
      <c r="Q42" s="132"/>
      <c r="R42" s="132"/>
      <c r="S42" s="135" t="n">
        <v>207.2</v>
      </c>
      <c r="T42" s="125" t="n">
        <v>0.003</v>
      </c>
      <c r="U42" s="182" t="n">
        <v>0.00293156822698343</v>
      </c>
      <c r="X42" s="125" t="n">
        <v>0.177</v>
      </c>
      <c r="Y42" s="182" t="n">
        <v>0.172962525392023</v>
      </c>
      <c r="Z42" s="124" t="n">
        <v>0.105</v>
      </c>
      <c r="AA42" s="184" t="n">
        <v>0.10260488794442</v>
      </c>
      <c r="AB42" s="125" t="n">
        <v>1.1</v>
      </c>
      <c r="AC42" s="182" t="n">
        <v>1.07490834989393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8"/>
      <c r="G43" s="117" t="n">
        <v>35.9834</v>
      </c>
      <c r="H43" s="118" t="n">
        <v>20</v>
      </c>
      <c r="I43" s="119" t="n">
        <v>20</v>
      </c>
      <c r="J43" s="132"/>
      <c r="K43" s="133"/>
      <c r="L43" s="133"/>
      <c r="M43" s="133"/>
      <c r="N43" s="134"/>
      <c r="O43" s="133"/>
      <c r="P43" s="132" t="n">
        <v>4.763</v>
      </c>
      <c r="Q43" s="132"/>
      <c r="R43" s="132"/>
      <c r="S43" s="135" t="n">
        <v>207.7</v>
      </c>
      <c r="T43" s="125" t="n">
        <v>0</v>
      </c>
      <c r="U43" s="182" t="n">
        <v>0</v>
      </c>
      <c r="X43" s="125" t="n">
        <v>0.19</v>
      </c>
      <c r="Y43" s="182" t="n">
        <v>0.185665987708951</v>
      </c>
      <c r="Z43" s="124" t="n">
        <v>0.114</v>
      </c>
      <c r="AA43" s="184" t="n">
        <v>0.11139959262537</v>
      </c>
      <c r="AB43" s="125" t="n">
        <v>1.08</v>
      </c>
      <c r="AC43" s="182" t="n">
        <v>1.05536456171404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8"/>
      <c r="G44" s="117" t="n">
        <v>35.984</v>
      </c>
      <c r="H44" s="131" t="n">
        <v>10</v>
      </c>
      <c r="I44" s="119" t="n">
        <v>11</v>
      </c>
      <c r="J44" s="132"/>
      <c r="K44" s="133"/>
      <c r="L44" s="133"/>
      <c r="M44" s="133"/>
      <c r="N44" s="134"/>
      <c r="O44" s="133"/>
      <c r="P44" s="132" t="n">
        <v>4.806</v>
      </c>
      <c r="Q44" s="132"/>
      <c r="R44" s="132"/>
      <c r="S44" s="135" t="n">
        <v>209.6</v>
      </c>
      <c r="T44" s="125" t="n">
        <v>0</v>
      </c>
      <c r="U44" s="182" t="n">
        <v>0</v>
      </c>
      <c r="X44" s="125" t="n">
        <v>0.1</v>
      </c>
      <c r="Y44" s="182" t="n">
        <v>0.0977189408994478</v>
      </c>
      <c r="Z44" s="124" t="n">
        <v>0.099</v>
      </c>
      <c r="AA44" s="184" t="n">
        <v>0.0967417514904533</v>
      </c>
      <c r="AB44" s="125" t="n">
        <v>1.13</v>
      </c>
      <c r="AC44" s="182" t="n">
        <v>1.10422403216376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8"/>
      <c r="G45" s="117" t="n">
        <v>35.9847</v>
      </c>
      <c r="H45" s="131" t="n">
        <v>0</v>
      </c>
      <c r="I45" s="119" t="n">
        <v>0.5</v>
      </c>
      <c r="J45" s="132"/>
      <c r="K45" s="133"/>
      <c r="L45" s="133"/>
      <c r="M45" s="133"/>
      <c r="N45" s="134"/>
      <c r="O45" s="133"/>
      <c r="P45" s="132" t="n">
        <v>4.754</v>
      </c>
      <c r="Q45" s="132"/>
      <c r="R45" s="132"/>
      <c r="S45" s="143" t="n">
        <v>207.3</v>
      </c>
      <c r="T45" s="125" t="n">
        <v>0</v>
      </c>
      <c r="U45" s="182" t="n">
        <v>0</v>
      </c>
      <c r="X45" s="125" t="n">
        <v>0.13</v>
      </c>
      <c r="Y45" s="182" t="n">
        <v>0.127034623169282</v>
      </c>
      <c r="Z45" s="124" t="n">
        <v>0.11</v>
      </c>
      <c r="AA45" s="184" t="n">
        <v>0.107490834989393</v>
      </c>
      <c r="AB45" s="125" t="n">
        <v>1.09</v>
      </c>
      <c r="AC45" s="182" t="n">
        <v>1.06513645580398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6"/>
      <c r="U46" s="136"/>
      <c r="V46" s="136"/>
      <c r="W46" s="136"/>
      <c r="X46" s="177"/>
      <c r="Y46" s="177"/>
      <c r="Z46" s="136"/>
      <c r="AA46" s="136"/>
      <c r="AB46" s="177"/>
      <c r="AC46" s="177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3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6"/>
      <c r="U47" s="136"/>
      <c r="V47" s="136"/>
      <c r="W47" s="136"/>
      <c r="X47" s="177"/>
      <c r="Y47" s="177"/>
      <c r="Z47" s="136"/>
      <c r="AA47" s="136"/>
      <c r="AB47" s="177"/>
      <c r="AC47" s="177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3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6"/>
      <c r="U48" s="136"/>
      <c r="V48" s="136"/>
      <c r="W48" s="136"/>
      <c r="X48" s="177"/>
      <c r="Y48" s="177"/>
      <c r="Z48" s="136"/>
      <c r="AA48" s="136"/>
      <c r="AB48" s="177"/>
      <c r="AC48" s="177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77"/>
      <c r="Y50" s="177"/>
      <c r="Z50" s="136"/>
      <c r="AA50" s="136"/>
      <c r="AB50" s="177"/>
      <c r="AC50" s="177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77"/>
      <c r="Y52" s="177"/>
      <c r="Z52" s="136"/>
      <c r="AA52" s="136"/>
      <c r="AB52" s="177"/>
      <c r="AC52" s="177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77"/>
      <c r="Y53" s="177"/>
      <c r="Z53" s="136"/>
      <c r="AA53" s="136"/>
      <c r="AB53" s="177"/>
      <c r="AC53" s="177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77"/>
      <c r="Y54" s="177"/>
      <c r="Z54" s="136"/>
      <c r="AA54" s="136"/>
      <c r="AB54" s="177"/>
      <c r="AC54" s="177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77"/>
      <c r="Y55" s="177"/>
      <c r="Z55" s="136"/>
      <c r="AA55" s="136"/>
      <c r="AB55" s="177"/>
      <c r="AC55" s="177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77"/>
      <c r="Y57" s="177"/>
      <c r="Z57" s="136"/>
      <c r="AA57" s="136"/>
      <c r="AB57" s="177"/>
      <c r="AC57" s="177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8"/>
      <c r="Y58" s="178"/>
      <c r="Z58" s="170"/>
      <c r="AA58" s="170"/>
      <c r="AB58" s="178"/>
      <c r="AC58" s="178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C1" activeCellId="1" sqref="U45 AC1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  <col collapsed="false" customWidth="false" hidden="false" outlineLevel="0" max="25" min="24" style="172" width="9.14"/>
    <col collapsed="false" customWidth="false" hidden="false" outlineLevel="0" max="29" min="28" style="172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5</v>
      </c>
      <c r="J9" s="29" t="n">
        <v>30.24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-5°30,24</v>
      </c>
      <c r="P9" s="29" t="s">
        <v>16</v>
      </c>
      <c r="Q9" s="33" t="n">
        <f aca="false">IF(ISBLANK(I9),"",IF(ISBLANK(J9),"",IF(J9&gt;60,"ERREUR !!",O11*(I9+(J9/60)))))</f>
        <v>-5.504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0.06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-10°0,06</v>
      </c>
      <c r="P10" s="29" t="s">
        <v>17</v>
      </c>
      <c r="Q10" s="33" t="n">
        <f aca="false">IF(ISBLANK(I10),"",IF(ISBLANK(J10),"",IF(J10&gt;60,"ERREUR !!",O12*(I10+(J10/60)))))</f>
        <v>-10.001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37582</v>
      </c>
      <c r="K11" s="38"/>
      <c r="L11" s="38"/>
      <c r="M11" s="38"/>
      <c r="N11" s="39" t="str">
        <f aca="false">I9&amp;"°"&amp;J9</f>
        <v>5°30,24</v>
      </c>
      <c r="O11" s="40" t="n">
        <f aca="false">IF(P9=M10,-1,1)</f>
        <v>-1</v>
      </c>
      <c r="P11" s="41" t="str">
        <f aca="false">TEXT(J11,"aaaa-mm-jj")&amp;"T"&amp;TEXT(J12,"hh:mm:ss")&amp;"z"</f>
        <v>2006-11-23T15:45:00z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0.65625</v>
      </c>
      <c r="K12" s="45"/>
      <c r="L12" s="45"/>
      <c r="M12" s="45"/>
      <c r="N12" s="46" t="str">
        <f aca="false">I10&amp;"°"&amp;J10</f>
        <v>10°0,06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179" t="s">
        <v>70</v>
      </c>
      <c r="Y31" s="179"/>
      <c r="Z31" s="89" t="s">
        <v>71</v>
      </c>
      <c r="AA31" s="89"/>
      <c r="AB31" s="180" t="s">
        <v>72</v>
      </c>
      <c r="AC31" s="18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179"/>
      <c r="Y32" s="179"/>
      <c r="Z32" s="89"/>
      <c r="AA32" s="89"/>
      <c r="AB32" s="180"/>
      <c r="AC32" s="18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73" t="s">
        <v>109</v>
      </c>
      <c r="Y33" s="173" t="s">
        <v>110</v>
      </c>
      <c r="Z33" s="100" t="s">
        <v>111</v>
      </c>
      <c r="AA33" s="100" t="s">
        <v>112</v>
      </c>
      <c r="AB33" s="173" t="s">
        <v>113</v>
      </c>
      <c r="AC33" s="174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75" t="s">
        <v>142</v>
      </c>
      <c r="Y34" s="175" t="s">
        <v>143</v>
      </c>
      <c r="Z34" s="108" t="s">
        <v>142</v>
      </c>
      <c r="AA34" s="108" t="s">
        <v>143</v>
      </c>
      <c r="AB34" s="175" t="s">
        <v>142</v>
      </c>
      <c r="AC34" s="176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34.5895</v>
      </c>
      <c r="H35" s="118" t="n">
        <v>1000</v>
      </c>
      <c r="I35" s="119" t="n">
        <v>1002</v>
      </c>
      <c r="J35" s="120"/>
      <c r="K35" s="121"/>
      <c r="L35" s="121"/>
      <c r="M35" s="121"/>
      <c r="N35" s="122"/>
      <c r="O35" s="121"/>
      <c r="P35" s="120" t="n">
        <v>3.627</v>
      </c>
      <c r="Q35" s="120"/>
      <c r="R35" s="120"/>
      <c r="S35" s="123" t="n">
        <v>157.7</v>
      </c>
      <c r="T35" s="184" t="n">
        <v>0.014</v>
      </c>
      <c r="U35" s="184" t="n">
        <v>0.0136806517259227</v>
      </c>
      <c r="X35" s="182" t="n">
        <v>34.546</v>
      </c>
      <c r="Y35" s="182" t="n">
        <v>33.7579853231232</v>
      </c>
      <c r="Z35" s="184" t="n">
        <v>2.283</v>
      </c>
      <c r="AA35" s="184" t="n">
        <v>2.23092342073439</v>
      </c>
      <c r="AB35" s="182" t="n">
        <v>34.45</v>
      </c>
      <c r="AC35" s="182" t="n">
        <v>33.6641751398597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34.5501</v>
      </c>
      <c r="H36" s="118" t="n">
        <v>600</v>
      </c>
      <c r="I36" s="119" t="n">
        <v>599</v>
      </c>
      <c r="J36" s="132"/>
      <c r="K36" s="133"/>
      <c r="L36" s="133"/>
      <c r="M36" s="133"/>
      <c r="N36" s="134"/>
      <c r="O36" s="133"/>
      <c r="P36" s="132" t="n">
        <v>2.586</v>
      </c>
      <c r="Q36" s="132"/>
      <c r="R36" s="132"/>
      <c r="S36" s="135" t="n">
        <v>112.5</v>
      </c>
      <c r="T36" s="184" t="n">
        <v>0.017</v>
      </c>
      <c r="U36" s="184" t="n">
        <v>0.0166122199529061</v>
      </c>
      <c r="X36" s="182" t="n">
        <v>37.493</v>
      </c>
      <c r="Y36" s="182" t="n">
        <v>36.6377625114299</v>
      </c>
      <c r="Z36" s="184" t="n">
        <v>2.378</v>
      </c>
      <c r="AA36" s="184" t="n">
        <v>2.32375641458887</v>
      </c>
      <c r="AB36" s="182" t="n">
        <v>26.29</v>
      </c>
      <c r="AC36" s="182" t="n">
        <v>25.6903095624648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8"/>
      <c r="G37" s="117" t="n">
        <v>34.9238</v>
      </c>
      <c r="H37" s="131" t="n">
        <v>300</v>
      </c>
      <c r="I37" s="119" t="n">
        <v>297</v>
      </c>
      <c r="J37" s="132"/>
      <c r="K37" s="132"/>
      <c r="L37" s="132"/>
      <c r="M37" s="132"/>
      <c r="N37" s="132"/>
      <c r="O37" s="132"/>
      <c r="P37" s="132" t="n">
        <v>1.988</v>
      </c>
      <c r="Q37" s="132"/>
      <c r="R37" s="132"/>
      <c r="S37" s="135" t="n">
        <v>86.5</v>
      </c>
      <c r="T37" s="184" t="n">
        <v>0</v>
      </c>
      <c r="U37" s="184" t="n">
        <v>0</v>
      </c>
      <c r="X37" s="182" t="n">
        <v>32.14</v>
      </c>
      <c r="Y37" s="182" t="n">
        <v>31.4068676050825</v>
      </c>
      <c r="Z37" s="184" t="n">
        <v>1.952</v>
      </c>
      <c r="AA37" s="184" t="n">
        <v>1.90747372635722</v>
      </c>
      <c r="AB37" s="182" t="n">
        <v>14.36</v>
      </c>
      <c r="AC37" s="182" t="n">
        <v>14.0324399131607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40"/>
      <c r="G38" s="117" t="n">
        <v>35.8544</v>
      </c>
      <c r="H38" s="131" t="n">
        <v>100</v>
      </c>
      <c r="I38" s="119" t="n">
        <v>99</v>
      </c>
      <c r="J38" s="132"/>
      <c r="K38" s="132"/>
      <c r="L38" s="132"/>
      <c r="M38" s="132"/>
      <c r="N38" s="132"/>
      <c r="O38" s="132"/>
      <c r="P38" s="132" t="n">
        <v>3.047</v>
      </c>
      <c r="Q38" s="132"/>
      <c r="R38" s="132"/>
      <c r="S38" s="143" t="n">
        <v>132.7</v>
      </c>
      <c r="T38" s="184" t="n">
        <v>0.15</v>
      </c>
      <c r="U38" s="184" t="n">
        <v>0.146578411349172</v>
      </c>
      <c r="X38" s="182" t="n">
        <v>13.57</v>
      </c>
      <c r="Y38" s="182" t="n">
        <v>13.2604602800551</v>
      </c>
      <c r="Z38" s="184" t="n">
        <v>0.943</v>
      </c>
      <c r="AA38" s="184" t="n">
        <v>0.921489612681792</v>
      </c>
      <c r="AB38" s="182" t="n">
        <v>4.25</v>
      </c>
      <c r="AC38" s="182" t="n">
        <v>4.15305498822653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87"/>
      <c r="E39" s="129"/>
      <c r="F39" s="138"/>
      <c r="G39" s="117" t="n">
        <v>35.8546</v>
      </c>
      <c r="H39" s="131" t="n">
        <v>100</v>
      </c>
      <c r="I39" s="119" t="n">
        <v>99</v>
      </c>
      <c r="J39" s="132"/>
      <c r="K39" s="133"/>
      <c r="L39" s="133"/>
      <c r="M39" s="133"/>
      <c r="N39" s="134"/>
      <c r="O39" s="133"/>
      <c r="P39" s="132" t="n">
        <v>3.012</v>
      </c>
      <c r="Q39" s="132"/>
      <c r="R39" s="132"/>
      <c r="S39" s="135" t="n">
        <v>131.2</v>
      </c>
      <c r="T39" s="184" t="n">
        <v>0.132</v>
      </c>
      <c r="U39" s="184" t="n">
        <v>0.128989001987271</v>
      </c>
      <c r="X39" s="182" t="n">
        <v>13.458</v>
      </c>
      <c r="Y39" s="182" t="n">
        <v>13.1510150662477</v>
      </c>
      <c r="Z39" s="184" t="n">
        <v>0.931</v>
      </c>
      <c r="AA39" s="184" t="n">
        <v>0.909763339773858</v>
      </c>
      <c r="AB39" s="182" t="n">
        <v>4.16</v>
      </c>
      <c r="AC39" s="182" t="n">
        <v>4.06510794141703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8"/>
      <c r="G40" s="117" t="n">
        <v>35.9122</v>
      </c>
      <c r="H40" s="131" t="n">
        <v>80</v>
      </c>
      <c r="I40" s="119" t="n">
        <v>79</v>
      </c>
      <c r="J40" s="132"/>
      <c r="K40" s="133"/>
      <c r="L40" s="133"/>
      <c r="M40" s="133"/>
      <c r="N40" s="134"/>
      <c r="O40" s="133"/>
      <c r="P40" s="132" t="n">
        <v>3.527</v>
      </c>
      <c r="Q40" s="132"/>
      <c r="R40" s="132"/>
      <c r="S40" s="135" t="n">
        <v>153.7</v>
      </c>
      <c r="T40" s="184" t="n">
        <v>0.44</v>
      </c>
      <c r="U40" s="184" t="n">
        <v>0.42996333995757</v>
      </c>
      <c r="X40" s="182" t="n">
        <v>8.82</v>
      </c>
      <c r="Y40" s="182" t="n">
        <v>8.61881058733129</v>
      </c>
      <c r="Z40" s="184" t="n">
        <v>0.685</v>
      </c>
      <c r="AA40" s="184" t="n">
        <v>0.669374745161217</v>
      </c>
      <c r="AB40" s="182" t="n">
        <v>3.05</v>
      </c>
      <c r="AC40" s="182" t="n">
        <v>2.98042769743316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8"/>
      <c r="G41" s="117" t="n">
        <v>36.0249</v>
      </c>
      <c r="H41" s="118" t="n">
        <v>60</v>
      </c>
      <c r="I41" s="119" t="n">
        <v>59</v>
      </c>
      <c r="J41" s="132"/>
      <c r="K41" s="133"/>
      <c r="L41" s="133"/>
      <c r="M41" s="133"/>
      <c r="N41" s="134"/>
      <c r="O41" s="133"/>
      <c r="P41" s="132" t="n">
        <v>4.769</v>
      </c>
      <c r="Q41" s="132"/>
      <c r="R41" s="132"/>
      <c r="S41" s="135" t="n">
        <v>207.9</v>
      </c>
      <c r="T41" s="184" t="n">
        <v>0.029</v>
      </c>
      <c r="U41" s="184" t="n">
        <v>0.0283384928608398</v>
      </c>
      <c r="X41" s="182" t="n">
        <v>0.281</v>
      </c>
      <c r="Y41" s="182" t="n">
        <v>0.274590223927448</v>
      </c>
      <c r="Z41" s="184" t="n">
        <v>0.161</v>
      </c>
      <c r="AA41" s="184" t="n">
        <v>0.157327494848111</v>
      </c>
      <c r="AB41" s="182" t="n">
        <v>1.05</v>
      </c>
      <c r="AC41" s="182" t="n">
        <v>1.0260488794442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8"/>
      <c r="G42" s="117" t="n">
        <v>35.9709</v>
      </c>
      <c r="H42" s="131" t="n">
        <v>40</v>
      </c>
      <c r="I42" s="119" t="n">
        <v>40</v>
      </c>
      <c r="J42" s="132"/>
      <c r="K42" s="133"/>
      <c r="L42" s="133"/>
      <c r="M42" s="133"/>
      <c r="N42" s="134"/>
      <c r="O42" s="133"/>
      <c r="P42" s="132" t="n">
        <v>4.819</v>
      </c>
      <c r="Q42" s="132"/>
      <c r="R42" s="132"/>
      <c r="S42" s="135" t="n">
        <v>210.2</v>
      </c>
      <c r="T42" s="184" t="n">
        <v>0</v>
      </c>
      <c r="U42" s="184" t="n">
        <v>0</v>
      </c>
      <c r="X42" s="182" t="n">
        <v>0.21</v>
      </c>
      <c r="Y42" s="182" t="n">
        <v>0.20520977588884</v>
      </c>
      <c r="Z42" s="184" t="n">
        <v>0.113</v>
      </c>
      <c r="AA42" s="184" t="n">
        <v>0.110422403216376</v>
      </c>
      <c r="AB42" s="182" t="n">
        <v>1.26</v>
      </c>
      <c r="AC42" s="182" t="n">
        <v>1.23125865533304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8"/>
      <c r="G43" s="117" t="n">
        <v>35.9654</v>
      </c>
      <c r="H43" s="131" t="n">
        <v>10</v>
      </c>
      <c r="I43" s="119" t="n">
        <v>9</v>
      </c>
      <c r="J43" s="132"/>
      <c r="K43" s="133"/>
      <c r="L43" s="133"/>
      <c r="M43" s="133"/>
      <c r="N43" s="134"/>
      <c r="O43" s="133"/>
      <c r="P43" s="132" t="n">
        <v>4.798</v>
      </c>
      <c r="Q43" s="132"/>
      <c r="R43" s="132"/>
      <c r="S43" s="135" t="n">
        <v>209.2</v>
      </c>
      <c r="T43" s="184" t="n">
        <v>0.023</v>
      </c>
      <c r="U43" s="184" t="n">
        <v>0.022475356406873</v>
      </c>
      <c r="X43" s="182" t="n">
        <v>0.187</v>
      </c>
      <c r="Y43" s="182" t="n">
        <v>0.182734419481967</v>
      </c>
      <c r="Z43" s="184" t="n">
        <v>0.126</v>
      </c>
      <c r="AA43" s="184" t="n">
        <v>0.123125865533304</v>
      </c>
      <c r="AB43" s="182" t="n">
        <v>1.22</v>
      </c>
      <c r="AC43" s="182" t="n">
        <v>1.19217107897326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8"/>
      <c r="G44" s="117" t="n">
        <v>35.9654</v>
      </c>
      <c r="H44" s="131" t="n">
        <v>10</v>
      </c>
      <c r="I44" s="119" t="n">
        <v>9</v>
      </c>
      <c r="J44" s="132"/>
      <c r="K44" s="133"/>
      <c r="L44" s="133"/>
      <c r="M44" s="133"/>
      <c r="N44" s="134"/>
      <c r="O44" s="133"/>
      <c r="P44" s="132" t="n">
        <v>4.8</v>
      </c>
      <c r="Q44" s="132"/>
      <c r="R44" s="132"/>
      <c r="S44" s="135" t="n">
        <v>209.3</v>
      </c>
      <c r="T44" s="184" t="n">
        <v>0.015</v>
      </c>
      <c r="U44" s="184" t="n">
        <v>0.0146578411349172</v>
      </c>
      <c r="X44" s="182" t="n">
        <v>0.165</v>
      </c>
      <c r="Y44" s="182" t="n">
        <v>0.161236252484089</v>
      </c>
      <c r="Z44" s="184" t="n">
        <v>0.123</v>
      </c>
      <c r="AA44" s="184" t="n">
        <v>0.120194297306321</v>
      </c>
      <c r="AB44" s="182" t="n">
        <v>1.23</v>
      </c>
      <c r="AC44" s="182" t="n">
        <v>1.20194297306321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8"/>
      <c r="G45" s="117" t="n">
        <v>35.9666</v>
      </c>
      <c r="H45" s="131" t="n">
        <v>0</v>
      </c>
      <c r="I45" s="119" t="n">
        <v>0</v>
      </c>
      <c r="J45" s="132"/>
      <c r="K45" s="133"/>
      <c r="L45" s="133"/>
      <c r="M45" s="133"/>
      <c r="N45" s="134"/>
      <c r="O45" s="133"/>
      <c r="P45" s="132" t="n">
        <v>4.795</v>
      </c>
      <c r="Q45" s="132"/>
      <c r="R45" s="132"/>
      <c r="S45" s="143" t="n">
        <v>209.1</v>
      </c>
      <c r="T45" s="184" t="n">
        <v>0.023</v>
      </c>
      <c r="U45" s="184" t="n">
        <v>0.022475356406873</v>
      </c>
      <c r="X45" s="182" t="n">
        <v>0.187</v>
      </c>
      <c r="Y45" s="182" t="n">
        <v>0.182734419481967</v>
      </c>
      <c r="Z45" s="184" t="n">
        <v>0.125</v>
      </c>
      <c r="AA45" s="184" t="n">
        <v>0.12214867612431</v>
      </c>
      <c r="AB45" s="182" t="n">
        <v>1.26</v>
      </c>
      <c r="AC45" s="182" t="n">
        <v>1.23125865533304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6"/>
      <c r="U46" s="136"/>
      <c r="V46" s="136"/>
      <c r="W46" s="136"/>
      <c r="X46" s="177"/>
      <c r="Y46" s="177"/>
      <c r="Z46" s="136"/>
      <c r="AA46" s="136"/>
      <c r="AB46" s="177"/>
      <c r="AC46" s="177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3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6"/>
      <c r="U47" s="136"/>
      <c r="V47" s="136"/>
      <c r="W47" s="136"/>
      <c r="X47" s="177"/>
      <c r="Y47" s="177"/>
      <c r="Z47" s="136"/>
      <c r="AA47" s="136"/>
      <c r="AB47" s="177"/>
      <c r="AC47" s="177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3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6"/>
      <c r="U48" s="136"/>
      <c r="V48" s="136"/>
      <c r="W48" s="136"/>
      <c r="X48" s="177"/>
      <c r="Y48" s="177"/>
      <c r="Z48" s="136"/>
      <c r="AA48" s="136"/>
      <c r="AB48" s="177"/>
      <c r="AC48" s="177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77"/>
      <c r="Y50" s="177"/>
      <c r="Z50" s="136"/>
      <c r="AA50" s="136"/>
      <c r="AB50" s="177"/>
      <c r="AC50" s="177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77"/>
      <c r="Y52" s="177"/>
      <c r="Z52" s="136"/>
      <c r="AA52" s="136"/>
      <c r="AB52" s="177"/>
      <c r="AC52" s="177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77"/>
      <c r="Y53" s="177"/>
      <c r="Z53" s="136"/>
      <c r="AA53" s="136"/>
      <c r="AB53" s="177"/>
      <c r="AC53" s="177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77"/>
      <c r="Y54" s="177"/>
      <c r="Z54" s="136"/>
      <c r="AA54" s="136"/>
      <c r="AB54" s="177"/>
      <c r="AC54" s="177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77"/>
      <c r="Y55" s="177"/>
      <c r="Z55" s="136"/>
      <c r="AA55" s="136"/>
      <c r="AB55" s="177"/>
      <c r="AC55" s="177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77"/>
      <c r="Y57" s="177"/>
      <c r="Z57" s="136"/>
      <c r="AA57" s="136"/>
      <c r="AB57" s="177"/>
      <c r="AC57" s="177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8"/>
      <c r="Y58" s="178"/>
      <c r="Z58" s="170"/>
      <c r="AA58" s="170"/>
      <c r="AB58" s="178"/>
      <c r="AC58" s="178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C1" activeCellId="1" sqref="U45 AC1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  <col collapsed="false" customWidth="false" hidden="false" outlineLevel="0" max="25" min="24" style="172" width="9.14"/>
    <col collapsed="false" customWidth="false" hidden="false" outlineLevel="0" max="29" min="28" style="172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5</v>
      </c>
      <c r="J9" s="29" t="n">
        <v>59.82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-5°59,82</v>
      </c>
      <c r="P9" s="29" t="s">
        <v>16</v>
      </c>
      <c r="Q9" s="33" t="n">
        <f aca="false">IF(ISBLANK(I9),"",IF(ISBLANK(J9),"",IF(J9&gt;60,"ERREUR !!",O11*(I9+(J9/60)))))</f>
        <v>-5.997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0.01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-10°0,01</v>
      </c>
      <c r="P10" s="29" t="s">
        <v>17</v>
      </c>
      <c r="Q10" s="33" t="n">
        <f aca="false">IF(ISBLANK(I10),"",IF(ISBLANK(J10),"",IF(J10&gt;60,"ERREUR !!",O12*(I10+(J10/60)))))</f>
        <v>-10.0001666666667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37582</v>
      </c>
      <c r="K11" s="38"/>
      <c r="L11" s="38"/>
      <c r="M11" s="38"/>
      <c r="N11" s="39" t="str">
        <f aca="false">I9&amp;"°"&amp;J9</f>
        <v>5°59,82</v>
      </c>
      <c r="O11" s="40" t="n">
        <f aca="false">IF(P9=M10,-1,1)</f>
        <v>-1</v>
      </c>
      <c r="P11" s="41" t="str">
        <f aca="false">TEXT(J11,"aaaa-mm-jj")&amp;"T"&amp;TEXT(J12,"hh:mm:ss")&amp;"z"</f>
        <v>2006-11-23T20:45:00z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0.864583333333333</v>
      </c>
      <c r="K12" s="45"/>
      <c r="L12" s="45"/>
      <c r="M12" s="45"/>
      <c r="N12" s="46" t="str">
        <f aca="false">I10&amp;"°"&amp;J10</f>
        <v>10°0,01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179" t="s">
        <v>70</v>
      </c>
      <c r="Y31" s="179"/>
      <c r="Z31" s="89" t="s">
        <v>71</v>
      </c>
      <c r="AA31" s="89"/>
      <c r="AB31" s="180" t="s">
        <v>72</v>
      </c>
      <c r="AC31" s="18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179"/>
      <c r="Y32" s="179"/>
      <c r="Z32" s="89"/>
      <c r="AA32" s="89"/>
      <c r="AB32" s="180"/>
      <c r="AC32" s="18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73" t="s">
        <v>109</v>
      </c>
      <c r="Y33" s="173" t="s">
        <v>110</v>
      </c>
      <c r="Z33" s="100" t="s">
        <v>111</v>
      </c>
      <c r="AA33" s="100" t="s">
        <v>112</v>
      </c>
      <c r="AB33" s="173" t="s">
        <v>113</v>
      </c>
      <c r="AC33" s="174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75" t="s">
        <v>142</v>
      </c>
      <c r="Y34" s="175" t="s">
        <v>143</v>
      </c>
      <c r="Z34" s="108" t="s">
        <v>142</v>
      </c>
      <c r="AA34" s="108" t="s">
        <v>143</v>
      </c>
      <c r="AB34" s="175" t="s">
        <v>142</v>
      </c>
      <c r="AC34" s="176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34.9527</v>
      </c>
      <c r="H35" s="118" t="n">
        <v>2000</v>
      </c>
      <c r="I35" s="119" t="n">
        <v>2000.5</v>
      </c>
      <c r="J35" s="120"/>
      <c r="K35" s="121"/>
      <c r="L35" s="121"/>
      <c r="M35" s="121"/>
      <c r="N35" s="122"/>
      <c r="O35" s="121"/>
      <c r="P35" s="120" t="n">
        <v>5.526</v>
      </c>
      <c r="Q35" s="120"/>
      <c r="R35" s="120"/>
      <c r="S35" s="123" t="n">
        <v>240.1</v>
      </c>
      <c r="T35" s="124" t="n">
        <v>0.006</v>
      </c>
      <c r="U35" s="124" t="n">
        <v>0.00586313645396687</v>
      </c>
      <c r="X35" s="125" t="n">
        <v>21.874</v>
      </c>
      <c r="Y35" s="125" t="n">
        <v>21.3750411323452</v>
      </c>
      <c r="Z35" s="124" t="n">
        <v>1.431</v>
      </c>
      <c r="AA35" s="124" t="n">
        <v>1.3983580442711</v>
      </c>
      <c r="AB35" s="125" t="n">
        <v>26.95</v>
      </c>
      <c r="AC35" s="125" t="n">
        <v>26.3352545724012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34.9304</v>
      </c>
      <c r="H36" s="118" t="n">
        <v>1500</v>
      </c>
      <c r="I36" s="119" t="n">
        <v>1498</v>
      </c>
      <c r="J36" s="132"/>
      <c r="K36" s="133"/>
      <c r="L36" s="133"/>
      <c r="M36" s="133"/>
      <c r="N36" s="134"/>
      <c r="O36" s="133"/>
      <c r="P36" s="132" t="n">
        <v>4.987</v>
      </c>
      <c r="Q36" s="132"/>
      <c r="R36" s="132"/>
      <c r="S36" s="135" t="n">
        <v>216.7</v>
      </c>
      <c r="T36" s="124" t="n">
        <v>0</v>
      </c>
      <c r="U36" s="124" t="n">
        <v>0</v>
      </c>
      <c r="X36" s="125" t="n">
        <v>24.27</v>
      </c>
      <c r="Y36" s="125" t="n">
        <v>23.716386956296</v>
      </c>
      <c r="Z36" s="124" t="n">
        <v>1.594</v>
      </c>
      <c r="AA36" s="124" t="n">
        <v>1.5576399179372</v>
      </c>
      <c r="AB36" s="125" t="n">
        <v>22.34</v>
      </c>
      <c r="AC36" s="125" t="n">
        <v>21.8304113969366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8"/>
      <c r="G37" s="117" t="n">
        <v>34.6588</v>
      </c>
      <c r="H37" s="131" t="n">
        <v>1000</v>
      </c>
      <c r="I37" s="119" t="n">
        <v>1001</v>
      </c>
      <c r="J37" s="132"/>
      <c r="K37" s="132"/>
      <c r="L37" s="132"/>
      <c r="M37" s="132"/>
      <c r="N37" s="132"/>
      <c r="O37" s="132"/>
      <c r="P37" s="132" t="n">
        <v>3.635</v>
      </c>
      <c r="Q37" s="132"/>
      <c r="R37" s="132"/>
      <c r="S37" s="135" t="n">
        <v>158</v>
      </c>
      <c r="T37" s="124" t="n">
        <v>0.004</v>
      </c>
      <c r="U37" s="124" t="n">
        <v>0.00390875763597791</v>
      </c>
      <c r="X37" s="125" t="n">
        <v>34.136</v>
      </c>
      <c r="Y37" s="125" t="n">
        <v>33.3573376654355</v>
      </c>
      <c r="Z37" s="124" t="n">
        <v>2.259</v>
      </c>
      <c r="AA37" s="124" t="n">
        <v>2.20747087491852</v>
      </c>
      <c r="AB37" s="125" t="n">
        <v>34.36</v>
      </c>
      <c r="AC37" s="125" t="n">
        <v>33.5762280930502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40"/>
      <c r="G38" s="117" t="n">
        <v>35.7518</v>
      </c>
      <c r="H38" s="131" t="n">
        <v>500</v>
      </c>
      <c r="I38" s="119" t="n">
        <v>499</v>
      </c>
      <c r="J38" s="132"/>
      <c r="K38" s="132"/>
      <c r="L38" s="132"/>
      <c r="M38" s="132"/>
      <c r="N38" s="132"/>
      <c r="O38" s="132"/>
      <c r="P38" s="132" t="n">
        <v>2.053</v>
      </c>
      <c r="Q38" s="132"/>
      <c r="R38" s="132"/>
      <c r="S38" s="143" t="n">
        <v>89.2</v>
      </c>
      <c r="T38" s="124" t="n">
        <v>0</v>
      </c>
      <c r="U38" s="124" t="n">
        <v>0</v>
      </c>
      <c r="X38" s="125" t="n">
        <v>37.31</v>
      </c>
      <c r="Y38" s="125" t="n">
        <v>36.458936849584</v>
      </c>
      <c r="Z38" s="124" t="n">
        <v>2.329</v>
      </c>
      <c r="AA38" s="124" t="n">
        <v>2.27587413354814</v>
      </c>
      <c r="AB38" s="125" t="n">
        <v>21.51</v>
      </c>
      <c r="AC38" s="125" t="n">
        <v>21.0193441874712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8"/>
      <c r="G39" s="117" t="n">
        <v>35.8516</v>
      </c>
      <c r="H39" s="131" t="n">
        <v>100</v>
      </c>
      <c r="I39" s="119" t="n">
        <v>99</v>
      </c>
      <c r="J39" s="132"/>
      <c r="K39" s="133"/>
      <c r="L39" s="133"/>
      <c r="M39" s="133"/>
      <c r="N39" s="134"/>
      <c r="O39" s="133"/>
      <c r="P39" s="132" t="n">
        <v>2.735</v>
      </c>
      <c r="Q39" s="132"/>
      <c r="R39" s="132"/>
      <c r="S39" s="135" t="n">
        <v>119.1</v>
      </c>
      <c r="T39" s="124" t="n">
        <v>0.086</v>
      </c>
      <c r="U39" s="124" t="n">
        <v>0.084038289173525</v>
      </c>
      <c r="X39" s="125" t="n">
        <v>16.074</v>
      </c>
      <c r="Y39" s="125" t="n">
        <v>15.7073425601772</v>
      </c>
      <c r="Z39" s="124" t="n">
        <v>1.114</v>
      </c>
      <c r="AA39" s="124" t="n">
        <v>1.08858900161985</v>
      </c>
      <c r="AB39" s="125" t="n">
        <v>5.03</v>
      </c>
      <c r="AC39" s="125" t="n">
        <v>4.91526272724222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8"/>
      <c r="G40" s="117" t="n">
        <v>35.9919</v>
      </c>
      <c r="H40" s="131" t="n">
        <v>80</v>
      </c>
      <c r="I40" s="119" t="n">
        <v>79</v>
      </c>
      <c r="J40" s="132"/>
      <c r="K40" s="133"/>
      <c r="L40" s="133"/>
      <c r="M40" s="133"/>
      <c r="N40" s="134"/>
      <c r="O40" s="133"/>
      <c r="P40" s="132" t="n">
        <v>3.107</v>
      </c>
      <c r="Q40" s="132"/>
      <c r="R40" s="132"/>
      <c r="S40" s="135" t="n">
        <v>135.3</v>
      </c>
      <c r="T40" s="124" t="n">
        <v>0.153</v>
      </c>
      <c r="U40" s="124" t="n">
        <v>0.149509979576155</v>
      </c>
      <c r="X40" s="125" t="n">
        <v>12.597</v>
      </c>
      <c r="Y40" s="125" t="n">
        <v>12.3096549851034</v>
      </c>
      <c r="Z40" s="124" t="n">
        <v>0.921</v>
      </c>
      <c r="AA40" s="124" t="n">
        <v>0.899991445683914</v>
      </c>
      <c r="AB40" s="125" t="n">
        <v>4</v>
      </c>
      <c r="AC40" s="125" t="n">
        <v>3.90875763597791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8"/>
      <c r="G41" s="117" t="n">
        <v>36.0919</v>
      </c>
      <c r="H41" s="118" t="n">
        <v>60</v>
      </c>
      <c r="I41" s="119" t="n">
        <v>61</v>
      </c>
      <c r="J41" s="132"/>
      <c r="K41" s="133"/>
      <c r="L41" s="133"/>
      <c r="M41" s="133"/>
      <c r="N41" s="134"/>
      <c r="O41" s="133"/>
      <c r="P41" s="132" t="n">
        <v>3.901</v>
      </c>
      <c r="Q41" s="132"/>
      <c r="R41" s="132"/>
      <c r="S41" s="135" t="n">
        <v>169.9</v>
      </c>
      <c r="T41" s="124" t="n">
        <v>0.464</v>
      </c>
      <c r="U41" s="124" t="n">
        <v>0.453415885773438</v>
      </c>
      <c r="X41" s="125" t="n">
        <v>6.186</v>
      </c>
      <c r="Y41" s="125" t="n">
        <v>6.04489368403984</v>
      </c>
      <c r="Z41" s="124" t="n">
        <v>0.562</v>
      </c>
      <c r="AA41" s="124" t="n">
        <v>0.549180447854896</v>
      </c>
      <c r="AB41" s="125" t="n">
        <v>2.38</v>
      </c>
      <c r="AC41" s="125" t="n">
        <v>2.32571079340686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8"/>
      <c r="G42" s="117" t="n">
        <v>36.0918</v>
      </c>
      <c r="H42" s="131" t="n">
        <v>40</v>
      </c>
      <c r="I42" s="119" t="n">
        <v>41</v>
      </c>
      <c r="J42" s="132"/>
      <c r="K42" s="133"/>
      <c r="L42" s="133"/>
      <c r="M42" s="133"/>
      <c r="N42" s="134"/>
      <c r="O42" s="133"/>
      <c r="P42" s="132" t="n">
        <v>4.809</v>
      </c>
      <c r="Q42" s="132"/>
      <c r="R42" s="132"/>
      <c r="S42" s="135" t="n">
        <v>209.7</v>
      </c>
      <c r="T42" s="124" t="n">
        <v>0.013</v>
      </c>
      <c r="U42" s="124" t="n">
        <v>0.0127034623169282</v>
      </c>
      <c r="X42" s="125" t="n">
        <v>0.147</v>
      </c>
      <c r="Y42" s="125" t="n">
        <v>0.143646843122188</v>
      </c>
      <c r="Z42" s="124" t="n">
        <v>0.177</v>
      </c>
      <c r="AA42" s="124" t="n">
        <v>0.172962525392023</v>
      </c>
      <c r="AB42" s="125" t="n">
        <v>1.16</v>
      </c>
      <c r="AC42" s="125" t="n">
        <v>1.13353971443359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8"/>
      <c r="G43" s="117" t="n">
        <v>36.1</v>
      </c>
      <c r="H43" s="131" t="n">
        <v>20</v>
      </c>
      <c r="I43" s="119" t="n">
        <v>20</v>
      </c>
      <c r="J43" s="132"/>
      <c r="K43" s="133"/>
      <c r="L43" s="133"/>
      <c r="M43" s="133"/>
      <c r="N43" s="134"/>
      <c r="O43" s="133"/>
      <c r="P43" s="132" t="n">
        <v>4.78</v>
      </c>
      <c r="Q43" s="132"/>
      <c r="R43" s="132"/>
      <c r="S43" s="135" t="n">
        <v>208.4</v>
      </c>
      <c r="T43" s="124" t="n">
        <v>0.004</v>
      </c>
      <c r="U43" s="124" t="n">
        <v>0.00390875763597791</v>
      </c>
      <c r="X43" s="125" t="n">
        <v>0.076</v>
      </c>
      <c r="Y43" s="125" t="n">
        <v>0.0742663950835803</v>
      </c>
      <c r="Z43" s="124" t="n">
        <v>0.157</v>
      </c>
      <c r="AA43" s="124" t="n">
        <v>0.153418737212133</v>
      </c>
      <c r="AB43" s="125" t="n">
        <v>1.14</v>
      </c>
      <c r="AC43" s="125" t="n">
        <v>1.1139959262537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8"/>
      <c r="G44" s="117" t="n">
        <v>36.0998</v>
      </c>
      <c r="H44" s="131" t="n">
        <v>10</v>
      </c>
      <c r="I44" s="119" t="n">
        <v>10</v>
      </c>
      <c r="J44" s="132"/>
      <c r="K44" s="133"/>
      <c r="L44" s="133"/>
      <c r="M44" s="133"/>
      <c r="N44" s="134"/>
      <c r="O44" s="133"/>
      <c r="P44" s="132" t="n">
        <v>4.8</v>
      </c>
      <c r="Q44" s="132"/>
      <c r="R44" s="132"/>
      <c r="S44" s="135" t="n">
        <v>209.3</v>
      </c>
      <c r="T44" s="124" t="n">
        <v>0</v>
      </c>
      <c r="U44" s="124" t="n">
        <v>0</v>
      </c>
      <c r="X44" s="125" t="n">
        <v>0.04</v>
      </c>
      <c r="Y44" s="125" t="n">
        <v>0.0390875763597791</v>
      </c>
      <c r="Z44" s="124" t="n">
        <v>0.156</v>
      </c>
      <c r="AA44" s="124" t="n">
        <v>0.152441547803138</v>
      </c>
      <c r="AB44" s="125" t="n">
        <v>1.12</v>
      </c>
      <c r="AC44" s="125" t="n">
        <v>1.09445213807381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8"/>
      <c r="G45" s="117" t="n">
        <v>36.1015</v>
      </c>
      <c r="H45" s="131" t="n">
        <v>0</v>
      </c>
      <c r="I45" s="119" t="n">
        <v>1.7</v>
      </c>
      <c r="J45" s="132"/>
      <c r="K45" s="133"/>
      <c r="L45" s="133"/>
      <c r="M45" s="133"/>
      <c r="N45" s="134"/>
      <c r="O45" s="133"/>
      <c r="P45" s="132" t="n">
        <v>4.829</v>
      </c>
      <c r="Q45" s="132"/>
      <c r="R45" s="132"/>
      <c r="S45" s="143" t="n">
        <v>210.5</v>
      </c>
      <c r="T45" s="124" t="n">
        <v>0</v>
      </c>
      <c r="U45" s="124" t="n">
        <v>0</v>
      </c>
      <c r="X45" s="125" t="n">
        <v>0.03</v>
      </c>
      <c r="Y45" s="125" t="n">
        <v>0.0293156822698343</v>
      </c>
      <c r="Z45" s="124" t="n">
        <v>0.159</v>
      </c>
      <c r="AA45" s="124" t="n">
        <v>0.155373116030122</v>
      </c>
      <c r="AB45" s="125" t="n">
        <v>1.16</v>
      </c>
      <c r="AC45" s="125" t="n">
        <v>1.13353971443359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6"/>
      <c r="U46" s="136"/>
      <c r="V46" s="136"/>
      <c r="W46" s="136"/>
      <c r="X46" s="177"/>
      <c r="Y46" s="177"/>
      <c r="Z46" s="136"/>
      <c r="AA46" s="136"/>
      <c r="AB46" s="177"/>
      <c r="AC46" s="177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3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6"/>
      <c r="U47" s="177"/>
      <c r="V47" s="136"/>
      <c r="W47" s="136"/>
      <c r="X47" s="177"/>
      <c r="Y47" s="177"/>
      <c r="Z47" s="136"/>
      <c r="AA47" s="136"/>
      <c r="AB47" s="177"/>
      <c r="AC47" s="177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3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6"/>
      <c r="U48" s="136"/>
      <c r="V48" s="136"/>
      <c r="W48" s="136"/>
      <c r="X48" s="177"/>
      <c r="Y48" s="177"/>
      <c r="Z48" s="136"/>
      <c r="AA48" s="136"/>
      <c r="AB48" s="177"/>
      <c r="AC48" s="177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77"/>
      <c r="Y50" s="177"/>
      <c r="Z50" s="136"/>
      <c r="AA50" s="136"/>
      <c r="AB50" s="177"/>
      <c r="AC50" s="177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77"/>
      <c r="Y52" s="177"/>
      <c r="Z52" s="136"/>
      <c r="AA52" s="136"/>
      <c r="AB52" s="177"/>
      <c r="AC52" s="177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77"/>
      <c r="Y53" s="177"/>
      <c r="Z53" s="136"/>
      <c r="AA53" s="136"/>
      <c r="AB53" s="177"/>
      <c r="AC53" s="177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77"/>
      <c r="Y54" s="177"/>
      <c r="Z54" s="136"/>
      <c r="AA54" s="136"/>
      <c r="AB54" s="177"/>
      <c r="AC54" s="177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77"/>
      <c r="Y55" s="177"/>
      <c r="Z55" s="136"/>
      <c r="AA55" s="136"/>
      <c r="AB55" s="177"/>
      <c r="AC55" s="177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77"/>
      <c r="Y57" s="177"/>
      <c r="Z57" s="136"/>
      <c r="AA57" s="136"/>
      <c r="AB57" s="177"/>
      <c r="AC57" s="177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8"/>
      <c r="Y58" s="178"/>
      <c r="Z58" s="170"/>
      <c r="AA58" s="170"/>
      <c r="AB58" s="178"/>
      <c r="AC58" s="178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C4" activeCellId="1" sqref="U45 AC4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  <col collapsed="false" customWidth="false" hidden="false" outlineLevel="0" max="25" min="24" style="172" width="9.14"/>
    <col collapsed="false" customWidth="false" hidden="false" outlineLevel="0" max="29" min="28" style="172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5</v>
      </c>
      <c r="J9" s="29" t="n">
        <v>59.77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-5°59,77</v>
      </c>
      <c r="P9" s="29" t="s">
        <v>16</v>
      </c>
      <c r="Q9" s="33" t="n">
        <f aca="false">IF(ISBLANK(I9),"",IF(ISBLANK(J9),"",IF(J9&gt;60,"ERREUR !!",O11*(I9+(J9/60)))))</f>
        <v>-5.99616666666667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20.03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2°20,03</v>
      </c>
      <c r="P10" s="29" t="s">
        <v>14</v>
      </c>
      <c r="Q10" s="33" t="n">
        <f aca="false">IF(ISBLANK(I10),"",IF(ISBLANK(J10),"",IF(J10&gt;60,"ERREUR !!",O12*(I10+(J10/60)))))</f>
        <v>2.33383333333333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37586</v>
      </c>
      <c r="K11" s="38"/>
      <c r="L11" s="38"/>
      <c r="M11" s="38"/>
      <c r="N11" s="39" t="str">
        <f aca="false">I9&amp;"°"&amp;J9</f>
        <v>5°59,77</v>
      </c>
      <c r="O11" s="40" t="n">
        <f aca="false">IF(P9=M10,-1,1)</f>
        <v>-1</v>
      </c>
      <c r="P11" s="41" t="str">
        <f aca="false">TEXT(J11,"aaaa-mm-jj")&amp;"T"&amp;TEXT(J12,"hh:mm:ss")&amp;"z"</f>
        <v>2006-11-27T02:30:00z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0.104166666666667</v>
      </c>
      <c r="K12" s="45"/>
      <c r="L12" s="45"/>
      <c r="M12" s="45"/>
      <c r="N12" s="46" t="str">
        <f aca="false">I10&amp;"°"&amp;J10</f>
        <v>2°20,03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179" t="s">
        <v>70</v>
      </c>
      <c r="Y31" s="179"/>
      <c r="Z31" s="89" t="s">
        <v>71</v>
      </c>
      <c r="AA31" s="89"/>
      <c r="AB31" s="180" t="s">
        <v>72</v>
      </c>
      <c r="AC31" s="18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179"/>
      <c r="Y32" s="179"/>
      <c r="Z32" s="89"/>
      <c r="AA32" s="89"/>
      <c r="AB32" s="180"/>
      <c r="AC32" s="18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73" t="s">
        <v>109</v>
      </c>
      <c r="Y33" s="173" t="s">
        <v>110</v>
      </c>
      <c r="Z33" s="100" t="s">
        <v>111</v>
      </c>
      <c r="AA33" s="100" t="s">
        <v>112</v>
      </c>
      <c r="AB33" s="173" t="s">
        <v>113</v>
      </c>
      <c r="AC33" s="174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75" t="s">
        <v>142</v>
      </c>
      <c r="Y34" s="175" t="s">
        <v>143</v>
      </c>
      <c r="Z34" s="108" t="s">
        <v>142</v>
      </c>
      <c r="AA34" s="108" t="s">
        <v>143</v>
      </c>
      <c r="AB34" s="175" t="s">
        <v>142</v>
      </c>
      <c r="AC34" s="176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34.9425</v>
      </c>
      <c r="H35" s="118" t="n">
        <v>2000</v>
      </c>
      <c r="I35" s="181" t="n">
        <v>2004</v>
      </c>
      <c r="J35" s="120"/>
      <c r="K35" s="121"/>
      <c r="L35" s="121"/>
      <c r="M35" s="121"/>
      <c r="N35" s="122"/>
      <c r="O35" s="121"/>
      <c r="P35" s="34" t="n">
        <v>5.393</v>
      </c>
      <c r="Q35" s="120"/>
      <c r="R35" s="120"/>
      <c r="S35" s="123" t="n">
        <v>234.4</v>
      </c>
      <c r="T35" s="124" t="n">
        <v>0.003</v>
      </c>
      <c r="U35" s="184" t="n">
        <v>0.00293156822698343</v>
      </c>
      <c r="X35" s="125" t="n">
        <v>22.547</v>
      </c>
      <c r="Y35" s="182" t="n">
        <v>22.0326896045985</v>
      </c>
      <c r="Z35" s="124" t="n">
        <v>1.456</v>
      </c>
      <c r="AA35" s="184" t="n">
        <v>1.42278777949596</v>
      </c>
      <c r="AB35" s="125" t="n">
        <v>28.53</v>
      </c>
      <c r="AC35" s="182" t="n">
        <v>27.8792138386124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34.9286</v>
      </c>
      <c r="H36" s="118" t="n">
        <v>1500</v>
      </c>
      <c r="I36" s="181" t="n">
        <v>1498</v>
      </c>
      <c r="J36" s="132"/>
      <c r="K36" s="133"/>
      <c r="L36" s="133"/>
      <c r="M36" s="133"/>
      <c r="N36" s="134"/>
      <c r="O36" s="133"/>
      <c r="P36" s="34" t="n">
        <v>4.973</v>
      </c>
      <c r="Q36" s="132"/>
      <c r="R36" s="132"/>
      <c r="S36" s="135" t="n">
        <v>216.2</v>
      </c>
      <c r="T36" s="124" t="n">
        <v>0</v>
      </c>
      <c r="U36" s="184" t="n">
        <v>0</v>
      </c>
      <c r="X36" s="125" t="n">
        <v>24.29</v>
      </c>
      <c r="Y36" s="182" t="n">
        <v>23.7359307444759</v>
      </c>
      <c r="Z36" s="124" t="n">
        <v>1.578</v>
      </c>
      <c r="AA36" s="184" t="n">
        <v>1.54200488739329</v>
      </c>
      <c r="AB36" s="125" t="n">
        <v>24.18</v>
      </c>
      <c r="AC36" s="182" t="n">
        <v>23.6284399094865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8"/>
      <c r="G37" s="117" t="n">
        <v>34.5842</v>
      </c>
      <c r="H37" s="131" t="n">
        <v>1000</v>
      </c>
      <c r="I37" s="181" t="n">
        <v>997</v>
      </c>
      <c r="J37" s="132"/>
      <c r="K37" s="132"/>
      <c r="L37" s="132"/>
      <c r="M37" s="132"/>
      <c r="N37" s="132"/>
      <c r="O37" s="132"/>
      <c r="P37" s="34" t="n">
        <v>3.384</v>
      </c>
      <c r="Q37" s="132"/>
      <c r="R37" s="132"/>
      <c r="S37" s="135" t="n">
        <v>147.2</v>
      </c>
      <c r="T37" s="124" t="n">
        <v>0.012</v>
      </c>
      <c r="U37" s="184" t="n">
        <v>0.0117262729079337</v>
      </c>
      <c r="X37" s="125" t="n">
        <v>35.548</v>
      </c>
      <c r="Y37" s="182" t="n">
        <v>34.7371291109357</v>
      </c>
      <c r="Z37" s="124" t="n">
        <v>2.331</v>
      </c>
      <c r="AA37" s="184" t="n">
        <v>2.27782851236613</v>
      </c>
      <c r="AB37" s="125" t="n">
        <v>34.83</v>
      </c>
      <c r="AC37" s="182" t="n">
        <v>34.0355071152776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40"/>
      <c r="G38" s="117" t="n">
        <v>34.6503</v>
      </c>
      <c r="H38" s="131" t="n">
        <v>500</v>
      </c>
      <c r="I38" s="181" t="n">
        <v>498</v>
      </c>
      <c r="J38" s="132"/>
      <c r="K38" s="132"/>
      <c r="L38" s="132"/>
      <c r="M38" s="132"/>
      <c r="N38" s="132"/>
      <c r="O38" s="132"/>
      <c r="P38" s="34" t="n">
        <v>1.61</v>
      </c>
      <c r="Q38" s="132"/>
      <c r="R38" s="132"/>
      <c r="S38" s="143" t="n">
        <v>70.1</v>
      </c>
      <c r="T38" s="124" t="n">
        <v>0</v>
      </c>
      <c r="U38" s="184" t="n">
        <v>0</v>
      </c>
      <c r="X38" s="125" t="n">
        <v>40.15</v>
      </c>
      <c r="Y38" s="182" t="n">
        <v>39.2341547711283</v>
      </c>
      <c r="Z38" s="124" t="n">
        <v>2.458</v>
      </c>
      <c r="AA38" s="184" t="n">
        <v>2.40193156730843</v>
      </c>
      <c r="AB38" s="125" t="n">
        <v>23.15</v>
      </c>
      <c r="AC38" s="182" t="n">
        <v>22.6219348182222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8"/>
      <c r="G39" s="117" t="n">
        <v>35.529</v>
      </c>
      <c r="H39" s="131" t="n">
        <v>100</v>
      </c>
      <c r="I39" s="181" t="n">
        <v>98</v>
      </c>
      <c r="J39" s="132"/>
      <c r="K39" s="133"/>
      <c r="L39" s="133"/>
      <c r="M39" s="133"/>
      <c r="N39" s="134"/>
      <c r="O39" s="133"/>
      <c r="P39" s="34" t="n">
        <v>2.18</v>
      </c>
      <c r="Q39" s="132"/>
      <c r="R39" s="132"/>
      <c r="S39" s="135" t="n">
        <v>94.8</v>
      </c>
      <c r="T39" s="124" t="n">
        <v>0.024</v>
      </c>
      <c r="U39" s="184" t="n">
        <v>0.0234525458158675</v>
      </c>
      <c r="X39" s="125" t="n">
        <v>21.806</v>
      </c>
      <c r="Y39" s="182" t="n">
        <v>21.3085922525336</v>
      </c>
      <c r="Z39" s="124" t="n">
        <v>1.389</v>
      </c>
      <c r="AA39" s="184" t="n">
        <v>1.35731608909333</v>
      </c>
      <c r="AB39" s="125" t="n">
        <v>7.39</v>
      </c>
      <c r="AC39" s="182" t="n">
        <v>7.22142973246919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8"/>
      <c r="G40" s="117" t="n">
        <v>35.569</v>
      </c>
      <c r="H40" s="131" t="n">
        <v>80</v>
      </c>
      <c r="I40" s="183" t="n">
        <v>80</v>
      </c>
      <c r="J40" s="132"/>
      <c r="K40" s="133"/>
      <c r="L40" s="133"/>
      <c r="M40" s="133"/>
      <c r="N40" s="134"/>
      <c r="O40" s="133"/>
      <c r="P40" s="34" t="n">
        <v>1.816</v>
      </c>
      <c r="Q40" s="132"/>
      <c r="R40" s="132"/>
      <c r="S40" s="135" t="n">
        <v>79</v>
      </c>
      <c r="T40" s="184" t="n">
        <v>0.024</v>
      </c>
      <c r="U40" s="184" t="n">
        <v>0.0234525458158675</v>
      </c>
      <c r="X40" s="182" t="n">
        <v>22.906</v>
      </c>
      <c r="Y40" s="182" t="n">
        <v>22.3835006024275</v>
      </c>
      <c r="Z40" s="184" t="n">
        <v>1.45</v>
      </c>
      <c r="AA40" s="184" t="n">
        <v>1.41692464304199</v>
      </c>
      <c r="AB40" s="182" t="n">
        <v>7.46</v>
      </c>
      <c r="AC40" s="182" t="n">
        <v>7.2898329910988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8"/>
      <c r="G41" s="117" t="n">
        <v>35.6469</v>
      </c>
      <c r="H41" s="118" t="n">
        <v>60</v>
      </c>
      <c r="I41" s="181" t="n">
        <v>59</v>
      </c>
      <c r="J41" s="132"/>
      <c r="K41" s="133"/>
      <c r="L41" s="133"/>
      <c r="M41" s="133"/>
      <c r="N41" s="134"/>
      <c r="O41" s="133"/>
      <c r="P41" s="34" t="n">
        <v>2.092</v>
      </c>
      <c r="Q41" s="132"/>
      <c r="R41" s="132"/>
      <c r="S41" s="135" t="n">
        <v>91</v>
      </c>
      <c r="T41" s="124" t="n">
        <v>0.348</v>
      </c>
      <c r="U41" s="184" t="n">
        <v>0.340061914330078</v>
      </c>
      <c r="X41" s="125" t="n">
        <v>20.242</v>
      </c>
      <c r="Y41" s="182" t="n">
        <v>19.7802680168662</v>
      </c>
      <c r="Z41" s="124" t="n">
        <v>1.327</v>
      </c>
      <c r="AA41" s="184" t="n">
        <v>1.29673034573567</v>
      </c>
      <c r="AB41" s="125" t="n">
        <v>6.05</v>
      </c>
      <c r="AC41" s="182" t="n">
        <v>5.91199592441659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8"/>
      <c r="G42" s="117" t="n">
        <v>35.8648</v>
      </c>
      <c r="H42" s="131" t="n">
        <v>40</v>
      </c>
      <c r="I42" s="181" t="n">
        <v>40</v>
      </c>
      <c r="J42" s="132"/>
      <c r="K42" s="133"/>
      <c r="L42" s="133"/>
      <c r="M42" s="133"/>
      <c r="N42" s="134"/>
      <c r="O42" s="133"/>
      <c r="P42" s="34" t="n">
        <v>3.364</v>
      </c>
      <c r="Q42" s="132"/>
      <c r="R42" s="132"/>
      <c r="S42" s="135" t="n">
        <v>146.5</v>
      </c>
      <c r="T42" s="124" t="n">
        <v>0.29</v>
      </c>
      <c r="U42" s="184" t="n">
        <v>0.283384928608398</v>
      </c>
      <c r="X42" s="125" t="n">
        <v>10.8</v>
      </c>
      <c r="Y42" s="182" t="n">
        <v>10.5536456171404</v>
      </c>
      <c r="Z42" s="124" t="n">
        <v>0.816</v>
      </c>
      <c r="AA42" s="184" t="n">
        <v>0.797386557739494</v>
      </c>
      <c r="AB42" s="125" t="n">
        <v>3.39</v>
      </c>
      <c r="AC42" s="182" t="n">
        <v>3.31267209649128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8"/>
      <c r="G43" s="117" t="n">
        <v>35.9957</v>
      </c>
      <c r="H43" s="131" t="n">
        <v>20</v>
      </c>
      <c r="I43" s="181" t="n">
        <v>19</v>
      </c>
      <c r="J43" s="132"/>
      <c r="K43" s="133"/>
      <c r="L43" s="133"/>
      <c r="M43" s="133"/>
      <c r="N43" s="134"/>
      <c r="O43" s="133"/>
      <c r="P43" s="34" t="n">
        <v>4.756</v>
      </c>
      <c r="Q43" s="132"/>
      <c r="R43" s="132"/>
      <c r="S43" s="135" t="n">
        <v>207.2</v>
      </c>
      <c r="T43" s="124" t="n">
        <v>0.004</v>
      </c>
      <c r="U43" s="184" t="n">
        <v>0.00390875763597791</v>
      </c>
      <c r="X43" s="125" t="n">
        <v>0.336</v>
      </c>
      <c r="Y43" s="182" t="n">
        <v>0.328335641422144</v>
      </c>
      <c r="Z43" s="124" t="n">
        <v>0.193</v>
      </c>
      <c r="AA43" s="184" t="n">
        <v>0.188597555935934</v>
      </c>
      <c r="AB43" s="125" t="n">
        <v>1.04</v>
      </c>
      <c r="AC43" s="182" t="n">
        <v>1.01627698535426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8"/>
      <c r="G44" s="117" t="n">
        <v>35.9712</v>
      </c>
      <c r="H44" s="131" t="n">
        <v>10</v>
      </c>
      <c r="I44" s="181" t="n">
        <v>9</v>
      </c>
      <c r="J44" s="132"/>
      <c r="K44" s="133"/>
      <c r="L44" s="133"/>
      <c r="M44" s="133"/>
      <c r="N44" s="134"/>
      <c r="O44" s="133"/>
      <c r="P44" s="34" t="n">
        <v>4.768</v>
      </c>
      <c r="Q44" s="132"/>
      <c r="R44" s="132"/>
      <c r="S44" s="135" t="n">
        <v>207.9</v>
      </c>
      <c r="T44" s="124" t="n">
        <v>0</v>
      </c>
      <c r="U44" s="184" t="n">
        <v>0</v>
      </c>
      <c r="X44" s="125" t="n">
        <v>0.06</v>
      </c>
      <c r="Y44" s="182" t="n">
        <v>0.0586313645396686</v>
      </c>
      <c r="Z44" s="124" t="n">
        <v>0.149</v>
      </c>
      <c r="AA44" s="184" t="n">
        <v>0.145601221940177</v>
      </c>
      <c r="AB44" s="125" t="n">
        <v>1</v>
      </c>
      <c r="AC44" s="182" t="n">
        <v>0.977189408994477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8"/>
      <c r="G45" s="117" t="n">
        <v>35.9682</v>
      </c>
      <c r="H45" s="131" t="n">
        <v>0</v>
      </c>
      <c r="I45" s="181" t="n">
        <v>0.6</v>
      </c>
      <c r="J45" s="132"/>
      <c r="K45" s="133"/>
      <c r="L45" s="133"/>
      <c r="M45" s="133"/>
      <c r="N45" s="134"/>
      <c r="O45" s="133"/>
      <c r="P45" s="34" t="n">
        <v>4.772</v>
      </c>
      <c r="Q45" s="132"/>
      <c r="R45" s="132"/>
      <c r="S45" s="143" t="n">
        <v>208.3</v>
      </c>
      <c r="T45" s="124" t="n">
        <v>0.009</v>
      </c>
      <c r="U45" s="184" t="n">
        <v>0.0087947046809503</v>
      </c>
      <c r="X45" s="125" t="n">
        <v>0</v>
      </c>
      <c r="Y45" s="182" t="n">
        <v>0</v>
      </c>
      <c r="Z45" s="124" t="n">
        <v>0.153</v>
      </c>
      <c r="AA45" s="184" t="n">
        <v>0.149509979576155</v>
      </c>
      <c r="AB45" s="125" t="n">
        <v>1.05</v>
      </c>
      <c r="AC45" s="182" t="n">
        <v>1.0260488794442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5"/>
      <c r="H46" s="145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32"/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S46" s="132"/>
      <c r="T46" s="136"/>
      <c r="U46" s="136"/>
      <c r="V46" s="136"/>
      <c r="W46" s="136"/>
      <c r="X46" s="177"/>
      <c r="Y46" s="177"/>
      <c r="Z46" s="136"/>
      <c r="AA46" s="136"/>
      <c r="AB46" s="177"/>
      <c r="AC46" s="177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4"/>
      <c r="H47" s="154"/>
      <c r="I47" s="154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Flac.",#REF!/M47)))))))))</f>
        <v/>
      </c>
      <c r="S47" s="132"/>
      <c r="T47" s="136"/>
      <c r="U47" s="136"/>
      <c r="V47" s="136"/>
      <c r="W47" s="136"/>
      <c r="X47" s="177"/>
      <c r="Y47" s="177"/>
      <c r="Z47" s="136"/>
      <c r="AA47" s="136"/>
      <c r="AB47" s="177"/>
      <c r="AC47" s="177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4"/>
      <c r="H48" s="154"/>
      <c r="I48" s="154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Flac.",#REF!/M48)))))))))</f>
        <v/>
      </c>
      <c r="S48" s="132"/>
      <c r="T48" s="136"/>
      <c r="U48" s="136"/>
      <c r="V48" s="136"/>
      <c r="W48" s="136"/>
      <c r="X48" s="177"/>
      <c r="Y48" s="177"/>
      <c r="Z48" s="136"/>
      <c r="AA48" s="136"/>
      <c r="AB48" s="177"/>
      <c r="AC48" s="177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77"/>
      <c r="V50" s="136"/>
      <c r="W50" s="136"/>
      <c r="X50" s="177"/>
      <c r="Y50" s="177"/>
      <c r="Z50" s="136"/>
      <c r="AA50" s="136"/>
      <c r="AB50" s="177"/>
      <c r="AC50" s="177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77"/>
      <c r="Y52" s="177"/>
      <c r="Z52" s="136"/>
      <c r="AA52" s="136"/>
      <c r="AB52" s="177"/>
      <c r="AC52" s="177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77"/>
      <c r="Y53" s="177"/>
      <c r="Z53" s="136"/>
      <c r="AA53" s="136"/>
      <c r="AB53" s="177"/>
      <c r="AC53" s="177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77"/>
      <c r="Y54" s="177"/>
      <c r="Z54" s="136"/>
      <c r="AA54" s="136"/>
      <c r="AB54" s="177"/>
      <c r="AC54" s="177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77"/>
      <c r="Y55" s="177"/>
      <c r="Z55" s="136"/>
      <c r="AA55" s="136"/>
      <c r="AB55" s="177"/>
      <c r="AC55" s="177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77"/>
      <c r="Y57" s="177"/>
      <c r="Z57" s="136"/>
      <c r="AA57" s="136"/>
      <c r="AB57" s="177"/>
      <c r="AC57" s="177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8"/>
      <c r="Y58" s="178"/>
      <c r="Z58" s="170"/>
      <c r="AA58" s="170"/>
      <c r="AB58" s="178"/>
      <c r="AC58" s="178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C4" activeCellId="1" sqref="U45 AC4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  <col collapsed="false" customWidth="false" hidden="false" outlineLevel="0" max="25" min="24" style="172" width="9.14"/>
    <col collapsed="false" customWidth="false" hidden="false" outlineLevel="0" max="29" min="28" style="172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5</v>
      </c>
      <c r="J9" s="29" t="n">
        <v>29.99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-5°29,99</v>
      </c>
      <c r="P9" s="29" t="s">
        <v>16</v>
      </c>
      <c r="Q9" s="33" t="n">
        <f aca="false">IF(ISBLANK(I9),"",IF(ISBLANK(J9),"",IF(J9&gt;60,"ERREUR !!",O11*(I9+(J9/60)))))</f>
        <v>-5.49983333333333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20.01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2°20,01</v>
      </c>
      <c r="P10" s="29" t="s">
        <v>14</v>
      </c>
      <c r="Q10" s="33" t="n">
        <f aca="false">IF(ISBLANK(I10),"",IF(ISBLANK(J10),"",IF(J10&gt;60,"ERREUR !!",O12*(I10+(J10/60)))))</f>
        <v>2.3335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37586</v>
      </c>
      <c r="K11" s="38"/>
      <c r="L11" s="38"/>
      <c r="M11" s="38"/>
      <c r="N11" s="39" t="str">
        <f aca="false">I9&amp;"°"&amp;J9</f>
        <v>5°29,99</v>
      </c>
      <c r="O11" s="40" t="n">
        <f aca="false">IF(P9=M10,-1,1)</f>
        <v>-1</v>
      </c>
      <c r="P11" s="41" t="str">
        <f aca="false">TEXT(J11,"aaaa-mm-jj")&amp;"T"&amp;TEXT(J12,"hh:mm:ss")&amp;"z"</f>
        <v>2006-11-27T07:30:00z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0.3125</v>
      </c>
      <c r="K12" s="45"/>
      <c r="L12" s="45"/>
      <c r="M12" s="45"/>
      <c r="N12" s="46" t="str">
        <f aca="false">I10&amp;"°"&amp;J10</f>
        <v>2°20,01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179" t="s">
        <v>70</v>
      </c>
      <c r="Y31" s="179"/>
      <c r="Z31" s="89" t="s">
        <v>71</v>
      </c>
      <c r="AA31" s="89"/>
      <c r="AB31" s="180" t="s">
        <v>72</v>
      </c>
      <c r="AC31" s="18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179"/>
      <c r="Y32" s="179"/>
      <c r="Z32" s="89"/>
      <c r="AA32" s="89"/>
      <c r="AB32" s="180"/>
      <c r="AC32" s="18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73" t="s">
        <v>109</v>
      </c>
      <c r="Y33" s="173" t="s">
        <v>110</v>
      </c>
      <c r="Z33" s="100" t="s">
        <v>111</v>
      </c>
      <c r="AA33" s="100" t="s">
        <v>112</v>
      </c>
      <c r="AB33" s="173" t="s">
        <v>113</v>
      </c>
      <c r="AC33" s="174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75" t="s">
        <v>142</v>
      </c>
      <c r="Y34" s="175" t="s">
        <v>143</v>
      </c>
      <c r="Z34" s="108" t="s">
        <v>142</v>
      </c>
      <c r="AA34" s="108" t="s">
        <v>143</v>
      </c>
      <c r="AB34" s="175" t="s">
        <v>142</v>
      </c>
      <c r="AC34" s="176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34.6048</v>
      </c>
      <c r="H35" s="118" t="n">
        <v>1000</v>
      </c>
      <c r="I35" s="119" t="n">
        <v>1000</v>
      </c>
      <c r="J35" s="120"/>
      <c r="K35" s="121"/>
      <c r="L35" s="121"/>
      <c r="M35" s="121"/>
      <c r="N35" s="122"/>
      <c r="O35" s="121"/>
      <c r="P35" s="120" t="n">
        <v>3.458</v>
      </c>
      <c r="Q35" s="120"/>
      <c r="R35" s="120"/>
      <c r="S35" s="123" t="n">
        <v>150.4</v>
      </c>
      <c r="T35" s="184" t="n">
        <v>0.009</v>
      </c>
      <c r="U35" s="184" t="n">
        <v>0.0087947046809503</v>
      </c>
      <c r="X35" s="182" t="n">
        <v>34.441</v>
      </c>
      <c r="Y35" s="182" t="n">
        <v>33.6553804351788</v>
      </c>
      <c r="Z35" s="184" t="n">
        <v>2.341</v>
      </c>
      <c r="AA35" s="184" t="n">
        <v>2.28760040645607</v>
      </c>
      <c r="AB35" s="182" t="n">
        <v>33.09</v>
      </c>
      <c r="AC35" s="182" t="n">
        <v>32.3351975436273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34.6046</v>
      </c>
      <c r="H36" s="118" t="n">
        <v>1000</v>
      </c>
      <c r="I36" s="119" t="n">
        <v>1000</v>
      </c>
      <c r="J36" s="132"/>
      <c r="K36" s="133"/>
      <c r="L36" s="133"/>
      <c r="M36" s="133"/>
      <c r="N36" s="134"/>
      <c r="O36" s="133"/>
      <c r="P36" s="132" t="n">
        <v>3.465</v>
      </c>
      <c r="Q36" s="132"/>
      <c r="R36" s="132"/>
      <c r="S36" s="135" t="n">
        <v>150.7</v>
      </c>
      <c r="T36" s="184" t="n">
        <v>0.013</v>
      </c>
      <c r="U36" s="184" t="n">
        <v>0.0127034623169282</v>
      </c>
      <c r="X36" s="182" t="n">
        <v>34.157</v>
      </c>
      <c r="Y36" s="182" t="n">
        <v>33.3778586430244</v>
      </c>
      <c r="Z36" s="184" t="n">
        <v>2.315</v>
      </c>
      <c r="AA36" s="184" t="n">
        <v>2.26219348182221</v>
      </c>
      <c r="AB36" s="182" t="n">
        <v>32.73</v>
      </c>
      <c r="AC36" s="182" t="n">
        <v>31.9834093563892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8"/>
      <c r="G37" s="117" t="n">
        <v>34.5627</v>
      </c>
      <c r="H37" s="131" t="n">
        <v>600</v>
      </c>
      <c r="I37" s="119" t="n">
        <v>599</v>
      </c>
      <c r="J37" s="132"/>
      <c r="K37" s="132"/>
      <c r="L37" s="132"/>
      <c r="M37" s="132"/>
      <c r="N37" s="132"/>
      <c r="O37" s="132"/>
      <c r="P37" s="132" t="n">
        <v>2.233</v>
      </c>
      <c r="Q37" s="132"/>
      <c r="R37" s="132"/>
      <c r="S37" s="135" t="n">
        <v>97.1</v>
      </c>
      <c r="T37" s="184" t="n">
        <v>0.015</v>
      </c>
      <c r="U37" s="184" t="n">
        <v>0.0146578411349172</v>
      </c>
      <c r="X37" s="182" t="n">
        <v>38.625</v>
      </c>
      <c r="Y37" s="182" t="n">
        <v>37.7439409224117</v>
      </c>
      <c r="Z37" s="184" t="n">
        <v>2.501</v>
      </c>
      <c r="AA37" s="184" t="n">
        <v>2.44395071189519</v>
      </c>
      <c r="AB37" s="182" t="n">
        <v>25.37</v>
      </c>
      <c r="AC37" s="182" t="n">
        <v>24.7912953061899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40"/>
      <c r="G38" s="117" t="n">
        <v>35.0058</v>
      </c>
      <c r="H38" s="131" t="n">
        <v>300</v>
      </c>
      <c r="I38" s="119" t="n">
        <v>299</v>
      </c>
      <c r="J38" s="132"/>
      <c r="K38" s="132"/>
      <c r="L38" s="132"/>
      <c r="M38" s="132"/>
      <c r="N38" s="132"/>
      <c r="O38" s="132"/>
      <c r="P38" s="132" t="n">
        <v>1.164</v>
      </c>
      <c r="Q38" s="132"/>
      <c r="R38" s="132"/>
      <c r="S38" s="143" t="n">
        <v>50.6</v>
      </c>
      <c r="T38" s="184" t="n">
        <v>0.007</v>
      </c>
      <c r="U38" s="184" t="n">
        <v>0.00684032586296134</v>
      </c>
      <c r="X38" s="182" t="n">
        <v>33.063</v>
      </c>
      <c r="Y38" s="182" t="n">
        <v>32.3088134295844</v>
      </c>
      <c r="Z38" s="184" t="n">
        <v>2.084</v>
      </c>
      <c r="AA38" s="184" t="n">
        <v>2.03646272834449</v>
      </c>
      <c r="AB38" s="182" t="n">
        <v>14.16</v>
      </c>
      <c r="AC38" s="182" t="n">
        <v>13.8370020313618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8"/>
      <c r="G39" s="117" t="n">
        <v>34.4978</v>
      </c>
      <c r="H39" s="131" t="n">
        <v>100</v>
      </c>
      <c r="I39" s="119" t="n">
        <v>100</v>
      </c>
      <c r="J39" s="132"/>
      <c r="K39" s="133"/>
      <c r="L39" s="133"/>
      <c r="M39" s="133"/>
      <c r="N39" s="134"/>
      <c r="O39" s="133"/>
      <c r="P39" s="132" t="n">
        <v>2.386</v>
      </c>
      <c r="Q39" s="132"/>
      <c r="R39" s="132"/>
      <c r="S39" s="135" t="n">
        <v>103.9</v>
      </c>
      <c r="T39" s="184" t="n">
        <v>0.04</v>
      </c>
      <c r="U39" s="184" t="n">
        <v>0.0390875763597791</v>
      </c>
      <c r="X39" s="182" t="n">
        <v>20.52</v>
      </c>
      <c r="Y39" s="182" t="n">
        <v>20.0519266725667</v>
      </c>
      <c r="Z39" s="184" t="n">
        <v>1.363</v>
      </c>
      <c r="AA39" s="184" t="n">
        <v>1.33190916445947</v>
      </c>
      <c r="AB39" s="182" t="n">
        <v>6.9</v>
      </c>
      <c r="AC39" s="182" t="n">
        <v>6.7426069220619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8"/>
      <c r="G40" s="117" t="n">
        <v>35.5848</v>
      </c>
      <c r="H40" s="131" t="n">
        <v>80</v>
      </c>
      <c r="I40" s="119" t="n">
        <v>81</v>
      </c>
      <c r="J40" s="132"/>
      <c r="K40" s="133"/>
      <c r="L40" s="133"/>
      <c r="M40" s="133"/>
      <c r="N40" s="134"/>
      <c r="O40" s="133"/>
      <c r="P40" s="132" t="n">
        <v>2.306</v>
      </c>
      <c r="Q40" s="132"/>
      <c r="R40" s="132"/>
      <c r="S40" s="135" t="n">
        <v>100.4</v>
      </c>
      <c r="T40" s="184" t="n">
        <v>0.231</v>
      </c>
      <c r="U40" s="184" t="n">
        <v>0.225730753477724</v>
      </c>
      <c r="X40" s="182" t="n">
        <v>19.759</v>
      </c>
      <c r="Y40" s="182" t="n">
        <v>19.3082855323219</v>
      </c>
      <c r="Z40" s="184" t="n">
        <v>1.324</v>
      </c>
      <c r="AA40" s="184" t="n">
        <v>1.29379877750869</v>
      </c>
      <c r="AB40" s="182" t="n">
        <v>6.33</v>
      </c>
      <c r="AC40" s="182" t="n">
        <v>6.18560895893504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8"/>
      <c r="G41" s="117" t="n">
        <v>35.8152</v>
      </c>
      <c r="H41" s="118" t="n">
        <v>60</v>
      </c>
      <c r="I41" s="119" t="n">
        <v>59</v>
      </c>
      <c r="J41" s="132"/>
      <c r="K41" s="133"/>
      <c r="L41" s="133"/>
      <c r="M41" s="133"/>
      <c r="N41" s="134"/>
      <c r="O41" s="133"/>
      <c r="P41" s="132" t="n">
        <v>3.005</v>
      </c>
      <c r="Q41" s="132"/>
      <c r="R41" s="132"/>
      <c r="S41" s="135" t="n">
        <v>130.8</v>
      </c>
      <c r="T41" s="184" t="n">
        <v>0.412</v>
      </c>
      <c r="U41" s="184" t="n">
        <v>0.402602036505725</v>
      </c>
      <c r="X41" s="182" t="n">
        <v>12.613</v>
      </c>
      <c r="Y41" s="182" t="n">
        <v>12.3252900156473</v>
      </c>
      <c r="Z41" s="184" t="n">
        <v>0.946</v>
      </c>
      <c r="AA41" s="184" t="n">
        <v>0.924421180908776</v>
      </c>
      <c r="AB41" s="182" t="n">
        <v>4.355</v>
      </c>
      <c r="AC41" s="182" t="n">
        <v>4.25565987617095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8"/>
      <c r="G42" s="117" t="n">
        <v>35.9711</v>
      </c>
      <c r="H42" s="131" t="n">
        <v>40</v>
      </c>
      <c r="I42" s="119" t="n">
        <v>40.6</v>
      </c>
      <c r="J42" s="132"/>
      <c r="K42" s="133"/>
      <c r="L42" s="133"/>
      <c r="M42" s="133"/>
      <c r="N42" s="134"/>
      <c r="O42" s="133"/>
      <c r="P42" s="132" t="n">
        <v>4.706</v>
      </c>
      <c r="Q42" s="132"/>
      <c r="R42" s="132"/>
      <c r="S42" s="135" t="n">
        <v>205.1</v>
      </c>
      <c r="T42" s="184" t="n">
        <v>0.049</v>
      </c>
      <c r="U42" s="184" t="n">
        <v>0.0478822810407294</v>
      </c>
      <c r="X42" s="182" t="n">
        <v>1.551</v>
      </c>
      <c r="Y42" s="182" t="n">
        <v>1.51562077335043</v>
      </c>
      <c r="Z42" s="184" t="n">
        <v>0.256</v>
      </c>
      <c r="AA42" s="184" t="n">
        <v>0.250160488702586</v>
      </c>
      <c r="AB42" s="182" t="n">
        <v>2.24</v>
      </c>
      <c r="AC42" s="182" t="n">
        <v>2.18890427614763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8"/>
      <c r="G43" s="117" t="n">
        <v>35.975</v>
      </c>
      <c r="H43" s="131" t="n">
        <v>20</v>
      </c>
      <c r="I43" s="119" t="n">
        <v>19</v>
      </c>
      <c r="J43" s="132"/>
      <c r="K43" s="133"/>
      <c r="L43" s="133"/>
      <c r="M43" s="133"/>
      <c r="N43" s="134"/>
      <c r="O43" s="133"/>
      <c r="P43" s="132" t="n">
        <v>4.753</v>
      </c>
      <c r="Q43" s="132"/>
      <c r="R43" s="132"/>
      <c r="S43" s="135" t="n">
        <v>207.3</v>
      </c>
      <c r="T43" s="184" t="n">
        <v>0.001</v>
      </c>
      <c r="U43" s="184" t="n">
        <v>0.000977189408994478</v>
      </c>
      <c r="X43" s="182" t="n">
        <v>0.189</v>
      </c>
      <c r="Y43" s="182" t="n">
        <v>0.184688798299956</v>
      </c>
      <c r="Z43" s="184" t="n">
        <v>0.108</v>
      </c>
      <c r="AA43" s="184" t="n">
        <v>0.105536456171404</v>
      </c>
      <c r="AB43" s="182" t="n">
        <v>1.61</v>
      </c>
      <c r="AC43" s="182" t="n">
        <v>1.57327494848111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8"/>
      <c r="G44" s="117" t="n">
        <v>35.9744</v>
      </c>
      <c r="H44" s="131" t="n">
        <v>10</v>
      </c>
      <c r="I44" s="119" t="n">
        <v>9.7</v>
      </c>
      <c r="J44" s="132"/>
      <c r="K44" s="133"/>
      <c r="L44" s="133"/>
      <c r="M44" s="133"/>
      <c r="N44" s="134"/>
      <c r="O44" s="133"/>
      <c r="P44" s="132" t="n">
        <v>4.752</v>
      </c>
      <c r="Q44" s="132"/>
      <c r="R44" s="132"/>
      <c r="S44" s="135" t="n">
        <v>207.2</v>
      </c>
      <c r="T44" s="184" t="n">
        <v>0</v>
      </c>
      <c r="U44" s="184" t="n">
        <v>0</v>
      </c>
      <c r="X44" s="182" t="n">
        <v>0.133</v>
      </c>
      <c r="Y44" s="182" t="n">
        <v>0.129966191396265</v>
      </c>
      <c r="Z44" s="184" t="n">
        <v>0.11</v>
      </c>
      <c r="AA44" s="184" t="n">
        <v>0.107490834989393</v>
      </c>
      <c r="AB44" s="182" t="n">
        <v>1.6</v>
      </c>
      <c r="AC44" s="182" t="n">
        <v>1.56350305439116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8"/>
      <c r="G45" s="117" t="n">
        <v>35.9744</v>
      </c>
      <c r="H45" s="131" t="n">
        <v>0</v>
      </c>
      <c r="I45" s="119" t="n">
        <v>0.3</v>
      </c>
      <c r="J45" s="132"/>
      <c r="K45" s="133"/>
      <c r="L45" s="133"/>
      <c r="M45" s="133"/>
      <c r="N45" s="134"/>
      <c r="O45" s="133"/>
      <c r="P45" s="132" t="n">
        <v>4.785</v>
      </c>
      <c r="Q45" s="132"/>
      <c r="R45" s="132"/>
      <c r="S45" s="143" t="n">
        <v>208.7</v>
      </c>
      <c r="T45" s="184" t="n">
        <v>0.001</v>
      </c>
      <c r="U45" s="184" t="n">
        <v>0.000977189408994478</v>
      </c>
      <c r="X45" s="182" t="n">
        <v>0.039</v>
      </c>
      <c r="Y45" s="182" t="n">
        <v>0.0381103869507846</v>
      </c>
      <c r="Z45" s="184" t="n">
        <v>0.114</v>
      </c>
      <c r="AA45" s="184" t="n">
        <v>0.11139959262537</v>
      </c>
      <c r="AB45" s="182" t="n">
        <v>2.07</v>
      </c>
      <c r="AC45" s="182" t="n">
        <v>2.02278207661857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5"/>
      <c r="H46" s="145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32"/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S46" s="132"/>
      <c r="T46" s="136"/>
      <c r="U46" s="136"/>
      <c r="V46" s="136"/>
      <c r="W46" s="136"/>
      <c r="X46" s="177"/>
      <c r="Y46" s="177"/>
      <c r="Z46" s="136"/>
      <c r="AA46" s="136"/>
      <c r="AB46" s="177"/>
      <c r="AC46" s="177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4"/>
      <c r="H47" s="154"/>
      <c r="I47" s="154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Flac.",#REF!/M47)))))))))</f>
        <v/>
      </c>
      <c r="S47" s="132"/>
      <c r="T47" s="136"/>
      <c r="U47" s="136"/>
      <c r="V47" s="136"/>
      <c r="W47" s="136"/>
      <c r="X47" s="177"/>
      <c r="Y47" s="177"/>
      <c r="Z47" s="136"/>
      <c r="AA47" s="136"/>
      <c r="AB47" s="177"/>
      <c r="AC47" s="177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4"/>
      <c r="H48" s="154"/>
      <c r="I48" s="154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Flac.",#REF!/M48)))))))))</f>
        <v/>
      </c>
      <c r="S48" s="132"/>
      <c r="T48" s="136"/>
      <c r="U48" s="136"/>
      <c r="V48" s="177"/>
      <c r="W48" s="136"/>
      <c r="X48" s="177"/>
      <c r="Y48" s="177"/>
      <c r="Z48" s="136"/>
      <c r="AA48" s="136"/>
      <c r="AB48" s="177"/>
      <c r="AC48" s="177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77"/>
      <c r="Y50" s="177"/>
      <c r="Z50" s="136"/>
      <c r="AA50" s="136"/>
      <c r="AB50" s="177"/>
      <c r="AC50" s="177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77"/>
      <c r="Y52" s="177"/>
      <c r="Z52" s="136"/>
      <c r="AA52" s="136"/>
      <c r="AB52" s="177"/>
      <c r="AC52" s="177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77"/>
      <c r="Y53" s="177"/>
      <c r="Z53" s="136"/>
      <c r="AA53" s="136"/>
      <c r="AB53" s="177"/>
      <c r="AC53" s="177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77"/>
      <c r="Y54" s="177"/>
      <c r="Z54" s="136"/>
      <c r="AA54" s="136"/>
      <c r="AB54" s="177"/>
      <c r="AC54" s="177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77"/>
      <c r="Y55" s="177"/>
      <c r="Z55" s="136"/>
      <c r="AA55" s="136"/>
      <c r="AB55" s="177"/>
      <c r="AC55" s="177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77"/>
      <c r="Y57" s="177"/>
      <c r="Z57" s="136"/>
      <c r="AA57" s="136"/>
      <c r="AB57" s="177"/>
      <c r="AC57" s="177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8"/>
      <c r="Y58" s="178"/>
      <c r="Z58" s="170"/>
      <c r="AA58" s="170"/>
      <c r="AB58" s="178"/>
      <c r="AC58" s="178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H35" activeCellId="1" sqref="U45 H35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5</v>
      </c>
      <c r="J9" s="29" t="n">
        <v>0.31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-5°0,31</v>
      </c>
      <c r="P9" s="29" t="s">
        <v>16</v>
      </c>
      <c r="Q9" s="33" t="n">
        <f aca="false">IF(ISBLANK(I9),"",IF(ISBLANK(J9),"",IF(J9&gt;60,"ERREUR !!",O11*(I9+(J9/60)))))</f>
        <v>-5.00516666666667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19.89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2°19,89</v>
      </c>
      <c r="P10" s="29" t="s">
        <v>14</v>
      </c>
      <c r="Q10" s="33" t="n">
        <f aca="false">IF(ISBLANK(I10),"",IF(ISBLANK(J10),"",IF(J10&gt;60,"ERREUR !!",O12*(I10+(J10/60)))))</f>
        <v>2.3315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37586</v>
      </c>
      <c r="K11" s="38"/>
      <c r="L11" s="38"/>
      <c r="M11" s="38"/>
      <c r="N11" s="39" t="str">
        <f aca="false">I9&amp;"°"&amp;J9</f>
        <v>5°0,31</v>
      </c>
      <c r="O11" s="40" t="n">
        <f aca="false">IF(P9=M10,-1,1)</f>
        <v>-1</v>
      </c>
      <c r="P11" s="41" t="str">
        <f aca="false">TEXT(J11,"aaaa-mm-jj")&amp;"T"&amp;TEXT(J12,"hh:mm:ss")&amp;"z"</f>
        <v>2006-11-27T12:30:00z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0.520833333333333</v>
      </c>
      <c r="K12" s="45"/>
      <c r="L12" s="45"/>
      <c r="M12" s="45"/>
      <c r="N12" s="46" t="str">
        <f aca="false">I10&amp;"°"&amp;J10</f>
        <v>2°19,89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34.6428</v>
      </c>
      <c r="H35" s="118" t="n">
        <v>1000</v>
      </c>
      <c r="I35" s="119" t="n">
        <v>1008</v>
      </c>
      <c r="J35" s="120"/>
      <c r="K35" s="121"/>
      <c r="L35" s="121"/>
      <c r="M35" s="121"/>
      <c r="N35" s="122"/>
      <c r="O35" s="121"/>
      <c r="P35" s="120" t="n">
        <v>3.571</v>
      </c>
      <c r="Q35" s="120"/>
      <c r="R35" s="120"/>
      <c r="S35" s="123" t="n">
        <v>155.3</v>
      </c>
      <c r="T35" s="124" t="n">
        <v>0.012</v>
      </c>
      <c r="U35" s="184" t="n">
        <v>0.0117262729079337</v>
      </c>
      <c r="X35" s="125" t="n">
        <v>33.528</v>
      </c>
      <c r="Y35" s="182" t="n">
        <v>32.7632065047668</v>
      </c>
      <c r="Z35" s="124" t="n">
        <v>2.285</v>
      </c>
      <c r="AA35" s="184" t="n">
        <v>2.23287779955238</v>
      </c>
      <c r="AB35" s="125" t="n">
        <v>31.9</v>
      </c>
      <c r="AC35" s="182" t="n">
        <v>31.1723421469238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34.5655</v>
      </c>
      <c r="H36" s="131" t="n">
        <v>600</v>
      </c>
      <c r="I36" s="119" t="n">
        <v>601</v>
      </c>
      <c r="J36" s="132"/>
      <c r="K36" s="133"/>
      <c r="L36" s="133"/>
      <c r="M36" s="133"/>
      <c r="N36" s="134"/>
      <c r="O36" s="133"/>
      <c r="P36" s="132" t="n">
        <v>2.238</v>
      </c>
      <c r="Q36" s="132"/>
      <c r="R36" s="132"/>
      <c r="S36" s="135" t="n">
        <v>97.3</v>
      </c>
      <c r="T36" s="184" t="n">
        <v>0</v>
      </c>
      <c r="U36" s="184" t="n">
        <v>0</v>
      </c>
      <c r="X36" s="182" t="n">
        <v>38.46</v>
      </c>
      <c r="Y36" s="182" t="n">
        <v>37.5827046699276</v>
      </c>
      <c r="Z36" s="184" t="n">
        <v>2.528</v>
      </c>
      <c r="AA36" s="184" t="n">
        <v>2.47033482593804</v>
      </c>
      <c r="AB36" s="182" t="n">
        <v>24.77</v>
      </c>
      <c r="AC36" s="182" t="n">
        <v>24.2049816607932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8"/>
      <c r="G37" s="117" t="n">
        <v>34.5684</v>
      </c>
      <c r="H37" s="131" t="n">
        <v>600</v>
      </c>
      <c r="I37" s="119" t="n">
        <v>601</v>
      </c>
      <c r="J37" s="132"/>
      <c r="K37" s="132"/>
      <c r="L37" s="132"/>
      <c r="M37" s="132"/>
      <c r="N37" s="132"/>
      <c r="O37" s="132"/>
      <c r="P37" s="132" t="n">
        <v>2.221</v>
      </c>
      <c r="Q37" s="132"/>
      <c r="R37" s="132"/>
      <c r="S37" s="135" t="n">
        <v>96.6</v>
      </c>
      <c r="T37" s="184" t="n">
        <v>0.019</v>
      </c>
      <c r="U37" s="184" t="n">
        <v>0.0185665987708951</v>
      </c>
      <c r="X37" s="182" t="n">
        <v>38.661</v>
      </c>
      <c r="Y37" s="182" t="n">
        <v>37.7791197411355</v>
      </c>
      <c r="Z37" s="184" t="n">
        <v>2.494</v>
      </c>
      <c r="AA37" s="184" t="n">
        <v>2.43711038603223</v>
      </c>
      <c r="AB37" s="182" t="n">
        <v>25.02</v>
      </c>
      <c r="AC37" s="182" t="n">
        <v>24.4492790130418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40"/>
      <c r="G38" s="117" t="n">
        <v>34.9978</v>
      </c>
      <c r="H38" s="131" t="n">
        <v>300</v>
      </c>
      <c r="I38" s="119" t="n">
        <v>298</v>
      </c>
      <c r="J38" s="132"/>
      <c r="K38" s="132"/>
      <c r="L38" s="132"/>
      <c r="M38" s="132"/>
      <c r="N38" s="132"/>
      <c r="O38" s="132"/>
      <c r="P38" s="132" t="n">
        <v>2.247</v>
      </c>
      <c r="Q38" s="132"/>
      <c r="R38" s="132"/>
      <c r="S38" s="143" t="n">
        <v>97.8</v>
      </c>
      <c r="T38" s="124" t="n">
        <v>0.015</v>
      </c>
      <c r="U38" s="184" t="n">
        <v>0.0146578411349172</v>
      </c>
      <c r="X38" s="125" t="n">
        <v>28.335</v>
      </c>
      <c r="Y38" s="182" t="n">
        <v>27.6886619038585</v>
      </c>
      <c r="Z38" s="124" t="n">
        <v>1.81</v>
      </c>
      <c r="AA38" s="184" t="n">
        <v>1.76871283028</v>
      </c>
      <c r="AB38" s="125" t="n">
        <v>11.96</v>
      </c>
      <c r="AC38" s="182" t="n">
        <v>11.6871853315739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8"/>
      <c r="G39" s="117" t="n">
        <v>35.5199</v>
      </c>
      <c r="H39" s="131" t="n">
        <v>100</v>
      </c>
      <c r="I39" s="119" t="n">
        <v>100</v>
      </c>
      <c r="J39" s="132"/>
      <c r="K39" s="133"/>
      <c r="L39" s="133"/>
      <c r="M39" s="133"/>
      <c r="N39" s="134"/>
      <c r="O39" s="133"/>
      <c r="P39" s="132" t="n">
        <v>2.006</v>
      </c>
      <c r="Q39" s="132"/>
      <c r="R39" s="132"/>
      <c r="S39" s="135" t="n">
        <v>87.3</v>
      </c>
      <c r="T39" s="124" t="n">
        <v>0.046</v>
      </c>
      <c r="U39" s="184" t="n">
        <v>0.044950712813746</v>
      </c>
      <c r="X39" s="125" t="n">
        <v>22.124</v>
      </c>
      <c r="Y39" s="182" t="n">
        <v>21.6193384845938</v>
      </c>
      <c r="Z39" s="124" t="n">
        <v>1.464</v>
      </c>
      <c r="AA39" s="184" t="n">
        <v>1.43060529476792</v>
      </c>
      <c r="AB39" s="125" t="n">
        <v>7.17</v>
      </c>
      <c r="AC39" s="182" t="n">
        <v>7.0064480624904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8"/>
      <c r="G40" s="117" t="n">
        <v>35.5936</v>
      </c>
      <c r="H40" s="131" t="n">
        <v>80</v>
      </c>
      <c r="I40" s="119" t="n">
        <v>80</v>
      </c>
      <c r="J40" s="132"/>
      <c r="K40" s="133"/>
      <c r="L40" s="133"/>
      <c r="M40" s="133"/>
      <c r="N40" s="134"/>
      <c r="O40" s="133"/>
      <c r="P40" s="132" t="n">
        <v>2.022</v>
      </c>
      <c r="Q40" s="132"/>
      <c r="R40" s="132"/>
      <c r="S40" s="135" t="n">
        <v>88</v>
      </c>
      <c r="T40" s="124" t="n">
        <v>0.143</v>
      </c>
      <c r="U40" s="184" t="n">
        <v>0.13973808548621</v>
      </c>
      <c r="X40" s="125" t="n">
        <v>21.347</v>
      </c>
      <c r="Y40" s="182" t="n">
        <v>20.8600623138051</v>
      </c>
      <c r="Z40" s="124" t="n">
        <v>1.409</v>
      </c>
      <c r="AA40" s="184" t="n">
        <v>1.37685987727322</v>
      </c>
      <c r="AB40" s="125" t="n">
        <v>5.8</v>
      </c>
      <c r="AC40" s="182" t="n">
        <v>5.66769857216797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8"/>
      <c r="G41" s="117" t="n">
        <v>35.7312</v>
      </c>
      <c r="H41" s="118" t="n">
        <v>60</v>
      </c>
      <c r="I41" s="119" t="n">
        <v>60</v>
      </c>
      <c r="J41" s="132"/>
      <c r="K41" s="133"/>
      <c r="L41" s="133"/>
      <c r="M41" s="133"/>
      <c r="N41" s="134"/>
      <c r="O41" s="133"/>
      <c r="P41" s="132" t="n">
        <v>2.591</v>
      </c>
      <c r="Q41" s="132"/>
      <c r="R41" s="132"/>
      <c r="S41" s="135" t="n">
        <v>112.8</v>
      </c>
      <c r="T41" s="124" t="n">
        <v>0.476</v>
      </c>
      <c r="U41" s="184" t="n">
        <v>0.465142158681371</v>
      </c>
      <c r="X41" s="125" t="n">
        <v>16.004</v>
      </c>
      <c r="Y41" s="182" t="n">
        <v>15.6389393015476</v>
      </c>
      <c r="Z41" s="124" t="n">
        <v>1.136</v>
      </c>
      <c r="AA41" s="184" t="n">
        <v>1.11008716861773</v>
      </c>
      <c r="AB41" s="125" t="n">
        <v>4.81</v>
      </c>
      <c r="AC41" s="182" t="n">
        <v>4.70028105726344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8"/>
      <c r="G42" s="117" t="n">
        <v>35.9114</v>
      </c>
      <c r="H42" s="131" t="n">
        <v>40</v>
      </c>
      <c r="I42" s="119" t="n">
        <v>39</v>
      </c>
      <c r="J42" s="132"/>
      <c r="K42" s="133"/>
      <c r="L42" s="133"/>
      <c r="M42" s="133"/>
      <c r="N42" s="134"/>
      <c r="O42" s="133"/>
      <c r="P42" s="132" t="n">
        <v>4.727</v>
      </c>
      <c r="Q42" s="132"/>
      <c r="R42" s="132"/>
      <c r="S42" s="135" t="n">
        <v>206.2</v>
      </c>
      <c r="T42" s="184" t="n">
        <v>0.000500000000000002</v>
      </c>
      <c r="U42" s="184" t="n">
        <v>0.000488594704497241</v>
      </c>
      <c r="X42" s="182" t="n">
        <v>0.1295</v>
      </c>
      <c r="Y42" s="182" t="n">
        <v>0.126546028464785</v>
      </c>
      <c r="Z42" s="184" t="n">
        <v>0.1695</v>
      </c>
      <c r="AA42" s="184" t="n">
        <v>0.165633604824564</v>
      </c>
      <c r="AB42" s="182" t="n">
        <v>1.1</v>
      </c>
      <c r="AC42" s="182" t="n">
        <v>1.07490834989393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8"/>
      <c r="G43" s="117" t="n">
        <v>35.9098</v>
      </c>
      <c r="H43" s="131" t="n">
        <v>20</v>
      </c>
      <c r="I43" s="119" t="n">
        <v>20</v>
      </c>
      <c r="J43" s="132"/>
      <c r="K43" s="133"/>
      <c r="L43" s="133"/>
      <c r="M43" s="133"/>
      <c r="N43" s="134"/>
      <c r="O43" s="133"/>
      <c r="P43" s="132" t="n">
        <v>4.757</v>
      </c>
      <c r="Q43" s="132"/>
      <c r="R43" s="132"/>
      <c r="S43" s="135" t="n">
        <v>207.5</v>
      </c>
      <c r="T43" s="124" t="n">
        <v>0</v>
      </c>
      <c r="U43" s="184" t="n">
        <v>0</v>
      </c>
      <c r="X43" s="125" t="n">
        <v>0.016</v>
      </c>
      <c r="Y43" s="182" t="n">
        <v>0.0156350305439116</v>
      </c>
      <c r="Z43" s="124" t="n">
        <v>0.155</v>
      </c>
      <c r="AA43" s="184" t="n">
        <v>0.151464358394144</v>
      </c>
      <c r="AB43" s="125" t="n">
        <v>1.25</v>
      </c>
      <c r="AC43" s="182" t="n">
        <v>1.2214867612431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8"/>
      <c r="G44" s="117" t="n">
        <v>35.9101</v>
      </c>
      <c r="H44" s="131" t="n">
        <v>10</v>
      </c>
      <c r="I44" s="119" t="n">
        <v>11</v>
      </c>
      <c r="J44" s="132"/>
      <c r="K44" s="133"/>
      <c r="L44" s="133"/>
      <c r="M44" s="133"/>
      <c r="N44" s="134"/>
      <c r="O44" s="133"/>
      <c r="P44" s="132" t="n">
        <v>4.75</v>
      </c>
      <c r="Q44" s="132"/>
      <c r="R44" s="132"/>
      <c r="S44" s="135" t="n">
        <v>207.2</v>
      </c>
      <c r="T44" s="124" t="n">
        <v>0.004</v>
      </c>
      <c r="U44" s="184" t="n">
        <v>0.00390875763597791</v>
      </c>
      <c r="X44" s="125" t="n">
        <v>0</v>
      </c>
      <c r="Y44" s="182" t="n">
        <v>0</v>
      </c>
      <c r="Z44" s="124" t="n">
        <v>0.14</v>
      </c>
      <c r="AA44" s="184" t="n">
        <v>0.136806517259227</v>
      </c>
      <c r="AB44" s="125" t="n">
        <v>1.23</v>
      </c>
      <c r="AC44" s="182" t="n">
        <v>1.20194297306321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8"/>
      <c r="G45" s="117" t="n">
        <v>35.9142</v>
      </c>
      <c r="H45" s="131" t="n">
        <v>0</v>
      </c>
      <c r="I45" s="119" t="n">
        <v>0.5</v>
      </c>
      <c r="J45" s="132"/>
      <c r="K45" s="133"/>
      <c r="L45" s="133"/>
      <c r="M45" s="133"/>
      <c r="N45" s="134"/>
      <c r="O45" s="133"/>
      <c r="P45" s="132" t="n">
        <v>4.738</v>
      </c>
      <c r="Q45" s="132"/>
      <c r="R45" s="132"/>
      <c r="S45" s="143" t="n">
        <v>206.7</v>
      </c>
      <c r="T45" s="124" t="n">
        <v>0</v>
      </c>
      <c r="U45" s="184" t="n">
        <v>0</v>
      </c>
      <c r="X45" s="125" t="n">
        <v>0</v>
      </c>
      <c r="Y45" s="182" t="n">
        <v>0</v>
      </c>
      <c r="Z45" s="124" t="n">
        <v>0.143</v>
      </c>
      <c r="AA45" s="184" t="n">
        <v>0.13973808548621</v>
      </c>
      <c r="AB45" s="125" t="n">
        <v>0.92</v>
      </c>
      <c r="AC45" s="182" t="n">
        <v>0.899014256274919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5"/>
      <c r="H46" s="145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32"/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S46" s="132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4"/>
      <c r="H47" s="154"/>
      <c r="I47" s="154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Flac.",#REF!/M47)))))))))</f>
        <v/>
      </c>
      <c r="S47" s="132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4"/>
      <c r="H48" s="154"/>
      <c r="I48" s="154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Flac.",#REF!/M48)))))))))</f>
        <v/>
      </c>
      <c r="S48" s="132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P38" activeCellId="1" sqref="U45 P38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4</v>
      </c>
      <c r="J9" s="29" t="n">
        <v>29.74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-4°29,74</v>
      </c>
      <c r="P9" s="29" t="s">
        <v>16</v>
      </c>
      <c r="Q9" s="33" t="n">
        <f aca="false">IF(ISBLANK(I9),"",IF(ISBLANK(J9),"",IF(J9&gt;60,"ERREUR !!",O11*(I9+(J9/60)))))</f>
        <v>-4.49566666666667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19.99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2°19,99</v>
      </c>
      <c r="P10" s="29" t="s">
        <v>14</v>
      </c>
      <c r="Q10" s="33" t="n">
        <f aca="false">IF(ISBLANK(I10),"",IF(ISBLANK(J10),"",IF(J10&gt;60,"ERREUR !!",O12*(I10+(J10/60)))))</f>
        <v>2.33316666666667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37586</v>
      </c>
      <c r="K11" s="38"/>
      <c r="L11" s="38"/>
      <c r="M11" s="38"/>
      <c r="N11" s="39" t="str">
        <f aca="false">I9&amp;"°"&amp;J9</f>
        <v>4°29,74</v>
      </c>
      <c r="O11" s="40" t="n">
        <f aca="false">IF(P9=M10,-1,1)</f>
        <v>-1</v>
      </c>
      <c r="P11" s="41" t="str">
        <f aca="false">TEXT(J11,"aaaa-mm-jj")&amp;"T"&amp;TEXT(J12,"hh:mm:ss")&amp;"z"</f>
        <v>2006-11-27T15:15:00z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0.635416666666667</v>
      </c>
      <c r="K12" s="45"/>
      <c r="L12" s="45"/>
      <c r="M12" s="45"/>
      <c r="N12" s="46" t="str">
        <f aca="false">I10&amp;"°"&amp;J10</f>
        <v>2°19,99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5"/>
      <c r="G35" s="115"/>
      <c r="H35" s="118" t="n">
        <v>1000</v>
      </c>
      <c r="I35" s="181" t="n">
        <v>1001</v>
      </c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24" t="n">
        <v>0.016</v>
      </c>
      <c r="U35" s="184" t="n">
        <v>0.0156350305439116</v>
      </c>
      <c r="X35" s="125" t="n">
        <v>34.374</v>
      </c>
      <c r="Y35" s="182" t="n">
        <v>33.5899087447762</v>
      </c>
      <c r="Z35" s="124" t="n">
        <v>2.317</v>
      </c>
      <c r="AA35" s="184" t="n">
        <v>2.2641478606402</v>
      </c>
      <c r="AB35" s="125" t="n">
        <v>32.83</v>
      </c>
      <c r="AC35" s="182" t="n">
        <v>32.0811282972887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29"/>
      <c r="G36" s="129"/>
      <c r="H36" s="131" t="n">
        <v>600</v>
      </c>
      <c r="I36" s="183" t="n">
        <v>600</v>
      </c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84" t="n">
        <v>0.017</v>
      </c>
      <c r="U36" s="184" t="n">
        <v>0.0166122199529061</v>
      </c>
      <c r="X36" s="182" t="n">
        <v>39.033</v>
      </c>
      <c r="Y36" s="182" t="n">
        <v>38.1426342012814</v>
      </c>
      <c r="Z36" s="184" t="n">
        <v>2.506</v>
      </c>
      <c r="AA36" s="184" t="n">
        <v>2.44883665894016</v>
      </c>
      <c r="AB36" s="182" t="n">
        <v>24.41</v>
      </c>
      <c r="AC36" s="182" t="n">
        <v>23.8531934735552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29"/>
      <c r="G37" s="129"/>
      <c r="H37" s="131" t="n">
        <v>300</v>
      </c>
      <c r="I37" s="183" t="n">
        <v>300</v>
      </c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84" t="n">
        <v>0.012</v>
      </c>
      <c r="U37" s="184" t="n">
        <v>0.0117262729079337</v>
      </c>
      <c r="X37" s="182" t="n">
        <v>27.158</v>
      </c>
      <c r="Y37" s="182" t="n">
        <v>26.538509969472</v>
      </c>
      <c r="Z37" s="184" t="n">
        <v>1.736</v>
      </c>
      <c r="AA37" s="184" t="n">
        <v>1.69640081401441</v>
      </c>
      <c r="AB37" s="182" t="n">
        <v>11</v>
      </c>
      <c r="AC37" s="182" t="n">
        <v>10.7490834989393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39"/>
      <c r="G38" s="139"/>
      <c r="H38" s="131" t="n">
        <v>300</v>
      </c>
      <c r="I38" s="183" t="n">
        <v>300</v>
      </c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84" t="n">
        <v>0.031</v>
      </c>
      <c r="U38" s="184" t="n">
        <v>0.0302928716788288</v>
      </c>
      <c r="X38" s="182" t="n">
        <v>26.919</v>
      </c>
      <c r="Y38" s="182" t="n">
        <v>26.3049617007223</v>
      </c>
      <c r="Z38" s="184" t="n">
        <v>1.711</v>
      </c>
      <c r="AA38" s="184" t="n">
        <v>1.67197107878955</v>
      </c>
      <c r="AB38" s="182" t="n">
        <v>11.07</v>
      </c>
      <c r="AC38" s="182" t="n">
        <v>10.8174867575689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29"/>
      <c r="G39" s="129"/>
      <c r="H39" s="131" t="n">
        <v>100</v>
      </c>
      <c r="I39" s="183" t="n">
        <v>100</v>
      </c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84" t="n">
        <v>0.017</v>
      </c>
      <c r="U39" s="184" t="n">
        <v>0.0166122199529061</v>
      </c>
      <c r="X39" s="182" t="n">
        <v>20.313</v>
      </c>
      <c r="Y39" s="182" t="n">
        <v>19.8496484649048</v>
      </c>
      <c r="Z39" s="184" t="n">
        <v>1.332</v>
      </c>
      <c r="AA39" s="184" t="n">
        <v>1.30161629278064</v>
      </c>
      <c r="AB39" s="182" t="n">
        <v>6.65</v>
      </c>
      <c r="AC39" s="182" t="n">
        <v>6.49830956981328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29"/>
      <c r="G40" s="129"/>
      <c r="H40" s="131" t="n">
        <v>80</v>
      </c>
      <c r="I40" s="181" t="n">
        <v>80</v>
      </c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4" t="n">
        <v>0.071</v>
      </c>
      <c r="U40" s="184" t="n">
        <v>0.0693804480386079</v>
      </c>
      <c r="X40" s="125" t="n">
        <v>19.679</v>
      </c>
      <c r="Y40" s="182" t="n">
        <v>19.2301103796023</v>
      </c>
      <c r="Z40" s="124" t="n">
        <v>1.314</v>
      </c>
      <c r="AA40" s="184" t="n">
        <v>1.28402688341874</v>
      </c>
      <c r="AB40" s="125" t="n">
        <v>6.05</v>
      </c>
      <c r="AC40" s="182" t="n">
        <v>5.91199592441659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29"/>
      <c r="G41" s="129"/>
      <c r="H41" s="118" t="n">
        <v>60</v>
      </c>
      <c r="I41" s="181" t="n">
        <v>60</v>
      </c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4" t="n">
        <v>0.262</v>
      </c>
      <c r="U41" s="184" t="n">
        <v>0.256023625156553</v>
      </c>
      <c r="X41" s="125" t="n">
        <v>18.018</v>
      </c>
      <c r="Y41" s="182" t="n">
        <v>17.6069987712625</v>
      </c>
      <c r="Z41" s="124" t="n">
        <v>1.236</v>
      </c>
      <c r="AA41" s="184" t="n">
        <v>1.20780610951717</v>
      </c>
      <c r="AB41" s="125" t="n">
        <v>5.43</v>
      </c>
      <c r="AC41" s="182" t="n">
        <v>5.30613849084001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29"/>
      <c r="G42" s="129"/>
      <c r="H42" s="131" t="n">
        <v>40</v>
      </c>
      <c r="I42" s="181" t="n">
        <v>39</v>
      </c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4" t="n">
        <v>0.168</v>
      </c>
      <c r="U42" s="184" t="n">
        <v>0.164167820711072</v>
      </c>
      <c r="X42" s="125" t="n">
        <v>4.372</v>
      </c>
      <c r="Y42" s="182" t="n">
        <v>4.27227209612386</v>
      </c>
      <c r="Z42" s="124" t="n">
        <v>0.445</v>
      </c>
      <c r="AA42" s="184" t="n">
        <v>0.434849287002542</v>
      </c>
      <c r="AB42" s="125" t="n">
        <v>2.24</v>
      </c>
      <c r="AC42" s="182" t="n">
        <v>2.18890427614763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29"/>
      <c r="G43" s="129"/>
      <c r="H43" s="131" t="n">
        <v>20</v>
      </c>
      <c r="I43" s="183" t="n">
        <v>19</v>
      </c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84" t="n">
        <v>0.0005</v>
      </c>
      <c r="U43" s="184" t="n">
        <v>0.000488594704497239</v>
      </c>
      <c r="X43" s="182" t="n">
        <v>0.1295</v>
      </c>
      <c r="Y43" s="182" t="n">
        <v>0.126546028464785</v>
      </c>
      <c r="Z43" s="184" t="n">
        <v>0.148</v>
      </c>
      <c r="AA43" s="184" t="n">
        <v>0.144624032531183</v>
      </c>
      <c r="AB43" s="182" t="n">
        <v>1.055</v>
      </c>
      <c r="AC43" s="182" t="n">
        <v>1.03093482648917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29"/>
      <c r="G44" s="129"/>
      <c r="H44" s="131" t="n">
        <v>10</v>
      </c>
      <c r="I44" s="181" t="n">
        <v>9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4" t="n">
        <v>0.009</v>
      </c>
      <c r="U44" s="184" t="n">
        <v>0.0087947046809503</v>
      </c>
      <c r="X44" s="125" t="n">
        <v>0.031</v>
      </c>
      <c r="Y44" s="182" t="n">
        <v>0.0302928716788288</v>
      </c>
      <c r="Z44" s="124" t="n">
        <v>0.131</v>
      </c>
      <c r="AA44" s="184" t="n">
        <v>0.128011812578277</v>
      </c>
      <c r="AB44" s="125" t="n">
        <v>0.99</v>
      </c>
      <c r="AC44" s="182" t="n">
        <v>0.967417514904533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29"/>
      <c r="G45" s="129"/>
      <c r="H45" s="131" t="n">
        <v>0</v>
      </c>
      <c r="I45" s="181" t="n">
        <v>0.3</v>
      </c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4" t="n">
        <v>0.006</v>
      </c>
      <c r="U45" s="184" t="n">
        <v>0.00586313645396687</v>
      </c>
      <c r="X45" s="125" t="n">
        <v>0.004</v>
      </c>
      <c r="Y45" s="182" t="n">
        <v>0.00390875763597791</v>
      </c>
      <c r="Z45" s="124" t="n">
        <v>0.123</v>
      </c>
      <c r="AA45" s="184" t="n">
        <v>0.120194297306321</v>
      </c>
      <c r="AB45" s="125" t="n">
        <v>1.13</v>
      </c>
      <c r="AC45" s="182" t="n">
        <v>1.10422403216376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5"/>
      <c r="H46" s="145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32"/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S46" s="132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4"/>
      <c r="H47" s="154"/>
      <c r="I47" s="154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Flac.",#REF!/M47)))))))))</f>
        <v/>
      </c>
      <c r="S47" s="132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4"/>
      <c r="H48" s="154"/>
      <c r="I48" s="154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Flac.",#REF!/M48)))))))))</f>
        <v/>
      </c>
      <c r="S48" s="132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J10" activeCellId="1" sqref="U45 J10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3</v>
      </c>
      <c r="J9" s="29" t="n">
        <v>59.94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-3°59,94</v>
      </c>
      <c r="P9" s="29" t="s">
        <v>16</v>
      </c>
      <c r="Q9" s="33" t="n">
        <f aca="false">IF(ISBLANK(I9),"",IF(ISBLANK(J9),"",IF(J9&gt;60,"ERREUR !!",O11*(I9+(J9/60)))))</f>
        <v>-3.999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20.02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2°20,02</v>
      </c>
      <c r="P10" s="29" t="s">
        <v>14</v>
      </c>
      <c r="Q10" s="33" t="n">
        <f aca="false">IF(ISBLANK(I10),"",IF(ISBLANK(J10),"",IF(J10&gt;60,"ERREUR !!",O12*(I10+(J10/60)))))</f>
        <v>2.33366666666667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37586</v>
      </c>
      <c r="K11" s="38"/>
      <c r="L11" s="38"/>
      <c r="M11" s="38"/>
      <c r="N11" s="39" t="str">
        <f aca="false">I9&amp;"°"&amp;J9</f>
        <v>3°59,94</v>
      </c>
      <c r="O11" s="40" t="n">
        <f aca="false">IF(P9=M10,-1,1)</f>
        <v>-1</v>
      </c>
      <c r="P11" s="41" t="str">
        <f aca="false">TEXT(J11,"aaaa-mm-jj")&amp;"T"&amp;TEXT(J12,"hh:mm:ss")&amp;"z"</f>
        <v>2006-11-27T21:15:00z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0.885416666666667</v>
      </c>
      <c r="K12" s="45"/>
      <c r="L12" s="45"/>
      <c r="M12" s="45"/>
      <c r="N12" s="46" t="str">
        <f aca="false">I10&amp;"°"&amp;J10</f>
        <v>2°20,02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34.6466</v>
      </c>
      <c r="H35" s="118" t="n">
        <v>1000</v>
      </c>
      <c r="I35" s="119" t="n">
        <v>1004</v>
      </c>
      <c r="J35" s="120"/>
      <c r="K35" s="121"/>
      <c r="L35" s="121"/>
      <c r="M35" s="121"/>
      <c r="N35" s="122"/>
      <c r="O35" s="121"/>
      <c r="P35" s="120" t="n">
        <v>3.571</v>
      </c>
      <c r="Q35" s="120"/>
      <c r="R35" s="120"/>
      <c r="S35" s="123" t="n">
        <v>155.3</v>
      </c>
      <c r="T35" s="184" t="n">
        <v>0.023</v>
      </c>
      <c r="U35" s="184" t="n">
        <v>0.022475356406873</v>
      </c>
      <c r="X35" s="182" t="n">
        <v>33.737</v>
      </c>
      <c r="Y35" s="182" t="n">
        <v>32.9674390912467</v>
      </c>
      <c r="Z35" s="184" t="n">
        <v>2.274</v>
      </c>
      <c r="AA35" s="184" t="n">
        <v>2.22212871605344</v>
      </c>
      <c r="AB35" s="182" t="n">
        <v>32.36</v>
      </c>
      <c r="AC35" s="182" t="n">
        <v>31.6218492750613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34.5749</v>
      </c>
      <c r="H36" s="131" t="n">
        <v>600</v>
      </c>
      <c r="I36" s="119" t="n">
        <v>600</v>
      </c>
      <c r="J36" s="132"/>
      <c r="K36" s="133"/>
      <c r="L36" s="133"/>
      <c r="M36" s="133"/>
      <c r="N36" s="134"/>
      <c r="O36" s="133"/>
      <c r="P36" s="132" t="n">
        <v>2.154</v>
      </c>
      <c r="Q36" s="132"/>
      <c r="R36" s="132"/>
      <c r="S36" s="135" t="n">
        <v>93.7</v>
      </c>
      <c r="T36" s="184" t="n">
        <v>0.018</v>
      </c>
      <c r="U36" s="184" t="n">
        <v>0.0175894093619006</v>
      </c>
      <c r="X36" s="182" t="n">
        <v>38.802</v>
      </c>
      <c r="Y36" s="182" t="n">
        <v>37.9169034478037</v>
      </c>
      <c r="Z36" s="184" t="n">
        <v>2.486</v>
      </c>
      <c r="AA36" s="184" t="n">
        <v>2.42929287076027</v>
      </c>
      <c r="AB36" s="182" t="n">
        <v>24.49</v>
      </c>
      <c r="AC36" s="182" t="n">
        <v>23.9313686262748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8"/>
      <c r="G37" s="117" t="n">
        <v>35.0921</v>
      </c>
      <c r="H37" s="131" t="n">
        <v>300</v>
      </c>
      <c r="I37" s="119" t="n">
        <v>299</v>
      </c>
      <c r="J37" s="132"/>
      <c r="K37" s="132"/>
      <c r="L37" s="132"/>
      <c r="M37" s="132"/>
      <c r="N37" s="132"/>
      <c r="O37" s="132"/>
      <c r="P37" s="132" t="n">
        <v>2.082</v>
      </c>
      <c r="Q37" s="132"/>
      <c r="R37" s="132"/>
      <c r="S37" s="135" t="n">
        <v>90.6</v>
      </c>
      <c r="T37" s="184" t="n">
        <v>0.01</v>
      </c>
      <c r="U37" s="184" t="n">
        <v>0.00977189408994478</v>
      </c>
      <c r="X37" s="182" t="n">
        <v>27.53</v>
      </c>
      <c r="Y37" s="182" t="n">
        <v>26.902024429618</v>
      </c>
      <c r="Z37" s="184" t="n">
        <v>1.753</v>
      </c>
      <c r="AA37" s="184" t="n">
        <v>1.71301303396732</v>
      </c>
      <c r="AB37" s="182" t="n">
        <v>10.82</v>
      </c>
      <c r="AC37" s="182" t="n">
        <v>10.5731894053202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40"/>
      <c r="G38" s="117" t="n">
        <v>35.0927</v>
      </c>
      <c r="H38" s="131" t="n">
        <v>300</v>
      </c>
      <c r="I38" s="119" t="n">
        <v>299</v>
      </c>
      <c r="J38" s="132"/>
      <c r="K38" s="132"/>
      <c r="L38" s="132"/>
      <c r="M38" s="132"/>
      <c r="N38" s="132"/>
      <c r="O38" s="132"/>
      <c r="P38" s="132" t="n">
        <v>2.099</v>
      </c>
      <c r="Q38" s="132"/>
      <c r="R38" s="132"/>
      <c r="S38" s="143" t="n">
        <v>91.3</v>
      </c>
      <c r="T38" s="184" t="n">
        <v>0.033</v>
      </c>
      <c r="U38" s="184" t="n">
        <v>0.0322472504968178</v>
      </c>
      <c r="X38" s="182" t="n">
        <v>27.617</v>
      </c>
      <c r="Y38" s="182" t="n">
        <v>26.9870399082005</v>
      </c>
      <c r="Z38" s="184" t="n">
        <v>1.742</v>
      </c>
      <c r="AA38" s="184" t="n">
        <v>1.70226395046838</v>
      </c>
      <c r="AB38" s="182" t="n">
        <v>10.87</v>
      </c>
      <c r="AC38" s="182" t="n">
        <v>10.62204887577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8"/>
      <c r="G39" s="117" t="n">
        <v>35.6942</v>
      </c>
      <c r="H39" s="131" t="n">
        <v>100</v>
      </c>
      <c r="I39" s="119" t="n">
        <v>99</v>
      </c>
      <c r="J39" s="132"/>
      <c r="K39" s="133"/>
      <c r="L39" s="133"/>
      <c r="M39" s="133"/>
      <c r="N39" s="134"/>
      <c r="O39" s="133"/>
      <c r="P39" s="132" t="n">
        <v>2.68</v>
      </c>
      <c r="Q39" s="132"/>
      <c r="R39" s="132"/>
      <c r="S39" s="135" t="n">
        <v>116.6</v>
      </c>
      <c r="T39" s="124" t="n">
        <v>0.111</v>
      </c>
      <c r="U39" s="184" t="n">
        <v>0.108468024398387</v>
      </c>
      <c r="X39" s="125" t="n">
        <v>17.229</v>
      </c>
      <c r="Y39" s="182" t="n">
        <v>16.8359963275659</v>
      </c>
      <c r="Z39" s="124" t="n">
        <v>1.179</v>
      </c>
      <c r="AA39" s="184" t="n">
        <v>1.15210631320449</v>
      </c>
      <c r="AB39" s="125" t="n">
        <v>5.2</v>
      </c>
      <c r="AC39" s="182" t="n">
        <v>5.08138492677128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8"/>
      <c r="G40" s="117" t="n">
        <v>35.7543</v>
      </c>
      <c r="H40" s="131" t="n">
        <v>80</v>
      </c>
      <c r="I40" s="119" t="n">
        <v>79</v>
      </c>
      <c r="J40" s="132"/>
      <c r="K40" s="133"/>
      <c r="L40" s="133"/>
      <c r="M40" s="133"/>
      <c r="N40" s="134"/>
      <c r="O40" s="133"/>
      <c r="P40" s="132" t="n">
        <v>2.886</v>
      </c>
      <c r="Q40" s="132"/>
      <c r="R40" s="132"/>
      <c r="S40" s="135" t="n">
        <v>125.6</v>
      </c>
      <c r="T40" s="124" t="n">
        <v>0.32</v>
      </c>
      <c r="U40" s="184" t="n">
        <v>0.312700610878233</v>
      </c>
      <c r="X40" s="125" t="n">
        <v>15.34</v>
      </c>
      <c r="Y40" s="182" t="n">
        <v>14.9900855339753</v>
      </c>
      <c r="Z40" s="124" t="n">
        <v>1.079</v>
      </c>
      <c r="AA40" s="184" t="n">
        <v>1.05438737230504</v>
      </c>
      <c r="AB40" s="125" t="n">
        <v>4.28</v>
      </c>
      <c r="AC40" s="182" t="n">
        <v>4.18237067049636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8"/>
      <c r="G41" s="117" t="n">
        <v>35.7663</v>
      </c>
      <c r="H41" s="118" t="n">
        <v>60</v>
      </c>
      <c r="I41" s="119" t="n">
        <v>60</v>
      </c>
      <c r="J41" s="132"/>
      <c r="K41" s="133"/>
      <c r="L41" s="133"/>
      <c r="M41" s="133"/>
      <c r="N41" s="134"/>
      <c r="O41" s="133"/>
      <c r="P41" s="132" t="n">
        <v>2.9</v>
      </c>
      <c r="Q41" s="132"/>
      <c r="R41" s="132"/>
      <c r="S41" s="135" t="n">
        <v>126.2</v>
      </c>
      <c r="T41" s="124" t="n">
        <v>0.514</v>
      </c>
      <c r="U41" s="184" t="n">
        <v>0.502275356223161</v>
      </c>
      <c r="X41" s="125" t="n">
        <v>14.526</v>
      </c>
      <c r="Y41" s="182" t="n">
        <v>14.1946533550538</v>
      </c>
      <c r="Z41" s="124" t="n">
        <v>1.05</v>
      </c>
      <c r="AA41" s="184" t="n">
        <v>1.0260488794442</v>
      </c>
      <c r="AB41" s="125" t="n">
        <v>4</v>
      </c>
      <c r="AC41" s="182" t="n">
        <v>3.90875763597791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8"/>
      <c r="G42" s="117" t="n">
        <v>35.7519</v>
      </c>
      <c r="H42" s="131" t="n">
        <v>40</v>
      </c>
      <c r="I42" s="119" t="n">
        <v>40</v>
      </c>
      <c r="J42" s="132"/>
      <c r="K42" s="133"/>
      <c r="L42" s="133"/>
      <c r="M42" s="133"/>
      <c r="N42" s="134"/>
      <c r="O42" s="133"/>
      <c r="P42" s="132" t="n">
        <v>3.725</v>
      </c>
      <c r="Q42" s="132"/>
      <c r="R42" s="132"/>
      <c r="S42" s="135" t="n">
        <v>162.2</v>
      </c>
      <c r="T42" s="124" t="n">
        <v>0.492</v>
      </c>
      <c r="U42" s="184" t="n">
        <v>0.480777189225283</v>
      </c>
      <c r="X42" s="125" t="n">
        <v>8.868</v>
      </c>
      <c r="Y42" s="182" t="n">
        <v>8.66571567896303</v>
      </c>
      <c r="Z42" s="124" t="n">
        <v>0.757</v>
      </c>
      <c r="AA42" s="184" t="n">
        <v>0.739732382608819</v>
      </c>
      <c r="AB42" s="125" t="n">
        <v>3.47</v>
      </c>
      <c r="AC42" s="182" t="n">
        <v>3.39084724921084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8"/>
      <c r="G43" s="117" t="n">
        <v>35.6262</v>
      </c>
      <c r="H43" s="131" t="n">
        <v>20</v>
      </c>
      <c r="I43" s="119" t="n">
        <v>19</v>
      </c>
      <c r="J43" s="132"/>
      <c r="K43" s="133"/>
      <c r="L43" s="133"/>
      <c r="M43" s="133"/>
      <c r="N43" s="134"/>
      <c r="O43" s="133"/>
      <c r="P43" s="132" t="n">
        <v>4.699</v>
      </c>
      <c r="Q43" s="132"/>
      <c r="R43" s="132"/>
      <c r="S43" s="135" t="n">
        <v>205</v>
      </c>
      <c r="T43" s="184" t="n">
        <v>0.023</v>
      </c>
      <c r="U43" s="184" t="n">
        <v>0.022475356406873</v>
      </c>
      <c r="X43" s="182" t="n">
        <v>0</v>
      </c>
      <c r="Y43" s="182" t="n">
        <v>0</v>
      </c>
      <c r="Z43" s="184" t="n">
        <v>0.0175</v>
      </c>
      <c r="AA43" s="184" t="n">
        <v>0.0171008146574034</v>
      </c>
      <c r="AB43" s="182" t="n">
        <v>0.525</v>
      </c>
      <c r="AC43" s="182" t="n">
        <v>0.513024439722101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8"/>
      <c r="G44" s="117" t="n">
        <v>35.6212</v>
      </c>
      <c r="H44" s="131" t="n">
        <v>10</v>
      </c>
      <c r="I44" s="119" t="n">
        <v>10</v>
      </c>
      <c r="J44" s="132"/>
      <c r="K44" s="133"/>
      <c r="L44" s="133"/>
      <c r="M44" s="133"/>
      <c r="N44" s="134"/>
      <c r="O44" s="133"/>
      <c r="P44" s="132" t="n">
        <v>4.698</v>
      </c>
      <c r="Q44" s="132"/>
      <c r="R44" s="132"/>
      <c r="S44" s="135" t="n">
        <v>205</v>
      </c>
      <c r="T44" s="124" t="n">
        <v>0.01</v>
      </c>
      <c r="U44" s="184" t="n">
        <v>0.00977189408994478</v>
      </c>
      <c r="X44" s="125" t="n">
        <v>0</v>
      </c>
      <c r="Y44" s="182" t="n">
        <v>0</v>
      </c>
      <c r="Z44" s="124" t="n">
        <v>0.011</v>
      </c>
      <c r="AA44" s="184" t="n">
        <v>0.0107490834989392</v>
      </c>
      <c r="AB44" s="125" t="n">
        <v>0.36</v>
      </c>
      <c r="AC44" s="182" t="n">
        <v>0.351788187238012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8"/>
      <c r="G45" s="117" t="n">
        <v>35.6218</v>
      </c>
      <c r="H45" s="131" t="n">
        <v>0</v>
      </c>
      <c r="I45" s="119" t="n">
        <v>1</v>
      </c>
      <c r="J45" s="132"/>
      <c r="K45" s="133"/>
      <c r="L45" s="133"/>
      <c r="M45" s="133"/>
      <c r="N45" s="134"/>
      <c r="O45" s="133"/>
      <c r="P45" s="132" t="n">
        <v>4.717</v>
      </c>
      <c r="Q45" s="132"/>
      <c r="R45" s="132"/>
      <c r="S45" s="143" t="n">
        <v>205.8</v>
      </c>
      <c r="T45" s="124" t="n">
        <v>0.004</v>
      </c>
      <c r="U45" s="184" t="n">
        <v>0.00390875763597791</v>
      </c>
      <c r="X45" s="125" t="n">
        <v>0</v>
      </c>
      <c r="Y45" s="182" t="n">
        <v>0</v>
      </c>
      <c r="Z45" s="124" t="n">
        <v>0.014</v>
      </c>
      <c r="AA45" s="184" t="n">
        <v>0.0136806517259227</v>
      </c>
      <c r="AB45" s="125" t="n">
        <v>0.38</v>
      </c>
      <c r="AC45" s="182" t="n">
        <v>0.371331975417901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5"/>
      <c r="H46" s="145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32"/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S46" s="132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4"/>
      <c r="H47" s="154"/>
      <c r="I47" s="154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Flac.",#REF!/M47)))))))))</f>
        <v/>
      </c>
      <c r="S47" s="132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4"/>
      <c r="H48" s="154"/>
      <c r="I48" s="154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Flac.",#REF!/M48)))))))))</f>
        <v/>
      </c>
      <c r="S48" s="132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J11" activeCellId="1" sqref="U45 J11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3</v>
      </c>
      <c r="J9" s="29" t="n">
        <v>30.74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-3°30,74</v>
      </c>
      <c r="P9" s="29" t="s">
        <v>16</v>
      </c>
      <c r="Q9" s="33" t="n">
        <f aca="false">IF(ISBLANK(I9),"",IF(ISBLANK(J9),"",IF(J9&gt;60,"ERREUR !!",O11*(I9+(J9/60)))))</f>
        <v>-3.51233333333333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19.72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2°19,72</v>
      </c>
      <c r="P10" s="29" t="s">
        <v>14</v>
      </c>
      <c r="Q10" s="33" t="n">
        <f aca="false">IF(ISBLANK(I10),"",IF(ISBLANK(J10),"",IF(J10&gt;60,"ERREUR !!",O12*(I10+(J10/60)))))</f>
        <v>2.32866666666667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37587</v>
      </c>
      <c r="K11" s="38"/>
      <c r="L11" s="38"/>
      <c r="M11" s="38"/>
      <c r="N11" s="39" t="str">
        <f aca="false">I9&amp;"°"&amp;J9</f>
        <v>3°30,74</v>
      </c>
      <c r="O11" s="40" t="n">
        <f aca="false">IF(P9=M10,-1,1)</f>
        <v>-1</v>
      </c>
      <c r="P11" s="41" t="str">
        <f aca="false">TEXT(J11,"aaaa-mm-jj")&amp;"T"&amp;TEXT(J12,"hh:mm:ss")&amp;"z"</f>
        <v>2006-11-28T02:00:00z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0.0833333333333333</v>
      </c>
      <c r="K12" s="45"/>
      <c r="L12" s="45"/>
      <c r="M12" s="45"/>
      <c r="N12" s="46" t="str">
        <f aca="false">I10&amp;"°"&amp;J10</f>
        <v>2°19,72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5"/>
      <c r="G35" s="115"/>
      <c r="H35" s="118" t="n">
        <v>1000</v>
      </c>
      <c r="I35" s="188" t="n">
        <v>1004</v>
      </c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84" t="n">
        <v>0</v>
      </c>
      <c r="U35" s="184" t="n">
        <v>0</v>
      </c>
      <c r="X35" s="182" t="n">
        <v>34.673</v>
      </c>
      <c r="Y35" s="182" t="n">
        <v>33.8820883780655</v>
      </c>
      <c r="Z35" s="184" t="n">
        <v>2.34</v>
      </c>
      <c r="AA35" s="184" t="n">
        <v>2.28662321704708</v>
      </c>
      <c r="AB35" s="182" t="n">
        <v>32.81</v>
      </c>
      <c r="AC35" s="182" t="n">
        <v>32.0615845091088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29"/>
      <c r="G36" s="129"/>
      <c r="H36" s="131" t="n">
        <v>600</v>
      </c>
      <c r="I36" s="188" t="n">
        <v>599</v>
      </c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84" t="n">
        <v>0.001</v>
      </c>
      <c r="U36" s="184" t="n">
        <v>0.000977189408994478</v>
      </c>
      <c r="X36" s="182" t="n">
        <v>39.179</v>
      </c>
      <c r="Y36" s="182" t="n">
        <v>38.2853038549946</v>
      </c>
      <c r="Z36" s="184" t="n">
        <v>2.527</v>
      </c>
      <c r="AA36" s="184" t="n">
        <v>2.46935763652904</v>
      </c>
      <c r="AB36" s="182" t="n">
        <v>24.82</v>
      </c>
      <c r="AC36" s="182" t="n">
        <v>24.2538411312429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29"/>
      <c r="G37" s="129"/>
      <c r="H37" s="131" t="n">
        <v>300</v>
      </c>
      <c r="I37" s="188" t="n">
        <v>299</v>
      </c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84" t="n">
        <v>0.003</v>
      </c>
      <c r="U37" s="184" t="n">
        <v>0.00293156822698343</v>
      </c>
      <c r="X37" s="182" t="n">
        <v>28.237</v>
      </c>
      <c r="Y37" s="182" t="n">
        <v>27.5928973417771</v>
      </c>
      <c r="Z37" s="184" t="n">
        <v>1.811</v>
      </c>
      <c r="AA37" s="184" t="n">
        <v>1.769690019689</v>
      </c>
      <c r="AB37" s="182" t="n">
        <v>10.91</v>
      </c>
      <c r="AC37" s="182" t="n">
        <v>10.6611364521297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39"/>
      <c r="G38" s="139"/>
      <c r="H38" s="131" t="n">
        <v>100</v>
      </c>
      <c r="I38" s="188" t="n">
        <v>98</v>
      </c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84" t="n">
        <v>0.051</v>
      </c>
      <c r="U38" s="184" t="n">
        <v>0.0498366598587183</v>
      </c>
      <c r="X38" s="182" t="n">
        <v>19.229</v>
      </c>
      <c r="Y38" s="182" t="n">
        <v>18.7903751455548</v>
      </c>
      <c r="Z38" s="184" t="n">
        <v>1.307</v>
      </c>
      <c r="AA38" s="184" t="n">
        <v>1.27718655755578</v>
      </c>
      <c r="AB38" s="182" t="n">
        <v>6.16</v>
      </c>
      <c r="AC38" s="182" t="n">
        <v>6.01948675940598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29"/>
      <c r="G39" s="129"/>
      <c r="H39" s="131" t="n">
        <v>100</v>
      </c>
      <c r="I39" s="188" t="n">
        <v>98</v>
      </c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84" t="n">
        <v>0.043</v>
      </c>
      <c r="U39" s="184" t="n">
        <v>0.0420191445867625</v>
      </c>
      <c r="X39" s="182" t="n">
        <v>19.177</v>
      </c>
      <c r="Y39" s="182" t="n">
        <v>18.7395612962871</v>
      </c>
      <c r="Z39" s="184" t="n">
        <v>1.31</v>
      </c>
      <c r="AA39" s="184" t="n">
        <v>1.28011812578277</v>
      </c>
      <c r="AB39" s="182" t="n">
        <v>6.07</v>
      </c>
      <c r="AC39" s="182" t="n">
        <v>5.93153971259648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29"/>
      <c r="G40" s="129"/>
      <c r="H40" s="131" t="n">
        <v>80</v>
      </c>
      <c r="I40" s="188" t="n">
        <v>78</v>
      </c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84" t="n">
        <v>0.092</v>
      </c>
      <c r="U40" s="184" t="n">
        <v>0.0899014256274919</v>
      </c>
      <c r="X40" s="182" t="n">
        <v>18.988</v>
      </c>
      <c r="Y40" s="182" t="n">
        <v>18.5548724979871</v>
      </c>
      <c r="Z40" s="184" t="n">
        <v>1.295</v>
      </c>
      <c r="AA40" s="184" t="n">
        <v>1.26546028464785</v>
      </c>
      <c r="AB40" s="182" t="n">
        <v>5.65</v>
      </c>
      <c r="AC40" s="182" t="n">
        <v>5.5211201608188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29"/>
      <c r="G41" s="129"/>
      <c r="H41" s="118" t="n">
        <v>60</v>
      </c>
      <c r="I41" s="188" t="n">
        <v>59</v>
      </c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84" t="n">
        <v>0.413</v>
      </c>
      <c r="U41" s="184" t="n">
        <v>0.403579225914719</v>
      </c>
      <c r="X41" s="182" t="n">
        <v>18.117</v>
      </c>
      <c r="Y41" s="182" t="n">
        <v>17.7037405227529</v>
      </c>
      <c r="Z41" s="184" t="n">
        <v>1.26</v>
      </c>
      <c r="AA41" s="184" t="n">
        <v>1.23125865533304</v>
      </c>
      <c r="AB41" s="182" t="n">
        <v>5.22</v>
      </c>
      <c r="AC41" s="182" t="n">
        <v>5.10092871495117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29"/>
      <c r="G42" s="129"/>
      <c r="H42" s="131" t="n">
        <v>40</v>
      </c>
      <c r="I42" s="188" t="n">
        <v>40</v>
      </c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84" t="n">
        <v>0.709</v>
      </c>
      <c r="U42" s="184" t="n">
        <v>0.692827290977084</v>
      </c>
      <c r="X42" s="182" t="n">
        <v>8.331</v>
      </c>
      <c r="Y42" s="182" t="n">
        <v>8.14096496633299</v>
      </c>
      <c r="Z42" s="184" t="n">
        <v>0.713</v>
      </c>
      <c r="AA42" s="184" t="n">
        <v>0.696736048613063</v>
      </c>
      <c r="AB42" s="182" t="n">
        <v>3.04</v>
      </c>
      <c r="AC42" s="182" t="n">
        <v>2.97065580334321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29"/>
      <c r="G43" s="129"/>
      <c r="H43" s="131" t="n">
        <v>20</v>
      </c>
      <c r="I43" s="188" t="n">
        <v>20</v>
      </c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84" t="n">
        <v>0.057</v>
      </c>
      <c r="U43" s="184" t="n">
        <v>0.0556997963126852</v>
      </c>
      <c r="X43" s="182" t="n">
        <v>0.483</v>
      </c>
      <c r="Y43" s="182" t="n">
        <v>0.471982484544333</v>
      </c>
      <c r="Z43" s="184" t="n">
        <v>0.107</v>
      </c>
      <c r="AA43" s="184" t="n">
        <v>0.104559266762409</v>
      </c>
      <c r="AB43" s="182" t="n">
        <v>0.91</v>
      </c>
      <c r="AC43" s="182" t="n">
        <v>0.889242362184975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29"/>
      <c r="G44" s="129"/>
      <c r="H44" s="131" t="n">
        <v>10</v>
      </c>
      <c r="I44" s="188" t="n">
        <v>9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84" t="n">
        <v>0.012</v>
      </c>
      <c r="U44" s="184" t="n">
        <v>0.0117262729079337</v>
      </c>
      <c r="X44" s="182" t="n">
        <v>0.013</v>
      </c>
      <c r="Y44" s="182" t="n">
        <v>0.0127034623169282</v>
      </c>
      <c r="Z44" s="184" t="n">
        <v>0.034</v>
      </c>
      <c r="AA44" s="184" t="n">
        <v>0.0332244399058122</v>
      </c>
      <c r="AB44" s="182" t="n">
        <v>0.305</v>
      </c>
      <c r="AC44" s="182" t="n">
        <v>0.298042769743316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29"/>
      <c r="G45" s="129"/>
      <c r="H45" s="131" t="n">
        <v>0</v>
      </c>
      <c r="I45" s="188" t="n">
        <v>0.5</v>
      </c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84" t="n">
        <v>0.008</v>
      </c>
      <c r="U45" s="184" t="n">
        <v>0.00781751527195582</v>
      </c>
      <c r="X45" s="182" t="n">
        <v>0</v>
      </c>
      <c r="Y45" s="182" t="n">
        <v>0</v>
      </c>
      <c r="Z45" s="184" t="n">
        <v>0.025</v>
      </c>
      <c r="AA45" s="184" t="n">
        <v>0.0244297352248619</v>
      </c>
      <c r="AB45" s="182" t="n">
        <v>0.45</v>
      </c>
      <c r="AC45" s="182" t="n">
        <v>0.439735234047515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5"/>
      <c r="H46" s="145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32"/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S46" s="132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4"/>
      <c r="H47" s="154"/>
      <c r="I47" s="154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Flac.",#REF!/M47)))))))))</f>
        <v/>
      </c>
      <c r="S47" s="132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4"/>
      <c r="H48" s="154"/>
      <c r="I48" s="154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Flac.",#REF!/M48)))))))))</f>
        <v/>
      </c>
      <c r="S48" s="132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T35" activeCellId="1" sqref="U45 T35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3</v>
      </c>
      <c r="J9" s="29" t="n">
        <v>0.15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-3°0,15</v>
      </c>
      <c r="P9" s="29" t="s">
        <v>16</v>
      </c>
      <c r="Q9" s="33" t="n">
        <f aca="false">IF(ISBLANK(I9),"",IF(ISBLANK(J9),"",IF(J9&gt;60,"ERREUR !!",O11*(I9+(J9/60)))))</f>
        <v>-3.0025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20.02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2°20,02</v>
      </c>
      <c r="P10" s="29" t="s">
        <v>14</v>
      </c>
      <c r="Q10" s="33" t="n">
        <f aca="false">IF(ISBLANK(I10),"",IF(ISBLANK(J10),"",IF(J10&gt;60,"ERREUR !!",O12*(I10+(J10/60)))))</f>
        <v>2.33366666666667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37587</v>
      </c>
      <c r="K11" s="38"/>
      <c r="L11" s="38"/>
      <c r="M11" s="38"/>
      <c r="N11" s="39" t="str">
        <f aca="false">I9&amp;"°"&amp;J9</f>
        <v>3°0,15</v>
      </c>
      <c r="O11" s="40" t="n">
        <f aca="false">IF(P9=M10,-1,1)</f>
        <v>-1</v>
      </c>
      <c r="P11" s="41" t="str">
        <f aca="false">TEXT(J11,"aaaa-mm-jj")&amp;"T"&amp;TEXT(J12,"hh:mm:ss")&amp;"z"</f>
        <v>2006-11-28T06:30:00z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0.270833333333333</v>
      </c>
      <c r="K12" s="45"/>
      <c r="L12" s="45"/>
      <c r="M12" s="45"/>
      <c r="N12" s="46" t="str">
        <f aca="false">I10&amp;"°"&amp;J10</f>
        <v>2°20,02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5"/>
      <c r="G35" s="117" t="n">
        <v>34.641</v>
      </c>
      <c r="H35" s="118" t="n">
        <v>1000</v>
      </c>
      <c r="I35" s="119" t="n">
        <v>1002</v>
      </c>
      <c r="J35" s="115"/>
      <c r="K35" s="115"/>
      <c r="L35" s="115"/>
      <c r="M35" s="115"/>
      <c r="N35" s="115"/>
      <c r="O35" s="115"/>
      <c r="P35" s="115" t="n">
        <v>3.623</v>
      </c>
      <c r="Q35" s="115"/>
      <c r="R35" s="115"/>
      <c r="S35" s="115" t="n">
        <v>157.5</v>
      </c>
      <c r="T35" s="184" t="n">
        <v>0.012</v>
      </c>
      <c r="U35" s="184" t="n">
        <v>0.0117262729079337</v>
      </c>
      <c r="X35" s="182" t="n">
        <v>31.828</v>
      </c>
      <c r="Y35" s="182" t="n">
        <v>31.1019845094762</v>
      </c>
      <c r="Z35" s="184" t="n">
        <v>2.323</v>
      </c>
      <c r="AA35" s="184" t="n">
        <v>2.27001099709417</v>
      </c>
      <c r="AB35" s="182" t="n">
        <v>32.25</v>
      </c>
      <c r="AC35" s="182" t="n">
        <v>31.5143584400719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29"/>
      <c r="G36" s="117" t="n">
        <v>34.5602</v>
      </c>
      <c r="H36" s="131" t="n">
        <v>600</v>
      </c>
      <c r="I36" s="119" t="n">
        <v>599</v>
      </c>
      <c r="J36" s="129"/>
      <c r="K36" s="129"/>
      <c r="L36" s="129"/>
      <c r="M36" s="129"/>
      <c r="N36" s="129"/>
      <c r="O36" s="129"/>
      <c r="P36" s="129" t="n">
        <v>2.611</v>
      </c>
      <c r="Q36" s="129"/>
      <c r="R36" s="129"/>
      <c r="S36" s="129" t="n">
        <v>113.5</v>
      </c>
      <c r="T36" s="184" t="n">
        <v>0.005</v>
      </c>
      <c r="U36" s="184" t="n">
        <v>0.00488594704497239</v>
      </c>
      <c r="X36" s="182" t="n">
        <v>35.235</v>
      </c>
      <c r="Y36" s="182" t="n">
        <v>34.4312688259204</v>
      </c>
      <c r="Z36" s="184" t="n">
        <v>2.43</v>
      </c>
      <c r="AA36" s="184" t="n">
        <v>2.37457026385658</v>
      </c>
      <c r="AB36" s="182" t="n">
        <v>23.91</v>
      </c>
      <c r="AC36" s="182" t="n">
        <v>23.364598769058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29"/>
      <c r="G37" s="117" t="n">
        <v>35.1184</v>
      </c>
      <c r="H37" s="131" t="n">
        <v>300</v>
      </c>
      <c r="I37" s="119" t="n">
        <v>300</v>
      </c>
      <c r="J37" s="129"/>
      <c r="K37" s="129"/>
      <c r="L37" s="129"/>
      <c r="M37" s="129"/>
      <c r="N37" s="129"/>
      <c r="O37" s="129"/>
      <c r="P37" s="129" t="n">
        <v>2.058</v>
      </c>
      <c r="Q37" s="129"/>
      <c r="R37" s="129"/>
      <c r="S37" s="129" t="n">
        <v>89.5</v>
      </c>
      <c r="T37" s="184" t="n">
        <v>0.003</v>
      </c>
      <c r="U37" s="184" t="n">
        <v>0.00293156822698343</v>
      </c>
      <c r="X37" s="182" t="n">
        <v>26.007</v>
      </c>
      <c r="Y37" s="182" t="n">
        <v>25.4137649597194</v>
      </c>
      <c r="Z37" s="184" t="n">
        <v>1.773</v>
      </c>
      <c r="AA37" s="184" t="n">
        <v>1.73255682214721</v>
      </c>
      <c r="AB37" s="182" t="n">
        <v>11.09</v>
      </c>
      <c r="AC37" s="182" t="n">
        <v>10.8370305457488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39"/>
      <c r="G38" s="117" t="n">
        <v>35.6752</v>
      </c>
      <c r="H38" s="131" t="n">
        <v>100</v>
      </c>
      <c r="I38" s="119" t="n">
        <v>99</v>
      </c>
      <c r="J38" s="139"/>
      <c r="K38" s="139"/>
      <c r="L38" s="139"/>
      <c r="M38" s="139"/>
      <c r="N38" s="139"/>
      <c r="O38" s="139"/>
      <c r="P38" s="139" t="n">
        <v>2.981</v>
      </c>
      <c r="Q38" s="139"/>
      <c r="R38" s="139"/>
      <c r="S38" s="139" t="n">
        <v>129.7</v>
      </c>
      <c r="T38" s="184" t="n">
        <v>0.119</v>
      </c>
      <c r="U38" s="184" t="n">
        <v>0.116285539670343</v>
      </c>
      <c r="X38" s="182" t="n">
        <v>14.891</v>
      </c>
      <c r="Y38" s="182" t="n">
        <v>14.5513274893368</v>
      </c>
      <c r="Z38" s="184" t="n">
        <v>1.121</v>
      </c>
      <c r="AA38" s="184" t="n">
        <v>1.09542932748281</v>
      </c>
      <c r="AB38" s="182" t="n">
        <v>5.61</v>
      </c>
      <c r="AC38" s="182" t="n">
        <v>5.48203258445902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29"/>
      <c r="G39" s="117" t="n">
        <v>35.734</v>
      </c>
      <c r="H39" s="131" t="n">
        <v>80</v>
      </c>
      <c r="I39" s="119" t="n">
        <v>77</v>
      </c>
      <c r="J39" s="129"/>
      <c r="K39" s="129"/>
      <c r="L39" s="129"/>
      <c r="M39" s="129"/>
      <c r="N39" s="129"/>
      <c r="O39" s="129"/>
      <c r="P39" s="129" t="n">
        <v>3.169</v>
      </c>
      <c r="Q39" s="129"/>
      <c r="R39" s="129"/>
      <c r="S39" s="129" t="n">
        <v>137.9</v>
      </c>
      <c r="T39" s="184" t="n">
        <v>0.421</v>
      </c>
      <c r="U39" s="184" t="n">
        <v>0.411396741186675</v>
      </c>
      <c r="X39" s="182" t="n">
        <v>13.599</v>
      </c>
      <c r="Y39" s="182" t="n">
        <v>13.2887987729159</v>
      </c>
      <c r="Z39" s="184" t="n">
        <v>1.055</v>
      </c>
      <c r="AA39" s="184" t="n">
        <v>1.03093482648917</v>
      </c>
      <c r="AB39" s="182" t="n">
        <v>5.12</v>
      </c>
      <c r="AC39" s="182" t="n">
        <v>5.00320977405172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29"/>
      <c r="G40" s="117" t="n">
        <v>35.7359</v>
      </c>
      <c r="H40" s="131" t="n">
        <v>80</v>
      </c>
      <c r="I40" s="119" t="n">
        <v>77.4</v>
      </c>
      <c r="J40" s="129"/>
      <c r="K40" s="129"/>
      <c r="L40" s="129"/>
      <c r="M40" s="129"/>
      <c r="N40" s="129"/>
      <c r="O40" s="129"/>
      <c r="P40" s="129" t="n">
        <v>3.102</v>
      </c>
      <c r="Q40" s="129"/>
      <c r="R40" s="129"/>
      <c r="S40" s="129" t="n">
        <v>135</v>
      </c>
      <c r="T40" s="184" t="n">
        <v>0.436</v>
      </c>
      <c r="U40" s="184" t="n">
        <v>0.426054582321592</v>
      </c>
      <c r="X40" s="182" t="n">
        <v>13.534</v>
      </c>
      <c r="Y40" s="182" t="n">
        <v>13.2252814613313</v>
      </c>
      <c r="Z40" s="184" t="n">
        <v>1.048</v>
      </c>
      <c r="AA40" s="184" t="n">
        <v>1.02409450062621</v>
      </c>
      <c r="AB40" s="182" t="n">
        <v>5.05</v>
      </c>
      <c r="AC40" s="182" t="n">
        <v>4.93480651542211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29"/>
      <c r="G41" s="117" t="n">
        <v>35.7701</v>
      </c>
      <c r="H41" s="118" t="n">
        <v>60</v>
      </c>
      <c r="I41" s="119" t="n">
        <v>58.5</v>
      </c>
      <c r="J41" s="129"/>
      <c r="K41" s="129"/>
      <c r="L41" s="129"/>
      <c r="M41" s="129"/>
      <c r="N41" s="129"/>
      <c r="O41" s="129"/>
      <c r="P41" s="129" t="n">
        <v>3.294</v>
      </c>
      <c r="Q41" s="129"/>
      <c r="R41" s="129"/>
      <c r="S41" s="129" t="n">
        <v>143.4</v>
      </c>
      <c r="T41" s="184" t="n">
        <v>0.535</v>
      </c>
      <c r="U41" s="184" t="n">
        <v>0.522796333812046</v>
      </c>
      <c r="X41" s="182" t="n">
        <v>11.705</v>
      </c>
      <c r="Y41" s="182" t="n">
        <v>11.4380020322804</v>
      </c>
      <c r="Z41" s="184" t="n">
        <v>0.94</v>
      </c>
      <c r="AA41" s="184" t="n">
        <v>0.918558044454809</v>
      </c>
      <c r="AB41" s="182" t="n">
        <v>4.61</v>
      </c>
      <c r="AC41" s="182" t="n">
        <v>4.50484317546454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29"/>
      <c r="G42" s="117" t="n">
        <v>35.7532</v>
      </c>
      <c r="H42" s="131" t="n">
        <v>40</v>
      </c>
      <c r="I42" s="119" t="n">
        <v>33</v>
      </c>
      <c r="J42" s="129"/>
      <c r="K42" s="129"/>
      <c r="L42" s="129"/>
      <c r="M42" s="129"/>
      <c r="N42" s="129"/>
      <c r="O42" s="129"/>
      <c r="P42" s="129" t="n">
        <v>4.573</v>
      </c>
      <c r="Q42" s="129"/>
      <c r="R42" s="129"/>
      <c r="S42" s="129" t="n">
        <v>199.4</v>
      </c>
      <c r="T42" s="184" t="n">
        <v>0.157</v>
      </c>
      <c r="U42" s="184" t="n">
        <v>0.153418737212133</v>
      </c>
      <c r="X42" s="182" t="n">
        <v>1.773</v>
      </c>
      <c r="Y42" s="182" t="n">
        <v>1.73255682214721</v>
      </c>
      <c r="Z42" s="184" t="n">
        <v>0.256</v>
      </c>
      <c r="AA42" s="184" t="n">
        <v>0.250160488702586</v>
      </c>
      <c r="AB42" s="182" t="n">
        <v>1.82</v>
      </c>
      <c r="AC42" s="182" t="n">
        <v>1.77848472436995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29"/>
      <c r="G43" s="117" t="n">
        <v>35.6654</v>
      </c>
      <c r="H43" s="131" t="n">
        <v>20</v>
      </c>
      <c r="I43" s="119" t="n">
        <v>18</v>
      </c>
      <c r="J43" s="129"/>
      <c r="K43" s="129"/>
      <c r="L43" s="129"/>
      <c r="M43" s="129"/>
      <c r="N43" s="129"/>
      <c r="O43" s="129"/>
      <c r="P43" s="129" t="n">
        <v>4.705</v>
      </c>
      <c r="Q43" s="129"/>
      <c r="R43" s="129"/>
      <c r="S43" s="129" t="n">
        <v>205.3</v>
      </c>
      <c r="T43" s="184" t="n">
        <v>0.006</v>
      </c>
      <c r="U43" s="184" t="n">
        <v>0.00586313645396687</v>
      </c>
      <c r="X43" s="182" t="n">
        <v>0.324</v>
      </c>
      <c r="Y43" s="182" t="n">
        <v>0.316609368514211</v>
      </c>
      <c r="Z43" s="184" t="n">
        <v>0.033</v>
      </c>
      <c r="AA43" s="184" t="n">
        <v>0.0322472504968178</v>
      </c>
      <c r="AB43" s="182" t="n">
        <v>1.03</v>
      </c>
      <c r="AC43" s="182" t="n">
        <v>1.00650509126431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29"/>
      <c r="G44" s="117" t="n">
        <v>35.6648</v>
      </c>
      <c r="H44" s="131" t="n">
        <v>10</v>
      </c>
      <c r="I44" s="119" t="n">
        <v>8</v>
      </c>
      <c r="J44" s="129"/>
      <c r="K44" s="129"/>
      <c r="L44" s="129"/>
      <c r="M44" s="129"/>
      <c r="N44" s="129"/>
      <c r="O44" s="129"/>
      <c r="P44" s="129" t="n">
        <v>4.694</v>
      </c>
      <c r="Q44" s="129"/>
      <c r="R44" s="129"/>
      <c r="S44" s="129" t="n">
        <v>204.8</v>
      </c>
      <c r="T44" s="184" t="n">
        <v>0.007</v>
      </c>
      <c r="U44" s="184" t="n">
        <v>0.00684032586296134</v>
      </c>
      <c r="X44" s="182" t="n">
        <v>0.143</v>
      </c>
      <c r="Y44" s="182" t="n">
        <v>0.13973808548621</v>
      </c>
      <c r="Z44" s="184" t="n">
        <v>0.032</v>
      </c>
      <c r="AA44" s="184" t="n">
        <v>0.0312700610878233</v>
      </c>
      <c r="AB44" s="182" t="n">
        <v>1.09</v>
      </c>
      <c r="AC44" s="182" t="n">
        <v>1.06513645580398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29"/>
      <c r="G45" s="117" t="n">
        <v>35.6646</v>
      </c>
      <c r="H45" s="131" t="n">
        <v>0</v>
      </c>
      <c r="I45" s="119" t="n">
        <v>0.7</v>
      </c>
      <c r="J45" s="129"/>
      <c r="K45" s="129"/>
      <c r="L45" s="129"/>
      <c r="M45" s="129"/>
      <c r="N45" s="129"/>
      <c r="O45" s="129"/>
      <c r="P45" s="129" t="n">
        <v>4.697</v>
      </c>
      <c r="Q45" s="129"/>
      <c r="R45" s="129"/>
      <c r="S45" s="129" t="n">
        <v>205</v>
      </c>
      <c r="T45" s="184" t="n">
        <v>0.001</v>
      </c>
      <c r="U45" s="184" t="n">
        <v>0.000977189408994478</v>
      </c>
      <c r="X45" s="182" t="n">
        <v>0.234</v>
      </c>
      <c r="Y45" s="182" t="n">
        <v>0.228662321704708</v>
      </c>
      <c r="Z45" s="184" t="n">
        <v>0.0315</v>
      </c>
      <c r="AA45" s="184" t="n">
        <v>0.030781466383326</v>
      </c>
      <c r="AB45" s="182" t="n">
        <v>1.15</v>
      </c>
      <c r="AC45" s="182" t="n">
        <v>1.12376782034365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5"/>
      <c r="H46" s="145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32"/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S46" s="132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4"/>
      <c r="H47" s="154"/>
      <c r="I47" s="154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Flac.",#REF!/M47)))))))))</f>
        <v/>
      </c>
      <c r="S47" s="132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4"/>
      <c r="H48" s="154"/>
      <c r="I48" s="154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Flac.",#REF!/M48)))))))))</f>
        <v/>
      </c>
      <c r="S48" s="132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T35" activeCellId="1" sqref="U45 T35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2</v>
      </c>
      <c r="J9" s="29" t="n">
        <v>30.5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-2°30,5</v>
      </c>
      <c r="P9" s="29" t="s">
        <v>16</v>
      </c>
      <c r="Q9" s="33" t="n">
        <f aca="false">IF(ISBLANK(I9),"",IF(ISBLANK(J9),"",IF(J9&gt;60,"ERREUR !!",O11*(I9+(J9/60)))))</f>
        <v>-2.50833333333333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19.17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2°19,17</v>
      </c>
      <c r="P10" s="29" t="s">
        <v>14</v>
      </c>
      <c r="Q10" s="33" t="n">
        <f aca="false">IF(ISBLANK(I10),"",IF(ISBLANK(J10),"",IF(J10&gt;60,"ERREUR !!",O12*(I10+(J10/60)))))</f>
        <v>2.3195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37587</v>
      </c>
      <c r="K11" s="38"/>
      <c r="L11" s="38"/>
      <c r="M11" s="38"/>
      <c r="N11" s="39" t="str">
        <f aca="false">I9&amp;"°"&amp;J9</f>
        <v>2°30,5</v>
      </c>
      <c r="O11" s="40" t="n">
        <f aca="false">IF(P9=M10,-1,1)</f>
        <v>-1</v>
      </c>
      <c r="P11" s="41" t="str">
        <f aca="false">TEXT(J11,"aaaa-mm-jj")&amp;"T"&amp;TEXT(J12,"hh:mm:ss")&amp;"z"</f>
        <v>2006-11-28T11:00:00z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0.458333333333333</v>
      </c>
      <c r="K12" s="45"/>
      <c r="L12" s="45"/>
      <c r="M12" s="45"/>
      <c r="N12" s="46" t="str">
        <f aca="false">I10&amp;"°"&amp;J10</f>
        <v>2°19,17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5"/>
      <c r="G35" s="117" t="n">
        <v>34.6688</v>
      </c>
      <c r="H35" s="118" t="n">
        <v>1000</v>
      </c>
      <c r="I35" s="119" t="n">
        <v>1005</v>
      </c>
      <c r="J35" s="115"/>
      <c r="K35" s="115"/>
      <c r="L35" s="115"/>
      <c r="M35" s="115"/>
      <c r="N35" s="115"/>
      <c r="O35" s="115"/>
      <c r="P35" s="115" t="n">
        <v>3.678</v>
      </c>
      <c r="Q35" s="115"/>
      <c r="R35" s="115"/>
      <c r="S35" s="115" t="n">
        <v>159.9</v>
      </c>
      <c r="T35" s="184" t="n">
        <v>0.005</v>
      </c>
      <c r="U35" s="184" t="n">
        <v>0.00488594704497239</v>
      </c>
      <c r="X35" s="182" t="n">
        <v>30.99</v>
      </c>
      <c r="Y35" s="182" t="n">
        <v>30.2830997847389</v>
      </c>
      <c r="Z35" s="184" t="n">
        <v>2.269</v>
      </c>
      <c r="AA35" s="184" t="n">
        <v>2.21724276900847</v>
      </c>
      <c r="AB35" s="182" t="n">
        <v>31.15</v>
      </c>
      <c r="AC35" s="182" t="n">
        <v>30.439450090178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29"/>
      <c r="G36" s="117" t="n">
        <v>34.5471</v>
      </c>
      <c r="H36" s="131" t="n">
        <v>600</v>
      </c>
      <c r="I36" s="119" t="n">
        <v>600</v>
      </c>
      <c r="J36" s="129"/>
      <c r="K36" s="129"/>
      <c r="L36" s="129"/>
      <c r="M36" s="129"/>
      <c r="N36" s="129"/>
      <c r="O36" s="129"/>
      <c r="P36" s="129" t="n">
        <v>2.53</v>
      </c>
      <c r="Q36" s="129"/>
      <c r="R36" s="129"/>
      <c r="S36" s="129" t="n">
        <v>110</v>
      </c>
      <c r="T36" s="184" t="n">
        <v>0.001</v>
      </c>
      <c r="U36" s="184" t="n">
        <v>0.000977189408994478</v>
      </c>
      <c r="X36" s="182" t="n">
        <v>35.399</v>
      </c>
      <c r="Y36" s="182" t="n">
        <v>34.5915278889955</v>
      </c>
      <c r="Z36" s="184" t="n">
        <v>2.505</v>
      </c>
      <c r="AA36" s="184" t="n">
        <v>2.44785946953117</v>
      </c>
      <c r="AB36" s="182" t="n">
        <v>25.24</v>
      </c>
      <c r="AC36" s="182" t="n">
        <v>24.6642606830206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29"/>
      <c r="G37" s="117" t="n">
        <v>35.054</v>
      </c>
      <c r="H37" s="131" t="n">
        <v>300</v>
      </c>
      <c r="I37" s="119" t="n">
        <v>301</v>
      </c>
      <c r="J37" s="129"/>
      <c r="K37" s="129"/>
      <c r="L37" s="129"/>
      <c r="M37" s="129"/>
      <c r="N37" s="129"/>
      <c r="O37" s="129"/>
      <c r="P37" s="129" t="n">
        <v>1.826</v>
      </c>
      <c r="Q37" s="129"/>
      <c r="R37" s="129"/>
      <c r="S37" s="129" t="n">
        <v>79.4</v>
      </c>
      <c r="T37" s="184" t="n">
        <v>0</v>
      </c>
      <c r="U37" s="184" t="n">
        <v>0</v>
      </c>
      <c r="X37" s="182" t="n">
        <v>27.6</v>
      </c>
      <c r="Y37" s="182" t="n">
        <v>26.9704276882476</v>
      </c>
      <c r="Z37" s="184" t="n">
        <v>1.883</v>
      </c>
      <c r="AA37" s="184" t="n">
        <v>1.8400476571366</v>
      </c>
      <c r="AB37" s="182" t="n">
        <v>11.77</v>
      </c>
      <c r="AC37" s="182" t="n">
        <v>11.501519343865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39"/>
      <c r="G38" s="117" t="n">
        <v>35.7136</v>
      </c>
      <c r="H38" s="131" t="n">
        <v>100</v>
      </c>
      <c r="I38" s="119" t="n">
        <v>99</v>
      </c>
      <c r="J38" s="139"/>
      <c r="K38" s="139"/>
      <c r="L38" s="139"/>
      <c r="M38" s="139"/>
      <c r="N38" s="139"/>
      <c r="O38" s="139"/>
      <c r="P38" s="139" t="n">
        <v>3.036</v>
      </c>
      <c r="Q38" s="139"/>
      <c r="R38" s="139"/>
      <c r="S38" s="139" t="n">
        <v>132.1</v>
      </c>
      <c r="T38" s="184" t="n">
        <v>0.222</v>
      </c>
      <c r="U38" s="184" t="n">
        <v>0.216936048796774</v>
      </c>
      <c r="X38" s="182" t="n">
        <v>13.658</v>
      </c>
      <c r="Y38" s="182" t="n">
        <v>13.3464529480466</v>
      </c>
      <c r="Z38" s="184" t="n">
        <v>1.076</v>
      </c>
      <c r="AA38" s="184" t="n">
        <v>1.05145580407806</v>
      </c>
      <c r="AB38" s="182" t="n">
        <v>4.86</v>
      </c>
      <c r="AC38" s="182" t="n">
        <v>4.74914052771316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6.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29"/>
      <c r="G39" s="117" t="n">
        <v>35.757</v>
      </c>
      <c r="H39" s="131" t="n">
        <v>80</v>
      </c>
      <c r="I39" s="119" t="n">
        <v>80</v>
      </c>
      <c r="J39" s="129"/>
      <c r="K39" s="129"/>
      <c r="L39" s="129"/>
      <c r="M39" s="129"/>
      <c r="N39" s="129"/>
      <c r="O39" s="129"/>
      <c r="P39" s="129" t="n">
        <v>3.009</v>
      </c>
      <c r="Q39" s="129"/>
      <c r="R39" s="129"/>
      <c r="S39" s="129" t="n">
        <v>131</v>
      </c>
      <c r="T39" s="184" t="n">
        <v>0.39</v>
      </c>
      <c r="U39" s="184" t="n">
        <v>0.381103869507846</v>
      </c>
      <c r="X39" s="182" t="n">
        <v>12.95</v>
      </c>
      <c r="Y39" s="182" t="n">
        <v>12.6546028464785</v>
      </c>
      <c r="Z39" s="184" t="n">
        <v>1.045</v>
      </c>
      <c r="AA39" s="184" t="n">
        <v>1.02116293239923</v>
      </c>
      <c r="AB39" s="182" t="n">
        <v>4.28</v>
      </c>
      <c r="AC39" s="182" t="n">
        <v>4.18237067049636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29"/>
      <c r="G40" s="117" t="n">
        <v>35.818</v>
      </c>
      <c r="H40" s="118" t="n">
        <v>60</v>
      </c>
      <c r="I40" s="119" t="n">
        <v>60</v>
      </c>
      <c r="J40" s="129"/>
      <c r="K40" s="129"/>
      <c r="L40" s="129"/>
      <c r="M40" s="129"/>
      <c r="N40" s="129"/>
      <c r="O40" s="129"/>
      <c r="P40" s="129" t="n">
        <v>3.064</v>
      </c>
      <c r="Q40" s="129"/>
      <c r="R40" s="129"/>
      <c r="S40" s="129" t="n">
        <v>133.4</v>
      </c>
      <c r="T40" s="184" t="n">
        <v>0.592</v>
      </c>
      <c r="U40" s="184" t="n">
        <v>0.578496130124731</v>
      </c>
      <c r="X40" s="182" t="n">
        <v>11.158</v>
      </c>
      <c r="Y40" s="182" t="n">
        <v>10.9034794255604</v>
      </c>
      <c r="Z40" s="184" t="n">
        <v>0.954</v>
      </c>
      <c r="AA40" s="184" t="n">
        <v>0.932238696180732</v>
      </c>
      <c r="AB40" s="182" t="n">
        <v>3.57</v>
      </c>
      <c r="AC40" s="182" t="n">
        <v>3.48856619011028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29"/>
      <c r="G41" s="117" t="n">
        <v>35.8086</v>
      </c>
      <c r="H41" s="118" t="n">
        <v>60</v>
      </c>
      <c r="I41" s="119" t="n">
        <v>60</v>
      </c>
      <c r="J41" s="129"/>
      <c r="K41" s="129"/>
      <c r="L41" s="129"/>
      <c r="M41" s="129"/>
      <c r="N41" s="129"/>
      <c r="O41" s="129"/>
      <c r="P41" s="129" t="n">
        <v>3.02</v>
      </c>
      <c r="Q41" s="129"/>
      <c r="R41" s="129"/>
      <c r="S41" s="129" t="n">
        <v>131.5</v>
      </c>
      <c r="T41" s="184" t="n">
        <v>0.6</v>
      </c>
      <c r="U41" s="184" t="n">
        <v>0.586313645396686</v>
      </c>
      <c r="X41" s="182" t="n">
        <v>11.34</v>
      </c>
      <c r="Y41" s="182" t="n">
        <v>11.0813278979974</v>
      </c>
      <c r="Z41" s="184" t="n">
        <v>0.965</v>
      </c>
      <c r="AA41" s="184" t="n">
        <v>0.942987779679671</v>
      </c>
      <c r="AB41" s="182" t="n">
        <v>3.66</v>
      </c>
      <c r="AC41" s="182" t="n">
        <v>3.57651323691979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29"/>
      <c r="G42" s="117" t="n">
        <v>35.8418</v>
      </c>
      <c r="H42" s="131" t="n">
        <v>40</v>
      </c>
      <c r="I42" s="119" t="n">
        <v>39</v>
      </c>
      <c r="J42" s="129"/>
      <c r="K42" s="129"/>
      <c r="L42" s="129"/>
      <c r="M42" s="129"/>
      <c r="N42" s="129"/>
      <c r="O42" s="129"/>
      <c r="P42" s="129" t="n">
        <v>4.699</v>
      </c>
      <c r="Q42" s="129"/>
      <c r="R42" s="129"/>
      <c r="S42" s="129" t="n">
        <v>204.8</v>
      </c>
      <c r="T42" s="184" t="n">
        <v>0.075</v>
      </c>
      <c r="U42" s="184" t="n">
        <v>0.0732892056745858</v>
      </c>
      <c r="X42" s="182" t="n">
        <v>0.765</v>
      </c>
      <c r="Y42" s="182" t="n">
        <v>0.747549897880775</v>
      </c>
      <c r="Z42" s="184" t="n">
        <v>0.194</v>
      </c>
      <c r="AA42" s="184" t="n">
        <v>0.189574745344929</v>
      </c>
      <c r="AB42" s="182" t="n">
        <v>0.99</v>
      </c>
      <c r="AC42" s="182" t="n">
        <v>0.967417514904533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29"/>
      <c r="G43" s="117" t="n">
        <v>35.639</v>
      </c>
      <c r="H43" s="131" t="n">
        <v>20</v>
      </c>
      <c r="I43" s="119" t="n">
        <v>21</v>
      </c>
      <c r="J43" s="129"/>
      <c r="K43" s="129"/>
      <c r="L43" s="129"/>
      <c r="M43" s="129"/>
      <c r="N43" s="129"/>
      <c r="O43" s="129"/>
      <c r="P43" s="129" t="n">
        <v>4.733</v>
      </c>
      <c r="Q43" s="129"/>
      <c r="R43" s="129"/>
      <c r="S43" s="129" t="n">
        <v>206.5</v>
      </c>
      <c r="T43" s="184" t="n">
        <v>0.003</v>
      </c>
      <c r="U43" s="184" t="n">
        <v>0.00293156822698343</v>
      </c>
      <c r="X43" s="182" t="n">
        <v>0.217</v>
      </c>
      <c r="Y43" s="182" t="n">
        <v>0.212050101751802</v>
      </c>
      <c r="Z43" s="184" t="n">
        <v>0.041</v>
      </c>
      <c r="AA43" s="184" t="n">
        <v>0.0400647657687736</v>
      </c>
      <c r="AB43" s="182" t="n">
        <v>0.46</v>
      </c>
      <c r="AC43" s="182" t="n">
        <v>0.44950712813746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29"/>
      <c r="G44" s="117" t="n">
        <v>35.637</v>
      </c>
      <c r="H44" s="131" t="n">
        <v>10</v>
      </c>
      <c r="I44" s="119" t="n">
        <v>10</v>
      </c>
      <c r="J44" s="129"/>
      <c r="K44" s="129"/>
      <c r="L44" s="129"/>
      <c r="M44" s="129"/>
      <c r="N44" s="129"/>
      <c r="O44" s="129"/>
      <c r="P44" s="129" t="n">
        <v>4.709</v>
      </c>
      <c r="Q44" s="129"/>
      <c r="R44" s="129"/>
      <c r="S44" s="129" t="n">
        <v>205.5</v>
      </c>
      <c r="T44" s="184" t="n">
        <v>0.005</v>
      </c>
      <c r="U44" s="184" t="n">
        <v>0.00488594704497239</v>
      </c>
      <c r="X44" s="182" t="n">
        <v>0.195</v>
      </c>
      <c r="Y44" s="182" t="n">
        <v>0.190551934753923</v>
      </c>
      <c r="Z44" s="184" t="n">
        <v>0.04</v>
      </c>
      <c r="AA44" s="184" t="n">
        <v>0.0390875763597791</v>
      </c>
      <c r="AB44" s="182" t="n">
        <v>0.5</v>
      </c>
      <c r="AC44" s="182" t="n">
        <v>0.488594704497239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29"/>
      <c r="G45" s="117" t="n">
        <v>35.6388</v>
      </c>
      <c r="H45" s="131" t="n">
        <v>0</v>
      </c>
      <c r="I45" s="119" t="n">
        <v>0.5</v>
      </c>
      <c r="J45" s="129"/>
      <c r="K45" s="129"/>
      <c r="L45" s="129"/>
      <c r="M45" s="129"/>
      <c r="N45" s="129"/>
      <c r="O45" s="129"/>
      <c r="P45" s="129" t="n">
        <v>4.72</v>
      </c>
      <c r="Q45" s="129"/>
      <c r="R45" s="129"/>
      <c r="S45" s="129" t="n">
        <v>206</v>
      </c>
      <c r="T45" s="184" t="n">
        <v>0.004</v>
      </c>
      <c r="U45" s="184" t="n">
        <v>0.00390875763597791</v>
      </c>
      <c r="X45" s="182" t="n">
        <v>0.216</v>
      </c>
      <c r="Y45" s="182" t="n">
        <v>0.211072912342807</v>
      </c>
      <c r="Z45" s="184" t="n">
        <v>0.039</v>
      </c>
      <c r="AA45" s="184" t="n">
        <v>0.0381103869507846</v>
      </c>
      <c r="AB45" s="182" t="n">
        <v>0.52</v>
      </c>
      <c r="AC45" s="182" t="n">
        <v>0.508138492677128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5"/>
      <c r="H46" s="145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32"/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S46" s="132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4"/>
      <c r="H47" s="154"/>
      <c r="I47" s="154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Flac.",#REF!/M47)))))))))</f>
        <v/>
      </c>
      <c r="S47" s="132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4"/>
      <c r="H48" s="154"/>
      <c r="I48" s="154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Flac.",#REF!/M48)))))))))</f>
        <v/>
      </c>
      <c r="S48" s="132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T35" activeCellId="1" sqref="U45 T35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59.72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-1°59,72</v>
      </c>
      <c r="P9" s="29" t="s">
        <v>16</v>
      </c>
      <c r="Q9" s="33" t="n">
        <f aca="false">IF(ISBLANK(I9),"",IF(ISBLANK(J9),"",IF(J9&gt;60,"ERREUR !!",O11*(I9+(J9/60)))))</f>
        <v>-1.99533333333333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19.85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2°19,85</v>
      </c>
      <c r="P10" s="29" t="s">
        <v>14</v>
      </c>
      <c r="Q10" s="33" t="n">
        <f aca="false">IF(ISBLANK(I10),"",IF(ISBLANK(J10),"",IF(J10&gt;60,"ERREUR !!",O12*(I10+(J10/60)))))</f>
        <v>2.33083333333333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37587</v>
      </c>
      <c r="K11" s="38"/>
      <c r="L11" s="38"/>
      <c r="M11" s="38"/>
      <c r="N11" s="39" t="str">
        <f aca="false">I9&amp;"°"&amp;J9</f>
        <v>1°59,72</v>
      </c>
      <c r="O11" s="40" t="n">
        <f aca="false">IF(P9=M10,-1,1)</f>
        <v>-1</v>
      </c>
      <c r="P11" s="41" t="str">
        <f aca="false">TEXT(J11,"aaaa-mm-jj")&amp;"T"&amp;TEXT(J12,"hh:mm:ss")&amp;"z"</f>
        <v>2006-11-28T16:00:00z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0.666666666666667</v>
      </c>
      <c r="K12" s="45"/>
      <c r="L12" s="45"/>
      <c r="M12" s="45"/>
      <c r="N12" s="46" t="str">
        <f aca="false">I10&amp;"°"&amp;J10</f>
        <v>2°19,85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5"/>
      <c r="G35" s="117" t="n">
        <v>34.6079</v>
      </c>
      <c r="H35" s="118" t="n">
        <v>1000</v>
      </c>
      <c r="I35" s="119" t="n">
        <v>1000</v>
      </c>
      <c r="J35" s="115"/>
      <c r="K35" s="115"/>
      <c r="L35" s="115"/>
      <c r="M35" s="115"/>
      <c r="N35" s="115"/>
      <c r="O35" s="115"/>
      <c r="P35" s="115" t="n">
        <v>3.568</v>
      </c>
      <c r="Q35" s="115"/>
      <c r="R35" s="115"/>
      <c r="S35" s="115" t="n">
        <v>155.1</v>
      </c>
      <c r="T35" s="184" t="n">
        <v>0.011</v>
      </c>
      <c r="U35" s="184" t="n">
        <v>0.0107490834989393</v>
      </c>
      <c r="X35" s="182" t="n">
        <v>32.959</v>
      </c>
      <c r="Y35" s="182" t="n">
        <v>32.207185731049</v>
      </c>
      <c r="Z35" s="184" t="n">
        <v>2.35</v>
      </c>
      <c r="AA35" s="184" t="n">
        <v>2.29639511113702</v>
      </c>
      <c r="AB35" s="182" t="n">
        <v>32.02</v>
      </c>
      <c r="AC35" s="182" t="n">
        <v>31.2896048760032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29"/>
      <c r="G36" s="117" t="n">
        <v>34.5346</v>
      </c>
      <c r="H36" s="131" t="n">
        <v>600</v>
      </c>
      <c r="I36" s="119" t="n">
        <v>599</v>
      </c>
      <c r="J36" s="129"/>
      <c r="K36" s="129"/>
      <c r="L36" s="129"/>
      <c r="M36" s="129"/>
      <c r="N36" s="129"/>
      <c r="O36" s="129"/>
      <c r="P36" s="129" t="n">
        <v>2.97</v>
      </c>
      <c r="Q36" s="129"/>
      <c r="R36" s="129"/>
      <c r="S36" s="129" t="n">
        <v>129.2</v>
      </c>
      <c r="T36" s="184" t="n">
        <v>0.019</v>
      </c>
      <c r="U36" s="184" t="n">
        <v>0.0185665987708951</v>
      </c>
      <c r="X36" s="182" t="n">
        <v>34.511</v>
      </c>
      <c r="Y36" s="182" t="n">
        <v>33.7237836938084</v>
      </c>
      <c r="Z36" s="184" t="n">
        <v>2.378</v>
      </c>
      <c r="AA36" s="184" t="n">
        <v>2.32375641458887</v>
      </c>
      <c r="AB36" s="182" t="n">
        <v>24.745</v>
      </c>
      <c r="AC36" s="182" t="n">
        <v>24.1805519255683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29"/>
      <c r="G37" s="117" t="n">
        <v>35.0606</v>
      </c>
      <c r="H37" s="131" t="n">
        <v>300</v>
      </c>
      <c r="I37" s="119" t="n">
        <v>298</v>
      </c>
      <c r="J37" s="129"/>
      <c r="K37" s="129"/>
      <c r="L37" s="129"/>
      <c r="M37" s="129"/>
      <c r="N37" s="129"/>
      <c r="O37" s="129"/>
      <c r="P37" s="129" t="n">
        <v>1.972</v>
      </c>
      <c r="Q37" s="129"/>
      <c r="R37" s="129"/>
      <c r="S37" s="129" t="n">
        <v>85.8</v>
      </c>
      <c r="T37" s="184" t="n">
        <v>0.018</v>
      </c>
      <c r="U37" s="184" t="n">
        <v>0.0175894093619006</v>
      </c>
      <c r="X37" s="182" t="n">
        <v>27.622</v>
      </c>
      <c r="Y37" s="182" t="n">
        <v>26.9919258552455</v>
      </c>
      <c r="Z37" s="184" t="n">
        <v>1.835</v>
      </c>
      <c r="AA37" s="184" t="n">
        <v>1.79314256550487</v>
      </c>
      <c r="AB37" s="182" t="n">
        <v>11.26</v>
      </c>
      <c r="AC37" s="182" t="n">
        <v>11.0031527452778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39"/>
      <c r="G38" s="117" t="n">
        <v>35.6456</v>
      </c>
      <c r="H38" s="131" t="n">
        <v>100</v>
      </c>
      <c r="I38" s="119" t="n">
        <v>99</v>
      </c>
      <c r="J38" s="139"/>
      <c r="K38" s="139"/>
      <c r="L38" s="139"/>
      <c r="M38" s="139"/>
      <c r="N38" s="139"/>
      <c r="O38" s="139"/>
      <c r="P38" s="139" t="n">
        <v>2.972</v>
      </c>
      <c r="Q38" s="139"/>
      <c r="R38" s="139"/>
      <c r="S38" s="139" t="n">
        <v>129.4</v>
      </c>
      <c r="T38" s="184" t="n">
        <v>0.055</v>
      </c>
      <c r="U38" s="184" t="n">
        <v>0.0537454174946963</v>
      </c>
      <c r="X38" s="182" t="n">
        <v>15.525</v>
      </c>
      <c r="Y38" s="182" t="n">
        <v>15.1708655746393</v>
      </c>
      <c r="Z38" s="184" t="n">
        <v>1.149</v>
      </c>
      <c r="AA38" s="184" t="n">
        <v>1.12279063093465</v>
      </c>
      <c r="AB38" s="182" t="n">
        <v>5.09</v>
      </c>
      <c r="AC38" s="182" t="n">
        <v>4.97389409178189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6.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29"/>
      <c r="G39" s="117" t="n">
        <v>35.6738</v>
      </c>
      <c r="H39" s="131" t="n">
        <v>80</v>
      </c>
      <c r="I39" s="119" t="n">
        <v>80</v>
      </c>
      <c r="J39" s="129"/>
      <c r="K39" s="129"/>
      <c r="L39" s="129"/>
      <c r="M39" s="129"/>
      <c r="N39" s="129"/>
      <c r="O39" s="129"/>
      <c r="P39" s="129" t="n">
        <v>2.958</v>
      </c>
      <c r="Q39" s="129"/>
      <c r="R39" s="129"/>
      <c r="S39" s="129" t="n">
        <v>128.7</v>
      </c>
      <c r="T39" s="184" t="n">
        <v>0.082</v>
      </c>
      <c r="U39" s="184" t="n">
        <v>0.0801295315375471</v>
      </c>
      <c r="X39" s="182" t="n">
        <v>15.388</v>
      </c>
      <c r="Y39" s="182" t="n">
        <v>15.036990625607</v>
      </c>
      <c r="Z39" s="184" t="n">
        <v>1.115</v>
      </c>
      <c r="AA39" s="184" t="n">
        <v>1.08956619102884</v>
      </c>
      <c r="AB39" s="182" t="n">
        <v>4.87</v>
      </c>
      <c r="AC39" s="182" t="n">
        <v>4.75891242180311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29"/>
      <c r="G40" s="117" t="n">
        <v>35.7469</v>
      </c>
      <c r="H40" s="118" t="n">
        <v>60</v>
      </c>
      <c r="I40" s="119" t="n">
        <v>60</v>
      </c>
      <c r="J40" s="129"/>
      <c r="K40" s="129"/>
      <c r="L40" s="129"/>
      <c r="M40" s="129"/>
      <c r="N40" s="129"/>
      <c r="O40" s="129"/>
      <c r="P40" s="129" t="n">
        <v>2.934</v>
      </c>
      <c r="Q40" s="129"/>
      <c r="R40" s="129"/>
      <c r="S40" s="129" t="n">
        <v>127.7</v>
      </c>
      <c r="T40" s="184" t="n">
        <v>0.325</v>
      </c>
      <c r="U40" s="184" t="n">
        <v>0.317586557923205</v>
      </c>
      <c r="X40" s="182" t="n">
        <v>14.315</v>
      </c>
      <c r="Y40" s="182" t="n">
        <v>13.9884663897559</v>
      </c>
      <c r="Z40" s="184" t="n">
        <v>1.079</v>
      </c>
      <c r="AA40" s="184" t="n">
        <v>1.05438737230504</v>
      </c>
      <c r="AB40" s="182" t="n">
        <v>4.37</v>
      </c>
      <c r="AC40" s="182" t="n">
        <v>4.27031771730587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29"/>
      <c r="G41" s="117" t="n">
        <v>35.9062</v>
      </c>
      <c r="H41" s="131" t="n">
        <v>40</v>
      </c>
      <c r="I41" s="119" t="n">
        <v>39</v>
      </c>
      <c r="J41" s="129"/>
      <c r="K41" s="129"/>
      <c r="L41" s="129"/>
      <c r="M41" s="129"/>
      <c r="N41" s="129"/>
      <c r="O41" s="129"/>
      <c r="P41" s="129" t="n">
        <v>4.712</v>
      </c>
      <c r="Q41" s="129"/>
      <c r="R41" s="129"/>
      <c r="S41" s="129" t="n">
        <v>205.4</v>
      </c>
      <c r="T41" s="184" t="n">
        <v>0.088</v>
      </c>
      <c r="U41" s="184" t="n">
        <v>0.085992667991514</v>
      </c>
      <c r="X41" s="182" t="n">
        <v>0.592</v>
      </c>
      <c r="Y41" s="182" t="n">
        <v>0.578496130124731</v>
      </c>
      <c r="Z41" s="184" t="n">
        <v>0.204</v>
      </c>
      <c r="AA41" s="184" t="n">
        <v>0.199346639434873</v>
      </c>
      <c r="AB41" s="182" t="n">
        <v>1.09</v>
      </c>
      <c r="AC41" s="182" t="n">
        <v>1.06513645580398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29"/>
      <c r="G42" s="117" t="n">
        <v>35.9039</v>
      </c>
      <c r="H42" s="131" t="n">
        <v>40</v>
      </c>
      <c r="I42" s="119" t="n">
        <v>39</v>
      </c>
      <c r="J42" s="129"/>
      <c r="K42" s="129"/>
      <c r="L42" s="129"/>
      <c r="M42" s="129"/>
      <c r="N42" s="129"/>
      <c r="O42" s="129"/>
      <c r="P42" s="129" t="n">
        <v>4.705</v>
      </c>
      <c r="Q42" s="129"/>
      <c r="R42" s="129"/>
      <c r="S42" s="129" t="n">
        <v>205.1</v>
      </c>
      <c r="T42" s="184" t="n">
        <v>0.098</v>
      </c>
      <c r="U42" s="184" t="n">
        <v>0.0957645620814588</v>
      </c>
      <c r="X42" s="182" t="n">
        <v>0.772</v>
      </c>
      <c r="Y42" s="182" t="n">
        <v>0.754390223743737</v>
      </c>
      <c r="Z42" s="184" t="n">
        <v>0.216</v>
      </c>
      <c r="AA42" s="184" t="n">
        <v>0.211072912342807</v>
      </c>
      <c r="AB42" s="182" t="n">
        <v>1.08</v>
      </c>
      <c r="AC42" s="182" t="n">
        <v>1.05536456171404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29"/>
      <c r="G43" s="117" t="n">
        <v>35.6955</v>
      </c>
      <c r="H43" s="131" t="n">
        <v>20</v>
      </c>
      <c r="I43" s="119" t="n">
        <v>19</v>
      </c>
      <c r="J43" s="129"/>
      <c r="K43" s="129"/>
      <c r="L43" s="129"/>
      <c r="M43" s="129"/>
      <c r="N43" s="129"/>
      <c r="O43" s="129"/>
      <c r="P43" s="129" t="n">
        <v>4.806</v>
      </c>
      <c r="Q43" s="129"/>
      <c r="R43" s="129"/>
      <c r="S43" s="129" t="n">
        <v>209.7</v>
      </c>
      <c r="T43" s="184" t="n">
        <v>0.019</v>
      </c>
      <c r="U43" s="184" t="n">
        <v>0.0185665987708951</v>
      </c>
      <c r="X43" s="182" t="n">
        <v>0.151</v>
      </c>
      <c r="Y43" s="182" t="n">
        <v>0.147555600758166</v>
      </c>
      <c r="Z43" s="184" t="n">
        <v>0.07</v>
      </c>
      <c r="AA43" s="184" t="n">
        <v>0.0684032586296134</v>
      </c>
      <c r="AB43" s="182" t="n">
        <v>0.51</v>
      </c>
      <c r="AC43" s="182" t="n">
        <v>0.498366598587183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29"/>
      <c r="G44" s="117" t="n">
        <v>35.6807</v>
      </c>
      <c r="H44" s="131" t="n">
        <v>10</v>
      </c>
      <c r="I44" s="119" t="n">
        <v>9.5</v>
      </c>
      <c r="J44" s="129"/>
      <c r="K44" s="129"/>
      <c r="L44" s="129"/>
      <c r="M44" s="129"/>
      <c r="N44" s="129"/>
      <c r="O44" s="129"/>
      <c r="P44" s="129" t="n">
        <v>4.715</v>
      </c>
      <c r="Q44" s="129"/>
      <c r="R44" s="129"/>
      <c r="S44" s="129" t="n">
        <v>205.7</v>
      </c>
      <c r="T44" s="184" t="n">
        <v>0.02</v>
      </c>
      <c r="U44" s="184" t="n">
        <v>0.0195437881798896</v>
      </c>
      <c r="X44" s="182" t="n">
        <v>0.16</v>
      </c>
      <c r="Y44" s="182" t="n">
        <v>0.156350305439116</v>
      </c>
      <c r="Z44" s="184" t="n">
        <v>0.055</v>
      </c>
      <c r="AA44" s="184" t="n">
        <v>0.0537454174946963</v>
      </c>
      <c r="AB44" s="182" t="n">
        <v>0.44</v>
      </c>
      <c r="AC44" s="182" t="n">
        <v>0.42996333995757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29"/>
      <c r="G45" s="117" t="n">
        <v>35.6831</v>
      </c>
      <c r="H45" s="131" t="n">
        <v>0</v>
      </c>
      <c r="I45" s="119" t="n">
        <v>0.3</v>
      </c>
      <c r="J45" s="129"/>
      <c r="K45" s="129"/>
      <c r="L45" s="129"/>
      <c r="M45" s="129"/>
      <c r="N45" s="129"/>
      <c r="O45" s="129"/>
      <c r="P45" s="129" t="n">
        <v>4.7</v>
      </c>
      <c r="Q45" s="129"/>
      <c r="R45" s="129"/>
      <c r="S45" s="129" t="n">
        <v>205.1</v>
      </c>
      <c r="T45" s="184" t="n">
        <v>0.011</v>
      </c>
      <c r="U45" s="184" t="n">
        <v>0.0107490834989393</v>
      </c>
      <c r="X45" s="182" t="n">
        <v>0.139</v>
      </c>
      <c r="Y45" s="182" t="n">
        <v>0.135829327850232</v>
      </c>
      <c r="Z45" s="184" t="n">
        <v>0.055</v>
      </c>
      <c r="AA45" s="184" t="n">
        <v>0.0537454174946963</v>
      </c>
      <c r="AB45" s="182" t="n">
        <v>0.48</v>
      </c>
      <c r="AC45" s="182" t="n">
        <v>0.469050916317349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5"/>
      <c r="H46" s="145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32"/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S46" s="132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4"/>
      <c r="H47" s="154"/>
      <c r="I47" s="154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Flac.",#REF!/M47)))))))))</f>
        <v/>
      </c>
      <c r="S47" s="132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4"/>
      <c r="H48" s="154"/>
      <c r="I48" s="154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Flac.",#REF!/M48)))))))))</f>
        <v/>
      </c>
      <c r="S48" s="132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T35" activeCellId="1" sqref="U45 T35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29.78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-1°29,78</v>
      </c>
      <c r="P9" s="29" t="s">
        <v>16</v>
      </c>
      <c r="Q9" s="33" t="n">
        <f aca="false">IF(ISBLANK(I9),"",IF(ISBLANK(J9),"",IF(J9&gt;60,"ERREUR !!",O11*(I9+(J9/60)))))</f>
        <v>-1.49633333333333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19.99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2°19,99</v>
      </c>
      <c r="P10" s="29" t="s">
        <v>14</v>
      </c>
      <c r="Q10" s="33" t="n">
        <f aca="false">IF(ISBLANK(I10),"",IF(ISBLANK(J10),"",IF(J10&gt;60,"ERREUR !!",O12*(I10+(J10/60)))))</f>
        <v>2.33316666666667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37587</v>
      </c>
      <c r="K11" s="38"/>
      <c r="L11" s="38"/>
      <c r="M11" s="38"/>
      <c r="N11" s="39" t="str">
        <f aca="false">I9&amp;"°"&amp;J9</f>
        <v>1°29,78</v>
      </c>
      <c r="O11" s="40" t="n">
        <f aca="false">IF(P9=M10,-1,1)</f>
        <v>-1</v>
      </c>
      <c r="P11" s="41" t="str">
        <f aca="false">TEXT(J11,"aaaa-mm-jj")&amp;"T"&amp;TEXT(J12,"hh:mm:ss")&amp;"z"</f>
        <v>2006-11-28T20:00:00z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0.833333333333333</v>
      </c>
      <c r="K12" s="45"/>
      <c r="L12" s="45"/>
      <c r="M12" s="45"/>
      <c r="N12" s="46" t="str">
        <f aca="false">I10&amp;"°"&amp;J10</f>
        <v>2°19,99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5"/>
      <c r="G35" s="117" t="n">
        <v>34.6184</v>
      </c>
      <c r="H35" s="118" t="n">
        <v>1000</v>
      </c>
      <c r="I35" s="119" t="n">
        <v>1010</v>
      </c>
      <c r="J35" s="189"/>
      <c r="K35" s="189"/>
      <c r="L35" s="189"/>
      <c r="M35" s="189"/>
      <c r="N35" s="189"/>
      <c r="O35" s="189"/>
      <c r="P35" s="189" t="n">
        <v>3.573</v>
      </c>
      <c r="Q35" s="189"/>
      <c r="R35" s="189"/>
      <c r="S35" s="189" t="n">
        <v>155.3</v>
      </c>
      <c r="T35" s="184" t="n">
        <v>0.02</v>
      </c>
      <c r="U35" s="184" t="n">
        <v>0.0195437881798896</v>
      </c>
      <c r="X35" s="182" t="n">
        <v>33.6</v>
      </c>
      <c r="Y35" s="182" t="n">
        <v>32.8335641422144</v>
      </c>
      <c r="Z35" s="184" t="n">
        <v>2.399</v>
      </c>
      <c r="AA35" s="184" t="n">
        <v>2.34427739217775</v>
      </c>
      <c r="AB35" s="182" t="n">
        <v>24.78</v>
      </c>
      <c r="AC35" s="182" t="n">
        <v>24.2147535548831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29"/>
      <c r="G36" s="117" t="n">
        <v>34.5513</v>
      </c>
      <c r="H36" s="131" t="n">
        <v>600</v>
      </c>
      <c r="I36" s="119" t="n">
        <v>600</v>
      </c>
      <c r="J36" s="190"/>
      <c r="K36" s="190"/>
      <c r="L36" s="190"/>
      <c r="M36" s="190"/>
      <c r="N36" s="190"/>
      <c r="O36" s="190"/>
      <c r="P36" s="190" t="n">
        <v>2.847</v>
      </c>
      <c r="Q36" s="190"/>
      <c r="R36" s="190"/>
      <c r="S36" s="190" t="n">
        <v>123.8</v>
      </c>
      <c r="T36" s="184" t="n">
        <v>0.019</v>
      </c>
      <c r="U36" s="184" t="n">
        <v>0.0185665987708951</v>
      </c>
      <c r="X36" s="182" t="n">
        <v>32.071</v>
      </c>
      <c r="Y36" s="182" t="n">
        <v>31.3394415358619</v>
      </c>
      <c r="Z36" s="184" t="n">
        <v>2.304</v>
      </c>
      <c r="AA36" s="184" t="n">
        <v>2.25144439832328</v>
      </c>
      <c r="AB36" s="182" t="n">
        <v>31.88</v>
      </c>
      <c r="AC36" s="182" t="n">
        <v>31.1527983587439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29"/>
      <c r="G37" s="117" t="n">
        <v>35.0285</v>
      </c>
      <c r="H37" s="131" t="n">
        <v>300</v>
      </c>
      <c r="I37" s="119" t="n">
        <v>300</v>
      </c>
      <c r="J37" s="190"/>
      <c r="K37" s="190"/>
      <c r="L37" s="190"/>
      <c r="M37" s="190"/>
      <c r="N37" s="190"/>
      <c r="O37" s="190"/>
      <c r="P37" s="190" t="n">
        <v>1.425</v>
      </c>
      <c r="Q37" s="190"/>
      <c r="R37" s="190"/>
      <c r="S37" s="190" t="n">
        <v>62</v>
      </c>
      <c r="T37" s="184" t="n">
        <v>0.021</v>
      </c>
      <c r="U37" s="184" t="n">
        <v>0.020520977588884</v>
      </c>
      <c r="X37" s="182" t="n">
        <v>29.999</v>
      </c>
      <c r="Y37" s="182" t="n">
        <v>29.3147050804253</v>
      </c>
      <c r="Z37" s="184" t="n">
        <v>2.039</v>
      </c>
      <c r="AA37" s="184" t="n">
        <v>1.99248920493974</v>
      </c>
      <c r="AB37" s="182" t="n">
        <v>13.15</v>
      </c>
      <c r="AC37" s="182" t="n">
        <v>12.8500407282774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39"/>
      <c r="G38" s="117" t="n">
        <v>35.6482</v>
      </c>
      <c r="H38" s="131" t="n">
        <v>100</v>
      </c>
      <c r="I38" s="119" t="n">
        <v>99</v>
      </c>
      <c r="J38" s="191"/>
      <c r="K38" s="191"/>
      <c r="L38" s="191"/>
      <c r="M38" s="191"/>
      <c r="N38" s="191"/>
      <c r="O38" s="191"/>
      <c r="P38" s="191" t="n">
        <v>3.209</v>
      </c>
      <c r="Q38" s="191"/>
      <c r="R38" s="191"/>
      <c r="S38" s="191" t="n">
        <v>139.7</v>
      </c>
      <c r="T38" s="184" t="n">
        <v>0.016</v>
      </c>
      <c r="U38" s="184" t="n">
        <v>0.0156350305439116</v>
      </c>
      <c r="X38" s="182" t="n">
        <v>13.804</v>
      </c>
      <c r="Y38" s="182" t="n">
        <v>13.4891226017598</v>
      </c>
      <c r="Z38" s="184" t="n">
        <v>1.093</v>
      </c>
      <c r="AA38" s="184" t="n">
        <v>1.06806802403096</v>
      </c>
      <c r="AB38" s="182" t="n">
        <v>5.11</v>
      </c>
      <c r="AC38" s="182" t="n">
        <v>4.99343787996178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6.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29"/>
      <c r="G39" s="117" t="n">
        <v>35.6812</v>
      </c>
      <c r="H39" s="131" t="n">
        <v>80</v>
      </c>
      <c r="I39" s="119" t="n">
        <v>79</v>
      </c>
      <c r="J39" s="190"/>
      <c r="K39" s="190"/>
      <c r="L39" s="190"/>
      <c r="M39" s="190"/>
      <c r="N39" s="190"/>
      <c r="O39" s="190"/>
      <c r="P39" s="190" t="n">
        <v>3.246</v>
      </c>
      <c r="Q39" s="190"/>
      <c r="R39" s="190"/>
      <c r="S39" s="190" t="n">
        <v>141.3</v>
      </c>
      <c r="T39" s="184" t="n">
        <v>0.541</v>
      </c>
      <c r="U39" s="184" t="n">
        <v>0.528659470266012</v>
      </c>
      <c r="X39" s="182" t="n">
        <v>13.279</v>
      </c>
      <c r="Y39" s="182" t="n">
        <v>12.9760981620377</v>
      </c>
      <c r="Z39" s="184" t="n">
        <v>1.089</v>
      </c>
      <c r="AA39" s="184" t="n">
        <v>1.06415926639499</v>
      </c>
      <c r="AB39" s="182" t="n">
        <v>4.14</v>
      </c>
      <c r="AC39" s="182" t="n">
        <v>4.04556415323714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29"/>
      <c r="G40" s="117" t="n">
        <v>35.7996</v>
      </c>
      <c r="H40" s="118" t="n">
        <v>60</v>
      </c>
      <c r="I40" s="119" t="n">
        <v>59</v>
      </c>
      <c r="J40" s="190"/>
      <c r="K40" s="190"/>
      <c r="L40" s="190"/>
      <c r="M40" s="190"/>
      <c r="N40" s="190"/>
      <c r="O40" s="190"/>
      <c r="P40" s="190" t="n">
        <v>2.796</v>
      </c>
      <c r="Q40" s="190"/>
      <c r="R40" s="190"/>
      <c r="S40" s="190" t="n">
        <v>121.7</v>
      </c>
      <c r="T40" s="184" t="n">
        <v>0.052</v>
      </c>
      <c r="U40" s="184" t="n">
        <v>0.0508138492677128</v>
      </c>
      <c r="X40" s="182" t="n">
        <v>13.688</v>
      </c>
      <c r="Y40" s="182" t="n">
        <v>13.3757686303164</v>
      </c>
      <c r="Z40" s="184" t="n">
        <v>1.067</v>
      </c>
      <c r="AA40" s="184" t="n">
        <v>1.04266109939711</v>
      </c>
      <c r="AB40" s="182" t="n">
        <v>4.91</v>
      </c>
      <c r="AC40" s="182" t="n">
        <v>4.79799999816288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29"/>
      <c r="G41" s="117" t="n">
        <v>35.9444</v>
      </c>
      <c r="H41" s="131" t="n">
        <v>40</v>
      </c>
      <c r="I41" s="119" t="n">
        <v>40</v>
      </c>
      <c r="J41" s="190"/>
      <c r="K41" s="190"/>
      <c r="L41" s="190"/>
      <c r="M41" s="190"/>
      <c r="N41" s="190"/>
      <c r="O41" s="190"/>
      <c r="P41" s="190" t="n">
        <v>4.588</v>
      </c>
      <c r="Q41" s="190"/>
      <c r="R41" s="190"/>
      <c r="S41" s="190" t="n">
        <v>200</v>
      </c>
      <c r="T41" s="184" t="n">
        <v>0.13</v>
      </c>
      <c r="U41" s="184" t="n">
        <v>0.127034623169282</v>
      </c>
      <c r="X41" s="182" t="n">
        <v>0.84</v>
      </c>
      <c r="Y41" s="182" t="n">
        <v>0.820839103555361</v>
      </c>
      <c r="Z41" s="184" t="n">
        <v>0.244</v>
      </c>
      <c r="AA41" s="184" t="n">
        <v>0.238434215794652</v>
      </c>
      <c r="AB41" s="182" t="n">
        <v>1.15</v>
      </c>
      <c r="AC41" s="182" t="n">
        <v>1.12376782034365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29"/>
      <c r="G42" s="117" t="n">
        <v>35.6246</v>
      </c>
      <c r="H42" s="131" t="n">
        <v>20</v>
      </c>
      <c r="I42" s="119" t="n">
        <v>19</v>
      </c>
      <c r="J42" s="190"/>
      <c r="K42" s="190"/>
      <c r="L42" s="190"/>
      <c r="M42" s="190"/>
      <c r="N42" s="190"/>
      <c r="O42" s="190"/>
      <c r="P42" s="190" t="n">
        <v>4.683</v>
      </c>
      <c r="Q42" s="190"/>
      <c r="R42" s="190"/>
      <c r="S42" s="190" t="n">
        <v>204.4</v>
      </c>
      <c r="T42" s="184" t="n">
        <v>0.021</v>
      </c>
      <c r="U42" s="184" t="n">
        <v>0.020520977588884</v>
      </c>
      <c r="X42" s="182" t="n">
        <v>0.099</v>
      </c>
      <c r="Y42" s="182" t="n">
        <v>0.0967417514904533</v>
      </c>
      <c r="Z42" s="184" t="n">
        <v>0.077</v>
      </c>
      <c r="AA42" s="184" t="n">
        <v>0.0752435844925747</v>
      </c>
      <c r="AB42" s="182" t="n">
        <v>0.56</v>
      </c>
      <c r="AC42" s="182" t="n">
        <v>0.547226069036907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29"/>
      <c r="G43" s="117" t="n">
        <v>35.6255</v>
      </c>
      <c r="H43" s="131" t="n">
        <v>20</v>
      </c>
      <c r="I43" s="119" t="n">
        <v>19</v>
      </c>
      <c r="J43" s="190"/>
      <c r="K43" s="190"/>
      <c r="L43" s="190"/>
      <c r="M43" s="190"/>
      <c r="N43" s="190"/>
      <c r="O43" s="190"/>
      <c r="P43" s="190" t="n">
        <v>4.705</v>
      </c>
      <c r="Q43" s="190"/>
      <c r="R43" s="190"/>
      <c r="S43" s="190" t="n">
        <v>205.3</v>
      </c>
      <c r="T43" s="184" t="n">
        <v>0.009</v>
      </c>
      <c r="U43" s="184" t="n">
        <v>0.0087947046809503</v>
      </c>
      <c r="X43" s="182" t="n">
        <v>0.121</v>
      </c>
      <c r="Y43" s="182" t="n">
        <v>0.118239918488332</v>
      </c>
      <c r="Z43" s="184" t="n">
        <v>0.104</v>
      </c>
      <c r="AA43" s="184" t="n">
        <v>0.101627698535426</v>
      </c>
      <c r="AB43" s="182" t="n">
        <v>0.49</v>
      </c>
      <c r="AC43" s="182" t="n">
        <v>0.478822810407294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29"/>
      <c r="G44" s="117" t="n">
        <v>35.6043</v>
      </c>
      <c r="H44" s="131" t="n">
        <v>10</v>
      </c>
      <c r="I44" s="119" t="n">
        <v>9.3</v>
      </c>
      <c r="J44" s="190"/>
      <c r="K44" s="190"/>
      <c r="L44" s="190"/>
      <c r="M44" s="190"/>
      <c r="N44" s="190"/>
      <c r="O44" s="190"/>
      <c r="P44" s="190" t="n">
        <v>4.673</v>
      </c>
      <c r="Q44" s="190"/>
      <c r="R44" s="190"/>
      <c r="S44" s="190" t="n">
        <v>203.9</v>
      </c>
      <c r="T44" s="184" t="n">
        <v>0.014</v>
      </c>
      <c r="U44" s="184" t="n">
        <v>0.0136806517259227</v>
      </c>
      <c r="X44" s="182" t="n">
        <v>0.126</v>
      </c>
      <c r="Y44" s="182" t="n">
        <v>0.123125865533304</v>
      </c>
      <c r="Z44" s="184" t="n">
        <v>0.073</v>
      </c>
      <c r="AA44" s="184" t="n">
        <v>0.0713348268565968</v>
      </c>
      <c r="AB44" s="182" t="n">
        <v>0.52</v>
      </c>
      <c r="AC44" s="182" t="n">
        <v>0.508138492677128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29"/>
      <c r="G45" s="117" t="n">
        <v>35.6023</v>
      </c>
      <c r="H45" s="131" t="n">
        <v>0</v>
      </c>
      <c r="I45" s="119" t="n">
        <v>0.5</v>
      </c>
      <c r="J45" s="190"/>
      <c r="K45" s="190"/>
      <c r="L45" s="190"/>
      <c r="M45" s="190"/>
      <c r="N45" s="190"/>
      <c r="O45" s="190"/>
      <c r="P45" s="190" t="n">
        <v>4.655</v>
      </c>
      <c r="Q45" s="190"/>
      <c r="R45" s="190"/>
      <c r="S45" s="190" t="n">
        <v>203.2</v>
      </c>
      <c r="T45" s="184" t="n">
        <v>0.017</v>
      </c>
      <c r="U45" s="184" t="n">
        <v>0.0166122199529061</v>
      </c>
      <c r="X45" s="182" t="n">
        <v>0.123</v>
      </c>
      <c r="Y45" s="182" t="n">
        <v>0.120194297306321</v>
      </c>
      <c r="Z45" s="184" t="n">
        <v>0.051</v>
      </c>
      <c r="AA45" s="184" t="n">
        <v>0.0498366598587183</v>
      </c>
      <c r="AB45" s="182" t="n">
        <v>0.39</v>
      </c>
      <c r="AC45" s="182" t="n">
        <v>0.381103869507846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5"/>
      <c r="H46" s="145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32"/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S46" s="132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4"/>
      <c r="H47" s="154"/>
      <c r="I47" s="154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Flac.",#REF!/M47)))))))))</f>
        <v/>
      </c>
      <c r="S47" s="132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4"/>
      <c r="H48" s="154"/>
      <c r="I48" s="154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Flac.",#REF!/M48)))))))))</f>
        <v/>
      </c>
      <c r="S48" s="132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5" activeCellId="1" sqref="U45 T35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0.59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-1°0,59</v>
      </c>
      <c r="P9" s="29" t="s">
        <v>16</v>
      </c>
      <c r="Q9" s="33" t="n">
        <f aca="false">IF(ISBLANK(I9),"",IF(ISBLANK(J9),"",IF(J9&gt;60,"ERREUR !!",O11*(I9+(J9/60)))))</f>
        <v>-1.00983333333333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19.6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2°19,6</v>
      </c>
      <c r="P10" s="29" t="s">
        <v>14</v>
      </c>
      <c r="Q10" s="33" t="n">
        <f aca="false">IF(ISBLANK(I10),"",IF(ISBLANK(J10),"",IF(J10&gt;60,"ERREUR !!",O12*(I10+(J10/60)))))</f>
        <v>2.32666666666667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37588</v>
      </c>
      <c r="K11" s="38"/>
      <c r="L11" s="38"/>
      <c r="M11" s="38"/>
      <c r="N11" s="39" t="str">
        <f aca="false">I9&amp;"°"&amp;J9</f>
        <v>1°0,59</v>
      </c>
      <c r="O11" s="40" t="n">
        <f aca="false">IF(P9=M10,-1,1)</f>
        <v>-1</v>
      </c>
      <c r="P11" s="41" t="str">
        <f aca="false">TEXT(J11,"aaaa-mm-jj")&amp;"T"&amp;TEXT(J12,"hh:mm:ss")&amp;"z"</f>
        <v>2006-11-29T01:00:00z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0.0416666666666667</v>
      </c>
      <c r="K12" s="45"/>
      <c r="L12" s="45"/>
      <c r="M12" s="45"/>
      <c r="N12" s="46" t="str">
        <f aca="false">I10&amp;"°"&amp;J10</f>
        <v>2°19,6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5"/>
      <c r="G35" s="117" t="n">
        <v>34.6164</v>
      </c>
      <c r="H35" s="118" t="n">
        <v>1000</v>
      </c>
      <c r="I35" s="119" t="n">
        <v>1006</v>
      </c>
      <c r="J35" s="189"/>
      <c r="K35" s="189"/>
      <c r="L35" s="189"/>
      <c r="M35" s="189"/>
      <c r="N35" s="189"/>
      <c r="O35" s="189"/>
      <c r="P35" s="189" t="n">
        <v>3.493</v>
      </c>
      <c r="Q35" s="189"/>
      <c r="R35" s="189"/>
      <c r="S35" s="189" t="n">
        <v>151.9</v>
      </c>
      <c r="T35" s="184" t="n">
        <v>0.013</v>
      </c>
      <c r="U35" s="184" t="n">
        <v>0.0127034623169282</v>
      </c>
      <c r="X35" s="182" t="n">
        <v>33.977</v>
      </c>
      <c r="Y35" s="182" t="n">
        <v>33.2019645494054</v>
      </c>
      <c r="Z35" s="184" t="n">
        <v>2.307</v>
      </c>
      <c r="AA35" s="184" t="n">
        <v>2.25437596655026</v>
      </c>
      <c r="AB35" s="182" t="n">
        <v>32.24</v>
      </c>
      <c r="AC35" s="182" t="n">
        <v>31.504586545982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29"/>
      <c r="G36" s="117" t="n">
        <v>34.5606</v>
      </c>
      <c r="H36" s="131" t="n">
        <v>600</v>
      </c>
      <c r="I36" s="119" t="n">
        <v>597</v>
      </c>
      <c r="J36" s="190"/>
      <c r="K36" s="190"/>
      <c r="L36" s="190"/>
      <c r="M36" s="190"/>
      <c r="N36" s="190"/>
      <c r="O36" s="190"/>
      <c r="P36" s="190" t="n">
        <v>2.858</v>
      </c>
      <c r="Q36" s="190"/>
      <c r="R36" s="190"/>
      <c r="S36" s="190" t="n">
        <v>124.3</v>
      </c>
      <c r="T36" s="184" t="n">
        <v>0.012</v>
      </c>
      <c r="U36" s="184" t="n">
        <v>0.0117262729079337</v>
      </c>
      <c r="X36" s="182" t="n">
        <v>35.178</v>
      </c>
      <c r="Y36" s="182" t="n">
        <v>34.3755690296077</v>
      </c>
      <c r="Z36" s="184" t="n">
        <v>2.329</v>
      </c>
      <c r="AA36" s="184" t="n">
        <v>2.27587413354814</v>
      </c>
      <c r="AB36" s="182" t="n">
        <v>23.7</v>
      </c>
      <c r="AC36" s="182" t="n">
        <v>23.1593889931691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29"/>
      <c r="G37" s="117" t="n">
        <v>34.9932</v>
      </c>
      <c r="H37" s="131" t="n">
        <v>300</v>
      </c>
      <c r="I37" s="119" t="n">
        <v>299</v>
      </c>
      <c r="J37" s="190"/>
      <c r="K37" s="190"/>
      <c r="L37" s="190"/>
      <c r="M37" s="190"/>
      <c r="N37" s="190"/>
      <c r="O37" s="190"/>
      <c r="P37" s="190" t="n">
        <v>1.64</v>
      </c>
      <c r="Q37" s="190"/>
      <c r="R37" s="190"/>
      <c r="S37" s="190" t="n">
        <v>71.4</v>
      </c>
      <c r="T37" s="184" t="n">
        <v>0.012</v>
      </c>
      <c r="U37" s="184" t="n">
        <v>0.0117262729079337</v>
      </c>
      <c r="X37" s="182" t="n">
        <v>31.178</v>
      </c>
      <c r="Y37" s="182" t="n">
        <v>30.4668113936298</v>
      </c>
      <c r="Z37" s="184" t="n">
        <v>1.959</v>
      </c>
      <c r="AA37" s="184" t="n">
        <v>1.91431405222018</v>
      </c>
      <c r="AB37" s="182" t="n">
        <v>13.02</v>
      </c>
      <c r="AC37" s="182" t="n">
        <v>12.7230061051081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39"/>
      <c r="G38" s="117" t="n">
        <v>35.6652</v>
      </c>
      <c r="H38" s="131" t="n">
        <v>100</v>
      </c>
      <c r="I38" s="119" t="n">
        <v>99</v>
      </c>
      <c r="J38" s="191"/>
      <c r="K38" s="191"/>
      <c r="L38" s="191"/>
      <c r="M38" s="191"/>
      <c r="N38" s="191"/>
      <c r="O38" s="191"/>
      <c r="P38" s="191" t="n">
        <v>3.336</v>
      </c>
      <c r="Q38" s="191"/>
      <c r="R38" s="191"/>
      <c r="S38" s="191" t="n">
        <v>145.2</v>
      </c>
      <c r="T38" s="184" t="n">
        <v>0.0445</v>
      </c>
      <c r="U38" s="184" t="n">
        <v>0.0434849287002543</v>
      </c>
      <c r="X38" s="182" t="n">
        <v>13.3305</v>
      </c>
      <c r="Y38" s="182" t="n">
        <v>13.0264234166009</v>
      </c>
      <c r="Z38" s="184" t="n">
        <v>1.019</v>
      </c>
      <c r="AA38" s="184" t="n">
        <v>0.995756007765372</v>
      </c>
      <c r="AB38" s="182" t="n">
        <v>4.84</v>
      </c>
      <c r="AC38" s="182" t="n">
        <v>4.72959673953327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6.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29"/>
      <c r="G39" s="117" t="n">
        <v>35.7097</v>
      </c>
      <c r="H39" s="131" t="n">
        <v>80</v>
      </c>
      <c r="I39" s="119" t="n">
        <v>79</v>
      </c>
      <c r="J39" s="190"/>
      <c r="K39" s="190"/>
      <c r="L39" s="190"/>
      <c r="M39" s="190"/>
      <c r="N39" s="190"/>
      <c r="O39" s="190"/>
      <c r="P39" s="190" t="n">
        <v>3.375</v>
      </c>
      <c r="Q39" s="190"/>
      <c r="R39" s="190"/>
      <c r="S39" s="190" t="n">
        <v>146.9</v>
      </c>
      <c r="T39" s="184" t="n">
        <v>0.067</v>
      </c>
      <c r="U39" s="184" t="n">
        <v>0.06547169040263</v>
      </c>
      <c r="X39" s="182" t="n">
        <v>12.803</v>
      </c>
      <c r="Y39" s="182" t="n">
        <v>12.5109560033563</v>
      </c>
      <c r="Z39" s="184" t="n">
        <v>0.984</v>
      </c>
      <c r="AA39" s="184" t="n">
        <v>0.961554378450566</v>
      </c>
      <c r="AB39" s="182" t="n">
        <v>4.62</v>
      </c>
      <c r="AC39" s="182" t="n">
        <v>4.51461506955449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29"/>
      <c r="G40" s="117" t="n">
        <v>35.7752</v>
      </c>
      <c r="H40" s="118" t="n">
        <v>60</v>
      </c>
      <c r="I40" s="119" t="n">
        <v>59</v>
      </c>
      <c r="J40" s="190"/>
      <c r="K40" s="190"/>
      <c r="L40" s="190"/>
      <c r="M40" s="190"/>
      <c r="N40" s="190"/>
      <c r="O40" s="190"/>
      <c r="P40" s="190" t="n">
        <v>3.119</v>
      </c>
      <c r="Q40" s="190"/>
      <c r="R40" s="190"/>
      <c r="S40" s="190" t="n">
        <v>135.8</v>
      </c>
      <c r="T40" s="184" t="n">
        <v>0.171</v>
      </c>
      <c r="U40" s="184" t="n">
        <v>0.167099388938056</v>
      </c>
      <c r="X40" s="182" t="n">
        <v>12.889</v>
      </c>
      <c r="Y40" s="182" t="n">
        <v>12.5949942925298</v>
      </c>
      <c r="Z40" s="184" t="n">
        <v>1.007</v>
      </c>
      <c r="AA40" s="184" t="n">
        <v>0.984029734857439</v>
      </c>
      <c r="AB40" s="182" t="n">
        <v>4.39</v>
      </c>
      <c r="AC40" s="182" t="n">
        <v>4.28986150548576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29"/>
      <c r="G41" s="117" t="n">
        <v>35.9883</v>
      </c>
      <c r="H41" s="131" t="n">
        <v>40</v>
      </c>
      <c r="I41" s="119" t="n">
        <v>39</v>
      </c>
      <c r="J41" s="190"/>
      <c r="K41" s="190"/>
      <c r="L41" s="190"/>
      <c r="M41" s="190"/>
      <c r="N41" s="190"/>
      <c r="O41" s="190"/>
      <c r="P41" s="190" t="n">
        <v>3.654</v>
      </c>
      <c r="Q41" s="190"/>
      <c r="R41" s="190"/>
      <c r="S41" s="190" t="n">
        <v>159.2</v>
      </c>
      <c r="T41" s="184" t="n">
        <v>0.483</v>
      </c>
      <c r="U41" s="184" t="n">
        <v>0.471982484544333</v>
      </c>
      <c r="X41" s="182" t="n">
        <v>6.387</v>
      </c>
      <c r="Y41" s="182" t="n">
        <v>6.24130875524773</v>
      </c>
      <c r="Z41" s="184" t="n">
        <v>0.612</v>
      </c>
      <c r="AA41" s="184" t="n">
        <v>0.59803991830462</v>
      </c>
      <c r="AB41" s="182" t="n">
        <v>2.19</v>
      </c>
      <c r="AC41" s="182" t="n">
        <v>2.14004480569791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29"/>
      <c r="G42" s="117" t="n">
        <v>35.5798</v>
      </c>
      <c r="H42" s="131" t="n">
        <v>20</v>
      </c>
      <c r="I42" s="119" t="n">
        <v>20</v>
      </c>
      <c r="J42" s="190"/>
      <c r="K42" s="190"/>
      <c r="L42" s="190"/>
      <c r="M42" s="190"/>
      <c r="N42" s="190"/>
      <c r="O42" s="190"/>
      <c r="P42" s="190" t="n">
        <v>4.6</v>
      </c>
      <c r="Q42" s="190"/>
      <c r="R42" s="190"/>
      <c r="S42" s="190" t="n">
        <v>200.7</v>
      </c>
      <c r="T42" s="184" t="n">
        <v>0.044</v>
      </c>
      <c r="U42" s="184" t="n">
        <v>0.042996333995757</v>
      </c>
      <c r="X42" s="182" t="n">
        <v>0.266</v>
      </c>
      <c r="Y42" s="182" t="n">
        <v>0.259932382792531</v>
      </c>
      <c r="Z42" s="184" t="n">
        <v>0.072</v>
      </c>
      <c r="AA42" s="184" t="n">
        <v>0.0703576374476024</v>
      </c>
      <c r="AB42" s="182" t="n">
        <v>0.49</v>
      </c>
      <c r="AC42" s="182" t="n">
        <v>0.478822810407294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29"/>
      <c r="G43" s="117" t="n">
        <v>35.297</v>
      </c>
      <c r="H43" s="131" t="n">
        <v>20</v>
      </c>
      <c r="I43" s="119" t="n">
        <v>10</v>
      </c>
      <c r="J43" s="190"/>
      <c r="K43" s="190"/>
      <c r="L43" s="190"/>
      <c r="M43" s="190"/>
      <c r="N43" s="190"/>
      <c r="O43" s="190"/>
      <c r="P43" s="190" t="n">
        <v>4.661</v>
      </c>
      <c r="Q43" s="190"/>
      <c r="R43" s="190"/>
      <c r="S43" s="190" t="n">
        <v>203.5</v>
      </c>
      <c r="T43" s="184" t="n">
        <v>0.016</v>
      </c>
      <c r="U43" s="184" t="n">
        <v>0.0156350305439116</v>
      </c>
      <c r="X43" s="182" t="n">
        <v>0.094</v>
      </c>
      <c r="Y43" s="182" t="n">
        <v>0.0918558044454809</v>
      </c>
      <c r="Z43" s="184" t="n">
        <v>0.012</v>
      </c>
      <c r="AA43" s="184" t="n">
        <v>0.0117262729079337</v>
      </c>
      <c r="AB43" s="182" t="n">
        <v>0.22</v>
      </c>
      <c r="AC43" s="182" t="n">
        <v>0.214981669978785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29"/>
      <c r="G44" s="117" t="n">
        <v>35.2374</v>
      </c>
      <c r="H44" s="131" t="n">
        <v>0</v>
      </c>
      <c r="I44" s="119" t="n">
        <v>0.3</v>
      </c>
      <c r="J44" s="190"/>
      <c r="K44" s="190"/>
      <c r="L44" s="190"/>
      <c r="M44" s="190"/>
      <c r="N44" s="190"/>
      <c r="O44" s="190"/>
      <c r="P44" s="190" t="n">
        <v>4.649</v>
      </c>
      <c r="Q44" s="190"/>
      <c r="R44" s="190"/>
      <c r="S44" s="190" t="n">
        <v>203</v>
      </c>
      <c r="T44" s="184" t="n">
        <v>0.022</v>
      </c>
      <c r="U44" s="184" t="n">
        <v>0.0214981669978785</v>
      </c>
      <c r="X44" s="182" t="n">
        <v>0.158</v>
      </c>
      <c r="Y44" s="182" t="n">
        <v>0.154395926621127</v>
      </c>
      <c r="Z44" s="184" t="n">
        <v>0.00799999999999999</v>
      </c>
      <c r="AA44" s="184" t="n">
        <v>0.00781751527195581</v>
      </c>
      <c r="AB44" s="182" t="n">
        <v>0.25</v>
      </c>
      <c r="AC44" s="182" t="n">
        <v>0.244297352248619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29"/>
      <c r="G45" s="117" t="n">
        <v>35.2368</v>
      </c>
      <c r="H45" s="131" t="n">
        <v>0</v>
      </c>
      <c r="I45" s="119" t="n">
        <v>0.3</v>
      </c>
      <c r="J45" s="190"/>
      <c r="K45" s="190"/>
      <c r="L45" s="190"/>
      <c r="M45" s="190"/>
      <c r="N45" s="190"/>
      <c r="O45" s="190"/>
      <c r="P45" s="190" t="n">
        <v>4.619</v>
      </c>
      <c r="Q45" s="190"/>
      <c r="R45" s="190"/>
      <c r="S45" s="190" t="n">
        <v>201.7</v>
      </c>
      <c r="T45" s="184" t="n">
        <v>0.021</v>
      </c>
      <c r="U45" s="184" t="n">
        <v>0.020520977588884</v>
      </c>
      <c r="X45" s="182" t="n">
        <v>0.119</v>
      </c>
      <c r="Y45" s="182" t="n">
        <v>0.116285539670343</v>
      </c>
      <c r="Z45" s="184" t="n">
        <v>0.012</v>
      </c>
      <c r="AA45" s="184" t="n">
        <v>0.0117262729079337</v>
      </c>
      <c r="AB45" s="182" t="n">
        <v>0.24</v>
      </c>
      <c r="AC45" s="182" t="n">
        <v>0.234525458158675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5"/>
      <c r="H46" s="145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32"/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S46" s="132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4"/>
      <c r="H47" s="154"/>
      <c r="I47" s="154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Flac.",#REF!/M47)))))))))</f>
        <v/>
      </c>
      <c r="S47" s="132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4"/>
      <c r="H48" s="154"/>
      <c r="I48" s="154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Flac.",#REF!/M48)))))))))</f>
        <v/>
      </c>
      <c r="S48" s="132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5" activeCellId="1" sqref="U45 T35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29.87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-0°29,87</v>
      </c>
      <c r="P9" s="29" t="s">
        <v>16</v>
      </c>
      <c r="Q9" s="33" t="n">
        <f aca="false">IF(ISBLANK(I9),"",IF(ISBLANK(J9),"",IF(J9&gt;60,"ERREUR !!",O11*(I9+(J9/60)))))</f>
        <v>-0.497833333333333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19.99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2°19,99</v>
      </c>
      <c r="P10" s="29" t="s">
        <v>14</v>
      </c>
      <c r="Q10" s="33" t="n">
        <f aca="false">IF(ISBLANK(I10),"",IF(ISBLANK(J10),"",IF(J10&gt;60,"ERREUR !!",O12*(I10+(J10/60)))))</f>
        <v>2.33316666666667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37588</v>
      </c>
      <c r="K11" s="38"/>
      <c r="L11" s="38"/>
      <c r="M11" s="38"/>
      <c r="N11" s="39" t="str">
        <f aca="false">I9&amp;"°"&amp;J9</f>
        <v>0°29,87</v>
      </c>
      <c r="O11" s="40" t="n">
        <f aca="false">IF(P9=M10,-1,1)</f>
        <v>-1</v>
      </c>
      <c r="P11" s="41" t="str">
        <f aca="false">TEXT(J11,"aaaa-mm-jj")&amp;"T"&amp;TEXT(J12,"hh:mm:ss")&amp;"z"</f>
        <v>2006-11-29T05:30:00z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0.229166666666667</v>
      </c>
      <c r="K12" s="45"/>
      <c r="L12" s="45"/>
      <c r="M12" s="45"/>
      <c r="N12" s="46" t="str">
        <f aca="false">I10&amp;"°"&amp;J10</f>
        <v>2°19,99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5"/>
      <c r="G35" s="117" t="n">
        <v>34.6156</v>
      </c>
      <c r="H35" s="118" t="n">
        <v>1000</v>
      </c>
      <c r="I35" s="119" t="n">
        <v>1003</v>
      </c>
      <c r="J35" s="189"/>
      <c r="K35" s="189"/>
      <c r="L35" s="189"/>
      <c r="M35" s="189"/>
      <c r="N35" s="189"/>
      <c r="O35" s="189"/>
      <c r="P35" s="189" t="n">
        <v>3.493</v>
      </c>
      <c r="Q35" s="189"/>
      <c r="R35" s="189"/>
      <c r="S35" s="189" t="n">
        <v>151.9</v>
      </c>
      <c r="T35" s="184" t="n">
        <v>0.011</v>
      </c>
      <c r="U35" s="184" t="n">
        <v>0.0107490834989393</v>
      </c>
      <c r="X35" s="182" t="n">
        <v>33.539</v>
      </c>
      <c r="Y35" s="182" t="n">
        <v>32.7739555882658</v>
      </c>
      <c r="Z35" s="184" t="n">
        <v>2.417</v>
      </c>
      <c r="AA35" s="184" t="n">
        <v>2.36186680153965</v>
      </c>
      <c r="AB35" s="182" t="n">
        <v>31.96</v>
      </c>
      <c r="AC35" s="182" t="n">
        <v>31.2309735114635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29"/>
      <c r="G36" s="117" t="n">
        <v>34.6164</v>
      </c>
      <c r="H36" s="118" t="n">
        <v>1000</v>
      </c>
      <c r="I36" s="119" t="n">
        <v>1003</v>
      </c>
      <c r="J36" s="190"/>
      <c r="K36" s="190"/>
      <c r="L36" s="190"/>
      <c r="M36" s="190"/>
      <c r="N36" s="190"/>
      <c r="O36" s="190"/>
      <c r="P36" s="190" t="n">
        <v>2.858</v>
      </c>
      <c r="Q36" s="190"/>
      <c r="R36" s="190"/>
      <c r="S36" s="190" t="n">
        <v>124.3</v>
      </c>
      <c r="T36" s="184" t="n">
        <v>0.002</v>
      </c>
      <c r="U36" s="184" t="n">
        <v>0.00195437881798896</v>
      </c>
      <c r="X36" s="182" t="n">
        <v>33.688</v>
      </c>
      <c r="Y36" s="182" t="n">
        <v>32.9195568102059</v>
      </c>
      <c r="Z36" s="184" t="n">
        <v>2.404</v>
      </c>
      <c r="AA36" s="184" t="n">
        <v>2.34916333922272</v>
      </c>
      <c r="AB36" s="182" t="n">
        <v>31.64</v>
      </c>
      <c r="AC36" s="182" t="n">
        <v>30.9182729005853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29"/>
      <c r="G37" s="117" t="n">
        <v>34.5616</v>
      </c>
      <c r="H37" s="131" t="n">
        <v>600</v>
      </c>
      <c r="I37" s="119" t="n">
        <v>599</v>
      </c>
      <c r="J37" s="190"/>
      <c r="K37" s="190"/>
      <c r="L37" s="190"/>
      <c r="M37" s="190"/>
      <c r="N37" s="190"/>
      <c r="O37" s="190"/>
      <c r="P37" s="190" t="n">
        <v>1.64</v>
      </c>
      <c r="Q37" s="190"/>
      <c r="R37" s="190"/>
      <c r="S37" s="190" t="n">
        <v>71.4</v>
      </c>
      <c r="T37" s="184" t="n">
        <v>0.0055</v>
      </c>
      <c r="U37" s="184" t="n">
        <v>0.00537454174946963</v>
      </c>
      <c r="X37" s="182" t="n">
        <v>35.1545</v>
      </c>
      <c r="Y37" s="182" t="n">
        <v>34.3526050784964</v>
      </c>
      <c r="Z37" s="184" t="n">
        <v>2.445</v>
      </c>
      <c r="AA37" s="184" t="n">
        <v>2.3892281049915</v>
      </c>
      <c r="AB37" s="182" t="n">
        <v>23.545</v>
      </c>
      <c r="AC37" s="182" t="n">
        <v>23.007924634775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39"/>
      <c r="G38" s="117" t="n">
        <v>35.0725</v>
      </c>
      <c r="H38" s="131" t="n">
        <v>300</v>
      </c>
      <c r="I38" s="119" t="n">
        <v>300</v>
      </c>
      <c r="J38" s="191"/>
      <c r="K38" s="191"/>
      <c r="L38" s="191"/>
      <c r="M38" s="191"/>
      <c r="N38" s="191"/>
      <c r="O38" s="191"/>
      <c r="P38" s="191" t="n">
        <v>3.336</v>
      </c>
      <c r="Q38" s="191"/>
      <c r="R38" s="191"/>
      <c r="S38" s="191" t="n">
        <v>145.2</v>
      </c>
      <c r="T38" s="124" t="n">
        <v>0.008</v>
      </c>
      <c r="U38" s="184" t="n">
        <v>0.00781751527195582</v>
      </c>
      <c r="X38" s="125" t="n">
        <v>30.982</v>
      </c>
      <c r="Y38" s="182" t="n">
        <v>30.2752822694669</v>
      </c>
      <c r="Z38" s="124" t="n">
        <v>2.031</v>
      </c>
      <c r="AA38" s="184" t="n">
        <v>1.98467168966778</v>
      </c>
      <c r="AB38" s="125" t="n">
        <v>12.54</v>
      </c>
      <c r="AC38" s="182" t="n">
        <v>12.2539551887907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29"/>
      <c r="G39" s="117" t="n">
        <v>35.7535</v>
      </c>
      <c r="H39" s="131" t="n">
        <v>100</v>
      </c>
      <c r="I39" s="119" t="n">
        <v>99.6</v>
      </c>
      <c r="J39" s="190"/>
      <c r="K39" s="190"/>
      <c r="L39" s="190"/>
      <c r="M39" s="190"/>
      <c r="N39" s="190"/>
      <c r="O39" s="190"/>
      <c r="P39" s="190" t="n">
        <v>3.375</v>
      </c>
      <c r="Q39" s="190"/>
      <c r="R39" s="190"/>
      <c r="S39" s="190" t="n">
        <v>146.9</v>
      </c>
      <c r="T39" s="124" t="n">
        <v>0.058</v>
      </c>
      <c r="U39" s="184" t="n">
        <v>0.0566769857216797</v>
      </c>
      <c r="X39" s="125" t="n">
        <v>12.922</v>
      </c>
      <c r="Y39" s="182" t="n">
        <v>12.6272415430266</v>
      </c>
      <c r="Z39" s="124" t="n">
        <v>0.993</v>
      </c>
      <c r="AA39" s="184" t="n">
        <v>0.970349083131516</v>
      </c>
      <c r="AB39" s="125" t="n">
        <v>4.62</v>
      </c>
      <c r="AC39" s="182" t="n">
        <v>4.51461506955449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29"/>
      <c r="G40" s="117" t="n">
        <v>35.8669</v>
      </c>
      <c r="H40" s="131" t="n">
        <v>80</v>
      </c>
      <c r="I40" s="119" t="n">
        <v>78</v>
      </c>
      <c r="J40" s="190"/>
      <c r="K40" s="190"/>
      <c r="L40" s="190"/>
      <c r="M40" s="190"/>
      <c r="N40" s="190"/>
      <c r="O40" s="190"/>
      <c r="P40" s="190" t="n">
        <v>3.119</v>
      </c>
      <c r="Q40" s="190"/>
      <c r="R40" s="190"/>
      <c r="S40" s="190" t="n">
        <v>135.8</v>
      </c>
      <c r="T40" s="124" t="n">
        <v>0.136</v>
      </c>
      <c r="U40" s="184" t="n">
        <v>0.132897759623249</v>
      </c>
      <c r="X40" s="125" t="n">
        <v>10.644</v>
      </c>
      <c r="Y40" s="182" t="n">
        <v>10.4012040693372</v>
      </c>
      <c r="Z40" s="124" t="n">
        <v>0.871</v>
      </c>
      <c r="AA40" s="184" t="n">
        <v>0.85113197523419</v>
      </c>
      <c r="AB40" s="125" t="n">
        <v>3.89</v>
      </c>
      <c r="AC40" s="182" t="n">
        <v>3.80126680098852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29"/>
      <c r="G41" s="117" t="n">
        <v>36.0976</v>
      </c>
      <c r="H41" s="118" t="n">
        <v>60</v>
      </c>
      <c r="I41" s="119" t="n">
        <v>59</v>
      </c>
      <c r="J41" s="190"/>
      <c r="K41" s="190"/>
      <c r="L41" s="190"/>
      <c r="M41" s="190"/>
      <c r="N41" s="190"/>
      <c r="O41" s="190"/>
      <c r="P41" s="190" t="n">
        <v>3.654</v>
      </c>
      <c r="Q41" s="190"/>
      <c r="R41" s="190"/>
      <c r="S41" s="190" t="n">
        <v>159.2</v>
      </c>
      <c r="T41" s="124" t="n">
        <v>0.3</v>
      </c>
      <c r="U41" s="184" t="n">
        <v>0.293156822698343</v>
      </c>
      <c r="X41" s="125" t="n">
        <v>7.9</v>
      </c>
      <c r="Y41" s="182" t="n">
        <v>7.71979633105637</v>
      </c>
      <c r="Z41" s="124" t="n">
        <v>0.728</v>
      </c>
      <c r="AA41" s="184" t="n">
        <v>0.71139388974798</v>
      </c>
      <c r="AB41" s="125" t="n">
        <v>2.76</v>
      </c>
      <c r="AC41" s="182" t="n">
        <v>2.69704276882476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29"/>
      <c r="G42" s="117" t="n">
        <v>36.1408</v>
      </c>
      <c r="H42" s="131" t="n">
        <v>40</v>
      </c>
      <c r="I42" s="119" t="n">
        <v>38.7</v>
      </c>
      <c r="J42" s="190"/>
      <c r="K42" s="190"/>
      <c r="L42" s="190"/>
      <c r="M42" s="190"/>
      <c r="N42" s="190"/>
      <c r="O42" s="190"/>
      <c r="P42" s="190" t="n">
        <v>4.6</v>
      </c>
      <c r="Q42" s="190"/>
      <c r="R42" s="190"/>
      <c r="S42" s="190" t="n">
        <v>200.7</v>
      </c>
      <c r="T42" s="124" t="n">
        <v>0.42</v>
      </c>
      <c r="U42" s="184" t="n">
        <v>0.410419551777681</v>
      </c>
      <c r="X42" s="125" t="n">
        <v>4.13</v>
      </c>
      <c r="Y42" s="182" t="n">
        <v>4.03579225914719</v>
      </c>
      <c r="Z42" s="124" t="n">
        <v>0.477</v>
      </c>
      <c r="AA42" s="184" t="n">
        <v>0.466119348090366</v>
      </c>
      <c r="AB42" s="125" t="n">
        <v>1.88</v>
      </c>
      <c r="AC42" s="182" t="n">
        <v>1.83711608890962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29"/>
      <c r="G43" s="117" t="n">
        <v>35.7506</v>
      </c>
      <c r="H43" s="131" t="n">
        <v>20</v>
      </c>
      <c r="I43" s="119" t="n">
        <v>19</v>
      </c>
      <c r="J43" s="190"/>
      <c r="K43" s="190"/>
      <c r="L43" s="190"/>
      <c r="M43" s="190"/>
      <c r="N43" s="190"/>
      <c r="O43" s="190"/>
      <c r="P43" s="190" t="n">
        <v>4.661</v>
      </c>
      <c r="Q43" s="190"/>
      <c r="R43" s="190"/>
      <c r="S43" s="190" t="n">
        <v>203.5</v>
      </c>
      <c r="T43" s="124" t="n">
        <v>0.132</v>
      </c>
      <c r="U43" s="184" t="n">
        <v>0.128989001987271</v>
      </c>
      <c r="X43" s="125" t="n">
        <v>1.168</v>
      </c>
      <c r="Y43" s="182" t="n">
        <v>1.14135722970555</v>
      </c>
      <c r="Z43" s="124" t="n">
        <v>0.195</v>
      </c>
      <c r="AA43" s="184" t="n">
        <v>0.190551934753923</v>
      </c>
      <c r="AB43" s="125" t="n">
        <v>1.23</v>
      </c>
      <c r="AC43" s="182" t="n">
        <v>1.20194297306321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29"/>
      <c r="G44" s="117" t="n">
        <v>35.0518</v>
      </c>
      <c r="H44" s="131" t="n">
        <v>20</v>
      </c>
      <c r="I44" s="119" t="n">
        <v>9.2</v>
      </c>
      <c r="J44" s="190"/>
      <c r="K44" s="190"/>
      <c r="L44" s="190"/>
      <c r="M44" s="190"/>
      <c r="N44" s="190"/>
      <c r="O44" s="190"/>
      <c r="P44" s="190" t="n">
        <v>4.649</v>
      </c>
      <c r="Q44" s="190"/>
      <c r="R44" s="190"/>
      <c r="S44" s="190" t="n">
        <v>203</v>
      </c>
      <c r="T44" s="124" t="n">
        <v>0.007</v>
      </c>
      <c r="U44" s="184" t="n">
        <v>0.00684032586296134</v>
      </c>
      <c r="X44" s="125" t="n">
        <v>0.133</v>
      </c>
      <c r="Y44" s="182" t="n">
        <v>0.129966191396265</v>
      </c>
      <c r="Z44" s="124" t="n">
        <v>0.019</v>
      </c>
      <c r="AA44" s="184" t="n">
        <v>0.0185665987708951</v>
      </c>
      <c r="AB44" s="125" t="n">
        <v>0.45</v>
      </c>
      <c r="AC44" s="182" t="n">
        <v>0.439735234047515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29"/>
      <c r="G45" s="117" t="n">
        <v>35.0255</v>
      </c>
      <c r="H45" s="131" t="n">
        <v>0</v>
      </c>
      <c r="I45" s="119" t="n">
        <v>0.4</v>
      </c>
      <c r="J45" s="190"/>
      <c r="K45" s="190"/>
      <c r="L45" s="190"/>
      <c r="M45" s="190"/>
      <c r="N45" s="190"/>
      <c r="O45" s="190"/>
      <c r="P45" s="190" t="n">
        <v>4.619</v>
      </c>
      <c r="Q45" s="190"/>
      <c r="R45" s="190"/>
      <c r="S45" s="190" t="n">
        <v>201.7</v>
      </c>
      <c r="T45" s="124" t="n">
        <v>0.005</v>
      </c>
      <c r="U45" s="184" t="n">
        <v>0.00488594704497239</v>
      </c>
      <c r="X45" s="125" t="n">
        <v>0.115</v>
      </c>
      <c r="Y45" s="182" t="n">
        <v>0.112376782034365</v>
      </c>
      <c r="Z45" s="124" t="n">
        <v>0.017</v>
      </c>
      <c r="AA45" s="184" t="n">
        <v>0.0166122199529061</v>
      </c>
      <c r="AB45" s="125" t="n">
        <v>0.5</v>
      </c>
      <c r="AC45" s="182" t="n">
        <v>0.488594704497239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5"/>
      <c r="H46" s="145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32"/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S46" s="132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4"/>
      <c r="H47" s="154"/>
      <c r="I47" s="154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Flac.",#REF!/M47)))))))))</f>
        <v/>
      </c>
      <c r="S47" s="132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4"/>
      <c r="H48" s="154"/>
      <c r="I48" s="154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Flac.",#REF!/M48)))))))))</f>
        <v/>
      </c>
      <c r="S48" s="132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7" activeCellId="1" sqref="U45 T7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0.47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-0°0,47</v>
      </c>
      <c r="P9" s="29" t="s">
        <v>16</v>
      </c>
      <c r="Q9" s="33" t="n">
        <f aca="false">IF(ISBLANK(I9),"",IF(ISBLANK(J9),"",IF(J9&gt;60,"ERREUR !!",O11*(I9+(J9/60)))))</f>
        <v>-0.00783333333333333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19.93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2°19,93</v>
      </c>
      <c r="P10" s="29" t="s">
        <v>14</v>
      </c>
      <c r="Q10" s="33" t="n">
        <f aca="false">IF(ISBLANK(I10),"",IF(ISBLANK(J10),"",IF(J10&gt;60,"ERREUR !!",O12*(I10+(J10/60)))))</f>
        <v>2.33216666666667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37588</v>
      </c>
      <c r="K11" s="38"/>
      <c r="L11" s="38"/>
      <c r="M11" s="38"/>
      <c r="N11" s="39" t="str">
        <f aca="false">I9&amp;"°"&amp;J9</f>
        <v>0°0,47</v>
      </c>
      <c r="O11" s="40" t="n">
        <f aca="false">IF(P9=M10,-1,1)</f>
        <v>-1</v>
      </c>
      <c r="P11" s="41" t="str">
        <f aca="false">TEXT(J11,"aaaa-mm-jj")&amp;"T"&amp;TEXT(J12,"hh:mm:ss")&amp;"z"</f>
        <v>2006-11-29T10:00:00z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0.416666666666667</v>
      </c>
      <c r="K12" s="45"/>
      <c r="L12" s="45"/>
      <c r="M12" s="45"/>
      <c r="N12" s="46" t="str">
        <f aca="false">I10&amp;"°"&amp;J10</f>
        <v>2°19,93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5"/>
      <c r="G35" s="117" t="n">
        <v>34.9602</v>
      </c>
      <c r="H35" s="118" t="n">
        <v>1000</v>
      </c>
      <c r="I35" s="119" t="n">
        <v>2005.5</v>
      </c>
      <c r="J35" s="189"/>
      <c r="K35" s="189"/>
      <c r="L35" s="189"/>
      <c r="M35" s="189"/>
      <c r="N35" s="189"/>
      <c r="O35" s="189"/>
      <c r="P35" s="189" t="n">
        <v>5.615</v>
      </c>
      <c r="Q35" s="189"/>
      <c r="R35" s="189"/>
      <c r="S35" s="189" t="n">
        <v>244.1</v>
      </c>
      <c r="T35" s="124" t="n">
        <v>0.009</v>
      </c>
      <c r="U35" s="184" t="n">
        <v>0.0087947046809503</v>
      </c>
      <c r="X35" s="125" t="n">
        <v>20.861</v>
      </c>
      <c r="Y35" s="182" t="n">
        <v>20.3851482610338</v>
      </c>
      <c r="Z35" s="124" t="n">
        <v>1.491</v>
      </c>
      <c r="AA35" s="184" t="n">
        <v>1.45698940881077</v>
      </c>
      <c r="AB35" s="125" t="n">
        <v>23.95</v>
      </c>
      <c r="AC35" s="182" t="n">
        <v>23.4036863454177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6.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29"/>
      <c r="G36" s="117" t="n">
        <v>34.9529</v>
      </c>
      <c r="H36" s="118" t="n">
        <v>1500</v>
      </c>
      <c r="I36" s="119" t="n">
        <v>1500</v>
      </c>
      <c r="J36" s="190"/>
      <c r="K36" s="190"/>
      <c r="L36" s="190"/>
      <c r="M36" s="190"/>
      <c r="N36" s="190"/>
      <c r="O36" s="190"/>
      <c r="P36" s="190" t="n">
        <v>5.126</v>
      </c>
      <c r="Q36" s="190"/>
      <c r="R36" s="190"/>
      <c r="S36" s="190" t="n">
        <v>222.8</v>
      </c>
      <c r="T36" s="124" t="n">
        <v>0.015</v>
      </c>
      <c r="U36" s="184" t="n">
        <v>0.0146578411349172</v>
      </c>
      <c r="X36" s="125" t="n">
        <v>22.685</v>
      </c>
      <c r="Y36" s="182" t="n">
        <v>22.1675417430397</v>
      </c>
      <c r="Z36" s="124" t="n">
        <v>1.611</v>
      </c>
      <c r="AA36" s="184" t="n">
        <v>1.5742521378901</v>
      </c>
      <c r="AB36" s="125" t="n">
        <v>20.6</v>
      </c>
      <c r="AC36" s="182" t="n">
        <v>20.1301018252862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29"/>
      <c r="G37" s="117" t="n">
        <v>34.6411</v>
      </c>
      <c r="H37" s="118" t="n">
        <v>1000</v>
      </c>
      <c r="I37" s="119" t="n">
        <v>1000</v>
      </c>
      <c r="J37" s="190"/>
      <c r="K37" s="190"/>
      <c r="L37" s="190"/>
      <c r="M37" s="190"/>
      <c r="N37" s="190"/>
      <c r="O37" s="190"/>
      <c r="P37" s="190" t="n">
        <v>3.59</v>
      </c>
      <c r="Q37" s="190"/>
      <c r="R37" s="190"/>
      <c r="S37" s="190" t="n">
        <v>156.1</v>
      </c>
      <c r="T37" s="124" t="n">
        <v>0.01</v>
      </c>
      <c r="U37" s="184" t="n">
        <v>0.00977189408994478</v>
      </c>
      <c r="X37" s="125" t="n">
        <v>33.29</v>
      </c>
      <c r="Y37" s="182" t="n">
        <v>32.5306354254262</v>
      </c>
      <c r="Z37" s="124" t="n">
        <v>2.342</v>
      </c>
      <c r="AA37" s="184" t="n">
        <v>2.28857759586507</v>
      </c>
      <c r="AB37" s="125" t="n">
        <v>31.6</v>
      </c>
      <c r="AC37" s="182" t="n">
        <v>30.8791853242255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39"/>
      <c r="G38" s="117" t="n">
        <v>34.6837</v>
      </c>
      <c r="H38" s="131" t="n">
        <v>500</v>
      </c>
      <c r="I38" s="119" t="n">
        <v>500</v>
      </c>
      <c r="J38" s="191"/>
      <c r="K38" s="191"/>
      <c r="L38" s="191"/>
      <c r="M38" s="191"/>
      <c r="N38" s="191"/>
      <c r="O38" s="191"/>
      <c r="P38" s="191" t="n">
        <v>2.222</v>
      </c>
      <c r="Q38" s="191"/>
      <c r="R38" s="191"/>
      <c r="S38" s="191" t="n">
        <v>96.7</v>
      </c>
      <c r="T38" s="184" t="n">
        <v>0.0065</v>
      </c>
      <c r="U38" s="184" t="n">
        <v>0.00635173115846411</v>
      </c>
      <c r="X38" s="182" t="n">
        <v>35.2385</v>
      </c>
      <c r="Y38" s="182" t="n">
        <v>34.4346889888519</v>
      </c>
      <c r="Z38" s="184" t="n">
        <v>2.3675</v>
      </c>
      <c r="AA38" s="184" t="n">
        <v>2.31349592579443</v>
      </c>
      <c r="AB38" s="182" t="n">
        <v>19.97</v>
      </c>
      <c r="AC38" s="182" t="n">
        <v>19.5144724976197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29"/>
      <c r="G39" s="117" t="n">
        <v>35.7772</v>
      </c>
      <c r="H39" s="131" t="n">
        <v>100</v>
      </c>
      <c r="I39" s="119" t="n">
        <v>99</v>
      </c>
      <c r="J39" s="190"/>
      <c r="K39" s="190"/>
      <c r="L39" s="190"/>
      <c r="M39" s="190"/>
      <c r="N39" s="190"/>
      <c r="O39" s="190"/>
      <c r="P39" s="190" t="n">
        <v>3.577</v>
      </c>
      <c r="Q39" s="190"/>
      <c r="R39" s="190"/>
      <c r="S39" s="190" t="n">
        <v>155.7</v>
      </c>
      <c r="T39" s="124" t="n">
        <v>0.076</v>
      </c>
      <c r="U39" s="184" t="n">
        <v>0.0742663950835803</v>
      </c>
      <c r="X39" s="125" t="n">
        <v>12.484</v>
      </c>
      <c r="Y39" s="182" t="n">
        <v>12.1992325818871</v>
      </c>
      <c r="Z39" s="124" t="n">
        <v>0.973</v>
      </c>
      <c r="AA39" s="184" t="n">
        <v>0.950805294951626</v>
      </c>
      <c r="AB39" s="125" t="n">
        <v>4.64</v>
      </c>
      <c r="AC39" s="182" t="n">
        <v>4.53415885773438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29"/>
      <c r="G40" s="117" t="n">
        <v>35.9444</v>
      </c>
      <c r="H40" s="131" t="n">
        <v>80</v>
      </c>
      <c r="I40" s="119" t="n">
        <v>80</v>
      </c>
      <c r="J40" s="190"/>
      <c r="K40" s="190"/>
      <c r="L40" s="190"/>
      <c r="M40" s="190"/>
      <c r="N40" s="190"/>
      <c r="O40" s="190"/>
      <c r="P40" s="190" t="n">
        <v>3.839</v>
      </c>
      <c r="Q40" s="190"/>
      <c r="R40" s="190"/>
      <c r="S40" s="190" t="n">
        <v>167.2</v>
      </c>
      <c r="T40" s="124" t="n">
        <v>0.145</v>
      </c>
      <c r="U40" s="184" t="n">
        <v>0.141692464304199</v>
      </c>
      <c r="X40" s="125" t="n">
        <v>9.535</v>
      </c>
      <c r="Y40" s="182" t="n">
        <v>9.31750101476234</v>
      </c>
      <c r="Z40" s="124" t="n">
        <v>0.767</v>
      </c>
      <c r="AA40" s="184" t="n">
        <v>0.749504276698764</v>
      </c>
      <c r="AB40" s="125" t="n">
        <v>3.66</v>
      </c>
      <c r="AC40" s="182" t="n">
        <v>3.57651323691979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29"/>
      <c r="G41" s="117" t="n">
        <v>36.0879</v>
      </c>
      <c r="H41" s="118" t="n">
        <v>60</v>
      </c>
      <c r="I41" s="119" t="n">
        <v>60</v>
      </c>
      <c r="J41" s="190"/>
      <c r="K41" s="190"/>
      <c r="L41" s="190"/>
      <c r="M41" s="190"/>
      <c r="N41" s="190"/>
      <c r="O41" s="190"/>
      <c r="P41" s="190" t="n">
        <v>3.879</v>
      </c>
      <c r="Q41" s="190"/>
      <c r="R41" s="190"/>
      <c r="S41" s="190" t="n">
        <v>168.9</v>
      </c>
      <c r="T41" s="124" t="n">
        <v>0.28</v>
      </c>
      <c r="U41" s="184" t="n">
        <v>0.273613034518454</v>
      </c>
      <c r="X41" s="125" t="n">
        <v>7.89</v>
      </c>
      <c r="Y41" s="182" t="n">
        <v>7.71002443696643</v>
      </c>
      <c r="Z41" s="124" t="n">
        <v>0.697</v>
      </c>
      <c r="AA41" s="184" t="n">
        <v>0.681101018069151</v>
      </c>
      <c r="AB41" s="125" t="n">
        <v>3.03</v>
      </c>
      <c r="AC41" s="182" t="n">
        <v>2.96088390925327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29"/>
      <c r="G42" s="117" t="n">
        <v>35.9711</v>
      </c>
      <c r="H42" s="131" t="n">
        <v>40</v>
      </c>
      <c r="I42" s="119" t="n">
        <v>40</v>
      </c>
      <c r="J42" s="190"/>
      <c r="K42" s="190"/>
      <c r="L42" s="190"/>
      <c r="M42" s="190"/>
      <c r="N42" s="190"/>
      <c r="O42" s="190"/>
      <c r="P42" s="190" t="n">
        <v>4.22</v>
      </c>
      <c r="Q42" s="190"/>
      <c r="R42" s="190"/>
      <c r="S42" s="190" t="n">
        <v>183.9</v>
      </c>
      <c r="T42" s="124" t="n">
        <v>0.214</v>
      </c>
      <c r="U42" s="184" t="n">
        <v>0.209118533524818</v>
      </c>
      <c r="X42" s="125" t="n">
        <v>3.716</v>
      </c>
      <c r="Y42" s="182" t="n">
        <v>3.63123584382348</v>
      </c>
      <c r="Z42" s="124" t="n">
        <v>0.409</v>
      </c>
      <c r="AA42" s="184" t="n">
        <v>0.399670468278741</v>
      </c>
      <c r="AB42" s="125" t="n">
        <v>2.03</v>
      </c>
      <c r="AC42" s="182" t="n">
        <v>1.98369450025879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29"/>
      <c r="G43" s="117" t="n">
        <v>34.8921</v>
      </c>
      <c r="H43" s="131" t="n">
        <v>20</v>
      </c>
      <c r="I43" s="119" t="n">
        <v>20</v>
      </c>
      <c r="J43" s="190"/>
      <c r="K43" s="190"/>
      <c r="L43" s="190"/>
      <c r="M43" s="190"/>
      <c r="N43" s="190"/>
      <c r="O43" s="190"/>
      <c r="P43" s="190" t="n">
        <v>4.623</v>
      </c>
      <c r="Q43" s="190"/>
      <c r="R43" s="190"/>
      <c r="S43" s="190" t="n">
        <v>201.9</v>
      </c>
      <c r="T43" s="124" t="n">
        <v>0.01</v>
      </c>
      <c r="U43" s="184" t="n">
        <v>0.00977189408994478</v>
      </c>
      <c r="X43" s="125" t="n">
        <v>0.06</v>
      </c>
      <c r="Y43" s="182" t="n">
        <v>0.0586313645396687</v>
      </c>
      <c r="Z43" s="124" t="n">
        <v>0.004</v>
      </c>
      <c r="AA43" s="184" t="n">
        <v>0.00390875763597791</v>
      </c>
      <c r="AB43" s="125" t="n">
        <v>0.39</v>
      </c>
      <c r="AC43" s="182" t="n">
        <v>0.381103869507846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29"/>
      <c r="G44" s="117" t="n">
        <v>34.8799</v>
      </c>
      <c r="H44" s="131" t="n">
        <v>10</v>
      </c>
      <c r="I44" s="119" t="n">
        <v>9</v>
      </c>
      <c r="J44" s="190"/>
      <c r="K44" s="190"/>
      <c r="L44" s="190"/>
      <c r="M44" s="190"/>
      <c r="N44" s="190"/>
      <c r="O44" s="190"/>
      <c r="P44" s="190" t="n">
        <v>4.612</v>
      </c>
      <c r="Q44" s="190"/>
      <c r="R44" s="190"/>
      <c r="S44" s="190" t="n">
        <v>201.5</v>
      </c>
      <c r="T44" s="124" t="n">
        <v>0.002</v>
      </c>
      <c r="U44" s="184" t="n">
        <v>0.00195437881798896</v>
      </c>
      <c r="X44" s="125" t="n">
        <v>0.058</v>
      </c>
      <c r="Y44" s="182" t="n">
        <v>0.0566769857216797</v>
      </c>
      <c r="Z44" s="124" t="n">
        <v>0.013</v>
      </c>
      <c r="AA44" s="184" t="n">
        <v>0.0127034623169282</v>
      </c>
      <c r="AB44" s="125" t="n">
        <v>0.54</v>
      </c>
      <c r="AC44" s="182" t="n">
        <v>0.527682280857018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29"/>
      <c r="G45" s="117" t="n">
        <v>34.8802</v>
      </c>
      <c r="H45" s="131" t="n">
        <v>0</v>
      </c>
      <c r="I45" s="119" t="n">
        <v>0.5</v>
      </c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24" t="n">
        <v>0.009</v>
      </c>
      <c r="U45" s="184" t="n">
        <v>0.0087947046809503</v>
      </c>
      <c r="X45" s="125" t="n">
        <v>0.051</v>
      </c>
      <c r="Y45" s="182" t="n">
        <v>0.0498366598587183</v>
      </c>
      <c r="Z45" s="124" t="n">
        <v>0</v>
      </c>
      <c r="AA45" s="184" t="n">
        <v>0</v>
      </c>
      <c r="AB45" s="125" t="n">
        <v>0.34</v>
      </c>
      <c r="AC45" s="182" t="n">
        <v>0.332244399058122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5"/>
      <c r="H46" s="145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32"/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S46" s="132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4"/>
      <c r="H47" s="154"/>
      <c r="I47" s="154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Flac.",#REF!/M47)))))))))</f>
        <v/>
      </c>
      <c r="S47" s="132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4"/>
      <c r="H48" s="154"/>
      <c r="I48" s="154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Flac.",#REF!/M48)))))))))</f>
        <v/>
      </c>
      <c r="S48" s="132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9" activeCellId="1" sqref="U45 P9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29.95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0°29,95</v>
      </c>
      <c r="P9" s="29" t="s">
        <v>13</v>
      </c>
      <c r="Q9" s="33" t="n">
        <f aca="false">IF(ISBLANK(I9),"",IF(ISBLANK(J9),"",IF(J9&gt;60,"ERREUR !!",O11*(I9+(J9/60)))))</f>
        <v>0.499166666666667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19.94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2°19,94</v>
      </c>
      <c r="P10" s="29" t="s">
        <v>14</v>
      </c>
      <c r="Q10" s="33" t="n">
        <f aca="false">IF(ISBLANK(I10),"",IF(ISBLANK(J10),"",IF(J10&gt;60,"ERREUR !!",O12*(I10+(J10/60)))))</f>
        <v>2.33233333333333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37588</v>
      </c>
      <c r="K11" s="38"/>
      <c r="L11" s="38"/>
      <c r="M11" s="38"/>
      <c r="N11" s="39" t="str">
        <f aca="false">I9&amp;"°"&amp;J9</f>
        <v>0°29,95</v>
      </c>
      <c r="O11" s="40" t="n">
        <f aca="false">IF(P9=M10,-1,1)</f>
        <v>1</v>
      </c>
      <c r="P11" s="41" t="str">
        <f aca="false">TEXT(J11,"aaaa-mm-jj")&amp;"T"&amp;TEXT(J12,"hh:mm:ss")&amp;"z"</f>
        <v>2006-11-29T15:30:00z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0.645833333333333</v>
      </c>
      <c r="K12" s="45"/>
      <c r="L12" s="45"/>
      <c r="M12" s="45"/>
      <c r="N12" s="46" t="str">
        <f aca="false">I10&amp;"°"&amp;J10</f>
        <v>2°19,94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5"/>
      <c r="G35" s="117" t="n">
        <v>34.6423</v>
      </c>
      <c r="H35" s="118" t="n">
        <v>1000</v>
      </c>
      <c r="I35" s="119" t="n">
        <v>1003</v>
      </c>
      <c r="J35" s="189"/>
      <c r="K35" s="189"/>
      <c r="L35" s="189"/>
      <c r="M35" s="189"/>
      <c r="N35" s="189"/>
      <c r="O35" s="189"/>
      <c r="P35" s="189" t="n">
        <v>3.54</v>
      </c>
      <c r="Q35" s="189"/>
      <c r="R35" s="189"/>
      <c r="S35" s="189" t="n">
        <v>153.9</v>
      </c>
      <c r="T35" s="184" t="n">
        <v>0.015</v>
      </c>
      <c r="U35" s="184" t="n">
        <v>0.0146578411349172</v>
      </c>
      <c r="X35" s="182" t="n">
        <v>33.57</v>
      </c>
      <c r="Y35" s="182" t="n">
        <v>32.8042484599446</v>
      </c>
      <c r="Z35" s="184" t="n">
        <v>2.381</v>
      </c>
      <c r="AA35" s="184" t="n">
        <v>2.32668798281585</v>
      </c>
      <c r="AB35" s="182" t="n">
        <v>32.475</v>
      </c>
      <c r="AC35" s="182" t="n">
        <v>31.7342260570957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6.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29"/>
      <c r="G36" s="117" t="n">
        <v>34.5691</v>
      </c>
      <c r="H36" s="118" t="n">
        <v>600</v>
      </c>
      <c r="I36" s="119" t="n">
        <v>599</v>
      </c>
      <c r="J36" s="190"/>
      <c r="K36" s="190"/>
      <c r="L36" s="190"/>
      <c r="M36" s="190"/>
      <c r="N36" s="190"/>
      <c r="O36" s="190"/>
      <c r="P36" s="190" t="n">
        <v>2.784</v>
      </c>
      <c r="Q36" s="190"/>
      <c r="R36" s="190"/>
      <c r="S36" s="190" t="n">
        <v>121.1</v>
      </c>
      <c r="T36" s="184" t="n">
        <v>0.007</v>
      </c>
      <c r="U36" s="184" t="n">
        <v>0.00684032586296134</v>
      </c>
      <c r="X36" s="182" t="n">
        <v>35.463</v>
      </c>
      <c r="Y36" s="182" t="n">
        <v>34.6540680111712</v>
      </c>
      <c r="Z36" s="184" t="n">
        <v>2.455</v>
      </c>
      <c r="AA36" s="184" t="n">
        <v>2.39899999908144</v>
      </c>
      <c r="AB36" s="182" t="n">
        <v>24.82</v>
      </c>
      <c r="AC36" s="182" t="n">
        <v>24.2538411312429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29"/>
      <c r="G37" s="117" t="n">
        <v>34.571</v>
      </c>
      <c r="H37" s="118" t="n">
        <v>600</v>
      </c>
      <c r="I37" s="119" t="n">
        <v>599</v>
      </c>
      <c r="J37" s="190"/>
      <c r="K37" s="190"/>
      <c r="L37" s="190"/>
      <c r="M37" s="190"/>
      <c r="N37" s="190"/>
      <c r="O37" s="190"/>
      <c r="P37" s="190" t="n">
        <v>1.464</v>
      </c>
      <c r="Q37" s="190"/>
      <c r="R37" s="190"/>
      <c r="S37" s="190" t="n">
        <v>63.7</v>
      </c>
      <c r="T37" s="184" t="n">
        <v>0.015</v>
      </c>
      <c r="U37" s="184" t="n">
        <v>0.0146578411349172</v>
      </c>
      <c r="X37" s="182" t="n">
        <v>35.455</v>
      </c>
      <c r="Y37" s="182" t="n">
        <v>34.6462504958992</v>
      </c>
      <c r="Z37" s="184" t="n">
        <v>2.43</v>
      </c>
      <c r="AA37" s="184" t="n">
        <v>2.37457026385658</v>
      </c>
      <c r="AB37" s="182" t="n">
        <v>24.34</v>
      </c>
      <c r="AC37" s="182" t="n">
        <v>23.7847902149256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39"/>
      <c r="G38" s="117" t="n">
        <v>35.0183</v>
      </c>
      <c r="H38" s="131" t="n">
        <v>300</v>
      </c>
      <c r="I38" s="119" t="n">
        <v>298</v>
      </c>
      <c r="J38" s="191"/>
      <c r="K38" s="191"/>
      <c r="L38" s="191"/>
      <c r="M38" s="191"/>
      <c r="N38" s="191"/>
      <c r="O38" s="191"/>
      <c r="P38" s="191" t="n">
        <v>1.501</v>
      </c>
      <c r="Q38" s="191"/>
      <c r="R38" s="191"/>
      <c r="S38" s="191" t="n">
        <v>65.3</v>
      </c>
      <c r="T38" s="184" t="n">
        <v>0.02</v>
      </c>
      <c r="U38" s="184" t="n">
        <v>0.0195437881798896</v>
      </c>
      <c r="X38" s="182" t="n">
        <v>32.04</v>
      </c>
      <c r="Y38" s="182" t="n">
        <v>31.3091486641831</v>
      </c>
      <c r="Z38" s="184" t="n">
        <v>2.076</v>
      </c>
      <c r="AA38" s="184" t="n">
        <v>2.02864521307254</v>
      </c>
      <c r="AB38" s="182" t="n">
        <v>13.53</v>
      </c>
      <c r="AC38" s="182" t="n">
        <v>13.2213727036953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29"/>
      <c r="G39" s="117" t="n">
        <v>35.6947</v>
      </c>
      <c r="H39" s="131" t="n">
        <v>100</v>
      </c>
      <c r="I39" s="119" t="n">
        <v>98</v>
      </c>
      <c r="J39" s="190"/>
      <c r="K39" s="190"/>
      <c r="L39" s="190"/>
      <c r="M39" s="190"/>
      <c r="N39" s="190"/>
      <c r="O39" s="190"/>
      <c r="P39" s="190" t="n">
        <v>3.344</v>
      </c>
      <c r="Q39" s="190"/>
      <c r="R39" s="190"/>
      <c r="S39" s="190" t="n">
        <v>145.6</v>
      </c>
      <c r="T39" s="184" t="n">
        <v>0.046</v>
      </c>
      <c r="U39" s="184" t="n">
        <v>0.044950712813746</v>
      </c>
      <c r="X39" s="182" t="n">
        <v>14.504</v>
      </c>
      <c r="Y39" s="182" t="n">
        <v>14.1731551880559</v>
      </c>
      <c r="Z39" s="184" t="n">
        <v>1.049</v>
      </c>
      <c r="AA39" s="184" t="n">
        <v>1.02507169003521</v>
      </c>
      <c r="AB39" s="182" t="n">
        <v>5.04</v>
      </c>
      <c r="AC39" s="182" t="n">
        <v>4.92503462133217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29"/>
      <c r="G40" s="117" t="n">
        <v>35.7615</v>
      </c>
      <c r="H40" s="131" t="n">
        <v>80</v>
      </c>
      <c r="I40" s="119" t="n">
        <v>79</v>
      </c>
      <c r="J40" s="190"/>
      <c r="K40" s="190"/>
      <c r="L40" s="190"/>
      <c r="M40" s="190"/>
      <c r="N40" s="190"/>
      <c r="O40" s="190"/>
      <c r="P40" s="190" t="n">
        <v>3.443</v>
      </c>
      <c r="Q40" s="190"/>
      <c r="R40" s="190"/>
      <c r="S40" s="190" t="n">
        <v>149.9</v>
      </c>
      <c r="T40" s="184" t="n">
        <v>0.1</v>
      </c>
      <c r="U40" s="184" t="n">
        <v>0.0977189408994478</v>
      </c>
      <c r="X40" s="182" t="n">
        <v>13.46</v>
      </c>
      <c r="Y40" s="182" t="n">
        <v>13.1529694450657</v>
      </c>
      <c r="Z40" s="184" t="n">
        <v>0.988</v>
      </c>
      <c r="AA40" s="184" t="n">
        <v>0.965463136086544</v>
      </c>
      <c r="AB40" s="182" t="n">
        <v>4.66</v>
      </c>
      <c r="AC40" s="182" t="n">
        <v>4.55370264591426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29"/>
      <c r="G41" s="117" t="n">
        <v>35.7773</v>
      </c>
      <c r="H41" s="118" t="n">
        <v>60</v>
      </c>
      <c r="I41" s="119" t="n">
        <v>60</v>
      </c>
      <c r="J41" s="190"/>
      <c r="K41" s="190"/>
      <c r="L41" s="190"/>
      <c r="M41" s="190"/>
      <c r="N41" s="190"/>
      <c r="O41" s="190"/>
      <c r="P41" s="190" t="n">
        <v>2.94</v>
      </c>
      <c r="Q41" s="190"/>
      <c r="R41" s="190"/>
      <c r="S41" s="190" t="n">
        <v>128</v>
      </c>
      <c r="T41" s="184" t="n">
        <v>0.219</v>
      </c>
      <c r="U41" s="184" t="n">
        <v>0.214004480569791</v>
      </c>
      <c r="X41" s="182" t="n">
        <v>14.671</v>
      </c>
      <c r="Y41" s="182" t="n">
        <v>14.336345819358</v>
      </c>
      <c r="Z41" s="184" t="n">
        <v>1.068</v>
      </c>
      <c r="AA41" s="184" t="n">
        <v>1.0436382888061</v>
      </c>
      <c r="AB41" s="182" t="n">
        <v>4.46</v>
      </c>
      <c r="AC41" s="182" t="n">
        <v>4.35826476411537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29"/>
      <c r="G42" s="117" t="n">
        <v>35.6813</v>
      </c>
      <c r="H42" s="131" t="n">
        <v>40</v>
      </c>
      <c r="I42" s="119" t="n">
        <v>39</v>
      </c>
      <c r="J42" s="190"/>
      <c r="K42" s="190"/>
      <c r="L42" s="190"/>
      <c r="M42" s="190"/>
      <c r="N42" s="190"/>
      <c r="O42" s="190"/>
      <c r="P42" s="190" t="n">
        <v>4.383</v>
      </c>
      <c r="Q42" s="190"/>
      <c r="R42" s="190"/>
      <c r="S42" s="190" t="n">
        <v>191.1</v>
      </c>
      <c r="T42" s="184" t="n">
        <v>0.089</v>
      </c>
      <c r="U42" s="184" t="n">
        <v>0.0869698574005085</v>
      </c>
      <c r="X42" s="182" t="n">
        <v>2.671</v>
      </c>
      <c r="Y42" s="182" t="n">
        <v>2.61007291142425</v>
      </c>
      <c r="Z42" s="184" t="n">
        <v>0.288</v>
      </c>
      <c r="AA42" s="184" t="n">
        <v>0.28143054979041</v>
      </c>
      <c r="AB42" s="182" t="n">
        <v>1.55</v>
      </c>
      <c r="AC42" s="182" t="n">
        <v>1.51464358394144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29"/>
      <c r="G43" s="117" t="n">
        <v>34.8494</v>
      </c>
      <c r="H43" s="131" t="n">
        <v>20</v>
      </c>
      <c r="I43" s="119" t="n">
        <v>20</v>
      </c>
      <c r="J43" s="190"/>
      <c r="K43" s="190"/>
      <c r="L43" s="190"/>
      <c r="M43" s="190"/>
      <c r="N43" s="190"/>
      <c r="O43" s="190"/>
      <c r="P43" s="190" t="n">
        <v>4.658</v>
      </c>
      <c r="Q43" s="190"/>
      <c r="R43" s="190"/>
      <c r="S43" s="190" t="n">
        <v>203.5</v>
      </c>
      <c r="T43" s="184" t="n">
        <v>0.017</v>
      </c>
      <c r="U43" s="184" t="n">
        <v>0.0166122199529061</v>
      </c>
      <c r="X43" s="182" t="n">
        <v>0.043</v>
      </c>
      <c r="Y43" s="182" t="n">
        <v>0.0420191445867625</v>
      </c>
      <c r="Z43" s="184" t="n">
        <v>0</v>
      </c>
      <c r="AA43" s="184" t="n">
        <v>0</v>
      </c>
      <c r="AB43" s="182" t="n">
        <v>0.28</v>
      </c>
      <c r="AC43" s="182" t="n">
        <v>0.273613034518454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29"/>
      <c r="G44" s="117" t="n">
        <v>34.8114</v>
      </c>
      <c r="H44" s="131" t="n">
        <v>10</v>
      </c>
      <c r="I44" s="119" t="n">
        <v>10</v>
      </c>
      <c r="J44" s="190"/>
      <c r="K44" s="190"/>
      <c r="L44" s="190"/>
      <c r="M44" s="190"/>
      <c r="N44" s="190"/>
      <c r="O44" s="190"/>
      <c r="P44" s="190" t="n">
        <v>4.646</v>
      </c>
      <c r="Q44" s="190"/>
      <c r="R44" s="190"/>
      <c r="S44" s="190" t="n">
        <v>202.9</v>
      </c>
      <c r="T44" s="184" t="n">
        <v>0.014</v>
      </c>
      <c r="U44" s="184" t="n">
        <v>0.0136806517259227</v>
      </c>
      <c r="X44" s="182" t="n">
        <v>0.056</v>
      </c>
      <c r="Y44" s="182" t="n">
        <v>0.0547226069036907</v>
      </c>
      <c r="Z44" s="184" t="n">
        <v>0</v>
      </c>
      <c r="AA44" s="184" t="n">
        <v>0</v>
      </c>
      <c r="AB44" s="182" t="n">
        <v>0.26</v>
      </c>
      <c r="AC44" s="182" t="n">
        <v>0.254069246338564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29"/>
      <c r="G45" s="117" t="n">
        <v>34.8276</v>
      </c>
      <c r="H45" s="131" t="n">
        <v>0</v>
      </c>
      <c r="I45" s="119" t="n">
        <v>0.3</v>
      </c>
      <c r="J45" s="190"/>
      <c r="K45" s="190"/>
      <c r="L45" s="190"/>
      <c r="M45" s="190"/>
      <c r="N45" s="190"/>
      <c r="O45" s="190"/>
      <c r="P45" s="190" t="n">
        <v>4.618</v>
      </c>
      <c r="Q45" s="190"/>
      <c r="R45" s="190"/>
      <c r="S45" s="190" t="n">
        <v>201.7</v>
      </c>
      <c r="T45" s="184" t="n">
        <v>0.018</v>
      </c>
      <c r="U45" s="184" t="n">
        <v>0.0175894093619006</v>
      </c>
      <c r="X45" s="182" t="n">
        <v>0.072</v>
      </c>
      <c r="Y45" s="182" t="n">
        <v>0.0703576374476024</v>
      </c>
      <c r="Z45" s="184" t="n">
        <v>0</v>
      </c>
      <c r="AA45" s="184" t="n">
        <v>0</v>
      </c>
      <c r="AB45" s="182" t="n">
        <v>0.16</v>
      </c>
      <c r="AC45" s="182" t="n">
        <v>0.156350305439116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5"/>
      <c r="H46" s="145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32"/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S46" s="132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4"/>
      <c r="H47" s="154"/>
      <c r="I47" s="154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Flac.",#REF!/M47)))))))))</f>
        <v/>
      </c>
      <c r="S47" s="132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4"/>
      <c r="H48" s="154"/>
      <c r="I48" s="154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Flac.",#REF!/M48)))))))))</f>
        <v/>
      </c>
      <c r="S48" s="132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9" activeCellId="1" sqref="U45 P9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59.69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0°59,69</v>
      </c>
      <c r="P9" s="29" t="s">
        <v>13</v>
      </c>
      <c r="Q9" s="33" t="n">
        <f aca="false">IF(ISBLANK(I9),"",IF(ISBLANK(J9),"",IF(J9&gt;60,"ERREUR !!",O11*(I9+(J9/60)))))</f>
        <v>0.994833333333333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19.89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2°19,89</v>
      </c>
      <c r="P10" s="29" t="s">
        <v>14</v>
      </c>
      <c r="Q10" s="33" t="n">
        <f aca="false">IF(ISBLANK(I10),"",IF(ISBLANK(J10),"",IF(J10&gt;60,"ERREUR !!",O12*(I10+(J10/60)))))</f>
        <v>2.3315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37588</v>
      </c>
      <c r="K11" s="38"/>
      <c r="L11" s="38"/>
      <c r="M11" s="38"/>
      <c r="N11" s="39" t="str">
        <f aca="false">I9&amp;"°"&amp;J9</f>
        <v>0°59,69</v>
      </c>
      <c r="O11" s="40" t="n">
        <f aca="false">IF(P9=M10,-1,1)</f>
        <v>1</v>
      </c>
      <c r="P11" s="41" t="str">
        <f aca="false">TEXT(J11,"aaaa-mm-jj")&amp;"T"&amp;TEXT(J12,"hh:mm:ss")&amp;"z"</f>
        <v>2006-11-29T19:45:00z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0.822916666666667</v>
      </c>
      <c r="K12" s="45"/>
      <c r="L12" s="45"/>
      <c r="M12" s="45"/>
      <c r="N12" s="46" t="str">
        <f aca="false">I10&amp;"°"&amp;J10</f>
        <v>2°19,89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5"/>
      <c r="G35" s="117" t="n">
        <v>34.6322</v>
      </c>
      <c r="H35" s="118" t="n">
        <v>1000</v>
      </c>
      <c r="I35" s="119" t="n">
        <v>1000.8</v>
      </c>
      <c r="J35" s="189"/>
      <c r="K35" s="189"/>
      <c r="L35" s="189"/>
      <c r="M35" s="189"/>
      <c r="N35" s="189"/>
      <c r="O35" s="189"/>
      <c r="P35" s="189" t="n">
        <v>3.538</v>
      </c>
      <c r="Q35" s="189"/>
      <c r="R35" s="189"/>
      <c r="S35" s="189" t="n">
        <v>153.8</v>
      </c>
      <c r="T35" s="184" t="n">
        <v>0</v>
      </c>
      <c r="U35" s="184" t="n">
        <v>0</v>
      </c>
      <c r="X35" s="182" t="n">
        <v>33.72</v>
      </c>
      <c r="Y35" s="182" t="n">
        <v>32.9508268712938</v>
      </c>
      <c r="Z35" s="184" t="n">
        <v>2.393</v>
      </c>
      <c r="AA35" s="184" t="n">
        <v>2.33841425572378</v>
      </c>
      <c r="AB35" s="182" t="n">
        <v>32.78</v>
      </c>
      <c r="AC35" s="182" t="n">
        <v>32.032268826839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29"/>
      <c r="G36" s="117" t="n">
        <v>34.5623</v>
      </c>
      <c r="H36" s="118" t="n">
        <v>600</v>
      </c>
      <c r="I36" s="119" t="n">
        <v>600</v>
      </c>
      <c r="J36" s="190"/>
      <c r="K36" s="190"/>
      <c r="L36" s="190"/>
      <c r="M36" s="190"/>
      <c r="N36" s="190"/>
      <c r="O36" s="190"/>
      <c r="P36" s="190" t="n">
        <v>2.834</v>
      </c>
      <c r="Q36" s="190"/>
      <c r="R36" s="190"/>
      <c r="S36" s="190" t="n">
        <v>123.2</v>
      </c>
      <c r="T36" s="184" t="n">
        <v>0.0085</v>
      </c>
      <c r="U36" s="184" t="n">
        <v>0.00830610997645306</v>
      </c>
      <c r="X36" s="182" t="n">
        <v>35.7565</v>
      </c>
      <c r="Y36" s="182" t="n">
        <v>34.940873102711</v>
      </c>
      <c r="Z36" s="184" t="n">
        <v>2.4705</v>
      </c>
      <c r="AA36" s="184" t="n">
        <v>2.41414643492086</v>
      </c>
      <c r="AB36" s="182" t="n">
        <v>25.145</v>
      </c>
      <c r="AC36" s="182" t="n">
        <v>24.5714276891661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29"/>
      <c r="G37" s="117" t="n">
        <v>35.0156</v>
      </c>
      <c r="H37" s="131" t="n">
        <v>300</v>
      </c>
      <c r="I37" s="119" t="n">
        <v>299</v>
      </c>
      <c r="J37" s="190"/>
      <c r="K37" s="190"/>
      <c r="L37" s="190"/>
      <c r="M37" s="190"/>
      <c r="N37" s="190"/>
      <c r="O37" s="190"/>
      <c r="P37" s="190" t="n">
        <v>1.869</v>
      </c>
      <c r="Q37" s="190"/>
      <c r="R37" s="190"/>
      <c r="S37" s="190" t="n">
        <v>81.3</v>
      </c>
      <c r="T37" s="184" t="n">
        <v>0</v>
      </c>
      <c r="U37" s="184" t="n">
        <v>0</v>
      </c>
      <c r="X37" s="182" t="n">
        <v>30.43</v>
      </c>
      <c r="Y37" s="182" t="n">
        <v>29.7358737157019</v>
      </c>
      <c r="Z37" s="184" t="n">
        <v>2.002</v>
      </c>
      <c r="AA37" s="184" t="n">
        <v>1.95633319680694</v>
      </c>
      <c r="AB37" s="182" t="n">
        <v>13.18</v>
      </c>
      <c r="AC37" s="182" t="n">
        <v>12.8793564105472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39"/>
      <c r="G38" s="117" t="n">
        <v>35.0199</v>
      </c>
      <c r="H38" s="131" t="n">
        <v>300</v>
      </c>
      <c r="I38" s="119" t="n">
        <v>299</v>
      </c>
      <c r="J38" s="191"/>
      <c r="K38" s="191"/>
      <c r="L38" s="191"/>
      <c r="M38" s="191"/>
      <c r="N38" s="191"/>
      <c r="O38" s="191"/>
      <c r="P38" s="191" t="n">
        <v>1.858</v>
      </c>
      <c r="Q38" s="191"/>
      <c r="R38" s="191"/>
      <c r="S38" s="191" t="n">
        <v>80.8</v>
      </c>
      <c r="T38" s="184" t="n">
        <v>0.008</v>
      </c>
      <c r="U38" s="184" t="n">
        <v>0.00781751527195582</v>
      </c>
      <c r="X38" s="182" t="n">
        <v>30.332</v>
      </c>
      <c r="Y38" s="182" t="n">
        <v>29.6401091536205</v>
      </c>
      <c r="Z38" s="184" t="n">
        <v>1.991</v>
      </c>
      <c r="AA38" s="184" t="n">
        <v>1.945584113308</v>
      </c>
      <c r="AB38" s="182" t="n">
        <v>12.81</v>
      </c>
      <c r="AC38" s="182" t="n">
        <v>12.5177963292193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29"/>
      <c r="G39" s="117" t="n">
        <v>35.5876</v>
      </c>
      <c r="H39" s="131" t="n">
        <v>100</v>
      </c>
      <c r="I39" s="119" t="n">
        <v>100</v>
      </c>
      <c r="J39" s="190"/>
      <c r="K39" s="190"/>
      <c r="L39" s="190"/>
      <c r="M39" s="190"/>
      <c r="N39" s="190"/>
      <c r="O39" s="190"/>
      <c r="P39" s="190" t="n">
        <v>2.583</v>
      </c>
      <c r="Q39" s="190"/>
      <c r="R39" s="190"/>
      <c r="S39" s="190" t="n">
        <v>112.4</v>
      </c>
      <c r="T39" s="184" t="n">
        <v>0.014</v>
      </c>
      <c r="U39" s="184" t="n">
        <v>0.0136806517259227</v>
      </c>
      <c r="X39" s="182" t="n">
        <v>15.376</v>
      </c>
      <c r="Y39" s="182" t="n">
        <v>15.0252643526991</v>
      </c>
      <c r="Z39" s="184" t="n">
        <v>1.134</v>
      </c>
      <c r="AA39" s="184" t="n">
        <v>1.10813278979974</v>
      </c>
      <c r="AB39" s="182" t="n">
        <v>5.3</v>
      </c>
      <c r="AC39" s="182" t="n">
        <v>5.17910386767073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29"/>
      <c r="G40" s="117" t="n">
        <v>35.6421</v>
      </c>
      <c r="H40" s="131" t="n">
        <v>80</v>
      </c>
      <c r="I40" s="119" t="n">
        <v>78.6</v>
      </c>
      <c r="J40" s="190"/>
      <c r="K40" s="190"/>
      <c r="L40" s="190"/>
      <c r="M40" s="190"/>
      <c r="N40" s="190"/>
      <c r="O40" s="190"/>
      <c r="P40" s="190" t="n">
        <v>1.661</v>
      </c>
      <c r="Q40" s="190"/>
      <c r="R40" s="190"/>
      <c r="S40" s="190" t="n">
        <v>72.3</v>
      </c>
      <c r="T40" s="184" t="n">
        <v>0.015</v>
      </c>
      <c r="U40" s="184" t="n">
        <v>0.0146578411349172</v>
      </c>
      <c r="X40" s="182" t="n">
        <v>15.105</v>
      </c>
      <c r="Y40" s="182" t="n">
        <v>14.7604460228616</v>
      </c>
      <c r="Z40" s="184" t="n">
        <v>1.115</v>
      </c>
      <c r="AA40" s="184" t="n">
        <v>1.08956619102884</v>
      </c>
      <c r="AB40" s="182" t="n">
        <v>5.04</v>
      </c>
      <c r="AC40" s="182" t="n">
        <v>4.92503462133217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29"/>
      <c r="G41" s="117" t="n">
        <v>35.7007</v>
      </c>
      <c r="H41" s="118" t="n">
        <v>60</v>
      </c>
      <c r="I41" s="119" t="n">
        <v>58.6</v>
      </c>
      <c r="J41" s="190"/>
      <c r="K41" s="190"/>
      <c r="L41" s="190"/>
      <c r="M41" s="190"/>
      <c r="N41" s="190"/>
      <c r="O41" s="190"/>
      <c r="P41" s="190" t="n">
        <v>2.673</v>
      </c>
      <c r="Q41" s="190"/>
      <c r="R41" s="190"/>
      <c r="S41" s="190" t="n">
        <v>116.3</v>
      </c>
      <c r="T41" s="184" t="n">
        <v>0.101</v>
      </c>
      <c r="U41" s="184" t="n">
        <v>0.0986961303084422</v>
      </c>
      <c r="X41" s="182" t="n">
        <v>16.749</v>
      </c>
      <c r="Y41" s="182" t="n">
        <v>16.3669454112485</v>
      </c>
      <c r="Z41" s="184" t="n">
        <v>1.193</v>
      </c>
      <c r="AA41" s="184" t="n">
        <v>1.16578696493041</v>
      </c>
      <c r="AB41" s="182" t="n">
        <v>5.06</v>
      </c>
      <c r="AC41" s="182" t="n">
        <v>4.94457840951206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29"/>
      <c r="G42" s="117" t="n">
        <v>35.5599</v>
      </c>
      <c r="H42" s="131" t="n">
        <v>40</v>
      </c>
      <c r="I42" s="119" t="n">
        <v>38.8</v>
      </c>
      <c r="J42" s="190"/>
      <c r="K42" s="190"/>
      <c r="L42" s="190"/>
      <c r="M42" s="190"/>
      <c r="N42" s="190"/>
      <c r="O42" s="190"/>
      <c r="P42" s="190" t="n">
        <v>2.463</v>
      </c>
      <c r="Q42" s="190"/>
      <c r="R42" s="190"/>
      <c r="S42" s="190" t="n">
        <v>107.4</v>
      </c>
      <c r="T42" s="184" t="n">
        <v>0.046</v>
      </c>
      <c r="U42" s="184" t="n">
        <v>0.044950712813746</v>
      </c>
      <c r="X42" s="182" t="n">
        <v>1.894</v>
      </c>
      <c r="Y42" s="182" t="n">
        <v>1.85079674063554</v>
      </c>
      <c r="Z42" s="184" t="n">
        <v>0.246</v>
      </c>
      <c r="AA42" s="184" t="n">
        <v>0.240388594612641</v>
      </c>
      <c r="AB42" s="182" t="n">
        <v>1.15</v>
      </c>
      <c r="AC42" s="182" t="n">
        <v>1.12376782034365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29"/>
      <c r="G43" s="117" t="n">
        <v>34.8424</v>
      </c>
      <c r="H43" s="131" t="n">
        <v>20</v>
      </c>
      <c r="I43" s="119" t="n">
        <v>19.1</v>
      </c>
      <c r="J43" s="190"/>
      <c r="K43" s="190"/>
      <c r="L43" s="190"/>
      <c r="M43" s="190"/>
      <c r="N43" s="190"/>
      <c r="O43" s="190"/>
      <c r="P43" s="190" t="n">
        <v>4.614</v>
      </c>
      <c r="Q43" s="190"/>
      <c r="R43" s="190"/>
      <c r="S43" s="190" t="n">
        <v>201.6</v>
      </c>
      <c r="T43" s="184" t="n">
        <v>0.012</v>
      </c>
      <c r="U43" s="184" t="n">
        <v>0.0117262729079337</v>
      </c>
      <c r="X43" s="182" t="n">
        <v>0.118</v>
      </c>
      <c r="Y43" s="182" t="n">
        <v>0.115308350261348</v>
      </c>
      <c r="Z43" s="184" t="n">
        <v>0.028</v>
      </c>
      <c r="AA43" s="184" t="n">
        <v>0.0273613034518454</v>
      </c>
      <c r="AB43" s="182" t="n">
        <v>0.26</v>
      </c>
      <c r="AC43" s="182" t="n">
        <v>0.254069246338564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29"/>
      <c r="G44" s="117" t="n">
        <v>34.7497</v>
      </c>
      <c r="H44" s="131" t="n">
        <v>10</v>
      </c>
      <c r="I44" s="119" t="n">
        <v>8.9</v>
      </c>
      <c r="J44" s="190"/>
      <c r="K44" s="190"/>
      <c r="L44" s="190"/>
      <c r="M44" s="190"/>
      <c r="N44" s="190"/>
      <c r="O44" s="190"/>
      <c r="P44" s="190" t="n">
        <v>4.618</v>
      </c>
      <c r="Q44" s="190"/>
      <c r="R44" s="190"/>
      <c r="S44" s="190" t="n">
        <v>201.8</v>
      </c>
      <c r="T44" s="184" t="n">
        <v>0</v>
      </c>
      <c r="U44" s="184" t="n">
        <v>0</v>
      </c>
      <c r="X44" s="182" t="n">
        <v>0.11</v>
      </c>
      <c r="Y44" s="182" t="n">
        <v>0.107490834989393</v>
      </c>
      <c r="Z44" s="184" t="n">
        <v>0.003</v>
      </c>
      <c r="AA44" s="184" t="n">
        <v>0.00293156822698343</v>
      </c>
      <c r="AB44" s="182" t="n">
        <v>0.5</v>
      </c>
      <c r="AC44" s="182" t="n">
        <v>0.488594704497239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29"/>
      <c r="G45" s="117" t="n">
        <v>34.7241</v>
      </c>
      <c r="H45" s="131" t="n">
        <v>0</v>
      </c>
      <c r="I45" s="119" t="n">
        <v>0.3</v>
      </c>
      <c r="J45" s="190"/>
      <c r="K45" s="190"/>
      <c r="L45" s="190"/>
      <c r="M45" s="190"/>
      <c r="N45" s="190"/>
      <c r="O45" s="190"/>
      <c r="P45" s="190" t="n">
        <v>4.617</v>
      </c>
      <c r="Q45" s="190"/>
      <c r="R45" s="190"/>
      <c r="S45" s="190" t="n">
        <v>201.7</v>
      </c>
      <c r="T45" s="184" t="n">
        <v>0</v>
      </c>
      <c r="U45" s="184" t="n">
        <v>0</v>
      </c>
      <c r="X45" s="182" t="n">
        <v>0.08</v>
      </c>
      <c r="Y45" s="182" t="n">
        <v>0.0781751527195582</v>
      </c>
      <c r="Z45" s="184" t="n">
        <v>0.027</v>
      </c>
      <c r="AA45" s="184" t="n">
        <v>0.0263841140428509</v>
      </c>
      <c r="AB45" s="182" t="n">
        <v>0.66</v>
      </c>
      <c r="AC45" s="182" t="n">
        <v>0.644945009936355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5"/>
      <c r="H46" s="145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32"/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S46" s="132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4"/>
      <c r="H47" s="154"/>
      <c r="I47" s="154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Flac.",#REF!/M47)))))))))</f>
        <v/>
      </c>
      <c r="S47" s="132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4"/>
      <c r="H48" s="154"/>
      <c r="I48" s="154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Flac.",#REF!/M48)))))))))</f>
        <v/>
      </c>
      <c r="S48" s="132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5" activeCellId="1" sqref="U45 T35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28.74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1°28,74</v>
      </c>
      <c r="P9" s="29" t="s">
        <v>13</v>
      </c>
      <c r="Q9" s="33" t="n">
        <f aca="false">IF(ISBLANK(I9),"",IF(ISBLANK(J9),"",IF(J9&gt;60,"ERREUR !!",O11*(I9+(J9/60)))))</f>
        <v>1.479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20.23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2°20,23</v>
      </c>
      <c r="P10" s="29" t="s">
        <v>14</v>
      </c>
      <c r="Q10" s="33" t="n">
        <f aca="false">IF(ISBLANK(I10),"",IF(ISBLANK(J10),"",IF(J10&gt;60,"ERREUR !!",O12*(I10+(J10/60)))))</f>
        <v>2.33716666666667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37589</v>
      </c>
      <c r="K11" s="38"/>
      <c r="L11" s="38"/>
      <c r="M11" s="38"/>
      <c r="N11" s="39" t="str">
        <f aca="false">I9&amp;"°"&amp;J9</f>
        <v>1°28,74</v>
      </c>
      <c r="O11" s="40" t="n">
        <f aca="false">IF(P9=M10,-1,1)</f>
        <v>1</v>
      </c>
      <c r="P11" s="41" t="str">
        <f aca="false">TEXT(J11,"aaaa-mm-jj")&amp;"T"&amp;TEXT(J12,"hh:mm:ss")&amp;"z"</f>
        <v>2006-11-30T00:30:00z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0.0208333333333333</v>
      </c>
      <c r="K12" s="45"/>
      <c r="L12" s="45"/>
      <c r="M12" s="45"/>
      <c r="N12" s="46" t="str">
        <f aca="false">I10&amp;"°"&amp;J10</f>
        <v>2°20,23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5"/>
      <c r="G35" s="117" t="n">
        <v>34.6591</v>
      </c>
      <c r="H35" s="118" t="n">
        <v>1000</v>
      </c>
      <c r="I35" s="119" t="n">
        <v>1013</v>
      </c>
      <c r="J35" s="189"/>
      <c r="K35" s="189"/>
      <c r="L35" s="189"/>
      <c r="M35" s="189"/>
      <c r="N35" s="189"/>
      <c r="O35" s="189"/>
      <c r="P35" s="189" t="n">
        <v>3.558</v>
      </c>
      <c r="Q35" s="189"/>
      <c r="R35" s="189"/>
      <c r="S35" s="189" t="n">
        <v>154.7</v>
      </c>
      <c r="T35" s="184" t="n">
        <v>0.008</v>
      </c>
      <c r="U35" s="184" t="n">
        <v>0.00781751527195582</v>
      </c>
      <c r="X35" s="182" t="n">
        <v>33.052</v>
      </c>
      <c r="Y35" s="182" t="n">
        <v>32.2980643460855</v>
      </c>
      <c r="Z35" s="184" t="n">
        <v>2.355</v>
      </c>
      <c r="AA35" s="184" t="n">
        <v>2.30128105818199</v>
      </c>
      <c r="AB35" s="182" t="n">
        <v>32.53</v>
      </c>
      <c r="AC35" s="182" t="n">
        <v>31.7879714745903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29"/>
      <c r="G36" s="117" t="n">
        <v>34.5843</v>
      </c>
      <c r="H36" s="118" t="n">
        <v>600</v>
      </c>
      <c r="I36" s="119" t="n">
        <v>598</v>
      </c>
      <c r="J36" s="190"/>
      <c r="K36" s="190"/>
      <c r="L36" s="190"/>
      <c r="M36" s="190"/>
      <c r="N36" s="190"/>
      <c r="O36" s="190"/>
      <c r="P36" s="190" t="n">
        <v>2.619</v>
      </c>
      <c r="Q36" s="190"/>
      <c r="R36" s="190"/>
      <c r="S36" s="190" t="n">
        <v>113.9</v>
      </c>
      <c r="T36" s="184" t="n">
        <v>0.008</v>
      </c>
      <c r="U36" s="184" t="n">
        <v>0.00781751527195582</v>
      </c>
      <c r="X36" s="182" t="n">
        <v>36.352</v>
      </c>
      <c r="Y36" s="182" t="n">
        <v>35.5227893957672</v>
      </c>
      <c r="Z36" s="184" t="n">
        <v>2.482</v>
      </c>
      <c r="AA36" s="184" t="n">
        <v>2.42538411312429</v>
      </c>
      <c r="AB36" s="182" t="n">
        <v>25.58</v>
      </c>
      <c r="AC36" s="182" t="n">
        <v>24.9965050820787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29"/>
      <c r="G37" s="117" t="n">
        <v>35.0142</v>
      </c>
      <c r="H37" s="131" t="n">
        <v>300</v>
      </c>
      <c r="I37" s="119" t="n">
        <v>299</v>
      </c>
      <c r="J37" s="190"/>
      <c r="K37" s="190"/>
      <c r="L37" s="190"/>
      <c r="M37" s="190"/>
      <c r="N37" s="190"/>
      <c r="O37" s="190"/>
      <c r="P37" s="190" t="n">
        <v>1.833</v>
      </c>
      <c r="Q37" s="190"/>
      <c r="R37" s="190"/>
      <c r="S37" s="190" t="n">
        <v>79.7</v>
      </c>
      <c r="T37" s="184" t="n">
        <v>0.006</v>
      </c>
      <c r="U37" s="184" t="n">
        <v>0.00586313645396687</v>
      </c>
      <c r="X37" s="182" t="n">
        <v>30.959</v>
      </c>
      <c r="Y37" s="182" t="n">
        <v>30.25280691306</v>
      </c>
      <c r="Z37" s="184" t="n">
        <v>2</v>
      </c>
      <c r="AA37" s="184" t="n">
        <v>1.95437881798895</v>
      </c>
      <c r="AB37" s="182" t="n">
        <v>13.255</v>
      </c>
      <c r="AC37" s="182" t="n">
        <v>12.9526456162218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39"/>
      <c r="G38" s="117" t="n">
        <v>35.6001</v>
      </c>
      <c r="H38" s="131" t="n">
        <v>100</v>
      </c>
      <c r="I38" s="119" t="n">
        <v>98</v>
      </c>
      <c r="J38" s="191"/>
      <c r="K38" s="191"/>
      <c r="L38" s="191"/>
      <c r="M38" s="191"/>
      <c r="N38" s="191"/>
      <c r="O38" s="191"/>
      <c r="P38" s="191" t="n">
        <v>3.452</v>
      </c>
      <c r="Q38" s="191"/>
      <c r="R38" s="191"/>
      <c r="S38" s="191" t="n">
        <v>150.2</v>
      </c>
      <c r="T38" s="184" t="n">
        <v>0.01</v>
      </c>
      <c r="U38" s="184" t="n">
        <v>0.00977189408994478</v>
      </c>
      <c r="X38" s="182" t="n">
        <v>15.22</v>
      </c>
      <c r="Y38" s="182" t="n">
        <v>14.8728228048959</v>
      </c>
      <c r="Z38" s="184" t="n">
        <v>1.099</v>
      </c>
      <c r="AA38" s="184" t="n">
        <v>1.07393116048493</v>
      </c>
      <c r="AB38" s="182" t="n">
        <v>5.33</v>
      </c>
      <c r="AC38" s="182" t="n">
        <v>5.20841954994056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29"/>
      <c r="G39" s="117" t="n">
        <v>35.6</v>
      </c>
      <c r="H39" s="131" t="n">
        <v>100</v>
      </c>
      <c r="I39" s="119" t="n">
        <v>98</v>
      </c>
      <c r="J39" s="190"/>
      <c r="K39" s="190"/>
      <c r="L39" s="190"/>
      <c r="M39" s="190"/>
      <c r="N39" s="190"/>
      <c r="O39" s="190"/>
      <c r="P39" s="190" t="n">
        <v>3.352</v>
      </c>
      <c r="Q39" s="190"/>
      <c r="R39" s="190"/>
      <c r="S39" s="190" t="n">
        <v>145.9</v>
      </c>
      <c r="T39" s="184" t="n">
        <v>0.002</v>
      </c>
      <c r="U39" s="184" t="n">
        <v>0.00195437881798896</v>
      </c>
      <c r="X39" s="182" t="n">
        <v>15.138</v>
      </c>
      <c r="Y39" s="182" t="n">
        <v>14.7926932733584</v>
      </c>
      <c r="Z39" s="184" t="n">
        <v>1.091</v>
      </c>
      <c r="AA39" s="184" t="n">
        <v>1.06611364521298</v>
      </c>
      <c r="AB39" s="182" t="n">
        <v>5.22</v>
      </c>
      <c r="AC39" s="182" t="n">
        <v>5.10092871495117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29"/>
      <c r="G40" s="117" t="n">
        <v>35.6361</v>
      </c>
      <c r="H40" s="131" t="n">
        <v>80</v>
      </c>
      <c r="I40" s="119" t="n">
        <v>80</v>
      </c>
      <c r="J40" s="190"/>
      <c r="K40" s="190"/>
      <c r="L40" s="190"/>
      <c r="M40" s="190"/>
      <c r="N40" s="190"/>
      <c r="O40" s="190"/>
      <c r="P40" s="190" t="n">
        <v>3.341</v>
      </c>
      <c r="Q40" s="190"/>
      <c r="R40" s="190"/>
      <c r="S40" s="190" t="n">
        <v>145.4</v>
      </c>
      <c r="T40" s="184" t="n">
        <v>0.033</v>
      </c>
      <c r="U40" s="184" t="n">
        <v>0.0322472504968178</v>
      </c>
      <c r="X40" s="182" t="n">
        <v>14.847</v>
      </c>
      <c r="Y40" s="182" t="n">
        <v>14.508331155341</v>
      </c>
      <c r="Z40" s="184" t="n">
        <v>1.051</v>
      </c>
      <c r="AA40" s="184" t="n">
        <v>1.0270260688532</v>
      </c>
      <c r="AB40" s="182" t="n">
        <v>5.09</v>
      </c>
      <c r="AC40" s="182" t="n">
        <v>4.97389409178189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29"/>
      <c r="G41" s="117" t="n">
        <v>35.6982</v>
      </c>
      <c r="H41" s="118" t="n">
        <v>60</v>
      </c>
      <c r="I41" s="119" t="n">
        <v>60</v>
      </c>
      <c r="J41" s="190"/>
      <c r="K41" s="190"/>
      <c r="L41" s="190"/>
      <c r="M41" s="190"/>
      <c r="N41" s="190"/>
      <c r="O41" s="190"/>
      <c r="P41" s="190" t="n">
        <v>3.183</v>
      </c>
      <c r="Q41" s="190"/>
      <c r="R41" s="190"/>
      <c r="S41" s="190" t="n">
        <v>138.5</v>
      </c>
      <c r="T41" s="184" t="n">
        <v>0.204</v>
      </c>
      <c r="U41" s="184" t="n">
        <v>0.199346639434873</v>
      </c>
      <c r="X41" s="182" t="n">
        <v>14.716</v>
      </c>
      <c r="Y41" s="182" t="n">
        <v>14.3803193427627</v>
      </c>
      <c r="Z41" s="184" t="n">
        <v>1.061</v>
      </c>
      <c r="AA41" s="184" t="n">
        <v>1.03679796294314</v>
      </c>
      <c r="AB41" s="182" t="n">
        <v>4.61</v>
      </c>
      <c r="AC41" s="182" t="n">
        <v>4.50484317546454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29"/>
      <c r="G42" s="117" t="n">
        <v>35.4989</v>
      </c>
      <c r="H42" s="131" t="n">
        <v>40</v>
      </c>
      <c r="I42" s="119" t="n">
        <v>40</v>
      </c>
      <c r="J42" s="190"/>
      <c r="K42" s="190"/>
      <c r="L42" s="190"/>
      <c r="M42" s="190"/>
      <c r="N42" s="190"/>
      <c r="O42" s="190"/>
      <c r="P42" s="190" t="n">
        <v>4.524</v>
      </c>
      <c r="Q42" s="190"/>
      <c r="R42" s="190"/>
      <c r="S42" s="190" t="n">
        <v>197.3</v>
      </c>
      <c r="T42" s="184" t="n">
        <v>0.025</v>
      </c>
      <c r="U42" s="184" t="n">
        <v>0.0244297352248619</v>
      </c>
      <c r="X42" s="182" t="n">
        <v>1.545</v>
      </c>
      <c r="Y42" s="182" t="n">
        <v>1.50975763689647</v>
      </c>
      <c r="Z42" s="184" t="n">
        <v>0.184</v>
      </c>
      <c r="AA42" s="184" t="n">
        <v>0.179802851254984</v>
      </c>
      <c r="AB42" s="182" t="n">
        <v>1.05</v>
      </c>
      <c r="AC42" s="182" t="n">
        <v>1.0260488794442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29"/>
      <c r="G43" s="117" t="n">
        <v>35.0185</v>
      </c>
      <c r="H43" s="131" t="n">
        <v>20</v>
      </c>
      <c r="I43" s="119" t="n">
        <v>19</v>
      </c>
      <c r="J43" s="190"/>
      <c r="K43" s="190"/>
      <c r="L43" s="190"/>
      <c r="M43" s="190"/>
      <c r="N43" s="190"/>
      <c r="O43" s="190"/>
      <c r="P43" s="190" t="n">
        <v>4.609</v>
      </c>
      <c r="Q43" s="190"/>
      <c r="R43" s="190"/>
      <c r="S43" s="190" t="n">
        <v>201.3</v>
      </c>
      <c r="T43" s="184" t="n">
        <v>0</v>
      </c>
      <c r="U43" s="184" t="n">
        <v>0</v>
      </c>
      <c r="X43" s="182" t="n">
        <v>0.18</v>
      </c>
      <c r="Y43" s="182" t="n">
        <v>0.175894093619006</v>
      </c>
      <c r="Z43" s="184" t="n">
        <v>0</v>
      </c>
      <c r="AA43" s="184" t="n">
        <v>0</v>
      </c>
      <c r="AB43" s="182" t="n">
        <v>0.37</v>
      </c>
      <c r="AC43" s="182" t="n">
        <v>0.361560081327957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29"/>
      <c r="G44" s="117" t="n">
        <v>34.9486</v>
      </c>
      <c r="H44" s="131" t="n">
        <v>10</v>
      </c>
      <c r="I44" s="119" t="n">
        <v>10</v>
      </c>
      <c r="J44" s="190"/>
      <c r="K44" s="190"/>
      <c r="L44" s="190"/>
      <c r="M44" s="190"/>
      <c r="N44" s="190"/>
      <c r="O44" s="190"/>
      <c r="P44" s="190" t="n">
        <v>4.564</v>
      </c>
      <c r="Q44" s="190"/>
      <c r="R44" s="190"/>
      <c r="S44" s="190" t="n">
        <v>199.4</v>
      </c>
      <c r="T44" s="184" t="n">
        <v>0</v>
      </c>
      <c r="U44" s="184" t="n">
        <v>0</v>
      </c>
      <c r="X44" s="182" t="n">
        <v>0.09</v>
      </c>
      <c r="Y44" s="182" t="n">
        <v>0.087947046809503</v>
      </c>
      <c r="Z44" s="184" t="n">
        <v>0</v>
      </c>
      <c r="AA44" s="184" t="n">
        <v>0</v>
      </c>
      <c r="AB44" s="182" t="n">
        <v>0.4</v>
      </c>
      <c r="AC44" s="182" t="n">
        <v>0.390875763597791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29"/>
      <c r="G45" s="117" t="n">
        <v>34.9451</v>
      </c>
      <c r="H45" s="131" t="n">
        <v>0</v>
      </c>
      <c r="I45" s="119" t="n">
        <v>0.5</v>
      </c>
      <c r="J45" s="190"/>
      <c r="K45" s="190"/>
      <c r="L45" s="190"/>
      <c r="M45" s="190"/>
      <c r="N45" s="190"/>
      <c r="O45" s="190"/>
      <c r="P45" s="190" t="n">
        <v>4.541</v>
      </c>
      <c r="Q45" s="190"/>
      <c r="R45" s="190"/>
      <c r="S45" s="190" t="n">
        <v>198.4</v>
      </c>
      <c r="T45" s="184" t="n">
        <v>0.009</v>
      </c>
      <c r="U45" s="184" t="n">
        <v>0.0087947046809503</v>
      </c>
      <c r="X45" s="182" t="n">
        <v>0.091</v>
      </c>
      <c r="Y45" s="182" t="n">
        <v>0.0889242362184974</v>
      </c>
      <c r="Z45" s="184" t="n">
        <v>0</v>
      </c>
      <c r="AA45" s="184" t="n">
        <v>0</v>
      </c>
      <c r="AB45" s="182" t="n">
        <v>0.35</v>
      </c>
      <c r="AC45" s="182" t="n">
        <v>0.342016293148067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5"/>
      <c r="H46" s="145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32"/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S46" s="132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4"/>
      <c r="H47" s="154"/>
      <c r="I47" s="154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Flac.",#REF!/M47)))))))))</f>
        <v/>
      </c>
      <c r="S47" s="132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4"/>
      <c r="H48" s="154"/>
      <c r="I48" s="154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Flac.",#REF!/M48)))))))))</f>
        <v/>
      </c>
      <c r="S48" s="132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5" activeCellId="1" sqref="U45 T35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59.92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1°59,92</v>
      </c>
      <c r="P9" s="29" t="s">
        <v>13</v>
      </c>
      <c r="Q9" s="33" t="n">
        <f aca="false">IF(ISBLANK(I9),"",IF(ISBLANK(J9),"",IF(J9&gt;60,"ERREUR !!",O11*(I9+(J9/60)))))</f>
        <v>1.99866666666667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20.01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2°20,01</v>
      </c>
      <c r="P10" s="29" t="s">
        <v>14</v>
      </c>
      <c r="Q10" s="33" t="n">
        <f aca="false">IF(ISBLANK(I10),"",IF(ISBLANK(J10),"",IF(J10&gt;60,"ERREUR !!",O12*(I10+(J10/60)))))</f>
        <v>2.3335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37589</v>
      </c>
      <c r="K11" s="38"/>
      <c r="L11" s="38"/>
      <c r="M11" s="38"/>
      <c r="N11" s="39" t="str">
        <f aca="false">I9&amp;"°"&amp;J9</f>
        <v>1°59,92</v>
      </c>
      <c r="O11" s="40" t="n">
        <f aca="false">IF(P9=M10,-1,1)</f>
        <v>1</v>
      </c>
      <c r="P11" s="41" t="str">
        <f aca="false">TEXT(J11,"aaaa-mm-jj")&amp;"T"&amp;TEXT(J12,"hh:mm:ss")&amp;"z"</f>
        <v>2006-11-30T05:00:00z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0.208333333333333</v>
      </c>
      <c r="K12" s="45"/>
      <c r="L12" s="45"/>
      <c r="M12" s="45"/>
      <c r="N12" s="46" t="str">
        <f aca="false">I10&amp;"°"&amp;J10</f>
        <v>2°20,01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5"/>
      <c r="G35" s="117" t="n">
        <v>34.6463</v>
      </c>
      <c r="H35" s="118" t="n">
        <v>1000</v>
      </c>
      <c r="I35" s="119" t="n">
        <v>1001</v>
      </c>
      <c r="J35" s="189"/>
      <c r="K35" s="189"/>
      <c r="L35" s="189"/>
      <c r="M35" s="189"/>
      <c r="N35" s="189"/>
      <c r="O35" s="189"/>
      <c r="P35" s="189" t="n">
        <v>3.537</v>
      </c>
      <c r="Q35" s="189"/>
      <c r="R35" s="189"/>
      <c r="S35" s="189" t="n">
        <v>153.8</v>
      </c>
      <c r="T35" s="124" t="n">
        <v>0.014</v>
      </c>
      <c r="U35" s="184" t="n">
        <v>0.0136806517259227</v>
      </c>
      <c r="X35" s="125" t="n">
        <v>37.39376</v>
      </c>
      <c r="Y35" s="125" t="n">
        <v>36.5407862344813</v>
      </c>
      <c r="Z35" s="124" t="n">
        <v>2.462</v>
      </c>
      <c r="AA35" s="184" t="n">
        <v>2.4058403249444</v>
      </c>
      <c r="AB35" s="125" t="n">
        <v>30.4</v>
      </c>
      <c r="AC35" s="182" t="n">
        <v>29.7065580334321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29"/>
      <c r="G36" s="117" t="n">
        <v>34.564</v>
      </c>
      <c r="H36" s="118" t="n">
        <v>600</v>
      </c>
      <c r="I36" s="119" t="n">
        <v>599</v>
      </c>
      <c r="J36" s="190"/>
      <c r="K36" s="190"/>
      <c r="L36" s="190"/>
      <c r="M36" s="190"/>
      <c r="N36" s="190"/>
      <c r="O36" s="190"/>
      <c r="P36" s="190" t="n">
        <v>2.814</v>
      </c>
      <c r="Q36" s="190"/>
      <c r="R36" s="190"/>
      <c r="S36" s="190" t="n">
        <v>122.4</v>
      </c>
      <c r="T36" s="124" t="n">
        <v>0.013</v>
      </c>
      <c r="U36" s="184" t="n">
        <v>0.0127034623169282</v>
      </c>
      <c r="X36" s="125" t="n">
        <v>40.50372</v>
      </c>
      <c r="Y36" s="125" t="n">
        <v>39.5798062088778</v>
      </c>
      <c r="Z36" s="124" t="n">
        <v>2.506</v>
      </c>
      <c r="AA36" s="184" t="n">
        <v>2.44883665894016</v>
      </c>
      <c r="AB36" s="125" t="n">
        <v>22.69</v>
      </c>
      <c r="AC36" s="182" t="n">
        <v>22.1724276900847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29"/>
      <c r="G37" s="117" t="n">
        <v>35.044</v>
      </c>
      <c r="H37" s="131" t="n">
        <v>300</v>
      </c>
      <c r="I37" s="119" t="n">
        <v>298</v>
      </c>
      <c r="J37" s="190"/>
      <c r="K37" s="190"/>
      <c r="L37" s="190"/>
      <c r="M37" s="190"/>
      <c r="N37" s="190"/>
      <c r="O37" s="190"/>
      <c r="P37" s="190" t="n">
        <v>1.838</v>
      </c>
      <c r="Q37" s="190"/>
      <c r="R37" s="190"/>
      <c r="S37" s="190" t="n">
        <v>80</v>
      </c>
      <c r="T37" s="124" t="n">
        <v>0.016</v>
      </c>
      <c r="U37" s="184" t="n">
        <v>0.0156350305439116</v>
      </c>
      <c r="X37" s="125" t="n">
        <v>34.08544</v>
      </c>
      <c r="Y37" s="125" t="n">
        <v>33.3079309689167</v>
      </c>
      <c r="Z37" s="124" t="n">
        <v>2.038</v>
      </c>
      <c r="AA37" s="184" t="n">
        <v>1.99151201553075</v>
      </c>
      <c r="AB37" s="125" t="n">
        <v>10.98</v>
      </c>
      <c r="AC37" s="182" t="n">
        <v>10.7295397107594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39"/>
      <c r="G38" s="117" t="n">
        <v>35.6147</v>
      </c>
      <c r="H38" s="131" t="n">
        <v>100</v>
      </c>
      <c r="I38" s="119" t="n">
        <v>100</v>
      </c>
      <c r="J38" s="191"/>
      <c r="K38" s="191"/>
      <c r="L38" s="191"/>
      <c r="M38" s="191"/>
      <c r="N38" s="191"/>
      <c r="O38" s="191"/>
      <c r="P38" s="191" t="n">
        <v>3.367</v>
      </c>
      <c r="Q38" s="191"/>
      <c r="R38" s="191"/>
      <c r="S38" s="191" t="n">
        <v>146.6</v>
      </c>
      <c r="T38" s="184" t="n">
        <v>0.0965</v>
      </c>
      <c r="U38" s="184" t="n">
        <v>0.0942987779679671</v>
      </c>
      <c r="X38" s="125" t="n">
        <v>16.69646</v>
      </c>
      <c r="Y38" s="125" t="n">
        <v>16.3156038796999</v>
      </c>
      <c r="Z38" s="184" t="n">
        <v>1.148</v>
      </c>
      <c r="AA38" s="184" t="n">
        <v>1.12181344152566</v>
      </c>
      <c r="AB38" s="182" t="n">
        <v>4.4</v>
      </c>
      <c r="AC38" s="182" t="n">
        <v>4.2996333995757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29"/>
      <c r="G39" s="117" t="n">
        <v>35.6506</v>
      </c>
      <c r="H39" s="131" t="n">
        <v>80</v>
      </c>
      <c r="I39" s="119" t="n">
        <v>78</v>
      </c>
      <c r="J39" s="190"/>
      <c r="K39" s="190"/>
      <c r="L39" s="190"/>
      <c r="M39" s="190"/>
      <c r="N39" s="190"/>
      <c r="O39" s="190"/>
      <c r="P39" s="190" t="n">
        <v>3.329</v>
      </c>
      <c r="Q39" s="190"/>
      <c r="R39" s="190"/>
      <c r="S39" s="190" t="n">
        <v>144.9</v>
      </c>
      <c r="T39" s="184" t="n">
        <v>0.138</v>
      </c>
      <c r="U39" s="184" t="n">
        <v>0.134852138441238</v>
      </c>
      <c r="X39" s="125" t="n">
        <v>16.97312</v>
      </c>
      <c r="Y39" s="125" t="n">
        <v>16.5859531015923</v>
      </c>
      <c r="Z39" s="184" t="n">
        <v>1.131</v>
      </c>
      <c r="AA39" s="184" t="n">
        <v>1.10520122157275</v>
      </c>
      <c r="AB39" s="182" t="n">
        <v>4.21</v>
      </c>
      <c r="AC39" s="182" t="n">
        <v>4.11396741186675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29"/>
      <c r="G40" s="117" t="n">
        <v>35.6504</v>
      </c>
      <c r="H40" s="131" t="n">
        <v>80</v>
      </c>
      <c r="I40" s="119" t="n">
        <v>78</v>
      </c>
      <c r="J40" s="190"/>
      <c r="K40" s="190"/>
      <c r="L40" s="190"/>
      <c r="M40" s="190"/>
      <c r="N40" s="190"/>
      <c r="O40" s="190"/>
      <c r="P40" s="190" t="n">
        <v>3.316</v>
      </c>
      <c r="Q40" s="190"/>
      <c r="R40" s="190"/>
      <c r="S40" s="190" t="n">
        <v>144.3</v>
      </c>
      <c r="T40" s="184" t="n">
        <v>0.132</v>
      </c>
      <c r="U40" s="184" t="n">
        <v>0.128989001987271</v>
      </c>
      <c r="X40" s="125" t="n">
        <v>16.95688</v>
      </c>
      <c r="Y40" s="125" t="n">
        <v>16.5700835455903</v>
      </c>
      <c r="Z40" s="184" t="n">
        <v>1.135</v>
      </c>
      <c r="AA40" s="184" t="n">
        <v>1.10910997920873</v>
      </c>
      <c r="AB40" s="182" t="n">
        <v>3.96</v>
      </c>
      <c r="AC40" s="182" t="n">
        <v>3.86967005961813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29"/>
      <c r="G41" s="117" t="n">
        <v>35.7406</v>
      </c>
      <c r="H41" s="118" t="n">
        <v>60</v>
      </c>
      <c r="I41" s="119" t="n">
        <v>58</v>
      </c>
      <c r="J41" s="190"/>
      <c r="K41" s="190"/>
      <c r="L41" s="190"/>
      <c r="M41" s="190"/>
      <c r="N41" s="190"/>
      <c r="O41" s="190"/>
      <c r="P41" s="190" t="n">
        <v>3.776</v>
      </c>
      <c r="Q41" s="190"/>
      <c r="R41" s="190"/>
      <c r="S41" s="190" t="n">
        <v>164.4</v>
      </c>
      <c r="T41" s="124" t="n">
        <v>0.285</v>
      </c>
      <c r="U41" s="184" t="n">
        <v>0.278498981563426</v>
      </c>
      <c r="X41" s="125" t="n">
        <v>9.8078</v>
      </c>
      <c r="Y41" s="125" t="n">
        <v>9.58407828553604</v>
      </c>
      <c r="Z41" s="124" t="n">
        <v>0.753</v>
      </c>
      <c r="AA41" s="184" t="n">
        <v>0.735823624972842</v>
      </c>
      <c r="AB41" s="125" t="n">
        <v>2.15</v>
      </c>
      <c r="AC41" s="182" t="n">
        <v>2.10095722933813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29"/>
      <c r="G42" s="117" t="n">
        <v>35.3586</v>
      </c>
      <c r="H42" s="131" t="n">
        <v>40</v>
      </c>
      <c r="I42" s="119" t="n">
        <v>39</v>
      </c>
      <c r="J42" s="190"/>
      <c r="K42" s="190"/>
      <c r="L42" s="190"/>
      <c r="M42" s="190"/>
      <c r="N42" s="190"/>
      <c r="O42" s="190"/>
      <c r="P42" s="190" t="n">
        <v>4.729</v>
      </c>
      <c r="Q42" s="190"/>
      <c r="R42" s="190"/>
      <c r="S42" s="190" t="n">
        <v>206.4</v>
      </c>
      <c r="T42" s="124" t="n">
        <v>0.008</v>
      </c>
      <c r="U42" s="184" t="n">
        <v>0.00781751527195582</v>
      </c>
      <c r="X42" s="125" t="n">
        <v>0.32712</v>
      </c>
      <c r="Y42" s="125" t="n">
        <v>0.319658199470273</v>
      </c>
      <c r="Z42" s="124" t="n">
        <v>0.041</v>
      </c>
      <c r="AA42" s="184" t="n">
        <v>0.0400647657687736</v>
      </c>
      <c r="AB42" s="125" t="n">
        <v>0.68</v>
      </c>
      <c r="AC42" s="182" t="n">
        <v>0.664488798116245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29"/>
      <c r="G43" s="117" t="n">
        <v>34.9293</v>
      </c>
      <c r="H43" s="131" t="n">
        <v>20</v>
      </c>
      <c r="I43" s="119" t="n">
        <v>19</v>
      </c>
      <c r="J43" s="190"/>
      <c r="K43" s="190"/>
      <c r="L43" s="190"/>
      <c r="M43" s="190"/>
      <c r="N43" s="190"/>
      <c r="O43" s="190"/>
      <c r="P43" s="190" t="n">
        <v>4.719</v>
      </c>
      <c r="Q43" s="190"/>
      <c r="R43" s="190"/>
      <c r="S43" s="190" t="n">
        <v>206.1</v>
      </c>
      <c r="T43" s="124" t="n">
        <v>0.013</v>
      </c>
      <c r="U43" s="184" t="n">
        <v>0.0127034623169282</v>
      </c>
      <c r="X43" s="125" t="n">
        <v>0.01972</v>
      </c>
      <c r="Y43" s="125" t="n">
        <v>0.0192701751453711</v>
      </c>
      <c r="Z43" s="124" t="n">
        <v>0.00299999999999999</v>
      </c>
      <c r="AA43" s="184" t="n">
        <v>0.00293156822698342</v>
      </c>
      <c r="AB43" s="125" t="n">
        <v>0.45</v>
      </c>
      <c r="AC43" s="182" t="n">
        <v>0.439735234047515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29"/>
      <c r="G44" s="117" t="n">
        <v>34.633</v>
      </c>
      <c r="H44" s="131" t="n">
        <v>10</v>
      </c>
      <c r="I44" s="119" t="n">
        <v>9</v>
      </c>
      <c r="J44" s="190"/>
      <c r="K44" s="190"/>
      <c r="L44" s="190"/>
      <c r="M44" s="190"/>
      <c r="N44" s="190"/>
      <c r="O44" s="190"/>
      <c r="P44" s="190" t="n">
        <v>4.576</v>
      </c>
      <c r="Q44" s="190"/>
      <c r="R44" s="190"/>
      <c r="S44" s="190" t="n">
        <v>199.9</v>
      </c>
      <c r="T44" s="124" t="n">
        <v>0.009</v>
      </c>
      <c r="U44" s="184" t="n">
        <v>0.0087947046809503</v>
      </c>
      <c r="X44" s="125" t="n">
        <v>0.04756</v>
      </c>
      <c r="Y44" s="125" t="n">
        <v>0.0464751282917773</v>
      </c>
      <c r="Z44" s="124" t="n">
        <v>0.00199999999999999</v>
      </c>
      <c r="AA44" s="184" t="n">
        <v>0.00195437881798894</v>
      </c>
      <c r="AB44" s="125" t="n">
        <v>0.48</v>
      </c>
      <c r="AC44" s="182" t="n">
        <v>0.469050916317349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29"/>
      <c r="G45" s="117" t="n">
        <v>34.6307</v>
      </c>
      <c r="H45" s="131" t="n">
        <v>0</v>
      </c>
      <c r="I45" s="119" t="n">
        <v>0.5</v>
      </c>
      <c r="J45" s="190"/>
      <c r="K45" s="190"/>
      <c r="L45" s="190"/>
      <c r="M45" s="190"/>
      <c r="N45" s="190"/>
      <c r="O45" s="190"/>
      <c r="P45" s="190" t="n">
        <v>4.569</v>
      </c>
      <c r="Q45" s="190"/>
      <c r="R45" s="190"/>
      <c r="S45" s="190" t="n">
        <v>199.7</v>
      </c>
      <c r="T45" s="124" t="n">
        <v>0</v>
      </c>
      <c r="U45" s="184" t="n">
        <v>0</v>
      </c>
      <c r="X45" s="125" t="n">
        <v>0.1508</v>
      </c>
      <c r="Y45" s="125" t="n">
        <v>0.147360162876367</v>
      </c>
      <c r="Z45" s="124" t="n">
        <v>0.059</v>
      </c>
      <c r="AA45" s="184" t="n">
        <v>0.0576541751306741</v>
      </c>
      <c r="AB45" s="125" t="n">
        <v>0.23</v>
      </c>
      <c r="AC45" s="182" t="n">
        <v>0.22475356406873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5"/>
      <c r="H46" s="145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32"/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S46" s="132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4"/>
      <c r="H47" s="154"/>
      <c r="I47" s="154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Flac.",#REF!/M47)))))))))</f>
        <v/>
      </c>
      <c r="S47" s="132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4"/>
      <c r="H48" s="154"/>
      <c r="I48" s="154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Flac.",#REF!/M48)))))))))</f>
        <v/>
      </c>
      <c r="S48" s="132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5" activeCellId="1" sqref="U45 T35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37589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2</v>
      </c>
      <c r="J9" s="29" t="n">
        <v>29.53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2°29,53</v>
      </c>
      <c r="P9" s="29" t="s">
        <v>13</v>
      </c>
      <c r="Q9" s="33" t="n">
        <f aca="false">IF(ISBLANK(I9),"",IF(ISBLANK(J9),"",IF(J9&gt;60,"ERREUR !!",O11*(I9+(J9/60)))))</f>
        <v>2.49216666666667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20.01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2°20,01</v>
      </c>
      <c r="P10" s="29" t="s">
        <v>14</v>
      </c>
      <c r="Q10" s="33" t="n">
        <f aca="false">IF(ISBLANK(I10),"",IF(ISBLANK(J10),"",IF(J10&gt;60,"ERREUR !!",O12*(I10+(J10/60)))))</f>
        <v>2.3335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37589</v>
      </c>
      <c r="K11" s="38"/>
      <c r="L11" s="38"/>
      <c r="M11" s="38"/>
      <c r="N11" s="39" t="str">
        <f aca="false">I9&amp;"°"&amp;J9</f>
        <v>2°29,53</v>
      </c>
      <c r="O11" s="40" t="n">
        <f aca="false">IF(P9=M10,-1,1)</f>
        <v>1</v>
      </c>
      <c r="P11" s="41" t="str">
        <f aca="false">TEXT(J11,"aaaa-mm-jj")&amp;"T"&amp;TEXT(J12,"hh:mm:ss")&amp;"z"</f>
        <v>2006-11-30T10:00:00z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0.416666666666667</v>
      </c>
      <c r="K12" s="45"/>
      <c r="L12" s="45"/>
      <c r="M12" s="45"/>
      <c r="N12" s="46" t="str">
        <f aca="false">I10&amp;"°"&amp;J10</f>
        <v>2°20,01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5"/>
      <c r="G35" s="117" t="n">
        <v>34.6594</v>
      </c>
      <c r="H35" s="118" t="n">
        <v>1000</v>
      </c>
      <c r="I35" s="119" t="n">
        <v>1012</v>
      </c>
      <c r="J35" s="189"/>
      <c r="K35" s="189"/>
      <c r="L35" s="189"/>
      <c r="M35" s="189"/>
      <c r="N35" s="189"/>
      <c r="O35" s="189"/>
      <c r="P35" s="189"/>
      <c r="Q35" s="189"/>
      <c r="R35" s="189"/>
      <c r="S35" s="189"/>
      <c r="T35" s="124" t="n">
        <v>0.018</v>
      </c>
      <c r="U35" s="184" t="n">
        <v>0.0175894093619006</v>
      </c>
      <c r="X35" s="125" t="n">
        <v>33.81632</v>
      </c>
      <c r="Y35" s="125" t="n">
        <v>33.0449497551681</v>
      </c>
      <c r="Z35" s="124" t="n">
        <v>2.448</v>
      </c>
      <c r="AA35" s="184" t="n">
        <v>2.39215967321848</v>
      </c>
      <c r="AB35" s="125" t="n">
        <v>30.11</v>
      </c>
      <c r="AC35" s="182" t="n">
        <v>29.4231731048237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29"/>
      <c r="G36" s="117" t="n">
        <v>34.5536</v>
      </c>
      <c r="H36" s="118" t="n">
        <v>600</v>
      </c>
      <c r="I36" s="119" t="n">
        <v>600</v>
      </c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24" t="n">
        <v>0.009</v>
      </c>
      <c r="U36" s="184" t="n">
        <v>0.0087947046809503</v>
      </c>
      <c r="X36" s="125" t="n">
        <v>36.98196</v>
      </c>
      <c r="Y36" s="125" t="n">
        <v>36.1383796358574</v>
      </c>
      <c r="Z36" s="124" t="n">
        <v>2.527</v>
      </c>
      <c r="AA36" s="184" t="n">
        <v>2.46935763652904</v>
      </c>
      <c r="AB36" s="125" t="n">
        <v>24.21</v>
      </c>
      <c r="AC36" s="182" t="n">
        <v>23.6577555917563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29"/>
      <c r="G37" s="117" t="n">
        <v>35.0641</v>
      </c>
      <c r="H37" s="131" t="n">
        <v>300</v>
      </c>
      <c r="I37" s="119" t="n">
        <v>300</v>
      </c>
      <c r="J37" s="190"/>
      <c r="K37" s="190"/>
      <c r="L37" s="190"/>
      <c r="M37" s="190"/>
      <c r="N37" s="190"/>
      <c r="O37" s="190"/>
      <c r="P37" s="190"/>
      <c r="Q37" s="190"/>
      <c r="R37" s="190"/>
      <c r="S37" s="190"/>
      <c r="T37" s="124" t="n">
        <v>0.007</v>
      </c>
      <c r="U37" s="184" t="n">
        <v>0.00684032586296134</v>
      </c>
      <c r="X37" s="125" t="n">
        <v>33.45788</v>
      </c>
      <c r="Y37" s="125" t="n">
        <v>32.6946859834081</v>
      </c>
      <c r="Z37" s="124" t="n">
        <v>2.132</v>
      </c>
      <c r="AA37" s="184" t="n">
        <v>2.08336781997623</v>
      </c>
      <c r="AB37" s="125" t="n">
        <v>11.16</v>
      </c>
      <c r="AC37" s="182" t="n">
        <v>10.9054338043784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39"/>
      <c r="G38" s="117" t="n">
        <v>35.6214</v>
      </c>
      <c r="H38" s="131" t="n">
        <v>100</v>
      </c>
      <c r="I38" s="119" t="n">
        <v>100</v>
      </c>
      <c r="J38" s="191"/>
      <c r="K38" s="191"/>
      <c r="L38" s="191"/>
      <c r="M38" s="191"/>
      <c r="N38" s="191"/>
      <c r="O38" s="191"/>
      <c r="P38" s="191" t="n">
        <v>2.534</v>
      </c>
      <c r="Q38" s="191"/>
      <c r="R38" s="191"/>
      <c r="S38" s="191" t="n">
        <v>110.3</v>
      </c>
      <c r="T38" s="124" t="n">
        <v>0.019</v>
      </c>
      <c r="U38" s="184" t="n">
        <v>0.0185665987708951</v>
      </c>
      <c r="X38" s="125" t="n">
        <v>19.57036</v>
      </c>
      <c r="Y38" s="125" t="n">
        <v>19.1239485222092</v>
      </c>
      <c r="Z38" s="124" t="n">
        <v>1.387</v>
      </c>
      <c r="AA38" s="184" t="n">
        <v>1.35536171027534</v>
      </c>
      <c r="AB38" s="125" t="n">
        <v>3.79</v>
      </c>
      <c r="AC38" s="182" t="n">
        <v>3.70354786008907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6.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29"/>
      <c r="G39" s="117" t="n">
        <v>35.7086</v>
      </c>
      <c r="H39" s="131" t="n">
        <v>80</v>
      </c>
      <c r="I39" s="119" t="n">
        <v>80</v>
      </c>
      <c r="J39" s="190"/>
      <c r="K39" s="190"/>
      <c r="L39" s="190"/>
      <c r="M39" s="190"/>
      <c r="N39" s="190"/>
      <c r="O39" s="190"/>
      <c r="P39" s="190" t="n">
        <v>2.906</v>
      </c>
      <c r="Q39" s="190"/>
      <c r="R39" s="190"/>
      <c r="S39" s="190" t="n">
        <v>126.5</v>
      </c>
      <c r="T39" s="184" t="n">
        <v>0.039</v>
      </c>
      <c r="U39" s="184" t="n">
        <v>0.0381103869507846</v>
      </c>
      <c r="X39" s="125" t="n">
        <v>17.18076</v>
      </c>
      <c r="Y39" s="125" t="n">
        <v>16.788856710476</v>
      </c>
      <c r="Z39" s="184" t="n">
        <v>1.1995</v>
      </c>
      <c r="AA39" s="184" t="n">
        <v>1.17213869608888</v>
      </c>
      <c r="AB39" s="182" t="n">
        <v>3.06</v>
      </c>
      <c r="AC39" s="182" t="n">
        <v>2.9901995915231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29"/>
      <c r="G40" s="117" t="n">
        <v>35.7543</v>
      </c>
      <c r="H40" s="118" t="n">
        <v>60</v>
      </c>
      <c r="I40" s="119" t="n">
        <v>60</v>
      </c>
      <c r="J40" s="190"/>
      <c r="K40" s="190"/>
      <c r="L40" s="190"/>
      <c r="M40" s="190"/>
      <c r="N40" s="190"/>
      <c r="O40" s="190"/>
      <c r="P40" s="190" t="n">
        <v>3.535</v>
      </c>
      <c r="Q40" s="190"/>
      <c r="R40" s="190"/>
      <c r="S40" s="190" t="n">
        <v>153.9</v>
      </c>
      <c r="T40" s="184" t="n">
        <v>0.577</v>
      </c>
      <c r="U40" s="184" t="n">
        <v>0.563838288989814</v>
      </c>
      <c r="X40" s="125" t="n">
        <v>12.05588</v>
      </c>
      <c r="Y40" s="125" t="n">
        <v>11.7808782521083</v>
      </c>
      <c r="Z40" s="184" t="n">
        <v>0.924</v>
      </c>
      <c r="AA40" s="184" t="n">
        <v>0.902923013910897</v>
      </c>
      <c r="AB40" s="182" t="n">
        <v>1.96</v>
      </c>
      <c r="AC40" s="182" t="n">
        <v>1.91529124162918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29"/>
      <c r="G41" s="117" t="n">
        <v>35.7515</v>
      </c>
      <c r="H41" s="118" t="n">
        <v>60</v>
      </c>
      <c r="I41" s="119" t="n">
        <v>60</v>
      </c>
      <c r="J41" s="190"/>
      <c r="K41" s="190"/>
      <c r="L41" s="190"/>
      <c r="M41" s="190"/>
      <c r="N41" s="190"/>
      <c r="O41" s="190"/>
      <c r="P41" s="190" t="n">
        <v>3.607</v>
      </c>
      <c r="Q41" s="190"/>
      <c r="R41" s="190"/>
      <c r="S41" s="190" t="n">
        <v>157</v>
      </c>
      <c r="T41" s="184" t="n">
        <v>0.723</v>
      </c>
      <c r="U41" s="184" t="n">
        <v>0.706507942703007</v>
      </c>
      <c r="X41" s="125" t="n">
        <v>11.36452</v>
      </c>
      <c r="Y41" s="125" t="n">
        <v>11.1052885823059</v>
      </c>
      <c r="Z41" s="184" t="n">
        <v>0.877</v>
      </c>
      <c r="AA41" s="184" t="n">
        <v>0.856995111688157</v>
      </c>
      <c r="AB41" s="182" t="n">
        <v>1.58</v>
      </c>
      <c r="AC41" s="182" t="n">
        <v>1.54395926621127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29"/>
      <c r="G42" s="117" t="n">
        <v>35.3333</v>
      </c>
      <c r="H42" s="131" t="n">
        <v>40</v>
      </c>
      <c r="I42" s="119" t="n">
        <v>40</v>
      </c>
      <c r="J42" s="190"/>
      <c r="K42" s="190"/>
      <c r="L42" s="190"/>
      <c r="M42" s="190"/>
      <c r="N42" s="190"/>
      <c r="O42" s="190"/>
      <c r="P42" s="190" t="n">
        <v>4.652</v>
      </c>
      <c r="Q42" s="190"/>
      <c r="R42" s="190"/>
      <c r="S42" s="190" t="n">
        <v>203</v>
      </c>
      <c r="T42" s="124" t="n">
        <v>0.012</v>
      </c>
      <c r="U42" s="184" t="n">
        <v>0.0117262729079337</v>
      </c>
      <c r="X42" s="125" t="n">
        <v>0.14848</v>
      </c>
      <c r="Y42" s="125" t="n">
        <v>0.1450930834475</v>
      </c>
      <c r="Z42" s="124" t="n">
        <v>0.053</v>
      </c>
      <c r="AA42" s="184" t="n">
        <v>0.0517910386767073</v>
      </c>
      <c r="AB42" s="125" t="n">
        <v>0</v>
      </c>
      <c r="AC42" s="182" t="n">
        <v>0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29"/>
      <c r="G43" s="117" t="n">
        <v>35.1919</v>
      </c>
      <c r="H43" s="131" t="n">
        <v>20</v>
      </c>
      <c r="I43" s="119" t="n">
        <v>20</v>
      </c>
      <c r="J43" s="190"/>
      <c r="K43" s="190"/>
      <c r="L43" s="190"/>
      <c r="M43" s="190"/>
      <c r="N43" s="190"/>
      <c r="O43" s="190"/>
      <c r="P43" s="190" t="n">
        <v>4.772</v>
      </c>
      <c r="Q43" s="190"/>
      <c r="R43" s="190"/>
      <c r="S43" s="190" t="n">
        <v>208.4</v>
      </c>
      <c r="T43" s="124" t="n">
        <v>0.014</v>
      </c>
      <c r="U43" s="184" t="n">
        <v>0.0136806517259227</v>
      </c>
      <c r="X43" s="125" t="n">
        <v>0.13456</v>
      </c>
      <c r="Y43" s="125" t="n">
        <v>0.131490606874297</v>
      </c>
      <c r="Z43" s="124" t="n">
        <v>0.013</v>
      </c>
      <c r="AA43" s="184" t="n">
        <v>0.0127034623169282</v>
      </c>
      <c r="AB43" s="125" t="n">
        <v>0.1</v>
      </c>
      <c r="AC43" s="182" t="n">
        <v>0.0977189408994478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29"/>
      <c r="G44" s="117" t="n">
        <v>34.5679</v>
      </c>
      <c r="H44" s="131" t="n">
        <v>10</v>
      </c>
      <c r="I44" s="119" t="n">
        <v>10</v>
      </c>
      <c r="J44" s="190"/>
      <c r="K44" s="190"/>
      <c r="L44" s="190"/>
      <c r="M44" s="190"/>
      <c r="N44" s="190"/>
      <c r="O44" s="190"/>
      <c r="P44" s="190" t="n">
        <v>4.589</v>
      </c>
      <c r="Q44" s="190"/>
      <c r="R44" s="190"/>
      <c r="S44" s="190" t="n">
        <v>200.5</v>
      </c>
      <c r="T44" s="124" t="n">
        <v>0.018</v>
      </c>
      <c r="U44" s="184" t="n">
        <v>0.0175894093619006</v>
      </c>
      <c r="X44" s="125" t="n">
        <v>0.12992</v>
      </c>
      <c r="Y44" s="125" t="n">
        <v>0.126956448016563</v>
      </c>
      <c r="Z44" s="124" t="n">
        <v>0.029</v>
      </c>
      <c r="AA44" s="184" t="n">
        <v>0.0283384928608398</v>
      </c>
      <c r="AB44" s="125" t="n">
        <v>0.44</v>
      </c>
      <c r="AC44" s="182" t="n">
        <v>0.42996333995757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29"/>
      <c r="G45" s="117" t="n">
        <v>34.4734</v>
      </c>
      <c r="H45" s="131" t="n">
        <v>0</v>
      </c>
      <c r="I45" s="119" t="n">
        <v>0.3</v>
      </c>
      <c r="J45" s="190"/>
      <c r="K45" s="190"/>
      <c r="L45" s="190"/>
      <c r="M45" s="190"/>
      <c r="N45" s="190"/>
      <c r="O45" s="190"/>
      <c r="P45" s="190" t="n">
        <v>4.556</v>
      </c>
      <c r="Q45" s="190"/>
      <c r="R45" s="190"/>
      <c r="S45" s="190" t="n">
        <v>199.2</v>
      </c>
      <c r="T45" s="124" t="n">
        <v>0.022</v>
      </c>
      <c r="U45" s="184" t="n">
        <v>0.0214981669978785</v>
      </c>
      <c r="X45" s="125" t="n">
        <v>0.06728</v>
      </c>
      <c r="Y45" s="125" t="n">
        <v>0.0657453034371484</v>
      </c>
      <c r="Z45" s="124" t="n">
        <v>0.04</v>
      </c>
      <c r="AA45" s="184" t="n">
        <v>0.0390875763597791</v>
      </c>
      <c r="AB45" s="125" t="n">
        <v>0.45</v>
      </c>
      <c r="AC45" s="182" t="n">
        <v>0.439735234047515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5"/>
      <c r="H46" s="145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32"/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S46" s="132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4"/>
      <c r="H47" s="154"/>
      <c r="I47" s="154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Flac.",#REF!/M47)))))))))</f>
        <v/>
      </c>
      <c r="S47" s="132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4"/>
      <c r="H48" s="154"/>
      <c r="I48" s="154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Flac.",#REF!/M48)))))))))</f>
        <v/>
      </c>
      <c r="S48" s="132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A13" activeCellId="1" sqref="U45 AA13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37590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3</v>
      </c>
      <c r="J9" s="29" t="n">
        <v>0.21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3°0,21</v>
      </c>
      <c r="P9" s="29" t="s">
        <v>13</v>
      </c>
      <c r="Q9" s="33" t="n">
        <f aca="false">IF(ISBLANK(I9),"",IF(ISBLANK(J9),"",IF(J9&gt;60,"ERREUR !!",O11*(I9+(J9/60)))))</f>
        <v>3.0035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19.96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2°19,96</v>
      </c>
      <c r="P10" s="29" t="s">
        <v>14</v>
      </c>
      <c r="Q10" s="33" t="n">
        <f aca="false">IF(ISBLANK(I10),"",IF(ISBLANK(J10),"",IF(J10&gt;60,"ERREUR !!",O12*(I10+(J10/60)))))</f>
        <v>2.33266666666667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37589</v>
      </c>
      <c r="K11" s="38"/>
      <c r="L11" s="38"/>
      <c r="M11" s="38"/>
      <c r="N11" s="39" t="str">
        <f aca="false">I9&amp;"°"&amp;J9</f>
        <v>3°0,21</v>
      </c>
      <c r="O11" s="40" t="n">
        <f aca="false">IF(P9=M10,-1,1)</f>
        <v>1</v>
      </c>
      <c r="P11" s="41" t="str">
        <f aca="false">TEXT(J11,"aaaa-mm-jj")&amp;"T"&amp;TEXT(J12,"hh:mm:ss")&amp;"z"</f>
        <v>2006-11-30T14:30:00z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0.604166666666667</v>
      </c>
      <c r="K12" s="45"/>
      <c r="L12" s="45"/>
      <c r="M12" s="45"/>
      <c r="N12" s="46" t="str">
        <f aca="false">I10&amp;"°"&amp;J10</f>
        <v>2°19,96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5"/>
      <c r="G35" s="117" t="n">
        <v>34.6391</v>
      </c>
      <c r="H35" s="118" t="n">
        <v>1000</v>
      </c>
      <c r="I35" s="119" t="n">
        <v>1003</v>
      </c>
      <c r="J35" s="189"/>
      <c r="K35" s="189"/>
      <c r="L35" s="189"/>
      <c r="M35" s="189"/>
      <c r="N35" s="189"/>
      <c r="O35" s="189"/>
      <c r="P35" s="189" t="n">
        <v>3.414</v>
      </c>
      <c r="Q35" s="189"/>
      <c r="R35" s="189"/>
      <c r="S35" s="189" t="n">
        <v>148.5</v>
      </c>
      <c r="T35" s="124" t="n">
        <v>0.023</v>
      </c>
      <c r="U35" s="184" t="n">
        <v>0.022475356406873</v>
      </c>
      <c r="X35" s="125" t="n">
        <v>35.62012</v>
      </c>
      <c r="Y35" s="125" t="n">
        <v>34.8076040111124</v>
      </c>
      <c r="Z35" s="124" t="n">
        <v>2.476</v>
      </c>
      <c r="AA35" s="184" t="n">
        <v>2.41952097667033</v>
      </c>
      <c r="AB35" s="125" t="n">
        <v>30.18</v>
      </c>
      <c r="AC35" s="182" t="n">
        <v>29.4915763634533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29"/>
      <c r="G36" s="117" t="n">
        <v>34.5929</v>
      </c>
      <c r="H36" s="118" t="n">
        <v>600</v>
      </c>
      <c r="I36" s="119" t="n">
        <v>599</v>
      </c>
      <c r="J36" s="190"/>
      <c r="K36" s="190"/>
      <c r="L36" s="190"/>
      <c r="M36" s="190"/>
      <c r="N36" s="190"/>
      <c r="O36" s="190"/>
      <c r="P36" s="190" t="n">
        <v>2.506</v>
      </c>
      <c r="Q36" s="190"/>
      <c r="R36" s="190"/>
      <c r="S36" s="190" t="n">
        <v>109</v>
      </c>
      <c r="T36" s="124" t="n">
        <v>0.022</v>
      </c>
      <c r="U36" s="184" t="n">
        <v>0.0214981669978785</v>
      </c>
      <c r="X36" s="125" t="n">
        <v>38.84608</v>
      </c>
      <c r="Y36" s="125" t="n">
        <v>37.9599779569522</v>
      </c>
      <c r="Z36" s="124" t="n">
        <v>2.562</v>
      </c>
      <c r="AA36" s="184" t="n">
        <v>2.50355926584385</v>
      </c>
      <c r="AB36" s="125" t="n">
        <v>22.93</v>
      </c>
      <c r="AC36" s="182" t="n">
        <v>22.4069531482434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29"/>
      <c r="G37" s="117" t="n">
        <v>35.0846</v>
      </c>
      <c r="H37" s="131" t="n">
        <v>300</v>
      </c>
      <c r="I37" s="119" t="n">
        <v>299</v>
      </c>
      <c r="J37" s="190"/>
      <c r="K37" s="190"/>
      <c r="L37" s="190"/>
      <c r="M37" s="190"/>
      <c r="N37" s="190"/>
      <c r="O37" s="190"/>
      <c r="P37" s="190" t="n">
        <v>1.446</v>
      </c>
      <c r="Q37" s="190"/>
      <c r="R37" s="190"/>
      <c r="S37" s="190" t="n">
        <v>62.9</v>
      </c>
      <c r="T37" s="124" t="n">
        <v>0.024</v>
      </c>
      <c r="U37" s="184" t="n">
        <v>0.0234525458158675</v>
      </c>
      <c r="X37" s="125" t="n">
        <v>32.68416</v>
      </c>
      <c r="Y37" s="125" t="n">
        <v>31.9386149938809</v>
      </c>
      <c r="Z37" s="124" t="n">
        <v>2.075</v>
      </c>
      <c r="AA37" s="184" t="n">
        <v>2.02766802366354</v>
      </c>
      <c r="AB37" s="125" t="n">
        <v>9.57</v>
      </c>
      <c r="AC37" s="182" t="n">
        <v>9.35170264407715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39"/>
      <c r="G38" s="117" t="n">
        <v>35.6913</v>
      </c>
      <c r="H38" s="131" t="n">
        <v>100</v>
      </c>
      <c r="I38" s="119" t="n">
        <v>98</v>
      </c>
      <c r="J38" s="191"/>
      <c r="K38" s="191"/>
      <c r="L38" s="191"/>
      <c r="M38" s="191"/>
      <c r="N38" s="191"/>
      <c r="O38" s="191"/>
      <c r="P38" s="191" t="n">
        <v>2.995</v>
      </c>
      <c r="Q38" s="191"/>
      <c r="R38" s="191"/>
      <c r="S38" s="191" t="n">
        <v>130.4</v>
      </c>
      <c r="T38" s="192" t="n">
        <v>0.026</v>
      </c>
      <c r="U38" s="193" t="n">
        <v>0.0254069246338564</v>
      </c>
      <c r="X38" s="194" t="n">
        <v>16.08224</v>
      </c>
      <c r="Y38" s="194" t="n">
        <v>15.7153946009073</v>
      </c>
      <c r="Z38" s="192" t="n">
        <v>1.189</v>
      </c>
      <c r="AA38" s="193" t="n">
        <v>1.16187820729443</v>
      </c>
      <c r="AB38" s="194" t="n">
        <v>3.07</v>
      </c>
      <c r="AC38" s="195" t="n">
        <v>2.99997148561305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6.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29"/>
      <c r="G39" s="117" t="n">
        <v>35.7302</v>
      </c>
      <c r="H39" s="131" t="n">
        <v>80</v>
      </c>
      <c r="I39" s="119" t="n">
        <v>79</v>
      </c>
      <c r="J39" s="190"/>
      <c r="K39" s="190"/>
      <c r="L39" s="190"/>
      <c r="M39" s="190"/>
      <c r="N39" s="190"/>
      <c r="O39" s="190"/>
      <c r="P39" s="190" t="n">
        <v>2.925</v>
      </c>
      <c r="Q39" s="190"/>
      <c r="R39" s="190"/>
      <c r="S39" s="190" t="n">
        <v>127.3</v>
      </c>
      <c r="T39" s="124" t="n">
        <v>0.053</v>
      </c>
      <c r="U39" s="184" t="n">
        <v>0.0517910386767073</v>
      </c>
      <c r="X39" s="125" t="n">
        <v>16.03932</v>
      </c>
      <c r="Y39" s="125" t="n">
        <v>15.6734536314733</v>
      </c>
      <c r="Z39" s="124" t="n">
        <v>1.178</v>
      </c>
      <c r="AA39" s="184" t="n">
        <v>1.15112912379549</v>
      </c>
      <c r="AB39" s="125" t="n">
        <v>3.11</v>
      </c>
      <c r="AC39" s="182" t="n">
        <v>3.03905906197282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29"/>
      <c r="G40" s="117" t="n">
        <v>35.8079</v>
      </c>
      <c r="H40" s="118" t="n">
        <v>60</v>
      </c>
      <c r="I40" s="119" t="n">
        <v>58</v>
      </c>
      <c r="J40" s="190"/>
      <c r="K40" s="190"/>
      <c r="L40" s="190"/>
      <c r="M40" s="190"/>
      <c r="N40" s="190"/>
      <c r="O40" s="190"/>
      <c r="P40" s="190" t="n">
        <v>3.252</v>
      </c>
      <c r="Q40" s="190"/>
      <c r="R40" s="190"/>
      <c r="S40" s="190" t="n">
        <v>141.6</v>
      </c>
      <c r="T40" s="184" t="n">
        <v>0.6785</v>
      </c>
      <c r="U40" s="184" t="n">
        <v>0.663023014002753</v>
      </c>
      <c r="X40" s="125" t="n">
        <v>12.34414</v>
      </c>
      <c r="Y40" s="125" t="n">
        <v>12.0625628711451</v>
      </c>
      <c r="Z40" s="184" t="n">
        <v>0.977</v>
      </c>
      <c r="AA40" s="184" t="n">
        <v>0.954714052587605</v>
      </c>
      <c r="AB40" s="182" t="n">
        <v>2.045</v>
      </c>
      <c r="AC40" s="182" t="n">
        <v>1.99835234139371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29"/>
      <c r="G41" s="117" t="n">
        <v>35.4344</v>
      </c>
      <c r="H41" s="131" t="n">
        <v>40</v>
      </c>
      <c r="I41" s="119" t="n">
        <v>40</v>
      </c>
      <c r="J41" s="190"/>
      <c r="K41" s="190"/>
      <c r="L41" s="190"/>
      <c r="M41" s="190"/>
      <c r="N41" s="190"/>
      <c r="O41" s="190"/>
      <c r="P41" s="190" t="n">
        <v>4.599</v>
      </c>
      <c r="Q41" s="190"/>
      <c r="R41" s="190"/>
      <c r="S41" s="190" t="n">
        <v>200.7</v>
      </c>
      <c r="T41" s="184" t="n">
        <v>0.056</v>
      </c>
      <c r="U41" s="184" t="n">
        <v>0.0547226069036907</v>
      </c>
      <c r="X41" s="125" t="n">
        <v>0.73544</v>
      </c>
      <c r="Y41" s="125" t="n">
        <v>0.718664178950898</v>
      </c>
      <c r="Z41" s="184" t="n">
        <v>0.116</v>
      </c>
      <c r="AA41" s="184" t="n">
        <v>0.113353971443359</v>
      </c>
      <c r="AB41" s="182" t="n">
        <v>0.33</v>
      </c>
      <c r="AC41" s="182" t="n">
        <v>0.322472504968178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29"/>
      <c r="G42" s="117" t="n">
        <v>35.4936</v>
      </c>
      <c r="H42" s="131" t="n">
        <v>40</v>
      </c>
      <c r="I42" s="119" t="n">
        <v>40</v>
      </c>
      <c r="J42" s="190"/>
      <c r="K42" s="190"/>
      <c r="L42" s="190"/>
      <c r="M42" s="190"/>
      <c r="N42" s="190"/>
      <c r="O42" s="190"/>
      <c r="P42" s="190" t="n">
        <v>4.398</v>
      </c>
      <c r="Q42" s="190"/>
      <c r="R42" s="190"/>
      <c r="S42" s="190" t="n">
        <v>191.9</v>
      </c>
      <c r="T42" s="185" t="s">
        <v>99</v>
      </c>
      <c r="U42" s="185" t="s">
        <v>99</v>
      </c>
      <c r="X42" s="196" t="s">
        <v>99</v>
      </c>
      <c r="Y42" s="196" t="s">
        <v>99</v>
      </c>
      <c r="Z42" s="185" t="s">
        <v>99</v>
      </c>
      <c r="AA42" s="185" t="s">
        <v>145</v>
      </c>
      <c r="AB42" s="186" t="s">
        <v>99</v>
      </c>
      <c r="AC42" s="186" t="s">
        <v>99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29"/>
      <c r="G43" s="117" t="n">
        <v>35.0647</v>
      </c>
      <c r="H43" s="131" t="n">
        <v>20</v>
      </c>
      <c r="I43" s="119" t="n">
        <v>20</v>
      </c>
      <c r="J43" s="190"/>
      <c r="K43" s="190"/>
      <c r="L43" s="190"/>
      <c r="M43" s="190"/>
      <c r="N43" s="190"/>
      <c r="O43" s="190"/>
      <c r="P43" s="190" t="n">
        <v>4.688</v>
      </c>
      <c r="Q43" s="190"/>
      <c r="R43" s="190"/>
      <c r="S43" s="190" t="n">
        <v>204.8</v>
      </c>
      <c r="T43" s="124" t="n">
        <v>0</v>
      </c>
      <c r="U43" s="184" t="n">
        <v>0</v>
      </c>
      <c r="X43" s="125" t="n">
        <v>0.1508</v>
      </c>
      <c r="Y43" s="125" t="n">
        <v>0.147360162876367</v>
      </c>
      <c r="Z43" s="124" t="n">
        <v>0.012</v>
      </c>
      <c r="AA43" s="184" t="n">
        <v>0.0117262729079337</v>
      </c>
      <c r="AB43" s="125" t="n">
        <v>0.41</v>
      </c>
      <c r="AC43" s="182" t="n">
        <v>0.400647657687736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29"/>
      <c r="G44" s="117" t="n">
        <v>34.2536</v>
      </c>
      <c r="H44" s="131" t="n">
        <v>10</v>
      </c>
      <c r="I44" s="119" t="n">
        <v>10</v>
      </c>
      <c r="J44" s="190"/>
      <c r="K44" s="190"/>
      <c r="L44" s="190"/>
      <c r="M44" s="190"/>
      <c r="N44" s="190"/>
      <c r="O44" s="190"/>
      <c r="P44" s="190" t="n">
        <v>4.58</v>
      </c>
      <c r="Q44" s="190"/>
      <c r="R44" s="190"/>
      <c r="S44" s="190" t="n">
        <v>200.2</v>
      </c>
      <c r="T44" s="124" t="n">
        <v>0.012</v>
      </c>
      <c r="U44" s="184" t="n">
        <v>0.0117262729079337</v>
      </c>
      <c r="X44" s="125" t="n">
        <v>0.16008</v>
      </c>
      <c r="Y44" s="125" t="n">
        <v>0.156428480591836</v>
      </c>
      <c r="Z44" s="124" t="n">
        <v>0.012</v>
      </c>
      <c r="AA44" s="184" t="n">
        <v>0.0117262729079337</v>
      </c>
      <c r="AB44" s="125" t="n">
        <v>0.68</v>
      </c>
      <c r="AC44" s="182" t="n">
        <v>0.664488798116245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29"/>
      <c r="G45" s="117" t="s">
        <v>99</v>
      </c>
      <c r="H45" s="131" t="n">
        <v>0</v>
      </c>
      <c r="I45" s="119" t="n">
        <v>0.4</v>
      </c>
      <c r="J45" s="190"/>
      <c r="K45" s="190"/>
      <c r="L45" s="190"/>
      <c r="M45" s="190"/>
      <c r="N45" s="190"/>
      <c r="O45" s="190"/>
      <c r="P45" s="190" t="n">
        <v>4.562</v>
      </c>
      <c r="Q45" s="190"/>
      <c r="R45" s="190"/>
      <c r="S45" s="190" t="n">
        <v>199.4</v>
      </c>
      <c r="T45" s="124" t="n">
        <v>0.003</v>
      </c>
      <c r="U45" s="184" t="n">
        <v>0.00293156822698343</v>
      </c>
      <c r="X45" s="125" t="n">
        <v>0.17052</v>
      </c>
      <c r="Y45" s="125" t="n">
        <v>0.166630338021738</v>
      </c>
      <c r="Z45" s="124" t="n">
        <v>0.011</v>
      </c>
      <c r="AA45" s="184" t="n">
        <v>0.0107490834989392</v>
      </c>
      <c r="AB45" s="125" t="n">
        <v>0.89</v>
      </c>
      <c r="AC45" s="182" t="n">
        <v>0.869698574005085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5"/>
      <c r="H46" s="145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32"/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S46" s="132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4"/>
      <c r="H47" s="154"/>
      <c r="I47" s="154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Flac.",#REF!/M47)))))))))</f>
        <v/>
      </c>
      <c r="S47" s="132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4"/>
      <c r="H48" s="154"/>
      <c r="I48" s="154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Flac.",#REF!/M48)))))))))</f>
        <v/>
      </c>
      <c r="S48" s="132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5" activeCellId="1" sqref="U45 T35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37590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3</v>
      </c>
      <c r="J9" s="29" t="n">
        <v>29.71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3°29,71</v>
      </c>
      <c r="P9" s="29" t="s">
        <v>13</v>
      </c>
      <c r="Q9" s="33" t="n">
        <f aca="false">IF(ISBLANK(I9),"",IF(ISBLANK(J9),"",IF(J9&gt;60,"ERREUR !!",O11*(I9+(J9/60)))))</f>
        <v>3.49516666666667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20.03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2°20,03</v>
      </c>
      <c r="P10" s="29" t="s">
        <v>14</v>
      </c>
      <c r="Q10" s="33" t="n">
        <f aca="false">IF(ISBLANK(I10),"",IF(ISBLANK(J10),"",IF(J10&gt;60,"ERREUR !!",O12*(I10+(J10/60)))))</f>
        <v>2.33383333333333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37589</v>
      </c>
      <c r="K11" s="38"/>
      <c r="L11" s="38"/>
      <c r="M11" s="38"/>
      <c r="N11" s="39" t="str">
        <f aca="false">I9&amp;"°"&amp;J9</f>
        <v>3°29,71</v>
      </c>
      <c r="O11" s="40" t="n">
        <f aca="false">IF(P9=M10,-1,1)</f>
        <v>1</v>
      </c>
      <c r="P11" s="41" t="str">
        <f aca="false">TEXT(J11,"aaaa-mm-jj")&amp;"T"&amp;TEXT(J12,"hh:mm:ss")&amp;"z"</f>
        <v>2006-11-30T19:00:00z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0.791666666666667</v>
      </c>
      <c r="K12" s="45"/>
      <c r="L12" s="45"/>
      <c r="M12" s="45"/>
      <c r="N12" s="46" t="str">
        <f aca="false">I10&amp;"°"&amp;J10</f>
        <v>2°20,03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5"/>
      <c r="G35" s="117" t="n">
        <v>34.6669</v>
      </c>
      <c r="H35" s="118" t="n">
        <v>1000</v>
      </c>
      <c r="I35" s="119" t="n">
        <v>1001.5</v>
      </c>
      <c r="J35" s="189"/>
      <c r="K35" s="189"/>
      <c r="L35" s="189"/>
      <c r="M35" s="189"/>
      <c r="N35" s="189"/>
      <c r="O35" s="189"/>
      <c r="P35" s="189" t="n">
        <v>3.512</v>
      </c>
      <c r="Q35" s="189"/>
      <c r="R35" s="189"/>
      <c r="S35" s="189" t="n">
        <v>152.7</v>
      </c>
      <c r="T35" s="124" t="n">
        <v>0.019</v>
      </c>
      <c r="U35" s="184" t="n">
        <v>0.0185665987708951</v>
      </c>
      <c r="X35" s="125" t="n">
        <v>33.35116</v>
      </c>
      <c r="Y35" s="125" t="n">
        <v>32.5904003296803</v>
      </c>
      <c r="Z35" s="124" t="n">
        <v>2.401</v>
      </c>
      <c r="AA35" s="184" t="n">
        <v>2.34623177099574</v>
      </c>
      <c r="AB35" s="125" t="n">
        <v>31.81</v>
      </c>
      <c r="AC35" s="182" t="n">
        <v>31.0843951001143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29"/>
      <c r="G36" s="117" t="n">
        <v>34.604</v>
      </c>
      <c r="H36" s="118" t="n">
        <v>600</v>
      </c>
      <c r="I36" s="119" t="n">
        <v>600</v>
      </c>
      <c r="J36" s="190"/>
      <c r="K36" s="190"/>
      <c r="L36" s="190"/>
      <c r="M36" s="190"/>
      <c r="N36" s="190"/>
      <c r="O36" s="190"/>
      <c r="P36" s="190" t="n">
        <v>2.359</v>
      </c>
      <c r="Q36" s="190"/>
      <c r="R36" s="190"/>
      <c r="S36" s="190" t="n">
        <v>102.6</v>
      </c>
      <c r="T36" s="124" t="n">
        <v>0.004</v>
      </c>
      <c r="U36" s="184" t="n">
        <v>0.00390875763597791</v>
      </c>
      <c r="X36" s="125" t="n">
        <v>37.54456</v>
      </c>
      <c r="Y36" s="125" t="n">
        <v>36.6881463973577</v>
      </c>
      <c r="Z36" s="124" t="n">
        <v>2.596</v>
      </c>
      <c r="AA36" s="184" t="n">
        <v>2.53678370574966</v>
      </c>
      <c r="AB36" s="125" t="n">
        <v>24.34</v>
      </c>
      <c r="AC36" s="182" t="n">
        <v>23.7847902149256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29"/>
      <c r="G37" s="117" t="n">
        <v>35.0837</v>
      </c>
      <c r="H37" s="131" t="n">
        <v>300</v>
      </c>
      <c r="I37" s="119" t="n">
        <v>301.6</v>
      </c>
      <c r="J37" s="190"/>
      <c r="K37" s="190"/>
      <c r="L37" s="190"/>
      <c r="M37" s="190"/>
      <c r="N37" s="190"/>
      <c r="O37" s="190"/>
      <c r="P37" s="190" t="n">
        <v>1.362</v>
      </c>
      <c r="Q37" s="190"/>
      <c r="R37" s="190"/>
      <c r="S37" s="190" t="n">
        <v>59.3</v>
      </c>
      <c r="T37" s="124" t="n">
        <v>0.008</v>
      </c>
      <c r="U37" s="184" t="n">
        <v>0.00781751527195582</v>
      </c>
      <c r="X37" s="125" t="n">
        <v>32.54032</v>
      </c>
      <c r="Y37" s="125" t="n">
        <v>31.7980560692912</v>
      </c>
      <c r="Z37" s="124" t="n">
        <v>2.117</v>
      </c>
      <c r="AA37" s="184" t="n">
        <v>2.06870997884131</v>
      </c>
      <c r="AB37" s="125" t="n">
        <v>13.25</v>
      </c>
      <c r="AC37" s="182" t="n">
        <v>12.9477596691768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39"/>
      <c r="G38" s="117" t="n">
        <v>35.7108</v>
      </c>
      <c r="H38" s="131" t="n">
        <v>100</v>
      </c>
      <c r="I38" s="119" t="n">
        <v>99.9</v>
      </c>
      <c r="J38" s="191"/>
      <c r="K38" s="191"/>
      <c r="L38" s="191"/>
      <c r="M38" s="191"/>
      <c r="N38" s="191"/>
      <c r="O38" s="191"/>
      <c r="P38" s="191" t="n">
        <v>2.947</v>
      </c>
      <c r="Q38" s="191"/>
      <c r="R38" s="191"/>
      <c r="S38" s="191" t="n">
        <v>128.3</v>
      </c>
      <c r="T38" s="124" t="n">
        <v>0.055</v>
      </c>
      <c r="U38" s="184" t="n">
        <v>0.0537454174946963</v>
      </c>
      <c r="X38" s="125" t="n">
        <v>15.9558</v>
      </c>
      <c r="Y38" s="125" t="n">
        <v>15.5918387720341</v>
      </c>
      <c r="Z38" s="124" t="n">
        <v>1.174</v>
      </c>
      <c r="AA38" s="184" t="n">
        <v>1.14722036615952</v>
      </c>
      <c r="AB38" s="125" t="n">
        <v>3.43</v>
      </c>
      <c r="AC38" s="182" t="n">
        <v>3.35175967285106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6.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29"/>
      <c r="G39" s="117" t="n">
        <v>35.7745</v>
      </c>
      <c r="H39" s="131" t="n">
        <v>80</v>
      </c>
      <c r="I39" s="119" t="n">
        <v>78.6</v>
      </c>
      <c r="J39" s="190"/>
      <c r="K39" s="190"/>
      <c r="L39" s="190"/>
      <c r="M39" s="190"/>
      <c r="N39" s="190"/>
      <c r="O39" s="190"/>
      <c r="P39" s="190" t="n">
        <v>3.275</v>
      </c>
      <c r="Q39" s="190"/>
      <c r="R39" s="190"/>
      <c r="S39" s="190" t="n">
        <v>142.6</v>
      </c>
      <c r="T39" s="124" t="n">
        <v>0.475</v>
      </c>
      <c r="U39" s="184" t="n">
        <v>0.464164969272377</v>
      </c>
      <c r="X39" s="125" t="n">
        <v>12.4758</v>
      </c>
      <c r="Y39" s="125" t="n">
        <v>12.1912196287333</v>
      </c>
      <c r="Z39" s="124" t="n">
        <v>0.995</v>
      </c>
      <c r="AA39" s="184" t="n">
        <v>0.972303461949505</v>
      </c>
      <c r="AB39" s="125" t="n">
        <v>2.43</v>
      </c>
      <c r="AC39" s="182" t="n">
        <v>2.37457026385658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29"/>
      <c r="G40" s="117" t="n">
        <v>35.7997</v>
      </c>
      <c r="H40" s="118" t="n">
        <v>60</v>
      </c>
      <c r="I40" s="119" t="n">
        <v>59.3</v>
      </c>
      <c r="J40" s="190"/>
      <c r="K40" s="190"/>
      <c r="L40" s="190"/>
      <c r="M40" s="190"/>
      <c r="N40" s="190"/>
      <c r="O40" s="190"/>
      <c r="P40" s="190" t="n">
        <v>2.876</v>
      </c>
      <c r="Q40" s="190"/>
      <c r="R40" s="190"/>
      <c r="S40" s="190" t="n">
        <v>125.2</v>
      </c>
      <c r="T40" s="124" t="n">
        <v>0.652</v>
      </c>
      <c r="U40" s="184" t="n">
        <v>0.637127494664399</v>
      </c>
      <c r="X40" s="125" t="n">
        <v>13.19848</v>
      </c>
      <c r="Y40" s="125" t="n">
        <v>12.8974148708254</v>
      </c>
      <c r="Z40" s="124" t="n">
        <v>1.053</v>
      </c>
      <c r="AA40" s="184" t="n">
        <v>1.02898044767118</v>
      </c>
      <c r="AB40" s="125" t="n">
        <v>2.27</v>
      </c>
      <c r="AC40" s="182" t="n">
        <v>2.21821995841746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29"/>
      <c r="G41" s="117" t="n">
        <v>35.415</v>
      </c>
      <c r="H41" s="131" t="n">
        <v>40</v>
      </c>
      <c r="I41" s="119" t="n">
        <v>38.7</v>
      </c>
      <c r="J41" s="190"/>
      <c r="K41" s="190"/>
      <c r="L41" s="190"/>
      <c r="M41" s="190"/>
      <c r="N41" s="190"/>
      <c r="O41" s="190"/>
      <c r="P41" s="190" t="n">
        <v>4.719</v>
      </c>
      <c r="Q41" s="190"/>
      <c r="R41" s="190"/>
      <c r="S41" s="190" t="n">
        <v>205.9</v>
      </c>
      <c r="T41" s="184" t="n">
        <v>0.0235</v>
      </c>
      <c r="U41" s="184" t="n">
        <v>0.0229639511113702</v>
      </c>
      <c r="X41" s="125" t="n">
        <v>0.08874</v>
      </c>
      <c r="Y41" s="125" t="n">
        <v>0.0867157881541699</v>
      </c>
      <c r="Z41" s="184" t="n">
        <v>0.0535</v>
      </c>
      <c r="AA41" s="184" t="n">
        <v>0.0522796333812045</v>
      </c>
      <c r="AB41" s="182" t="n">
        <v>0.11</v>
      </c>
      <c r="AC41" s="182" t="n">
        <v>0.107490834989393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29"/>
      <c r="G42" s="117" t="n">
        <v>35.335</v>
      </c>
      <c r="H42" s="131" t="n">
        <v>20</v>
      </c>
      <c r="I42" s="119" t="n">
        <v>20.2</v>
      </c>
      <c r="J42" s="190"/>
      <c r="K42" s="190"/>
      <c r="L42" s="190"/>
      <c r="M42" s="190"/>
      <c r="N42" s="190"/>
      <c r="O42" s="190"/>
      <c r="P42" s="190" t="n">
        <v>4.738</v>
      </c>
      <c r="Q42" s="190"/>
      <c r="R42" s="190"/>
      <c r="S42" s="190" t="n">
        <v>206.9</v>
      </c>
      <c r="T42" s="184" t="n">
        <v>0.018</v>
      </c>
      <c r="U42" s="184" t="n">
        <v>0.0175894093619006</v>
      </c>
      <c r="X42" s="125" t="n">
        <v>0.28072</v>
      </c>
      <c r="Y42" s="125" t="n">
        <v>0.27431661089293</v>
      </c>
      <c r="Z42" s="184" t="n">
        <v>0</v>
      </c>
      <c r="AA42" s="184" t="n">
        <v>0</v>
      </c>
      <c r="AB42" s="182" t="n">
        <v>0</v>
      </c>
      <c r="AC42" s="182" t="n">
        <v>0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29"/>
      <c r="G43" s="117" t="n">
        <v>35.332</v>
      </c>
      <c r="H43" s="131" t="n">
        <v>20</v>
      </c>
      <c r="I43" s="119" t="n">
        <v>20.2</v>
      </c>
      <c r="J43" s="190"/>
      <c r="K43" s="190"/>
      <c r="L43" s="190"/>
      <c r="M43" s="190"/>
      <c r="N43" s="190"/>
      <c r="O43" s="190"/>
      <c r="P43" s="190" t="n">
        <v>4.725</v>
      </c>
      <c r="Q43" s="190"/>
      <c r="R43" s="190"/>
      <c r="S43" s="190" t="n">
        <v>206.3</v>
      </c>
      <c r="T43" s="184" t="n">
        <v>0.014</v>
      </c>
      <c r="U43" s="184" t="n">
        <v>0.0136806517259227</v>
      </c>
      <c r="X43" s="125" t="n">
        <v>0.26216</v>
      </c>
      <c r="Y43" s="125" t="n">
        <v>0.256179975461992</v>
      </c>
      <c r="Z43" s="184" t="n">
        <v>0</v>
      </c>
      <c r="AA43" s="184" t="n">
        <v>0</v>
      </c>
      <c r="AB43" s="182" t="n">
        <v>0.02</v>
      </c>
      <c r="AC43" s="182" t="n">
        <v>0.0195437881798895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29"/>
      <c r="G44" s="117" t="n">
        <v>35.0606</v>
      </c>
      <c r="H44" s="131" t="n">
        <v>10</v>
      </c>
      <c r="I44" s="119" t="n">
        <v>9.5</v>
      </c>
      <c r="J44" s="190"/>
      <c r="K44" s="190"/>
      <c r="L44" s="190"/>
      <c r="M44" s="190"/>
      <c r="N44" s="190"/>
      <c r="O44" s="190"/>
      <c r="P44" s="190" t="n">
        <v>4.546</v>
      </c>
      <c r="Q44" s="190"/>
      <c r="R44" s="190"/>
      <c r="S44" s="190" t="n">
        <v>198.6</v>
      </c>
      <c r="T44" s="124" t="n">
        <v>0.022</v>
      </c>
      <c r="U44" s="184" t="n">
        <v>0.0214981669978785</v>
      </c>
      <c r="X44" s="125" t="n">
        <v>0.06728</v>
      </c>
      <c r="Y44" s="125" t="n">
        <v>0.0657453034371484</v>
      </c>
      <c r="Z44" s="124" t="n">
        <v>0.015</v>
      </c>
      <c r="AA44" s="184" t="n">
        <v>0.0146578411349172</v>
      </c>
      <c r="AB44" s="125" t="n">
        <v>0</v>
      </c>
      <c r="AC44" s="182" t="n">
        <v>0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29"/>
      <c r="G45" s="117" t="n">
        <v>32.2564</v>
      </c>
      <c r="H45" s="131" t="n">
        <v>0</v>
      </c>
      <c r="I45" s="119" t="n">
        <v>0.4</v>
      </c>
      <c r="J45" s="190"/>
      <c r="K45" s="190"/>
      <c r="L45" s="190"/>
      <c r="M45" s="190"/>
      <c r="N45" s="190"/>
      <c r="O45" s="190"/>
      <c r="P45" s="190" t="n">
        <v>4.628</v>
      </c>
      <c r="Q45" s="190"/>
      <c r="R45" s="190"/>
      <c r="S45" s="190" t="n">
        <v>202.6</v>
      </c>
      <c r="T45" s="124" t="n">
        <v>0.025</v>
      </c>
      <c r="U45" s="184" t="n">
        <v>0.0244297352248619</v>
      </c>
      <c r="X45" s="125" t="n">
        <v>0.1102</v>
      </c>
      <c r="Y45" s="125" t="n">
        <v>0.107686272871191</v>
      </c>
      <c r="Z45" s="124" t="n">
        <v>0</v>
      </c>
      <c r="AA45" s="184" t="n">
        <v>0</v>
      </c>
      <c r="AB45" s="125" t="n">
        <v>0.34</v>
      </c>
      <c r="AC45" s="182" t="n">
        <v>0.332244399058122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5"/>
      <c r="H46" s="145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32"/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S46" s="132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4"/>
      <c r="H47" s="154"/>
      <c r="I47" s="154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Flac.",#REF!/M47)))))))))</f>
        <v/>
      </c>
      <c r="S47" s="132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4"/>
      <c r="H48" s="154"/>
      <c r="I48" s="154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Flac.",#REF!/M48)))))))))</f>
        <v/>
      </c>
      <c r="S48" s="132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5" activeCellId="1" sqref="U45 T35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37590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3</v>
      </c>
      <c r="J9" s="29" t="n">
        <v>59.03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3°59,03</v>
      </c>
      <c r="P9" s="29" t="s">
        <v>13</v>
      </c>
      <c r="Q9" s="33" t="n">
        <f aca="false">IF(ISBLANK(I9),"",IF(ISBLANK(J9),"",IF(J9&gt;60,"ERREUR !!",O11*(I9+(J9/60)))))</f>
        <v>3.98383333333333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20.03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2°20,03</v>
      </c>
      <c r="P10" s="29" t="s">
        <v>14</v>
      </c>
      <c r="Q10" s="33" t="n">
        <f aca="false">IF(ISBLANK(I10),"",IF(ISBLANK(J10),"",IF(J10&gt;60,"ERREUR !!",O12*(I10+(J10/60)))))</f>
        <v>2.33383333333333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37589</v>
      </c>
      <c r="K11" s="38"/>
      <c r="L11" s="38"/>
      <c r="M11" s="38"/>
      <c r="N11" s="39" t="str">
        <f aca="false">I9&amp;"°"&amp;J9</f>
        <v>3°59,03</v>
      </c>
      <c r="O11" s="40" t="n">
        <f aca="false">IF(P9=M10,-1,1)</f>
        <v>1</v>
      </c>
      <c r="P11" s="41" t="str">
        <f aca="false">TEXT(J11,"aaaa-mm-jj")&amp;"T"&amp;TEXT(J12,"hh:mm:ss")&amp;"z"</f>
        <v>2006-11-30T23:30:00z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0.979166666666667</v>
      </c>
      <c r="K12" s="45"/>
      <c r="L12" s="45"/>
      <c r="M12" s="45"/>
      <c r="N12" s="46" t="str">
        <f aca="false">I10&amp;"°"&amp;J10</f>
        <v>2°20,03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5"/>
      <c r="G35" s="117" t="n">
        <v>34.9594</v>
      </c>
      <c r="H35" s="118" t="n">
        <v>2000</v>
      </c>
      <c r="I35" s="119" t="n">
        <v>2001</v>
      </c>
      <c r="J35" s="189"/>
      <c r="K35" s="189"/>
      <c r="L35" s="189"/>
      <c r="M35" s="189"/>
      <c r="N35" s="189"/>
      <c r="O35" s="189"/>
      <c r="P35" s="189" t="n">
        <v>5.49</v>
      </c>
      <c r="Q35" s="189"/>
      <c r="R35" s="189"/>
      <c r="S35" s="189" t="n">
        <v>238.6</v>
      </c>
      <c r="T35" s="193" t="n">
        <v>0.021</v>
      </c>
      <c r="U35" s="193" t="n">
        <v>0.020520977588884</v>
      </c>
      <c r="X35" s="194" t="n">
        <v>19.99724</v>
      </c>
      <c r="Y35" s="194" t="n">
        <v>19.5410911371207</v>
      </c>
      <c r="Z35" s="193" t="n">
        <v>1.527</v>
      </c>
      <c r="AA35" s="193" t="n">
        <v>1.49216822753457</v>
      </c>
      <c r="AB35" s="195" t="n">
        <v>24.99</v>
      </c>
      <c r="AC35" s="195" t="n">
        <v>24.419963330772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29"/>
      <c r="G36" s="117" t="n">
        <v>34.9492</v>
      </c>
      <c r="H36" s="118" t="n">
        <v>1500</v>
      </c>
      <c r="I36" s="119" t="n">
        <v>1501</v>
      </c>
      <c r="J36" s="190"/>
      <c r="K36" s="190"/>
      <c r="L36" s="190"/>
      <c r="M36" s="190"/>
      <c r="N36" s="190"/>
      <c r="O36" s="190"/>
      <c r="P36" s="190" t="n">
        <v>5.075</v>
      </c>
      <c r="Q36" s="190"/>
      <c r="R36" s="190"/>
      <c r="S36" s="190" t="n">
        <v>220.6</v>
      </c>
      <c r="T36" s="193" t="n">
        <v>0.025</v>
      </c>
      <c r="U36" s="193" t="n">
        <v>0.0244297352248619</v>
      </c>
      <c r="X36" s="194" t="n">
        <v>21.605</v>
      </c>
      <c r="Y36" s="194" t="n">
        <v>21.1121771813257</v>
      </c>
      <c r="Z36" s="193" t="n">
        <v>1.625</v>
      </c>
      <c r="AA36" s="193" t="n">
        <v>1.58793278961603</v>
      </c>
      <c r="AB36" s="195" t="n">
        <v>21.89</v>
      </c>
      <c r="AC36" s="195" t="n">
        <v>21.3906761628891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29"/>
      <c r="G37" s="117" t="n">
        <v>34.6665</v>
      </c>
      <c r="H37" s="131" t="n">
        <v>1000</v>
      </c>
      <c r="I37" s="119" t="n">
        <v>1001</v>
      </c>
      <c r="J37" s="190"/>
      <c r="K37" s="190"/>
      <c r="L37" s="190"/>
      <c r="M37" s="190"/>
      <c r="N37" s="190"/>
      <c r="O37" s="190"/>
      <c r="P37" s="190" t="n">
        <v>3.496</v>
      </c>
      <c r="Q37" s="190"/>
      <c r="R37" s="190"/>
      <c r="S37" s="190" t="n">
        <v>152</v>
      </c>
      <c r="T37" s="193" t="n">
        <v>0.022</v>
      </c>
      <c r="U37" s="193" t="n">
        <v>0.0214981669978785</v>
      </c>
      <c r="X37" s="194" t="n">
        <v>31.58448</v>
      </c>
      <c r="Y37" s="194" t="n">
        <v>30.8640193445979</v>
      </c>
      <c r="Z37" s="193" t="n">
        <v>2.395</v>
      </c>
      <c r="AA37" s="193" t="n">
        <v>2.34036863454177</v>
      </c>
      <c r="AB37" s="194" t="n">
        <v>31.74</v>
      </c>
      <c r="AC37" s="195" t="n">
        <v>31.0159918414847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39"/>
      <c r="G38" s="117" t="n">
        <v>34.727</v>
      </c>
      <c r="H38" s="131" t="n">
        <v>500</v>
      </c>
      <c r="I38" s="119" t="n">
        <v>496</v>
      </c>
      <c r="J38" s="191"/>
      <c r="K38" s="191"/>
      <c r="L38" s="191"/>
      <c r="M38" s="191"/>
      <c r="N38" s="191"/>
      <c r="O38" s="191"/>
      <c r="P38" s="191" t="n">
        <v>1.839</v>
      </c>
      <c r="Q38" s="191"/>
      <c r="R38" s="191"/>
      <c r="S38" s="191" t="n">
        <v>80</v>
      </c>
      <c r="T38" s="193" t="n">
        <v>0.04</v>
      </c>
      <c r="U38" s="193" t="n">
        <v>0.0390875763597791</v>
      </c>
      <c r="X38" s="194" t="n">
        <v>35.4032</v>
      </c>
      <c r="Y38" s="194" t="n">
        <v>34.5956320845133</v>
      </c>
      <c r="Z38" s="193" t="n">
        <v>2.493</v>
      </c>
      <c r="AA38" s="193" t="n">
        <v>2.43613319662323</v>
      </c>
      <c r="AB38" s="195" t="n">
        <v>20.27</v>
      </c>
      <c r="AC38" s="195" t="n">
        <v>19.8076293203181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29"/>
      <c r="G39" s="117" t="n">
        <v>35.6976</v>
      </c>
      <c r="H39" s="131" t="n">
        <v>100</v>
      </c>
      <c r="I39" s="119" t="n">
        <v>101</v>
      </c>
      <c r="J39" s="190"/>
      <c r="K39" s="190"/>
      <c r="L39" s="190"/>
      <c r="M39" s="190"/>
      <c r="N39" s="190"/>
      <c r="O39" s="190"/>
      <c r="P39" s="190" t="n">
        <v>2.32</v>
      </c>
      <c r="Q39" s="190"/>
      <c r="R39" s="190"/>
      <c r="S39" s="190" t="n">
        <v>100.9</v>
      </c>
      <c r="T39" s="193" t="n">
        <v>0.025</v>
      </c>
      <c r="U39" s="193" t="n">
        <v>0.0244297352248619</v>
      </c>
      <c r="X39" s="194" t="n">
        <v>17.6494</v>
      </c>
      <c r="Y39" s="194" t="n">
        <v>17.2468067551071</v>
      </c>
      <c r="Z39" s="193" t="n">
        <v>1.369</v>
      </c>
      <c r="AA39" s="193" t="n">
        <v>1.33777230091344</v>
      </c>
      <c r="AB39" s="195" t="n">
        <v>3.89</v>
      </c>
      <c r="AC39" s="195" t="n">
        <v>3.80126680098852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29"/>
      <c r="G40" s="117" t="n">
        <v>35.8123</v>
      </c>
      <c r="H40" s="131" t="n">
        <v>80</v>
      </c>
      <c r="I40" s="119" t="n">
        <v>80</v>
      </c>
      <c r="J40" s="190"/>
      <c r="K40" s="190"/>
      <c r="L40" s="190"/>
      <c r="M40" s="190"/>
      <c r="N40" s="190"/>
      <c r="O40" s="190"/>
      <c r="P40" s="190" t="n">
        <v>2.747</v>
      </c>
      <c r="Q40" s="190"/>
      <c r="R40" s="190"/>
      <c r="S40" s="190" t="n">
        <v>119.6</v>
      </c>
      <c r="T40" s="193" t="n">
        <v>0.066</v>
      </c>
      <c r="U40" s="193" t="n">
        <v>0.0644945009936355</v>
      </c>
      <c r="X40" s="194" t="n">
        <v>14.31904</v>
      </c>
      <c r="Y40" s="194" t="n">
        <v>13.9924142349683</v>
      </c>
      <c r="Z40" s="193" t="n">
        <v>1.156</v>
      </c>
      <c r="AA40" s="193" t="n">
        <v>1.12963095679762</v>
      </c>
      <c r="AB40" s="195" t="n">
        <v>2.74</v>
      </c>
      <c r="AC40" s="195" t="n">
        <v>2.67749898064487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29"/>
      <c r="G41" s="117" t="n">
        <v>35.8836</v>
      </c>
      <c r="H41" s="118" t="n">
        <v>60</v>
      </c>
      <c r="I41" s="119" t="n">
        <v>60</v>
      </c>
      <c r="J41" s="190"/>
      <c r="K41" s="190"/>
      <c r="L41" s="190"/>
      <c r="M41" s="190"/>
      <c r="N41" s="190"/>
      <c r="O41" s="190"/>
      <c r="P41" s="190" t="n">
        <v>2.78</v>
      </c>
      <c r="Q41" s="190"/>
      <c r="R41" s="190"/>
      <c r="S41" s="190" t="n">
        <v>121</v>
      </c>
      <c r="T41" s="193" t="n">
        <v>0.107</v>
      </c>
      <c r="U41" s="193" t="n">
        <v>0.104559266762409</v>
      </c>
      <c r="X41" s="194" t="n">
        <v>13.47108</v>
      </c>
      <c r="Y41" s="194" t="n">
        <v>13.1637967037173</v>
      </c>
      <c r="Z41" s="193" t="n">
        <v>1.078</v>
      </c>
      <c r="AA41" s="193" t="n">
        <v>1.05341018289605</v>
      </c>
      <c r="AB41" s="195" t="n">
        <v>1.76</v>
      </c>
      <c r="AC41" s="195" t="n">
        <v>1.71985335983028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29"/>
      <c r="G42" s="117" t="n">
        <v>35.6554</v>
      </c>
      <c r="H42" s="131" t="n">
        <v>40</v>
      </c>
      <c r="I42" s="119" t="n">
        <v>40</v>
      </c>
      <c r="J42" s="190"/>
      <c r="K42" s="190"/>
      <c r="L42" s="190"/>
      <c r="M42" s="190"/>
      <c r="N42" s="190"/>
      <c r="O42" s="190"/>
      <c r="P42" s="190" t="n">
        <v>4.276</v>
      </c>
      <c r="Q42" s="190"/>
      <c r="R42" s="190"/>
      <c r="S42" s="190" t="n">
        <v>186.4</v>
      </c>
      <c r="T42" s="193" t="n">
        <v>0.0665</v>
      </c>
      <c r="U42" s="193" t="n">
        <v>0.0649830956981328</v>
      </c>
      <c r="X42" s="194" t="n">
        <v>1.73246</v>
      </c>
      <c r="Y42" s="194" t="n">
        <v>1.69294156350657</v>
      </c>
      <c r="Z42" s="193" t="n">
        <v>0.3045</v>
      </c>
      <c r="AA42" s="193" t="n">
        <v>0.297554175038818</v>
      </c>
      <c r="AB42" s="195" t="n">
        <v>0.55</v>
      </c>
      <c r="AC42" s="195" t="n">
        <v>0.537454174946963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29"/>
      <c r="G43" s="117" t="n">
        <v>35.213</v>
      </c>
      <c r="H43" s="131" t="n">
        <v>20</v>
      </c>
      <c r="I43" s="119" t="n">
        <v>19</v>
      </c>
      <c r="J43" s="190"/>
      <c r="K43" s="190"/>
      <c r="L43" s="190"/>
      <c r="M43" s="190"/>
      <c r="N43" s="190"/>
      <c r="O43" s="190"/>
      <c r="P43" s="190" t="n">
        <v>4.672</v>
      </c>
      <c r="Q43" s="190"/>
      <c r="R43" s="190"/>
      <c r="S43" s="190" t="n">
        <v>204</v>
      </c>
      <c r="T43" s="192" t="n">
        <v>0.017</v>
      </c>
      <c r="U43" s="193" t="n">
        <v>0.0166122199529061</v>
      </c>
      <c r="X43" s="194" t="n">
        <v>0.16588</v>
      </c>
      <c r="Y43" s="194" t="n">
        <v>0.162096179164004</v>
      </c>
      <c r="Z43" s="192" t="n">
        <v>0.023</v>
      </c>
      <c r="AA43" s="193" t="n">
        <v>0.022475356406873</v>
      </c>
      <c r="AB43" s="194" t="n">
        <v>0.19</v>
      </c>
      <c r="AC43" s="195" t="n">
        <v>0.185665987708951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29"/>
      <c r="G44" s="117" t="n">
        <v>34.8829</v>
      </c>
      <c r="H44" s="131" t="n">
        <v>10</v>
      </c>
      <c r="I44" s="119" t="n">
        <v>10</v>
      </c>
      <c r="J44" s="190"/>
      <c r="K44" s="190"/>
      <c r="L44" s="190"/>
      <c r="M44" s="190"/>
      <c r="N44" s="190"/>
      <c r="O44" s="190"/>
      <c r="P44" s="190" t="n">
        <v>4.653</v>
      </c>
      <c r="Q44" s="190"/>
      <c r="R44" s="190"/>
      <c r="S44" s="190" t="n">
        <v>203.3</v>
      </c>
      <c r="T44" s="192" t="n">
        <v>0.021</v>
      </c>
      <c r="U44" s="193" t="n">
        <v>0.020520977588884</v>
      </c>
      <c r="X44" s="194" t="n">
        <v>0.18444</v>
      </c>
      <c r="Y44" s="194" t="n">
        <v>0.180232814594941</v>
      </c>
      <c r="Z44" s="192" t="n">
        <v>0.01</v>
      </c>
      <c r="AA44" s="193" t="n">
        <v>0.00977189408994477</v>
      </c>
      <c r="AB44" s="194" t="n">
        <v>0.31</v>
      </c>
      <c r="AC44" s="195" t="n">
        <v>0.302928716788288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29"/>
      <c r="G45" s="117" t="n">
        <v>34.3415</v>
      </c>
      <c r="H45" s="131" t="n">
        <v>0</v>
      </c>
      <c r="I45" s="119" t="n">
        <v>0.5</v>
      </c>
      <c r="J45" s="190"/>
      <c r="K45" s="190"/>
      <c r="L45" s="190"/>
      <c r="M45" s="190"/>
      <c r="N45" s="190"/>
      <c r="O45" s="190"/>
      <c r="P45" s="190" t="n">
        <v>4.547</v>
      </c>
      <c r="Q45" s="190"/>
      <c r="R45" s="190"/>
      <c r="S45" s="190" t="n">
        <v>198.8</v>
      </c>
      <c r="T45" s="192" t="n">
        <v>0.02</v>
      </c>
      <c r="U45" s="193" t="n">
        <v>0.0195437881798895</v>
      </c>
      <c r="X45" s="194" t="n">
        <v>0.1624</v>
      </c>
      <c r="Y45" s="194" t="n">
        <v>0.158695560020703</v>
      </c>
      <c r="Z45" s="192" t="n">
        <v>0.00199999999999999</v>
      </c>
      <c r="AA45" s="193" t="n">
        <v>0.00195437881798894</v>
      </c>
      <c r="AB45" s="194" t="n">
        <v>0.63</v>
      </c>
      <c r="AC45" s="195" t="n">
        <v>0.615629327666521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5"/>
      <c r="H46" s="145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32"/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S46" s="132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4"/>
      <c r="H47" s="154"/>
      <c r="I47" s="154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Flac.",#REF!/M47)))))))))</f>
        <v/>
      </c>
      <c r="S47" s="132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4"/>
      <c r="H48" s="154"/>
      <c r="I48" s="154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Flac.",#REF!/M48)))))))))</f>
        <v/>
      </c>
      <c r="S48" s="132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5" activeCellId="1" sqref="U45 T35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37590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4</v>
      </c>
      <c r="J9" s="29" t="n">
        <v>30.41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4°30,41</v>
      </c>
      <c r="P9" s="29" t="s">
        <v>13</v>
      </c>
      <c r="Q9" s="33" t="n">
        <f aca="false">IF(ISBLANK(I9),"",IF(ISBLANK(J9),"",IF(J9&gt;60,"ERREUR !!",O11*(I9+(J9/60)))))</f>
        <v>4.50683333333333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19.89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2°19,89</v>
      </c>
      <c r="P10" s="29" t="s">
        <v>14</v>
      </c>
      <c r="Q10" s="33" t="n">
        <f aca="false">IF(ISBLANK(I10),"",IF(ISBLANK(J10),"",IF(J10&gt;60,"ERREUR !!",O12*(I10+(J10/60)))))</f>
        <v>2.3315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37590</v>
      </c>
      <c r="K11" s="38"/>
      <c r="L11" s="38"/>
      <c r="M11" s="38"/>
      <c r="N11" s="39" t="str">
        <f aca="false">I9&amp;"°"&amp;J9</f>
        <v>4°30,41</v>
      </c>
      <c r="O11" s="40" t="n">
        <f aca="false">IF(P9=M10,-1,1)</f>
        <v>1</v>
      </c>
      <c r="P11" s="41" t="str">
        <f aca="false">TEXT(J11,"aaaa-mm-jj")&amp;"T"&amp;TEXT(J12,"hh:mm:ss")&amp;"z"</f>
        <v>2006-12-01T04:30:00z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0.1875</v>
      </c>
      <c r="K12" s="45"/>
      <c r="L12" s="45"/>
      <c r="M12" s="45"/>
      <c r="N12" s="46" t="str">
        <f aca="false">I10&amp;"°"&amp;J10</f>
        <v>2°19,89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5"/>
      <c r="G35" s="117" t="n">
        <v>34.6723</v>
      </c>
      <c r="H35" s="131" t="n">
        <v>1000</v>
      </c>
      <c r="I35" s="119" t="n">
        <v>1002</v>
      </c>
      <c r="J35" s="189"/>
      <c r="K35" s="189"/>
      <c r="L35" s="189"/>
      <c r="M35" s="189"/>
      <c r="N35" s="189"/>
      <c r="O35" s="189"/>
      <c r="P35" s="189" t="n">
        <v>3.54</v>
      </c>
      <c r="Q35" s="189"/>
      <c r="R35" s="189"/>
      <c r="S35" s="189" t="n">
        <v>153.9</v>
      </c>
      <c r="T35" s="184" t="n">
        <v>0.004</v>
      </c>
      <c r="U35" s="184" t="n">
        <v>0.00390875763597791</v>
      </c>
      <c r="X35" s="182" t="n">
        <v>33.356</v>
      </c>
      <c r="Y35" s="182" t="n">
        <v>32.5951299264198</v>
      </c>
      <c r="Z35" s="184" t="n">
        <v>2.476</v>
      </c>
      <c r="AA35" s="184" t="n">
        <v>2.41952097667033</v>
      </c>
      <c r="AB35" s="182" t="n">
        <v>31.67</v>
      </c>
      <c r="AC35" s="182" t="n">
        <v>30.9475885828551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29"/>
      <c r="G36" s="117" t="n">
        <v>34.5954</v>
      </c>
      <c r="H36" s="131" t="n">
        <v>600</v>
      </c>
      <c r="I36" s="119" t="n">
        <v>597</v>
      </c>
      <c r="J36" s="190"/>
      <c r="K36" s="190"/>
      <c r="L36" s="190"/>
      <c r="M36" s="190"/>
      <c r="N36" s="190"/>
      <c r="O36" s="190"/>
      <c r="P36" s="190" t="n">
        <v>2.419</v>
      </c>
      <c r="Q36" s="190"/>
      <c r="R36" s="190"/>
      <c r="S36" s="190" t="n">
        <v>105.2</v>
      </c>
      <c r="T36" s="184" t="n">
        <v>0.005</v>
      </c>
      <c r="U36" s="184" t="n">
        <v>0.00488594704497239</v>
      </c>
      <c r="X36" s="182" t="n">
        <v>37.485</v>
      </c>
      <c r="Y36" s="182" t="n">
        <v>36.629944996158</v>
      </c>
      <c r="Z36" s="184" t="n">
        <v>2.682</v>
      </c>
      <c r="AA36" s="184" t="n">
        <v>2.62082199492319</v>
      </c>
      <c r="AB36" s="182" t="n">
        <v>25.93</v>
      </c>
      <c r="AC36" s="182" t="n">
        <v>25.3385213752268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29"/>
      <c r="G37" s="117" t="n">
        <v>35.0713</v>
      </c>
      <c r="H37" s="131" t="n">
        <v>300</v>
      </c>
      <c r="I37" s="119" t="n">
        <v>298</v>
      </c>
      <c r="J37" s="190"/>
      <c r="K37" s="190"/>
      <c r="L37" s="190"/>
      <c r="M37" s="190"/>
      <c r="N37" s="190"/>
      <c r="O37" s="190"/>
      <c r="P37" s="190" t="n">
        <v>1.201</v>
      </c>
      <c r="Q37" s="190"/>
      <c r="R37" s="190"/>
      <c r="S37" s="190" t="n">
        <v>52.2</v>
      </c>
      <c r="T37" s="184" t="n">
        <v>0.006</v>
      </c>
      <c r="U37" s="184" t="n">
        <v>0.00586313645396687</v>
      </c>
      <c r="X37" s="182" t="n">
        <v>32.844</v>
      </c>
      <c r="Y37" s="182" t="n">
        <v>32.0948089490146</v>
      </c>
      <c r="Z37" s="184" t="n">
        <v>2.218</v>
      </c>
      <c r="AA37" s="184" t="n">
        <v>2.16740610914975</v>
      </c>
      <c r="AB37" s="182" t="n">
        <v>14.18</v>
      </c>
      <c r="AC37" s="182" t="n">
        <v>13.8565458195417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39"/>
      <c r="G38" s="117" t="n">
        <v>35.7507</v>
      </c>
      <c r="H38" s="131" t="n">
        <v>100</v>
      </c>
      <c r="I38" s="119" t="n">
        <v>98</v>
      </c>
      <c r="J38" s="191"/>
      <c r="K38" s="191"/>
      <c r="L38" s="191"/>
      <c r="M38" s="191"/>
      <c r="N38" s="191"/>
      <c r="O38" s="191"/>
      <c r="P38" s="191" t="n">
        <v>2.744</v>
      </c>
      <c r="Q38" s="191"/>
      <c r="R38" s="191"/>
      <c r="S38" s="191" t="n">
        <v>119.4</v>
      </c>
      <c r="T38" s="184" t="n">
        <v>0.022</v>
      </c>
      <c r="U38" s="184" t="n">
        <v>0.0214981669978785</v>
      </c>
      <c r="X38" s="182" t="n">
        <v>16.598</v>
      </c>
      <c r="Y38" s="182" t="n">
        <v>16.2193898104903</v>
      </c>
      <c r="Z38" s="184" t="n">
        <v>1.247</v>
      </c>
      <c r="AA38" s="184" t="n">
        <v>1.21855519301611</v>
      </c>
      <c r="AB38" s="182" t="n">
        <v>5.34</v>
      </c>
      <c r="AC38" s="182" t="n">
        <v>5.21819144403051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6.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29"/>
      <c r="G39" s="117" t="n">
        <v>35.8437</v>
      </c>
      <c r="H39" s="131" t="n">
        <v>80</v>
      </c>
      <c r="I39" s="119" t="n">
        <v>78</v>
      </c>
      <c r="J39" s="190"/>
      <c r="K39" s="190"/>
      <c r="L39" s="190"/>
      <c r="M39" s="190"/>
      <c r="N39" s="190"/>
      <c r="O39" s="190"/>
      <c r="P39" s="190" t="n">
        <v>3.062</v>
      </c>
      <c r="Q39" s="190"/>
      <c r="R39" s="190"/>
      <c r="S39" s="190" t="n">
        <v>133.3</v>
      </c>
      <c r="T39" s="184" t="n">
        <v>0.057</v>
      </c>
      <c r="U39" s="184" t="n">
        <v>0.0556997963126852</v>
      </c>
      <c r="X39" s="182" t="n">
        <v>13.963</v>
      </c>
      <c r="Y39" s="182" t="n">
        <v>13.6444957177899</v>
      </c>
      <c r="Z39" s="184" t="n">
        <v>1.073</v>
      </c>
      <c r="AA39" s="184" t="n">
        <v>1.04852423585107</v>
      </c>
      <c r="AB39" s="182" t="n">
        <v>4.34</v>
      </c>
      <c r="AC39" s="182" t="n">
        <v>4.24100203503603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29"/>
      <c r="G40" s="117" t="n">
        <v>35.9121</v>
      </c>
      <c r="H40" s="118" t="n">
        <v>60</v>
      </c>
      <c r="I40" s="119" t="n">
        <v>59</v>
      </c>
      <c r="J40" s="190"/>
      <c r="K40" s="190"/>
      <c r="L40" s="190"/>
      <c r="M40" s="190"/>
      <c r="N40" s="190"/>
      <c r="O40" s="190"/>
      <c r="P40" s="190" t="n">
        <v>2.899</v>
      </c>
      <c r="Q40" s="190"/>
      <c r="R40" s="190"/>
      <c r="S40" s="190" t="n">
        <v>126.2</v>
      </c>
      <c r="T40" s="184" t="n">
        <v>0.089</v>
      </c>
      <c r="U40" s="184" t="n">
        <v>0.0869698574005085</v>
      </c>
      <c r="X40" s="182" t="n">
        <v>13.541</v>
      </c>
      <c r="Y40" s="182" t="n">
        <v>13.2321217871942</v>
      </c>
      <c r="Z40" s="184" t="n">
        <v>1.03</v>
      </c>
      <c r="AA40" s="184" t="n">
        <v>1.00650509126431</v>
      </c>
      <c r="AB40" s="182" t="n">
        <v>3.79</v>
      </c>
      <c r="AC40" s="182" t="n">
        <v>3.70354786008907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29"/>
      <c r="G41" s="117" t="n">
        <v>35.9149</v>
      </c>
      <c r="H41" s="131" t="n">
        <v>40</v>
      </c>
      <c r="I41" s="119" t="n">
        <v>39</v>
      </c>
      <c r="J41" s="190"/>
      <c r="K41" s="190"/>
      <c r="L41" s="190"/>
      <c r="M41" s="190"/>
      <c r="N41" s="190"/>
      <c r="O41" s="190"/>
      <c r="P41" s="190" t="n">
        <v>3.44</v>
      </c>
      <c r="Q41" s="190"/>
      <c r="R41" s="190"/>
      <c r="S41" s="190" t="n">
        <v>149.9</v>
      </c>
      <c r="T41" s="184" t="n">
        <v>0.554</v>
      </c>
      <c r="U41" s="184" t="n">
        <v>0.541362932582941</v>
      </c>
      <c r="X41" s="182" t="n">
        <v>7.046</v>
      </c>
      <c r="Y41" s="182" t="n">
        <v>6.88527657577509</v>
      </c>
      <c r="Z41" s="184" t="n">
        <v>0.747</v>
      </c>
      <c r="AA41" s="184" t="n">
        <v>0.729960488518875</v>
      </c>
      <c r="AB41" s="182" t="n">
        <v>3.11</v>
      </c>
      <c r="AC41" s="182" t="n">
        <v>3.03905906197282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29"/>
      <c r="G42" s="117" t="n">
        <v>35.2997</v>
      </c>
      <c r="H42" s="131" t="n">
        <v>20</v>
      </c>
      <c r="I42" s="119" t="n">
        <v>19</v>
      </c>
      <c r="J42" s="190"/>
      <c r="K42" s="190"/>
      <c r="L42" s="190"/>
      <c r="M42" s="190"/>
      <c r="N42" s="190"/>
      <c r="O42" s="190"/>
      <c r="P42" s="190" t="n">
        <v>4.714</v>
      </c>
      <c r="Q42" s="190"/>
      <c r="R42" s="190"/>
      <c r="S42" s="190" t="n">
        <v>205.8</v>
      </c>
      <c r="T42" s="184" t="n">
        <v>0.007</v>
      </c>
      <c r="U42" s="184" t="n">
        <v>0.00684032586296134</v>
      </c>
      <c r="X42" s="182" t="n">
        <v>0.283</v>
      </c>
      <c r="Y42" s="182" t="n">
        <v>0.276544602745437</v>
      </c>
      <c r="Z42" s="184" t="n">
        <v>0.041</v>
      </c>
      <c r="AA42" s="184" t="n">
        <v>0.0400647657687736</v>
      </c>
      <c r="AB42" s="182" t="n">
        <v>0.75</v>
      </c>
      <c r="AC42" s="182" t="n">
        <v>0.732892056745858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29"/>
      <c r="G43" s="117" t="n">
        <v>34.3138</v>
      </c>
      <c r="H43" s="131" t="n">
        <v>10</v>
      </c>
      <c r="I43" s="119" t="n">
        <v>9</v>
      </c>
      <c r="J43" s="190"/>
      <c r="K43" s="190"/>
      <c r="L43" s="190"/>
      <c r="M43" s="190"/>
      <c r="N43" s="190"/>
      <c r="O43" s="190"/>
      <c r="P43" s="190" t="n">
        <v>4.657</v>
      </c>
      <c r="Q43" s="190"/>
      <c r="R43" s="190"/>
      <c r="S43" s="190" t="n">
        <v>203.6</v>
      </c>
      <c r="T43" s="184" t="n">
        <v>0.016</v>
      </c>
      <c r="U43" s="184" t="n">
        <v>0.0156350305439116</v>
      </c>
      <c r="X43" s="182" t="n">
        <v>0.169</v>
      </c>
      <c r="Y43" s="182" t="n">
        <v>0.165145010120067</v>
      </c>
      <c r="Z43" s="184" t="n">
        <v>0.0305</v>
      </c>
      <c r="AA43" s="184" t="n">
        <v>0.0298042769743316</v>
      </c>
      <c r="AB43" s="182" t="n">
        <v>1.17</v>
      </c>
      <c r="AC43" s="182" t="n">
        <v>1.14331160852354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29"/>
      <c r="G44" s="117" t="n">
        <v>34.3301</v>
      </c>
      <c r="H44" s="131" t="n">
        <v>10</v>
      </c>
      <c r="I44" s="119" t="n">
        <v>9</v>
      </c>
      <c r="J44" s="190"/>
      <c r="K44" s="190"/>
      <c r="L44" s="190"/>
      <c r="M44" s="190"/>
      <c r="N44" s="190"/>
      <c r="O44" s="190"/>
      <c r="P44" s="190" t="n">
        <v>4.662</v>
      </c>
      <c r="Q44" s="190"/>
      <c r="R44" s="190"/>
      <c r="S44" s="190" t="n">
        <v>203.8</v>
      </c>
      <c r="T44" s="184" t="n">
        <v>0.009</v>
      </c>
      <c r="U44" s="184" t="n">
        <v>0.0087947046809503</v>
      </c>
      <c r="X44" s="182" t="n">
        <v>0.211</v>
      </c>
      <c r="Y44" s="182" t="n">
        <v>0.206186965297835</v>
      </c>
      <c r="Z44" s="184" t="n">
        <v>0.027</v>
      </c>
      <c r="AA44" s="184" t="n">
        <v>0.0263841140428509</v>
      </c>
      <c r="AB44" s="182" t="n">
        <v>1.17</v>
      </c>
      <c r="AC44" s="182" t="n">
        <v>1.14331160852354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29"/>
      <c r="G45" s="117" t="n">
        <v>34.8858</v>
      </c>
      <c r="H45" s="131" t="n">
        <v>0</v>
      </c>
      <c r="I45" s="119" t="n">
        <v>0.5</v>
      </c>
      <c r="J45" s="190"/>
      <c r="K45" s="190"/>
      <c r="L45" s="190"/>
      <c r="M45" s="190"/>
      <c r="N45" s="190"/>
      <c r="O45" s="190"/>
      <c r="P45" s="190" t="n">
        <v>4.536</v>
      </c>
      <c r="Q45" s="190"/>
      <c r="R45" s="190"/>
      <c r="S45" s="190" t="n">
        <v>198.2</v>
      </c>
      <c r="T45" s="184" t="n">
        <v>0</v>
      </c>
      <c r="U45" s="184" t="n">
        <v>0</v>
      </c>
      <c r="X45" s="182" t="n">
        <v>0.16</v>
      </c>
      <c r="Y45" s="182" t="n">
        <v>0.156350305439116</v>
      </c>
      <c r="Z45" s="184" t="n">
        <v>0.018</v>
      </c>
      <c r="AA45" s="184" t="n">
        <v>0.0175894093619006</v>
      </c>
      <c r="AB45" s="182" t="n">
        <v>1.83</v>
      </c>
      <c r="AC45" s="182" t="n">
        <v>1.78825661845989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5"/>
      <c r="H46" s="145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32"/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S46" s="132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4"/>
      <c r="H47" s="154"/>
      <c r="I47" s="154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Flac.",#REF!/M47)))))))))</f>
        <v/>
      </c>
      <c r="S47" s="132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4"/>
      <c r="H48" s="154"/>
      <c r="I48" s="154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Flac.",#REF!/M48)))))))))</f>
        <v/>
      </c>
      <c r="S48" s="132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5" activeCellId="1" sqref="U45 T35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37590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5</v>
      </c>
      <c r="J9" s="29" t="n">
        <v>0.15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5°0,15</v>
      </c>
      <c r="P9" s="29" t="s">
        <v>13</v>
      </c>
      <c r="Q9" s="33" t="n">
        <f aca="false">IF(ISBLANK(I9),"",IF(ISBLANK(J9),"",IF(J9&gt;60,"ERREUR !!",O11*(I9+(J9/60)))))</f>
        <v>5.0025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19.98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2°19,98</v>
      </c>
      <c r="P10" s="29" t="s">
        <v>14</v>
      </c>
      <c r="Q10" s="33" t="n">
        <f aca="false">IF(ISBLANK(I10),"",IF(ISBLANK(J10),"",IF(J10&gt;60,"ERREUR !!",O12*(I10+(J10/60)))))</f>
        <v>2.333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37590</v>
      </c>
      <c r="K11" s="38"/>
      <c r="L11" s="38"/>
      <c r="M11" s="38"/>
      <c r="N11" s="39" t="str">
        <f aca="false">I9&amp;"°"&amp;J9</f>
        <v>5°0,15</v>
      </c>
      <c r="O11" s="40" t="n">
        <f aca="false">IF(P9=M10,-1,1)</f>
        <v>1</v>
      </c>
      <c r="P11" s="41" t="str">
        <f aca="false">TEXT(J11,"aaaa-mm-jj")&amp;"T"&amp;TEXT(J12,"hh:mm:ss")&amp;"z"</f>
        <v>2006-12-01T08:30:00z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0.354166666666667</v>
      </c>
      <c r="K12" s="45"/>
      <c r="L12" s="45"/>
      <c r="M12" s="45"/>
      <c r="N12" s="46" t="str">
        <f aca="false">I10&amp;"°"&amp;J10</f>
        <v>2°19,98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5"/>
      <c r="G35" s="117" t="n">
        <v>34.6383</v>
      </c>
      <c r="H35" s="131" t="n">
        <v>1000</v>
      </c>
      <c r="I35" s="119" t="n">
        <v>1000</v>
      </c>
      <c r="J35" s="189"/>
      <c r="K35" s="189"/>
      <c r="L35" s="189"/>
      <c r="M35" s="189"/>
      <c r="N35" s="189"/>
      <c r="O35" s="189"/>
      <c r="P35" s="189" t="n">
        <v>3.409</v>
      </c>
      <c r="Q35" s="189"/>
      <c r="R35" s="189"/>
      <c r="S35" s="189" t="n">
        <v>148.3</v>
      </c>
      <c r="T35" s="193" t="n">
        <v>0.008</v>
      </c>
      <c r="U35" s="193" t="n">
        <v>0.00781751527195582</v>
      </c>
      <c r="X35" s="195" t="n">
        <v>34.252</v>
      </c>
      <c r="Y35" s="195" t="n">
        <v>33.4706916368788</v>
      </c>
      <c r="Z35" s="193" t="n">
        <v>2.517</v>
      </c>
      <c r="AA35" s="193" t="n">
        <v>2.4595857424391</v>
      </c>
      <c r="AB35" s="195" t="n">
        <v>32.76</v>
      </c>
      <c r="AC35" s="195" t="n">
        <v>32.0127250386591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29"/>
      <c r="G36" s="117" t="n">
        <v>34.5982</v>
      </c>
      <c r="H36" s="131" t="n">
        <v>600</v>
      </c>
      <c r="I36" s="119" t="n">
        <v>600</v>
      </c>
      <c r="J36" s="190"/>
      <c r="K36" s="190"/>
      <c r="L36" s="190"/>
      <c r="M36" s="190"/>
      <c r="N36" s="190"/>
      <c r="O36" s="190"/>
      <c r="P36" s="190" t="n">
        <v>2.388</v>
      </c>
      <c r="Q36" s="190"/>
      <c r="R36" s="190"/>
      <c r="S36" s="190" t="n">
        <v>103.9</v>
      </c>
      <c r="T36" s="193" t="n">
        <v>0.006</v>
      </c>
      <c r="U36" s="193" t="n">
        <v>0.00586313645396687</v>
      </c>
      <c r="X36" s="195" t="n">
        <v>37.564</v>
      </c>
      <c r="Y36" s="195" t="n">
        <v>36.7071429594685</v>
      </c>
      <c r="Z36" s="193" t="n">
        <v>2.673</v>
      </c>
      <c r="AA36" s="193" t="n">
        <v>2.61202729024224</v>
      </c>
      <c r="AB36" s="195" t="n">
        <v>26.46</v>
      </c>
      <c r="AC36" s="195" t="n">
        <v>25.8564317619939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29"/>
      <c r="G37" s="117" t="n">
        <v>35.086</v>
      </c>
      <c r="H37" s="131" t="n">
        <v>300</v>
      </c>
      <c r="I37" s="119" t="n">
        <v>299</v>
      </c>
      <c r="J37" s="190"/>
      <c r="K37" s="190"/>
      <c r="L37" s="190"/>
      <c r="M37" s="190"/>
      <c r="N37" s="190"/>
      <c r="O37" s="190"/>
      <c r="P37" s="190" t="n">
        <v>1.239</v>
      </c>
      <c r="Q37" s="190"/>
      <c r="R37" s="190"/>
      <c r="S37" s="190" t="n">
        <v>53.9</v>
      </c>
      <c r="T37" s="193" t="n">
        <v>0.011</v>
      </c>
      <c r="U37" s="193" t="n">
        <v>0.0107490834989393</v>
      </c>
      <c r="X37" s="195" t="n">
        <v>32.759</v>
      </c>
      <c r="Y37" s="195" t="n">
        <v>32.0117478492501</v>
      </c>
      <c r="Z37" s="193" t="n">
        <v>2.198</v>
      </c>
      <c r="AA37" s="193" t="n">
        <v>2.14786232096986</v>
      </c>
      <c r="AB37" s="195" t="n">
        <v>13.41</v>
      </c>
      <c r="AC37" s="195" t="n">
        <v>13.1041099746159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39"/>
      <c r="G38" s="117" t="n">
        <v>35.7734</v>
      </c>
      <c r="H38" s="131" t="n">
        <v>100</v>
      </c>
      <c r="I38" s="119" t="n">
        <v>100</v>
      </c>
      <c r="J38" s="191"/>
      <c r="K38" s="191"/>
      <c r="L38" s="191"/>
      <c r="M38" s="191"/>
      <c r="N38" s="191"/>
      <c r="O38" s="191"/>
      <c r="P38" s="191" t="n">
        <v>2.558</v>
      </c>
      <c r="Q38" s="191"/>
      <c r="R38" s="191"/>
      <c r="S38" s="191" t="n">
        <v>111.4</v>
      </c>
      <c r="T38" s="193" t="n">
        <v>0.017</v>
      </c>
      <c r="U38" s="193" t="n">
        <v>0.0166122199529061</v>
      </c>
      <c r="X38" s="195" t="n">
        <v>17.473</v>
      </c>
      <c r="Y38" s="195" t="n">
        <v>17.0744305433605</v>
      </c>
      <c r="Z38" s="193" t="n">
        <v>1.284</v>
      </c>
      <c r="AA38" s="193" t="n">
        <v>1.25471120114891</v>
      </c>
      <c r="AB38" s="195" t="n">
        <v>5.12</v>
      </c>
      <c r="AC38" s="195" t="n">
        <v>5.00320977405172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6.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29"/>
      <c r="G39" s="117" t="n">
        <v>35.8546</v>
      </c>
      <c r="H39" s="131" t="n">
        <v>80</v>
      </c>
      <c r="I39" s="119" t="n">
        <v>79</v>
      </c>
      <c r="J39" s="190"/>
      <c r="K39" s="190"/>
      <c r="L39" s="190"/>
      <c r="M39" s="190"/>
      <c r="N39" s="190"/>
      <c r="O39" s="190"/>
      <c r="P39" s="190" t="n">
        <v>3.063</v>
      </c>
      <c r="Q39" s="190"/>
      <c r="R39" s="190"/>
      <c r="S39" s="190" t="n">
        <v>133.4</v>
      </c>
      <c r="T39" s="193" t="n">
        <v>0.035</v>
      </c>
      <c r="U39" s="193" t="n">
        <v>0.0342016293148067</v>
      </c>
      <c r="X39" s="195" t="n">
        <v>13.605</v>
      </c>
      <c r="Y39" s="195" t="n">
        <v>13.2946619093699</v>
      </c>
      <c r="Z39" s="193" t="n">
        <v>1.051</v>
      </c>
      <c r="AA39" s="193" t="n">
        <v>1.0270260688532</v>
      </c>
      <c r="AB39" s="195" t="n">
        <v>3.5</v>
      </c>
      <c r="AC39" s="195" t="n">
        <v>3.42016293148067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29"/>
      <c r="G40" s="117" t="n">
        <v>35.93</v>
      </c>
      <c r="H40" s="118" t="n">
        <v>60</v>
      </c>
      <c r="I40" s="119" t="n">
        <v>60</v>
      </c>
      <c r="J40" s="190"/>
      <c r="K40" s="190"/>
      <c r="L40" s="190"/>
      <c r="M40" s="190"/>
      <c r="N40" s="190"/>
      <c r="O40" s="190"/>
      <c r="P40" s="190" t="n">
        <v>2.742</v>
      </c>
      <c r="Q40" s="190"/>
      <c r="R40" s="190"/>
      <c r="S40" s="190" t="n">
        <v>119.5</v>
      </c>
      <c r="T40" s="193" t="n">
        <v>0.179</v>
      </c>
      <c r="U40" s="193" t="n">
        <v>0.174916904210011</v>
      </c>
      <c r="X40" s="195" t="n">
        <v>14.001</v>
      </c>
      <c r="Y40" s="195" t="n">
        <v>13.6816289153317</v>
      </c>
      <c r="Z40" s="193" t="n">
        <v>1.068</v>
      </c>
      <c r="AA40" s="193" t="n">
        <v>1.0436382888061</v>
      </c>
      <c r="AB40" s="195" t="n">
        <v>3.11</v>
      </c>
      <c r="AC40" s="195" t="n">
        <v>3.03905906197282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29"/>
      <c r="G41" s="117" t="n">
        <v>35.6827</v>
      </c>
      <c r="H41" s="131" t="n">
        <v>40</v>
      </c>
      <c r="I41" s="119" t="n">
        <v>39.9</v>
      </c>
      <c r="J41" s="190"/>
      <c r="K41" s="190"/>
      <c r="L41" s="190"/>
      <c r="M41" s="190"/>
      <c r="N41" s="190"/>
      <c r="O41" s="190"/>
      <c r="P41" s="190" t="n">
        <v>4.223</v>
      </c>
      <c r="Q41" s="190"/>
      <c r="R41" s="190"/>
      <c r="S41" s="190" t="n">
        <v>184.1</v>
      </c>
      <c r="T41" s="193" t="n">
        <v>0.051</v>
      </c>
      <c r="U41" s="193" t="n">
        <v>0.0498366598587183</v>
      </c>
      <c r="X41" s="195" t="n">
        <v>0.709</v>
      </c>
      <c r="Y41" s="195" t="n">
        <v>0.692827290977084</v>
      </c>
      <c r="Z41" s="193" t="n">
        <v>0.318</v>
      </c>
      <c r="AA41" s="193" t="n">
        <v>0.310746232060244</v>
      </c>
      <c r="AB41" s="195" t="n">
        <v>1.18</v>
      </c>
      <c r="AC41" s="195" t="n">
        <v>1.15308350261348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29"/>
      <c r="G42" s="117" t="n">
        <v>34.6835</v>
      </c>
      <c r="H42" s="131" t="n">
        <v>20</v>
      </c>
      <c r="I42" s="119" t="n">
        <v>20.1</v>
      </c>
      <c r="J42" s="190"/>
      <c r="K42" s="190"/>
      <c r="L42" s="190"/>
      <c r="M42" s="190"/>
      <c r="N42" s="190"/>
      <c r="O42" s="190"/>
      <c r="P42" s="190" t="n">
        <v>4.842</v>
      </c>
      <c r="Q42" s="190"/>
      <c r="R42" s="190"/>
      <c r="S42" s="190" t="n">
        <v>211.6</v>
      </c>
      <c r="T42" s="193" t="n">
        <v>0.001</v>
      </c>
      <c r="U42" s="193" t="n">
        <v>0.000977189408994478</v>
      </c>
      <c r="X42" s="195" t="n">
        <v>0.169</v>
      </c>
      <c r="Y42" s="195" t="n">
        <v>0.165145010120067</v>
      </c>
      <c r="Z42" s="193" t="n">
        <v>0.064</v>
      </c>
      <c r="AA42" s="193" t="n">
        <v>0.0625401221756465</v>
      </c>
      <c r="AB42" s="195" t="n">
        <v>0.65</v>
      </c>
      <c r="AC42" s="195" t="n">
        <v>0.63517311584641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29"/>
      <c r="G43" s="117" t="n">
        <v>34.8856</v>
      </c>
      <c r="H43" s="131" t="n">
        <v>10</v>
      </c>
      <c r="I43" s="119" t="n">
        <v>9.9</v>
      </c>
      <c r="J43" s="190"/>
      <c r="K43" s="190"/>
      <c r="L43" s="190"/>
      <c r="M43" s="190"/>
      <c r="N43" s="190"/>
      <c r="O43" s="190"/>
      <c r="P43" s="190" t="n">
        <v>4.653</v>
      </c>
      <c r="Q43" s="190"/>
      <c r="R43" s="190"/>
      <c r="S43" s="190" t="n">
        <v>203.3</v>
      </c>
      <c r="T43" s="193" t="n">
        <v>0</v>
      </c>
      <c r="U43" s="193" t="n">
        <v>0</v>
      </c>
      <c r="X43" s="195" t="n">
        <v>0.18</v>
      </c>
      <c r="Y43" s="195" t="n">
        <v>0.175894093619006</v>
      </c>
      <c r="Z43" s="193" t="n">
        <v>0.041</v>
      </c>
      <c r="AA43" s="193" t="n">
        <v>0.0400647657687736</v>
      </c>
      <c r="AB43" s="195" t="n">
        <v>1.52</v>
      </c>
      <c r="AC43" s="195" t="n">
        <v>1.48532790167161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29"/>
      <c r="G44" s="117" t="n">
        <v>32.9392</v>
      </c>
      <c r="H44" s="131" t="n">
        <v>0</v>
      </c>
      <c r="I44" s="119" t="n">
        <v>0.5</v>
      </c>
      <c r="J44" s="190"/>
      <c r="K44" s="190"/>
      <c r="L44" s="190"/>
      <c r="M44" s="190"/>
      <c r="N44" s="190"/>
      <c r="O44" s="190"/>
      <c r="P44" s="190" t="n">
        <v>4.551</v>
      </c>
      <c r="Q44" s="190"/>
      <c r="R44" s="190"/>
      <c r="S44" s="190" t="n">
        <v>199.1</v>
      </c>
      <c r="T44" s="193" t="n">
        <v>0.007</v>
      </c>
      <c r="U44" s="193" t="n">
        <v>0.00684032586296134</v>
      </c>
      <c r="X44" s="195" t="n">
        <v>0.153</v>
      </c>
      <c r="Y44" s="195" t="n">
        <v>0.149509979576155</v>
      </c>
      <c r="Z44" s="193" t="n">
        <v>0.0105</v>
      </c>
      <c r="AA44" s="193" t="n">
        <v>0.010260488794442</v>
      </c>
      <c r="AB44" s="195" t="n">
        <v>2</v>
      </c>
      <c r="AC44" s="195" t="n">
        <v>1.95437881798895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29"/>
      <c r="G45" s="117" t="n">
        <v>32.9014</v>
      </c>
      <c r="H45" s="131" t="n">
        <v>0</v>
      </c>
      <c r="I45" s="119" t="n">
        <v>0.5</v>
      </c>
      <c r="J45" s="190"/>
      <c r="K45" s="190"/>
      <c r="L45" s="190"/>
      <c r="M45" s="190"/>
      <c r="N45" s="190"/>
      <c r="O45" s="190"/>
      <c r="P45" s="190" t="n">
        <v>4.554</v>
      </c>
      <c r="Q45" s="190"/>
      <c r="R45" s="190"/>
      <c r="S45" s="190" t="n">
        <v>199.3</v>
      </c>
      <c r="T45" s="193" t="n">
        <v>0.009</v>
      </c>
      <c r="U45" s="193" t="n">
        <v>0.0087947046809503</v>
      </c>
      <c r="X45" s="195" t="n">
        <v>0.121</v>
      </c>
      <c r="Y45" s="195" t="n">
        <v>0.118239918488332</v>
      </c>
      <c r="Z45" s="193" t="n">
        <v>0.013</v>
      </c>
      <c r="AA45" s="193" t="n">
        <v>0.0127034623169282</v>
      </c>
      <c r="AB45" s="195" t="n">
        <v>1.92</v>
      </c>
      <c r="AC45" s="195" t="n">
        <v>1.8762036652694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5"/>
      <c r="H46" s="145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32"/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S46" s="132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4"/>
      <c r="H47" s="154"/>
      <c r="I47" s="154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Flac.",#REF!/M47)))))))))</f>
        <v/>
      </c>
      <c r="S47" s="132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4"/>
      <c r="H48" s="154"/>
      <c r="I48" s="154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Flac.",#REF!/M48)))))))))</f>
        <v/>
      </c>
      <c r="S48" s="132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5" activeCellId="1" sqref="U45 T35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37590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5</v>
      </c>
      <c r="J9" s="29" t="n">
        <v>30.75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5°30,75</v>
      </c>
      <c r="P9" s="29" t="s">
        <v>13</v>
      </c>
      <c r="Q9" s="33" t="n">
        <f aca="false">IF(ISBLANK(I9),"",IF(ISBLANK(J9),"",IF(J9&gt;60,"ERREUR !!",O11*(I9+(J9/60)))))</f>
        <v>5.5125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20.93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2°20,93</v>
      </c>
      <c r="P10" s="29" t="s">
        <v>14</v>
      </c>
      <c r="Q10" s="33" t="n">
        <f aca="false">IF(ISBLANK(I10),"",IF(ISBLANK(J10),"",IF(J10&gt;60,"ERREUR !!",O12*(I10+(J10/60)))))</f>
        <v>2.34883333333333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37590</v>
      </c>
      <c r="K11" s="38"/>
      <c r="L11" s="38"/>
      <c r="M11" s="38"/>
      <c r="N11" s="39" t="str">
        <f aca="false">I9&amp;"°"&amp;J9</f>
        <v>5°30,75</v>
      </c>
      <c r="O11" s="40" t="n">
        <f aca="false">IF(P9=M10,-1,1)</f>
        <v>1</v>
      </c>
      <c r="P11" s="41" t="str">
        <f aca="false">TEXT(J11,"aaaa-mm-jj")&amp;"T"&amp;TEXT(J12,"hh:mm:ss")&amp;"z"</f>
        <v>2006-12-01T13:30:00z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0.5625</v>
      </c>
      <c r="K12" s="45"/>
      <c r="L12" s="45"/>
      <c r="M12" s="45"/>
      <c r="N12" s="46" t="str">
        <f aca="false">I10&amp;"°"&amp;J10</f>
        <v>2°20,93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5"/>
      <c r="G35" s="117" t="n">
        <v>34.654</v>
      </c>
      <c r="H35" s="131" t="n">
        <v>1000</v>
      </c>
      <c r="I35" s="119" t="n">
        <v>1002</v>
      </c>
      <c r="J35" s="189"/>
      <c r="K35" s="189"/>
      <c r="L35" s="189"/>
      <c r="M35" s="189"/>
      <c r="N35" s="189"/>
      <c r="O35" s="189"/>
      <c r="P35" s="189" t="n">
        <v>3.482</v>
      </c>
      <c r="Q35" s="189"/>
      <c r="R35" s="189"/>
      <c r="S35" s="189" t="n">
        <v>151.4</v>
      </c>
      <c r="T35" s="193" t="n">
        <v>0.02</v>
      </c>
      <c r="U35" s="193" t="n">
        <v>0.0195437881798895</v>
      </c>
      <c r="X35" s="195" t="n">
        <v>33.595</v>
      </c>
      <c r="Y35" s="195" t="n">
        <v>32.8286781951695</v>
      </c>
      <c r="Z35" s="193" t="n">
        <v>2.339</v>
      </c>
      <c r="AA35" s="193" t="n">
        <v>2.28564602763808</v>
      </c>
      <c r="AB35" s="195" t="n">
        <v>33.465</v>
      </c>
      <c r="AC35" s="195" t="n">
        <v>32.7016435720002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29"/>
      <c r="G36" s="117" t="n">
        <v>34.5985</v>
      </c>
      <c r="H36" s="131" t="n">
        <v>600</v>
      </c>
      <c r="I36" s="119" t="n">
        <v>599</v>
      </c>
      <c r="J36" s="190"/>
      <c r="K36" s="190"/>
      <c r="L36" s="190"/>
      <c r="M36" s="190"/>
      <c r="N36" s="190"/>
      <c r="O36" s="190"/>
      <c r="P36" s="190" t="n">
        <v>2.413</v>
      </c>
      <c r="Q36" s="190"/>
      <c r="R36" s="190"/>
      <c r="S36" s="190" t="n">
        <v>105</v>
      </c>
      <c r="T36" s="184" t="n">
        <v>0.019</v>
      </c>
      <c r="U36" s="184" t="n">
        <v>0.0185665987708951</v>
      </c>
      <c r="X36" s="182" t="n">
        <v>36.831</v>
      </c>
      <c r="Y36" s="182" t="n">
        <v>35.9908631226756</v>
      </c>
      <c r="Z36" s="184" t="n">
        <v>2.516</v>
      </c>
      <c r="AA36" s="184" t="n">
        <v>2.45860855303011</v>
      </c>
      <c r="AB36" s="182" t="n">
        <v>25.71</v>
      </c>
      <c r="AC36" s="182" t="n">
        <v>25.123539705248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29"/>
      <c r="G37" s="117" t="n">
        <v>34.5989</v>
      </c>
      <c r="H37" s="131" t="n">
        <v>600</v>
      </c>
      <c r="I37" s="119" t="n">
        <v>599</v>
      </c>
      <c r="J37" s="190"/>
      <c r="K37" s="190"/>
      <c r="L37" s="190"/>
      <c r="M37" s="190"/>
      <c r="N37" s="190"/>
      <c r="O37" s="190"/>
      <c r="P37" s="190" t="n">
        <v>2.431</v>
      </c>
      <c r="Q37" s="190"/>
      <c r="R37" s="190"/>
      <c r="S37" s="190" t="n">
        <v>105.7</v>
      </c>
      <c r="T37" s="184" t="n">
        <v>0.027</v>
      </c>
      <c r="U37" s="184" t="n">
        <v>0.0263841140428509</v>
      </c>
      <c r="X37" s="182" t="n">
        <v>36.883</v>
      </c>
      <c r="Y37" s="182" t="n">
        <v>36.0416769719433</v>
      </c>
      <c r="Z37" s="184" t="n">
        <v>2.507</v>
      </c>
      <c r="AA37" s="184" t="n">
        <v>2.44981384834916</v>
      </c>
      <c r="AB37" s="182" t="n">
        <v>25.84</v>
      </c>
      <c r="AC37" s="182" t="n">
        <v>25.2505743284173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39"/>
      <c r="G38" s="117" t="n">
        <v>35.0826</v>
      </c>
      <c r="H38" s="131" t="n">
        <v>300</v>
      </c>
      <c r="I38" s="119" t="n">
        <v>298</v>
      </c>
      <c r="J38" s="191"/>
      <c r="K38" s="191"/>
      <c r="L38" s="191"/>
      <c r="M38" s="191"/>
      <c r="N38" s="191"/>
      <c r="O38" s="191"/>
      <c r="P38" s="191" t="n">
        <v>1.337</v>
      </c>
      <c r="Q38" s="191"/>
      <c r="R38" s="191"/>
      <c r="S38" s="191" t="n">
        <v>58.2</v>
      </c>
      <c r="T38" s="124" t="n">
        <v>0.008</v>
      </c>
      <c r="U38" s="184" t="n">
        <v>0.00781751527195582</v>
      </c>
      <c r="X38" s="125" t="n">
        <v>31.542</v>
      </c>
      <c r="Y38" s="182" t="n">
        <v>30.8225083385038</v>
      </c>
      <c r="Z38" s="124" t="n">
        <v>2.058</v>
      </c>
      <c r="AA38" s="184" t="n">
        <v>2.01105580371063</v>
      </c>
      <c r="AB38" s="125" t="n">
        <v>13.78</v>
      </c>
      <c r="AC38" s="182" t="n">
        <v>13.4656700559439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29"/>
      <c r="G39" s="117" t="n">
        <v>35.7547</v>
      </c>
      <c r="H39" s="131" t="n">
        <v>100</v>
      </c>
      <c r="I39" s="119" t="n">
        <v>98</v>
      </c>
      <c r="J39" s="190"/>
      <c r="K39" s="190"/>
      <c r="L39" s="190"/>
      <c r="M39" s="190"/>
      <c r="N39" s="190"/>
      <c r="O39" s="190"/>
      <c r="P39" s="190" t="n">
        <v>2.446</v>
      </c>
      <c r="Q39" s="190"/>
      <c r="R39" s="190"/>
      <c r="S39" s="190" t="n">
        <v>106.5</v>
      </c>
      <c r="T39" s="124" t="n">
        <v>0.175</v>
      </c>
      <c r="U39" s="184" t="n">
        <v>0.171008146574034</v>
      </c>
      <c r="X39" s="125" t="n">
        <v>18.755</v>
      </c>
      <c r="Y39" s="182" t="n">
        <v>18.3271873656914</v>
      </c>
      <c r="Z39" s="124" t="n">
        <v>1.314</v>
      </c>
      <c r="AA39" s="184" t="n">
        <v>1.28402688341874</v>
      </c>
      <c r="AB39" s="125" t="n">
        <v>6.17</v>
      </c>
      <c r="AC39" s="182" t="n">
        <v>6.02925865349593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29"/>
      <c r="G40" s="117" t="n">
        <v>35.8604</v>
      </c>
      <c r="H40" s="131" t="n">
        <v>80</v>
      </c>
      <c r="I40" s="119" t="n">
        <v>80</v>
      </c>
      <c r="J40" s="190"/>
      <c r="K40" s="190"/>
      <c r="L40" s="190"/>
      <c r="M40" s="190"/>
      <c r="N40" s="190"/>
      <c r="O40" s="190"/>
      <c r="P40" s="190" t="n">
        <v>2.77</v>
      </c>
      <c r="Q40" s="190"/>
      <c r="R40" s="190"/>
      <c r="S40" s="190" t="n">
        <v>120.6</v>
      </c>
      <c r="T40" s="124" t="n">
        <v>0.097</v>
      </c>
      <c r="U40" s="184" t="n">
        <v>0.0947873726724643</v>
      </c>
      <c r="X40" s="125" t="n">
        <v>12.303</v>
      </c>
      <c r="Y40" s="182" t="n">
        <v>12.0223612988591</v>
      </c>
      <c r="Z40" s="124" t="n">
        <v>0.943</v>
      </c>
      <c r="AA40" s="184" t="n">
        <v>0.921489612681792</v>
      </c>
      <c r="AB40" s="125" t="n">
        <v>3.48</v>
      </c>
      <c r="AC40" s="182" t="n">
        <v>3.40061914330078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29"/>
      <c r="G41" s="117" t="n">
        <v>35.8962</v>
      </c>
      <c r="H41" s="118" t="n">
        <v>60</v>
      </c>
      <c r="I41" s="119" t="n">
        <v>60</v>
      </c>
      <c r="J41" s="190"/>
      <c r="K41" s="190"/>
      <c r="L41" s="190"/>
      <c r="M41" s="190"/>
      <c r="N41" s="190"/>
      <c r="O41" s="190"/>
      <c r="P41" s="190" t="n">
        <v>3.03</v>
      </c>
      <c r="Q41" s="190"/>
      <c r="R41" s="190"/>
      <c r="S41" s="190" t="n">
        <v>132</v>
      </c>
      <c r="T41" s="124" t="n">
        <v>0.065</v>
      </c>
      <c r="U41" s="184" t="n">
        <v>0.063517311584641</v>
      </c>
      <c r="X41" s="125" t="n">
        <v>15.255</v>
      </c>
      <c r="Y41" s="182" t="n">
        <v>14.9070244342108</v>
      </c>
      <c r="Z41" s="124" t="n">
        <v>1.105</v>
      </c>
      <c r="AA41" s="184" t="n">
        <v>1.0797942969389</v>
      </c>
      <c r="AB41" s="125" t="n">
        <v>4.39</v>
      </c>
      <c r="AC41" s="182" t="n">
        <v>4.28986150548576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29"/>
      <c r="G42" s="117" t="n">
        <v>35.4823</v>
      </c>
      <c r="H42" s="131" t="n">
        <v>40</v>
      </c>
      <c r="I42" s="119" t="n">
        <v>39</v>
      </c>
      <c r="J42" s="190"/>
      <c r="K42" s="190"/>
      <c r="L42" s="190"/>
      <c r="M42" s="190"/>
      <c r="N42" s="190"/>
      <c r="O42" s="190"/>
      <c r="P42" s="190" t="n">
        <v>4.28</v>
      </c>
      <c r="Q42" s="190"/>
      <c r="R42" s="190"/>
      <c r="S42" s="190" t="n">
        <v>186.7</v>
      </c>
      <c r="T42" s="124" t="n">
        <v>0.048</v>
      </c>
      <c r="U42" s="184" t="n">
        <v>0.0469050916317349</v>
      </c>
      <c r="X42" s="125" t="n">
        <v>0.172</v>
      </c>
      <c r="Y42" s="182" t="n">
        <v>0.16807657834705</v>
      </c>
      <c r="Z42" s="124" t="n">
        <v>0.226</v>
      </c>
      <c r="AA42" s="184" t="n">
        <v>0.220844806432752</v>
      </c>
      <c r="AB42" s="125" t="n">
        <v>1.26</v>
      </c>
      <c r="AC42" s="182" t="n">
        <v>1.23125865533304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29"/>
      <c r="G43" s="117" t="n">
        <v>34.3441</v>
      </c>
      <c r="H43" s="131" t="n">
        <v>20</v>
      </c>
      <c r="I43" s="119" t="n">
        <v>20</v>
      </c>
      <c r="J43" s="190"/>
      <c r="K43" s="190"/>
      <c r="L43" s="190"/>
      <c r="M43" s="190"/>
      <c r="N43" s="190"/>
      <c r="O43" s="190"/>
      <c r="P43" s="190" t="n">
        <v>4.582</v>
      </c>
      <c r="Q43" s="190"/>
      <c r="R43" s="190"/>
      <c r="S43" s="190" t="n">
        <v>200.2</v>
      </c>
      <c r="T43" s="124" t="n">
        <v>0.032</v>
      </c>
      <c r="U43" s="184" t="n">
        <v>0.0312700610878233</v>
      </c>
      <c r="X43" s="125" t="n">
        <v>0.148</v>
      </c>
      <c r="Y43" s="182" t="n">
        <v>0.144624032531183</v>
      </c>
      <c r="Z43" s="124" t="n">
        <v>0.091</v>
      </c>
      <c r="AA43" s="184" t="n">
        <v>0.0889242362184975</v>
      </c>
      <c r="AB43" s="125" t="n">
        <v>1.83</v>
      </c>
      <c r="AC43" s="182" t="n">
        <v>1.78825661845989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29"/>
      <c r="G44" s="117" t="n">
        <v>33.6373</v>
      </c>
      <c r="H44" s="131" t="n">
        <v>10</v>
      </c>
      <c r="I44" s="119" t="n">
        <v>10</v>
      </c>
      <c r="J44" s="190"/>
      <c r="K44" s="190"/>
      <c r="L44" s="190"/>
      <c r="M44" s="190"/>
      <c r="N44" s="190"/>
      <c r="O44" s="190"/>
      <c r="P44" s="190" t="n">
        <v>4.646</v>
      </c>
      <c r="Q44" s="190"/>
      <c r="R44" s="190"/>
      <c r="S44" s="190" t="n">
        <v>203.2</v>
      </c>
      <c r="T44" s="124" t="n">
        <v>0.009</v>
      </c>
      <c r="U44" s="184" t="n">
        <v>0.0087947046809503</v>
      </c>
      <c r="X44" s="125" t="n">
        <v>0.151</v>
      </c>
      <c r="Y44" s="182" t="n">
        <v>0.147555600758166</v>
      </c>
      <c r="Z44" s="124" t="n">
        <v>0.026</v>
      </c>
      <c r="AA44" s="184" t="n">
        <v>0.0254069246338564</v>
      </c>
      <c r="AB44" s="125" t="n">
        <v>1.62</v>
      </c>
      <c r="AC44" s="182" t="n">
        <v>1.58304684257105</v>
      </c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29"/>
      <c r="G45" s="117" t="n">
        <v>32.769</v>
      </c>
      <c r="H45" s="131" t="n">
        <v>0</v>
      </c>
      <c r="I45" s="119" t="n">
        <v>0.2</v>
      </c>
      <c r="J45" s="190"/>
      <c r="K45" s="190"/>
      <c r="L45" s="190"/>
      <c r="M45" s="190"/>
      <c r="N45" s="190"/>
      <c r="O45" s="190"/>
      <c r="P45" s="190" t="n">
        <v>4.71</v>
      </c>
      <c r="Q45" s="190"/>
      <c r="R45" s="190"/>
      <c r="S45" s="190" t="n">
        <v>206.2</v>
      </c>
      <c r="T45" s="124" t="n">
        <v>0.006</v>
      </c>
      <c r="U45" s="184" t="n">
        <v>0.00586313645396687</v>
      </c>
      <c r="X45" s="125" t="n">
        <v>0.154</v>
      </c>
      <c r="Y45" s="182" t="n">
        <v>0.15048716898515</v>
      </c>
      <c r="Z45" s="124" t="n">
        <v>0</v>
      </c>
      <c r="AA45" s="184" t="n">
        <v>0</v>
      </c>
      <c r="AB45" s="125" t="n">
        <v>1.19</v>
      </c>
      <c r="AC45" s="182" t="n">
        <v>1.16285539670343</v>
      </c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5"/>
      <c r="H46" s="145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32"/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S46" s="132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4"/>
      <c r="H47" s="154"/>
      <c r="I47" s="154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Flac.",#REF!/M47)))))))))</f>
        <v/>
      </c>
      <c r="S47" s="132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4"/>
      <c r="H48" s="154"/>
      <c r="I48" s="154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Flac.",#REF!/M48)))))))))</f>
        <v/>
      </c>
      <c r="S48" s="132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52" activeCellId="1" sqref="U45 A52"/>
    </sheetView>
  </sheetViews>
  <sheetFormatPr defaultColWidth="9.14453125" defaultRowHeight="15" zeroHeight="false" outlineLevelRow="0" outlineLevelCol="0"/>
  <cols>
    <col collapsed="false" customWidth="true" hidden="false" outlineLevel="0" max="10" min="10" style="0" width="13.28"/>
    <col collapsed="false" customWidth="false" hidden="true" outlineLevel="0" max="15" min="11" style="0" width="9.1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37590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2.74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6°2,74</v>
      </c>
      <c r="P9" s="29" t="s">
        <v>13</v>
      </c>
      <c r="Q9" s="33" t="n">
        <f aca="false">IF(ISBLANK(I9),"",IF(ISBLANK(J9),"",IF(J9&gt;60,"ERREUR !!",O11*(I9+(J9/60)))))</f>
        <v>6.04566666666667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21.01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2°21,01</v>
      </c>
      <c r="P10" s="29" t="s">
        <v>14</v>
      </c>
      <c r="Q10" s="33" t="n">
        <f aca="false">IF(ISBLANK(I10),"",IF(ISBLANK(J10),"",IF(J10&gt;60,"ERREUR !!",O12*(I10+(J10/60)))))</f>
        <v>2.35016666666667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38" t="n">
        <v>37590</v>
      </c>
      <c r="K11" s="38"/>
      <c r="L11" s="38"/>
      <c r="M11" s="38"/>
      <c r="N11" s="39" t="str">
        <f aca="false">I9&amp;"°"&amp;J9</f>
        <v>6°2,74</v>
      </c>
      <c r="O11" s="40" t="n">
        <f aca="false">IF(P9=M10,-1,1)</f>
        <v>1</v>
      </c>
      <c r="P11" s="41" t="str">
        <f aca="false">TEXT(J11,"aaaa-mm-jj")&amp;"T"&amp;TEXT(J12,"hh:mm:ss")&amp;"z"</f>
        <v>2006-12-01T17:30:00z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0.729166666666667</v>
      </c>
      <c r="K12" s="45"/>
      <c r="L12" s="45"/>
      <c r="M12" s="45"/>
      <c r="N12" s="46" t="str">
        <f aca="false">I10&amp;"°"&amp;J10</f>
        <v>2°21,01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4" t="s">
        <v>131</v>
      </c>
      <c r="AU33" s="103" t="s">
        <v>132</v>
      </c>
      <c r="AV33" s="103" t="s">
        <v>133</v>
      </c>
      <c r="AW33" s="103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5"/>
      <c r="G35" s="115"/>
      <c r="H35" s="131" t="n">
        <v>500</v>
      </c>
      <c r="I35" s="181" t="n">
        <v>502</v>
      </c>
      <c r="J35" s="189"/>
      <c r="K35" s="189"/>
      <c r="L35" s="189"/>
      <c r="M35" s="189"/>
      <c r="N35" s="189"/>
      <c r="O35" s="189"/>
      <c r="P35" s="189"/>
      <c r="Q35" s="189"/>
      <c r="R35" s="189"/>
      <c r="S35" s="189"/>
      <c r="T35" s="124" t="n">
        <v>0.034</v>
      </c>
      <c r="U35" s="184" t="n">
        <v>0.0332244399058122</v>
      </c>
      <c r="X35" s="125" t="n">
        <v>36.546</v>
      </c>
      <c r="Y35" s="182" t="n">
        <v>35.7123641411122</v>
      </c>
      <c r="Z35" s="124" t="n">
        <v>2.499</v>
      </c>
      <c r="AA35" s="184" t="n">
        <v>2.4419963330772</v>
      </c>
      <c r="AB35" s="125" t="n">
        <v>20.67</v>
      </c>
      <c r="AC35" s="182" t="n">
        <v>20.1985050839158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29"/>
      <c r="G36" s="129"/>
      <c r="H36" s="131" t="n">
        <v>300</v>
      </c>
      <c r="I36" s="181" t="n">
        <v>299</v>
      </c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84" t="n">
        <v>0.0315</v>
      </c>
      <c r="U36" s="184" t="n">
        <v>0.030781466383326</v>
      </c>
      <c r="X36" s="182" t="n">
        <v>33.8535</v>
      </c>
      <c r="Y36" s="182" t="n">
        <v>33.0812816573945</v>
      </c>
      <c r="Z36" s="184" t="n">
        <v>2.258</v>
      </c>
      <c r="AA36" s="184" t="n">
        <v>2.20649368550953</v>
      </c>
      <c r="AB36" s="182" t="n">
        <v>14.85</v>
      </c>
      <c r="AC36" s="182" t="n">
        <v>14.511262723568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7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29"/>
      <c r="G37" s="129"/>
      <c r="H37" s="131" t="n">
        <v>100</v>
      </c>
      <c r="I37" s="181" t="n">
        <v>94</v>
      </c>
      <c r="J37" s="190"/>
      <c r="K37" s="190"/>
      <c r="L37" s="190"/>
      <c r="M37" s="190"/>
      <c r="N37" s="190"/>
      <c r="O37" s="190"/>
      <c r="P37" s="190"/>
      <c r="Q37" s="190"/>
      <c r="R37" s="190"/>
      <c r="S37" s="190"/>
      <c r="T37" s="124" t="n">
        <v>0.039</v>
      </c>
      <c r="U37" s="184" t="n">
        <v>0.0381103869507846</v>
      </c>
      <c r="X37" s="125" t="n">
        <v>16.231</v>
      </c>
      <c r="Y37" s="182" t="n">
        <v>15.8607612973894</v>
      </c>
      <c r="Z37" s="124" t="n">
        <v>1.236</v>
      </c>
      <c r="AA37" s="184" t="n">
        <v>1.20780610951717</v>
      </c>
      <c r="AB37" s="125" t="n">
        <v>6.3</v>
      </c>
      <c r="AC37" s="182" t="n">
        <v>6.15629327666521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7"/>
    </row>
    <row r="38" customFormat="false" ht="16.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9"/>
      <c r="E38" s="139"/>
      <c r="F38" s="139"/>
      <c r="G38" s="139"/>
      <c r="H38" s="131" t="n">
        <v>80</v>
      </c>
      <c r="I38" s="181" t="n">
        <v>80</v>
      </c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24" t="n">
        <v>0.038</v>
      </c>
      <c r="U38" s="184" t="n">
        <v>0.0371331975417901</v>
      </c>
      <c r="X38" s="125" t="n">
        <v>15.452</v>
      </c>
      <c r="Y38" s="182" t="n">
        <v>15.0995307477827</v>
      </c>
      <c r="Z38" s="124" t="n">
        <v>1.193</v>
      </c>
      <c r="AA38" s="184" t="n">
        <v>1.16578696493041</v>
      </c>
      <c r="AB38" s="125" t="n">
        <v>6.3</v>
      </c>
      <c r="AC38" s="182" t="n">
        <v>6.15629327666521</v>
      </c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29"/>
      <c r="G39" s="129"/>
      <c r="H39" s="118" t="n">
        <v>60</v>
      </c>
      <c r="I39" s="181" t="n">
        <v>59</v>
      </c>
      <c r="J39" s="190"/>
      <c r="K39" s="190"/>
      <c r="L39" s="190"/>
      <c r="M39" s="190"/>
      <c r="N39" s="190"/>
      <c r="O39" s="190"/>
      <c r="P39" s="190"/>
      <c r="Q39" s="190"/>
      <c r="R39" s="190"/>
      <c r="S39" s="190"/>
      <c r="T39" s="124" t="n">
        <v>0.061</v>
      </c>
      <c r="U39" s="184" t="n">
        <v>0.0596085539486631</v>
      </c>
      <c r="X39" s="125" t="n">
        <v>14.169</v>
      </c>
      <c r="Y39" s="182" t="n">
        <v>13.8457967360428</v>
      </c>
      <c r="Z39" s="124" t="n">
        <v>1.101</v>
      </c>
      <c r="AA39" s="184" t="n">
        <v>1.07588553930292</v>
      </c>
      <c r="AB39" s="125" t="n">
        <v>5.36</v>
      </c>
      <c r="AC39" s="182" t="n">
        <v>5.2377352322104</v>
      </c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2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29"/>
      <c r="G40" s="129"/>
      <c r="H40" s="131" t="n">
        <v>40</v>
      </c>
      <c r="I40" s="181" t="n">
        <v>40</v>
      </c>
      <c r="J40" s="190"/>
      <c r="K40" s="190"/>
      <c r="L40" s="190"/>
      <c r="M40" s="190"/>
      <c r="N40" s="190"/>
      <c r="O40" s="190"/>
      <c r="P40" s="190"/>
      <c r="Q40" s="190"/>
      <c r="R40" s="190"/>
      <c r="S40" s="190"/>
      <c r="T40" s="124" t="n">
        <v>0.018</v>
      </c>
      <c r="U40" s="184" t="n">
        <v>0.0175894093619006</v>
      </c>
      <c r="X40" s="125" t="n">
        <v>1.452</v>
      </c>
      <c r="Y40" s="182" t="n">
        <v>1.41887902185998</v>
      </c>
      <c r="Z40" s="124" t="n">
        <v>0.244</v>
      </c>
      <c r="AA40" s="184" t="n">
        <v>0.238434215794652</v>
      </c>
      <c r="AB40" s="125" t="n">
        <v>0.78</v>
      </c>
      <c r="AC40" s="182" t="n">
        <v>0.762207739015692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2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29"/>
      <c r="G41" s="129"/>
      <c r="H41" s="131" t="n">
        <v>20</v>
      </c>
      <c r="I41" s="181" t="n">
        <v>20</v>
      </c>
      <c r="J41" s="190"/>
      <c r="K41" s="190"/>
      <c r="L41" s="190"/>
      <c r="M41" s="190"/>
      <c r="N41" s="190"/>
      <c r="O41" s="190"/>
      <c r="P41" s="190"/>
      <c r="Q41" s="190"/>
      <c r="R41" s="190"/>
      <c r="S41" s="190"/>
      <c r="T41" s="124" t="n">
        <v>0.009</v>
      </c>
      <c r="U41" s="184" t="n">
        <v>0.0087947046809503</v>
      </c>
      <c r="X41" s="125" t="n">
        <v>0.131</v>
      </c>
      <c r="Y41" s="182" t="n">
        <v>0.128011812578277</v>
      </c>
      <c r="Z41" s="124" t="n">
        <v>0.036</v>
      </c>
      <c r="AA41" s="184" t="n">
        <v>0.0351788187238012</v>
      </c>
      <c r="AB41" s="125" t="n">
        <v>0</v>
      </c>
      <c r="AC41" s="182" t="n">
        <v>0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2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29"/>
      <c r="G42" s="129"/>
      <c r="H42" s="131" t="n">
        <v>10</v>
      </c>
      <c r="I42" s="181" t="n">
        <v>10</v>
      </c>
      <c r="J42" s="190"/>
      <c r="K42" s="190"/>
      <c r="L42" s="190"/>
      <c r="M42" s="190"/>
      <c r="N42" s="190"/>
      <c r="O42" s="190"/>
      <c r="P42" s="190"/>
      <c r="Q42" s="190"/>
      <c r="R42" s="190"/>
      <c r="S42" s="190"/>
      <c r="T42" s="124" t="n">
        <v>0.001</v>
      </c>
      <c r="U42" s="184" t="n">
        <v>0.000977189408994478</v>
      </c>
      <c r="X42" s="125" t="n">
        <v>0.109</v>
      </c>
      <c r="Y42" s="182" t="n">
        <v>0.106513645580398</v>
      </c>
      <c r="Z42" s="124" t="n">
        <v>0.042</v>
      </c>
      <c r="AA42" s="184" t="n">
        <v>0.0410419551777681</v>
      </c>
      <c r="AB42" s="125" t="n">
        <v>0.59</v>
      </c>
      <c r="AC42" s="182" t="n">
        <v>0.576541751306742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2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29"/>
      <c r="G43" s="129"/>
      <c r="H43" s="131" t="n">
        <v>0</v>
      </c>
      <c r="I43" s="181" t="n">
        <v>0.5</v>
      </c>
      <c r="J43" s="190"/>
      <c r="K43" s="190"/>
      <c r="L43" s="190"/>
      <c r="M43" s="190"/>
      <c r="N43" s="190"/>
      <c r="O43" s="190"/>
      <c r="P43" s="190"/>
      <c r="Q43" s="190"/>
      <c r="R43" s="190"/>
      <c r="S43" s="190"/>
      <c r="T43" s="124" t="n">
        <v>0.014</v>
      </c>
      <c r="U43" s="184" t="n">
        <v>0.0136806517259227</v>
      </c>
      <c r="X43" s="125" t="n">
        <v>0.116</v>
      </c>
      <c r="Y43" s="182" t="n">
        <v>0.113353971443359</v>
      </c>
      <c r="Z43" s="124" t="n">
        <v>0.035</v>
      </c>
      <c r="AA43" s="184" t="n">
        <v>0.0342016293148067</v>
      </c>
      <c r="AB43" s="125" t="n">
        <v>1.49</v>
      </c>
      <c r="AC43" s="182" t="n">
        <v>1.45601221940177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2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29"/>
      <c r="G44" s="129"/>
      <c r="H44" s="131" t="s">
        <v>99</v>
      </c>
      <c r="I44" s="119" t="s">
        <v>99</v>
      </c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29"/>
      <c r="G45" s="129"/>
      <c r="H45" s="131" t="s">
        <v>99</v>
      </c>
      <c r="I45" s="119" t="s">
        <v>99</v>
      </c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90"/>
      <c r="U45" s="190"/>
      <c r="V45" s="190"/>
      <c r="W45" s="190"/>
      <c r="X45" s="190"/>
      <c r="Y45" s="190"/>
      <c r="Z45" s="190"/>
      <c r="AA45" s="190"/>
      <c r="AB45" s="190"/>
      <c r="AC45" s="190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5"/>
      <c r="H46" s="145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32"/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S46" s="132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7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4"/>
      <c r="H47" s="154"/>
      <c r="I47" s="154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Flac.",#REF!/M47)))))))))</f>
        <v/>
      </c>
      <c r="S47" s="132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7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4"/>
      <c r="H48" s="154"/>
      <c r="I48" s="154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Flac.",#REF!/M48)))))))))</f>
        <v/>
      </c>
      <c r="S48" s="132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7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7"/>
      <c r="H49" s="153"/>
      <c r="I49" s="153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8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59"/>
      <c r="W49" s="159"/>
      <c r="X49" s="159"/>
      <c r="Y49" s="159"/>
      <c r="Z49" s="32"/>
      <c r="AA49" s="32"/>
      <c r="AB49" s="159"/>
      <c r="AC49" s="159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7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7"/>
      <c r="H50" s="153"/>
      <c r="I50" s="153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8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7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7"/>
      <c r="H51" s="153"/>
      <c r="I51" s="153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8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59"/>
      <c r="W51" s="159"/>
      <c r="X51" s="159"/>
      <c r="Y51" s="159"/>
      <c r="Z51" s="32"/>
      <c r="AA51" s="32"/>
      <c r="AB51" s="159"/>
      <c r="AC51" s="15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7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7"/>
      <c r="H52" s="153"/>
      <c r="I52" s="153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7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7"/>
      <c r="H53" s="153"/>
      <c r="I53" s="153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8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7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7"/>
      <c r="H54" s="153"/>
      <c r="I54" s="153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8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7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7"/>
      <c r="H55" s="153"/>
      <c r="I55" s="153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8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7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7"/>
      <c r="H56" s="153"/>
      <c r="I56" s="153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8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59"/>
      <c r="W56" s="159"/>
      <c r="X56" s="159"/>
      <c r="Y56" s="159"/>
      <c r="Z56" s="32"/>
      <c r="AA56" s="32"/>
      <c r="AB56" s="159"/>
      <c r="AC56" s="159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7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7"/>
      <c r="H57" s="153"/>
      <c r="I57" s="153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8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7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LibreOffice/6.4.5.2$Linux_X86_64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2015-01-20T10:06:39Z</dcterms:created>
  <dc:creator>Jean-Philippe</dc:creator>
  <dc:description/>
  <dc:language>fr-FR</dc:language>
  <cp:lastModifiedBy/>
  <cp:lastPrinted>2015-02-05T12:58:17Z</cp:lastPrinted>
  <dcterms:modified xsi:type="dcterms:W3CDTF">2020-09-24T16:05:44Z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