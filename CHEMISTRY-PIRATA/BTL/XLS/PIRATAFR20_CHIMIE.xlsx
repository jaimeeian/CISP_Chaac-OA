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</sheets>
  <definedNames>
    <definedName function="false" hidden="false" name="Blanc" vbProcedure="false">"$#REF !.$O$15"</definedName>
    <definedName function="false" hidden="false" name="Blanc___0" vbProcedure="false">"$#REF !.$E$13"</definedName>
    <definedName function="false" hidden="false" name="Blanc___1" vbProcedure="false">"$#REF !.$O$15"</definedName>
    <definedName function="false" hidden="false" name="Blanc___10" vbProcedure="false">"$#REF !.$O$15"</definedName>
    <definedName function="false" hidden="false" name="Blanc___11" vbProcedure="false">"$#REF !.$O$15"</definedName>
    <definedName function="false" hidden="false" name="Blanc___12" vbProcedure="false">"$#REF !.$O$15"</definedName>
    <definedName function="false" hidden="false" name="Blanc___13" vbProcedure="false">"$#REF !.$O$15"</definedName>
    <definedName function="false" hidden="false" name="Blanc___14" vbProcedure="false">"$#REF !.$O$15"</definedName>
    <definedName function="false" hidden="false" name="Blanc___15" vbProcedure="false">"$#REF !.$O$15"</definedName>
    <definedName function="false" hidden="false" name="Blanc___16" vbProcedure="false">"$#REF !.$O$15"</definedName>
    <definedName function="false" hidden="false" name="Blanc___17" vbProcedure="false">"$#REF !.$O$15"</definedName>
    <definedName function="false" hidden="false" name="Blanc___18" vbProcedure="false">"$#REF !.$O$15"</definedName>
    <definedName function="false" hidden="false" name="Blanc___19" vbProcedure="false">"$#REF !.$O$15"</definedName>
    <definedName function="false" hidden="false" name="Blanc___20" vbProcedure="false">"$#REF !.$O$15"</definedName>
    <definedName function="false" hidden="false" name="Blanc___21" vbProcedure="false">"$#REF !.$O$15"</definedName>
    <definedName function="false" hidden="false" name="Blanc___22" vbProcedure="false">"$#REF !.$O$15"</definedName>
    <definedName function="false" hidden="false" name="Blanc___23" vbProcedure="false">"$#REF !.$O$15"</definedName>
    <definedName function="false" hidden="false" name="Blanc___24" vbProcedure="false">"$#REF !.$O$16"</definedName>
    <definedName function="false" hidden="false" name="Blanc___24_11" vbProcedure="false">"$#REF !.$O$16"</definedName>
    <definedName function="false" hidden="false" name="Blanc___24_13" vbProcedure="false">"$#REF !.$O$16"</definedName>
    <definedName function="false" hidden="false" name="Blanc___24_15" vbProcedure="false">"$#REF !.$O$16"</definedName>
    <definedName function="false" hidden="false" name="Blanc___24_17" vbProcedure="false">"$#REF !.$O$16"</definedName>
    <definedName function="false" hidden="false" name="Blanc___24_19" vbProcedure="false">"$#REF !.$O$16"</definedName>
    <definedName function="false" hidden="false" name="Blanc___24_21" vbProcedure="false">"$#REF !.$O$16"</definedName>
    <definedName function="false" hidden="false" name="Blanc___24_23" vbProcedure="false">"$#REF !.$O$16"</definedName>
    <definedName function="false" hidden="false" name="Blanc___24_25" vbProcedure="false">"$#REF !.$O$16"</definedName>
    <definedName function="false" hidden="false" name="Blanc___24_27" vbProcedure="false">"$#REF !.$O$16"</definedName>
    <definedName function="false" hidden="false" name="Blanc___24_29" vbProcedure="false">"$#REF !.$O$16"</definedName>
    <definedName function="false" hidden="false" name="Blanc___24_31" vbProcedure="false">"$#REF !.$O$16"</definedName>
    <definedName function="false" hidden="false" name="Blanc___24_33" vbProcedure="false">"$#REF !.$O$16"</definedName>
    <definedName function="false" hidden="false" name="Blanc___24_35" vbProcedure="false">"$#REF !.$O$16"</definedName>
    <definedName function="false" hidden="false" name="Blanc___24_37" vbProcedure="false">"$#REF !.$O$16"</definedName>
    <definedName function="false" hidden="false" name="Blanc___24_39" vbProcedure="false">"$#REF !.$O$16"</definedName>
    <definedName function="false" hidden="false" name="Blanc___24_41" vbProcedure="false">"$#REF !.$O$16"</definedName>
    <definedName function="false" hidden="false" name="Blanc___24_43" vbProcedure="false">"$#REF !.$O$16"</definedName>
    <definedName function="false" hidden="false" name="Blanc___24_45" vbProcedure="false">"$#REF !.$O$16"</definedName>
    <definedName function="false" hidden="false" name="Blanc___24_47" vbProcedure="false">"$#REF !.$O$16"</definedName>
    <definedName function="false" hidden="false" name="Blanc___24_49" vbProcedure="false">"$#REF !.$O$16"</definedName>
    <definedName function="false" hidden="false" name="Blanc___24_51" vbProcedure="false">"$#REF !.$O$16"</definedName>
    <definedName function="false" hidden="false" name="Blanc___24_53" vbProcedure="false">"$#REF !.$O$16"</definedName>
    <definedName function="false" hidden="false" name="Blanc___24_55" vbProcedure="false">"$#REF !.$O$16"</definedName>
    <definedName function="false" hidden="false" name="Blanc___24_57" vbProcedure="false">"$#REF !.$O$16"</definedName>
    <definedName function="false" hidden="false" name="Blanc___24_59" vbProcedure="false">"$#REF !.$O$16"</definedName>
    <definedName function="false" hidden="false" name="Blanc___24_61" vbProcedure="false">"$#REF !.$O$16"</definedName>
    <definedName function="false" hidden="false" name="Blanc___24_63" vbProcedure="false">"$#REF !.$O$16"</definedName>
    <definedName function="false" hidden="false" name="Blanc___24_65" vbProcedure="false">"$#REF !.$O$16"</definedName>
    <definedName function="false" hidden="false" name="Blanc___24_67" vbProcedure="false">"$#REF !.$O$16"</definedName>
    <definedName function="false" hidden="false" name="Blanc___24_69" vbProcedure="false">"$#REF !.$O$16"</definedName>
    <definedName function="false" hidden="false" name="Blanc___24_71" vbProcedure="false">"$#REF !.$O$16"</definedName>
    <definedName function="false" hidden="false" name="Blanc___24_73" vbProcedure="false">"$#REF !.$O$16"</definedName>
    <definedName function="false" hidden="false" name="Blanc___24_75" vbProcedure="false">"$#REF !.$O$16"</definedName>
    <definedName function="false" hidden="false" name="Blanc___24_77" vbProcedure="false">"$#REF !.$O$16"</definedName>
    <definedName function="false" hidden="false" name="Blanc___24_79" vbProcedure="false">"$#REF !.$O$16"</definedName>
    <definedName function="false" hidden="false" name="Blanc___24_81" vbProcedure="false">"$#REF !.$O$16"</definedName>
    <definedName function="false" hidden="false" name="Blanc___24_83" vbProcedure="false">001_01!$O$15</definedName>
    <definedName function="false" hidden="false" name="Blanc___24_83_2" vbProcedure="false">"$#REF !.$O$16"</definedName>
    <definedName function="false" hidden="false" name="Blanc___24_83_3" vbProcedure="false">#REF!</definedName>
    <definedName function="false" hidden="false" name="Blanc___24_83_3_1" vbProcedure="false">"$#REF !.$O$16"</definedName>
    <definedName function="false" hidden="false" name="Blanc___24_83_4" vbProcedure="false">#REF!</definedName>
    <definedName function="false" hidden="false" name="Blanc___24_83_4_1" vbProcedure="false">"$#REF !.$O$16"</definedName>
    <definedName function="false" hidden="false" name="Blanc___24_83_5" vbProcedure="false">#REF!</definedName>
    <definedName function="false" hidden="false" name="Blanc___24_83_5_1" vbProcedure="false">"$#REF !.$O$16"</definedName>
    <definedName function="false" hidden="false" name="Blanc___24_83_6" vbProcedure="false">#REF!</definedName>
    <definedName function="false" hidden="false" name="Blanc___24_83_6_1" vbProcedure="false">"$#REF !.$O$16"</definedName>
    <definedName function="false" hidden="false" name="Blanc___24_83_7" vbProcedure="false">#REF!</definedName>
    <definedName function="false" hidden="false" name="Blanc___24_83_7_1" vbProcedure="false">"$#REF !.$O$16"</definedName>
    <definedName function="false" hidden="false" name="Blanc___25" vbProcedure="false">"$#REF !.$O$16"</definedName>
    <definedName function="false" hidden="false" name="Blanc___26" vbProcedure="false">"$#REF !.$O$16"</definedName>
    <definedName function="false" hidden="false" name="Blanc___27" vbProcedure="false">"$#REF !.$O$16"</definedName>
    <definedName function="false" hidden="false" name="Blanc___28" vbProcedure="false">"$#REF !.$O$16"</definedName>
    <definedName function="false" hidden="false" name="Blanc___3" vbProcedure="false">"$#REF !.$O$15"</definedName>
    <definedName function="false" hidden="false" name="Blanc___33" vbProcedure="false">"$#REF !.$O$15"</definedName>
    <definedName function="false" hidden="false" name="Blanc___33_89" vbProcedure="false">#REF!</definedName>
    <definedName function="false" hidden="false" name="Blanc___4" vbProcedure="false">"$#REF !.$O$15"</definedName>
    <definedName function="false" hidden="false" name="Blanc___5" vbProcedure="false">"$#REF !.$O$15"</definedName>
    <definedName function="false" hidden="false" name="Blanc___6" vbProcedure="false">"$#REF !.$O$15"</definedName>
    <definedName function="false" hidden="false" name="Blanc___7" vbProcedure="false">"$#REF !.$O$15"</definedName>
    <definedName function="false" hidden="false" name="Blanc___8" vbProcedure="false">"$#REF !.$O$15"</definedName>
    <definedName function="false" hidden="false" name="Blanc___9" vbProcedure="false">"$#REF !.$O$15"</definedName>
    <definedName function="false" hidden="false" name="CASSES_1" vbProcedure="false">#REF!</definedName>
    <definedName function="false" hidden="false" name="Correction_10ml" vbProcedure="false">[3]corrections_de_vol_!$g$9</definedName>
    <definedName function="false" hidden="false" name="correction_5ml" vbProcedure="false">#REF!</definedName>
    <definedName function="false" hidden="false" name="correction_react" vbProcedure="false">#REF!</definedName>
    <definedName function="false" hidden="false" name="densite_eau_pure_20" vbProcedure="false">[4]titre_iodate!$f$14</definedName>
    <definedName function="false" hidden="false" name="Flacons_N" vbProcedure="false">#REF!</definedName>
    <definedName function="false" hidden="false" name="NORMALITE" vbProcedure="false">"$#REF !.$O$11"</definedName>
    <definedName function="false" hidden="false" name="NORMALITE___0" vbProcedure="false">"$#REF !.$O$11"</definedName>
    <definedName function="false" hidden="false" name="NORMALITE___0_89" vbProcedure="false">#REF!</definedName>
    <definedName function="false" hidden="false" name="NORMALITE___1" vbProcedure="false">"$#REF !.$O$11"</definedName>
    <definedName function="false" hidden="false" name="NORMALITE___10" vbProcedure="false">"$#REF !.$O$11"</definedName>
    <definedName function="false" hidden="false" name="NORMALITE___11" vbProcedure="false">"$#REF !.$O$11"</definedName>
    <definedName function="false" hidden="false" name="NORMALITE___12" vbProcedure="false">"$#REF !.$O$11"</definedName>
    <definedName function="false" hidden="false" name="NORMALITE___13" vbProcedure="false">"$#REF !.$O$11"</definedName>
    <definedName function="false" hidden="false" name="NORMALITE___14" vbProcedure="false">"$#REF !.$O$11"</definedName>
    <definedName function="false" hidden="false" name="NORMALITE___15" vbProcedure="false">"$#REF !.$O$11"</definedName>
    <definedName function="false" hidden="false" name="NORMALITE___16" vbProcedure="false">"$#REF !.$O$11"</definedName>
    <definedName function="false" hidden="false" name="NORMALITE___17" vbProcedure="false">"$#REF !.$O$11"</definedName>
    <definedName function="false" hidden="false" name="NORMALITE___18" vbProcedure="false">"$#REF !.$O$11"</definedName>
    <definedName function="false" hidden="false" name="NORMALITE___19" vbProcedure="false">"$#REF !.$O$11"</definedName>
    <definedName function="false" hidden="false" name="NORMALITE___20" vbProcedure="false">"$#REF !.$O$11"</definedName>
    <definedName function="false" hidden="false" name="NORMALITE___21" vbProcedure="false">"$#REF !.$O$11"</definedName>
    <definedName function="false" hidden="false" name="NORMALITE___22" vbProcedure="false">"$#REF !.$O$11"</definedName>
    <definedName function="false" hidden="false" name="NORMALITE___23" vbProcedure="false">"$#REF !.$O$11"</definedName>
    <definedName function="false" hidden="false" name="NORMALITE___24" vbProcedure="false">"$#REF !.$O$12"</definedName>
    <definedName function="false" hidden="false" name="NORMALITE___24_11" vbProcedure="false">"$#REF !.$O$12"</definedName>
    <definedName function="false" hidden="false" name="NORMALITE___24_13" vbProcedure="false">"$#REF !.$O$12"</definedName>
    <definedName function="false" hidden="false" name="NORMALITE___24_15" vbProcedure="false">"$#REF !.$O$12"</definedName>
    <definedName function="false" hidden="false" name="NORMALITE___24_17" vbProcedure="false">"$#REF !.$O$12"</definedName>
    <definedName function="false" hidden="false" name="NORMALITE___24_19" vbProcedure="false">"$#REF !.$O$12"</definedName>
    <definedName function="false" hidden="false" name="NORMALITE___24_21" vbProcedure="false">"$#REF !.$O$12"</definedName>
    <definedName function="false" hidden="false" name="NORMALITE___24_23" vbProcedure="false">"$#REF !.$O$12"</definedName>
    <definedName function="false" hidden="false" name="NORMALITE___24_25" vbProcedure="false">"$#REF !.$O$12"</definedName>
    <definedName function="false" hidden="false" name="NORMALITE___24_27" vbProcedure="false">"$#REF !.$O$12"</definedName>
    <definedName function="false" hidden="false" name="NORMALITE___24_29" vbProcedure="false">"$#REF !.$O$12"</definedName>
    <definedName function="false" hidden="false" name="NORMALITE___24_31" vbProcedure="false">"$#REF !.$O$12"</definedName>
    <definedName function="false" hidden="false" name="NORMALITE___24_33" vbProcedure="false">"$#REF !.$O$12"</definedName>
    <definedName function="false" hidden="false" name="NORMALITE___24_35" vbProcedure="false">"$#REF !.$O$12"</definedName>
    <definedName function="false" hidden="false" name="NORMALITE___24_37" vbProcedure="false">"$#REF !.$O$12"</definedName>
    <definedName function="false" hidden="false" name="NORMALITE___24_39" vbProcedure="false">"$#REF !.$O$12"</definedName>
    <definedName function="false" hidden="false" name="NORMALITE___24_41" vbProcedure="false">"$#REF !.$O$12"</definedName>
    <definedName function="false" hidden="false" name="NORMALITE___24_43" vbProcedure="false">"$#REF !.$O$12"</definedName>
    <definedName function="false" hidden="false" name="NORMALITE___24_45" vbProcedure="false">"$#REF !.$O$12"</definedName>
    <definedName function="false" hidden="false" name="NORMALITE___24_47" vbProcedure="false">"$#REF !.$O$12"</definedName>
    <definedName function="false" hidden="false" name="NORMALITE___24_49" vbProcedure="false">"$#REF !.$O$12"</definedName>
    <definedName function="false" hidden="false" name="NORMALITE___24_51" vbProcedure="false">"$#REF !.$O$12"</definedName>
    <definedName function="false" hidden="false" name="NORMALITE___24_53" vbProcedure="false">"$#REF !.$O$12"</definedName>
    <definedName function="false" hidden="false" name="NORMALITE___24_55" vbProcedure="false">"$#REF !.$O$12"</definedName>
    <definedName function="false" hidden="false" name="NORMALITE___24_57" vbProcedure="false">"$#REF !.$O$12"</definedName>
    <definedName function="false" hidden="false" name="NORMALITE___24_59" vbProcedure="false">"$#REF !.$O$12"</definedName>
    <definedName function="false" hidden="false" name="NORMALITE___24_61" vbProcedure="false">"$#REF !.$O$12"</definedName>
    <definedName function="false" hidden="false" name="NORMALITE___24_63" vbProcedure="false">"$#REF !.$O$12"</definedName>
    <definedName function="false" hidden="false" name="NORMALITE___24_65" vbProcedure="false">"$#REF !.$O$12"</definedName>
    <definedName function="false" hidden="false" name="NORMALITE___24_67" vbProcedure="false">"$#REF !.$O$12"</definedName>
    <definedName function="false" hidden="false" name="NORMALITE___24_69" vbProcedure="false">"$#REF !.$O$12"</definedName>
    <definedName function="false" hidden="false" name="NORMALITE___24_71" vbProcedure="false">"$#REF !.$O$12"</definedName>
    <definedName function="false" hidden="false" name="NORMALITE___24_73" vbProcedure="false">"$#REF !.$O$12"</definedName>
    <definedName function="false" hidden="false" name="NORMALITE___24_75" vbProcedure="false">"$#REF !.$O$12"</definedName>
    <definedName function="false" hidden="false" name="NORMALITE___24_77" vbProcedure="false">"$#REF !.$O$12"</definedName>
    <definedName function="false" hidden="false" name="NORMALITE___24_79" vbProcedure="false">"$#REF !.$O$12"</definedName>
    <definedName function="false" hidden="false" name="NORMALITE___24_81" vbProcedure="false">"$#REF !.$O$12"</definedName>
    <definedName function="false" hidden="false" name="NORMALITE___24_83" vbProcedure="false">001_01!$O$11</definedName>
    <definedName function="false" hidden="false" name="NORMALITE___24_83_2" vbProcedure="false">"$#REF !.$O$12"</definedName>
    <definedName function="false" hidden="false" name="NORMALITE___24_83_3" vbProcedure="false">#REF!</definedName>
    <definedName function="false" hidden="false" name="NORMALITE___24_83_3_1" vbProcedure="false">"$#REF !.$O$12"</definedName>
    <definedName function="false" hidden="false" name="NORMALITE___24_83_4" vbProcedure="false">#REF!</definedName>
    <definedName function="false" hidden="false" name="NORMALITE___24_83_4_1" vbProcedure="false">"$#REF !.$O$12"</definedName>
    <definedName function="false" hidden="false" name="NORMALITE___24_83_5" vbProcedure="false">#REF!</definedName>
    <definedName function="false" hidden="false" name="NORMALITE___24_83_5_1" vbProcedure="false">"$#REF !.$O$12"</definedName>
    <definedName function="false" hidden="false" name="NORMALITE___24_83_6" vbProcedure="false">#REF!</definedName>
    <definedName function="false" hidden="false" name="NORMALITE___24_83_6_1" vbProcedure="false">"$#REF !.$O$12"</definedName>
    <definedName function="false" hidden="false" name="NORMALITE___24_83_7" vbProcedure="false">#REF!</definedName>
    <definedName function="false" hidden="false" name="NORMALITE___24_83_7_1" vbProcedure="false">"$#REF !.$O$12"</definedName>
    <definedName function="false" hidden="false" name="NORMALITE___25" vbProcedure="false">"$#REF !.$O$12"</definedName>
    <definedName function="false" hidden="false" name="NORMALITE___26" vbProcedure="false">"$#REF !.$O$12"</definedName>
    <definedName function="false" hidden="false" name="NORMALITE___27" vbProcedure="false">"$#REF !.$O$12"</definedName>
    <definedName function="false" hidden="false" name="NORMALITE___28" vbProcedure="false">"$#REF !.$O$12"</definedName>
    <definedName function="false" hidden="false" name="NORMALITE___3" vbProcedure="false">"$#REF !.$O$11"</definedName>
    <definedName function="false" hidden="false" name="NORMALITE___4" vbProcedure="false">"$#REF !.$O$11"</definedName>
    <definedName function="false" hidden="false" name="NORMALITE___5" vbProcedure="false">"$#REF !.$O$11"</definedName>
    <definedName function="false" hidden="false" name="NORMALITE___6" vbProcedure="false">"$#REF !.$O$11"</definedName>
    <definedName function="false" hidden="false" name="NORMALITE___7" vbProcedure="false">"$#REF !.$O$11"</definedName>
    <definedName function="false" hidden="false" name="NORMALITE___8" vbProcedure="false">"$#REF !.$O$11"</definedName>
    <definedName function="false" hidden="false" name="NORMALITE___9" vbProcedure="false">"$#REF !.$O$11"</definedName>
    <definedName function="false" hidden="false" name="N_iodate" vbProcedure="false">"$#REF !.$O$18"</definedName>
    <definedName function="false" hidden="false" name="N_iodate___0" vbProcedure="false">"$#REF !.$E$10"</definedName>
    <definedName function="false" hidden="false" name="N_iodate___1" vbProcedure="false">"$#REF !.$O$18"</definedName>
    <definedName function="false" hidden="false" name="N_iodate___10" vbProcedure="false">"$#REF !.$O$18"</definedName>
    <definedName function="false" hidden="false" name="N_iodate___11" vbProcedure="false">"$#REF !.$O$18"</definedName>
    <definedName function="false" hidden="false" name="N_iodate___12" vbProcedure="false">"$#REF !.$O$18"</definedName>
    <definedName function="false" hidden="false" name="N_iodate___13" vbProcedure="false">"$#REF !.$O$18"</definedName>
    <definedName function="false" hidden="false" name="N_iodate___14" vbProcedure="false">"$#REF !.$O$18"</definedName>
    <definedName function="false" hidden="false" name="N_iodate___15" vbProcedure="false">"$#REF !.$O$18"</definedName>
    <definedName function="false" hidden="false" name="N_iodate___16" vbProcedure="false">"$#REF !.$O$18"</definedName>
    <definedName function="false" hidden="false" name="N_iodate___17" vbProcedure="false">"$#REF !.$O$18"</definedName>
    <definedName function="false" hidden="false" name="N_iodate___18" vbProcedure="false">"$#REF !.$O$18"</definedName>
    <definedName function="false" hidden="false" name="N_iodate___19" vbProcedure="false">"$#REF !.$O$18"</definedName>
    <definedName function="false" hidden="false" name="N_iodate___20" vbProcedure="false">"$#REF !.$O$18"</definedName>
    <definedName function="false" hidden="false" name="N_iodate___21" vbProcedure="false">"$#REF !.$O$18"</definedName>
    <definedName function="false" hidden="false" name="N_iodate___22" vbProcedure="false">"$#REF !.$O$18"</definedName>
    <definedName function="false" hidden="false" name="N_iodate___23" vbProcedure="false">"$#REF !.$O$18"</definedName>
    <definedName function="false" hidden="false" name="N_iodate___24" vbProcedure="false">"$#REF !.$O$19"</definedName>
    <definedName function="false" hidden="false" name="N_iodate___24_11" vbProcedure="false">"$#REF !.$O$19"</definedName>
    <definedName function="false" hidden="false" name="N_iodate___24_13" vbProcedure="false">"$#REF !.$O$19"</definedName>
    <definedName function="false" hidden="false" name="N_iodate___24_15" vbProcedure="false">"$#REF !.$O$19"</definedName>
    <definedName function="false" hidden="false" name="N_iodate___24_17" vbProcedure="false">"$#REF !.$O$19"</definedName>
    <definedName function="false" hidden="false" name="N_iodate___24_19" vbProcedure="false">"$#REF !.$O$19"</definedName>
    <definedName function="false" hidden="false" name="N_iodate___24_21" vbProcedure="false">"$#REF !.$O$19"</definedName>
    <definedName function="false" hidden="false" name="N_iodate___24_23" vbProcedure="false">"$#REF !.$O$19"</definedName>
    <definedName function="false" hidden="false" name="N_iodate___24_25" vbProcedure="false">"$#REF !.$O$19"</definedName>
    <definedName function="false" hidden="false" name="N_iodate___24_27" vbProcedure="false">"$#REF !.$O$19"</definedName>
    <definedName function="false" hidden="false" name="N_iodate___24_29" vbProcedure="false">"$#REF !.$O$19"</definedName>
    <definedName function="false" hidden="false" name="N_iodate___24_31" vbProcedure="false">"$#REF !.$O$19"</definedName>
    <definedName function="false" hidden="false" name="N_iodate___24_33" vbProcedure="false">"$#REF !.$O$19"</definedName>
    <definedName function="false" hidden="false" name="N_iodate___24_35" vbProcedure="false">"$#REF !.$O$19"</definedName>
    <definedName function="false" hidden="false" name="N_iodate___24_37" vbProcedure="false">"$#REF !.$O$19"</definedName>
    <definedName function="false" hidden="false" name="N_iodate___24_39" vbProcedure="false">"$#REF !.$O$19"</definedName>
    <definedName function="false" hidden="false" name="N_iodate___24_41" vbProcedure="false">"$#REF !.$O$19"</definedName>
    <definedName function="false" hidden="false" name="N_iodate___24_43" vbProcedure="false">"$#REF !.$O$19"</definedName>
    <definedName function="false" hidden="false" name="N_iodate___24_45" vbProcedure="false">"$#REF !.$O$19"</definedName>
    <definedName function="false" hidden="false" name="N_iodate___24_47" vbProcedure="false">"$#REF !.$O$19"</definedName>
    <definedName function="false" hidden="false" name="N_iodate___24_49" vbProcedure="false">"$#REF !.$O$19"</definedName>
    <definedName function="false" hidden="false" name="N_iodate___24_51" vbProcedure="false">"$#REF !.$O$19"</definedName>
    <definedName function="false" hidden="false" name="N_iodate___24_53" vbProcedure="false">"$#REF !.$O$19"</definedName>
    <definedName function="false" hidden="false" name="N_iodate___24_55" vbProcedure="false">"$#REF !.$O$19"</definedName>
    <definedName function="false" hidden="false" name="N_iodate___24_57" vbProcedure="false">"$#REF !.$O$19"</definedName>
    <definedName function="false" hidden="false" name="N_iodate___24_59" vbProcedure="false">"$#REF !.$O$19"</definedName>
    <definedName function="false" hidden="false" name="N_iodate___24_61" vbProcedure="false">"$#REF !.$O$19"</definedName>
    <definedName function="false" hidden="false" name="N_iodate___24_63" vbProcedure="false">"$#REF !.$O$19"</definedName>
    <definedName function="false" hidden="false" name="N_iodate___24_65" vbProcedure="false">"$#REF !.$O$19"</definedName>
    <definedName function="false" hidden="false" name="N_iodate___24_67" vbProcedure="false">"$#REF !.$O$19"</definedName>
    <definedName function="false" hidden="false" name="N_iodate___24_69" vbProcedure="false">"$#REF !.$O$19"</definedName>
    <definedName function="false" hidden="false" name="N_iodate___24_71" vbProcedure="false">"$#REF !.$O$19"</definedName>
    <definedName function="false" hidden="false" name="N_iodate___24_73" vbProcedure="false">"$#REF !.$O$19"</definedName>
    <definedName function="false" hidden="false" name="N_iodate___24_75" vbProcedure="false">"$#REF !.$O$19"</definedName>
    <definedName function="false" hidden="false" name="N_iodate___24_77" vbProcedure="false">"$#REF !.$O$19"</definedName>
    <definedName function="false" hidden="false" name="N_iodate___24_79" vbProcedure="false">"$#REF !.$O$19"</definedName>
    <definedName function="false" hidden="false" name="N_iodate___24_81" vbProcedure="false">"$#REF !.$O$19"</definedName>
    <definedName function="false" hidden="false" name="N_iodate___24_83_2" vbProcedure="false">"$#REF !.$O$19"</definedName>
    <definedName function="false" hidden="false" name="N_iodate___24_83_3" vbProcedure="false">#REF!</definedName>
    <definedName function="false" hidden="false" name="N_iodate___24_83_3_1" vbProcedure="false">"$#REF !.$O$19"</definedName>
    <definedName function="false" hidden="false" name="N_iodate___24_83_4" vbProcedure="false">#REF!</definedName>
    <definedName function="false" hidden="false" name="N_iodate___24_83_4_1" vbProcedure="false">"$#REF !.$O$19"</definedName>
    <definedName function="false" hidden="false" name="N_iodate___24_83_5" vbProcedure="false">#REF!</definedName>
    <definedName function="false" hidden="false" name="N_iodate___24_83_5_1" vbProcedure="false">"$#REF !.$O$19"</definedName>
    <definedName function="false" hidden="false" name="N_iodate___24_83_6" vbProcedure="false">#REF!</definedName>
    <definedName function="false" hidden="false" name="N_iodate___24_83_6_1" vbProcedure="false">"$#REF !.$O$19"</definedName>
    <definedName function="false" hidden="false" name="N_iodate___24_83_7" vbProcedure="false">#REF!</definedName>
    <definedName function="false" hidden="false" name="N_iodate___24_83_7_1" vbProcedure="false">"$#REF !.$O$19"</definedName>
    <definedName function="false" hidden="false" name="N_iodate___25" vbProcedure="false">"$#REF !.$O$19"</definedName>
    <definedName function="false" hidden="false" name="N_iodate___26" vbProcedure="false">"$#REF !.$O$19"</definedName>
    <definedName function="false" hidden="false" name="N_iodate___27" vbProcedure="false">"$#REF !.$O$19"</definedName>
    <definedName function="false" hidden="false" name="N_iodate___28" vbProcedure="false">"$#REF !.$O$19"</definedName>
    <definedName function="false" hidden="false" name="N_iodate___3" vbProcedure="false">"$#REF !.$O$18"</definedName>
    <definedName function="false" hidden="false" name="N_iodate___33" vbProcedure="false">"$#REF !.$O$18"</definedName>
    <definedName function="false" hidden="false" name="N_iodate___33_89" vbProcedure="false">#REF!</definedName>
    <definedName function="false" hidden="false" name="N_iodate___4" vbProcedure="false">"$#REF !.$O$18"</definedName>
    <definedName function="false" hidden="false" name="N_iodate___5" vbProcedure="false">"$#REF !.$O$18"</definedName>
    <definedName function="false" hidden="false" name="N_iodate___6" vbProcedure="false">"$#REF !.$O$18"</definedName>
    <definedName function="false" hidden="false" name="N_iodate___7" vbProcedure="false">"$#REF !.$O$18"</definedName>
    <definedName function="false" hidden="false" name="N_iodate___8" vbProcedure="false">"$#REF !.$O$18"</definedName>
    <definedName function="false" hidden="false" name="N_iodate___9" vbProcedure="false">"$#REF !.$O$18"</definedName>
    <definedName function="false" hidden="false" name="Volume_du_flacon" vbProcedure="false">"$#REF !.$B$14"</definedName>
    <definedName function="false" hidden="false" name="Vol_Flacons" vbProcedure="false">#REF!</definedName>
    <definedName function="false" hidden="false" name="Vol_iodate" vbProcedure="false">"$#REF !.$O$12"</definedName>
    <definedName function="false" hidden="false" name="vol_iodate_tc" vbProcedure="false">"$#REF !.$O$13"</definedName>
    <definedName function="false" hidden="false" name="vol_iodate_tc___0" vbProcedure="false">"$#REF !.$O$13"</definedName>
    <definedName function="false" hidden="false" name="vol_iodate_tc___0_89" vbProcedure="false">#REF!</definedName>
    <definedName function="false" hidden="false" name="vol_iodate_tc___1" vbProcedure="false">"$#REF !.$O$13"</definedName>
    <definedName function="false" hidden="false" name="vol_iodate_tc___10" vbProcedure="false">"$#REF !.$O$13"</definedName>
    <definedName function="false" hidden="false" name="vol_iodate_tc___11" vbProcedure="false">"$#REF !.$O$13"</definedName>
    <definedName function="false" hidden="false" name="vol_iodate_tc___12" vbProcedure="false">"$#REF !.$O$13"</definedName>
    <definedName function="false" hidden="false" name="vol_iodate_tc___13" vbProcedure="false">"$#REF !.$O$13"</definedName>
    <definedName function="false" hidden="false" name="vol_iodate_tc___14" vbProcedure="false">"$#REF !.$O$13"</definedName>
    <definedName function="false" hidden="false" name="vol_iodate_tc___15" vbProcedure="false">"$#REF !.$O$13"</definedName>
    <definedName function="false" hidden="false" name="vol_iodate_tc___16" vbProcedure="false">"$#REF !.$O$13"</definedName>
    <definedName function="false" hidden="false" name="vol_iodate_tc___17" vbProcedure="false">"$#REF !.$O$13"</definedName>
    <definedName function="false" hidden="false" name="vol_iodate_tc___18" vbProcedure="false">"$#REF !.$O$13"</definedName>
    <definedName function="false" hidden="false" name="vol_iodate_tc___19" vbProcedure="false">"$#REF !.$O$13"</definedName>
    <definedName function="false" hidden="false" name="vol_iodate_tc___20" vbProcedure="false">"$#REF !.$O$13"</definedName>
    <definedName function="false" hidden="false" name="vol_iodate_tc___21" vbProcedure="false">"$#REF !.$O$13"</definedName>
    <definedName function="false" hidden="false" name="vol_iodate_tc___22" vbProcedure="false">"$#REF !.$O$13"</definedName>
    <definedName function="false" hidden="false" name="vol_iodate_tc___23" vbProcedure="false">"$#REF !.$O$13"</definedName>
    <definedName function="false" hidden="false" name="vol_iodate_tc___24" vbProcedure="false">"$#REF !.$O$14"</definedName>
    <definedName function="false" hidden="false" name="vol_iodate_tc___24_11" vbProcedure="false">"$#REF !.$O$14"</definedName>
    <definedName function="false" hidden="false" name="vol_iodate_tc___24_13" vbProcedure="false">"$#REF !.$O$14"</definedName>
    <definedName function="false" hidden="false" name="vol_iodate_tc___24_15" vbProcedure="false">"$#REF !.$O$14"</definedName>
    <definedName function="false" hidden="false" name="vol_iodate_tc___24_17" vbProcedure="false">"$#REF !.$O$14"</definedName>
    <definedName function="false" hidden="false" name="vol_iodate_tc___24_19" vbProcedure="false">"$#REF !.$O$14"</definedName>
    <definedName function="false" hidden="false" name="vol_iodate_tc___24_21" vbProcedure="false">"$#REF !.$O$14"</definedName>
    <definedName function="false" hidden="false" name="vol_iodate_tc___24_23" vbProcedure="false">"$#REF !.$O$14"</definedName>
    <definedName function="false" hidden="false" name="vol_iodate_tc___24_25" vbProcedure="false">"$#REF !.$O$14"</definedName>
    <definedName function="false" hidden="false" name="vol_iodate_tc___24_27" vbProcedure="false">"$#REF !.$O$14"</definedName>
    <definedName function="false" hidden="false" name="vol_iodate_tc___24_29" vbProcedure="false">"$#REF !.$O$14"</definedName>
    <definedName function="false" hidden="false" name="vol_iodate_tc___24_31" vbProcedure="false">"$#REF !.$O$14"</definedName>
    <definedName function="false" hidden="false" name="vol_iodate_tc___24_33" vbProcedure="false">"$#REF !.$O$14"</definedName>
    <definedName function="false" hidden="false" name="vol_iodate_tc___24_35" vbProcedure="false">"$#REF !.$O$14"</definedName>
    <definedName function="false" hidden="false" name="vol_iodate_tc___24_37" vbProcedure="false">"$#REF !.$O$14"</definedName>
    <definedName function="false" hidden="false" name="vol_iodate_tc___24_39" vbProcedure="false">"$#REF !.$O$14"</definedName>
    <definedName function="false" hidden="false" name="vol_iodate_tc___24_41" vbProcedure="false">"$#REF !.$O$14"</definedName>
    <definedName function="false" hidden="false" name="vol_iodate_tc___24_43" vbProcedure="false">"$#REF !.$O$14"</definedName>
    <definedName function="false" hidden="false" name="vol_iodate_tc___24_45" vbProcedure="false">"$#REF !.$O$14"</definedName>
    <definedName function="false" hidden="false" name="vol_iodate_tc___24_47" vbProcedure="false">"$#REF !.$O$14"</definedName>
    <definedName function="false" hidden="false" name="vol_iodate_tc___24_49" vbProcedure="false">"$#REF !.$O$14"</definedName>
    <definedName function="false" hidden="false" name="vol_iodate_tc___24_51" vbProcedure="false">"$#REF !.$O$14"</definedName>
    <definedName function="false" hidden="false" name="vol_iodate_tc___24_53" vbProcedure="false">"$#REF !.$O$14"</definedName>
    <definedName function="false" hidden="false" name="vol_iodate_tc___24_55" vbProcedure="false">"$#REF !.$O$14"</definedName>
    <definedName function="false" hidden="false" name="vol_iodate_tc___24_57" vbProcedure="false">"$#REF !.$O$14"</definedName>
    <definedName function="false" hidden="false" name="vol_iodate_tc___24_59" vbProcedure="false">"$#REF !.$O$14"</definedName>
    <definedName function="false" hidden="false" name="vol_iodate_tc___24_61" vbProcedure="false">"$#REF !.$O$14"</definedName>
    <definedName function="false" hidden="false" name="vol_iodate_tc___24_63" vbProcedure="false">"$#REF !.$O$14"</definedName>
    <definedName function="false" hidden="false" name="vol_iodate_tc___24_65" vbProcedure="false">"$#REF !.$O$14"</definedName>
    <definedName function="false" hidden="false" name="vol_iodate_tc___24_67" vbProcedure="false">"$#REF !.$O$14"</definedName>
    <definedName function="false" hidden="false" name="vol_iodate_tc___24_69" vbProcedure="false">"$#REF !.$O$14"</definedName>
    <definedName function="false" hidden="false" name="vol_iodate_tc___24_71" vbProcedure="false">"$#REF !.$O$14"</definedName>
    <definedName function="false" hidden="false" name="vol_iodate_tc___24_73" vbProcedure="false">"$#REF !.$O$14"</definedName>
    <definedName function="false" hidden="false" name="vol_iodate_tc___24_75" vbProcedure="false">"$#REF !.$O$14"</definedName>
    <definedName function="false" hidden="false" name="vol_iodate_tc___24_77" vbProcedure="false">"$#REF !.$O$14"</definedName>
    <definedName function="false" hidden="false" name="vol_iodate_tc___24_79" vbProcedure="false">"$#REF !.$O$14"</definedName>
    <definedName function="false" hidden="false" name="vol_iodate_tc___24_81" vbProcedure="false">"$#REF !.$O$14"</definedName>
    <definedName function="false" hidden="false" name="vol_iodate_tc___24_83" vbProcedure="false">001_01!$O$13</definedName>
    <definedName function="false" hidden="false" name="vol_iodate_tc___24_83_2" vbProcedure="false">"$#REF !.$O$14"</definedName>
    <definedName function="false" hidden="false" name="vol_iodate_tc___24_83_3" vbProcedure="false">#REF!</definedName>
    <definedName function="false" hidden="false" name="vol_iodate_tc___24_83_3_1" vbProcedure="false">"$#REF !.$O$14"</definedName>
    <definedName function="false" hidden="false" name="vol_iodate_tc___24_83_4" vbProcedure="false">#REF!</definedName>
    <definedName function="false" hidden="false" name="vol_iodate_tc___24_83_4_1" vbProcedure="false">"$#REF !.$O$14"</definedName>
    <definedName function="false" hidden="false" name="vol_iodate_tc___24_83_5" vbProcedure="false">#REF!</definedName>
    <definedName function="false" hidden="false" name="vol_iodate_tc___24_83_5_1" vbProcedure="false">"$#REF !.$O$14"</definedName>
    <definedName function="false" hidden="false" name="vol_iodate_tc___24_83_6" vbProcedure="false">#REF!</definedName>
    <definedName function="false" hidden="false" name="vol_iodate_tc___24_83_6_1" vbProcedure="false">"$#REF !.$O$14"</definedName>
    <definedName function="false" hidden="false" name="vol_iodate_tc___24_83_7" vbProcedure="false">#REF!</definedName>
    <definedName function="false" hidden="false" name="vol_iodate_tc___24_83_7_1" vbProcedure="false">"$#REF !.$O$14"</definedName>
    <definedName function="false" hidden="false" name="vol_iodate_tc___25" vbProcedure="false">"$#REF !.$O$14"</definedName>
    <definedName function="false" hidden="false" name="vol_iodate_tc___26" vbProcedure="false">"$#REF !.$O$14"</definedName>
    <definedName function="false" hidden="false" name="vol_iodate_tc___27" vbProcedure="false">"$#REF !.$O$14"</definedName>
    <definedName function="false" hidden="false" name="vol_iodate_tc___28" vbProcedure="false">"$#REF !.$O$14"</definedName>
    <definedName function="false" hidden="false" name="vol_iodate_tc___3" vbProcedure="false">"$#REF !.$O$13"</definedName>
    <definedName function="false" hidden="false" name="vol_iodate_tc___4" vbProcedure="false">"$#REF !.$O$13"</definedName>
    <definedName function="false" hidden="false" name="vol_iodate_tc___5" vbProcedure="false">"$#REF !.$O$13"</definedName>
    <definedName function="false" hidden="false" name="vol_iodate_tc___6" vbProcedure="false">"$#REF !.$O$13"</definedName>
    <definedName function="false" hidden="false" name="vol_iodate_tc___7" vbProcedure="false">"$#REF !.$O$13"</definedName>
    <definedName function="false" hidden="false" name="vol_iodate_tc___8" vbProcedure="false">"$#REF !.$O$13"</definedName>
    <definedName function="false" hidden="false" name="vol_iodate_tc___9" vbProcedure="false">"$#REF !.$O$13"</definedName>
    <definedName function="false" hidden="false" name="Vol_iodate___0" vbProcedure="false">"$#REF !.$E$11"</definedName>
    <definedName function="false" hidden="false" name="Vol_iodate___1" vbProcedure="false">"$#REF !.$O$12"</definedName>
    <definedName function="false" hidden="false" name="Vol_iodate___10" vbProcedure="false">"$#REF !.$O$12"</definedName>
    <definedName function="false" hidden="false" name="Vol_iodate___11" vbProcedure="false">"$#REF !.$O$12"</definedName>
    <definedName function="false" hidden="false" name="Vol_iodate___12" vbProcedure="false">"$#REF !.$O$12"</definedName>
    <definedName function="false" hidden="false" name="Vol_iodate___13" vbProcedure="false">"$#REF !.$O$12"</definedName>
    <definedName function="false" hidden="false" name="Vol_iodate___14" vbProcedure="false">"$#REF !.$O$12"</definedName>
    <definedName function="false" hidden="false" name="Vol_iodate___15" vbProcedure="false">"$#REF !.$O$12"</definedName>
    <definedName function="false" hidden="false" name="Vol_iodate___16" vbProcedure="false">"$#REF !.$O$12"</definedName>
    <definedName function="false" hidden="false" name="Vol_iodate___17" vbProcedure="false">"$#REF !.$O$12"</definedName>
    <definedName function="false" hidden="false" name="Vol_iodate___18" vbProcedure="false">"$#REF !.$O$12"</definedName>
    <definedName function="false" hidden="false" name="Vol_iodate___19" vbProcedure="false">"$#REF !.$O$12"</definedName>
    <definedName function="false" hidden="false" name="Vol_iodate___20" vbProcedure="false">"$#REF !.$O$12"</definedName>
    <definedName function="false" hidden="false" name="Vol_iodate___21" vbProcedure="false">"$#REF !.$O$12"</definedName>
    <definedName function="false" hidden="false" name="Vol_iodate___22" vbProcedure="false">"$#REF !.$O$12"</definedName>
    <definedName function="false" hidden="false" name="Vol_iodate___23" vbProcedure="false">"$#REF !.$O$12"</definedName>
    <definedName function="false" hidden="false" name="Vol_iodate___24" vbProcedure="false">"$#REF !.$O$13"</definedName>
    <definedName function="false" hidden="false" name="Vol_iodate___24_11" vbProcedure="false">"$#REF !.$O$13"</definedName>
    <definedName function="false" hidden="false" name="Vol_iodate___24_13" vbProcedure="false">"$#REF !.$O$13"</definedName>
    <definedName function="false" hidden="false" name="Vol_iodate___24_15" vbProcedure="false">"$#REF !.$O$13"</definedName>
    <definedName function="false" hidden="false" name="Vol_iodate___24_17" vbProcedure="false">"$#REF !.$O$13"</definedName>
    <definedName function="false" hidden="false" name="Vol_iodate___24_19" vbProcedure="false">"$#REF !.$O$13"</definedName>
    <definedName function="false" hidden="false" name="Vol_iodate___24_21" vbProcedure="false">"$#REF !.$O$13"</definedName>
    <definedName function="false" hidden="false" name="Vol_iodate___24_23" vbProcedure="false">"$#REF !.$O$13"</definedName>
    <definedName function="false" hidden="false" name="Vol_iodate___24_25" vbProcedure="false">"$#REF !.$O$13"</definedName>
    <definedName function="false" hidden="false" name="Vol_iodate___24_27" vbProcedure="false">"$#REF !.$O$13"</definedName>
    <definedName function="false" hidden="false" name="Vol_iodate___24_29" vbProcedure="false">"$#REF !.$O$13"</definedName>
    <definedName function="false" hidden="false" name="Vol_iodate___24_31" vbProcedure="false">"$#REF !.$O$13"</definedName>
    <definedName function="false" hidden="false" name="Vol_iodate___24_33" vbProcedure="false">"$#REF !.$O$13"</definedName>
    <definedName function="false" hidden="false" name="Vol_iodate___24_35" vbProcedure="false">"$#REF !.$O$13"</definedName>
    <definedName function="false" hidden="false" name="Vol_iodate___24_37" vbProcedure="false">"$#REF !.$O$13"</definedName>
    <definedName function="false" hidden="false" name="Vol_iodate___24_39" vbProcedure="false">"$#REF !.$O$13"</definedName>
    <definedName function="false" hidden="false" name="Vol_iodate___24_41" vbProcedure="false">"$#REF !.$O$13"</definedName>
    <definedName function="false" hidden="false" name="Vol_iodate___24_43" vbProcedure="false">"$#REF !.$O$13"</definedName>
    <definedName function="false" hidden="false" name="Vol_iodate___24_45" vbProcedure="false">"$#REF !.$O$13"</definedName>
    <definedName function="false" hidden="false" name="Vol_iodate___24_47" vbProcedure="false">"$#REF !.$O$13"</definedName>
    <definedName function="false" hidden="false" name="Vol_iodate___24_49" vbProcedure="false">"$#REF !.$O$13"</definedName>
    <definedName function="false" hidden="false" name="Vol_iodate___24_51" vbProcedure="false">"$#REF !.$O$13"</definedName>
    <definedName function="false" hidden="false" name="Vol_iodate___24_53" vbProcedure="false">"$#REF !.$O$13"</definedName>
    <definedName function="false" hidden="false" name="Vol_iodate___24_55" vbProcedure="false">"$#REF !.$O$13"</definedName>
    <definedName function="false" hidden="false" name="Vol_iodate___24_57" vbProcedure="false">"$#REF !.$O$13"</definedName>
    <definedName function="false" hidden="false" name="Vol_iodate___24_59" vbProcedure="false">"$#REF !.$O$13"</definedName>
    <definedName function="false" hidden="false" name="Vol_iodate___24_61" vbProcedure="false">"$#REF !.$O$13"</definedName>
    <definedName function="false" hidden="false" name="Vol_iodate___24_63" vbProcedure="false">"$#REF !.$O$13"</definedName>
    <definedName function="false" hidden="false" name="Vol_iodate___24_65" vbProcedure="false">"$#REF !.$O$13"</definedName>
    <definedName function="false" hidden="false" name="Vol_iodate___24_67" vbProcedure="false">"$#REF !.$O$13"</definedName>
    <definedName function="false" hidden="false" name="Vol_iodate___24_69" vbProcedure="false">"$#REF !.$O$13"</definedName>
    <definedName function="false" hidden="false" name="Vol_iodate___24_71" vbProcedure="false">"$#REF !.$O$13"</definedName>
    <definedName function="false" hidden="false" name="Vol_iodate___24_73" vbProcedure="false">"$#REF !.$O$13"</definedName>
    <definedName function="false" hidden="false" name="Vol_iodate___24_75" vbProcedure="false">"$#REF !.$O$13"</definedName>
    <definedName function="false" hidden="false" name="Vol_iodate___24_77" vbProcedure="false">"$#REF !.$O$13"</definedName>
    <definedName function="false" hidden="false" name="Vol_iodate___24_79" vbProcedure="false">"$#REF !.$O$13"</definedName>
    <definedName function="false" hidden="false" name="Vol_iodate___24_81" vbProcedure="false">"$#REF !.$O$13"</definedName>
    <definedName function="false" hidden="false" name="Vol_iodate___24_83_2" vbProcedure="false">"$#REF !.$O$13"</definedName>
    <definedName function="false" hidden="false" name="Vol_iodate___24_83_3" vbProcedure="false">#REF!</definedName>
    <definedName function="false" hidden="false" name="Vol_iodate___24_83_3_1" vbProcedure="false">"$#REF !.$O$13"</definedName>
    <definedName function="false" hidden="false" name="Vol_iodate___24_83_4" vbProcedure="false">#REF!</definedName>
    <definedName function="false" hidden="false" name="Vol_iodate___24_83_4_1" vbProcedure="false">"$#REF !.$O$13"</definedName>
    <definedName function="false" hidden="false" name="Vol_iodate___24_83_5" vbProcedure="false">#REF!</definedName>
    <definedName function="false" hidden="false" name="Vol_iodate___24_83_5_1" vbProcedure="false">"$#REF !.$O$13"</definedName>
    <definedName function="false" hidden="false" name="Vol_iodate___24_83_6" vbProcedure="false">#REF!</definedName>
    <definedName function="false" hidden="false" name="Vol_iodate___24_83_6_1" vbProcedure="false">"$#REF !.$O$13"</definedName>
    <definedName function="false" hidden="false" name="Vol_iodate___24_83_7" vbProcedure="false">#REF!</definedName>
    <definedName function="false" hidden="false" name="Vol_iodate___24_83_7_1" vbProcedure="false">"$#REF !.$O$13"</definedName>
    <definedName function="false" hidden="false" name="Vol_iodate___25" vbProcedure="false">"$#REF !.$O$13"</definedName>
    <definedName function="false" hidden="false" name="Vol_iodate___26" vbProcedure="false">"$#REF !.$O$13"</definedName>
    <definedName function="false" hidden="false" name="Vol_iodate___27" vbProcedure="false">"$#REF !.$O$13"</definedName>
    <definedName function="false" hidden="false" name="Vol_iodate___28" vbProcedure="false">"$#REF !.$O$13"</definedName>
    <definedName function="false" hidden="false" name="Vol_iodate___3" vbProcedure="false">"$#REF !.$O$12"</definedName>
    <definedName function="false" hidden="false" name="Vol_iodate___33" vbProcedure="false">"$#REF !.$O$12"</definedName>
    <definedName function="false" hidden="false" name="Vol_iodate___33_89" vbProcedure="false">#REF!</definedName>
    <definedName function="false" hidden="false" name="Vol_iodate___4" vbProcedure="false">"$#REF !.$O$12"</definedName>
    <definedName function="false" hidden="false" name="Vol_iodate___5" vbProcedure="false">"$#REF !.$O$12"</definedName>
    <definedName function="false" hidden="false" name="Vol_iodate___6" vbProcedure="false">"$#REF !.$O$12"</definedName>
    <definedName function="false" hidden="false" name="Vol_iodate___7" vbProcedure="false">"$#REF !.$O$12"</definedName>
    <definedName function="false" hidden="false" name="Vol_iodate___8" vbProcedure="false">"$#REF !.$O$12"</definedName>
    <definedName function="false" hidden="false" name="Vol_iodate___9" vbProcedure="false">"$#REF !.$O$12"</definedName>
    <definedName function="false" hidden="false" name="Vol_reactif" vbProcedure="false">"$#REF !.$N$20"</definedName>
    <definedName function="false" hidden="false" name="Vol_reactif___0" vbProcedure="false">"$#REF !.$E$14"</definedName>
    <definedName function="false" hidden="false" name="Vol_reactif___1" vbProcedure="false">"$#REF !.$N$20"</definedName>
    <definedName function="false" hidden="false" name="Vol_reactif___10" vbProcedure="false">"$#REF !.$N$20"</definedName>
    <definedName function="false" hidden="false" name="Vol_reactif___11" vbProcedure="false">"$#REF !.$N$20"</definedName>
    <definedName function="false" hidden="false" name="Vol_reactif___12" vbProcedure="false">"$#REF !.$N$20"</definedName>
    <definedName function="false" hidden="false" name="Vol_reactif___13" vbProcedure="false">"$#REF !.$N$20"</definedName>
    <definedName function="false" hidden="false" name="Vol_reactif___14" vbProcedure="false">"$#REF !.$N$20"</definedName>
    <definedName function="false" hidden="false" name="Vol_reactif___15" vbProcedure="false">"$#REF !.$N$20"</definedName>
    <definedName function="false" hidden="false" name="Vol_reactif___16" vbProcedure="false">"$#REF !.$N$20"</definedName>
    <definedName function="false" hidden="false" name="Vol_reactif___17" vbProcedure="false">"$#REF !.$N$20"</definedName>
    <definedName function="false" hidden="false" name="Vol_reactif___18" vbProcedure="false">"$#REF !.$N$20"</definedName>
    <definedName function="false" hidden="false" name="Vol_reactif___19" vbProcedure="false">"$#REF !.$N$20"</definedName>
    <definedName function="false" hidden="false" name="Vol_reactif___20" vbProcedure="false">"$#REF !.$N$20"</definedName>
    <definedName function="false" hidden="false" name="Vol_reactif___21" vbProcedure="false">"$#REF !.$N$20"</definedName>
    <definedName function="false" hidden="false" name="Vol_reactif___22" vbProcedure="false">"$#REF !.$N$20"</definedName>
    <definedName function="false" hidden="false" name="Vol_reactif___23" vbProcedure="false">"$#REF !.$N$20"</definedName>
    <definedName function="false" hidden="false" name="Vol_reactif___24" vbProcedure="false">"$#REF !.$N$21"</definedName>
    <definedName function="false" hidden="false" name="Vol_reactif___24_11" vbProcedure="false">"$#REF !.$N$21"</definedName>
    <definedName function="false" hidden="false" name="Vol_reactif___24_13" vbProcedure="false">"$#REF !.$N$21"</definedName>
    <definedName function="false" hidden="false" name="Vol_reactif___24_15" vbProcedure="false">"$#REF !.$N$21"</definedName>
    <definedName function="false" hidden="false" name="Vol_reactif___24_17" vbProcedure="false">"$#REF !.$N$21"</definedName>
    <definedName function="false" hidden="false" name="Vol_reactif___24_19" vbProcedure="false">"$#REF !.$N$21"</definedName>
    <definedName function="false" hidden="false" name="Vol_reactif___24_21" vbProcedure="false">"$#REF !.$N$21"</definedName>
    <definedName function="false" hidden="false" name="Vol_reactif___24_23" vbProcedure="false">"$#REF !.$N$21"</definedName>
    <definedName function="false" hidden="false" name="Vol_reactif___24_25" vbProcedure="false">"$#REF !.$N$21"</definedName>
    <definedName function="false" hidden="false" name="Vol_reactif___24_27" vbProcedure="false">"$#REF !.$N$21"</definedName>
    <definedName function="false" hidden="false" name="Vol_reactif___24_29" vbProcedure="false">"$#REF !.$N$21"</definedName>
    <definedName function="false" hidden="false" name="Vol_reactif___24_31" vbProcedure="false">"$#REF !.$N$21"</definedName>
    <definedName function="false" hidden="false" name="Vol_reactif___24_33" vbProcedure="false">"$#REF !.$N$21"</definedName>
    <definedName function="false" hidden="false" name="Vol_reactif___24_35" vbProcedure="false">"$#REF !.$N$21"</definedName>
    <definedName function="false" hidden="false" name="Vol_reactif___24_37" vbProcedure="false">"$#REF !.$N$21"</definedName>
    <definedName function="false" hidden="false" name="Vol_reactif___24_39" vbProcedure="false">"$#REF !.$N$21"</definedName>
    <definedName function="false" hidden="false" name="Vol_reactif___24_41" vbProcedure="false">"$#REF !.$N$21"</definedName>
    <definedName function="false" hidden="false" name="Vol_reactif___24_43" vbProcedure="false">"$#REF !.$N$21"</definedName>
    <definedName function="false" hidden="false" name="Vol_reactif___24_45" vbProcedure="false">"$#REF !.$N$21"</definedName>
    <definedName function="false" hidden="false" name="Vol_reactif___24_47" vbProcedure="false">"$#REF !.$N$21"</definedName>
    <definedName function="false" hidden="false" name="Vol_reactif___24_49" vbProcedure="false">"$#REF !.$N$21"</definedName>
    <definedName function="false" hidden="false" name="Vol_reactif___24_51" vbProcedure="false">"$#REF !.$N$21"</definedName>
    <definedName function="false" hidden="false" name="Vol_reactif___24_53" vbProcedure="false">"$#REF !.$N$21"</definedName>
    <definedName function="false" hidden="false" name="Vol_reactif___24_55" vbProcedure="false">"$#REF !.$N$21"</definedName>
    <definedName function="false" hidden="false" name="Vol_reactif___24_57" vbProcedure="false">"$#REF !.$N$21"</definedName>
    <definedName function="false" hidden="false" name="Vol_reactif___24_59" vbProcedure="false">"$#REF !.$N$21"</definedName>
    <definedName function="false" hidden="false" name="Vol_reactif___24_61" vbProcedure="false">"$#REF !.$N$21"</definedName>
    <definedName function="false" hidden="false" name="Vol_reactif___24_63" vbProcedure="false">"$#REF !.$N$21"</definedName>
    <definedName function="false" hidden="false" name="Vol_reactif___24_65" vbProcedure="false">"$#REF !.$N$21"</definedName>
    <definedName function="false" hidden="false" name="Vol_reactif___24_67" vbProcedure="false">"$#REF !.$N$21"</definedName>
    <definedName function="false" hidden="false" name="Vol_reactif___24_69" vbProcedure="false">"$#REF !.$N$21"</definedName>
    <definedName function="false" hidden="false" name="Vol_reactif___24_71" vbProcedure="false">"$#REF !.$N$21"</definedName>
    <definedName function="false" hidden="false" name="Vol_reactif___24_73" vbProcedure="false">"$#REF !.$N$21"</definedName>
    <definedName function="false" hidden="false" name="Vol_reactif___24_75" vbProcedure="false">"$#REF !.$N$21"</definedName>
    <definedName function="false" hidden="false" name="Vol_reactif___24_77" vbProcedure="false">"$#REF !.$N$21"</definedName>
    <definedName function="false" hidden="false" name="Vol_reactif___24_79" vbProcedure="false">"$#REF !.$N$21"</definedName>
    <definedName function="false" hidden="false" name="Vol_reactif___24_81" vbProcedure="false">"$#REF !.$N$21"</definedName>
    <definedName function="false" hidden="false" name="Vol_reactif___24_83" vbProcedure="false">001_01!$N$20</definedName>
    <definedName function="false" hidden="false" name="Vol_reactif___24_83_2" vbProcedure="false">"$#REF !.$N$21"</definedName>
    <definedName function="false" hidden="false" name="Vol_reactif___24_83_3" vbProcedure="false">#REF!</definedName>
    <definedName function="false" hidden="false" name="Vol_reactif___24_83_3_1" vbProcedure="false">"$#REF !.$N$21"</definedName>
    <definedName function="false" hidden="false" name="Vol_reactif___24_83_4" vbProcedure="false">#REF!</definedName>
    <definedName function="false" hidden="false" name="Vol_reactif___24_83_4_1" vbProcedure="false">"$#REF !.$N$21"</definedName>
    <definedName function="false" hidden="false" name="Vol_reactif___24_83_5" vbProcedure="false">#REF!</definedName>
    <definedName function="false" hidden="false" name="Vol_reactif___24_83_5_1" vbProcedure="false">"$#REF !.$N$21"</definedName>
    <definedName function="false" hidden="false" name="Vol_reactif___24_83_6" vbProcedure="false">#REF!</definedName>
    <definedName function="false" hidden="false" name="Vol_reactif___24_83_6_1" vbProcedure="false">"$#REF !.$N$21"</definedName>
    <definedName function="false" hidden="false" name="Vol_reactif___24_83_7" vbProcedure="false">#REF!</definedName>
    <definedName function="false" hidden="false" name="Vol_reactif___24_83_7_1" vbProcedure="false">"$#REF !.$N$21"</definedName>
    <definedName function="false" hidden="false" name="Vol_reactif___25" vbProcedure="false">"$#REF !.$N$21"</definedName>
    <definedName function="false" hidden="false" name="Vol_reactif___26" vbProcedure="false">"$#REF !.$N$21"</definedName>
    <definedName function="false" hidden="false" name="Vol_reactif___27" vbProcedure="false">"$#REF !.$N$21"</definedName>
    <definedName function="false" hidden="false" name="Vol_reactif___28" vbProcedure="false">"$#REF !.$N$21"</definedName>
    <definedName function="false" hidden="false" name="Vol_reactif___3" vbProcedure="false">"$#REF !.$N$20"</definedName>
    <definedName function="false" hidden="false" name="Vol_reactif___33" vbProcedure="false">"$#REF !.$N$20"</definedName>
    <definedName function="false" hidden="false" name="Vol_reactif___33_89" vbProcedure="false">#REF!</definedName>
    <definedName function="false" hidden="false" name="Vol_reactif___4" vbProcedure="false">"$#REF !.$N$20"</definedName>
    <definedName function="false" hidden="false" name="Vol_reactif___5" vbProcedure="false">"$#REF !.$N$20"</definedName>
    <definedName function="false" hidden="false" name="Vol_reactif___6" vbProcedure="false">"$#REF !.$N$20"</definedName>
    <definedName function="false" hidden="false" name="Vol_reactif___7" vbProcedure="false">"$#REF !.$N$20"</definedName>
    <definedName function="false" hidden="false" name="Vol_reactif___8" vbProcedure="false">"$#REF !.$N$20"</definedName>
    <definedName function="false" hidden="false" name="Vol_reactif___9" vbProcedure="false">"$#REF !.$N$20"</definedName>
    <definedName function="false" hidden="false" name="Vol_thio_iodate" vbProcedure="false">"$#REF !.$O$14"</definedName>
    <definedName function="false" hidden="false" name="Vol_thio_iodate___0" vbProcedure="false">"$#REF !.$E$12"</definedName>
    <definedName function="false" hidden="false" name="Vol_thio_iodate___1" vbProcedure="false">"$#REF !.$O$14"</definedName>
    <definedName function="false" hidden="false" name="Vol_thio_iodate___10" vbProcedure="false">"$#REF !.$O$14"</definedName>
    <definedName function="false" hidden="false" name="Vol_thio_iodate___11" vbProcedure="false">"$#REF !.$O$14"</definedName>
    <definedName function="false" hidden="false" name="Vol_thio_iodate___12" vbProcedure="false">"$#REF !.$O$14"</definedName>
    <definedName function="false" hidden="false" name="Vol_thio_iodate___13" vbProcedure="false">"$#REF !.$O$14"</definedName>
    <definedName function="false" hidden="false" name="Vol_thio_iodate___14" vbProcedure="false">"$#REF !.$O$14"</definedName>
    <definedName function="false" hidden="false" name="Vol_thio_iodate___15" vbProcedure="false">"$#REF !.$O$14"</definedName>
    <definedName function="false" hidden="false" name="Vol_thio_iodate___16" vbProcedure="false">"$#REF !.$O$14"</definedName>
    <definedName function="false" hidden="false" name="Vol_thio_iodate___17" vbProcedure="false">"$#REF !.$O$14"</definedName>
    <definedName function="false" hidden="false" name="Vol_thio_iodate___18" vbProcedure="false">"$#REF !.$O$14"</definedName>
    <definedName function="false" hidden="false" name="Vol_thio_iodate___19" vbProcedure="false">"$#REF !.$O$14"</definedName>
    <definedName function="false" hidden="false" name="Vol_thio_iodate___20" vbProcedure="false">"$#REF !.$O$14"</definedName>
    <definedName function="false" hidden="false" name="Vol_thio_iodate___21" vbProcedure="false">"$#REF !.$O$14"</definedName>
    <definedName function="false" hidden="false" name="Vol_thio_iodate___22" vbProcedure="false">"$#REF !.$O$14"</definedName>
    <definedName function="false" hidden="false" name="Vol_thio_iodate___23" vbProcedure="false">"$#REF !.$O$14"</definedName>
    <definedName function="false" hidden="false" name="Vol_thio_iodate___24" vbProcedure="false">"$#REF !.$O$15"</definedName>
    <definedName function="false" hidden="false" name="Vol_thio_iodate___24_11" vbProcedure="false">"$#REF !.$O$15"</definedName>
    <definedName function="false" hidden="false" name="Vol_thio_iodate___24_13" vbProcedure="false">"$#REF !.$O$15"</definedName>
    <definedName function="false" hidden="false" name="Vol_thio_iodate___24_15" vbProcedure="false">"$#REF !.$O$15"</definedName>
    <definedName function="false" hidden="false" name="Vol_thio_iodate___24_17" vbProcedure="false">"$#REF !.$O$15"</definedName>
    <definedName function="false" hidden="false" name="Vol_thio_iodate___24_19" vbProcedure="false">"$#REF !.$O$15"</definedName>
    <definedName function="false" hidden="false" name="Vol_thio_iodate___24_21" vbProcedure="false">"$#REF !.$O$15"</definedName>
    <definedName function="false" hidden="false" name="Vol_thio_iodate___24_23" vbProcedure="false">"$#REF !.$O$15"</definedName>
    <definedName function="false" hidden="false" name="Vol_thio_iodate___24_25" vbProcedure="false">"$#REF !.$O$15"</definedName>
    <definedName function="false" hidden="false" name="Vol_thio_iodate___24_27" vbProcedure="false">"$#REF !.$O$15"</definedName>
    <definedName function="false" hidden="false" name="Vol_thio_iodate___24_29" vbProcedure="false">"$#REF !.$O$15"</definedName>
    <definedName function="false" hidden="false" name="Vol_thio_iodate___24_31" vbProcedure="false">"$#REF !.$O$15"</definedName>
    <definedName function="false" hidden="false" name="Vol_thio_iodate___24_33" vbProcedure="false">"$#REF !.$O$15"</definedName>
    <definedName function="false" hidden="false" name="Vol_thio_iodate___24_35" vbProcedure="false">"$#REF !.$O$15"</definedName>
    <definedName function="false" hidden="false" name="Vol_thio_iodate___24_37" vbProcedure="false">"$#REF !.$O$15"</definedName>
    <definedName function="false" hidden="false" name="Vol_thio_iodate___24_39" vbProcedure="false">"$#REF !.$O$15"</definedName>
    <definedName function="false" hidden="false" name="Vol_thio_iodate___24_41" vbProcedure="false">"$#REF !.$O$15"</definedName>
    <definedName function="false" hidden="false" name="Vol_thio_iodate___24_43" vbProcedure="false">"$#REF !.$O$15"</definedName>
    <definedName function="false" hidden="false" name="Vol_thio_iodate___24_45" vbProcedure="false">"$#REF !.$O$15"</definedName>
    <definedName function="false" hidden="false" name="Vol_thio_iodate___24_47" vbProcedure="false">"$#REF !.$O$15"</definedName>
    <definedName function="false" hidden="false" name="Vol_thio_iodate___24_49" vbProcedure="false">"$#REF !.$O$15"</definedName>
    <definedName function="false" hidden="false" name="Vol_thio_iodate___24_51" vbProcedure="false">"$#REF !.$O$15"</definedName>
    <definedName function="false" hidden="false" name="Vol_thio_iodate___24_53" vbProcedure="false">"$#REF !.$O$15"</definedName>
    <definedName function="false" hidden="false" name="Vol_thio_iodate___24_55" vbProcedure="false">"$#REF !.$O$15"</definedName>
    <definedName function="false" hidden="false" name="Vol_thio_iodate___24_57" vbProcedure="false">"$#REF !.$O$15"</definedName>
    <definedName function="false" hidden="false" name="Vol_thio_iodate___24_59" vbProcedure="false">"$#REF !.$O$15"</definedName>
    <definedName function="false" hidden="false" name="Vol_thio_iodate___24_61" vbProcedure="false">"$#REF !.$O$15"</definedName>
    <definedName function="false" hidden="false" name="Vol_thio_iodate___24_63" vbProcedure="false">"$#REF !.$O$15"</definedName>
    <definedName function="false" hidden="false" name="Vol_thio_iodate___24_65" vbProcedure="false">"$#REF !.$O$15"</definedName>
    <definedName function="false" hidden="false" name="Vol_thio_iodate___24_67" vbProcedure="false">"$#REF !.$O$15"</definedName>
    <definedName function="false" hidden="false" name="Vol_thio_iodate___24_69" vbProcedure="false">"$#REF !.$O$15"</definedName>
    <definedName function="false" hidden="false" name="Vol_thio_iodate___24_71" vbProcedure="false">"$#REF !.$O$15"</definedName>
    <definedName function="false" hidden="false" name="Vol_thio_iodate___24_73" vbProcedure="false">"$#REF !.$O$15"</definedName>
    <definedName function="false" hidden="false" name="Vol_thio_iodate___24_75" vbProcedure="false">"$#REF !.$O$15"</definedName>
    <definedName function="false" hidden="false" name="Vol_thio_iodate___24_77" vbProcedure="false">"$#REF !.$O$15"</definedName>
    <definedName function="false" hidden="false" name="Vol_thio_iodate___24_79" vbProcedure="false">"$#REF !.$O$15"</definedName>
    <definedName function="false" hidden="false" name="Vol_thio_iodate___24_81" vbProcedure="false">"$#REF !.$O$15"</definedName>
    <definedName function="false" hidden="false" name="Vol_thio_iodate___24_83" vbProcedure="false">001_01!$O$14</definedName>
    <definedName function="false" hidden="false" name="Vol_thio_iodate___24_83_2" vbProcedure="false">"$#REF !.$O$15"</definedName>
    <definedName function="false" hidden="false" name="Vol_thio_iodate___24_83_3" vbProcedure="false">#REF!</definedName>
    <definedName function="false" hidden="false" name="Vol_thio_iodate___24_83_3_1" vbProcedure="false">"$#REF !.$O$15"</definedName>
    <definedName function="false" hidden="false" name="Vol_thio_iodate___24_83_4" vbProcedure="false">#REF!</definedName>
    <definedName function="false" hidden="false" name="Vol_thio_iodate___24_83_4_1" vbProcedure="false">"$#REF !.$O$15"</definedName>
    <definedName function="false" hidden="false" name="Vol_thio_iodate___24_83_5" vbProcedure="false">#REF!</definedName>
    <definedName function="false" hidden="false" name="Vol_thio_iodate___24_83_5_1" vbProcedure="false">"$#REF !.$O$15"</definedName>
    <definedName function="false" hidden="false" name="Vol_thio_iodate___24_83_6" vbProcedure="false">#REF!</definedName>
    <definedName function="false" hidden="false" name="Vol_thio_iodate___24_83_6_1" vbProcedure="false">"$#REF !.$O$15"</definedName>
    <definedName function="false" hidden="false" name="Vol_thio_iodate___24_83_7" vbProcedure="false">#REF!</definedName>
    <definedName function="false" hidden="false" name="Vol_thio_iodate___24_83_7_1" vbProcedure="false">"$#REF !.$O$15"</definedName>
    <definedName function="false" hidden="false" name="Vol_thio_iodate___25" vbProcedure="false">"$#REF !.$O$15"</definedName>
    <definedName function="false" hidden="false" name="Vol_thio_iodate___26" vbProcedure="false">"$#REF !.$O$15"</definedName>
    <definedName function="false" hidden="false" name="Vol_thio_iodate___27" vbProcedure="false">"$#REF !.$O$15"</definedName>
    <definedName function="false" hidden="false" name="Vol_thio_iodate___28" vbProcedure="false">"$#REF !.$O$15"</definedName>
    <definedName function="false" hidden="false" name="Vol_thio_iodate___3" vbProcedure="false">"$#REF !.$O$14"</definedName>
    <definedName function="false" hidden="false" name="Vol_thio_iodate___33" vbProcedure="false">"$#REF !.$O$14"</definedName>
    <definedName function="false" hidden="false" name="Vol_thio_iodate___33_89" vbProcedure="false">#REF!</definedName>
    <definedName function="false" hidden="false" name="Vol_thio_iodate___4" vbProcedure="false">"$#REF !.$O$14"</definedName>
    <definedName function="false" hidden="false" name="Vol_thio_iodate___5" vbProcedure="false">"$#REF !.$O$14"</definedName>
    <definedName function="false" hidden="false" name="Vol_thio_iodate___6" vbProcedure="false">"$#REF !.$O$14"</definedName>
    <definedName function="false" hidden="false" name="Vol_thio_iodate___7" vbProcedure="false">"$#REF !.$O$14"</definedName>
    <definedName function="false" hidden="false" name="Vol_thio_iodate___8" vbProcedure="false">"$#REF !.$O$14"</definedName>
    <definedName function="false" hidden="false" name="Vol_thio_iodate___9" vbProcedure="false">"$#REF !.$O$14"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<sst xmlns="http://schemas.openxmlformats.org/spreadsheetml/2006/main" count="6124" uniqueCount="146">
  <si>
    <t xml:space="preserve">Campagne :</t>
  </si>
  <si>
    <t xml:space="preserve">PIRATA Fr20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</si>
  <si>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</si>
  <si>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</si>
  <si>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</si>
  <si>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</si>
  <si>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</si>
  <si>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</si>
  <si>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</si>
  <si>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</si>
  <si>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</si>
  <si>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</si>
  <si>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</si>
  <si>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</si>
  <si>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</si>
  <si>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</si>
  <si>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</si>
  <si>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</si>
  <si>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</si>
  <si>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</si>
  <si>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</si>
  <si>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</si>
  <si>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</si>
  <si>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</si>
  <si>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</si>
  <si>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</si>
  <si>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</si>
  <si>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</si>
  <si>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</si>
  <si>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</si>
  <si>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</si>
  <si>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</si>
  <si>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</si>
  <si>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</si>
  <si>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</si>
  <si>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</si>
  <si>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</si>
  <si>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</si>
  <si>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</si>
  <si>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</si>
  <si>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</si>
  <si>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</si>
  <si>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</si>
  <si>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</si>
  <si>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</si>
  <si>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</si>
  <si>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</si>
  <si>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</si>
  <si>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</si>
  <si>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</si>
  <si>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</si>
  <si>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</si>
  <si>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</si>
  <si>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</si>
  <si>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</si>
  <si>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</si>
  <si>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</si>
  <si>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</si>
  <si>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</si>
  <si>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</si>
  <si>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</si>
  <si>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</si>
  <si>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</si>
  <si>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</si>
  <si>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</si>
  <si>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</si>
  <si>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</si>
  <si>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</si>
  <si>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</si>
  <si>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</si>
  <si>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</si>
  <si>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</si>
  <si>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</si>
  <si>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</si>
  <si>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</si>
  <si>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</si>
  <si>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</si>
  <si>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</si>
  <si>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</si>
  <si>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</si>
  <si>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</si>
  <si>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</si>
  <si>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</si>
  <si>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</si>
  <si>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</si>
  <si>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</si>
  <si>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</si>
  <si>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</si>
  <si>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</si>
  <si>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</si>
  <si>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</si>
  <si>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</si>
  <si>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</si>
  <si>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</si>
  <si>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</si>
  <si>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</si>
  <si>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</si>
  <si>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</si>
  <si>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</si>
  <si>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</si>
  <si>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</si>
  <si>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</si>
  <si>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</si>
  <si>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</si>
  <si>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</si>
  <si>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</si>
  <si>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</si>
  <si>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</si>
  <si>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</si>
  <si>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</si>
  <si>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</si>
  <si>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</si>
  <si>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</si>
  <si>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</si>
  <si>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</si>
  <si>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shade 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</si>
  <si>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</si>
  <si>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</si>
  <si>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</si>
  <si>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</si>
  <si>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</si>
  <si>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</si>
  <si>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</si>
  <si>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</si>
  <si>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</si>
  <si>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</si>
  <si>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</si>
  <si>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</si>
  <si>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</si>
  <si>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</si>
  <si>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</si>
  <si>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</si>
  <si>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</si>
  <si>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</si>
  <si>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</si>
  <si>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</si>
  <si>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</si>
  <si>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</si>
  <si>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</si>
  <si>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</si>
  <si>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</si>
  <si>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</si>
  <si>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</si>
  <si>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</si>
  <si>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</si>
  <si>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CHC3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</si>
</sst>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000"/>
    <numFmt numFmtId="166" formatCode="00"/>
    <numFmt numFmtId="167" formatCode="dd/mm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hh:mm:ss"/>
    <numFmt numFmtId="175" formatCode="yyyy\-mm\-dd\Thh:mm:ss\z"/>
    <numFmt numFmtId="176" formatCode="dddd&quot;, &quot;mmmm\ dd&quot;, &quot;yyyy"/>
    <numFmt numFmtId="177" formatCode="0.000"/>
    <numFmt numFmtId="178" formatCode="0.000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0.0"/>
    <numFmt numFmtId="183" formatCode="hh:mm"/>
    <numFmt numFmtId="184" formatCode="0"/>
  </numFmts>
  <fonts count="3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8080"/>
        <bgColor rgb="FFFF99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1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9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9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9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1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2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7" borderId="1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3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3" fillId="7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4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3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8" fillId="2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1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6" fillId="9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8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9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1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7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9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8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11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8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7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7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1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8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9" fillId="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8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7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1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8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7" fillId="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38978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21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3°21</v>
      </c>
      <c r="P9" s="29" t="s">
        <v>13</v>
      </c>
      <c r="Q9" s="33" t="n">
        <f aca="false">IF(ISBLANK(I9),"",IF(ISBLANK(J9),"",IF(J9&gt;60,"ERREUR !!",O11*(I9+(J9/60)))))</f>
        <v>3.35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0</v>
      </c>
      <c r="J10" s="29" t="n">
        <v>0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</v>
      </c>
      <c r="P10" s="29" t="s">
        <v>14</v>
      </c>
      <c r="Q10" s="33" t="n">
        <f aca="false">IF(ISBLANK(I10),"",IF(ISBLANK(J10),"",IF(J10&gt;60,"ERREUR !!",O12*(I10+(J10/60)))))</f>
        <v>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38978</v>
      </c>
      <c r="K11" s="38"/>
      <c r="L11" s="38"/>
      <c r="M11" s="38"/>
      <c r="N11" s="39" t="str">
        <f aca="false">I9&amp;"°"&amp;J9</f>
        <v>3°21</v>
      </c>
      <c r="O11" s="40" t="n">
        <f aca="false">IF(P9=M10,-1,1)</f>
        <v>1</v>
      </c>
      <c r="P11" s="41" t="str">
        <f aca="false">TEXT(J11,"aaaa-mm-jj")&amp;"T"&amp;TEXT(J12,"hh:mm:ss")&amp;"z"</f>
        <v>2010-09-19T04:15:00z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0.177083333333333</v>
      </c>
      <c r="K12" s="45"/>
      <c r="L12" s="45"/>
      <c r="M12" s="45"/>
      <c r="N12" s="46" t="str">
        <f aca="false">I10&amp;"°"&amp;J10</f>
        <v>0°0</v>
      </c>
      <c r="O12" s="40" t="n">
        <f aca="false">IF(P10=N10,-1,1)</f>
        <v>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115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17" t="n">
        <v>34.9596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22" t="n">
        <v>5.627</v>
      </c>
      <c r="Q35" s="119"/>
      <c r="R35" s="119"/>
      <c r="S35" s="123" t="n">
        <v>244.6</v>
      </c>
      <c r="T35" s="32" t="n">
        <v>0</v>
      </c>
      <c r="U35" s="32" t="n">
        <v>0</v>
      </c>
      <c r="V35" s="124"/>
      <c r="W35" s="124"/>
      <c r="X35" s="125" t="n">
        <v>20.71</v>
      </c>
      <c r="Y35" s="125" t="n">
        <v>20.24</v>
      </c>
      <c r="Z35" s="32" t="n">
        <v>1.399</v>
      </c>
      <c r="AA35" s="32" t="n">
        <v>1.37</v>
      </c>
      <c r="AB35" s="125" t="n">
        <v>22.54</v>
      </c>
      <c r="AC35" s="125" t="n">
        <v>22.03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17" t="n">
        <v>34.9565</v>
      </c>
      <c r="H36" s="131" t="n">
        <v>2000</v>
      </c>
      <c r="I36" s="131" t="n">
        <v>2000</v>
      </c>
      <c r="J36" s="124"/>
      <c r="K36" s="132"/>
      <c r="L36" s="132"/>
      <c r="M36" s="132"/>
      <c r="N36" s="133"/>
      <c r="O36" s="132"/>
      <c r="P36" s="122" t="n">
        <v>5.664</v>
      </c>
      <c r="Q36" s="124"/>
      <c r="R36" s="124"/>
      <c r="S36" s="134" t="n">
        <v>246.2</v>
      </c>
      <c r="T36" s="32" t="n">
        <v>0</v>
      </c>
      <c r="U36" s="32" t="n">
        <v>0</v>
      </c>
      <c r="V36" s="124"/>
      <c r="W36" s="124"/>
      <c r="X36" s="125" t="n">
        <v>20.8</v>
      </c>
      <c r="Y36" s="125" t="n">
        <v>20.33</v>
      </c>
      <c r="Z36" s="32" t="n">
        <v>1.355</v>
      </c>
      <c r="AA36" s="32" t="n">
        <v>1.32</v>
      </c>
      <c r="AB36" s="125" t="n">
        <v>24.14</v>
      </c>
      <c r="AC36" s="125" t="n">
        <v>23.59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34.6219</v>
      </c>
      <c r="H37" s="131" t="n">
        <v>1000</v>
      </c>
      <c r="I37" s="131" t="n">
        <v>995</v>
      </c>
      <c r="J37" s="124"/>
      <c r="K37" s="132"/>
      <c r="L37" s="132"/>
      <c r="M37" s="132"/>
      <c r="N37" s="133"/>
      <c r="O37" s="132"/>
      <c r="P37" s="139" t="n">
        <v>3.552</v>
      </c>
      <c r="Q37" s="124"/>
      <c r="R37" s="124"/>
      <c r="S37" s="125" t="n">
        <v>154.4</v>
      </c>
      <c r="T37" s="32" t="n">
        <v>0</v>
      </c>
      <c r="U37" s="32" t="n">
        <v>0</v>
      </c>
      <c r="V37" s="124"/>
      <c r="W37" s="124"/>
      <c r="X37" s="125" t="n">
        <v>33.66</v>
      </c>
      <c r="Y37" s="125" t="n">
        <v>32.89</v>
      </c>
      <c r="Z37" s="32" t="n">
        <v>2.224</v>
      </c>
      <c r="AA37" s="32" t="n">
        <v>2.17</v>
      </c>
      <c r="AB37" s="125" t="n">
        <v>31.06</v>
      </c>
      <c r="AC37" s="125" t="n">
        <v>30.35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34.6642</v>
      </c>
      <c r="H38" s="131" t="n">
        <v>500</v>
      </c>
      <c r="I38" s="131" t="n">
        <v>500</v>
      </c>
      <c r="J38" s="124"/>
      <c r="K38" s="132"/>
      <c r="L38" s="132"/>
      <c r="M38" s="132"/>
      <c r="N38" s="133"/>
      <c r="O38" s="132"/>
      <c r="P38" s="139" t="n">
        <v>2.554</v>
      </c>
      <c r="Q38" s="124"/>
      <c r="R38" s="124"/>
      <c r="S38" s="125" t="n">
        <v>111.1</v>
      </c>
      <c r="T38" s="32" t="n">
        <v>0</v>
      </c>
      <c r="U38" s="32" t="n">
        <v>0</v>
      </c>
      <c r="V38" s="124"/>
      <c r="W38" s="124"/>
      <c r="X38" s="125" t="n">
        <v>34.12</v>
      </c>
      <c r="Y38" s="125" t="n">
        <v>33.34</v>
      </c>
      <c r="Z38" s="32" t="n">
        <v>2.106</v>
      </c>
      <c r="AA38" s="32" t="n">
        <v>2.06</v>
      </c>
      <c r="AB38" s="125" t="n">
        <v>17.43</v>
      </c>
      <c r="AC38" s="125" t="n">
        <v>17.03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35.6973</v>
      </c>
      <c r="H39" s="131" t="n">
        <v>100</v>
      </c>
      <c r="I39" s="131" t="n">
        <v>100</v>
      </c>
      <c r="J39" s="124"/>
      <c r="K39" s="132"/>
      <c r="L39" s="132"/>
      <c r="M39" s="132"/>
      <c r="N39" s="133"/>
      <c r="O39" s="132"/>
      <c r="P39" s="139" t="n">
        <v>3.486</v>
      </c>
      <c r="Q39" s="124"/>
      <c r="R39" s="124"/>
      <c r="S39" s="125" t="n">
        <v>151.8</v>
      </c>
      <c r="T39" s="32" t="n">
        <v>0.04</v>
      </c>
      <c r="U39" s="32" t="n">
        <v>0.04</v>
      </c>
      <c r="V39" s="124"/>
      <c r="W39" s="124"/>
      <c r="X39" s="125" t="n">
        <v>13.55</v>
      </c>
      <c r="Y39" s="125" t="n">
        <v>13.24</v>
      </c>
      <c r="Z39" s="32" t="n">
        <v>0.942</v>
      </c>
      <c r="AA39" s="32" t="n">
        <v>0.92</v>
      </c>
      <c r="AB39" s="125" t="n">
        <v>4.59</v>
      </c>
      <c r="AC39" s="125" t="n">
        <v>4.49</v>
      </c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3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38" t="n">
        <v>35.8177</v>
      </c>
      <c r="H40" s="131" t="n">
        <v>80</v>
      </c>
      <c r="I40" s="131" t="n">
        <v>80</v>
      </c>
      <c r="J40" s="124"/>
      <c r="K40" s="132"/>
      <c r="L40" s="132"/>
      <c r="M40" s="132"/>
      <c r="N40" s="133"/>
      <c r="O40" s="132"/>
      <c r="P40" s="139" t="n">
        <v>3.457</v>
      </c>
      <c r="Q40" s="124"/>
      <c r="R40" s="124"/>
      <c r="S40" s="125" t="n">
        <v>150.5</v>
      </c>
      <c r="T40" s="32" t="n">
        <v>0.11</v>
      </c>
      <c r="U40" s="32" t="n">
        <v>0.1</v>
      </c>
      <c r="V40" s="124"/>
      <c r="W40" s="124"/>
      <c r="X40" s="125" t="n">
        <v>11.91</v>
      </c>
      <c r="Y40" s="125" t="n">
        <v>11.64</v>
      </c>
      <c r="Z40" s="32" t="n">
        <v>0.972</v>
      </c>
      <c r="AA40" s="32" t="n">
        <v>0.95</v>
      </c>
      <c r="AB40" s="125" t="n">
        <v>3.69</v>
      </c>
      <c r="AC40" s="125" t="n">
        <v>3.61</v>
      </c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3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35.8929</v>
      </c>
      <c r="H41" s="131" t="n">
        <v>60</v>
      </c>
      <c r="I41" s="131" t="n">
        <v>60</v>
      </c>
      <c r="J41" s="124"/>
      <c r="K41" s="132"/>
      <c r="L41" s="132"/>
      <c r="M41" s="132"/>
      <c r="N41" s="133"/>
      <c r="O41" s="132"/>
      <c r="P41" s="139" t="n">
        <v>3.88</v>
      </c>
      <c r="Q41" s="124"/>
      <c r="R41" s="124"/>
      <c r="S41" s="125" t="n">
        <v>169.1</v>
      </c>
      <c r="T41" s="32" t="n">
        <v>0.54</v>
      </c>
      <c r="U41" s="32" t="n">
        <v>0.52</v>
      </c>
      <c r="V41" s="124"/>
      <c r="W41" s="124"/>
      <c r="X41" s="125" t="n">
        <v>6.64</v>
      </c>
      <c r="Y41" s="125" t="n">
        <v>6.49</v>
      </c>
      <c r="Z41" s="32" t="n">
        <v>0.604</v>
      </c>
      <c r="AA41" s="32" t="n">
        <v>0.59</v>
      </c>
      <c r="AB41" s="125" t="n">
        <v>2.45</v>
      </c>
      <c r="AC41" s="125" t="n">
        <v>2.39</v>
      </c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3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35.5422</v>
      </c>
      <c r="H42" s="131" t="n">
        <v>40</v>
      </c>
      <c r="I42" s="131" t="n">
        <v>40</v>
      </c>
      <c r="J42" s="124"/>
      <c r="K42" s="132"/>
      <c r="L42" s="132"/>
      <c r="M42" s="132"/>
      <c r="N42" s="133"/>
      <c r="O42" s="132"/>
      <c r="P42" s="139" t="n">
        <v>4.655</v>
      </c>
      <c r="Q42" s="124"/>
      <c r="R42" s="124"/>
      <c r="S42" s="125" t="n">
        <v>203.1</v>
      </c>
      <c r="T42" s="32" t="n">
        <v>0.05</v>
      </c>
      <c r="U42" s="32" t="n">
        <v>0.05</v>
      </c>
      <c r="V42" s="124"/>
      <c r="W42" s="124"/>
      <c r="X42" s="125" t="n">
        <v>0.52</v>
      </c>
      <c r="Y42" s="125" t="n">
        <v>0.5</v>
      </c>
      <c r="Z42" s="32" t="n">
        <v>0.088</v>
      </c>
      <c r="AA42" s="32" t="n">
        <v>0.09</v>
      </c>
      <c r="AB42" s="125" t="n">
        <v>0.96</v>
      </c>
      <c r="AC42" s="125" t="n">
        <v>0.94</v>
      </c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3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38" t="n">
        <v>35.503</v>
      </c>
      <c r="H43" s="131" t="n">
        <v>20</v>
      </c>
      <c r="I43" s="131" t="n">
        <v>20</v>
      </c>
      <c r="J43" s="124"/>
      <c r="K43" s="132"/>
      <c r="L43" s="132"/>
      <c r="M43" s="132"/>
      <c r="N43" s="133"/>
      <c r="O43" s="132"/>
      <c r="P43" s="139" t="n">
        <v>4.69</v>
      </c>
      <c r="Q43" s="124"/>
      <c r="R43" s="124"/>
      <c r="S43" s="125" t="n">
        <v>204.7</v>
      </c>
      <c r="T43" s="32" t="n">
        <v>0</v>
      </c>
      <c r="U43" s="32" t="n">
        <v>0</v>
      </c>
      <c r="V43" s="124"/>
      <c r="W43" s="124"/>
      <c r="X43" s="125" t="n">
        <v>0.03</v>
      </c>
      <c r="Y43" s="125" t="n">
        <v>0.03</v>
      </c>
      <c r="Z43" s="32" t="n">
        <v>0.044</v>
      </c>
      <c r="AA43" s="32" t="n">
        <v>0.04</v>
      </c>
      <c r="AB43" s="125" t="n">
        <v>0.87</v>
      </c>
      <c r="AC43" s="125" t="n">
        <v>0.85</v>
      </c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3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38" t="n">
        <v>35.5001</v>
      </c>
      <c r="H44" s="131" t="n">
        <v>10</v>
      </c>
      <c r="I44" s="131" t="n">
        <v>10</v>
      </c>
      <c r="J44" s="124"/>
      <c r="K44" s="132"/>
      <c r="L44" s="132"/>
      <c r="M44" s="132"/>
      <c r="N44" s="133"/>
      <c r="O44" s="132"/>
      <c r="P44" s="139" t="n">
        <v>4.686</v>
      </c>
      <c r="Q44" s="124"/>
      <c r="R44" s="124"/>
      <c r="S44" s="125" t="n">
        <v>204.4</v>
      </c>
      <c r="T44" s="32" t="n">
        <v>0</v>
      </c>
      <c r="U44" s="32" t="n">
        <v>0</v>
      </c>
      <c r="V44" s="124"/>
      <c r="W44" s="124"/>
      <c r="X44" s="125" t="n">
        <v>0.17</v>
      </c>
      <c r="Y44" s="125" t="n">
        <v>0.17</v>
      </c>
      <c r="Z44" s="32" t="n">
        <v>0.353</v>
      </c>
      <c r="AA44" s="32" t="n">
        <v>0.35</v>
      </c>
      <c r="AB44" s="125" t="n">
        <v>0.91</v>
      </c>
      <c r="AC44" s="125" t="n">
        <v>0.89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35.5031</v>
      </c>
      <c r="H45" s="131" t="n">
        <v>0</v>
      </c>
      <c r="I45" s="131" t="n">
        <v>2</v>
      </c>
      <c r="J45" s="124"/>
      <c r="K45" s="132"/>
      <c r="L45" s="132"/>
      <c r="M45" s="132"/>
      <c r="N45" s="133"/>
      <c r="O45" s="132"/>
      <c r="P45" s="139" t="n">
        <v>4.691</v>
      </c>
      <c r="Q45" s="124"/>
      <c r="R45" s="124"/>
      <c r="S45" s="125" t="n">
        <v>204.7</v>
      </c>
      <c r="T45" s="32" t="n">
        <v>0</v>
      </c>
      <c r="U45" s="32" t="n">
        <v>0</v>
      </c>
      <c r="V45" s="124"/>
      <c r="W45" s="124"/>
      <c r="X45" s="125" t="n">
        <v>0.18</v>
      </c>
      <c r="Y45" s="125" t="n">
        <v>0.18</v>
      </c>
      <c r="Z45" s="32" t="n">
        <v>0.059</v>
      </c>
      <c r="AA45" s="32" t="n">
        <v>0.06</v>
      </c>
      <c r="AB45" s="125" t="n">
        <v>0.9</v>
      </c>
      <c r="AC45" s="125" t="n">
        <v>0.88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5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J7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57.97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-9°57,97</v>
      </c>
      <c r="P9" s="29" t="s">
        <v>16</v>
      </c>
      <c r="Q9" s="33" t="n">
        <f aca="false">IF(ISBLANK(I9),"",IF(ISBLANK(J9),"",IF(J9&gt;60,"ERREUR !!",O11*(I9+(J9/60)))))</f>
        <v>-9.96616666666667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59.55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-9°59,55</v>
      </c>
      <c r="P10" s="29" t="s">
        <v>17</v>
      </c>
      <c r="Q10" s="33" t="n">
        <f aca="false">IF(ISBLANK(I10),"",IF(ISBLANK(J10),"",IF(J10&gt;60,"ERREUR !!",O12*(I10+(J10/60)))))</f>
        <v>-9.9925</v>
      </c>
      <c r="R10" s="33"/>
      <c r="S10" s="35"/>
      <c r="T10" s="35"/>
    </row>
    <row r="11" customFormat="false" ht="15.75" hidden="false" customHeight="false" outlineLevel="0" collapsed="false">
      <c r="G11" s="36" t="s">
        <v>18</v>
      </c>
      <c r="H11" s="36"/>
      <c r="I11" s="37" t="s">
        <v>19</v>
      </c>
      <c r="J11" s="172" t="n">
        <v>38981</v>
      </c>
      <c r="K11" s="38"/>
      <c r="L11" s="38"/>
      <c r="M11" s="38"/>
      <c r="N11" s="39" t="str">
        <f aca="false">I9&amp;"°"&amp;J9</f>
        <v>9°57,97</v>
      </c>
      <c r="O11" s="40" t="n">
        <f aca="false">IF(P9=M10,-1,1)</f>
        <v>-1</v>
      </c>
      <c r="P11" s="41" t="str">
        <f aca="false">TEXT(J11,"aaaa-mm-jj")&amp;"T"&amp;TEXT(J12,"hh:mm:ss")&amp;"z"</f>
        <v>2010-09-22T14:30:00z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0.604166666666667</v>
      </c>
      <c r="K12" s="45"/>
      <c r="L12" s="45"/>
      <c r="M12" s="45"/>
      <c r="N12" s="46" t="str">
        <f aca="false">I10&amp;"°"&amp;J10</f>
        <v>9°59,55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73" t="n">
        <v>34.9353</v>
      </c>
      <c r="H35" s="118" t="n">
        <v>2000</v>
      </c>
      <c r="I35" s="118" t="n">
        <v>2000</v>
      </c>
      <c r="J35" s="119"/>
      <c r="K35" s="120"/>
      <c r="L35" s="120"/>
      <c r="M35" s="120"/>
      <c r="N35" s="121"/>
      <c r="O35" s="120"/>
      <c r="P35" s="174" t="n">
        <v>5.48</v>
      </c>
      <c r="Q35" s="119"/>
      <c r="R35" s="119"/>
      <c r="S35" s="175" t="n">
        <v>238.2</v>
      </c>
      <c r="T35" s="32" t="n">
        <v>0</v>
      </c>
      <c r="U35" s="32" t="n">
        <v>0</v>
      </c>
      <c r="V35" s="135"/>
      <c r="W35" s="135"/>
      <c r="X35" s="125" t="n">
        <v>21.9</v>
      </c>
      <c r="Y35" s="125" t="n">
        <v>21.4</v>
      </c>
      <c r="Z35" s="32" t="n">
        <v>1.46</v>
      </c>
      <c r="AA35" s="32" t="n">
        <v>1.42</v>
      </c>
      <c r="AB35" s="125" t="n">
        <v>29</v>
      </c>
      <c r="AC35" s="125" t="n">
        <v>28.4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76" t="n">
        <v>34.591</v>
      </c>
      <c r="H36" s="131" t="n">
        <v>1000</v>
      </c>
      <c r="I36" s="131" t="n">
        <v>1001</v>
      </c>
      <c r="J36" s="124"/>
      <c r="K36" s="132"/>
      <c r="L36" s="132"/>
      <c r="M36" s="132"/>
      <c r="N36" s="133"/>
      <c r="O36" s="132"/>
      <c r="P36" s="177" t="n">
        <v>3.622</v>
      </c>
      <c r="Q36" s="124"/>
      <c r="R36" s="124"/>
      <c r="S36" s="125" t="n">
        <v>157.5</v>
      </c>
      <c r="T36" s="32" t="n">
        <v>0</v>
      </c>
      <c r="U36" s="32" t="n">
        <v>0</v>
      </c>
      <c r="V36" s="135"/>
      <c r="W36" s="135"/>
      <c r="X36" s="125" t="n">
        <v>34.1</v>
      </c>
      <c r="Y36" s="125" t="n">
        <v>33.3</v>
      </c>
      <c r="Z36" s="32" t="n">
        <v>2.27</v>
      </c>
      <c r="AA36" s="32" t="n">
        <v>2.22</v>
      </c>
      <c r="AB36" s="125" t="n">
        <v>33.7</v>
      </c>
      <c r="AC36" s="125" t="n">
        <v>33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76" t="n">
        <v>34.5944</v>
      </c>
      <c r="H37" s="131" t="n">
        <v>1000</v>
      </c>
      <c r="I37" s="131" t="n">
        <v>1001</v>
      </c>
      <c r="J37" s="124"/>
      <c r="K37" s="132"/>
      <c r="L37" s="132"/>
      <c r="M37" s="132"/>
      <c r="N37" s="133"/>
      <c r="O37" s="132"/>
      <c r="P37" s="177" t="n">
        <v>3.614</v>
      </c>
      <c r="Q37" s="124"/>
      <c r="R37" s="124"/>
      <c r="S37" s="125" t="n">
        <v>157.2</v>
      </c>
      <c r="T37" s="32" t="n">
        <v>0</v>
      </c>
      <c r="U37" s="32" t="n">
        <v>0</v>
      </c>
      <c r="V37" s="135"/>
      <c r="W37" s="135"/>
      <c r="X37" s="125" t="n">
        <v>33.9</v>
      </c>
      <c r="Y37" s="125" t="n">
        <v>33.1</v>
      </c>
      <c r="Z37" s="32" t="n">
        <v>2.27</v>
      </c>
      <c r="AA37" s="32" t="n">
        <v>2.22</v>
      </c>
      <c r="AB37" s="125" t="n">
        <v>34.9</v>
      </c>
      <c r="AC37" s="125" t="n">
        <v>34.1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34.671</v>
      </c>
      <c r="H38" s="131" t="n">
        <v>500</v>
      </c>
      <c r="I38" s="131" t="n">
        <v>500</v>
      </c>
      <c r="J38" s="124"/>
      <c r="K38" s="132"/>
      <c r="L38" s="132"/>
      <c r="M38" s="132"/>
      <c r="N38" s="133"/>
      <c r="O38" s="132"/>
      <c r="P38" s="177" t="n">
        <v>1.943</v>
      </c>
      <c r="Q38" s="124"/>
      <c r="R38" s="124"/>
      <c r="S38" s="125" t="n">
        <v>84.5</v>
      </c>
      <c r="T38" s="32" t="n">
        <v>0</v>
      </c>
      <c r="U38" s="32" t="n">
        <v>0</v>
      </c>
      <c r="V38" s="135"/>
      <c r="W38" s="135"/>
      <c r="X38" s="125" t="n">
        <v>36.6</v>
      </c>
      <c r="Y38" s="125" t="n">
        <v>35.7</v>
      </c>
      <c r="Z38" s="32" t="n">
        <v>2.34</v>
      </c>
      <c r="AA38" s="32" t="n">
        <v>2.29</v>
      </c>
      <c r="AB38" s="125" t="n">
        <v>19.5</v>
      </c>
      <c r="AC38" s="125" t="n">
        <v>19.1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36.1484</v>
      </c>
      <c r="H39" s="131" t="n">
        <v>100</v>
      </c>
      <c r="I39" s="131" t="n">
        <v>101</v>
      </c>
      <c r="J39" s="124"/>
      <c r="K39" s="132"/>
      <c r="L39" s="132"/>
      <c r="M39" s="132"/>
      <c r="N39" s="133"/>
      <c r="O39" s="132"/>
      <c r="P39" s="177" t="n">
        <v>3.855</v>
      </c>
      <c r="Q39" s="124"/>
      <c r="R39" s="124"/>
      <c r="S39" s="125" t="n">
        <v>167.8</v>
      </c>
      <c r="T39" s="32" t="n">
        <v>0.35</v>
      </c>
      <c r="U39" s="32" t="n">
        <v>0.34</v>
      </c>
      <c r="V39" s="135"/>
      <c r="W39" s="135"/>
      <c r="X39" s="125" t="n">
        <v>7.7</v>
      </c>
      <c r="Y39" s="125" t="n">
        <v>7.5</v>
      </c>
      <c r="Z39" s="32" t="n">
        <v>0.69</v>
      </c>
      <c r="AA39" s="32" t="n">
        <v>0.68</v>
      </c>
      <c r="AB39" s="125" t="n">
        <v>2.1</v>
      </c>
      <c r="AC39" s="125" t="n">
        <v>2.1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38" t="n">
        <v>36.4531</v>
      </c>
      <c r="H40" s="131" t="n">
        <v>80</v>
      </c>
      <c r="I40" s="131" t="n">
        <v>81</v>
      </c>
      <c r="J40" s="124"/>
      <c r="K40" s="132"/>
      <c r="L40" s="132"/>
      <c r="M40" s="132"/>
      <c r="N40" s="133"/>
      <c r="O40" s="132"/>
      <c r="P40" s="177" t="n">
        <v>4.815</v>
      </c>
      <c r="Q40" s="124"/>
      <c r="R40" s="124"/>
      <c r="S40" s="125" t="n">
        <v>209.8</v>
      </c>
      <c r="T40" s="32" t="n">
        <v>0</v>
      </c>
      <c r="U40" s="32" t="n">
        <v>0</v>
      </c>
      <c r="V40" s="135"/>
      <c r="W40" s="135"/>
      <c r="X40" s="125" t="n">
        <v>0.1</v>
      </c>
      <c r="Y40" s="125" t="n">
        <v>0.1</v>
      </c>
      <c r="Z40" s="32" t="n">
        <v>0.12</v>
      </c>
      <c r="AA40" s="32" t="n">
        <v>0.12</v>
      </c>
      <c r="AB40" s="125" t="n">
        <v>0.6</v>
      </c>
      <c r="AC40" s="125" t="n">
        <v>0.6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7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36.4532</v>
      </c>
      <c r="H41" s="131" t="n">
        <v>60</v>
      </c>
      <c r="I41" s="131" t="n">
        <v>60</v>
      </c>
      <c r="J41" s="124"/>
      <c r="K41" s="132"/>
      <c r="L41" s="132"/>
      <c r="M41" s="132"/>
      <c r="N41" s="133"/>
      <c r="O41" s="132"/>
      <c r="P41" s="177" t="n">
        <v>4.823</v>
      </c>
      <c r="Q41" s="124"/>
      <c r="R41" s="124"/>
      <c r="S41" s="125" t="n">
        <v>210.2</v>
      </c>
      <c r="T41" s="32" t="n">
        <v>0</v>
      </c>
      <c r="U41" s="32" t="n">
        <v>0</v>
      </c>
      <c r="V41" s="135"/>
      <c r="W41" s="135"/>
      <c r="X41" s="125" t="n">
        <v>0.1</v>
      </c>
      <c r="Y41" s="125" t="n">
        <v>0.1</v>
      </c>
      <c r="Z41" s="32" t="n">
        <v>0.1</v>
      </c>
      <c r="AA41" s="32" t="n">
        <v>0.1</v>
      </c>
      <c r="AB41" s="125" t="n">
        <v>0.6</v>
      </c>
      <c r="AC41" s="125" t="n">
        <v>0.6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36.4528</v>
      </c>
      <c r="H42" s="131" t="n">
        <v>40</v>
      </c>
      <c r="I42" s="131" t="n">
        <v>40</v>
      </c>
      <c r="J42" s="124"/>
      <c r="K42" s="132"/>
      <c r="L42" s="132"/>
      <c r="M42" s="132"/>
      <c r="N42" s="133"/>
      <c r="O42" s="132"/>
      <c r="P42" s="177" t="n">
        <v>4.823</v>
      </c>
      <c r="Q42" s="124"/>
      <c r="R42" s="124"/>
      <c r="S42" s="125" t="n">
        <v>210.2</v>
      </c>
      <c r="T42" s="32" t="n">
        <v>0</v>
      </c>
      <c r="U42" s="32" t="n">
        <v>0</v>
      </c>
      <c r="V42" s="135"/>
      <c r="W42" s="135"/>
      <c r="X42" s="125" t="n">
        <v>0.1</v>
      </c>
      <c r="Y42" s="125" t="n">
        <v>0.1</v>
      </c>
      <c r="Z42" s="32" t="n">
        <v>0.1</v>
      </c>
      <c r="AA42" s="32" t="n">
        <v>0.1</v>
      </c>
      <c r="AB42" s="125" t="n">
        <v>0.7</v>
      </c>
      <c r="AC42" s="125" t="n">
        <v>0.7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6.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38" t="n">
        <v>36.4528</v>
      </c>
      <c r="H43" s="131" t="n">
        <v>20</v>
      </c>
      <c r="I43" s="131" t="n">
        <v>20</v>
      </c>
      <c r="J43" s="124"/>
      <c r="K43" s="132"/>
      <c r="L43" s="132"/>
      <c r="M43" s="132"/>
      <c r="N43" s="133"/>
      <c r="O43" s="132"/>
      <c r="P43" s="177"/>
      <c r="Q43" s="124"/>
      <c r="R43" s="124"/>
      <c r="S43" s="125"/>
      <c r="T43" s="32" t="n">
        <v>0</v>
      </c>
      <c r="U43" s="32" t="n">
        <v>0</v>
      </c>
      <c r="V43" s="135"/>
      <c r="W43" s="135"/>
      <c r="X43" s="125" t="n">
        <v>0.1</v>
      </c>
      <c r="Y43" s="125" t="n">
        <v>0.1</v>
      </c>
      <c r="Z43" s="32" t="n">
        <v>0.1</v>
      </c>
      <c r="AA43" s="32" t="n">
        <v>0.1</v>
      </c>
      <c r="AB43" s="125" t="n">
        <v>0.7</v>
      </c>
      <c r="AC43" s="125" t="n">
        <v>0.7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6.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38" t="n">
        <v>36.4532</v>
      </c>
      <c r="H44" s="131" t="n">
        <v>10</v>
      </c>
      <c r="I44" s="131" t="n">
        <v>10</v>
      </c>
      <c r="J44" s="124"/>
      <c r="K44" s="132"/>
      <c r="L44" s="132"/>
      <c r="M44" s="132"/>
      <c r="N44" s="133"/>
      <c r="O44" s="132"/>
      <c r="P44" s="177" t="n">
        <v>4.823</v>
      </c>
      <c r="Q44" s="124"/>
      <c r="R44" s="124"/>
      <c r="S44" s="125" t="n">
        <v>210.2</v>
      </c>
      <c r="T44" s="32" t="n">
        <v>0</v>
      </c>
      <c r="U44" s="32" t="n">
        <v>0</v>
      </c>
      <c r="V44" s="135"/>
      <c r="W44" s="135"/>
      <c r="X44" s="125" t="n">
        <v>0</v>
      </c>
      <c r="Y44" s="125" t="n">
        <v>0</v>
      </c>
      <c r="Z44" s="32" t="n">
        <v>0.12</v>
      </c>
      <c r="AA44" s="32" t="n">
        <v>0.12</v>
      </c>
      <c r="AB44" s="125" t="n">
        <v>0.6</v>
      </c>
      <c r="AC44" s="125" t="n">
        <v>0.6</v>
      </c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7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36.4545</v>
      </c>
      <c r="H45" s="131" t="n">
        <v>0</v>
      </c>
      <c r="I45" s="131" t="n">
        <v>2</v>
      </c>
      <c r="J45" s="124"/>
      <c r="K45" s="132"/>
      <c r="L45" s="132"/>
      <c r="M45" s="132"/>
      <c r="N45" s="133"/>
      <c r="O45" s="132"/>
      <c r="P45" s="177" t="n">
        <v>4.828</v>
      </c>
      <c r="Q45" s="124"/>
      <c r="R45" s="124"/>
      <c r="S45" s="125" t="n">
        <v>210.4</v>
      </c>
      <c r="T45" s="32" t="n">
        <v>0</v>
      </c>
      <c r="U45" s="32" t="n">
        <v>0</v>
      </c>
      <c r="V45" s="135"/>
      <c r="W45" s="135"/>
      <c r="X45" s="125" t="n">
        <v>0.1</v>
      </c>
      <c r="Y45" s="125" t="n">
        <v>0.1</v>
      </c>
      <c r="Z45" s="32" t="n">
        <v>0.1</v>
      </c>
      <c r="AA45" s="32" t="n">
        <v>0.1</v>
      </c>
      <c r="AB45" s="125" t="n">
        <v>0.6</v>
      </c>
      <c r="AC45" s="125" t="n">
        <v>0.6</v>
      </c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7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36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38982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n">
        <v>0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29.97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-9°29,97</v>
      </c>
      <c r="P9" s="29" t="s">
        <v>16</v>
      </c>
      <c r="Q9" s="33" t="n">
        <f aca="false">IF(ISBLANK(I9),"",IF(ISBLANK(J9),"",IF(J9&gt;60,"ERREUR !!",O11*(I9+(J9/60)))))</f>
        <v>-9.4995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0.34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-10°0,34</v>
      </c>
      <c r="P10" s="29" t="s">
        <v>17</v>
      </c>
      <c r="Q10" s="33" t="n">
        <f aca="false">IF(ISBLANK(I10),"",IF(ISBLANK(J10),"",IF(J10&gt;60,"ERREUR !!",O12*(I10+(J10/60)))))</f>
        <v>-10.0056666666667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38982</v>
      </c>
      <c r="K11" s="38"/>
      <c r="L11" s="38"/>
      <c r="M11" s="38"/>
      <c r="N11" s="39" t="str">
        <f aca="false">I9&amp;"°"&amp;J9</f>
        <v>9°29,97</v>
      </c>
      <c r="O11" s="40" t="n">
        <f aca="false">IF(P9=M10,-1,1)</f>
        <v>-1</v>
      </c>
      <c r="P11" s="41" t="str">
        <f aca="false">TEXT(J11,"aaaa-mm-jj")&amp;"T"&amp;TEXT(J12,"hh:mm:ss")&amp;"z"</f>
        <v>2010-09-23T01:00:00z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0.0416666666666667</v>
      </c>
      <c r="K12" s="45"/>
      <c r="L12" s="45"/>
      <c r="M12" s="45"/>
      <c r="N12" s="46" t="str">
        <f aca="false">I10&amp;"°"&amp;J10</f>
        <v>10°0,34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38" t="n">
        <v>34.9336</v>
      </c>
      <c r="H35" s="118" t="n">
        <v>2000</v>
      </c>
      <c r="I35" s="131" t="n">
        <v>2000</v>
      </c>
      <c r="J35" s="119"/>
      <c r="K35" s="120"/>
      <c r="L35" s="120"/>
      <c r="M35" s="120"/>
      <c r="N35" s="121"/>
      <c r="O35" s="120"/>
      <c r="P35" s="174" t="n">
        <v>5.545</v>
      </c>
      <c r="Q35" s="151"/>
      <c r="R35" s="152"/>
      <c r="S35" s="175" t="n">
        <v>241</v>
      </c>
      <c r="T35" s="32" t="n">
        <v>0</v>
      </c>
      <c r="U35" s="32" t="n">
        <v>0</v>
      </c>
      <c r="V35" s="135"/>
      <c r="W35" s="135"/>
      <c r="X35" s="125" t="n">
        <v>21.9</v>
      </c>
      <c r="Y35" s="125" t="n">
        <v>21.4</v>
      </c>
      <c r="Z35" s="32" t="n">
        <v>1.36</v>
      </c>
      <c r="AA35" s="32" t="n">
        <v>1.33</v>
      </c>
      <c r="AB35" s="125" t="n">
        <v>26.4</v>
      </c>
      <c r="AC35" s="125" t="n">
        <v>25.8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34.5817</v>
      </c>
      <c r="H36" s="131" t="n">
        <v>1000</v>
      </c>
      <c r="I36" s="131" t="n">
        <v>1001</v>
      </c>
      <c r="J36" s="124"/>
      <c r="K36" s="132"/>
      <c r="L36" s="132"/>
      <c r="M36" s="132"/>
      <c r="N36" s="133"/>
      <c r="O36" s="132"/>
      <c r="P36" s="177" t="n">
        <v>3.733</v>
      </c>
      <c r="Q36" s="151"/>
      <c r="R36" s="157"/>
      <c r="S36" s="125" t="n">
        <v>162.3</v>
      </c>
      <c r="T36" s="32" t="n">
        <v>0</v>
      </c>
      <c r="U36" s="32" t="n">
        <v>0</v>
      </c>
      <c r="V36" s="135"/>
      <c r="W36" s="135"/>
      <c r="X36" s="125" t="n">
        <v>33.6</v>
      </c>
      <c r="Y36" s="125" t="n">
        <v>32.8</v>
      </c>
      <c r="Z36" s="32" t="n">
        <v>2.23</v>
      </c>
      <c r="AA36" s="32" t="n">
        <v>2.18</v>
      </c>
      <c r="AB36" s="125" t="n">
        <v>33.1</v>
      </c>
      <c r="AC36" s="125" t="n">
        <v>32.3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34.6399</v>
      </c>
      <c r="H37" s="131" t="n">
        <v>500</v>
      </c>
      <c r="I37" s="178" t="n">
        <v>501</v>
      </c>
      <c r="J37" s="124"/>
      <c r="K37" s="132"/>
      <c r="L37" s="132"/>
      <c r="M37" s="132"/>
      <c r="N37" s="133"/>
      <c r="O37" s="132"/>
      <c r="P37" s="177" t="n">
        <v>1.983</v>
      </c>
      <c r="Q37" s="151"/>
      <c r="R37" s="157"/>
      <c r="S37" s="125" t="n">
        <v>86.2</v>
      </c>
      <c r="T37" s="32" t="n">
        <v>0</v>
      </c>
      <c r="U37" s="32" t="n">
        <v>0</v>
      </c>
      <c r="V37" s="135"/>
      <c r="W37" s="135"/>
      <c r="X37" s="125" t="n">
        <v>37.3</v>
      </c>
      <c r="Y37" s="125" t="n">
        <v>36.4</v>
      </c>
      <c r="Z37" s="32" t="n">
        <v>2.29</v>
      </c>
      <c r="AA37" s="32" t="n">
        <v>2.23</v>
      </c>
      <c r="AB37" s="125" t="n">
        <v>19.2</v>
      </c>
      <c r="AC37" s="125" t="n">
        <v>18.8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34.6386</v>
      </c>
      <c r="H38" s="131" t="n">
        <v>500</v>
      </c>
      <c r="I38" s="178" t="n">
        <v>500</v>
      </c>
      <c r="J38" s="124"/>
      <c r="K38" s="132"/>
      <c r="L38" s="132"/>
      <c r="M38" s="132"/>
      <c r="N38" s="133"/>
      <c r="O38" s="132"/>
      <c r="P38" s="177" t="n">
        <v>1.994</v>
      </c>
      <c r="Q38" s="151"/>
      <c r="R38" s="157"/>
      <c r="S38" s="125" t="n">
        <v>86.7</v>
      </c>
      <c r="T38" s="32" t="n">
        <v>0</v>
      </c>
      <c r="U38" s="32" t="n">
        <v>0</v>
      </c>
      <c r="V38" s="135"/>
      <c r="W38" s="135"/>
      <c r="X38" s="125" t="n">
        <v>37</v>
      </c>
      <c r="Y38" s="125" t="n">
        <v>36.2</v>
      </c>
      <c r="Z38" s="32" t="n">
        <v>2.27</v>
      </c>
      <c r="AA38" s="32" t="n">
        <v>2.21</v>
      </c>
      <c r="AB38" s="125" t="n">
        <v>19.3</v>
      </c>
      <c r="AC38" s="125" t="n">
        <v>18.9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36.2013</v>
      </c>
      <c r="H39" s="131" t="n">
        <v>100</v>
      </c>
      <c r="I39" s="131" t="n">
        <v>100</v>
      </c>
      <c r="J39" s="124"/>
      <c r="K39" s="132"/>
      <c r="L39" s="132"/>
      <c r="M39" s="132"/>
      <c r="N39" s="133"/>
      <c r="O39" s="132"/>
      <c r="P39" s="177" t="n">
        <v>3.93</v>
      </c>
      <c r="Q39" s="151"/>
      <c r="R39" s="157"/>
      <c r="S39" s="125" t="n">
        <v>171.1</v>
      </c>
      <c r="T39" s="32" t="n">
        <v>0.39</v>
      </c>
      <c r="U39" s="32" t="n">
        <v>0.38</v>
      </c>
      <c r="V39" s="135"/>
      <c r="W39" s="135"/>
      <c r="X39" s="125" t="n">
        <v>6.6</v>
      </c>
      <c r="Y39" s="125" t="n">
        <v>6.5</v>
      </c>
      <c r="Z39" s="32" t="n">
        <v>0.57</v>
      </c>
      <c r="AA39" s="32" t="n">
        <v>0.56</v>
      </c>
      <c r="AB39" s="125" t="n">
        <v>1.5</v>
      </c>
      <c r="AC39" s="125" t="n">
        <v>1.5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38" t="n">
        <v>36.4032</v>
      </c>
      <c r="H40" s="131" t="n">
        <v>80</v>
      </c>
      <c r="I40" s="131" t="n">
        <v>79.8</v>
      </c>
      <c r="J40" s="124"/>
      <c r="K40" s="132"/>
      <c r="L40" s="132"/>
      <c r="M40" s="132"/>
      <c r="N40" s="133"/>
      <c r="O40" s="132"/>
      <c r="P40" s="177" t="n">
        <v>4.332</v>
      </c>
      <c r="Q40" s="151"/>
      <c r="R40" s="157"/>
      <c r="S40" s="125" t="n">
        <v>188.7</v>
      </c>
      <c r="T40" s="32" t="n">
        <v>0.22</v>
      </c>
      <c r="U40" s="32" t="n">
        <v>0.21</v>
      </c>
      <c r="V40" s="135"/>
      <c r="W40" s="135"/>
      <c r="X40" s="125" t="n">
        <v>3.3</v>
      </c>
      <c r="Y40" s="125" t="n">
        <v>3.2</v>
      </c>
      <c r="Z40" s="32" t="n">
        <v>0.39</v>
      </c>
      <c r="AA40" s="32" t="n">
        <v>0.38</v>
      </c>
      <c r="AB40" s="125" t="n">
        <v>1</v>
      </c>
      <c r="AC40" s="125" t="n">
        <v>1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36.3905</v>
      </c>
      <c r="H41" s="131" t="n">
        <v>60</v>
      </c>
      <c r="I41" s="131" t="n">
        <v>60.1</v>
      </c>
      <c r="J41" s="124"/>
      <c r="K41" s="132"/>
      <c r="L41" s="132"/>
      <c r="M41" s="132"/>
      <c r="N41" s="133"/>
      <c r="O41" s="132"/>
      <c r="P41" s="177" t="n">
        <v>4.811</v>
      </c>
      <c r="Q41" s="151"/>
      <c r="R41" s="157"/>
      <c r="S41" s="125" t="n">
        <v>209.6</v>
      </c>
      <c r="T41" s="32" t="n">
        <v>0.01</v>
      </c>
      <c r="U41" s="32" t="n">
        <v>0.01</v>
      </c>
      <c r="V41" s="135"/>
      <c r="W41" s="135"/>
      <c r="X41" s="125" t="n">
        <v>0.1</v>
      </c>
      <c r="Y41" s="125" t="n">
        <v>0.1</v>
      </c>
      <c r="Z41" s="32" t="n">
        <v>0.09</v>
      </c>
      <c r="AA41" s="32" t="n">
        <v>0.09</v>
      </c>
      <c r="AB41" s="125" t="n">
        <v>0.4</v>
      </c>
      <c r="AC41" s="125" t="n">
        <v>0.3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36.3809</v>
      </c>
      <c r="H42" s="131" t="n">
        <v>40</v>
      </c>
      <c r="I42" s="131" t="n">
        <v>39.9</v>
      </c>
      <c r="J42" s="124"/>
      <c r="K42" s="132"/>
      <c r="L42" s="132"/>
      <c r="M42" s="132"/>
      <c r="N42" s="133"/>
      <c r="O42" s="132"/>
      <c r="P42" s="177" t="n">
        <v>4.813</v>
      </c>
      <c r="Q42" s="151"/>
      <c r="R42" s="157"/>
      <c r="S42" s="125" t="n">
        <v>209.7</v>
      </c>
      <c r="T42" s="32" t="n">
        <v>0.01</v>
      </c>
      <c r="U42" s="32" t="n">
        <v>0.01</v>
      </c>
      <c r="V42" s="135"/>
      <c r="W42" s="135"/>
      <c r="X42" s="125" t="n">
        <v>0</v>
      </c>
      <c r="Y42" s="125" t="n">
        <v>0</v>
      </c>
      <c r="Z42" s="32" t="n">
        <v>0.1</v>
      </c>
      <c r="AA42" s="32" t="n">
        <v>0.1</v>
      </c>
      <c r="AB42" s="125" t="n">
        <v>0.4</v>
      </c>
      <c r="AC42" s="125" t="n">
        <v>0.4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38" t="n">
        <v>36.3815</v>
      </c>
      <c r="H43" s="131" t="n">
        <v>20</v>
      </c>
      <c r="I43" s="131" t="n">
        <v>20.5</v>
      </c>
      <c r="J43" s="124"/>
      <c r="K43" s="132"/>
      <c r="L43" s="132"/>
      <c r="M43" s="132"/>
      <c r="N43" s="133"/>
      <c r="O43" s="132"/>
      <c r="P43" s="177" t="n">
        <v>4.817</v>
      </c>
      <c r="Q43" s="151"/>
      <c r="R43" s="157"/>
      <c r="S43" s="125" t="n">
        <v>209.9</v>
      </c>
      <c r="T43" s="32" t="n">
        <v>0</v>
      </c>
      <c r="U43" s="32" t="n">
        <v>0</v>
      </c>
      <c r="V43" s="135"/>
      <c r="W43" s="135"/>
      <c r="X43" s="125" t="n">
        <v>0</v>
      </c>
      <c r="Y43" s="125" t="n">
        <v>0</v>
      </c>
      <c r="Z43" s="32" t="n">
        <v>0.1</v>
      </c>
      <c r="AA43" s="32" t="n">
        <v>0.09</v>
      </c>
      <c r="AB43" s="125" t="n">
        <v>0.4</v>
      </c>
      <c r="AC43" s="125" t="n">
        <v>0.4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38" t="n">
        <v>36.38</v>
      </c>
      <c r="H44" s="131" t="n">
        <v>10</v>
      </c>
      <c r="I44" s="131" t="n">
        <v>10.6</v>
      </c>
      <c r="J44" s="124"/>
      <c r="K44" s="132"/>
      <c r="L44" s="132"/>
      <c r="M44" s="132"/>
      <c r="N44" s="133"/>
      <c r="O44" s="132"/>
      <c r="P44" s="177" t="n">
        <v>4.811</v>
      </c>
      <c r="Q44" s="151"/>
      <c r="R44" s="157"/>
      <c r="S44" s="125" t="n">
        <v>209.7</v>
      </c>
      <c r="T44" s="32" t="n">
        <v>0.01</v>
      </c>
      <c r="U44" s="32" t="n">
        <v>0.01</v>
      </c>
      <c r="V44" s="135"/>
      <c r="W44" s="135"/>
      <c r="X44" s="125" t="n">
        <v>0</v>
      </c>
      <c r="Y44" s="125" t="n">
        <v>0</v>
      </c>
      <c r="Z44" s="32" t="n">
        <v>0.11</v>
      </c>
      <c r="AA44" s="32" t="n">
        <v>0.11</v>
      </c>
      <c r="AB44" s="125" t="n">
        <v>0.5</v>
      </c>
      <c r="AC44" s="125" t="n">
        <v>0.5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36.3848</v>
      </c>
      <c r="H45" s="131" t="n">
        <v>0</v>
      </c>
      <c r="I45" s="131" t="n">
        <v>2.1</v>
      </c>
      <c r="J45" s="124"/>
      <c r="K45" s="132"/>
      <c r="L45" s="132"/>
      <c r="M45" s="132"/>
      <c r="N45" s="133"/>
      <c r="O45" s="132"/>
      <c r="P45" s="177" t="n">
        <v>4.834</v>
      </c>
      <c r="Q45" s="151"/>
      <c r="R45" s="157"/>
      <c r="S45" s="125" t="n">
        <v>210.7</v>
      </c>
      <c r="T45" s="32" t="n">
        <v>0</v>
      </c>
      <c r="U45" s="32" t="n">
        <v>0</v>
      </c>
      <c r="V45" s="135"/>
      <c r="W45" s="135"/>
      <c r="X45" s="125" t="n">
        <v>0</v>
      </c>
      <c r="Y45" s="125" t="n">
        <v>0</v>
      </c>
      <c r="Z45" s="32" t="n">
        <v>0.12</v>
      </c>
      <c r="AA45" s="32" t="n">
        <v>0.12</v>
      </c>
      <c r="AB45" s="125" t="n">
        <v>0.4</v>
      </c>
      <c r="AC45" s="125" t="n">
        <v>0.4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7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P11" activeCellId="0" sqref="P11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9</v>
      </c>
      <c r="J9" s="29" t="n">
        <v>0.17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-9°0,17</v>
      </c>
      <c r="P9" s="29" t="s">
        <v>16</v>
      </c>
      <c r="Q9" s="33" t="n">
        <f aca="false">IF(ISBLANK(I9),"",IF(ISBLANK(J9),"",IF(J9&gt;60,"ERREUR !!",O11*(I9+(J9/60)))))</f>
        <v>-9.00283333333333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0.35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-10°0,35</v>
      </c>
      <c r="P10" s="29" t="s">
        <v>17</v>
      </c>
      <c r="Q10" s="33" t="n">
        <f aca="false">IF(ISBLANK(I10),"",IF(ISBLANK(J10),"",IF(J10&gt;60,"ERREUR !!",O12*(I10+(J10/60)))))</f>
        <v>-10.0058333333333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38982</v>
      </c>
      <c r="K11" s="38"/>
      <c r="L11" s="38"/>
      <c r="M11" s="38"/>
      <c r="N11" s="39" t="str">
        <f aca="false">I9&amp;"°"&amp;J9</f>
        <v>9°0,17</v>
      </c>
      <c r="O11" s="40" t="n">
        <f aca="false">IF(P9=M10,-1,1)</f>
        <v>-1</v>
      </c>
      <c r="P11" s="41" t="str">
        <f aca="false">TEXT(J11,"aaaa-mm-jj")&amp;"T"&amp;TEXT(J12,"hh:mm:ss")&amp;"z"</f>
        <v>2010-09-23T07:00:00z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0.291666666666667</v>
      </c>
      <c r="K12" s="45"/>
      <c r="L12" s="45"/>
      <c r="M12" s="45"/>
      <c r="N12" s="46" t="str">
        <f aca="false">I10&amp;"°"&amp;J10</f>
        <v>10°0,35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38" t="n">
        <v>34.9353</v>
      </c>
      <c r="H35" s="118" t="n">
        <v>2000</v>
      </c>
      <c r="I35" s="131" t="n">
        <v>1999</v>
      </c>
      <c r="J35" s="119"/>
      <c r="K35" s="120"/>
      <c r="L35" s="120"/>
      <c r="M35" s="120"/>
      <c r="N35" s="121"/>
      <c r="O35" s="120"/>
      <c r="P35" s="174" t="n">
        <v>5.436</v>
      </c>
      <c r="Q35" s="115"/>
      <c r="R35" s="116"/>
      <c r="S35" s="175" t="n">
        <v>236.3</v>
      </c>
      <c r="T35" s="32" t="n">
        <v>0.01</v>
      </c>
      <c r="U35" s="32" t="n">
        <v>0.01</v>
      </c>
      <c r="V35" s="135"/>
      <c r="W35" s="135"/>
      <c r="X35" s="125" t="n">
        <v>22.3</v>
      </c>
      <c r="Y35" s="125" t="n">
        <v>21.8</v>
      </c>
      <c r="Z35" s="32" t="n">
        <v>1.79</v>
      </c>
      <c r="AA35" s="32" t="n">
        <v>1.75</v>
      </c>
      <c r="AB35" s="125" t="n">
        <v>28</v>
      </c>
      <c r="AC35" s="125" t="n">
        <v>27.3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34.593</v>
      </c>
      <c r="H36" s="131" t="n">
        <v>1000</v>
      </c>
      <c r="I36" s="131" t="n">
        <v>1000.5</v>
      </c>
      <c r="J36" s="124"/>
      <c r="K36" s="132"/>
      <c r="L36" s="132"/>
      <c r="M36" s="132"/>
      <c r="N36" s="133"/>
      <c r="O36" s="132"/>
      <c r="P36" s="177" t="n">
        <v>3.697</v>
      </c>
      <c r="Q36" s="129"/>
      <c r="R36" s="130"/>
      <c r="S36" s="125" t="n">
        <v>160.8</v>
      </c>
      <c r="T36" s="32" t="n">
        <v>0</v>
      </c>
      <c r="U36" s="32" t="n">
        <v>0</v>
      </c>
      <c r="V36" s="135"/>
      <c r="W36" s="135"/>
      <c r="X36" s="125" t="n">
        <v>33.7</v>
      </c>
      <c r="Y36" s="125" t="n">
        <v>32.9</v>
      </c>
      <c r="Z36" s="32" t="n">
        <v>2.33</v>
      </c>
      <c r="AA36" s="32" t="n">
        <v>2.28</v>
      </c>
      <c r="AB36" s="125" t="n">
        <v>33.6</v>
      </c>
      <c r="AC36" s="125" t="n">
        <v>32.8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34.6749</v>
      </c>
      <c r="H37" s="131" t="n">
        <v>500</v>
      </c>
      <c r="I37" s="179" t="n">
        <v>501.2</v>
      </c>
      <c r="J37" s="124"/>
      <c r="K37" s="132"/>
      <c r="L37" s="132"/>
      <c r="M37" s="132"/>
      <c r="N37" s="133"/>
      <c r="O37" s="132"/>
      <c r="P37" s="177" t="n">
        <v>1.967</v>
      </c>
      <c r="Q37" s="129"/>
      <c r="R37" s="137"/>
      <c r="S37" s="125" t="n">
        <v>85.6</v>
      </c>
      <c r="T37" s="32" t="n">
        <v>0</v>
      </c>
      <c r="U37" s="32" t="n">
        <v>0</v>
      </c>
      <c r="V37" s="135"/>
      <c r="W37" s="135"/>
      <c r="X37" s="125" t="n">
        <v>36.8</v>
      </c>
      <c r="Y37" s="125" t="n">
        <v>35.9</v>
      </c>
      <c r="Z37" s="32" t="n">
        <v>2.35</v>
      </c>
      <c r="AA37" s="32" t="n">
        <v>2.29</v>
      </c>
      <c r="AB37" s="125" t="n">
        <v>18.4</v>
      </c>
      <c r="AC37" s="125" t="n">
        <v>18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35.8405</v>
      </c>
      <c r="H38" s="131" t="n">
        <v>100</v>
      </c>
      <c r="I38" s="178" t="n">
        <v>100.4</v>
      </c>
      <c r="J38" s="124"/>
      <c r="K38" s="132"/>
      <c r="L38" s="132"/>
      <c r="M38" s="132"/>
      <c r="N38" s="133"/>
      <c r="O38" s="132"/>
      <c r="P38" s="177" t="n">
        <v>3.19</v>
      </c>
      <c r="Q38" s="140"/>
      <c r="R38" s="141"/>
      <c r="S38" s="125" t="n">
        <v>138.8</v>
      </c>
      <c r="T38" s="32" t="n">
        <v>0.08</v>
      </c>
      <c r="U38" s="32" t="n">
        <v>0.08</v>
      </c>
      <c r="V38" s="135"/>
      <c r="W38" s="135"/>
      <c r="X38" s="125" t="n">
        <v>14.1</v>
      </c>
      <c r="Y38" s="125" t="n">
        <v>13.8</v>
      </c>
      <c r="Z38" s="32" t="n">
        <v>1.05</v>
      </c>
      <c r="AA38" s="32" t="n">
        <v>1.02</v>
      </c>
      <c r="AB38" s="125" t="n">
        <v>2.9</v>
      </c>
      <c r="AC38" s="125" t="n">
        <v>2.8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35.8773</v>
      </c>
      <c r="H39" s="131" t="n">
        <v>100</v>
      </c>
      <c r="I39" s="178" t="n">
        <v>101</v>
      </c>
      <c r="J39" s="124"/>
      <c r="K39" s="132"/>
      <c r="L39" s="132"/>
      <c r="M39" s="132"/>
      <c r="N39" s="133"/>
      <c r="O39" s="132"/>
      <c r="P39" s="177" t="n">
        <v>3.248</v>
      </c>
      <c r="Q39" s="129"/>
      <c r="R39" s="137"/>
      <c r="S39" s="125" t="n">
        <v>141.4</v>
      </c>
      <c r="T39" s="32" t="n">
        <v>0.08</v>
      </c>
      <c r="U39" s="32" t="n">
        <v>0.08</v>
      </c>
      <c r="V39" s="135"/>
      <c r="W39" s="135"/>
      <c r="X39" s="125" t="n">
        <v>13.3</v>
      </c>
      <c r="Y39" s="125" t="n">
        <v>13</v>
      </c>
      <c r="Z39" s="32" t="n">
        <v>1</v>
      </c>
      <c r="AA39" s="32" t="n">
        <v>0.98</v>
      </c>
      <c r="AB39" s="125" t="n">
        <v>2.7</v>
      </c>
      <c r="AC39" s="125" t="n">
        <v>2.7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38" t="n">
        <v>36.3632</v>
      </c>
      <c r="H40" s="131" t="n">
        <v>80</v>
      </c>
      <c r="I40" s="131" t="n">
        <v>80.1</v>
      </c>
      <c r="J40" s="124"/>
      <c r="K40" s="132"/>
      <c r="L40" s="132"/>
      <c r="M40" s="132"/>
      <c r="N40" s="133"/>
      <c r="O40" s="132"/>
      <c r="P40" s="177" t="n">
        <v>4.534</v>
      </c>
      <c r="Q40" s="129"/>
      <c r="R40" s="137"/>
      <c r="S40" s="125" t="n">
        <v>197.5</v>
      </c>
      <c r="T40" s="32" t="n">
        <v>0.19</v>
      </c>
      <c r="U40" s="32" t="n">
        <v>0.19</v>
      </c>
      <c r="V40" s="135"/>
      <c r="W40" s="135"/>
      <c r="X40" s="125" t="n">
        <v>3.1</v>
      </c>
      <c r="Y40" s="125" t="n">
        <v>3.1</v>
      </c>
      <c r="Z40" s="32" t="n">
        <v>0.48</v>
      </c>
      <c r="AA40" s="32" t="n">
        <v>0.47</v>
      </c>
      <c r="AB40" s="125" t="n">
        <v>1.1</v>
      </c>
      <c r="AC40" s="125" t="n">
        <v>1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36.4026</v>
      </c>
      <c r="H41" s="131" t="n">
        <v>60</v>
      </c>
      <c r="I41" s="131" t="n">
        <v>60.2</v>
      </c>
      <c r="J41" s="124"/>
      <c r="K41" s="132"/>
      <c r="L41" s="132"/>
      <c r="M41" s="132"/>
      <c r="N41" s="133"/>
      <c r="O41" s="132"/>
      <c r="P41" s="177" t="n">
        <v>4.866</v>
      </c>
      <c r="Q41" s="129"/>
      <c r="R41" s="137"/>
      <c r="S41" s="125" t="n">
        <v>212.1</v>
      </c>
      <c r="T41" s="32" t="n">
        <v>0</v>
      </c>
      <c r="U41" s="32" t="n">
        <v>0</v>
      </c>
      <c r="V41" s="135"/>
      <c r="W41" s="135"/>
      <c r="X41" s="125" t="n">
        <v>0.2</v>
      </c>
      <c r="Y41" s="125" t="n">
        <v>0.2</v>
      </c>
      <c r="Z41" s="32" t="n">
        <v>0.16</v>
      </c>
      <c r="AA41" s="32" t="n">
        <v>0.16</v>
      </c>
      <c r="AB41" s="125" t="n">
        <v>0.5</v>
      </c>
      <c r="AC41" s="125" t="n">
        <v>0.5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36.4027</v>
      </c>
      <c r="H42" s="131" t="n">
        <v>40</v>
      </c>
      <c r="I42" s="131" t="n">
        <v>40.5</v>
      </c>
      <c r="J42" s="124"/>
      <c r="K42" s="132"/>
      <c r="L42" s="132"/>
      <c r="M42" s="132"/>
      <c r="N42" s="133"/>
      <c r="O42" s="132"/>
      <c r="P42" s="177" t="n">
        <v>4.827</v>
      </c>
      <c r="Q42" s="129"/>
      <c r="R42" s="137"/>
      <c r="S42" s="125" t="n">
        <v>210.4</v>
      </c>
      <c r="T42" s="32" t="n">
        <v>0</v>
      </c>
      <c r="U42" s="32" t="n">
        <v>0</v>
      </c>
      <c r="V42" s="135"/>
      <c r="W42" s="135"/>
      <c r="X42" s="125" t="n">
        <v>0.2</v>
      </c>
      <c r="Y42" s="125" t="n">
        <v>0.2</v>
      </c>
      <c r="Z42" s="32" t="n">
        <v>0.15</v>
      </c>
      <c r="AA42" s="32" t="n">
        <v>0.15</v>
      </c>
      <c r="AB42" s="125" t="n">
        <v>0.5</v>
      </c>
      <c r="AC42" s="125" t="n">
        <v>0.5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38" t="n">
        <v>36.4037</v>
      </c>
      <c r="H43" s="131" t="n">
        <v>20</v>
      </c>
      <c r="I43" s="131" t="n">
        <v>20.3</v>
      </c>
      <c r="J43" s="124"/>
      <c r="K43" s="132"/>
      <c r="L43" s="132"/>
      <c r="M43" s="132"/>
      <c r="N43" s="133"/>
      <c r="O43" s="132"/>
      <c r="P43" s="177" t="n">
        <v>4.92</v>
      </c>
      <c r="Q43" s="129"/>
      <c r="R43" s="137"/>
      <c r="S43" s="125" t="n">
        <v>214.4</v>
      </c>
      <c r="T43" s="32" t="n">
        <v>0</v>
      </c>
      <c r="U43" s="32" t="n">
        <v>0</v>
      </c>
      <c r="V43" s="135"/>
      <c r="W43" s="135"/>
      <c r="X43" s="125" t="n">
        <v>0.2</v>
      </c>
      <c r="Y43" s="125" t="n">
        <v>0.2</v>
      </c>
      <c r="Z43" s="32" t="n">
        <v>0.16</v>
      </c>
      <c r="AA43" s="32" t="n">
        <v>0.16</v>
      </c>
      <c r="AB43" s="125" t="n">
        <v>0.5</v>
      </c>
      <c r="AC43" s="125" t="n">
        <v>0.5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0" t="n">
        <v>36.4033</v>
      </c>
      <c r="H44" s="131" t="n">
        <v>10</v>
      </c>
      <c r="I44" s="131" t="n">
        <v>10.2</v>
      </c>
      <c r="J44" s="124"/>
      <c r="K44" s="132"/>
      <c r="L44" s="132"/>
      <c r="M44" s="132"/>
      <c r="N44" s="133"/>
      <c r="O44" s="132"/>
      <c r="P44" s="177" t="n">
        <v>4.832</v>
      </c>
      <c r="Q44" s="129"/>
      <c r="R44" s="137"/>
      <c r="S44" s="125" t="n">
        <v>210.6</v>
      </c>
      <c r="T44" s="32" t="n">
        <v>0.01</v>
      </c>
      <c r="U44" s="32" t="n">
        <v>0.01</v>
      </c>
      <c r="V44" s="135"/>
      <c r="W44" s="135"/>
      <c r="X44" s="125" t="n">
        <v>0.2</v>
      </c>
      <c r="Y44" s="125" t="n">
        <v>0.2</v>
      </c>
      <c r="Z44" s="32" t="n">
        <v>0.15</v>
      </c>
      <c r="AA44" s="32" t="n">
        <v>0.15</v>
      </c>
      <c r="AB44" s="125" t="n">
        <v>0.5</v>
      </c>
      <c r="AC44" s="125" t="n">
        <v>0.5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36.4036</v>
      </c>
      <c r="H45" s="131" t="n">
        <v>0</v>
      </c>
      <c r="I45" s="131" t="n">
        <v>2.2</v>
      </c>
      <c r="J45" s="124"/>
      <c r="K45" s="132"/>
      <c r="L45" s="132"/>
      <c r="M45" s="132"/>
      <c r="N45" s="133"/>
      <c r="O45" s="132"/>
      <c r="P45" s="177" t="n">
        <v>4.94</v>
      </c>
      <c r="Q45" s="129"/>
      <c r="R45" s="137"/>
      <c r="S45" s="125" t="n">
        <v>215.3</v>
      </c>
      <c r="T45" s="32" t="n">
        <v>0</v>
      </c>
      <c r="U45" s="32" t="n">
        <v>0</v>
      </c>
      <c r="V45" s="135"/>
      <c r="W45" s="135"/>
      <c r="X45" s="125" t="n">
        <v>0.2</v>
      </c>
      <c r="Y45" s="125" t="n">
        <v>0.2</v>
      </c>
      <c r="Z45" s="32" t="n">
        <v>0.15</v>
      </c>
      <c r="AA45" s="32" t="n">
        <v>0.15</v>
      </c>
      <c r="AB45" s="125" t="n">
        <v>0.4</v>
      </c>
      <c r="AC45" s="125" t="n">
        <v>0.4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6.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70"/>
      <c r="Y46" s="170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Y39" activeCellId="0" sqref="Y39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29.84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-8°29,84</v>
      </c>
      <c r="P9" s="29" t="s">
        <v>16</v>
      </c>
      <c r="Q9" s="33" t="n">
        <f aca="false">IF(ISBLANK(I9),"",IF(ISBLANK(J9),"",IF(J9&gt;60,"ERREUR !!",O11*(I9+(J9/60)))))</f>
        <v>-8.49733333333333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-10°0,18</v>
      </c>
      <c r="P10" s="29" t="s">
        <v>17</v>
      </c>
      <c r="Q10" s="33" t="n">
        <f aca="false">IF(ISBLANK(I10),"",IF(ISBLANK(J10),"",IF(J10&gt;60,"ERREUR !!",O12*(I10+(J10/60)))))</f>
        <v>-10.003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38982</v>
      </c>
      <c r="K11" s="38"/>
      <c r="L11" s="38"/>
      <c r="M11" s="38"/>
      <c r="N11" s="39" t="str">
        <f aca="false">I9&amp;"°"&amp;J9</f>
        <v>8°29,84</v>
      </c>
      <c r="O11" s="40" t="n">
        <f aca="false">IF(P9=M10,-1,1)</f>
        <v>-1</v>
      </c>
      <c r="P11" s="41" t="str">
        <f aca="false">TEXT(J11,"aaaa-mm-jj")&amp;"T"&amp;TEXT(J12,"hh:mm:ss")&amp;"z"</f>
        <v>2010-09-23T11:50:00z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0.493055555555556</v>
      </c>
      <c r="K12" s="45"/>
      <c r="L12" s="45"/>
      <c r="M12" s="45"/>
      <c r="N12" s="46" t="str">
        <f aca="false">I10&amp;"°"&amp;J10</f>
        <v>10°0,18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38" t="n">
        <v>34.94</v>
      </c>
      <c r="H35" s="118" t="n">
        <v>2000</v>
      </c>
      <c r="I35" s="131" t="n">
        <v>2001</v>
      </c>
      <c r="J35" s="119"/>
      <c r="K35" s="120"/>
      <c r="L35" s="120"/>
      <c r="M35" s="120"/>
      <c r="N35" s="121"/>
      <c r="O35" s="120"/>
      <c r="P35" s="174" t="n">
        <v>5.458</v>
      </c>
      <c r="Q35" s="119"/>
      <c r="R35" s="119"/>
      <c r="S35" s="175" t="n">
        <v>237.2</v>
      </c>
      <c r="T35" s="32" t="n">
        <v>0</v>
      </c>
      <c r="U35" s="32" t="n">
        <v>0</v>
      </c>
      <c r="V35" s="135"/>
      <c r="W35" s="135"/>
      <c r="X35" s="125" t="n">
        <v>22</v>
      </c>
      <c r="Y35" s="125" t="n">
        <v>21.5</v>
      </c>
      <c r="Z35" s="32" t="n">
        <v>1.45</v>
      </c>
      <c r="AA35" s="32" t="n">
        <v>1.42</v>
      </c>
      <c r="AB35" s="125" t="n">
        <v>28</v>
      </c>
      <c r="AC35" s="125" t="n">
        <v>27.4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34.5735</v>
      </c>
      <c r="H36" s="131" t="n">
        <v>1000</v>
      </c>
      <c r="I36" s="131" t="n">
        <v>1001</v>
      </c>
      <c r="J36" s="124"/>
      <c r="K36" s="132"/>
      <c r="L36" s="132"/>
      <c r="M36" s="132"/>
      <c r="N36" s="133"/>
      <c r="O36" s="132"/>
      <c r="P36" s="177" t="n">
        <v>3.472</v>
      </c>
      <c r="Q36" s="124"/>
      <c r="R36" s="124"/>
      <c r="S36" s="125" t="n">
        <v>151</v>
      </c>
      <c r="T36" s="32" t="n">
        <v>0</v>
      </c>
      <c r="U36" s="32" t="n">
        <v>0</v>
      </c>
      <c r="V36" s="135"/>
      <c r="W36" s="135"/>
      <c r="X36" s="125" t="n">
        <v>34.9</v>
      </c>
      <c r="Y36" s="125" t="n">
        <v>34.1</v>
      </c>
      <c r="Z36" s="32" t="n">
        <v>2.35</v>
      </c>
      <c r="AA36" s="32" t="n">
        <v>2.29</v>
      </c>
      <c r="AB36" s="125" t="n">
        <v>34.2</v>
      </c>
      <c r="AC36" s="125" t="n">
        <v>33.4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34.6804</v>
      </c>
      <c r="H37" s="131" t="n">
        <v>500</v>
      </c>
      <c r="I37" s="179" t="n">
        <v>501</v>
      </c>
      <c r="J37" s="124"/>
      <c r="K37" s="132"/>
      <c r="L37" s="132"/>
      <c r="M37" s="132"/>
      <c r="N37" s="133"/>
      <c r="O37" s="132"/>
      <c r="P37" s="177" t="n">
        <v>1.956</v>
      </c>
      <c r="Q37" s="124"/>
      <c r="R37" s="124"/>
      <c r="S37" s="125" t="n">
        <v>85.1</v>
      </c>
      <c r="T37" s="32" t="n">
        <v>0</v>
      </c>
      <c r="U37" s="32" t="n">
        <v>0</v>
      </c>
      <c r="V37" s="135"/>
      <c r="W37" s="135"/>
      <c r="X37" s="125" t="n">
        <v>36.6</v>
      </c>
      <c r="Y37" s="125" t="n">
        <v>35.8</v>
      </c>
      <c r="Z37" s="32" t="n">
        <v>2.32</v>
      </c>
      <c r="AA37" s="32" t="n">
        <v>2.26</v>
      </c>
      <c r="AB37" s="125" t="n">
        <v>18.4</v>
      </c>
      <c r="AC37" s="125" t="n">
        <v>17.9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35.6998</v>
      </c>
      <c r="H38" s="131" t="n">
        <v>100</v>
      </c>
      <c r="I38" s="179" t="n">
        <v>100</v>
      </c>
      <c r="J38" s="124"/>
      <c r="K38" s="132"/>
      <c r="L38" s="132"/>
      <c r="M38" s="132"/>
      <c r="N38" s="133"/>
      <c r="O38" s="132"/>
      <c r="P38" s="177" t="n">
        <v>2.687</v>
      </c>
      <c r="Q38" s="124"/>
      <c r="R38" s="124"/>
      <c r="S38" s="125" t="n">
        <v>117</v>
      </c>
      <c r="T38" s="32" t="n">
        <v>0.03</v>
      </c>
      <c r="U38" s="32" t="n">
        <v>0.03</v>
      </c>
      <c r="V38" s="135"/>
      <c r="W38" s="135"/>
      <c r="X38" s="125" t="n">
        <v>17.8</v>
      </c>
      <c r="Y38" s="125" t="n">
        <v>17.4</v>
      </c>
      <c r="Z38" s="32" t="n">
        <v>1.21</v>
      </c>
      <c r="AA38" s="32" t="n">
        <v>1.18</v>
      </c>
      <c r="AB38" s="125" t="n">
        <v>4.2</v>
      </c>
      <c r="AC38" s="125" t="n">
        <v>4.1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36.0573</v>
      </c>
      <c r="H39" s="131" t="n">
        <v>80</v>
      </c>
      <c r="I39" s="178" t="n">
        <v>79</v>
      </c>
      <c r="J39" s="124"/>
      <c r="K39" s="132"/>
      <c r="L39" s="132"/>
      <c r="M39" s="132"/>
      <c r="N39" s="133"/>
      <c r="O39" s="132"/>
      <c r="P39" s="177" t="n">
        <v>3.591</v>
      </c>
      <c r="Q39" s="124"/>
      <c r="R39" s="124"/>
      <c r="S39" s="125" t="n">
        <v>156.4</v>
      </c>
      <c r="T39" s="32" t="n">
        <v>0.12</v>
      </c>
      <c r="U39" s="32" t="n">
        <v>0.12</v>
      </c>
      <c r="V39" s="135"/>
      <c r="W39" s="135"/>
      <c r="X39" s="125" t="n">
        <v>9.7</v>
      </c>
      <c r="Y39" s="125" t="n">
        <v>9.4</v>
      </c>
      <c r="Z39" s="32" t="n">
        <v>0.79</v>
      </c>
      <c r="AA39" s="32" t="n">
        <v>0.77</v>
      </c>
      <c r="AB39" s="125" t="n">
        <v>2.2</v>
      </c>
      <c r="AC39" s="125" t="n">
        <v>2.1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38" t="n">
        <v>36.0501</v>
      </c>
      <c r="H40" s="131" t="n">
        <v>80</v>
      </c>
      <c r="I40" s="178" t="n">
        <v>79</v>
      </c>
      <c r="J40" s="124"/>
      <c r="K40" s="132"/>
      <c r="L40" s="132"/>
      <c r="M40" s="132"/>
      <c r="N40" s="133"/>
      <c r="O40" s="132"/>
      <c r="P40" s="177" t="n">
        <v>3.58</v>
      </c>
      <c r="Q40" s="124"/>
      <c r="R40" s="124"/>
      <c r="S40" s="125" t="n">
        <v>155.9</v>
      </c>
      <c r="T40" s="32" t="n">
        <v>0.1</v>
      </c>
      <c r="U40" s="32" t="n">
        <v>0.1</v>
      </c>
      <c r="V40" s="135"/>
      <c r="W40" s="135"/>
      <c r="X40" s="125" t="n">
        <v>9.8</v>
      </c>
      <c r="Y40" s="125" t="n">
        <v>9.6</v>
      </c>
      <c r="Z40" s="32" t="n">
        <v>0.79</v>
      </c>
      <c r="AA40" s="32" t="n">
        <v>0.77</v>
      </c>
      <c r="AB40" s="125" t="n">
        <v>2</v>
      </c>
      <c r="AC40" s="125" t="n">
        <v>2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36.4325</v>
      </c>
      <c r="H41" s="131" t="n">
        <v>60</v>
      </c>
      <c r="I41" s="131" t="n">
        <v>60</v>
      </c>
      <c r="J41" s="124"/>
      <c r="K41" s="132"/>
      <c r="L41" s="132"/>
      <c r="M41" s="132"/>
      <c r="N41" s="133"/>
      <c r="O41" s="132"/>
      <c r="P41" s="177" t="n">
        <v>4.665</v>
      </c>
      <c r="Q41" s="124"/>
      <c r="R41" s="124"/>
      <c r="S41" s="125" t="n">
        <v>203.2</v>
      </c>
      <c r="T41" s="32" t="n">
        <v>0.05</v>
      </c>
      <c r="U41" s="32" t="n">
        <v>0.05</v>
      </c>
      <c r="V41" s="135"/>
      <c r="W41" s="135"/>
      <c r="X41" s="125" t="n">
        <v>1.2</v>
      </c>
      <c r="Y41" s="125" t="n">
        <v>1.2</v>
      </c>
      <c r="Z41" s="32" t="n">
        <v>0.31</v>
      </c>
      <c r="AA41" s="32" t="n">
        <v>0.31</v>
      </c>
      <c r="AB41" s="125" t="n">
        <v>0.8</v>
      </c>
      <c r="AC41" s="125" t="n">
        <v>0.8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36.4911</v>
      </c>
      <c r="H42" s="131" t="n">
        <v>40</v>
      </c>
      <c r="I42" s="131" t="n">
        <v>40</v>
      </c>
      <c r="J42" s="124"/>
      <c r="K42" s="132"/>
      <c r="L42" s="132"/>
      <c r="M42" s="132"/>
      <c r="N42" s="133"/>
      <c r="O42" s="132"/>
      <c r="P42" s="177" t="n">
        <v>4.799</v>
      </c>
      <c r="Q42" s="124"/>
      <c r="R42" s="124"/>
      <c r="S42" s="125" t="n">
        <v>209.1</v>
      </c>
      <c r="T42" s="32" t="n">
        <v>0</v>
      </c>
      <c r="U42" s="32" t="n">
        <v>0</v>
      </c>
      <c r="V42" s="135"/>
      <c r="W42" s="135"/>
      <c r="X42" s="125" t="n">
        <v>0</v>
      </c>
      <c r="Y42" s="125" t="n">
        <v>0</v>
      </c>
      <c r="Z42" s="32" t="n">
        <v>0.13</v>
      </c>
      <c r="AA42" s="32" t="n">
        <v>0.13</v>
      </c>
      <c r="AB42" s="125" t="n">
        <v>0.5</v>
      </c>
      <c r="AC42" s="125" t="n">
        <v>0.4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38" t="n">
        <v>36.4919</v>
      </c>
      <c r="H43" s="131" t="n">
        <v>20</v>
      </c>
      <c r="I43" s="131" t="n">
        <v>19.9</v>
      </c>
      <c r="J43" s="124"/>
      <c r="K43" s="132"/>
      <c r="L43" s="132"/>
      <c r="M43" s="132"/>
      <c r="N43" s="133"/>
      <c r="O43" s="132"/>
      <c r="P43" s="177" t="n">
        <v>4.799</v>
      </c>
      <c r="Q43" s="124"/>
      <c r="R43" s="124"/>
      <c r="S43" s="125" t="n">
        <v>209.1</v>
      </c>
      <c r="T43" s="32" t="n">
        <v>0</v>
      </c>
      <c r="U43" s="32" t="n">
        <v>0</v>
      </c>
      <c r="V43" s="135"/>
      <c r="W43" s="135"/>
      <c r="X43" s="125" t="n">
        <v>0</v>
      </c>
      <c r="Y43" s="125" t="n">
        <v>0</v>
      </c>
      <c r="Z43" s="32" t="n">
        <v>0.12</v>
      </c>
      <c r="AA43" s="32" t="n">
        <v>0.12</v>
      </c>
      <c r="AB43" s="125" t="n">
        <v>0.5</v>
      </c>
      <c r="AC43" s="125" t="n">
        <v>0.5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0" t="n">
        <v>36.4917</v>
      </c>
      <c r="H44" s="131" t="n">
        <v>10</v>
      </c>
      <c r="I44" s="131" t="n">
        <v>9.7</v>
      </c>
      <c r="J44" s="124"/>
      <c r="K44" s="132"/>
      <c r="L44" s="132"/>
      <c r="M44" s="132"/>
      <c r="N44" s="133"/>
      <c r="O44" s="132"/>
      <c r="P44" s="177" t="n">
        <v>4.801</v>
      </c>
      <c r="Q44" s="124"/>
      <c r="R44" s="124"/>
      <c r="S44" s="125" t="n">
        <v>209.2</v>
      </c>
      <c r="T44" s="32" t="n">
        <v>0</v>
      </c>
      <c r="U44" s="32" t="n">
        <v>0</v>
      </c>
      <c r="V44" s="135"/>
      <c r="W44" s="135"/>
      <c r="X44" s="125" t="n">
        <v>0</v>
      </c>
      <c r="Y44" s="125" t="n">
        <v>0</v>
      </c>
      <c r="Z44" s="32" t="n">
        <v>0.12</v>
      </c>
      <c r="AA44" s="32" t="n">
        <v>0.12</v>
      </c>
      <c r="AB44" s="125" t="n">
        <v>0.5</v>
      </c>
      <c r="AC44" s="125" t="n">
        <v>0.5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36.4922</v>
      </c>
      <c r="H45" s="131" t="n">
        <v>0</v>
      </c>
      <c r="I45" s="131" t="n">
        <v>1.7</v>
      </c>
      <c r="J45" s="124"/>
      <c r="K45" s="132"/>
      <c r="L45" s="132"/>
      <c r="M45" s="132"/>
      <c r="N45" s="133"/>
      <c r="O45" s="132"/>
      <c r="P45" s="177" t="n">
        <v>4.803</v>
      </c>
      <c r="Q45" s="124"/>
      <c r="R45" s="124"/>
      <c r="S45" s="125" t="n">
        <v>209.3</v>
      </c>
      <c r="T45" s="32" t="n">
        <v>0</v>
      </c>
      <c r="U45" s="32" t="n">
        <v>0</v>
      </c>
      <c r="V45" s="135"/>
      <c r="W45" s="135"/>
      <c r="X45" s="125" t="n">
        <v>0.1</v>
      </c>
      <c r="Y45" s="125" t="n">
        <v>0.1</v>
      </c>
      <c r="Z45" s="32" t="n">
        <v>0.13</v>
      </c>
      <c r="AA45" s="32" t="n">
        <v>0.13</v>
      </c>
      <c r="AB45" s="125" t="n">
        <v>0.4</v>
      </c>
      <c r="AC45" s="125" t="n">
        <v>0.4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A45" activeCellId="0" sqref="AA45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36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0.02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-8°0,02</v>
      </c>
      <c r="P9" s="29" t="s">
        <v>16</v>
      </c>
      <c r="Q9" s="33" t="n">
        <f aca="false">IF(ISBLANK(I9),"",IF(ISBLANK(J9),"",IF(J9&gt;60,"ERREUR !!",O11*(I9+(J9/60)))))</f>
        <v>-8.00033333333333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0.21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-10°0,21</v>
      </c>
      <c r="P10" s="29" t="s">
        <v>17</v>
      </c>
      <c r="Q10" s="33" t="n">
        <f aca="false">IF(ISBLANK(I10),"",IF(ISBLANK(J10),"",IF(J10&gt;60,"ERREUR !!",O12*(I10+(J10/60)))))</f>
        <v>-10.0035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38982</v>
      </c>
      <c r="K11" s="38"/>
      <c r="L11" s="38"/>
      <c r="M11" s="38"/>
      <c r="N11" s="39" t="str">
        <f aca="false">I9&amp;"°"&amp;J9</f>
        <v>8°0,02</v>
      </c>
      <c r="O11" s="40" t="n">
        <f aca="false">IF(P9=M10,-1,1)</f>
        <v>-1</v>
      </c>
      <c r="P11" s="41" t="str">
        <f aca="false">TEXT(J11,"aaaa-mm-jj")&amp;"T"&amp;TEXT(J12,"hh:mm:ss")&amp;"z"</f>
        <v>2010-09-23T17:35:00z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0.732638888888889</v>
      </c>
      <c r="K12" s="45"/>
      <c r="L12" s="45"/>
      <c r="M12" s="45"/>
      <c r="N12" s="46" t="str">
        <f aca="false">I10&amp;"°"&amp;J10</f>
        <v>10°0,21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38" t="n">
        <v>34.942</v>
      </c>
      <c r="H35" s="118" t="n">
        <v>2000</v>
      </c>
      <c r="I35" s="131" t="n">
        <v>2000.2</v>
      </c>
      <c r="J35" s="119"/>
      <c r="K35" s="120"/>
      <c r="L35" s="120"/>
      <c r="M35" s="120"/>
      <c r="N35" s="121"/>
      <c r="O35" s="120"/>
      <c r="P35" s="174" t="n">
        <v>5.497</v>
      </c>
      <c r="Q35" s="119"/>
      <c r="R35" s="119"/>
      <c r="S35" s="175" t="n">
        <v>238.9</v>
      </c>
      <c r="T35" s="32" t="n">
        <v>0.01</v>
      </c>
      <c r="U35" s="32" t="n">
        <v>0.01</v>
      </c>
      <c r="V35" s="135"/>
      <c r="W35" s="135"/>
      <c r="X35" s="125" t="n">
        <v>21.6</v>
      </c>
      <c r="Y35" s="125" t="n">
        <v>21.1</v>
      </c>
      <c r="Z35" s="32" t="n">
        <v>1.37</v>
      </c>
      <c r="AA35" s="32" t="n">
        <v>1.34</v>
      </c>
      <c r="AB35" s="125" t="n">
        <v>25.2</v>
      </c>
      <c r="AC35" s="125" t="n">
        <v>24.6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34.592</v>
      </c>
      <c r="H36" s="131" t="n">
        <v>1000</v>
      </c>
      <c r="I36" s="131" t="n">
        <v>998.6</v>
      </c>
      <c r="J36" s="124"/>
      <c r="K36" s="132"/>
      <c r="L36" s="132"/>
      <c r="M36" s="132"/>
      <c r="N36" s="133"/>
      <c r="O36" s="132"/>
      <c r="P36" s="177" t="n">
        <v>3.531</v>
      </c>
      <c r="Q36" s="124"/>
      <c r="R36" s="124"/>
      <c r="S36" s="125" t="n">
        <v>153.5</v>
      </c>
      <c r="T36" s="32" t="n">
        <v>0.01</v>
      </c>
      <c r="U36" s="32" t="n">
        <v>0.01</v>
      </c>
      <c r="V36" s="135"/>
      <c r="W36" s="135"/>
      <c r="X36" s="125" t="n">
        <v>34.5</v>
      </c>
      <c r="Y36" s="125" t="n">
        <v>33.7</v>
      </c>
      <c r="Z36" s="32" t="n">
        <v>2.26</v>
      </c>
      <c r="AA36" s="32" t="n">
        <v>2.21</v>
      </c>
      <c r="AB36" s="125" t="n">
        <v>32.5</v>
      </c>
      <c r="AC36" s="125" t="n">
        <v>31.8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34.6398</v>
      </c>
      <c r="H37" s="131" t="n">
        <v>500</v>
      </c>
      <c r="I37" s="179" t="n">
        <v>499.8</v>
      </c>
      <c r="J37" s="124"/>
      <c r="K37" s="132"/>
      <c r="L37" s="132"/>
      <c r="M37" s="132"/>
      <c r="N37" s="133"/>
      <c r="O37" s="132"/>
      <c r="P37" s="177" t="n">
        <v>1.78</v>
      </c>
      <c r="Q37" s="124"/>
      <c r="R37" s="124"/>
      <c r="S37" s="125" t="n">
        <v>77.4</v>
      </c>
      <c r="T37" s="32" t="n">
        <v>0.01</v>
      </c>
      <c r="U37" s="32" t="n">
        <v>0.01</v>
      </c>
      <c r="V37" s="135"/>
      <c r="W37" s="135"/>
      <c r="X37" s="125" t="n">
        <v>38.1</v>
      </c>
      <c r="Y37" s="125" t="n">
        <v>37.2</v>
      </c>
      <c r="Z37" s="32" t="n">
        <v>2.53</v>
      </c>
      <c r="AA37" s="32" t="n">
        <v>2.47</v>
      </c>
      <c r="AB37" s="125" t="n">
        <v>20</v>
      </c>
      <c r="AC37" s="125" t="n">
        <v>19.5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35.6729</v>
      </c>
      <c r="H38" s="131" t="n">
        <v>100</v>
      </c>
      <c r="I38" s="179" t="n">
        <v>100.7</v>
      </c>
      <c r="J38" s="124"/>
      <c r="K38" s="132"/>
      <c r="L38" s="132"/>
      <c r="M38" s="132"/>
      <c r="N38" s="133"/>
      <c r="O38" s="132"/>
      <c r="P38" s="177" t="n">
        <v>2.533</v>
      </c>
      <c r="Q38" s="124"/>
      <c r="R38" s="124"/>
      <c r="S38" s="125" t="n">
        <v>110.3</v>
      </c>
      <c r="T38" s="32" t="n">
        <v>0.04</v>
      </c>
      <c r="U38" s="32" t="n">
        <v>0.03</v>
      </c>
      <c r="V38" s="135"/>
      <c r="W38" s="135"/>
      <c r="X38" s="125" t="n">
        <v>18.5</v>
      </c>
      <c r="Y38" s="125" t="n">
        <v>18</v>
      </c>
      <c r="Z38" s="32" t="n">
        <v>1.17</v>
      </c>
      <c r="AA38" s="32" t="n">
        <v>1.15</v>
      </c>
      <c r="AB38" s="125" t="n">
        <v>3.4</v>
      </c>
      <c r="AC38" s="125" t="n">
        <v>3.3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36.0004</v>
      </c>
      <c r="H39" s="131" t="n">
        <v>80</v>
      </c>
      <c r="I39" s="179" t="n">
        <v>80.7</v>
      </c>
      <c r="J39" s="124"/>
      <c r="K39" s="132"/>
      <c r="L39" s="132"/>
      <c r="M39" s="132"/>
      <c r="N39" s="133"/>
      <c r="O39" s="132"/>
      <c r="P39" s="177" t="n">
        <v>3.401</v>
      </c>
      <c r="Q39" s="124"/>
      <c r="R39" s="124"/>
      <c r="S39" s="125" t="n">
        <v>148.1</v>
      </c>
      <c r="T39" s="32" t="n">
        <v>0.12</v>
      </c>
      <c r="U39" s="32" t="n">
        <v>0.11</v>
      </c>
      <c r="V39" s="135"/>
      <c r="W39" s="135"/>
      <c r="X39" s="125" t="n">
        <v>11.1</v>
      </c>
      <c r="Y39" s="125" t="n">
        <v>10.8</v>
      </c>
      <c r="Z39" s="32" t="n">
        <v>0.83</v>
      </c>
      <c r="AA39" s="32" t="n">
        <v>0.81</v>
      </c>
      <c r="AB39" s="125" t="n">
        <v>2.1</v>
      </c>
      <c r="AC39" s="125" t="n">
        <v>2.1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38" t="n">
        <v>36.407</v>
      </c>
      <c r="H40" s="131" t="n">
        <v>60</v>
      </c>
      <c r="I40" s="178" t="n">
        <v>60.6</v>
      </c>
      <c r="J40" s="124"/>
      <c r="K40" s="132"/>
      <c r="L40" s="132"/>
      <c r="M40" s="132"/>
      <c r="N40" s="133"/>
      <c r="O40" s="132"/>
      <c r="P40" s="177" t="n">
        <v>4.763</v>
      </c>
      <c r="Q40" s="124"/>
      <c r="R40" s="124"/>
      <c r="S40" s="125" t="n">
        <v>207.5</v>
      </c>
      <c r="T40" s="32" t="n">
        <v>0.02</v>
      </c>
      <c r="U40" s="32" t="n">
        <v>0.01</v>
      </c>
      <c r="V40" s="135"/>
      <c r="W40" s="135"/>
      <c r="X40" s="125" t="n">
        <v>0.3</v>
      </c>
      <c r="Y40" s="125" t="n">
        <v>0.3</v>
      </c>
      <c r="Z40" s="32" t="n">
        <v>0.14</v>
      </c>
      <c r="AA40" s="32" t="n">
        <v>0.14</v>
      </c>
      <c r="AB40" s="125" t="n">
        <v>0.6</v>
      </c>
      <c r="AC40" s="125" t="n">
        <v>0.6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7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36.4068</v>
      </c>
      <c r="H41" s="131" t="n">
        <v>60</v>
      </c>
      <c r="I41" s="178" t="n">
        <v>59.9</v>
      </c>
      <c r="J41" s="124"/>
      <c r="K41" s="132"/>
      <c r="L41" s="132"/>
      <c r="M41" s="132"/>
      <c r="N41" s="133"/>
      <c r="O41" s="132"/>
      <c r="P41" s="177" t="n">
        <v>4.817</v>
      </c>
      <c r="Q41" s="124"/>
      <c r="R41" s="124"/>
      <c r="S41" s="125" t="n">
        <v>209.9</v>
      </c>
      <c r="T41" s="32" t="n">
        <v>0.01</v>
      </c>
      <c r="U41" s="32" t="n">
        <v>0.01</v>
      </c>
      <c r="V41" s="135"/>
      <c r="W41" s="135"/>
      <c r="X41" s="125" t="n">
        <v>0.1</v>
      </c>
      <c r="Y41" s="125" t="n">
        <v>0.1</v>
      </c>
      <c r="Z41" s="32" t="n">
        <v>0.14</v>
      </c>
      <c r="AA41" s="32" t="n">
        <v>0.14</v>
      </c>
      <c r="AB41" s="125" t="n">
        <v>0.6</v>
      </c>
      <c r="AC41" s="125" t="n">
        <v>0.6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36.4028</v>
      </c>
      <c r="H42" s="131" t="n">
        <v>40</v>
      </c>
      <c r="I42" s="131" t="n">
        <v>40.2</v>
      </c>
      <c r="J42" s="124"/>
      <c r="K42" s="132"/>
      <c r="L42" s="132"/>
      <c r="M42" s="132"/>
      <c r="N42" s="133"/>
      <c r="O42" s="132"/>
      <c r="P42" s="177" t="n">
        <v>4.827</v>
      </c>
      <c r="Q42" s="124"/>
      <c r="R42" s="124"/>
      <c r="S42" s="125" t="n">
        <v>210.4</v>
      </c>
      <c r="T42" s="32" t="n">
        <v>0.01</v>
      </c>
      <c r="U42" s="32" t="n">
        <v>0.01</v>
      </c>
      <c r="V42" s="135"/>
      <c r="W42" s="135"/>
      <c r="X42" s="125" t="n">
        <v>0.1</v>
      </c>
      <c r="Y42" s="125" t="n">
        <v>0.1</v>
      </c>
      <c r="Z42" s="32" t="n">
        <v>0.11</v>
      </c>
      <c r="AA42" s="32" t="n">
        <v>0.11</v>
      </c>
      <c r="AB42" s="125" t="n">
        <v>0.6</v>
      </c>
      <c r="AC42" s="125" t="n">
        <v>0.5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38" t="n">
        <v>36.4036</v>
      </c>
      <c r="H43" s="131" t="n">
        <v>20</v>
      </c>
      <c r="I43" s="131" t="n">
        <v>20.5</v>
      </c>
      <c r="J43" s="124"/>
      <c r="K43" s="132"/>
      <c r="L43" s="132"/>
      <c r="M43" s="132"/>
      <c r="N43" s="133"/>
      <c r="O43" s="132"/>
      <c r="P43" s="177" t="n">
        <v>4.825</v>
      </c>
      <c r="Q43" s="124"/>
      <c r="R43" s="124"/>
      <c r="S43" s="125" t="n">
        <v>210.3</v>
      </c>
      <c r="T43" s="32" t="n">
        <v>0</v>
      </c>
      <c r="U43" s="32" t="n">
        <v>0</v>
      </c>
      <c r="V43" s="135"/>
      <c r="W43" s="135"/>
      <c r="X43" s="125" t="n">
        <v>0.1</v>
      </c>
      <c r="Y43" s="125" t="n">
        <v>0.1</v>
      </c>
      <c r="Z43" s="32" t="n">
        <v>0.14</v>
      </c>
      <c r="AA43" s="32" t="n">
        <v>0.14</v>
      </c>
      <c r="AB43" s="125" t="n">
        <v>0.5</v>
      </c>
      <c r="AC43" s="125" t="n">
        <v>0.5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0" t="n">
        <v>36.4045</v>
      </c>
      <c r="H44" s="131" t="n">
        <v>10</v>
      </c>
      <c r="I44" s="131" t="n">
        <v>10</v>
      </c>
      <c r="J44" s="124"/>
      <c r="K44" s="132"/>
      <c r="L44" s="132"/>
      <c r="M44" s="132"/>
      <c r="N44" s="133"/>
      <c r="O44" s="132"/>
      <c r="P44" s="177" t="n">
        <v>4.855</v>
      </c>
      <c r="Q44" s="124"/>
      <c r="R44" s="124"/>
      <c r="S44" s="125" t="n">
        <v>211.6</v>
      </c>
      <c r="T44" s="32" t="n">
        <v>0</v>
      </c>
      <c r="U44" s="32" t="n">
        <v>0</v>
      </c>
      <c r="V44" s="135"/>
      <c r="W44" s="135"/>
      <c r="X44" s="125" t="n">
        <v>0.1</v>
      </c>
      <c r="Y44" s="125" t="n">
        <v>0.1</v>
      </c>
      <c r="Z44" s="32" t="n">
        <v>0.16</v>
      </c>
      <c r="AA44" s="32" t="n">
        <v>0.15</v>
      </c>
      <c r="AB44" s="125" t="n">
        <v>0.5</v>
      </c>
      <c r="AC44" s="125" t="n">
        <v>0.5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36.4045</v>
      </c>
      <c r="H45" s="131" t="n">
        <v>0</v>
      </c>
      <c r="I45" s="131" t="n">
        <v>1.7</v>
      </c>
      <c r="J45" s="124"/>
      <c r="K45" s="132"/>
      <c r="L45" s="132"/>
      <c r="M45" s="132"/>
      <c r="N45" s="133"/>
      <c r="O45" s="132"/>
      <c r="P45" s="177" t="n">
        <v>4.821</v>
      </c>
      <c r="Q45" s="124"/>
      <c r="R45" s="124"/>
      <c r="S45" s="125" t="n">
        <v>210.1</v>
      </c>
      <c r="T45" s="32" t="n">
        <v>0.01</v>
      </c>
      <c r="U45" s="32" t="n">
        <v>0.01</v>
      </c>
      <c r="V45" s="135"/>
      <c r="W45" s="135"/>
      <c r="X45" s="125" t="n">
        <v>0.1</v>
      </c>
      <c r="Y45" s="125" t="n">
        <v>0.1</v>
      </c>
      <c r="Z45" s="32" t="n">
        <v>0.14</v>
      </c>
      <c r="AA45" s="32" t="n">
        <v>0.14</v>
      </c>
      <c r="AB45" s="125" t="n">
        <v>0.5</v>
      </c>
      <c r="AC45" s="125" t="n">
        <v>0.4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R13" colorId="64" zoomScale="100" zoomScaleNormal="100" zoomScalePageLayoutView="100" workbookViewId="0">
      <selection pane="topLeft" activeCell="Z49" activeCellId="0" sqref="Z49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7</v>
      </c>
      <c r="J9" s="29" t="n">
        <v>29.85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-7°29,85</v>
      </c>
      <c r="P9" s="29" t="s">
        <v>16</v>
      </c>
      <c r="Q9" s="33" t="n">
        <f aca="false">IF(ISBLANK(I9),"",IF(ISBLANK(J9),"",IF(J9&gt;60,"ERREUR !!",O11*(I9+(J9/60)))))</f>
        <v>-7.4975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0.24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-10°0,24</v>
      </c>
      <c r="P10" s="29" t="s">
        <v>17</v>
      </c>
      <c r="Q10" s="33" t="n">
        <f aca="false">IF(ISBLANK(I10),"",IF(ISBLANK(J10),"",IF(J10&gt;60,"ERREUR !!",O12*(I10+(J10/60)))))</f>
        <v>-10.004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38982</v>
      </c>
      <c r="K11" s="38"/>
      <c r="L11" s="38"/>
      <c r="M11" s="38"/>
      <c r="N11" s="39" t="str">
        <f aca="false">I9&amp;"°"&amp;J9</f>
        <v>7°29,85</v>
      </c>
      <c r="O11" s="40" t="n">
        <f aca="false">IF(P9=M10,-1,1)</f>
        <v>-1</v>
      </c>
      <c r="P11" s="41" t="str">
        <f aca="false">TEXT(J11,"aaaa-mm-jj")&amp;"T"&amp;TEXT(J12,"hh:mm:ss")&amp;"z"</f>
        <v>2010-09-23T23:15:00z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0.96875</v>
      </c>
      <c r="K12" s="45"/>
      <c r="L12" s="45"/>
      <c r="M12" s="45"/>
      <c r="N12" s="46" t="str">
        <f aca="false">I10&amp;"°"&amp;J10</f>
        <v>10°0,24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34.9437</v>
      </c>
      <c r="H35" s="118" t="n">
        <v>2000</v>
      </c>
      <c r="I35" s="131" t="n">
        <v>2001</v>
      </c>
      <c r="J35" s="119"/>
      <c r="K35" s="120"/>
      <c r="L35" s="120"/>
      <c r="M35" s="120"/>
      <c r="N35" s="121"/>
      <c r="O35" s="120"/>
      <c r="P35" s="174" t="n">
        <v>5.504</v>
      </c>
      <c r="Q35" s="119"/>
      <c r="R35" s="119"/>
      <c r="S35" s="175" t="n">
        <v>239.2</v>
      </c>
      <c r="T35" s="32" t="n">
        <v>0.01</v>
      </c>
      <c r="U35" s="32" t="n">
        <v>0</v>
      </c>
      <c r="V35" s="135"/>
      <c r="W35" s="135"/>
      <c r="X35" s="125" t="n">
        <v>21.6</v>
      </c>
      <c r="Y35" s="125" t="n">
        <v>21.1</v>
      </c>
      <c r="Z35" s="32" t="n">
        <v>1.41</v>
      </c>
      <c r="AA35" s="32" t="n">
        <v>1.38</v>
      </c>
      <c r="AB35" s="125" t="n">
        <v>24.4</v>
      </c>
      <c r="AC35" s="125" t="n">
        <v>23.9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34.615</v>
      </c>
      <c r="H36" s="131" t="n">
        <v>1000</v>
      </c>
      <c r="I36" s="131" t="n">
        <v>1000.5</v>
      </c>
      <c r="J36" s="124"/>
      <c r="K36" s="132"/>
      <c r="L36" s="132"/>
      <c r="M36" s="132"/>
      <c r="N36" s="133"/>
      <c r="O36" s="132"/>
      <c r="P36" s="177" t="n">
        <v>3.624</v>
      </c>
      <c r="Q36" s="124"/>
      <c r="R36" s="124"/>
      <c r="S36" s="125" t="n">
        <v>157.6</v>
      </c>
      <c r="T36" s="32" t="n">
        <v>0.01</v>
      </c>
      <c r="U36" s="32" t="n">
        <v>0.01</v>
      </c>
      <c r="V36" s="135"/>
      <c r="W36" s="135"/>
      <c r="X36" s="125" t="n">
        <v>33.7</v>
      </c>
      <c r="Y36" s="125" t="n">
        <v>32.9</v>
      </c>
      <c r="Z36" s="32" t="n">
        <v>2.26</v>
      </c>
      <c r="AA36" s="32" t="n">
        <v>2.21</v>
      </c>
      <c r="AB36" s="125" t="n">
        <v>32.9</v>
      </c>
      <c r="AC36" s="125" t="n">
        <v>32.1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34.6843</v>
      </c>
      <c r="H37" s="131" t="n">
        <v>500</v>
      </c>
      <c r="I37" s="179" t="n">
        <v>501</v>
      </c>
      <c r="J37" s="124"/>
      <c r="K37" s="132"/>
      <c r="L37" s="132"/>
      <c r="M37" s="132"/>
      <c r="N37" s="133"/>
      <c r="O37" s="132"/>
      <c r="P37" s="177" t="n">
        <v>1.649</v>
      </c>
      <c r="Q37" s="124"/>
      <c r="R37" s="124"/>
      <c r="S37" s="125" t="n">
        <v>71.7</v>
      </c>
      <c r="T37" s="32" t="n">
        <v>0</v>
      </c>
      <c r="U37" s="32" t="n">
        <v>0</v>
      </c>
      <c r="V37" s="135"/>
      <c r="W37" s="135"/>
      <c r="X37" s="125" t="n">
        <v>37.9</v>
      </c>
      <c r="Y37" s="125" t="n">
        <v>37</v>
      </c>
      <c r="Z37" s="32" t="n">
        <v>2.33</v>
      </c>
      <c r="AA37" s="32" t="n">
        <v>2.28</v>
      </c>
      <c r="AB37" s="125" t="n">
        <v>19</v>
      </c>
      <c r="AC37" s="125" t="n">
        <v>18.6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35.6433</v>
      </c>
      <c r="H38" s="131" t="n">
        <v>100</v>
      </c>
      <c r="I38" s="179" t="n">
        <v>100</v>
      </c>
      <c r="J38" s="124"/>
      <c r="K38" s="132"/>
      <c r="L38" s="132"/>
      <c r="M38" s="132"/>
      <c r="N38" s="133"/>
      <c r="O38" s="132"/>
      <c r="P38" s="177" t="n">
        <v>2.402</v>
      </c>
      <c r="Q38" s="124"/>
      <c r="R38" s="124"/>
      <c r="S38" s="125" t="n">
        <v>104.5</v>
      </c>
      <c r="T38" s="32" t="n">
        <v>0.03</v>
      </c>
      <c r="U38" s="32" t="n">
        <v>0.03</v>
      </c>
      <c r="V38" s="135"/>
      <c r="W38" s="135"/>
      <c r="X38" s="125" t="n">
        <v>19.5</v>
      </c>
      <c r="Y38" s="125" t="n">
        <v>19.1</v>
      </c>
      <c r="Z38" s="32" t="n">
        <v>1.3</v>
      </c>
      <c r="AA38" s="32" t="n">
        <v>1.27</v>
      </c>
      <c r="AB38" s="125" t="n">
        <v>4.9</v>
      </c>
      <c r="AC38" s="125" t="n">
        <v>4.8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7"/>
      <c r="AY38" s="126"/>
      <c r="AZ38" s="126"/>
      <c r="BA38" s="126"/>
      <c r="BB38" s="127"/>
    </row>
    <row r="39" customFormat="false" ht="1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36.3163</v>
      </c>
      <c r="H39" s="131" t="n">
        <v>80</v>
      </c>
      <c r="I39" s="179" t="n">
        <v>79</v>
      </c>
      <c r="J39" s="124"/>
      <c r="K39" s="132"/>
      <c r="L39" s="132"/>
      <c r="M39" s="132"/>
      <c r="N39" s="133"/>
      <c r="O39" s="132"/>
      <c r="P39" s="177" t="n">
        <v>4.197</v>
      </c>
      <c r="Q39" s="124"/>
      <c r="R39" s="124"/>
      <c r="S39" s="125" t="n">
        <v>182.8</v>
      </c>
      <c r="T39" s="32" t="n">
        <v>0.13</v>
      </c>
      <c r="U39" s="32" t="n">
        <v>0.13</v>
      </c>
      <c r="V39" s="135"/>
      <c r="W39" s="135"/>
      <c r="X39" s="125" t="n">
        <v>4.2</v>
      </c>
      <c r="Y39" s="125" t="n">
        <v>4.1</v>
      </c>
      <c r="Z39" s="32" t="n">
        <v>0.46</v>
      </c>
      <c r="AA39" s="32" t="n">
        <v>0.45</v>
      </c>
      <c r="AB39" s="125" t="n">
        <v>1.6</v>
      </c>
      <c r="AC39" s="125" t="n">
        <v>1.6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6"/>
      <c r="AY39" s="135"/>
      <c r="AZ39" s="135"/>
      <c r="BA39" s="135"/>
      <c r="BB39" s="136"/>
    </row>
    <row r="40" customFormat="false" ht="1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38" t="n">
        <v>36.4308</v>
      </c>
      <c r="H40" s="131" t="n">
        <v>60</v>
      </c>
      <c r="I40" s="179" t="n">
        <v>59.6</v>
      </c>
      <c r="J40" s="124"/>
      <c r="K40" s="132"/>
      <c r="L40" s="132"/>
      <c r="M40" s="132"/>
      <c r="N40" s="133"/>
      <c r="O40" s="132"/>
      <c r="P40" s="177" t="n">
        <v>4.789</v>
      </c>
      <c r="Q40" s="124"/>
      <c r="R40" s="124"/>
      <c r="S40" s="125" t="n">
        <v>208.7</v>
      </c>
      <c r="T40" s="32" t="n">
        <v>0.02</v>
      </c>
      <c r="U40" s="32" t="n">
        <v>0.01</v>
      </c>
      <c r="V40" s="135"/>
      <c r="W40" s="135"/>
      <c r="X40" s="125" t="n">
        <v>0.2</v>
      </c>
      <c r="Y40" s="125" t="n">
        <v>0.2</v>
      </c>
      <c r="Z40" s="32" t="n">
        <v>0.16</v>
      </c>
      <c r="AA40" s="32" t="n">
        <v>0.15</v>
      </c>
      <c r="AB40" s="125" t="n">
        <v>0.8</v>
      </c>
      <c r="AC40" s="125" t="n">
        <v>0.8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7"/>
      <c r="AY40" s="135"/>
      <c r="AZ40" s="135"/>
      <c r="BA40" s="135"/>
      <c r="BB40" s="136"/>
    </row>
    <row r="41" customFormat="false" ht="1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36.2914</v>
      </c>
      <c r="H41" s="131" t="n">
        <v>40</v>
      </c>
      <c r="I41" s="178" t="n">
        <v>40.8</v>
      </c>
      <c r="J41" s="124"/>
      <c r="K41" s="132"/>
      <c r="L41" s="132"/>
      <c r="M41" s="132"/>
      <c r="N41" s="133"/>
      <c r="O41" s="132"/>
      <c r="P41" s="177" t="n">
        <v>4.813</v>
      </c>
      <c r="Q41" s="124"/>
      <c r="R41" s="124"/>
      <c r="S41" s="125" t="n">
        <v>209.8</v>
      </c>
      <c r="T41" s="32" t="n">
        <v>0.01</v>
      </c>
      <c r="U41" s="32" t="n">
        <v>0.01</v>
      </c>
      <c r="V41" s="135"/>
      <c r="W41" s="135"/>
      <c r="X41" s="125" t="n">
        <v>0</v>
      </c>
      <c r="Y41" s="125" t="n">
        <v>0</v>
      </c>
      <c r="Z41" s="32" t="n">
        <v>0.14</v>
      </c>
      <c r="AA41" s="32" t="n">
        <v>0.14</v>
      </c>
      <c r="AB41" s="125" t="n">
        <v>0.7</v>
      </c>
      <c r="AC41" s="125" t="n">
        <v>0.6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6"/>
      <c r="AY41" s="135"/>
      <c r="AZ41" s="135"/>
      <c r="BA41" s="135"/>
      <c r="BB41" s="136"/>
    </row>
    <row r="42" customFormat="false" ht="1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36.2892</v>
      </c>
      <c r="H42" s="131" t="n">
        <v>40</v>
      </c>
      <c r="I42" s="178" t="n">
        <v>40.4</v>
      </c>
      <c r="J42" s="124"/>
      <c r="K42" s="132"/>
      <c r="L42" s="132"/>
      <c r="M42" s="132"/>
      <c r="N42" s="133"/>
      <c r="O42" s="132"/>
      <c r="P42" s="177" t="n">
        <v>4.819</v>
      </c>
      <c r="Q42" s="124"/>
      <c r="R42" s="124"/>
      <c r="S42" s="125" t="n">
        <v>210</v>
      </c>
      <c r="T42" s="32" t="n">
        <v>0.01</v>
      </c>
      <c r="U42" s="32" t="n">
        <v>0.01</v>
      </c>
      <c r="V42" s="135"/>
      <c r="W42" s="135"/>
      <c r="X42" s="125" t="n">
        <v>0.1</v>
      </c>
      <c r="Y42" s="125" t="n">
        <v>0.1</v>
      </c>
      <c r="Z42" s="32" t="n">
        <v>0.14</v>
      </c>
      <c r="AA42" s="32" t="n">
        <v>0.14</v>
      </c>
      <c r="AB42" s="125" t="n">
        <v>0.6</v>
      </c>
      <c r="AC42" s="125" t="n">
        <v>0.6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6"/>
      <c r="AY42" s="135"/>
      <c r="AZ42" s="135"/>
      <c r="BA42" s="135"/>
      <c r="BB42" s="136"/>
    </row>
    <row r="43" customFormat="false" ht="1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38" t="n">
        <v>36.283</v>
      </c>
      <c r="H43" s="131" t="n">
        <v>20</v>
      </c>
      <c r="I43" s="131" t="n">
        <v>20</v>
      </c>
      <c r="J43" s="124"/>
      <c r="K43" s="132"/>
      <c r="L43" s="132"/>
      <c r="M43" s="132"/>
      <c r="N43" s="133"/>
      <c r="O43" s="132"/>
      <c r="P43" s="177" t="n">
        <v>4.814</v>
      </c>
      <c r="Q43" s="124"/>
      <c r="R43" s="124"/>
      <c r="S43" s="125" t="n">
        <v>209.8</v>
      </c>
      <c r="T43" s="32" t="n">
        <v>0</v>
      </c>
      <c r="U43" s="32" t="n">
        <v>0</v>
      </c>
      <c r="V43" s="135"/>
      <c r="W43" s="135"/>
      <c r="X43" s="125" t="n">
        <v>0</v>
      </c>
      <c r="Y43" s="125" t="n">
        <v>0</v>
      </c>
      <c r="Z43" s="32" t="n">
        <v>0.14</v>
      </c>
      <c r="AA43" s="32" t="n">
        <v>0.14</v>
      </c>
      <c r="AB43" s="125" t="n">
        <v>0.5</v>
      </c>
      <c r="AC43" s="125" t="n">
        <v>0.5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7"/>
      <c r="AY43" s="126"/>
      <c r="AZ43" s="126"/>
      <c r="BA43" s="126"/>
      <c r="BB43" s="127"/>
    </row>
    <row r="44" customFormat="false" ht="1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0" t="n">
        <v>36.2816</v>
      </c>
      <c r="H44" s="131" t="n">
        <v>10</v>
      </c>
      <c r="I44" s="131" t="n">
        <v>10.5</v>
      </c>
      <c r="J44" s="124"/>
      <c r="K44" s="132"/>
      <c r="L44" s="132"/>
      <c r="M44" s="132"/>
      <c r="N44" s="133"/>
      <c r="O44" s="132"/>
      <c r="P44" s="177" t="n">
        <v>4.823</v>
      </c>
      <c r="Q44" s="124"/>
      <c r="R44" s="124"/>
      <c r="S44" s="125" t="n">
        <v>210.2</v>
      </c>
      <c r="T44" s="32" t="n">
        <v>0</v>
      </c>
      <c r="U44" s="32" t="n">
        <v>0</v>
      </c>
      <c r="V44" s="135"/>
      <c r="W44" s="135"/>
      <c r="X44" s="125" t="n">
        <v>0.1</v>
      </c>
      <c r="Y44" s="125" t="n">
        <v>0.1</v>
      </c>
      <c r="Z44" s="32" t="n">
        <v>0.17</v>
      </c>
      <c r="AA44" s="32" t="n">
        <v>0.17</v>
      </c>
      <c r="AB44" s="125" t="n">
        <v>0.5</v>
      </c>
      <c r="AC44" s="125" t="n">
        <v>0.5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6"/>
      <c r="AY44" s="135"/>
      <c r="AZ44" s="135"/>
      <c r="BA44" s="135"/>
      <c r="BB44" s="136"/>
    </row>
    <row r="45" customFormat="false" ht="1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36.2816</v>
      </c>
      <c r="H45" s="131" t="n">
        <v>0</v>
      </c>
      <c r="I45" s="131" t="n">
        <v>2.4</v>
      </c>
      <c r="J45" s="124"/>
      <c r="K45" s="132"/>
      <c r="L45" s="132"/>
      <c r="M45" s="132"/>
      <c r="N45" s="133"/>
      <c r="O45" s="132"/>
      <c r="P45" s="177" t="n">
        <v>4.815</v>
      </c>
      <c r="Q45" s="124"/>
      <c r="R45" s="124"/>
      <c r="S45" s="125" t="n">
        <v>209.9</v>
      </c>
      <c r="T45" s="32" t="n">
        <v>0.01</v>
      </c>
      <c r="U45" s="32" t="n">
        <v>0.01</v>
      </c>
      <c r="V45" s="135"/>
      <c r="W45" s="135"/>
      <c r="X45" s="125" t="n">
        <v>0.1</v>
      </c>
      <c r="Y45" s="125" t="n">
        <v>0.1</v>
      </c>
      <c r="Z45" s="32" t="n">
        <v>0.16</v>
      </c>
      <c r="AA45" s="32" t="n">
        <v>0.15</v>
      </c>
      <c r="AB45" s="125" t="n">
        <v>0.5</v>
      </c>
      <c r="AC45" s="125" t="n">
        <v>0.4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6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59.95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-6°59,95</v>
      </c>
      <c r="P9" s="29" t="s">
        <v>16</v>
      </c>
      <c r="Q9" s="33" t="n">
        <f aca="false">IF(ISBLANK(I9),"",IF(ISBLANK(J9),"",IF(J9&gt;60,"ERREUR !!",O11*(I9+(J9/60)))))</f>
        <v>-6.99916666666667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59.97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-9°59,97</v>
      </c>
      <c r="P10" s="29" t="s">
        <v>17</v>
      </c>
      <c r="Q10" s="33" t="n">
        <f aca="false">IF(ISBLANK(I10),"",IF(ISBLANK(J10),"",IF(J10&gt;60,"ERREUR !!",O12*(I10+(J10/60)))))</f>
        <v>-9.9995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38983</v>
      </c>
      <c r="K11" s="38"/>
      <c r="L11" s="38"/>
      <c r="M11" s="38"/>
      <c r="N11" s="39" t="str">
        <f aca="false">I9&amp;"°"&amp;J9</f>
        <v>6°59,95</v>
      </c>
      <c r="O11" s="40" t="n">
        <f aca="false">IF(P9=M10,-1,1)</f>
        <v>-1</v>
      </c>
      <c r="P11" s="41" t="str">
        <f aca="false">TEXT(J11,"aaaa-mm-jj")&amp;"T"&amp;TEXT(J12,"hh:mm:ss")&amp;"z"</f>
        <v>2010-09-24T06:00:00z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0.25</v>
      </c>
      <c r="K12" s="45"/>
      <c r="L12" s="45"/>
      <c r="M12" s="45"/>
      <c r="N12" s="46" t="str">
        <f aca="false">I10&amp;"°"&amp;J10</f>
        <v>9°59,97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34.9438</v>
      </c>
      <c r="H35" s="118" t="n">
        <v>2000</v>
      </c>
      <c r="I35" s="131" t="n">
        <v>2000</v>
      </c>
      <c r="J35" s="119"/>
      <c r="K35" s="120"/>
      <c r="L35" s="120"/>
      <c r="M35" s="120"/>
      <c r="N35" s="121"/>
      <c r="O35" s="120"/>
      <c r="P35" s="174" t="n">
        <v>5.533</v>
      </c>
      <c r="Q35" s="119"/>
      <c r="R35" s="119"/>
      <c r="S35" s="175" t="n">
        <v>240.6</v>
      </c>
      <c r="T35" s="32" t="n">
        <v>0.02</v>
      </c>
      <c r="U35" s="32" t="n">
        <v>0.02</v>
      </c>
      <c r="V35" s="135"/>
      <c r="W35" s="135"/>
      <c r="X35" s="125" t="n">
        <v>21.4</v>
      </c>
      <c r="Y35" s="125" t="n">
        <v>20.9</v>
      </c>
      <c r="Z35" s="32" t="n">
        <v>1.4</v>
      </c>
      <c r="AA35" s="32" t="n">
        <v>1.37</v>
      </c>
      <c r="AB35" s="125" t="n">
        <v>25.5</v>
      </c>
      <c r="AC35" s="125" t="n">
        <v>24.9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7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34.582</v>
      </c>
      <c r="H36" s="131" t="n">
        <v>1000</v>
      </c>
      <c r="I36" s="131" t="n">
        <v>1000</v>
      </c>
      <c r="J36" s="124"/>
      <c r="K36" s="132"/>
      <c r="L36" s="132"/>
      <c r="M36" s="132"/>
      <c r="N36" s="133"/>
      <c r="O36" s="132"/>
      <c r="P36" s="177" t="n">
        <v>3.677</v>
      </c>
      <c r="Q36" s="124"/>
      <c r="R36" s="124"/>
      <c r="S36" s="125" t="n">
        <v>159.9</v>
      </c>
      <c r="T36" s="32" t="n">
        <v>0.01</v>
      </c>
      <c r="U36" s="32" t="n">
        <v>0.01</v>
      </c>
      <c r="V36" s="135"/>
      <c r="W36" s="135"/>
      <c r="X36" s="125" t="n">
        <v>33.7</v>
      </c>
      <c r="Y36" s="125" t="n">
        <v>32.9</v>
      </c>
      <c r="Z36" s="32" t="n">
        <v>2.27</v>
      </c>
      <c r="AA36" s="32" t="n">
        <v>2.21</v>
      </c>
      <c r="AB36" s="125" t="n">
        <v>33</v>
      </c>
      <c r="AC36" s="125" t="n">
        <v>32.2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6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34.6412</v>
      </c>
      <c r="H37" s="131" t="n">
        <v>500</v>
      </c>
      <c r="I37" s="179" t="n">
        <v>500</v>
      </c>
      <c r="J37" s="124"/>
      <c r="K37" s="132"/>
      <c r="L37" s="132"/>
      <c r="M37" s="132"/>
      <c r="N37" s="133"/>
      <c r="O37" s="132"/>
      <c r="P37" s="177" t="n">
        <v>1.987</v>
      </c>
      <c r="Q37" s="124"/>
      <c r="R37" s="124"/>
      <c r="S37" s="125" t="n">
        <v>86.4</v>
      </c>
      <c r="T37" s="32" t="n">
        <v>0.01</v>
      </c>
      <c r="U37" s="32" t="n">
        <v>0.01</v>
      </c>
      <c r="V37" s="135"/>
      <c r="W37" s="135"/>
      <c r="X37" s="125" t="n">
        <v>37</v>
      </c>
      <c r="Y37" s="125" t="n">
        <v>36.2</v>
      </c>
      <c r="Z37" s="32" t="n">
        <v>2.33</v>
      </c>
      <c r="AA37" s="32" t="n">
        <v>2.27</v>
      </c>
      <c r="AB37" s="125" t="n">
        <v>19.6</v>
      </c>
      <c r="AC37" s="125" t="n">
        <v>19.1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6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35.7859</v>
      </c>
      <c r="H38" s="131" t="n">
        <v>100</v>
      </c>
      <c r="I38" s="179" t="n">
        <v>100.2</v>
      </c>
      <c r="J38" s="124"/>
      <c r="K38" s="132"/>
      <c r="L38" s="132"/>
      <c r="M38" s="132"/>
      <c r="N38" s="133"/>
      <c r="O38" s="132"/>
      <c r="P38" s="177" t="n">
        <v>2.812</v>
      </c>
      <c r="Q38" s="124"/>
      <c r="R38" s="124"/>
      <c r="S38" s="125" t="n">
        <v>122.4</v>
      </c>
      <c r="T38" s="32" t="n">
        <v>0.04</v>
      </c>
      <c r="U38" s="32" t="n">
        <v>0.04</v>
      </c>
      <c r="V38" s="135"/>
      <c r="W38" s="135"/>
      <c r="X38" s="125" t="n">
        <v>15.4</v>
      </c>
      <c r="Y38" s="125" t="n">
        <v>15.1</v>
      </c>
      <c r="Z38" s="32" t="n">
        <v>1.04</v>
      </c>
      <c r="AA38" s="32" t="n">
        <v>1.02</v>
      </c>
      <c r="AB38" s="125" t="n">
        <v>3.3</v>
      </c>
      <c r="AC38" s="125" t="n">
        <v>3.2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7"/>
      <c r="AY38" s="126"/>
      <c r="AZ38" s="126"/>
      <c r="BA38" s="126"/>
      <c r="BB38" s="12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36.0631</v>
      </c>
      <c r="H39" s="131" t="n">
        <v>80</v>
      </c>
      <c r="I39" s="179" t="n">
        <v>81.6</v>
      </c>
      <c r="J39" s="124"/>
      <c r="K39" s="132"/>
      <c r="L39" s="132"/>
      <c r="M39" s="132"/>
      <c r="N39" s="133"/>
      <c r="O39" s="132"/>
      <c r="P39" s="177" t="n">
        <v>3.536</v>
      </c>
      <c r="Q39" s="124"/>
      <c r="R39" s="124"/>
      <c r="S39" s="125" t="n">
        <v>154</v>
      </c>
      <c r="T39" s="32" t="n">
        <v>0.11</v>
      </c>
      <c r="U39" s="32" t="n">
        <v>0.1</v>
      </c>
      <c r="V39" s="135"/>
      <c r="W39" s="135"/>
      <c r="X39" s="125" t="n">
        <v>9.4</v>
      </c>
      <c r="Y39" s="125" t="n">
        <v>9.2</v>
      </c>
      <c r="Z39" s="32" t="n">
        <v>0.7</v>
      </c>
      <c r="AA39" s="32" t="n">
        <v>0.69</v>
      </c>
      <c r="AB39" s="125" t="n">
        <v>1.9</v>
      </c>
      <c r="AC39" s="125" t="n">
        <v>1.9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6"/>
      <c r="AY39" s="135"/>
      <c r="AZ39" s="135"/>
      <c r="BA39" s="135"/>
      <c r="BB39" s="136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36.4867</v>
      </c>
      <c r="H40" s="131" t="n">
        <v>60</v>
      </c>
      <c r="I40" s="179" t="n">
        <v>60.5</v>
      </c>
      <c r="J40" s="124"/>
      <c r="K40" s="132"/>
      <c r="L40" s="132"/>
      <c r="M40" s="132"/>
      <c r="N40" s="133"/>
      <c r="O40" s="132"/>
      <c r="P40" s="177" t="n">
        <v>4.737</v>
      </c>
      <c r="Q40" s="124"/>
      <c r="R40" s="124"/>
      <c r="S40" s="125" t="n">
        <v>206.4</v>
      </c>
      <c r="T40" s="32" t="n">
        <v>0.03</v>
      </c>
      <c r="U40" s="32" t="n">
        <v>0.03</v>
      </c>
      <c r="V40" s="135"/>
      <c r="W40" s="135"/>
      <c r="X40" s="125" t="n">
        <v>0.2</v>
      </c>
      <c r="Y40" s="125" t="n">
        <v>0.2</v>
      </c>
      <c r="Z40" s="32" t="n">
        <v>0.14</v>
      </c>
      <c r="AA40" s="32" t="n">
        <v>0.14</v>
      </c>
      <c r="AB40" s="125" t="n">
        <v>0.7</v>
      </c>
      <c r="AC40" s="125" t="n">
        <v>0.6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6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36.3318</v>
      </c>
      <c r="H41" s="131" t="n">
        <v>40</v>
      </c>
      <c r="I41" s="179" t="n">
        <v>40.6</v>
      </c>
      <c r="J41" s="124"/>
      <c r="K41" s="132"/>
      <c r="L41" s="132"/>
      <c r="M41" s="132"/>
      <c r="N41" s="133"/>
      <c r="O41" s="132"/>
      <c r="P41" s="177" t="n">
        <v>4.834</v>
      </c>
      <c r="Q41" s="124"/>
      <c r="R41" s="124"/>
      <c r="S41" s="125" t="n">
        <v>210.7</v>
      </c>
      <c r="T41" s="32" t="n">
        <v>0.01</v>
      </c>
      <c r="U41" s="32" t="n">
        <v>0</v>
      </c>
      <c r="V41" s="135"/>
      <c r="W41" s="135"/>
      <c r="X41" s="125" t="n">
        <v>0</v>
      </c>
      <c r="Y41" s="125" t="n">
        <v>0</v>
      </c>
      <c r="Z41" s="32" t="n">
        <v>0.1</v>
      </c>
      <c r="AA41" s="32" t="n">
        <v>0.1</v>
      </c>
      <c r="AB41" s="125" t="n">
        <v>0.6</v>
      </c>
      <c r="AC41" s="125" t="n">
        <v>0.6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7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36.2003</v>
      </c>
      <c r="H42" s="131" t="n">
        <v>20</v>
      </c>
      <c r="I42" s="178" t="n">
        <v>20.4</v>
      </c>
      <c r="J42" s="124"/>
      <c r="K42" s="132"/>
      <c r="L42" s="132"/>
      <c r="M42" s="132"/>
      <c r="N42" s="133"/>
      <c r="O42" s="132"/>
      <c r="P42" s="177" t="n">
        <v>4.861</v>
      </c>
      <c r="Q42" s="124"/>
      <c r="R42" s="124"/>
      <c r="S42" s="125" t="n">
        <v>211.9</v>
      </c>
      <c r="T42" s="32" t="n">
        <v>0</v>
      </c>
      <c r="U42" s="32" t="n">
        <v>0</v>
      </c>
      <c r="V42" s="135"/>
      <c r="W42" s="135"/>
      <c r="X42" s="125" t="n">
        <v>0</v>
      </c>
      <c r="Y42" s="125" t="n">
        <v>0</v>
      </c>
      <c r="Z42" s="32" t="n">
        <v>0.14</v>
      </c>
      <c r="AA42" s="32" t="n">
        <v>0.13</v>
      </c>
      <c r="AB42" s="125" t="n">
        <v>0.7</v>
      </c>
      <c r="AC42" s="125" t="n">
        <v>0.7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6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38" t="n">
        <v>36.2015</v>
      </c>
      <c r="H43" s="131" t="n">
        <v>20</v>
      </c>
      <c r="I43" s="178" t="n">
        <v>20.4</v>
      </c>
      <c r="J43" s="124"/>
      <c r="K43" s="132"/>
      <c r="L43" s="132"/>
      <c r="M43" s="132"/>
      <c r="N43" s="133"/>
      <c r="O43" s="132"/>
      <c r="P43" s="177" t="n">
        <v>4.841</v>
      </c>
      <c r="Q43" s="124"/>
      <c r="R43" s="124"/>
      <c r="S43" s="125" t="n">
        <v>211</v>
      </c>
      <c r="T43" s="32" t="n">
        <v>0</v>
      </c>
      <c r="U43" s="32" t="n">
        <v>0</v>
      </c>
      <c r="V43" s="135"/>
      <c r="W43" s="135"/>
      <c r="X43" s="125" t="n">
        <v>0</v>
      </c>
      <c r="Y43" s="125" t="n">
        <v>0</v>
      </c>
      <c r="Z43" s="32" t="n">
        <v>0.62</v>
      </c>
      <c r="AA43" s="32" t="n">
        <v>0.6</v>
      </c>
      <c r="AB43" s="125" t="n">
        <v>0.7</v>
      </c>
      <c r="AC43" s="125" t="n">
        <v>0.7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7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0" t="n">
        <v>36.2005</v>
      </c>
      <c r="H44" s="131" t="n">
        <v>10</v>
      </c>
      <c r="I44" s="131" t="n">
        <v>10</v>
      </c>
      <c r="J44" s="124"/>
      <c r="K44" s="132"/>
      <c r="L44" s="132"/>
      <c r="M44" s="132"/>
      <c r="N44" s="133"/>
      <c r="O44" s="132"/>
      <c r="P44" s="177" t="n">
        <v>4.831</v>
      </c>
      <c r="Q44" s="124"/>
      <c r="R44" s="124"/>
      <c r="S44" s="125" t="n">
        <v>210.5</v>
      </c>
      <c r="T44" s="32" t="n">
        <v>0.01</v>
      </c>
      <c r="U44" s="32" t="n">
        <v>0</v>
      </c>
      <c r="V44" s="135"/>
      <c r="W44" s="135"/>
      <c r="X44" s="125" t="n">
        <v>0</v>
      </c>
      <c r="Y44" s="125" t="n">
        <v>0</v>
      </c>
      <c r="Z44" s="32" t="n">
        <v>0.09</v>
      </c>
      <c r="AA44" s="32" t="n">
        <v>0.08</v>
      </c>
      <c r="AB44" s="125" t="n">
        <v>0.6</v>
      </c>
      <c r="AC44" s="125" t="n">
        <v>0.6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6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36.2042</v>
      </c>
      <c r="H45" s="131" t="n">
        <v>0</v>
      </c>
      <c r="I45" s="131" t="n">
        <v>2.2</v>
      </c>
      <c r="J45" s="124"/>
      <c r="K45" s="132"/>
      <c r="L45" s="132"/>
      <c r="M45" s="132"/>
      <c r="N45" s="133"/>
      <c r="O45" s="132"/>
      <c r="P45" s="177" t="n">
        <v>4.842</v>
      </c>
      <c r="Q45" s="124"/>
      <c r="R45" s="124"/>
      <c r="S45" s="125" t="n">
        <v>211</v>
      </c>
      <c r="T45" s="32" t="n">
        <v>0.01</v>
      </c>
      <c r="U45" s="32" t="n">
        <v>0.01</v>
      </c>
      <c r="V45" s="135"/>
      <c r="W45" s="135"/>
      <c r="X45" s="125" t="n">
        <v>0</v>
      </c>
      <c r="Y45" s="125" t="n">
        <v>0</v>
      </c>
      <c r="Z45" s="32" t="n">
        <v>0.12</v>
      </c>
      <c r="AA45" s="32" t="n">
        <v>0.11</v>
      </c>
      <c r="AB45" s="125" t="n">
        <v>0.5</v>
      </c>
      <c r="AC45" s="125" t="n">
        <v>0.5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6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36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30.11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-6°30,11</v>
      </c>
      <c r="P9" s="29" t="s">
        <v>16</v>
      </c>
      <c r="Q9" s="33" t="n">
        <f aca="false">IF(ISBLANK(I9),"",IF(ISBLANK(J9),"",IF(J9&gt;60,"ERREUR !!",O11*(I9+(J9/60)))))</f>
        <v>-6.50183333333333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38983</v>
      </c>
      <c r="K11" s="38"/>
      <c r="L11" s="38"/>
      <c r="M11" s="38"/>
      <c r="N11" s="39" t="str">
        <f aca="false">I9&amp;"°"&amp;J9</f>
        <v>6°30,11</v>
      </c>
      <c r="O11" s="40" t="n">
        <f aca="false">IF(P9=M10,-1,1)</f>
        <v>-1</v>
      </c>
      <c r="P11" s="41" t="str">
        <f aca="false">TEXT(J11,"aaaa-mm-jj")&amp;"T"&amp;TEXT(J12,"hh:mm:ss")&amp;"z"</f>
        <v>2010-09-24T09:45:00z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0.40625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18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18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34.9449</v>
      </c>
      <c r="H35" s="118" t="n">
        <v>2000</v>
      </c>
      <c r="I35" s="131" t="n">
        <v>1998</v>
      </c>
      <c r="J35" s="119"/>
      <c r="K35" s="120"/>
      <c r="L35" s="120"/>
      <c r="M35" s="120"/>
      <c r="N35" s="121"/>
      <c r="O35" s="120"/>
      <c r="P35" s="174" t="n">
        <v>5.838</v>
      </c>
      <c r="Q35" s="119"/>
      <c r="R35" s="119"/>
      <c r="S35" s="175" t="n">
        <v>253.7</v>
      </c>
      <c r="T35" s="32" t="n">
        <v>0</v>
      </c>
      <c r="U35" s="32" t="n">
        <v>0</v>
      </c>
      <c r="V35" s="135"/>
      <c r="W35" s="135"/>
      <c r="X35" s="125" t="n">
        <v>21.3</v>
      </c>
      <c r="Y35" s="125" t="n">
        <v>20.8</v>
      </c>
      <c r="Z35" s="32" t="n">
        <v>1.43</v>
      </c>
      <c r="AA35" s="32" t="n">
        <v>1.4</v>
      </c>
      <c r="AB35" s="125" t="n">
        <v>24.5</v>
      </c>
      <c r="AC35" s="125" t="n">
        <v>23.9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34.5818</v>
      </c>
      <c r="H36" s="131" t="n">
        <v>1000</v>
      </c>
      <c r="I36" s="131" t="n">
        <v>999</v>
      </c>
      <c r="J36" s="124"/>
      <c r="K36" s="132"/>
      <c r="L36" s="132"/>
      <c r="M36" s="132"/>
      <c r="N36" s="133"/>
      <c r="O36" s="132"/>
      <c r="P36" s="177" t="n">
        <v>3.566</v>
      </c>
      <c r="Q36" s="124"/>
      <c r="R36" s="124"/>
      <c r="S36" s="125" t="n">
        <v>155</v>
      </c>
      <c r="T36" s="32" t="n">
        <v>0</v>
      </c>
      <c r="U36" s="32" t="n">
        <v>0</v>
      </c>
      <c r="V36" s="135"/>
      <c r="W36" s="135"/>
      <c r="X36" s="125" t="n">
        <v>33.8</v>
      </c>
      <c r="Y36" s="125" t="n">
        <v>33.1</v>
      </c>
      <c r="Z36" s="32" t="n">
        <v>2.3</v>
      </c>
      <c r="AA36" s="32" t="n">
        <v>2.24</v>
      </c>
      <c r="AB36" s="125" t="n">
        <v>32.4</v>
      </c>
      <c r="AC36" s="125" t="n">
        <v>31.7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34.6123</v>
      </c>
      <c r="H37" s="131" t="n">
        <v>500</v>
      </c>
      <c r="I37" s="179" t="n">
        <v>499</v>
      </c>
      <c r="J37" s="124"/>
      <c r="K37" s="132"/>
      <c r="L37" s="132"/>
      <c r="M37" s="132"/>
      <c r="N37" s="133"/>
      <c r="O37" s="132"/>
      <c r="P37" s="177" t="n">
        <v>2.373</v>
      </c>
      <c r="Q37" s="124"/>
      <c r="R37" s="124"/>
      <c r="S37" s="125" t="n">
        <v>103.2</v>
      </c>
      <c r="T37" s="32" t="n">
        <v>0</v>
      </c>
      <c r="U37" s="32" t="n">
        <v>0</v>
      </c>
      <c r="V37" s="135"/>
      <c r="W37" s="135"/>
      <c r="X37" s="125" t="n">
        <v>36.3</v>
      </c>
      <c r="Y37" s="125" t="n">
        <v>35.5</v>
      </c>
      <c r="Z37" s="32" t="n">
        <v>2.34</v>
      </c>
      <c r="AA37" s="32" t="n">
        <v>2.29</v>
      </c>
      <c r="AB37" s="125" t="n">
        <v>19.7</v>
      </c>
      <c r="AC37" s="125" t="n">
        <v>19.2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35.7517</v>
      </c>
      <c r="H38" s="131" t="n">
        <v>100</v>
      </c>
      <c r="I38" s="179" t="n">
        <v>100.9</v>
      </c>
      <c r="J38" s="124"/>
      <c r="K38" s="132"/>
      <c r="L38" s="132"/>
      <c r="M38" s="132"/>
      <c r="N38" s="133"/>
      <c r="O38" s="132"/>
      <c r="P38" s="177" t="n">
        <v>2.677</v>
      </c>
      <c r="Q38" s="124"/>
      <c r="R38" s="124"/>
      <c r="S38" s="125" t="n">
        <v>116.5</v>
      </c>
      <c r="T38" s="32" t="n">
        <v>0.06</v>
      </c>
      <c r="U38" s="32" t="n">
        <v>0.06</v>
      </c>
      <c r="V38" s="135"/>
      <c r="W38" s="135"/>
      <c r="X38" s="125" t="n">
        <v>16.6</v>
      </c>
      <c r="Y38" s="125" t="n">
        <v>16.2</v>
      </c>
      <c r="Z38" s="32" t="n">
        <v>1.13</v>
      </c>
      <c r="AA38" s="32" t="n">
        <v>1.11</v>
      </c>
      <c r="AB38" s="125" t="n">
        <v>3.4</v>
      </c>
      <c r="AC38" s="125" t="n">
        <v>3.3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35.9869</v>
      </c>
      <c r="H39" s="131" t="n">
        <v>80</v>
      </c>
      <c r="I39" s="179" t="n">
        <v>80.1</v>
      </c>
      <c r="J39" s="124"/>
      <c r="K39" s="132"/>
      <c r="L39" s="132"/>
      <c r="M39" s="132"/>
      <c r="N39" s="133"/>
      <c r="O39" s="132"/>
      <c r="P39" s="177" t="n">
        <v>3.687</v>
      </c>
      <c r="Q39" s="124"/>
      <c r="R39" s="124"/>
      <c r="S39" s="125" t="n">
        <v>160.6</v>
      </c>
      <c r="T39" s="32" t="n">
        <v>0.2</v>
      </c>
      <c r="U39" s="32" t="n">
        <v>0.19</v>
      </c>
      <c r="V39" s="135"/>
      <c r="W39" s="135"/>
      <c r="X39" s="125" t="n">
        <v>9.2</v>
      </c>
      <c r="Y39" s="125" t="n">
        <v>9</v>
      </c>
      <c r="Z39" s="32" t="n">
        <v>0.75</v>
      </c>
      <c r="AA39" s="32" t="n">
        <v>0.73</v>
      </c>
      <c r="AB39" s="125" t="n">
        <v>1.8</v>
      </c>
      <c r="AC39" s="125" t="n">
        <v>1.8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36.1161</v>
      </c>
      <c r="H40" s="131" t="n">
        <v>60</v>
      </c>
      <c r="I40" s="179" t="n">
        <v>59.8</v>
      </c>
      <c r="J40" s="124"/>
      <c r="K40" s="132"/>
      <c r="L40" s="132"/>
      <c r="M40" s="132"/>
      <c r="N40" s="133"/>
      <c r="O40" s="132"/>
      <c r="P40" s="177" t="n">
        <v>4.434</v>
      </c>
      <c r="Q40" s="124"/>
      <c r="R40" s="124"/>
      <c r="S40" s="125" t="n">
        <v>193.2</v>
      </c>
      <c r="T40" s="32" t="n">
        <v>1.26</v>
      </c>
      <c r="U40" s="32" t="n">
        <v>1.23</v>
      </c>
      <c r="V40" s="135"/>
      <c r="W40" s="135"/>
      <c r="X40" s="125" t="n">
        <v>2.7</v>
      </c>
      <c r="Y40" s="125" t="n">
        <v>2.7</v>
      </c>
      <c r="Z40" s="32" t="n">
        <v>0.39</v>
      </c>
      <c r="AA40" s="32" t="n">
        <v>0.38</v>
      </c>
      <c r="AB40" s="125" t="n">
        <v>0.9</v>
      </c>
      <c r="AC40" s="125" t="n">
        <v>0.9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36.0515</v>
      </c>
      <c r="H41" s="131" t="n">
        <v>40</v>
      </c>
      <c r="I41" s="179" t="n">
        <v>39.3</v>
      </c>
      <c r="J41" s="124"/>
      <c r="K41" s="132"/>
      <c r="L41" s="132"/>
      <c r="M41" s="132"/>
      <c r="N41" s="133"/>
      <c r="O41" s="132"/>
      <c r="P41" s="177" t="n">
        <v>4.841</v>
      </c>
      <c r="Q41" s="124"/>
      <c r="R41" s="124"/>
      <c r="S41" s="125" t="n">
        <v>211.1</v>
      </c>
      <c r="T41" s="32" t="n">
        <v>0.04</v>
      </c>
      <c r="U41" s="32" t="n">
        <v>0.04</v>
      </c>
      <c r="V41" s="135"/>
      <c r="W41" s="135"/>
      <c r="X41" s="125" t="n">
        <v>0</v>
      </c>
      <c r="Y41" s="125" t="n">
        <v>0</v>
      </c>
      <c r="Z41" s="32" t="n">
        <v>0.16</v>
      </c>
      <c r="AA41" s="32" t="n">
        <v>0.16</v>
      </c>
      <c r="AB41" s="125" t="n">
        <v>0.6</v>
      </c>
      <c r="AC41" s="125" t="n">
        <v>0.5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36.0524</v>
      </c>
      <c r="H42" s="131" t="n">
        <v>20</v>
      </c>
      <c r="I42" s="179" t="n">
        <v>19.9</v>
      </c>
      <c r="J42" s="124"/>
      <c r="K42" s="132"/>
      <c r="L42" s="132"/>
      <c r="M42" s="132"/>
      <c r="N42" s="133"/>
      <c r="O42" s="132"/>
      <c r="P42" s="177" t="n">
        <v>4.86</v>
      </c>
      <c r="Q42" s="124"/>
      <c r="R42" s="124"/>
      <c r="S42" s="125" t="n">
        <v>211.9</v>
      </c>
      <c r="T42" s="32" t="n">
        <v>0.03</v>
      </c>
      <c r="U42" s="32" t="n">
        <v>0.03</v>
      </c>
      <c r="V42" s="135"/>
      <c r="W42" s="135"/>
      <c r="X42" s="125" t="n">
        <v>0.1</v>
      </c>
      <c r="Y42" s="125" t="n">
        <v>0.1</v>
      </c>
      <c r="Z42" s="32" t="n">
        <v>0.14</v>
      </c>
      <c r="AA42" s="32" t="n">
        <v>0.14</v>
      </c>
      <c r="AB42" s="125" t="n">
        <v>0.6</v>
      </c>
      <c r="AC42" s="125" t="n">
        <v>0.6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2" t="n">
        <v>36.0513</v>
      </c>
      <c r="H43" s="131" t="n">
        <v>20</v>
      </c>
      <c r="I43" s="178" t="n">
        <v>10</v>
      </c>
      <c r="J43" s="124"/>
      <c r="K43" s="132"/>
      <c r="L43" s="132"/>
      <c r="M43" s="132"/>
      <c r="N43" s="133"/>
      <c r="O43" s="132"/>
      <c r="P43" s="177" t="n">
        <v>4.927</v>
      </c>
      <c r="Q43" s="124"/>
      <c r="R43" s="124"/>
      <c r="S43" s="125" t="n">
        <v>214.8</v>
      </c>
      <c r="T43" s="32" t="n">
        <v>0.03</v>
      </c>
      <c r="U43" s="32" t="n">
        <v>0.03</v>
      </c>
      <c r="V43" s="135"/>
      <c r="W43" s="135"/>
      <c r="X43" s="125" t="n">
        <v>0.1</v>
      </c>
      <c r="Y43" s="125" t="n">
        <v>0.1</v>
      </c>
      <c r="Z43" s="32" t="n">
        <v>0.13</v>
      </c>
      <c r="AA43" s="32" t="n">
        <v>0.12</v>
      </c>
      <c r="AB43" s="125" t="n">
        <v>0.6</v>
      </c>
      <c r="AC43" s="125" t="n">
        <v>0.6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2" t="n">
        <v>36.0513</v>
      </c>
      <c r="H44" s="131" t="n">
        <v>10</v>
      </c>
      <c r="I44" s="178" t="n">
        <v>9.8</v>
      </c>
      <c r="J44" s="124"/>
      <c r="K44" s="132"/>
      <c r="L44" s="132"/>
      <c r="M44" s="132"/>
      <c r="N44" s="133"/>
      <c r="O44" s="132"/>
      <c r="P44" s="177" t="n">
        <v>4.863</v>
      </c>
      <c r="Q44" s="124"/>
      <c r="R44" s="124"/>
      <c r="S44" s="125" t="n">
        <v>212</v>
      </c>
      <c r="T44" s="32" t="n">
        <v>0.03</v>
      </c>
      <c r="U44" s="32" t="n">
        <v>0.03</v>
      </c>
      <c r="V44" s="135"/>
      <c r="W44" s="135"/>
      <c r="X44" s="125" t="n">
        <v>0</v>
      </c>
      <c r="Y44" s="125" t="n">
        <v>0</v>
      </c>
      <c r="Z44" s="32" t="n">
        <v>0.14</v>
      </c>
      <c r="AA44" s="32" t="n">
        <v>0.13</v>
      </c>
      <c r="AB44" s="125" t="n">
        <v>0.6</v>
      </c>
      <c r="AC44" s="125" t="n">
        <v>0.6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8" t="n">
        <v>36.0543</v>
      </c>
      <c r="H45" s="131" t="n">
        <v>0</v>
      </c>
      <c r="I45" s="131" t="n">
        <v>2.3</v>
      </c>
      <c r="J45" s="124"/>
      <c r="K45" s="132"/>
      <c r="L45" s="132"/>
      <c r="M45" s="132"/>
      <c r="N45" s="133"/>
      <c r="O45" s="132"/>
      <c r="P45" s="177" t="n">
        <v>4.903</v>
      </c>
      <c r="Q45" s="124"/>
      <c r="R45" s="124"/>
      <c r="S45" s="125" t="n">
        <v>213.8</v>
      </c>
      <c r="T45" s="32" t="n">
        <v>0.03</v>
      </c>
      <c r="U45" s="32" t="n">
        <v>0.03</v>
      </c>
      <c r="V45" s="135"/>
      <c r="W45" s="135"/>
      <c r="X45" s="125" t="n">
        <v>0.1</v>
      </c>
      <c r="Y45" s="125" t="n">
        <v>0.1</v>
      </c>
      <c r="Z45" s="32" t="n">
        <v>0.12</v>
      </c>
      <c r="AA45" s="32" t="n">
        <v>0.11</v>
      </c>
      <c r="AB45" s="125" t="n">
        <v>0.5</v>
      </c>
      <c r="AC45" s="125" t="n">
        <v>0.5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38984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3.74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-6°3,74</v>
      </c>
      <c r="P9" s="29" t="s">
        <v>16</v>
      </c>
      <c r="Q9" s="33" t="n">
        <f aca="false">IF(ISBLANK(I9),"",IF(ISBLANK(J9),"",IF(J9&gt;60,"ERREUR !!",O11*(I9+(J9/60)))))</f>
        <v>-6.06233333333333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1.08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-10°1,08</v>
      </c>
      <c r="P10" s="29" t="s">
        <v>17</v>
      </c>
      <c r="Q10" s="33" t="n">
        <f aca="false">IF(ISBLANK(I10),"",IF(ISBLANK(J10),"",IF(J10&gt;60,"ERREUR !!",O12*(I10+(J10/60)))))</f>
        <v>-10.018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38983</v>
      </c>
      <c r="K11" s="38"/>
      <c r="L11" s="38"/>
      <c r="M11" s="38"/>
      <c r="N11" s="39" t="str">
        <f aca="false">I9&amp;"°"&amp;J9</f>
        <v>6°3,74</v>
      </c>
      <c r="O11" s="40" t="n">
        <f aca="false">IF(P9=M10,-1,1)</f>
        <v>-1</v>
      </c>
      <c r="P11" s="41" t="str">
        <f aca="false">TEXT(J11,"aaaa-mm-jj")&amp;"T"&amp;TEXT(J12,"hh:mm:ss")&amp;"z"</f>
        <v>2010-09-24T23:10:00z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183" t="n">
        <v>0.965277777777778</v>
      </c>
      <c r="K12" s="45"/>
      <c r="L12" s="45"/>
      <c r="M12" s="45"/>
      <c r="N12" s="46" t="str">
        <f aca="false">I10&amp;"°"&amp;J10</f>
        <v>10°1,08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34.951</v>
      </c>
      <c r="H35" s="118" t="n">
        <v>2000</v>
      </c>
      <c r="I35" s="131" t="n">
        <v>2000.7</v>
      </c>
      <c r="J35" s="119"/>
      <c r="K35" s="120"/>
      <c r="L35" s="120"/>
      <c r="M35" s="120"/>
      <c r="N35" s="121"/>
      <c r="O35" s="120"/>
      <c r="P35" s="174" t="n">
        <v>5.566</v>
      </c>
      <c r="Q35" s="119"/>
      <c r="R35" s="119"/>
      <c r="S35" s="175" t="n">
        <v>241.9</v>
      </c>
      <c r="T35" s="32" t="n">
        <v>0</v>
      </c>
      <c r="U35" s="32" t="n">
        <v>0</v>
      </c>
      <c r="V35" s="135"/>
      <c r="W35" s="135"/>
      <c r="X35" s="125" t="n">
        <v>21.3</v>
      </c>
      <c r="Y35" s="125" t="n">
        <v>20.8</v>
      </c>
      <c r="Z35" s="32" t="n">
        <v>1.39</v>
      </c>
      <c r="AA35" s="32" t="n">
        <v>1.36</v>
      </c>
      <c r="AB35" s="125" t="n">
        <v>25.3</v>
      </c>
      <c r="AC35" s="125" t="n">
        <v>24.7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34.6065</v>
      </c>
      <c r="H36" s="131" t="n">
        <v>1000</v>
      </c>
      <c r="I36" s="131" t="n">
        <v>999.5</v>
      </c>
      <c r="J36" s="124"/>
      <c r="K36" s="132"/>
      <c r="L36" s="132"/>
      <c r="M36" s="132"/>
      <c r="N36" s="133"/>
      <c r="O36" s="132"/>
      <c r="P36" s="177" t="n">
        <v>3.671</v>
      </c>
      <c r="Q36" s="124"/>
      <c r="R36" s="124"/>
      <c r="S36" s="125" t="n">
        <v>159.6</v>
      </c>
      <c r="T36" s="32" t="n">
        <v>0</v>
      </c>
      <c r="U36" s="32" t="n">
        <v>0</v>
      </c>
      <c r="V36" s="135"/>
      <c r="W36" s="135"/>
      <c r="X36" s="125" t="n">
        <v>33.8</v>
      </c>
      <c r="Y36" s="125" t="n">
        <v>33</v>
      </c>
      <c r="Z36" s="32" t="n">
        <v>2.2</v>
      </c>
      <c r="AA36" s="32" t="n">
        <v>2.15</v>
      </c>
      <c r="AB36" s="125" t="n">
        <v>33.2</v>
      </c>
      <c r="AC36" s="125" t="n">
        <v>32.5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34.6384</v>
      </c>
      <c r="H37" s="131" t="n">
        <v>500</v>
      </c>
      <c r="I37" s="179" t="n">
        <v>498.5</v>
      </c>
      <c r="J37" s="124"/>
      <c r="K37" s="132"/>
      <c r="L37" s="132"/>
      <c r="M37" s="132"/>
      <c r="N37" s="133"/>
      <c r="O37" s="132"/>
      <c r="P37" s="177" t="n">
        <v>2.065</v>
      </c>
      <c r="Q37" s="124"/>
      <c r="R37" s="124"/>
      <c r="S37" s="125" t="n">
        <v>89.8</v>
      </c>
      <c r="T37" s="32" t="n">
        <v>0</v>
      </c>
      <c r="U37" s="32" t="n">
        <v>0</v>
      </c>
      <c r="V37" s="135"/>
      <c r="W37" s="135"/>
      <c r="X37" s="125" t="n">
        <v>37.3</v>
      </c>
      <c r="Y37" s="125" t="n">
        <v>36.4</v>
      </c>
      <c r="Z37" s="32" t="n">
        <v>2.32</v>
      </c>
      <c r="AA37" s="32" t="n">
        <v>2.26</v>
      </c>
      <c r="AB37" s="125" t="n">
        <v>20.5</v>
      </c>
      <c r="AC37" s="125" t="n">
        <v>20.1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35.837</v>
      </c>
      <c r="H38" s="131" t="n">
        <v>100</v>
      </c>
      <c r="I38" s="179" t="n">
        <v>97.2</v>
      </c>
      <c r="J38" s="124"/>
      <c r="K38" s="132"/>
      <c r="L38" s="132"/>
      <c r="M38" s="132"/>
      <c r="N38" s="133"/>
      <c r="O38" s="132"/>
      <c r="P38" s="177" t="n">
        <v>2.932</v>
      </c>
      <c r="Q38" s="124"/>
      <c r="R38" s="124"/>
      <c r="S38" s="125" t="n">
        <v>127.6</v>
      </c>
      <c r="T38" s="32" t="n">
        <v>0.13</v>
      </c>
      <c r="U38" s="32" t="n">
        <v>0.13</v>
      </c>
      <c r="V38" s="135"/>
      <c r="W38" s="135"/>
      <c r="X38" s="125" t="n">
        <v>14.5</v>
      </c>
      <c r="Y38" s="125" t="n">
        <v>14.2</v>
      </c>
      <c r="Z38" s="32" t="n">
        <v>1.02</v>
      </c>
      <c r="AA38" s="32" t="n">
        <v>0.99</v>
      </c>
      <c r="AB38" s="125" t="n">
        <v>4.3</v>
      </c>
      <c r="AC38" s="125" t="n">
        <v>4.2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36.0578</v>
      </c>
      <c r="H39" s="131" t="n">
        <v>80</v>
      </c>
      <c r="I39" s="179" t="n">
        <v>80</v>
      </c>
      <c r="J39" s="124"/>
      <c r="K39" s="132"/>
      <c r="L39" s="132"/>
      <c r="M39" s="132"/>
      <c r="N39" s="133"/>
      <c r="O39" s="132"/>
      <c r="P39" s="177" t="n">
        <v>3.576</v>
      </c>
      <c r="Q39" s="124"/>
      <c r="R39" s="124"/>
      <c r="S39" s="125" t="n">
        <v>155.7</v>
      </c>
      <c r="T39" s="32" t="n">
        <v>0.38</v>
      </c>
      <c r="U39" s="32" t="n">
        <v>0.37</v>
      </c>
      <c r="V39" s="135"/>
      <c r="W39" s="135"/>
      <c r="X39" s="125" t="n">
        <v>8.4</v>
      </c>
      <c r="Y39" s="125" t="n">
        <v>8.2</v>
      </c>
      <c r="Z39" s="32" t="n">
        <v>0.72</v>
      </c>
      <c r="AA39" s="32" t="n">
        <v>0.71</v>
      </c>
      <c r="AB39" s="125" t="n">
        <v>3</v>
      </c>
      <c r="AC39" s="125" t="n">
        <v>2.9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36.1568</v>
      </c>
      <c r="H40" s="131" t="n">
        <v>60</v>
      </c>
      <c r="I40" s="179" t="n">
        <v>59.4</v>
      </c>
      <c r="J40" s="124"/>
      <c r="K40" s="132"/>
      <c r="L40" s="132"/>
      <c r="M40" s="132"/>
      <c r="N40" s="133"/>
      <c r="O40" s="132"/>
      <c r="P40" s="177" t="n">
        <v>4.449</v>
      </c>
      <c r="Q40" s="124"/>
      <c r="R40" s="124"/>
      <c r="S40" s="125" t="n">
        <v>193.9</v>
      </c>
      <c r="T40" s="32" t="n">
        <v>0.42</v>
      </c>
      <c r="U40" s="32" t="n">
        <v>0.41</v>
      </c>
      <c r="V40" s="135"/>
      <c r="W40" s="135"/>
      <c r="X40" s="125" t="n">
        <v>2</v>
      </c>
      <c r="Y40" s="125" t="n">
        <v>2</v>
      </c>
      <c r="Z40" s="32" t="n">
        <v>0.31</v>
      </c>
      <c r="AA40" s="32" t="n">
        <v>0.3</v>
      </c>
      <c r="AB40" s="125" t="n">
        <v>1.6</v>
      </c>
      <c r="AC40" s="125" t="n">
        <v>1.6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36.2016</v>
      </c>
      <c r="H41" s="131" t="n">
        <v>40</v>
      </c>
      <c r="I41" s="179" t="n">
        <v>40.7</v>
      </c>
      <c r="J41" s="124"/>
      <c r="K41" s="132"/>
      <c r="L41" s="132"/>
      <c r="M41" s="132"/>
      <c r="N41" s="133"/>
      <c r="O41" s="132"/>
      <c r="P41" s="177" t="n">
        <v>4.844</v>
      </c>
      <c r="Q41" s="124"/>
      <c r="R41" s="124"/>
      <c r="S41" s="125" t="n">
        <v>211.2</v>
      </c>
      <c r="T41" s="32" t="n">
        <v>0</v>
      </c>
      <c r="U41" s="32" t="n">
        <v>0</v>
      </c>
      <c r="V41" s="135"/>
      <c r="W41" s="135"/>
      <c r="X41" s="125" t="n">
        <v>0.1</v>
      </c>
      <c r="Y41" s="125" t="n">
        <v>0.1</v>
      </c>
      <c r="Z41" s="32" t="n">
        <v>0.13</v>
      </c>
      <c r="AA41" s="32" t="n">
        <v>0.12</v>
      </c>
      <c r="AB41" s="125" t="n">
        <v>1.3</v>
      </c>
      <c r="AC41" s="125" t="n">
        <v>1.3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36.1955</v>
      </c>
      <c r="H42" s="131" t="n">
        <v>20</v>
      </c>
      <c r="I42" s="179" t="n">
        <v>20</v>
      </c>
      <c r="J42" s="124"/>
      <c r="K42" s="132"/>
      <c r="L42" s="132"/>
      <c r="M42" s="132"/>
      <c r="N42" s="133"/>
      <c r="O42" s="132"/>
      <c r="P42" s="177" t="n">
        <v>4.842</v>
      </c>
      <c r="Q42" s="124"/>
      <c r="R42" s="124"/>
      <c r="S42" s="125" t="n">
        <v>211.1</v>
      </c>
      <c r="T42" s="32" t="n">
        <v>0</v>
      </c>
      <c r="U42" s="32" t="n">
        <v>0</v>
      </c>
      <c r="V42" s="135"/>
      <c r="W42" s="135"/>
      <c r="X42" s="125" t="n">
        <v>0.1</v>
      </c>
      <c r="Y42" s="125" t="n">
        <v>0.1</v>
      </c>
      <c r="Z42" s="32" t="n">
        <v>0.15</v>
      </c>
      <c r="AA42" s="32" t="n">
        <v>0.14</v>
      </c>
      <c r="AB42" s="125" t="n">
        <v>1.2</v>
      </c>
      <c r="AC42" s="125" t="n">
        <v>1.2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36.1957</v>
      </c>
      <c r="H43" s="131" t="n">
        <v>10</v>
      </c>
      <c r="I43" s="179" t="n">
        <v>9.9</v>
      </c>
      <c r="J43" s="124"/>
      <c r="K43" s="132"/>
      <c r="L43" s="132"/>
      <c r="M43" s="132"/>
      <c r="N43" s="133"/>
      <c r="O43" s="132"/>
      <c r="P43" s="177" t="n">
        <v>4.827</v>
      </c>
      <c r="Q43" s="124"/>
      <c r="R43" s="124"/>
      <c r="S43" s="125" t="n">
        <v>210.4</v>
      </c>
      <c r="T43" s="32" t="n">
        <v>0.01</v>
      </c>
      <c r="U43" s="32" t="n">
        <v>0.01</v>
      </c>
      <c r="V43" s="135"/>
      <c r="W43" s="135"/>
      <c r="X43" s="125" t="n">
        <v>0.1</v>
      </c>
      <c r="Y43" s="125" t="n">
        <v>0.1</v>
      </c>
      <c r="Z43" s="32" t="n">
        <v>0.16</v>
      </c>
      <c r="AA43" s="32" t="n">
        <v>0.15</v>
      </c>
      <c r="AB43" s="125" t="n">
        <v>1.2</v>
      </c>
      <c r="AC43" s="125" t="n">
        <v>1.2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2" t="n">
        <v>36.1949</v>
      </c>
      <c r="H44" s="131" t="n">
        <v>10</v>
      </c>
      <c r="I44" s="178" t="n">
        <v>2.2</v>
      </c>
      <c r="J44" s="124"/>
      <c r="K44" s="132"/>
      <c r="L44" s="132"/>
      <c r="M44" s="132"/>
      <c r="N44" s="133"/>
      <c r="O44" s="132"/>
      <c r="P44" s="177" t="n">
        <v>4.828</v>
      </c>
      <c r="Q44" s="124"/>
      <c r="R44" s="124"/>
      <c r="S44" s="125" t="n">
        <v>210.5</v>
      </c>
      <c r="T44" s="32" t="n">
        <v>0.01</v>
      </c>
      <c r="U44" s="32" t="n">
        <v>0.01</v>
      </c>
      <c r="V44" s="135"/>
      <c r="W44" s="135"/>
      <c r="X44" s="125" t="n">
        <v>0.1</v>
      </c>
      <c r="Y44" s="125" t="n">
        <v>0.1</v>
      </c>
      <c r="Z44" s="32" t="n">
        <v>0.15</v>
      </c>
      <c r="AA44" s="32" t="n">
        <v>0.14</v>
      </c>
      <c r="AB44" s="125" t="n">
        <v>1.3</v>
      </c>
      <c r="AC44" s="125" t="n">
        <v>1.2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2" t="n">
        <v>36.1948</v>
      </c>
      <c r="H45" s="131" t="n">
        <v>0</v>
      </c>
      <c r="I45" s="178" t="n">
        <v>2.5</v>
      </c>
      <c r="J45" s="124"/>
      <c r="K45" s="132"/>
      <c r="L45" s="132"/>
      <c r="M45" s="132"/>
      <c r="N45" s="133"/>
      <c r="O45" s="132"/>
      <c r="P45" s="177" t="n">
        <v>4.867</v>
      </c>
      <c r="Q45" s="124"/>
      <c r="R45" s="124"/>
      <c r="S45" s="125" t="n">
        <v>212.1</v>
      </c>
      <c r="T45" s="32" t="n">
        <v>0.02</v>
      </c>
      <c r="U45" s="32" t="n">
        <v>0.02</v>
      </c>
      <c r="V45" s="135"/>
      <c r="W45" s="135"/>
      <c r="X45" s="125" t="n">
        <v>0</v>
      </c>
      <c r="Y45" s="125" t="n">
        <v>0</v>
      </c>
      <c r="Z45" s="32" t="n">
        <v>0.16</v>
      </c>
      <c r="AA45" s="32" t="n">
        <v>0.15</v>
      </c>
      <c r="AB45" s="125" t="n">
        <v>1.2</v>
      </c>
      <c r="AC45" s="125" t="n">
        <v>1.2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5</v>
      </c>
      <c r="J9" s="29" t="n">
        <v>30.06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-5°30,06</v>
      </c>
      <c r="P9" s="29" t="s">
        <v>16</v>
      </c>
      <c r="Q9" s="33" t="n">
        <f aca="false">IF(ISBLANK(I9),"",IF(ISBLANK(J9),"",IF(J9&gt;60,"ERREUR !!",O11*(I9+(J9/60)))))</f>
        <v>-5.501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-10°0,18</v>
      </c>
      <c r="P10" s="29" t="s">
        <v>17</v>
      </c>
      <c r="Q10" s="33" t="n">
        <f aca="false">IF(ISBLANK(I10),"",IF(ISBLANK(J10),"",IF(J10&gt;60,"ERREUR !!",O12*(I10+(J10/60)))))</f>
        <v>-10.003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38984</v>
      </c>
      <c r="K11" s="38"/>
      <c r="L11" s="38"/>
      <c r="M11" s="38"/>
      <c r="N11" s="39" t="str">
        <f aca="false">I9&amp;"°"&amp;J9</f>
        <v>5°30,06</v>
      </c>
      <c r="O11" s="40" t="n">
        <f aca="false">IF(P9=M10,-1,1)</f>
        <v>-1</v>
      </c>
      <c r="P11" s="41" t="str">
        <f aca="false">TEXT(J11,"aaaa-mm-jj")&amp;"T"&amp;TEXT(J12,"hh:mm:ss")&amp;"z"</f>
        <v>2010-09-25T18:30:00z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0.770833333333333</v>
      </c>
      <c r="K12" s="45"/>
      <c r="L12" s="45"/>
      <c r="M12" s="45"/>
      <c r="N12" s="46" t="str">
        <f aca="false">I10&amp;"°"&amp;J10</f>
        <v>10°0,18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34.9485</v>
      </c>
      <c r="H35" s="118" t="n">
        <v>2000</v>
      </c>
      <c r="I35" s="178" t="n">
        <v>1999</v>
      </c>
      <c r="J35" s="119"/>
      <c r="K35" s="120"/>
      <c r="L35" s="120"/>
      <c r="M35" s="120"/>
      <c r="N35" s="121"/>
      <c r="O35" s="120"/>
      <c r="P35" s="185" t="n">
        <v>5.61</v>
      </c>
      <c r="Q35" s="119"/>
      <c r="R35" s="119"/>
      <c r="S35" s="174" t="n">
        <v>243.804</v>
      </c>
      <c r="T35" s="32" t="n">
        <v>0</v>
      </c>
      <c r="U35" s="32" t="n">
        <v>0</v>
      </c>
      <c r="V35" s="135"/>
      <c r="W35" s="135"/>
      <c r="X35" s="125" t="n">
        <v>21.6</v>
      </c>
      <c r="Y35" s="125" t="n">
        <v>21.1</v>
      </c>
      <c r="Z35" s="32" t="n">
        <v>1.4</v>
      </c>
      <c r="AA35" s="32" t="n">
        <v>1.37</v>
      </c>
      <c r="AB35" s="125" t="n">
        <v>24.8</v>
      </c>
      <c r="AC35" s="125" t="n">
        <v>24.2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38" t="n">
        <v>34.949</v>
      </c>
      <c r="H36" s="118" t="n">
        <v>2000</v>
      </c>
      <c r="I36" s="178" t="n">
        <v>2000</v>
      </c>
      <c r="J36" s="124"/>
      <c r="K36" s="132"/>
      <c r="L36" s="132"/>
      <c r="M36" s="132"/>
      <c r="N36" s="133"/>
      <c r="O36" s="132"/>
      <c r="P36" s="185" t="n">
        <v>5.585</v>
      </c>
      <c r="Q36" s="124"/>
      <c r="R36" s="124"/>
      <c r="S36" s="177" t="n">
        <v>242.752</v>
      </c>
      <c r="T36" s="32" t="n">
        <v>0.05</v>
      </c>
      <c r="U36" s="32" t="n">
        <v>0.05</v>
      </c>
      <c r="V36" s="135"/>
      <c r="W36" s="135"/>
      <c r="X36" s="125" t="n">
        <v>21.9</v>
      </c>
      <c r="Y36" s="125" t="n">
        <v>21.4</v>
      </c>
      <c r="Z36" s="32" t="n">
        <v>1.42</v>
      </c>
      <c r="AA36" s="32" t="n">
        <v>1.39</v>
      </c>
      <c r="AB36" s="125" t="n">
        <v>25.4</v>
      </c>
      <c r="AC36" s="125" t="n">
        <v>24.8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38" t="n">
        <v>34.6066</v>
      </c>
      <c r="H37" s="131" t="n">
        <v>1000</v>
      </c>
      <c r="I37" s="179" t="n">
        <v>1000.5</v>
      </c>
      <c r="J37" s="124"/>
      <c r="K37" s="132"/>
      <c r="L37" s="132"/>
      <c r="M37" s="132"/>
      <c r="N37" s="133"/>
      <c r="O37" s="132"/>
      <c r="P37" s="186" t="n">
        <v>3.584</v>
      </c>
      <c r="Q37" s="124"/>
      <c r="R37" s="124"/>
      <c r="S37" s="177" t="n">
        <v>155.813</v>
      </c>
      <c r="T37" s="32" t="n">
        <v>0.04</v>
      </c>
      <c r="U37" s="32" t="n">
        <v>0.04</v>
      </c>
      <c r="V37" s="135"/>
      <c r="W37" s="135"/>
      <c r="X37" s="125" t="n">
        <v>34.8</v>
      </c>
      <c r="Y37" s="125" t="n">
        <v>34</v>
      </c>
      <c r="Z37" s="32" t="n">
        <v>2.35</v>
      </c>
      <c r="AA37" s="32" t="n">
        <v>2.29</v>
      </c>
      <c r="AB37" s="125" t="n">
        <v>33.9</v>
      </c>
      <c r="AC37" s="125" t="n">
        <v>33.1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34.6451</v>
      </c>
      <c r="H38" s="131" t="n">
        <v>500</v>
      </c>
      <c r="I38" s="179" t="n">
        <v>499.4</v>
      </c>
      <c r="J38" s="124"/>
      <c r="K38" s="132"/>
      <c r="L38" s="132"/>
      <c r="M38" s="132"/>
      <c r="N38" s="133"/>
      <c r="O38" s="132"/>
      <c r="P38" s="186" t="n">
        <v>1.867</v>
      </c>
      <c r="Q38" s="124"/>
      <c r="R38" s="124"/>
      <c r="S38" s="177" t="n">
        <v>81.218</v>
      </c>
      <c r="T38" s="32" t="n">
        <v>0.01</v>
      </c>
      <c r="U38" s="32" t="n">
        <v>0.01</v>
      </c>
      <c r="V38" s="135"/>
      <c r="W38" s="135"/>
      <c r="X38" s="125" t="n">
        <v>38.1</v>
      </c>
      <c r="Y38" s="125" t="n">
        <v>37.2</v>
      </c>
      <c r="Z38" s="32" t="n">
        <v>2.37</v>
      </c>
      <c r="AA38" s="32" t="n">
        <v>2.31</v>
      </c>
      <c r="AB38" s="125" t="n">
        <v>20.1</v>
      </c>
      <c r="AC38" s="125" t="n">
        <v>19.6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35.7804</v>
      </c>
      <c r="H39" s="131" t="n">
        <v>100</v>
      </c>
      <c r="I39" s="179" t="n">
        <v>97.2</v>
      </c>
      <c r="J39" s="124"/>
      <c r="K39" s="132"/>
      <c r="L39" s="132"/>
      <c r="M39" s="132"/>
      <c r="N39" s="133"/>
      <c r="O39" s="132"/>
      <c r="P39" s="186" t="n">
        <v>2.891</v>
      </c>
      <c r="Q39" s="124"/>
      <c r="R39" s="124"/>
      <c r="S39" s="177" t="n">
        <v>125.863</v>
      </c>
      <c r="T39" s="32" t="n">
        <v>0.02</v>
      </c>
      <c r="U39" s="32" t="n">
        <v>0.02</v>
      </c>
      <c r="V39" s="135"/>
      <c r="W39" s="135"/>
      <c r="X39" s="125" t="n">
        <v>15.1</v>
      </c>
      <c r="Y39" s="125" t="n">
        <v>14.7</v>
      </c>
      <c r="Z39" s="32" t="n">
        <v>1.09</v>
      </c>
      <c r="AA39" s="32" t="n">
        <v>1.06</v>
      </c>
      <c r="AB39" s="125" t="n">
        <v>4.4</v>
      </c>
      <c r="AC39" s="125" t="n">
        <v>4.3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35.992</v>
      </c>
      <c r="H40" s="131" t="n">
        <v>80</v>
      </c>
      <c r="I40" s="179" t="n">
        <v>78.8</v>
      </c>
      <c r="J40" s="124"/>
      <c r="K40" s="132"/>
      <c r="L40" s="132"/>
      <c r="M40" s="132"/>
      <c r="N40" s="133"/>
      <c r="O40" s="132"/>
      <c r="P40" s="186" t="n">
        <v>3.854</v>
      </c>
      <c r="Q40" s="124"/>
      <c r="R40" s="124"/>
      <c r="S40" s="177" t="n">
        <v>167.909</v>
      </c>
      <c r="T40" s="32" t="n">
        <v>0.89</v>
      </c>
      <c r="U40" s="32" t="n">
        <v>0.87</v>
      </c>
      <c r="V40" s="135"/>
      <c r="W40" s="135"/>
      <c r="X40" s="125" t="n">
        <v>6.3</v>
      </c>
      <c r="Y40" s="125" t="n">
        <v>6.1</v>
      </c>
      <c r="Z40" s="32" t="n">
        <v>0.62</v>
      </c>
      <c r="AA40" s="32" t="n">
        <v>0.61</v>
      </c>
      <c r="AB40" s="125" t="n">
        <v>2.5</v>
      </c>
      <c r="AC40" s="125" t="n">
        <v>2.5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35.9655</v>
      </c>
      <c r="H41" s="131" t="n">
        <v>60</v>
      </c>
      <c r="I41" s="179" t="n">
        <v>60.7</v>
      </c>
      <c r="J41" s="124"/>
      <c r="K41" s="132"/>
      <c r="L41" s="132"/>
      <c r="M41" s="132"/>
      <c r="N41" s="133"/>
      <c r="O41" s="132"/>
      <c r="P41" s="186" t="n">
        <v>4.72</v>
      </c>
      <c r="Q41" s="124"/>
      <c r="R41" s="124"/>
      <c r="S41" s="177" t="n">
        <v>205.747</v>
      </c>
      <c r="T41" s="32" t="n">
        <v>0.12</v>
      </c>
      <c r="U41" s="32" t="n">
        <v>0.12</v>
      </c>
      <c r="V41" s="135"/>
      <c r="W41" s="135"/>
      <c r="X41" s="125" t="n">
        <v>0.6</v>
      </c>
      <c r="Y41" s="125" t="n">
        <v>0.6</v>
      </c>
      <c r="Z41" s="32" t="n">
        <v>0.27</v>
      </c>
      <c r="AA41" s="32" t="n">
        <v>0.26</v>
      </c>
      <c r="AB41" s="125" t="n">
        <v>1.7</v>
      </c>
      <c r="AC41" s="125" t="n">
        <v>1.6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35.9346</v>
      </c>
      <c r="H42" s="131" t="n">
        <v>40</v>
      </c>
      <c r="I42" s="179" t="n">
        <v>40</v>
      </c>
      <c r="J42" s="124"/>
      <c r="K42" s="132"/>
      <c r="L42" s="132"/>
      <c r="M42" s="132"/>
      <c r="N42" s="133"/>
      <c r="O42" s="132"/>
      <c r="P42" s="186" t="n">
        <v>4.894</v>
      </c>
      <c r="Q42" s="124"/>
      <c r="R42" s="124"/>
      <c r="S42" s="177" t="n">
        <v>213.37</v>
      </c>
      <c r="T42" s="32" t="n">
        <v>0.02</v>
      </c>
      <c r="U42" s="32" t="n">
        <v>0.02</v>
      </c>
      <c r="V42" s="135"/>
      <c r="W42" s="135"/>
      <c r="X42" s="125" t="n">
        <v>0.2</v>
      </c>
      <c r="Y42" s="125" t="n">
        <v>0.2</v>
      </c>
      <c r="Z42" s="32" t="n">
        <v>0.25</v>
      </c>
      <c r="AA42" s="32" t="n">
        <v>0.25</v>
      </c>
      <c r="AB42" s="125" t="n">
        <v>1.7</v>
      </c>
      <c r="AC42" s="125" t="n">
        <v>1.7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35.937</v>
      </c>
      <c r="H43" s="131" t="n">
        <v>20</v>
      </c>
      <c r="I43" s="179" t="n">
        <v>20.6</v>
      </c>
      <c r="J43" s="124"/>
      <c r="K43" s="132"/>
      <c r="L43" s="132"/>
      <c r="M43" s="132"/>
      <c r="N43" s="133"/>
      <c r="O43" s="132"/>
      <c r="P43" s="186" t="n">
        <v>4.862</v>
      </c>
      <c r="Q43" s="124"/>
      <c r="R43" s="124"/>
      <c r="S43" s="177" t="n">
        <v>211.974</v>
      </c>
      <c r="T43" s="32" t="n">
        <v>0.04</v>
      </c>
      <c r="U43" s="32" t="n">
        <v>0.04</v>
      </c>
      <c r="V43" s="135"/>
      <c r="W43" s="135"/>
      <c r="X43" s="125" t="n">
        <v>0.3</v>
      </c>
      <c r="Y43" s="125" t="n">
        <v>0.3</v>
      </c>
      <c r="Z43" s="32" t="n">
        <v>0.25</v>
      </c>
      <c r="AA43" s="32" t="n">
        <v>0.24</v>
      </c>
      <c r="AB43" s="125" t="n">
        <v>1.7</v>
      </c>
      <c r="AC43" s="125" t="n">
        <v>1.6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35.9368</v>
      </c>
      <c r="H44" s="131" t="n">
        <v>10</v>
      </c>
      <c r="I44" s="179" t="n">
        <v>10.6</v>
      </c>
      <c r="J44" s="124"/>
      <c r="K44" s="132"/>
      <c r="L44" s="132"/>
      <c r="M44" s="132"/>
      <c r="N44" s="133"/>
      <c r="O44" s="132"/>
      <c r="P44" s="186" t="n">
        <v>4.85</v>
      </c>
      <c r="Q44" s="124"/>
      <c r="R44" s="124"/>
      <c r="S44" s="177" t="n">
        <v>211.44</v>
      </c>
      <c r="T44" s="32" t="n">
        <v>0.04</v>
      </c>
      <c r="U44" s="32" t="n">
        <v>0.04</v>
      </c>
      <c r="V44" s="135"/>
      <c r="W44" s="135"/>
      <c r="X44" s="125" t="n">
        <v>0.3</v>
      </c>
      <c r="Y44" s="125" t="n">
        <v>0.3</v>
      </c>
      <c r="Z44" s="32" t="n">
        <v>0.23</v>
      </c>
      <c r="AA44" s="32" t="n">
        <v>0.22</v>
      </c>
      <c r="AB44" s="125" t="n">
        <v>1.6</v>
      </c>
      <c r="AC44" s="125" t="n">
        <v>1.6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35.937</v>
      </c>
      <c r="H45" s="131" t="n">
        <v>0</v>
      </c>
      <c r="I45" s="179" t="n">
        <v>2</v>
      </c>
      <c r="J45" s="124"/>
      <c r="K45" s="132"/>
      <c r="L45" s="132"/>
      <c r="M45" s="132"/>
      <c r="N45" s="133"/>
      <c r="O45" s="132"/>
      <c r="P45" s="186" t="n">
        <v>4.853</v>
      </c>
      <c r="Q45" s="124"/>
      <c r="R45" s="124"/>
      <c r="S45" s="177" t="n">
        <v>211.588</v>
      </c>
      <c r="T45" s="32" t="n">
        <v>0</v>
      </c>
      <c r="U45" s="32" t="n">
        <v>0</v>
      </c>
      <c r="V45" s="135"/>
      <c r="W45" s="135"/>
      <c r="X45" s="125" t="n">
        <v>0.3</v>
      </c>
      <c r="Y45" s="125" t="n">
        <v>0.2</v>
      </c>
      <c r="Z45" s="32" t="n">
        <v>0.23</v>
      </c>
      <c r="AA45" s="32" t="n">
        <v>0.22</v>
      </c>
      <c r="AB45" s="125" t="n">
        <v>1.5</v>
      </c>
      <c r="AC45" s="125" t="n">
        <v>1.5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/>
      <c r="Q46" s="151"/>
      <c r="R46" s="152"/>
      <c r="S46" s="152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/>
      <c r="R47" s="157"/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/>
      <c r="R48" s="157"/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/>
      <c r="Q49" s="151"/>
      <c r="R49" s="157"/>
      <c r="S49" s="157"/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/>
      <c r="Q50" s="151"/>
      <c r="R50" s="157"/>
      <c r="S50" s="157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/>
      <c r="Q51" s="151"/>
      <c r="R51" s="157"/>
      <c r="S51" s="157"/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/>
      <c r="Q52" s="151"/>
      <c r="R52" s="157"/>
      <c r="S52" s="157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/>
      <c r="Q53" s="151"/>
      <c r="R53" s="157"/>
      <c r="S53" s="157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/>
      <c r="Q54" s="151"/>
      <c r="R54" s="157"/>
      <c r="S54" s="157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/>
      <c r="Q55" s="151"/>
      <c r="R55" s="157"/>
      <c r="S55" s="157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/>
      <c r="Q56" s="151"/>
      <c r="R56" s="157"/>
      <c r="S56" s="157"/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/>
      <c r="Q57" s="151"/>
      <c r="R57" s="157"/>
      <c r="S57" s="157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/>
      <c r="Q58" s="168"/>
      <c r="R58" s="169"/>
      <c r="S58" s="169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59.54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-4°59,54</v>
      </c>
      <c r="P9" s="29" t="s">
        <v>16</v>
      </c>
      <c r="Q9" s="33" t="n">
        <f aca="false">IF(ISBLANK(I9),"",IF(ISBLANK(J9),"",IF(J9&gt;60,"ERREUR !!",O11*(I9+(J9/60)))))</f>
        <v>-4.99233333333333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-10°0,16</v>
      </c>
      <c r="P10" s="29" t="s">
        <v>17</v>
      </c>
      <c r="Q10" s="33" t="n">
        <f aca="false">IF(ISBLANK(I10),"",IF(ISBLANK(J10),"",IF(J10&gt;60,"ERREUR !!",O12*(I10+(J10/60)))))</f>
        <v>-10.0026666666667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38984</v>
      </c>
      <c r="K11" s="38"/>
      <c r="L11" s="38"/>
      <c r="M11" s="38"/>
      <c r="N11" s="39" t="str">
        <f aca="false">I9&amp;"°"&amp;J9</f>
        <v>4°59,54</v>
      </c>
      <c r="O11" s="40" t="n">
        <f aca="false">IF(P9=M10,-1,1)</f>
        <v>-1</v>
      </c>
      <c r="P11" s="41" t="str">
        <f aca="false">TEXT(J11,"aaaa-mm-jj")&amp;"T"&amp;TEXT(J12,"hh:mm:ss")&amp;"z"</f>
        <v>2010-09-25T23:30:00z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0.979166666666667</v>
      </c>
      <c r="K12" s="45"/>
      <c r="L12" s="45"/>
      <c r="M12" s="45"/>
      <c r="N12" s="46" t="str">
        <f aca="false">I10&amp;"°"&amp;J10</f>
        <v>10°0,16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34.9633</v>
      </c>
      <c r="H35" s="118" t="n">
        <v>2000</v>
      </c>
      <c r="I35" s="179" t="n">
        <v>1999</v>
      </c>
      <c r="J35" s="119"/>
      <c r="K35" s="120"/>
      <c r="L35" s="120"/>
      <c r="M35" s="120"/>
      <c r="N35" s="121"/>
      <c r="O35" s="120"/>
      <c r="P35" s="187" t="n">
        <v>5.62</v>
      </c>
      <c r="Q35" s="119"/>
      <c r="R35" s="119"/>
      <c r="S35" s="175" t="n">
        <v>244.3</v>
      </c>
      <c r="T35" s="32" t="n">
        <v>0.01</v>
      </c>
      <c r="U35" s="32" t="n">
        <v>0.01</v>
      </c>
      <c r="V35" s="135"/>
      <c r="W35" s="135"/>
      <c r="X35" s="125" t="n">
        <v>20.3</v>
      </c>
      <c r="Y35" s="125" t="n">
        <v>19.8</v>
      </c>
      <c r="Z35" s="32" t="n">
        <v>1.34</v>
      </c>
      <c r="AA35" s="32" t="n">
        <v>1.31</v>
      </c>
      <c r="AB35" s="125" t="n">
        <v>20.3</v>
      </c>
      <c r="AC35" s="125" t="n">
        <v>19.8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2" t="n">
        <v>34.5908</v>
      </c>
      <c r="H36" s="131" t="n">
        <v>1000</v>
      </c>
      <c r="I36" s="178" t="n">
        <v>999.9</v>
      </c>
      <c r="J36" s="124"/>
      <c r="K36" s="132"/>
      <c r="L36" s="132"/>
      <c r="M36" s="132"/>
      <c r="N36" s="133"/>
      <c r="O36" s="132"/>
      <c r="P36" s="187" t="n">
        <v>3.571</v>
      </c>
      <c r="Q36" s="124"/>
      <c r="R36" s="124"/>
      <c r="S36" s="125" t="n">
        <v>155.3</v>
      </c>
      <c r="T36" s="32" t="n">
        <v>0.01</v>
      </c>
      <c r="U36" s="32" t="n">
        <v>0</v>
      </c>
      <c r="V36" s="135"/>
      <c r="W36" s="135"/>
      <c r="X36" s="125" t="n">
        <v>34</v>
      </c>
      <c r="Y36" s="125" t="n">
        <v>33.2</v>
      </c>
      <c r="Z36" s="32" t="n">
        <v>2.32</v>
      </c>
      <c r="AA36" s="32" t="n">
        <v>2.27</v>
      </c>
      <c r="AB36" s="125" t="n">
        <v>34.2</v>
      </c>
      <c r="AC36" s="125" t="n">
        <v>33.4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2" t="n">
        <v>34.5898</v>
      </c>
      <c r="H37" s="131" t="n">
        <v>1000</v>
      </c>
      <c r="I37" s="178" t="n">
        <v>999.5</v>
      </c>
      <c r="J37" s="124"/>
      <c r="K37" s="132"/>
      <c r="L37" s="132"/>
      <c r="M37" s="132"/>
      <c r="N37" s="133"/>
      <c r="O37" s="132"/>
      <c r="P37" s="187" t="n">
        <v>3.539</v>
      </c>
      <c r="Q37" s="124"/>
      <c r="R37" s="124"/>
      <c r="S37" s="125" t="n">
        <v>153.9</v>
      </c>
      <c r="T37" s="32" t="n">
        <v>0.02</v>
      </c>
      <c r="U37" s="32" t="n">
        <v>0.02</v>
      </c>
      <c r="V37" s="135"/>
      <c r="W37" s="135"/>
      <c r="X37" s="125" t="n">
        <v>33.6</v>
      </c>
      <c r="Y37" s="125" t="n">
        <v>32.8</v>
      </c>
      <c r="Z37" s="32" t="n">
        <v>2.31</v>
      </c>
      <c r="AA37" s="32" t="n">
        <v>2.26</v>
      </c>
      <c r="AB37" s="125" t="n">
        <v>34.3</v>
      </c>
      <c r="AC37" s="125" t="n">
        <v>33.5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38" t="n">
        <v>34.6541</v>
      </c>
      <c r="H38" s="131" t="n">
        <v>500</v>
      </c>
      <c r="I38" s="179" t="n">
        <v>499.6</v>
      </c>
      <c r="J38" s="124"/>
      <c r="K38" s="132"/>
      <c r="L38" s="132"/>
      <c r="M38" s="132"/>
      <c r="N38" s="133"/>
      <c r="O38" s="132"/>
      <c r="P38" s="187" t="n">
        <v>1.845</v>
      </c>
      <c r="Q38" s="124"/>
      <c r="R38" s="124"/>
      <c r="S38" s="125" t="n">
        <v>80.2</v>
      </c>
      <c r="T38" s="32" t="n">
        <v>0.02</v>
      </c>
      <c r="U38" s="32" t="n">
        <v>0.02</v>
      </c>
      <c r="V38" s="135"/>
      <c r="W38" s="135"/>
      <c r="X38" s="125" t="n">
        <v>37.4</v>
      </c>
      <c r="Y38" s="125" t="n">
        <v>36.5</v>
      </c>
      <c r="Z38" s="32" t="n">
        <v>2.38</v>
      </c>
      <c r="AA38" s="32" t="n">
        <v>2.33</v>
      </c>
      <c r="AB38" s="125" t="n">
        <v>21.1</v>
      </c>
      <c r="AC38" s="125" t="n">
        <v>20.6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35.4924</v>
      </c>
      <c r="H39" s="131" t="n">
        <v>100</v>
      </c>
      <c r="I39" s="179" t="n">
        <v>100.3</v>
      </c>
      <c r="J39" s="124"/>
      <c r="K39" s="132"/>
      <c r="L39" s="132"/>
      <c r="M39" s="132"/>
      <c r="N39" s="133"/>
      <c r="O39" s="132"/>
      <c r="P39" s="187"/>
      <c r="Q39" s="124"/>
      <c r="R39" s="124"/>
      <c r="S39" s="125"/>
      <c r="T39" s="32" t="n">
        <v>0.07</v>
      </c>
      <c r="U39" s="32" t="n">
        <v>0.07</v>
      </c>
      <c r="V39" s="135"/>
      <c r="W39" s="135"/>
      <c r="X39" s="125" t="n">
        <v>21.5</v>
      </c>
      <c r="Y39" s="125" t="n">
        <v>21</v>
      </c>
      <c r="Z39" s="32" t="n">
        <v>1.42</v>
      </c>
      <c r="AA39" s="32" t="n">
        <v>1.38</v>
      </c>
      <c r="AB39" s="125" t="n">
        <v>7.1</v>
      </c>
      <c r="AC39" s="125" t="n">
        <v>6.9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35.7529</v>
      </c>
      <c r="H40" s="131" t="n">
        <v>80</v>
      </c>
      <c r="I40" s="179" t="n">
        <v>80.1</v>
      </c>
      <c r="J40" s="124"/>
      <c r="K40" s="132"/>
      <c r="L40" s="132"/>
      <c r="M40" s="132"/>
      <c r="N40" s="133"/>
      <c r="O40" s="132"/>
      <c r="P40" s="187" t="n">
        <v>2.843</v>
      </c>
      <c r="Q40" s="124"/>
      <c r="R40" s="124"/>
      <c r="S40" s="125" t="n">
        <v>123.8</v>
      </c>
      <c r="T40" s="32" t="n">
        <v>0.4</v>
      </c>
      <c r="U40" s="32" t="n">
        <v>0.39</v>
      </c>
      <c r="V40" s="135"/>
      <c r="W40" s="135"/>
      <c r="X40" s="125" t="n">
        <v>15.4</v>
      </c>
      <c r="Y40" s="125" t="n">
        <v>15</v>
      </c>
      <c r="Z40" s="32" t="n">
        <v>1.09</v>
      </c>
      <c r="AA40" s="32" t="n">
        <v>1.07</v>
      </c>
      <c r="AB40" s="125" t="n">
        <v>5</v>
      </c>
      <c r="AC40" s="125" t="n">
        <v>4.9</v>
      </c>
      <c r="AD40" s="126"/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7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35.9232</v>
      </c>
      <c r="H41" s="131" t="n">
        <v>60</v>
      </c>
      <c r="I41" s="179" t="n">
        <v>60.4</v>
      </c>
      <c r="J41" s="124"/>
      <c r="K41" s="132"/>
      <c r="L41" s="132"/>
      <c r="M41" s="132"/>
      <c r="N41" s="133"/>
      <c r="O41" s="132"/>
      <c r="P41" s="187" t="n">
        <v>4.636</v>
      </c>
      <c r="Q41" s="124"/>
      <c r="R41" s="124"/>
      <c r="S41" s="125" t="n">
        <v>202</v>
      </c>
      <c r="T41" s="32" t="n">
        <v>0.43</v>
      </c>
      <c r="U41" s="32" t="n">
        <v>0.42</v>
      </c>
      <c r="V41" s="135"/>
      <c r="W41" s="135"/>
      <c r="X41" s="125" t="n">
        <v>2.3</v>
      </c>
      <c r="Y41" s="125" t="n">
        <v>2.3</v>
      </c>
      <c r="Z41" s="32" t="n">
        <v>0.4</v>
      </c>
      <c r="AA41" s="32" t="n">
        <v>0.39</v>
      </c>
      <c r="AB41" s="125" t="n">
        <v>2.4</v>
      </c>
      <c r="AC41" s="125" t="n">
        <v>2.3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35.9085</v>
      </c>
      <c r="H42" s="131" t="n">
        <v>40</v>
      </c>
      <c r="I42" s="179" t="n">
        <v>40.2</v>
      </c>
      <c r="J42" s="124"/>
      <c r="K42" s="132"/>
      <c r="L42" s="132"/>
      <c r="M42" s="132"/>
      <c r="N42" s="133"/>
      <c r="O42" s="132"/>
      <c r="P42" s="187" t="n">
        <v>4.861</v>
      </c>
      <c r="Q42" s="124"/>
      <c r="R42" s="124"/>
      <c r="S42" s="125" t="n">
        <v>211.9</v>
      </c>
      <c r="T42" s="32" t="n">
        <v>0.06</v>
      </c>
      <c r="U42" s="32" t="n">
        <v>0.06</v>
      </c>
      <c r="V42" s="135"/>
      <c r="W42" s="135"/>
      <c r="X42" s="125" t="n">
        <v>0.3</v>
      </c>
      <c r="Y42" s="125" t="n">
        <v>0.3</v>
      </c>
      <c r="Z42" s="32" t="n">
        <v>0.25</v>
      </c>
      <c r="AA42" s="32" t="n">
        <v>0.25</v>
      </c>
      <c r="AB42" s="125" t="n">
        <v>2.4</v>
      </c>
      <c r="AC42" s="125" t="n">
        <v>2.3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35.9096</v>
      </c>
      <c r="H43" s="131" t="n">
        <v>20</v>
      </c>
      <c r="I43" s="179" t="n">
        <v>19.8</v>
      </c>
      <c r="J43" s="124"/>
      <c r="K43" s="132"/>
      <c r="L43" s="132"/>
      <c r="M43" s="132"/>
      <c r="N43" s="133"/>
      <c r="O43" s="132"/>
      <c r="P43" s="187" t="n">
        <v>4.882</v>
      </c>
      <c r="Q43" s="124"/>
      <c r="R43" s="124"/>
      <c r="S43" s="125" t="n">
        <v>212.9</v>
      </c>
      <c r="T43" s="32" t="n">
        <v>0.05</v>
      </c>
      <c r="U43" s="32" t="n">
        <v>0.05</v>
      </c>
      <c r="V43" s="135"/>
      <c r="W43" s="135"/>
      <c r="X43" s="125" t="n">
        <v>0.3</v>
      </c>
      <c r="Y43" s="125" t="n">
        <v>0.3</v>
      </c>
      <c r="Z43" s="32" t="n">
        <v>0.23</v>
      </c>
      <c r="AA43" s="32" t="n">
        <v>0.22</v>
      </c>
      <c r="AB43" s="125" t="n">
        <v>2.1</v>
      </c>
      <c r="AC43" s="125" t="n">
        <v>2.1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35.91</v>
      </c>
      <c r="H44" s="131" t="n">
        <v>10</v>
      </c>
      <c r="I44" s="179" t="n">
        <v>10</v>
      </c>
      <c r="J44" s="124"/>
      <c r="K44" s="132"/>
      <c r="L44" s="132"/>
      <c r="M44" s="132"/>
      <c r="N44" s="133"/>
      <c r="O44" s="132"/>
      <c r="P44" s="187" t="n">
        <v>4.945</v>
      </c>
      <c r="Q44" s="124"/>
      <c r="R44" s="124"/>
      <c r="S44" s="125" t="n">
        <v>215.6</v>
      </c>
      <c r="T44" s="32" t="n">
        <v>0.06</v>
      </c>
      <c r="U44" s="32" t="n">
        <v>0.06</v>
      </c>
      <c r="V44" s="135"/>
      <c r="W44" s="135"/>
      <c r="X44" s="125" t="n">
        <v>0.2</v>
      </c>
      <c r="Y44" s="125" t="n">
        <v>0.1</v>
      </c>
      <c r="Z44" s="32" t="n">
        <v>0.22</v>
      </c>
      <c r="AA44" s="32" t="n">
        <v>0.22</v>
      </c>
      <c r="AB44" s="125" t="n">
        <v>2</v>
      </c>
      <c r="AC44" s="125" t="n">
        <v>1.9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35.9114</v>
      </c>
      <c r="H45" s="131" t="n">
        <v>0</v>
      </c>
      <c r="I45" s="179" t="n">
        <v>2.4</v>
      </c>
      <c r="J45" s="124"/>
      <c r="K45" s="132"/>
      <c r="L45" s="132"/>
      <c r="M45" s="132"/>
      <c r="N45" s="133"/>
      <c r="O45" s="132"/>
      <c r="P45" s="187" t="n">
        <v>4.888</v>
      </c>
      <c r="Q45" s="124"/>
      <c r="R45" s="124"/>
      <c r="S45" s="125" t="n">
        <v>213.1</v>
      </c>
      <c r="T45" s="32" t="n">
        <v>0.05</v>
      </c>
      <c r="U45" s="32" t="n">
        <v>0.05</v>
      </c>
      <c r="V45" s="135"/>
      <c r="W45" s="135"/>
      <c r="X45" s="125" t="n">
        <v>0.1</v>
      </c>
      <c r="Y45" s="125" t="n">
        <v>0.1</v>
      </c>
      <c r="Z45" s="32" t="n">
        <v>0.22</v>
      </c>
      <c r="AA45" s="32" t="n">
        <v>0.22</v>
      </c>
      <c r="AB45" s="125" t="n">
        <v>2</v>
      </c>
      <c r="AC45" s="125" t="n">
        <v>1.9</v>
      </c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3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4</v>
      </c>
      <c r="J9" s="29" t="n">
        <v>30.31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-4°30,31</v>
      </c>
      <c r="P9" s="29" t="s">
        <v>16</v>
      </c>
      <c r="Q9" s="33" t="n">
        <f aca="false">IF(ISBLANK(I9),"",IF(ISBLANK(J9),"",IF(J9&gt;60,"ERREUR !!",O11*(I9+(J9/60)))))</f>
        <v>-4.50516666666667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-10°0,11</v>
      </c>
      <c r="P10" s="29" t="s">
        <v>17</v>
      </c>
      <c r="Q10" s="33" t="n">
        <f aca="false">IF(ISBLANK(I10),"",IF(ISBLANK(J10),"",IF(J10&gt;60,"ERREUR !!",O12*(I10+(J10/60)))))</f>
        <v>-10.0018333333333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38985</v>
      </c>
      <c r="K11" s="38"/>
      <c r="L11" s="38"/>
      <c r="M11" s="38"/>
      <c r="N11" s="39" t="str">
        <f aca="false">I9&amp;"°"&amp;J9</f>
        <v>4°30,31</v>
      </c>
      <c r="O11" s="40" t="n">
        <f aca="false">IF(P9=M10,-1,1)</f>
        <v>-1</v>
      </c>
      <c r="P11" s="41" t="str">
        <f aca="false">TEXT(J11,"aaaa-mm-jj")&amp;"T"&amp;TEXT(J12,"hh:mm:ss")&amp;"z"</f>
        <v>2010-09-26T04:45:00z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0.197916666666667</v>
      </c>
      <c r="K12" s="45"/>
      <c r="L12" s="45"/>
      <c r="M12" s="45"/>
      <c r="N12" s="46" t="str">
        <f aca="false">I10&amp;"°"&amp;J10</f>
        <v>10°0,11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8" t="n">
        <v>34.9557</v>
      </c>
      <c r="H35" s="118" t="n">
        <v>2000</v>
      </c>
      <c r="I35" s="179" t="n">
        <v>2000</v>
      </c>
      <c r="J35" s="119"/>
      <c r="K35" s="120"/>
      <c r="L35" s="120"/>
      <c r="M35" s="120"/>
      <c r="N35" s="121"/>
      <c r="O35" s="120"/>
      <c r="P35" s="174" t="n">
        <v>5.553</v>
      </c>
      <c r="Q35" s="119"/>
      <c r="R35" s="119"/>
      <c r="S35" s="175" t="n">
        <v>241.4</v>
      </c>
      <c r="T35" s="32" t="n">
        <v>0</v>
      </c>
      <c r="U35" s="32" t="n">
        <v>0</v>
      </c>
      <c r="V35" s="119"/>
      <c r="W35" s="119"/>
      <c r="X35" s="125" t="n">
        <v>20.7</v>
      </c>
      <c r="Y35" s="125" t="n">
        <v>20.2</v>
      </c>
      <c r="Z35" s="32" t="n">
        <v>1.38</v>
      </c>
      <c r="AA35" s="32" t="n">
        <v>1.35</v>
      </c>
      <c r="AB35" s="125" t="n">
        <v>23.4</v>
      </c>
      <c r="AC35" s="125" t="n">
        <v>22.8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76" t="n">
        <v>34.595</v>
      </c>
      <c r="H36" s="131" t="n">
        <v>1000</v>
      </c>
      <c r="I36" s="179" t="n">
        <v>1006.8</v>
      </c>
      <c r="J36" s="124"/>
      <c r="K36" s="132"/>
      <c r="L36" s="132"/>
      <c r="M36" s="132"/>
      <c r="N36" s="133"/>
      <c r="O36" s="132"/>
      <c r="P36" s="177" t="n">
        <v>3.599</v>
      </c>
      <c r="Q36" s="124"/>
      <c r="R36" s="124"/>
      <c r="S36" s="125" t="n">
        <v>156.5</v>
      </c>
      <c r="T36" s="32" t="n">
        <v>0</v>
      </c>
      <c r="U36" s="32" t="n">
        <v>0</v>
      </c>
      <c r="V36" s="124"/>
      <c r="W36" s="124"/>
      <c r="X36" s="125" t="n">
        <v>33.7</v>
      </c>
      <c r="Y36" s="125" t="n">
        <v>33</v>
      </c>
      <c r="Z36" s="32" t="n">
        <v>2.29</v>
      </c>
      <c r="AA36" s="32" t="n">
        <v>2.24</v>
      </c>
      <c r="AB36" s="125" t="n">
        <v>32.9</v>
      </c>
      <c r="AC36" s="125" t="n">
        <v>32.1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76" t="n">
        <v>34.5887</v>
      </c>
      <c r="H37" s="131" t="n">
        <v>500</v>
      </c>
      <c r="I37" s="178" t="n">
        <v>500.3</v>
      </c>
      <c r="J37" s="124"/>
      <c r="K37" s="132"/>
      <c r="L37" s="132"/>
      <c r="M37" s="132"/>
      <c r="N37" s="133"/>
      <c r="O37" s="132"/>
      <c r="P37" s="177" t="n">
        <v>2.587</v>
      </c>
      <c r="Q37" s="124"/>
      <c r="R37" s="124"/>
      <c r="S37" s="125" t="n">
        <v>112.5</v>
      </c>
      <c r="T37" s="32" t="n">
        <v>0</v>
      </c>
      <c r="U37" s="32" t="n">
        <v>0</v>
      </c>
      <c r="V37" s="124"/>
      <c r="W37" s="124"/>
      <c r="X37" s="125" t="n">
        <v>34.4</v>
      </c>
      <c r="Y37" s="125" t="n">
        <v>33.6</v>
      </c>
      <c r="Z37" s="32" t="n">
        <v>2.23</v>
      </c>
      <c r="AA37" s="32" t="n">
        <v>2.18</v>
      </c>
      <c r="AB37" s="125" t="n">
        <v>20.4</v>
      </c>
      <c r="AC37" s="125" t="n">
        <v>19.9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34.7079</v>
      </c>
      <c r="H38" s="131" t="n">
        <v>500</v>
      </c>
      <c r="I38" s="178" t="n">
        <v>499.7</v>
      </c>
      <c r="J38" s="124"/>
      <c r="K38" s="132"/>
      <c r="L38" s="132"/>
      <c r="M38" s="132"/>
      <c r="N38" s="133"/>
      <c r="O38" s="132"/>
      <c r="P38" s="177" t="n">
        <v>2.584</v>
      </c>
      <c r="Q38" s="124"/>
      <c r="R38" s="124"/>
      <c r="S38" s="125" t="n">
        <v>112.4</v>
      </c>
      <c r="T38" s="32" t="n">
        <v>0</v>
      </c>
      <c r="U38" s="32" t="n">
        <v>0</v>
      </c>
      <c r="V38" s="124"/>
      <c r="W38" s="124"/>
      <c r="X38" s="125" t="n">
        <v>34.3</v>
      </c>
      <c r="Y38" s="125" t="n">
        <v>33.5</v>
      </c>
      <c r="Z38" s="32" t="n">
        <v>2.23</v>
      </c>
      <c r="AA38" s="32" t="n">
        <v>2.18</v>
      </c>
      <c r="AB38" s="125" t="n">
        <v>20.5</v>
      </c>
      <c r="AC38" s="125" t="n">
        <v>20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38" t="n">
        <v>34.5678</v>
      </c>
      <c r="H39" s="131" t="n">
        <v>100</v>
      </c>
      <c r="I39" s="179" t="n">
        <v>101.5</v>
      </c>
      <c r="J39" s="124"/>
      <c r="K39" s="132"/>
      <c r="L39" s="132"/>
      <c r="M39" s="132"/>
      <c r="N39" s="133"/>
      <c r="O39" s="132"/>
      <c r="P39" s="177" t="n">
        <v>2.941</v>
      </c>
      <c r="Q39" s="124"/>
      <c r="R39" s="124"/>
      <c r="S39" s="125" t="n">
        <v>128</v>
      </c>
      <c r="T39" s="32" t="n">
        <v>0.05</v>
      </c>
      <c r="U39" s="32" t="n">
        <v>0.05</v>
      </c>
      <c r="V39" s="124"/>
      <c r="W39" s="124"/>
      <c r="X39" s="125" t="n">
        <v>17.8</v>
      </c>
      <c r="Y39" s="125" t="n">
        <v>17.4</v>
      </c>
      <c r="Z39" s="32" t="n">
        <v>1.2</v>
      </c>
      <c r="AA39" s="32" t="n">
        <v>1.17</v>
      </c>
      <c r="AB39" s="125" t="n">
        <v>6</v>
      </c>
      <c r="AC39" s="125" t="n">
        <v>5.8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35.6002</v>
      </c>
      <c r="H40" s="131" t="n">
        <v>80</v>
      </c>
      <c r="I40" s="179" t="n">
        <v>79.5</v>
      </c>
      <c r="J40" s="124"/>
      <c r="K40" s="132"/>
      <c r="L40" s="132"/>
      <c r="M40" s="132"/>
      <c r="N40" s="133"/>
      <c r="O40" s="132"/>
      <c r="P40" s="177" t="n">
        <v>2.952</v>
      </c>
      <c r="Q40" s="124"/>
      <c r="R40" s="124"/>
      <c r="S40" s="125" t="n">
        <v>128.5</v>
      </c>
      <c r="T40" s="32" t="n">
        <v>0.37</v>
      </c>
      <c r="U40" s="32" t="n">
        <v>0.36</v>
      </c>
      <c r="V40" s="124"/>
      <c r="W40" s="124"/>
      <c r="X40" s="125" t="n">
        <v>15.1</v>
      </c>
      <c r="Y40" s="125" t="n">
        <v>14.8</v>
      </c>
      <c r="Z40" s="32" t="n">
        <v>1.08</v>
      </c>
      <c r="AA40" s="32" t="n">
        <v>1.06</v>
      </c>
      <c r="AB40" s="125" t="n">
        <v>4.8</v>
      </c>
      <c r="AC40" s="125" t="n">
        <v>4.7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35.6863</v>
      </c>
      <c r="H41" s="131" t="n">
        <v>60</v>
      </c>
      <c r="I41" s="179" t="n">
        <v>60.5</v>
      </c>
      <c r="J41" s="124"/>
      <c r="K41" s="132"/>
      <c r="L41" s="132"/>
      <c r="M41" s="132"/>
      <c r="N41" s="133"/>
      <c r="O41" s="132"/>
      <c r="P41" s="177" t="n">
        <v>4.424</v>
      </c>
      <c r="Q41" s="124"/>
      <c r="R41" s="124"/>
      <c r="S41" s="125" t="n">
        <v>192.8</v>
      </c>
      <c r="T41" s="32" t="n">
        <v>0.51</v>
      </c>
      <c r="U41" s="32" t="n">
        <v>0.5</v>
      </c>
      <c r="V41" s="124"/>
      <c r="W41" s="124"/>
      <c r="X41" s="125" t="n">
        <v>3.2</v>
      </c>
      <c r="Y41" s="125" t="n">
        <v>3.1</v>
      </c>
      <c r="Z41" s="32" t="n">
        <v>0.46</v>
      </c>
      <c r="AA41" s="32" t="n">
        <v>0.45</v>
      </c>
      <c r="AB41" s="125" t="n">
        <v>2</v>
      </c>
      <c r="AC41" s="125" t="n">
        <v>1.9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35.5456</v>
      </c>
      <c r="H42" s="131" t="n">
        <v>40</v>
      </c>
      <c r="I42" s="179" t="n">
        <v>39.5</v>
      </c>
      <c r="J42" s="124"/>
      <c r="K42" s="132"/>
      <c r="L42" s="132"/>
      <c r="M42" s="132"/>
      <c r="N42" s="133"/>
      <c r="O42" s="132"/>
      <c r="P42" s="177" t="n">
        <v>4.882</v>
      </c>
      <c r="Q42" s="124"/>
      <c r="R42" s="124"/>
      <c r="S42" s="125" t="n">
        <v>212.8</v>
      </c>
      <c r="T42" s="32" t="n">
        <v>0.07</v>
      </c>
      <c r="U42" s="32" t="n">
        <v>0.07</v>
      </c>
      <c r="V42" s="124"/>
      <c r="W42" s="124"/>
      <c r="X42" s="125" t="n">
        <v>0.3</v>
      </c>
      <c r="Y42" s="125" t="n">
        <v>0.3</v>
      </c>
      <c r="Z42" s="32" t="n">
        <v>0.23</v>
      </c>
      <c r="AA42" s="32" t="n">
        <v>0.22</v>
      </c>
      <c r="AB42" s="125" t="n">
        <v>1.8</v>
      </c>
      <c r="AC42" s="125" t="n">
        <v>1.7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35.2272</v>
      </c>
      <c r="H43" s="131" t="n">
        <v>20</v>
      </c>
      <c r="I43" s="179" t="n">
        <v>20.4</v>
      </c>
      <c r="J43" s="124"/>
      <c r="K43" s="132"/>
      <c r="L43" s="132"/>
      <c r="M43" s="132"/>
      <c r="N43" s="133"/>
      <c r="O43" s="132"/>
      <c r="P43" s="177" t="n">
        <v>4.868</v>
      </c>
      <c r="Q43" s="124"/>
      <c r="R43" s="124"/>
      <c r="S43" s="125" t="n">
        <v>212.2</v>
      </c>
      <c r="T43" s="32" t="n">
        <v>0.05</v>
      </c>
      <c r="U43" s="32" t="n">
        <v>0.05</v>
      </c>
      <c r="V43" s="124"/>
      <c r="W43" s="124"/>
      <c r="X43" s="125" t="n">
        <v>0.1</v>
      </c>
      <c r="Y43" s="125" t="n">
        <v>0.1</v>
      </c>
      <c r="Z43" s="32" t="n">
        <v>0.22</v>
      </c>
      <c r="AA43" s="32" t="n">
        <v>0.21</v>
      </c>
      <c r="AB43" s="125" t="n">
        <v>1.8</v>
      </c>
      <c r="AC43" s="125" t="n">
        <v>1.8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35.2275</v>
      </c>
      <c r="H44" s="131" t="n">
        <v>10</v>
      </c>
      <c r="I44" s="179" t="n">
        <v>9.7</v>
      </c>
      <c r="J44" s="124"/>
      <c r="K44" s="132"/>
      <c r="L44" s="132"/>
      <c r="M44" s="132"/>
      <c r="N44" s="133"/>
      <c r="O44" s="132"/>
      <c r="P44" s="177" t="n">
        <v>4.91</v>
      </c>
      <c r="Q44" s="124"/>
      <c r="R44" s="124"/>
      <c r="S44" s="125" t="n">
        <v>214.1</v>
      </c>
      <c r="T44" s="32" t="n">
        <v>0.06</v>
      </c>
      <c r="U44" s="32" t="n">
        <v>0.05</v>
      </c>
      <c r="V44" s="124"/>
      <c r="W44" s="124"/>
      <c r="X44" s="125" t="n">
        <v>0.3</v>
      </c>
      <c r="Y44" s="125" t="n">
        <v>0.3</v>
      </c>
      <c r="Z44" s="32" t="n">
        <v>0.21</v>
      </c>
      <c r="AA44" s="32" t="n">
        <v>0.2</v>
      </c>
      <c r="AB44" s="125" t="n">
        <v>1.8</v>
      </c>
      <c r="AC44" s="125" t="n">
        <v>1.8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35.2274</v>
      </c>
      <c r="H45" s="131" t="n">
        <v>0</v>
      </c>
      <c r="I45" s="179" t="n">
        <v>1.9</v>
      </c>
      <c r="J45" s="124"/>
      <c r="K45" s="132"/>
      <c r="L45" s="132"/>
      <c r="M45" s="132"/>
      <c r="N45" s="133"/>
      <c r="O45" s="132"/>
      <c r="P45" s="177" t="n">
        <v>4.84</v>
      </c>
      <c r="Q45" s="124"/>
      <c r="R45" s="124"/>
      <c r="S45" s="125" t="n">
        <v>211</v>
      </c>
      <c r="T45" s="32" t="n">
        <v>0.06</v>
      </c>
      <c r="U45" s="32" t="n">
        <v>0.05</v>
      </c>
      <c r="V45" s="124"/>
      <c r="W45" s="124"/>
      <c r="X45" s="125" t="n">
        <v>0.2</v>
      </c>
      <c r="Y45" s="125" t="n">
        <v>0.2</v>
      </c>
      <c r="Z45" s="32" t="n">
        <v>0.22</v>
      </c>
      <c r="AA45" s="32" t="n">
        <v>0.22</v>
      </c>
      <c r="AB45" s="125" t="n">
        <v>1.8</v>
      </c>
      <c r="AC45" s="125" t="n">
        <v>1.7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36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59.95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-3°59,95</v>
      </c>
      <c r="P9" s="29" t="s">
        <v>16</v>
      </c>
      <c r="Q9" s="33" t="n">
        <f aca="false">IF(ISBLANK(I9),"",IF(ISBLANK(J9),"",IF(J9&gt;60,"ERREUR !!",O11*(I9+(J9/60)))))</f>
        <v>-3.99916666666667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0.32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-10°0,32</v>
      </c>
      <c r="P10" s="29" t="s">
        <v>17</v>
      </c>
      <c r="Q10" s="33" t="n">
        <f aca="false">IF(ISBLANK(I10),"",IF(ISBLANK(J10),"",IF(J10&gt;60,"ERREUR !!",O12*(I10+(J10/60)))))</f>
        <v>-10.0053333333333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38985</v>
      </c>
      <c r="K11" s="38"/>
      <c r="L11" s="38"/>
      <c r="M11" s="38"/>
      <c r="N11" s="39" t="str">
        <f aca="false">I9&amp;"°"&amp;J9</f>
        <v>3°59,95</v>
      </c>
      <c r="O11" s="40" t="n">
        <f aca="false">IF(P9=M10,-1,1)</f>
        <v>-1</v>
      </c>
      <c r="P11" s="41" t="str">
        <f aca="false">TEXT(J11,"aaaa-mm-jj")&amp;"T"&amp;TEXT(J12,"hh:mm:ss")&amp;"z"</f>
        <v>2010-09-26T10:00:00z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0.416666666666667</v>
      </c>
      <c r="K12" s="45"/>
      <c r="L12" s="45"/>
      <c r="M12" s="45"/>
      <c r="N12" s="46" t="str">
        <f aca="false">I10&amp;"°"&amp;J10</f>
        <v>10°0,32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34.9557</v>
      </c>
      <c r="H35" s="118" t="n">
        <v>2000</v>
      </c>
      <c r="I35" s="179" t="n">
        <v>2001.4</v>
      </c>
      <c r="J35" s="119"/>
      <c r="K35" s="120"/>
      <c r="L35" s="120"/>
      <c r="M35" s="120"/>
      <c r="N35" s="121"/>
      <c r="O35" s="120"/>
      <c r="P35" s="174" t="n">
        <v>5.542</v>
      </c>
      <c r="Q35" s="119"/>
      <c r="R35" s="119"/>
      <c r="S35" s="175" t="n">
        <v>240.9</v>
      </c>
      <c r="T35" s="32" t="n">
        <v>0</v>
      </c>
      <c r="U35" s="32" t="n">
        <v>0</v>
      </c>
      <c r="V35" s="119"/>
      <c r="W35" s="119"/>
      <c r="X35" s="125" t="n">
        <v>21.2</v>
      </c>
      <c r="Y35" s="125" t="n">
        <v>20.7</v>
      </c>
      <c r="Z35" s="32" t="n">
        <v>1.36</v>
      </c>
      <c r="AA35" s="32" t="n">
        <v>1.33</v>
      </c>
      <c r="AB35" s="125" t="n">
        <v>23.1</v>
      </c>
      <c r="AC35" s="125" t="n">
        <v>22.6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34.575</v>
      </c>
      <c r="H36" s="131" t="n">
        <v>1000</v>
      </c>
      <c r="I36" s="179" t="n">
        <v>1002</v>
      </c>
      <c r="J36" s="124"/>
      <c r="K36" s="132"/>
      <c r="L36" s="132"/>
      <c r="M36" s="132"/>
      <c r="N36" s="133"/>
      <c r="O36" s="132"/>
      <c r="P36" s="177" t="n">
        <v>3.501</v>
      </c>
      <c r="Q36" s="124"/>
      <c r="R36" s="124"/>
      <c r="S36" s="125" t="n">
        <v>152.2</v>
      </c>
      <c r="T36" s="32" t="n">
        <v>0</v>
      </c>
      <c r="U36" s="32" t="n">
        <v>0</v>
      </c>
      <c r="V36" s="124"/>
      <c r="W36" s="124"/>
      <c r="X36" s="125" t="n">
        <v>34.3</v>
      </c>
      <c r="Y36" s="125" t="n">
        <v>33.5</v>
      </c>
      <c r="Z36" s="32" t="n">
        <v>2.3</v>
      </c>
      <c r="AA36" s="32" t="n">
        <v>2.24</v>
      </c>
      <c r="AB36" s="125" t="n">
        <v>31.1</v>
      </c>
      <c r="AC36" s="125" t="n">
        <v>30.4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34.6403</v>
      </c>
      <c r="H37" s="131" t="n">
        <v>500</v>
      </c>
      <c r="I37" s="179" t="n">
        <v>499.2</v>
      </c>
      <c r="J37" s="124"/>
      <c r="K37" s="132"/>
      <c r="L37" s="132"/>
      <c r="M37" s="132"/>
      <c r="N37" s="133"/>
      <c r="O37" s="132"/>
      <c r="P37" s="177" t="n">
        <v>2.512</v>
      </c>
      <c r="Q37" s="124"/>
      <c r="R37" s="124"/>
      <c r="S37" s="125" t="n">
        <v>109.3</v>
      </c>
      <c r="T37" s="32" t="n">
        <v>0</v>
      </c>
      <c r="U37" s="32" t="n">
        <v>0</v>
      </c>
      <c r="V37" s="124"/>
      <c r="W37" s="124"/>
      <c r="X37" s="125" t="n">
        <v>34.5</v>
      </c>
      <c r="Y37" s="125" t="n">
        <v>33.7</v>
      </c>
      <c r="Z37" s="32" t="n">
        <v>2.22</v>
      </c>
      <c r="AA37" s="32" t="n">
        <v>2.17</v>
      </c>
      <c r="AB37" s="125" t="n">
        <v>18.4</v>
      </c>
      <c r="AC37" s="125" t="n">
        <v>18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2" t="n">
        <v>35.4737</v>
      </c>
      <c r="H38" s="131" t="n">
        <v>100</v>
      </c>
      <c r="I38" s="179" t="n">
        <v>99.5</v>
      </c>
      <c r="J38" s="124"/>
      <c r="K38" s="132"/>
      <c r="L38" s="132"/>
      <c r="M38" s="132"/>
      <c r="N38" s="133"/>
      <c r="O38" s="132"/>
      <c r="P38" s="177" t="n">
        <v>2.46</v>
      </c>
      <c r="Q38" s="124"/>
      <c r="R38" s="124"/>
      <c r="S38" s="125" t="n">
        <v>107.1</v>
      </c>
      <c r="T38" s="32" t="n">
        <v>0.04</v>
      </c>
      <c r="U38" s="32" t="n">
        <v>0.04</v>
      </c>
      <c r="V38" s="124"/>
      <c r="W38" s="124"/>
      <c r="X38" s="125" t="n">
        <v>20.4</v>
      </c>
      <c r="Y38" s="125" t="n">
        <v>20</v>
      </c>
      <c r="Z38" s="32" t="n">
        <v>1.38</v>
      </c>
      <c r="AA38" s="32" t="n">
        <v>1.35</v>
      </c>
      <c r="AB38" s="125" t="n">
        <v>6.4</v>
      </c>
      <c r="AC38" s="125" t="n">
        <v>6.3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2" t="n">
        <v>35.4756</v>
      </c>
      <c r="H39" s="131" t="n">
        <v>100</v>
      </c>
      <c r="I39" s="179" t="n">
        <v>99.9</v>
      </c>
      <c r="J39" s="124"/>
      <c r="K39" s="132"/>
      <c r="L39" s="132"/>
      <c r="M39" s="132"/>
      <c r="N39" s="133"/>
      <c r="O39" s="132"/>
      <c r="P39" s="177" t="n">
        <v>2.482</v>
      </c>
      <c r="Q39" s="124"/>
      <c r="R39" s="124"/>
      <c r="S39" s="125" t="n">
        <v>108</v>
      </c>
      <c r="T39" s="32" t="n">
        <v>0.02</v>
      </c>
      <c r="U39" s="32" t="n">
        <v>0.02</v>
      </c>
      <c r="V39" s="124"/>
      <c r="W39" s="124"/>
      <c r="X39" s="125" t="n">
        <v>20.3</v>
      </c>
      <c r="Y39" s="125" t="n">
        <v>19.8</v>
      </c>
      <c r="Z39" s="32" t="n">
        <v>1.36</v>
      </c>
      <c r="AA39" s="32" t="n">
        <v>1.33</v>
      </c>
      <c r="AB39" s="125" t="n">
        <v>6.4</v>
      </c>
      <c r="AC39" s="125" t="n">
        <v>6.2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35.5468</v>
      </c>
      <c r="H40" s="131" t="n">
        <v>80</v>
      </c>
      <c r="I40" s="179" t="n">
        <v>79.4</v>
      </c>
      <c r="J40" s="124"/>
      <c r="K40" s="132"/>
      <c r="L40" s="132"/>
      <c r="M40" s="132"/>
      <c r="N40" s="133"/>
      <c r="O40" s="132"/>
      <c r="P40" s="177" t="n">
        <v>2.447</v>
      </c>
      <c r="Q40" s="124"/>
      <c r="R40" s="124"/>
      <c r="S40" s="125" t="n">
        <v>106.5</v>
      </c>
      <c r="T40" s="32" t="n">
        <v>0.03</v>
      </c>
      <c r="U40" s="32" t="n">
        <v>0.03</v>
      </c>
      <c r="V40" s="124"/>
      <c r="W40" s="124"/>
      <c r="X40" s="125" t="n">
        <v>19.8</v>
      </c>
      <c r="Y40" s="125" t="n">
        <v>19.3</v>
      </c>
      <c r="Z40" s="32" t="n">
        <v>1.33</v>
      </c>
      <c r="AA40" s="32" t="n">
        <v>1.3</v>
      </c>
      <c r="AB40" s="125" t="n">
        <v>5.7</v>
      </c>
      <c r="AC40" s="125" t="n">
        <v>5.6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35.8487</v>
      </c>
      <c r="H41" s="131" t="n">
        <v>60</v>
      </c>
      <c r="I41" s="179" t="n">
        <v>59.8</v>
      </c>
      <c r="J41" s="124"/>
      <c r="K41" s="132"/>
      <c r="L41" s="132"/>
      <c r="M41" s="132"/>
      <c r="N41" s="133"/>
      <c r="O41" s="132"/>
      <c r="P41" s="177" t="n">
        <v>3.658</v>
      </c>
      <c r="Q41" s="124"/>
      <c r="R41" s="124"/>
      <c r="S41" s="125" t="n">
        <v>159.3</v>
      </c>
      <c r="T41" s="32" t="n">
        <v>1.1</v>
      </c>
      <c r="U41" s="32" t="n">
        <v>1.07</v>
      </c>
      <c r="V41" s="124"/>
      <c r="W41" s="124"/>
      <c r="X41" s="125" t="n">
        <v>8.5</v>
      </c>
      <c r="Y41" s="125" t="n">
        <v>8.3</v>
      </c>
      <c r="Z41" s="32" t="n">
        <v>0.75</v>
      </c>
      <c r="AA41" s="32" t="n">
        <v>0.73</v>
      </c>
      <c r="AB41" s="125" t="n">
        <v>2.6</v>
      </c>
      <c r="AC41" s="125" t="n">
        <v>2.5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35.8525</v>
      </c>
      <c r="H42" s="131" t="n">
        <v>40</v>
      </c>
      <c r="I42" s="179" t="n">
        <v>40.2</v>
      </c>
      <c r="J42" s="124"/>
      <c r="K42" s="132"/>
      <c r="L42" s="132"/>
      <c r="M42" s="132"/>
      <c r="N42" s="133"/>
      <c r="O42" s="132"/>
      <c r="P42" s="177" t="n">
        <v>4.708</v>
      </c>
      <c r="Q42" s="124"/>
      <c r="R42" s="124"/>
      <c r="S42" s="125" t="n">
        <v>205.3</v>
      </c>
      <c r="T42" s="32" t="n">
        <v>0.23</v>
      </c>
      <c r="U42" s="32" t="n">
        <v>0.23</v>
      </c>
      <c r="V42" s="124"/>
      <c r="W42" s="124"/>
      <c r="X42" s="125" t="n">
        <v>1.5</v>
      </c>
      <c r="Y42" s="125" t="n">
        <v>1.5</v>
      </c>
      <c r="Z42" s="32" t="n">
        <v>0.29</v>
      </c>
      <c r="AA42" s="32" t="n">
        <v>0.29</v>
      </c>
      <c r="AB42" s="125" t="n">
        <v>1.3</v>
      </c>
      <c r="AC42" s="125" t="n">
        <v>1.3</v>
      </c>
      <c r="AD42" s="126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7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35.8542</v>
      </c>
      <c r="H43" s="131" t="n">
        <v>20</v>
      </c>
      <c r="I43" s="179" t="n">
        <v>20</v>
      </c>
      <c r="J43" s="124"/>
      <c r="K43" s="132"/>
      <c r="L43" s="132"/>
      <c r="M43" s="132"/>
      <c r="N43" s="133"/>
      <c r="O43" s="132"/>
      <c r="P43" s="177" t="n">
        <v>4.841</v>
      </c>
      <c r="Q43" s="124"/>
      <c r="R43" s="124"/>
      <c r="S43" s="125" t="n">
        <v>211.1</v>
      </c>
      <c r="T43" s="32" t="n">
        <v>0.04</v>
      </c>
      <c r="U43" s="32" t="n">
        <v>0.04</v>
      </c>
      <c r="V43" s="124"/>
      <c r="W43" s="124"/>
      <c r="X43" s="125" t="n">
        <v>0.4</v>
      </c>
      <c r="Y43" s="125" t="n">
        <v>0.4</v>
      </c>
      <c r="Z43" s="32" t="n">
        <v>0.2</v>
      </c>
      <c r="AA43" s="32" t="n">
        <v>0.2</v>
      </c>
      <c r="AB43" s="125" t="n">
        <v>1.3</v>
      </c>
      <c r="AC43" s="125" t="n">
        <v>1.3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35.8543</v>
      </c>
      <c r="H44" s="131" t="n">
        <v>10</v>
      </c>
      <c r="I44" s="179" t="n">
        <v>10.7</v>
      </c>
      <c r="J44" s="124"/>
      <c r="K44" s="132"/>
      <c r="L44" s="132"/>
      <c r="M44" s="132"/>
      <c r="N44" s="133"/>
      <c r="O44" s="132"/>
      <c r="P44" s="177" t="n">
        <v>4.836</v>
      </c>
      <c r="Q44" s="124"/>
      <c r="R44" s="124"/>
      <c r="S44" s="125" t="n">
        <v>210.8</v>
      </c>
      <c r="T44" s="32" t="n">
        <v>0.05</v>
      </c>
      <c r="U44" s="32" t="n">
        <v>0.05</v>
      </c>
      <c r="V44" s="124"/>
      <c r="W44" s="124"/>
      <c r="X44" s="125" t="n">
        <v>0.6</v>
      </c>
      <c r="Y44" s="125" t="n">
        <v>0.6</v>
      </c>
      <c r="Z44" s="32" t="n">
        <v>0.22</v>
      </c>
      <c r="AA44" s="32" t="n">
        <v>0.21</v>
      </c>
      <c r="AB44" s="125" t="n">
        <v>1.4</v>
      </c>
      <c r="AC44" s="125" t="n">
        <v>1.4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35.8543</v>
      </c>
      <c r="H45" s="131" t="n">
        <v>0</v>
      </c>
      <c r="I45" s="179" t="n">
        <v>2.2</v>
      </c>
      <c r="J45" s="124"/>
      <c r="K45" s="132"/>
      <c r="L45" s="132"/>
      <c r="M45" s="132"/>
      <c r="N45" s="133"/>
      <c r="O45" s="132"/>
      <c r="P45" s="177" t="n">
        <v>4.87</v>
      </c>
      <c r="Q45" s="124"/>
      <c r="R45" s="124"/>
      <c r="S45" s="125" t="n">
        <v>212.3</v>
      </c>
      <c r="T45" s="32" t="n">
        <v>0.06</v>
      </c>
      <c r="U45" s="32" t="n">
        <v>0.06</v>
      </c>
      <c r="V45" s="124"/>
      <c r="W45" s="124"/>
      <c r="X45" s="125" t="n">
        <v>0.5</v>
      </c>
      <c r="Y45" s="125" t="n">
        <v>0.5</v>
      </c>
      <c r="Z45" s="32" t="n">
        <v>0.24</v>
      </c>
      <c r="AA45" s="32" t="n">
        <v>0.23</v>
      </c>
      <c r="AB45" s="125" t="n">
        <v>1.4</v>
      </c>
      <c r="AC45" s="125" t="n">
        <v>1.4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3</v>
      </c>
      <c r="J9" s="29" t="n">
        <v>30.46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-3°30,46</v>
      </c>
      <c r="P9" s="29" t="s">
        <v>16</v>
      </c>
      <c r="Q9" s="33" t="n">
        <f aca="false">IF(ISBLANK(I9),"",IF(ISBLANK(J9),"",IF(J9&gt;60,"ERREUR !!",O11*(I9+(J9/60)))))</f>
        <v>-3.50766666666667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-10°0,2</v>
      </c>
      <c r="P10" s="29" t="s">
        <v>17</v>
      </c>
      <c r="Q10" s="33" t="n">
        <f aca="false">IF(ISBLANK(I10),"",IF(ISBLANK(J10),"",IF(J10&gt;60,"ERREUR !!",O12*(I10+(J10/60)))))</f>
        <v>-10.0033333333333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38985</v>
      </c>
      <c r="K11" s="38"/>
      <c r="L11" s="38"/>
      <c r="M11" s="38"/>
      <c r="N11" s="39" t="str">
        <f aca="false">I9&amp;"°"&amp;J9</f>
        <v>3°30,46</v>
      </c>
      <c r="O11" s="40" t="n">
        <f aca="false">IF(P9=M10,-1,1)</f>
        <v>-1</v>
      </c>
      <c r="P11" s="41" t="str">
        <f aca="false">TEXT(J11,"aaaa-mm-jj")&amp;"T"&amp;TEXT(J12,"hh:mm:ss")&amp;"z"</f>
        <v>2010-09-26T15:00:00z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0.625</v>
      </c>
      <c r="K12" s="45"/>
      <c r="L12" s="45"/>
      <c r="M12" s="45"/>
      <c r="N12" s="46" t="str">
        <f aca="false">I10&amp;"°"&amp;J10</f>
        <v>10°0,2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6.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34.9617</v>
      </c>
      <c r="H35" s="118" t="n">
        <v>2000</v>
      </c>
      <c r="I35" s="179" t="n">
        <v>2001.5</v>
      </c>
      <c r="J35" s="119"/>
      <c r="K35" s="120"/>
      <c r="L35" s="120"/>
      <c r="M35" s="120"/>
      <c r="N35" s="121"/>
      <c r="O35" s="120"/>
      <c r="P35" s="174" t="n">
        <v>5.647</v>
      </c>
      <c r="Q35" s="119"/>
      <c r="R35" s="119"/>
      <c r="S35" s="119" t="n">
        <v>245.436</v>
      </c>
      <c r="T35" s="32" t="n">
        <v>0</v>
      </c>
      <c r="U35" s="32" t="n">
        <v>0</v>
      </c>
      <c r="V35" s="119"/>
      <c r="W35" s="119"/>
      <c r="X35" s="125" t="n">
        <v>20.5</v>
      </c>
      <c r="Y35" s="125" t="n">
        <v>20</v>
      </c>
      <c r="Z35" s="32" t="n">
        <v>1.32</v>
      </c>
      <c r="AA35" s="32" t="n">
        <v>1.29</v>
      </c>
      <c r="AB35" s="125" t="n">
        <v>21.6</v>
      </c>
      <c r="AC35" s="125" t="n">
        <v>21.1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6.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34.9627</v>
      </c>
      <c r="H36" s="118" t="n">
        <v>2000</v>
      </c>
      <c r="I36" s="179" t="n">
        <v>2001.5</v>
      </c>
      <c r="J36" s="124"/>
      <c r="K36" s="132"/>
      <c r="L36" s="132"/>
      <c r="M36" s="132"/>
      <c r="N36" s="133"/>
      <c r="O36" s="132"/>
      <c r="P36" s="177" t="n">
        <v>5.632</v>
      </c>
      <c r="Q36" s="124"/>
      <c r="R36" s="124"/>
      <c r="S36" s="124" t="n">
        <v>244.751</v>
      </c>
      <c r="T36" s="32" t="n">
        <v>0</v>
      </c>
      <c r="U36" s="32" t="n">
        <v>0</v>
      </c>
      <c r="V36" s="124"/>
      <c r="W36" s="124"/>
      <c r="X36" s="125" t="n">
        <v>20.4</v>
      </c>
      <c r="Y36" s="125" t="n">
        <v>19.9</v>
      </c>
      <c r="Z36" s="32" t="n">
        <v>1.31</v>
      </c>
      <c r="AA36" s="32" t="n">
        <v>1.28</v>
      </c>
      <c r="AB36" s="125" t="n">
        <v>22.2</v>
      </c>
      <c r="AC36" s="125" t="n">
        <v>21.7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34.9621</v>
      </c>
      <c r="H37" s="118" t="n">
        <v>2000</v>
      </c>
      <c r="I37" s="179" t="n">
        <v>2001.5</v>
      </c>
      <c r="J37" s="124"/>
      <c r="K37" s="132"/>
      <c r="L37" s="132"/>
      <c r="M37" s="132"/>
      <c r="N37" s="133"/>
      <c r="O37" s="132"/>
      <c r="P37" s="177" t="n">
        <v>5.623</v>
      </c>
      <c r="Q37" s="124"/>
      <c r="R37" s="124"/>
      <c r="S37" s="124" t="n">
        <v>244.392</v>
      </c>
      <c r="T37" s="32" t="n">
        <v>0</v>
      </c>
      <c r="U37" s="32" t="n">
        <v>0</v>
      </c>
      <c r="V37" s="124"/>
      <c r="W37" s="124"/>
      <c r="X37" s="125" t="n">
        <v>20.6</v>
      </c>
      <c r="Y37" s="125" t="n">
        <v>20.1</v>
      </c>
      <c r="Z37" s="32" t="n">
        <v>1.34</v>
      </c>
      <c r="AA37" s="32" t="n">
        <v>1.31</v>
      </c>
      <c r="AB37" s="125" t="n">
        <v>22</v>
      </c>
      <c r="AC37" s="125" t="n">
        <v>21.5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6.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34.9615</v>
      </c>
      <c r="H38" s="118" t="n">
        <v>2000</v>
      </c>
      <c r="I38" s="179" t="n">
        <v>2001.5</v>
      </c>
      <c r="J38" s="124"/>
      <c r="K38" s="132"/>
      <c r="L38" s="132"/>
      <c r="M38" s="132"/>
      <c r="N38" s="133"/>
      <c r="O38" s="132"/>
      <c r="P38" s="177" t="n">
        <v>5.64</v>
      </c>
      <c r="Q38" s="124"/>
      <c r="R38" s="124"/>
      <c r="S38" s="124" t="n">
        <v>245.099</v>
      </c>
      <c r="T38" s="32" t="n">
        <v>0</v>
      </c>
      <c r="U38" s="32" t="n">
        <v>0</v>
      </c>
      <c r="V38" s="124"/>
      <c r="W38" s="124"/>
      <c r="X38" s="125" t="n">
        <v>20.5</v>
      </c>
      <c r="Y38" s="125" t="n">
        <v>20.1</v>
      </c>
      <c r="Z38" s="32" t="n">
        <v>1.3</v>
      </c>
      <c r="AA38" s="32" t="n">
        <v>1.27</v>
      </c>
      <c r="AB38" s="125" t="n">
        <v>21.9</v>
      </c>
      <c r="AC38" s="125" t="n">
        <v>21.4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6.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34.9621</v>
      </c>
      <c r="H39" s="118" t="n">
        <v>2000</v>
      </c>
      <c r="I39" s="179" t="n">
        <v>2001.5</v>
      </c>
      <c r="J39" s="124"/>
      <c r="K39" s="132"/>
      <c r="L39" s="132"/>
      <c r="M39" s="132"/>
      <c r="N39" s="133"/>
      <c r="O39" s="132"/>
      <c r="P39" s="177" t="n">
        <v>5.622</v>
      </c>
      <c r="Q39" s="124"/>
      <c r="R39" s="124"/>
      <c r="S39" s="124" t="n">
        <v>244.37</v>
      </c>
      <c r="T39" s="32" t="n">
        <v>0</v>
      </c>
      <c r="U39" s="32" t="n">
        <v>0</v>
      </c>
      <c r="V39" s="124"/>
      <c r="W39" s="124"/>
      <c r="X39" s="125" t="n">
        <v>20.5</v>
      </c>
      <c r="Y39" s="125" t="n">
        <v>20.1</v>
      </c>
      <c r="Z39" s="32" t="n">
        <v>1.3</v>
      </c>
      <c r="AA39" s="32" t="n">
        <v>1.27</v>
      </c>
      <c r="AB39" s="125" t="n">
        <v>21.5</v>
      </c>
      <c r="AC39" s="125" t="n">
        <v>21</v>
      </c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7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34.9627</v>
      </c>
      <c r="H40" s="118" t="n">
        <v>2000</v>
      </c>
      <c r="I40" s="179" t="n">
        <v>2001.5</v>
      </c>
      <c r="J40" s="124"/>
      <c r="K40" s="132"/>
      <c r="L40" s="132"/>
      <c r="M40" s="132"/>
      <c r="N40" s="133"/>
      <c r="O40" s="132"/>
      <c r="P40" s="177" t="n">
        <v>5.621</v>
      </c>
      <c r="Q40" s="124"/>
      <c r="R40" s="124"/>
      <c r="S40" s="124" t="n">
        <v>244.284</v>
      </c>
      <c r="T40" s="32" t="n">
        <v>0</v>
      </c>
      <c r="U40" s="32" t="n">
        <v>0</v>
      </c>
      <c r="V40" s="124"/>
      <c r="W40" s="124"/>
      <c r="X40" s="125" t="n">
        <v>20.4</v>
      </c>
      <c r="Y40" s="125" t="n">
        <v>19.9</v>
      </c>
      <c r="Z40" s="32" t="n">
        <v>1.3</v>
      </c>
      <c r="AA40" s="32" t="n">
        <v>1.27</v>
      </c>
      <c r="AB40" s="125" t="n">
        <v>21.7</v>
      </c>
      <c r="AC40" s="125" t="n">
        <v>21.2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6.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34.9614</v>
      </c>
      <c r="H41" s="118" t="n">
        <v>2000</v>
      </c>
      <c r="I41" s="179" t="n">
        <v>2001.5</v>
      </c>
      <c r="J41" s="124"/>
      <c r="K41" s="132"/>
      <c r="L41" s="132"/>
      <c r="M41" s="132"/>
      <c r="N41" s="133"/>
      <c r="O41" s="132"/>
      <c r="P41" s="177" t="n">
        <v>5.647</v>
      </c>
      <c r="Q41" s="124"/>
      <c r="R41" s="124"/>
      <c r="S41" s="124" t="n">
        <v>245.444</v>
      </c>
      <c r="T41" s="32" t="n">
        <v>0</v>
      </c>
      <c r="U41" s="32" t="n">
        <v>0</v>
      </c>
      <c r="V41" s="124"/>
      <c r="W41" s="124"/>
      <c r="X41" s="125" t="n">
        <v>20.4</v>
      </c>
      <c r="Y41" s="125" t="n">
        <v>19.9</v>
      </c>
      <c r="Z41" s="32" t="n">
        <v>1.33</v>
      </c>
      <c r="AA41" s="32" t="n">
        <v>1.3</v>
      </c>
      <c r="AB41" s="125" t="n">
        <v>21.4</v>
      </c>
      <c r="AC41" s="125" t="n">
        <v>20.9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34.961</v>
      </c>
      <c r="H42" s="118" t="n">
        <v>2000</v>
      </c>
      <c r="I42" s="179" t="n">
        <v>2001.5</v>
      </c>
      <c r="J42" s="124"/>
      <c r="K42" s="132"/>
      <c r="L42" s="132"/>
      <c r="M42" s="132"/>
      <c r="N42" s="133"/>
      <c r="O42" s="132"/>
      <c r="P42" s="177" t="n">
        <v>5.654</v>
      </c>
      <c r="Q42" s="124"/>
      <c r="R42" s="124"/>
      <c r="S42" s="124" t="n">
        <v>245.728</v>
      </c>
      <c r="T42" s="32" t="n">
        <v>0</v>
      </c>
      <c r="U42" s="32" t="n">
        <v>0</v>
      </c>
      <c r="V42" s="124"/>
      <c r="W42" s="124"/>
      <c r="X42" s="125" t="n">
        <v>20.6</v>
      </c>
      <c r="Y42" s="125" t="n">
        <v>20.1</v>
      </c>
      <c r="Z42" s="32" t="n">
        <v>1.37</v>
      </c>
      <c r="AA42" s="32" t="n">
        <v>1.34</v>
      </c>
      <c r="AB42" s="125" t="n">
        <v>20.7</v>
      </c>
      <c r="AC42" s="125" t="n">
        <v>20.2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6.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34.9612</v>
      </c>
      <c r="H43" s="118" t="n">
        <v>2000</v>
      </c>
      <c r="I43" s="179" t="n">
        <v>2001.5</v>
      </c>
      <c r="J43" s="124"/>
      <c r="K43" s="132"/>
      <c r="L43" s="132"/>
      <c r="M43" s="132"/>
      <c r="N43" s="133"/>
      <c r="O43" s="132"/>
      <c r="P43" s="177" t="n">
        <v>5.673</v>
      </c>
      <c r="Q43" s="124"/>
      <c r="R43" s="124"/>
      <c r="S43" s="124" t="n">
        <v>246.56</v>
      </c>
      <c r="T43" s="32" t="n">
        <v>0</v>
      </c>
      <c r="U43" s="32" t="n">
        <v>0</v>
      </c>
      <c r="V43" s="124"/>
      <c r="W43" s="124"/>
      <c r="X43" s="125" t="n">
        <v>20.4</v>
      </c>
      <c r="Y43" s="125" t="n">
        <v>19.9</v>
      </c>
      <c r="Z43" s="32" t="n">
        <v>1.31</v>
      </c>
      <c r="AA43" s="32" t="n">
        <v>1.28</v>
      </c>
      <c r="AB43" s="125" t="n">
        <v>20.6</v>
      </c>
      <c r="AC43" s="125" t="n">
        <v>20.1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6.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34.9622</v>
      </c>
      <c r="H44" s="118" t="n">
        <v>2000</v>
      </c>
      <c r="I44" s="179" t="n">
        <v>2001.5</v>
      </c>
      <c r="J44" s="124"/>
      <c r="K44" s="132"/>
      <c r="L44" s="132"/>
      <c r="M44" s="132"/>
      <c r="N44" s="133"/>
      <c r="O44" s="132"/>
      <c r="P44" s="177" t="n">
        <v>5.63</v>
      </c>
      <c r="Q44" s="124"/>
      <c r="R44" s="124"/>
      <c r="S44" s="124" t="n">
        <v>244.721</v>
      </c>
      <c r="T44" s="32" t="n">
        <v>0</v>
      </c>
      <c r="U44" s="32" t="n">
        <v>0</v>
      </c>
      <c r="V44" s="124"/>
      <c r="W44" s="124"/>
      <c r="X44" s="125" t="n">
        <v>20.4</v>
      </c>
      <c r="Y44" s="125" t="n">
        <v>19.9</v>
      </c>
      <c r="Z44" s="32" t="n">
        <v>1.32</v>
      </c>
      <c r="AA44" s="32" t="n">
        <v>1.29</v>
      </c>
      <c r="AB44" s="125" t="n">
        <v>21.5</v>
      </c>
      <c r="AC44" s="125" t="n">
        <v>21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34.9607</v>
      </c>
      <c r="H45" s="118" t="n">
        <v>2000</v>
      </c>
      <c r="I45" s="179" t="n">
        <v>2001.5</v>
      </c>
      <c r="J45" s="124"/>
      <c r="K45" s="132"/>
      <c r="L45" s="132"/>
      <c r="M45" s="132"/>
      <c r="N45" s="133"/>
      <c r="O45" s="132"/>
      <c r="P45" s="177" t="n">
        <v>5.661</v>
      </c>
      <c r="Q45" s="124"/>
      <c r="R45" s="124"/>
      <c r="S45" s="124" t="n">
        <v>246.069</v>
      </c>
      <c r="T45" s="32" t="n">
        <v>0</v>
      </c>
      <c r="U45" s="32" t="n">
        <v>0</v>
      </c>
      <c r="V45" s="124"/>
      <c r="W45" s="124"/>
      <c r="X45" s="125" t="n">
        <v>20.4</v>
      </c>
      <c r="Y45" s="125" t="n">
        <v>19.9</v>
      </c>
      <c r="Z45" s="32" t="n">
        <v>1.29</v>
      </c>
      <c r="AA45" s="32" t="n">
        <v>1.26</v>
      </c>
      <c r="AB45" s="125" t="n">
        <v>19.6</v>
      </c>
      <c r="AC45" s="125" t="n">
        <v>19.1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38" t="n">
        <v>35.875</v>
      </c>
      <c r="H46" s="131" t="n">
        <v>0</v>
      </c>
      <c r="I46" s="131" t="n">
        <v>0</v>
      </c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n">
        <v>4.821</v>
      </c>
      <c r="Q46" s="152" t="str">
        <f aca="false">IF(ISBLANK($R$16),"",IF(#REF!=0,"",IF(ISBLANK($R$17),"",IF(A46=0,"",IF(ISBLANK(I46),"",IF(AND(C46&gt;1202,C46&lt;2001),"Err. N°",IF(AND(C46&gt;499,C46&lt;1141),"Err.N°",IF($I$29=$O$28,"",IF(AND($I$29=$O$29,C46&lt;1000),"N° Flac.",IF(AND($I$29=$O$30,C46&gt;1000),"N° Flac.",((44.66*O46))))))))))))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1" t="n">
        <v>210.275</v>
      </c>
      <c r="T46" s="32" t="n">
        <v>0.06</v>
      </c>
      <c r="U46" s="32" t="n">
        <v>0.06</v>
      </c>
      <c r="V46" s="152" t="str">
        <f aca="false">IF(ISBLANK($R$16),"",IF(#REF!=0,"",IF(ISBLANK($R$17),"",IF(F46=0,"",IF(ISBLANK(N46),"",IF(AND(H46&gt;1202,H46&lt;2001),"Err. N°",IF(AND(H46&gt;499,H46&lt;1141),"Err.N°",IF($I$29=$O$28,"",IF(AND($I$29=$O$29,H46&lt;1000),"N° Flac.",IF(AND($I$29=$O$30,H46&gt;1000),"N° Flac.",((44.66*T46))))))))))))</f>
        <v/>
      </c>
      <c r="W46" s="152" t="str">
        <f aca="false">IF(ISBLANK($R$16),"",IF(F46=0,"",IF(ISBLANK($R$17),"",IF(G46=0,"",IF(ISBLANK(O46),"",IF(AND(I46&gt;1202,I46&lt;2001),"Err. N°",IF(AND(I46&gt;499,I46&lt;1141),"Err.N°",IF($I$29=$O$28,"",IF(AND($I$29=$O$29,I46&lt;1000),"N° Flac.",IF(AND($I$29=$O$30,I46&gt;1000),"N° Flac.",((44.66*U46))))))))))))</f>
        <v/>
      </c>
      <c r="X46" s="125" t="n">
        <v>0.5</v>
      </c>
      <c r="Y46" s="125" t="n">
        <v>0.5</v>
      </c>
      <c r="Z46" s="32" t="n">
        <v>0.12</v>
      </c>
      <c r="AA46" s="32" t="n">
        <v>0.11</v>
      </c>
      <c r="AB46" s="125" t="n">
        <v>1.2</v>
      </c>
      <c r="AC46" s="125" t="n">
        <v>1.1</v>
      </c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R7" colorId="64" zoomScale="100" zoomScaleNormal="100" zoomScalePageLayoutView="100" workbookViewId="0">
      <selection pane="topLeft" activeCell="Y49" activeCellId="0" sqref="Y49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59.83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-2°59,83</v>
      </c>
      <c r="P9" s="29" t="s">
        <v>16</v>
      </c>
      <c r="Q9" s="33" t="n">
        <f aca="false">IF(ISBLANK(I9),"",IF(ISBLANK(J9),"",IF(J9&gt;60,"ERREUR !!",O11*(I9+(J9/60)))))</f>
        <v>-2.99716666666667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-10°0,12</v>
      </c>
      <c r="P10" s="29" t="s">
        <v>17</v>
      </c>
      <c r="Q10" s="33" t="n">
        <f aca="false">IF(ISBLANK(I10),"",IF(ISBLANK(J10),"",IF(J10&gt;60,"ERREUR !!",O12*(I10+(J10/60)))))</f>
        <v>-10.002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38985</v>
      </c>
      <c r="K11" s="38"/>
      <c r="L11" s="38"/>
      <c r="M11" s="38"/>
      <c r="N11" s="39" t="str">
        <f aca="false">I9&amp;"°"&amp;J9</f>
        <v>2°59,83</v>
      </c>
      <c r="O11" s="40" t="n">
        <f aca="false">IF(P9=M10,-1,1)</f>
        <v>-1</v>
      </c>
      <c r="P11" s="41" t="str">
        <f aca="false">TEXT(J11,"aaaa-mm-jj")&amp;"T"&amp;TEXT(J12,"hh:mm:ss")&amp;"z"</f>
        <v>2010-09-26T20:20:00z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0.847222222222222</v>
      </c>
      <c r="K12" s="45"/>
      <c r="L12" s="45"/>
      <c r="M12" s="45"/>
      <c r="N12" s="46" t="str">
        <f aca="false">I10&amp;"°"&amp;J10</f>
        <v>10°0,12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34.9609</v>
      </c>
      <c r="H35" s="118" t="n">
        <v>2000</v>
      </c>
      <c r="I35" s="179" t="n">
        <v>2000.3</v>
      </c>
      <c r="J35" s="119"/>
      <c r="K35" s="120"/>
      <c r="L35" s="120"/>
      <c r="M35" s="120"/>
      <c r="N35" s="121"/>
      <c r="O35" s="120"/>
      <c r="P35" s="189" t="n">
        <v>5.576</v>
      </c>
      <c r="Q35" s="119"/>
      <c r="R35" s="119"/>
      <c r="S35" s="190" t="n">
        <v>242.3</v>
      </c>
      <c r="T35" s="32" t="n">
        <v>0</v>
      </c>
      <c r="U35" s="32" t="n">
        <v>0</v>
      </c>
      <c r="V35" s="119"/>
      <c r="W35" s="119"/>
      <c r="X35" s="125" t="n">
        <v>21</v>
      </c>
      <c r="Y35" s="125" t="n">
        <v>20.5</v>
      </c>
      <c r="Z35" s="32" t="n">
        <v>1.33</v>
      </c>
      <c r="AA35" s="32" t="n">
        <v>1.3</v>
      </c>
      <c r="AB35" s="125" t="n">
        <v>21.4</v>
      </c>
      <c r="AC35" s="125" t="n">
        <v>21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34.5856</v>
      </c>
      <c r="H36" s="131" t="n">
        <v>1000</v>
      </c>
      <c r="I36" s="179" t="n">
        <v>1002.5</v>
      </c>
      <c r="J36" s="124"/>
      <c r="K36" s="132"/>
      <c r="L36" s="132"/>
      <c r="M36" s="132"/>
      <c r="N36" s="133"/>
      <c r="O36" s="132"/>
      <c r="P36" s="189" t="n">
        <v>3.633</v>
      </c>
      <c r="Q36" s="124"/>
      <c r="R36" s="124"/>
      <c r="S36" s="190" t="n">
        <v>157.9</v>
      </c>
      <c r="T36" s="32" t="n">
        <v>0</v>
      </c>
      <c r="U36" s="32" t="n">
        <v>0</v>
      </c>
      <c r="V36" s="124"/>
      <c r="W36" s="124"/>
      <c r="X36" s="125" t="n">
        <v>34.2</v>
      </c>
      <c r="Y36" s="125" t="n">
        <v>33.4</v>
      </c>
      <c r="Z36" s="32" t="n">
        <v>2.23</v>
      </c>
      <c r="AA36" s="32" t="n">
        <v>2.18</v>
      </c>
      <c r="AB36" s="125" t="n">
        <v>32.1</v>
      </c>
      <c r="AC36" s="125" t="n">
        <v>31.4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34.5763</v>
      </c>
      <c r="H37" s="131" t="n">
        <v>500</v>
      </c>
      <c r="I37" s="179" t="n">
        <v>499.3</v>
      </c>
      <c r="J37" s="124"/>
      <c r="K37" s="132"/>
      <c r="L37" s="132"/>
      <c r="M37" s="132"/>
      <c r="N37" s="133"/>
      <c r="O37" s="132"/>
      <c r="P37" s="189" t="n">
        <v>3.498</v>
      </c>
      <c r="Q37" s="124"/>
      <c r="R37" s="124"/>
      <c r="S37" s="190" t="n">
        <v>152.1</v>
      </c>
      <c r="T37" s="32" t="n">
        <v>0</v>
      </c>
      <c r="U37" s="32" t="n">
        <v>0</v>
      </c>
      <c r="V37" s="124"/>
      <c r="W37" s="124"/>
      <c r="X37" s="125" t="n">
        <v>32</v>
      </c>
      <c r="Y37" s="125" t="n">
        <v>31.2</v>
      </c>
      <c r="Z37" s="32" t="n">
        <v>2.04</v>
      </c>
      <c r="AA37" s="32" t="n">
        <v>1.99</v>
      </c>
      <c r="AB37" s="125" t="n">
        <v>20.3</v>
      </c>
      <c r="AC37" s="125" t="n">
        <v>19.9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35.656</v>
      </c>
      <c r="H38" s="131" t="n">
        <v>100</v>
      </c>
      <c r="I38" s="179" t="n">
        <v>102.3</v>
      </c>
      <c r="J38" s="124"/>
      <c r="K38" s="132"/>
      <c r="L38" s="132"/>
      <c r="M38" s="132"/>
      <c r="N38" s="133"/>
      <c r="O38" s="132"/>
      <c r="P38" s="189" t="n">
        <v>2.821</v>
      </c>
      <c r="Q38" s="124"/>
      <c r="R38" s="124"/>
      <c r="S38" s="190" t="n">
        <v>122.8</v>
      </c>
      <c r="T38" s="32" t="n">
        <v>0.06</v>
      </c>
      <c r="U38" s="32" t="n">
        <v>0.06</v>
      </c>
      <c r="V38" s="124"/>
      <c r="W38" s="124"/>
      <c r="X38" s="125" t="n">
        <v>17.8</v>
      </c>
      <c r="Y38" s="125" t="n">
        <v>17.4</v>
      </c>
      <c r="Z38" s="32" t="n">
        <v>1.17</v>
      </c>
      <c r="AA38" s="32" t="n">
        <v>1.15</v>
      </c>
      <c r="AB38" s="125" t="n">
        <v>5.5</v>
      </c>
      <c r="AC38" s="125" t="n">
        <v>5.4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2" t="n">
        <v>35.7013</v>
      </c>
      <c r="H39" s="131" t="n">
        <v>80</v>
      </c>
      <c r="I39" s="179" t="n">
        <v>80</v>
      </c>
      <c r="J39" s="124"/>
      <c r="K39" s="132"/>
      <c r="L39" s="132"/>
      <c r="M39" s="132"/>
      <c r="N39" s="133"/>
      <c r="O39" s="132"/>
      <c r="P39" s="122" t="n">
        <v>2.795</v>
      </c>
      <c r="Q39" s="124"/>
      <c r="R39" s="124"/>
      <c r="S39" s="191" t="n">
        <v>121.7</v>
      </c>
      <c r="T39" s="32" t="n">
        <v>0.32</v>
      </c>
      <c r="U39" s="32" t="n">
        <v>0.32</v>
      </c>
      <c r="V39" s="124"/>
      <c r="W39" s="124"/>
      <c r="X39" s="125" t="n">
        <v>16</v>
      </c>
      <c r="Y39" s="125" t="n">
        <v>15.7</v>
      </c>
      <c r="Z39" s="32" t="n">
        <v>1.12</v>
      </c>
      <c r="AA39" s="32" t="n">
        <v>1.09</v>
      </c>
      <c r="AB39" s="125" t="n">
        <v>5</v>
      </c>
      <c r="AC39" s="125" t="n">
        <v>4.9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2" t="n">
        <v>35.7153</v>
      </c>
      <c r="H40" s="131" t="n">
        <v>80</v>
      </c>
      <c r="I40" s="178" t="n">
        <v>79.8</v>
      </c>
      <c r="J40" s="124"/>
      <c r="K40" s="132"/>
      <c r="L40" s="132"/>
      <c r="M40" s="132"/>
      <c r="N40" s="133"/>
      <c r="O40" s="132"/>
      <c r="P40" s="122" t="n">
        <v>2.831</v>
      </c>
      <c r="Q40" s="124"/>
      <c r="R40" s="124"/>
      <c r="S40" s="191" t="n">
        <v>123.3</v>
      </c>
      <c r="T40" s="32" t="n">
        <v>0.5</v>
      </c>
      <c r="U40" s="32" t="n">
        <v>0.49</v>
      </c>
      <c r="V40" s="124"/>
      <c r="W40" s="124"/>
      <c r="X40" s="125" t="n">
        <v>15.3</v>
      </c>
      <c r="Y40" s="125" t="n">
        <v>14.9</v>
      </c>
      <c r="Z40" s="32" t="n">
        <v>1.08</v>
      </c>
      <c r="AA40" s="32" t="n">
        <v>1.06</v>
      </c>
      <c r="AB40" s="125" t="n">
        <v>5</v>
      </c>
      <c r="AC40" s="125" t="n">
        <v>4.9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35.7918</v>
      </c>
      <c r="H41" s="131" t="n">
        <v>60</v>
      </c>
      <c r="I41" s="179" t="n">
        <v>60.2</v>
      </c>
      <c r="J41" s="124"/>
      <c r="K41" s="132"/>
      <c r="L41" s="132"/>
      <c r="M41" s="132"/>
      <c r="N41" s="133"/>
      <c r="O41" s="132"/>
      <c r="P41" s="189" t="n">
        <v>3.505</v>
      </c>
      <c r="Q41" s="124"/>
      <c r="R41" s="124"/>
      <c r="S41" s="190" t="n">
        <v>152.7</v>
      </c>
      <c r="T41" s="32" t="n">
        <v>1.2</v>
      </c>
      <c r="U41" s="32" t="n">
        <v>1.17</v>
      </c>
      <c r="V41" s="124"/>
      <c r="W41" s="124"/>
      <c r="X41" s="125" t="n">
        <v>10.4</v>
      </c>
      <c r="Y41" s="125" t="n">
        <v>10.2</v>
      </c>
      <c r="Z41" s="32" t="n">
        <v>0.84</v>
      </c>
      <c r="AA41" s="32" t="n">
        <v>0.82</v>
      </c>
      <c r="AB41" s="125" t="n">
        <v>3.6</v>
      </c>
      <c r="AC41" s="125" t="n">
        <v>3.5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36.0057</v>
      </c>
      <c r="H42" s="131" t="n">
        <v>40</v>
      </c>
      <c r="I42" s="179" t="n">
        <v>40.2</v>
      </c>
      <c r="J42" s="124"/>
      <c r="K42" s="132"/>
      <c r="L42" s="132"/>
      <c r="M42" s="132"/>
      <c r="N42" s="133"/>
      <c r="O42" s="132"/>
      <c r="P42" s="189" t="n">
        <v>4.808</v>
      </c>
      <c r="Q42" s="124"/>
      <c r="R42" s="124"/>
      <c r="S42" s="190" t="n">
        <v>209.6</v>
      </c>
      <c r="T42" s="32" t="n">
        <v>0.04</v>
      </c>
      <c r="U42" s="32" t="n">
        <v>0.04</v>
      </c>
      <c r="V42" s="124"/>
      <c r="W42" s="124"/>
      <c r="X42" s="125" t="n">
        <v>0.6</v>
      </c>
      <c r="Y42" s="125" t="n">
        <v>0.6</v>
      </c>
      <c r="Z42" s="32" t="n">
        <v>0.21</v>
      </c>
      <c r="AA42" s="32" t="n">
        <v>0.2</v>
      </c>
      <c r="AB42" s="125" t="n">
        <v>1.4</v>
      </c>
      <c r="AC42" s="125" t="n">
        <v>1.3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36.0151</v>
      </c>
      <c r="H43" s="131" t="n">
        <v>20</v>
      </c>
      <c r="I43" s="179" t="n">
        <v>20.3</v>
      </c>
      <c r="J43" s="124"/>
      <c r="K43" s="132"/>
      <c r="L43" s="132"/>
      <c r="M43" s="132"/>
      <c r="N43" s="133"/>
      <c r="O43" s="132"/>
      <c r="P43" s="189" t="n">
        <v>4.812</v>
      </c>
      <c r="Q43" s="124"/>
      <c r="R43" s="124"/>
      <c r="S43" s="190" t="n">
        <v>209.8</v>
      </c>
      <c r="T43" s="32" t="n">
        <v>0.01</v>
      </c>
      <c r="U43" s="32" t="n">
        <v>0.01</v>
      </c>
      <c r="V43" s="124"/>
      <c r="W43" s="124"/>
      <c r="X43" s="125" t="n">
        <v>0.3</v>
      </c>
      <c r="Y43" s="125" t="n">
        <v>0.3</v>
      </c>
      <c r="Z43" s="32" t="n">
        <v>0.18</v>
      </c>
      <c r="AA43" s="32" t="n">
        <v>0.18</v>
      </c>
      <c r="AB43" s="125" t="n">
        <v>1.4</v>
      </c>
      <c r="AC43" s="125" t="n">
        <v>1.3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36.016</v>
      </c>
      <c r="H44" s="131" t="n">
        <v>10</v>
      </c>
      <c r="I44" s="179" t="n">
        <v>10.6</v>
      </c>
      <c r="J44" s="124"/>
      <c r="K44" s="132"/>
      <c r="L44" s="132"/>
      <c r="M44" s="132"/>
      <c r="N44" s="133"/>
      <c r="O44" s="132"/>
      <c r="P44" s="189" t="n">
        <v>4.87</v>
      </c>
      <c r="Q44" s="124"/>
      <c r="R44" s="124"/>
      <c r="S44" s="190" t="n">
        <v>212.4</v>
      </c>
      <c r="T44" s="32" t="n">
        <v>0.01</v>
      </c>
      <c r="U44" s="32" t="n">
        <v>0.01</v>
      </c>
      <c r="V44" s="124"/>
      <c r="W44" s="124"/>
      <c r="X44" s="125" t="n">
        <v>0.2</v>
      </c>
      <c r="Y44" s="125" t="n">
        <v>0.2</v>
      </c>
      <c r="Z44" s="32" t="n">
        <v>0.18</v>
      </c>
      <c r="AA44" s="32" t="n">
        <v>0.18</v>
      </c>
      <c r="AB44" s="125" t="n">
        <v>1.3</v>
      </c>
      <c r="AC44" s="125" t="n">
        <v>1.3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36.0163</v>
      </c>
      <c r="H45" s="131" t="n">
        <v>0</v>
      </c>
      <c r="I45" s="179" t="n">
        <v>2.5</v>
      </c>
      <c r="J45" s="124"/>
      <c r="K45" s="132"/>
      <c r="L45" s="132"/>
      <c r="M45" s="132"/>
      <c r="N45" s="133"/>
      <c r="O45" s="132"/>
      <c r="P45" s="189" t="n">
        <v>4.845</v>
      </c>
      <c r="Q45" s="124"/>
      <c r="R45" s="124"/>
      <c r="S45" s="190" t="n">
        <v>211.2</v>
      </c>
      <c r="T45" s="32" t="n">
        <v>0.01</v>
      </c>
      <c r="U45" s="32" t="n">
        <v>0.01</v>
      </c>
      <c r="V45" s="124"/>
      <c r="W45" s="124"/>
      <c r="X45" s="125" t="n">
        <v>0.2</v>
      </c>
      <c r="Y45" s="125" t="n">
        <v>0.2</v>
      </c>
      <c r="Z45" s="32" t="n">
        <v>0.19</v>
      </c>
      <c r="AA45" s="32" t="n">
        <v>0.19</v>
      </c>
      <c r="AB45" s="125" t="n">
        <v>1.4</v>
      </c>
      <c r="AC45" s="125" t="n">
        <v>1.4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Q10" colorId="64" zoomScale="100" zoomScaleNormal="100" zoomScalePageLayoutView="100" workbookViewId="0">
      <selection pane="topLeft" activeCell="AB45" activeCellId="0" sqref="AB45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36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2</v>
      </c>
      <c r="J9" s="29" t="n">
        <v>29.76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-2°29,76</v>
      </c>
      <c r="P9" s="29" t="s">
        <v>16</v>
      </c>
      <c r="Q9" s="33" t="n">
        <f aca="false">IF(ISBLANK(I9),"",IF(ISBLANK(J9),"",IF(J9&gt;60,"ERREUR !!",O11*(I9+(J9/60)))))</f>
        <v>-2.496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</v>
      </c>
      <c r="P10" s="29" t="s">
        <v>17</v>
      </c>
      <c r="Q10" s="33" t="n">
        <f aca="false">IF(ISBLANK(I10),"",IF(ISBLANK(J10),"",IF(J10&gt;60,"ERREUR !!",O12*(I10+(J10/60)))))</f>
        <v>-10.0016666666667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38986</v>
      </c>
      <c r="K11" s="38"/>
      <c r="L11" s="38"/>
      <c r="M11" s="38"/>
      <c r="N11" s="39" t="str">
        <f aca="false">I9&amp;"°"&amp;J9</f>
        <v>2°29,76</v>
      </c>
      <c r="O11" s="40" t="n">
        <f aca="false">IF(P9=M10,-1,1)</f>
        <v>-1</v>
      </c>
      <c r="P11" s="41" t="str">
        <f aca="false">TEXT(J11,"aaaa-mm-jj")&amp;"T"&amp;TEXT(J12,"hh:mm:ss")&amp;"z"</f>
        <v>2010-09-27T01:00:00z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0.0416666666666667</v>
      </c>
      <c r="K12" s="45"/>
      <c r="L12" s="45"/>
      <c r="M12" s="45"/>
      <c r="N12" s="46" t="str">
        <f aca="false">I10&amp;"°"&amp;J10</f>
        <v>10°0,1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34.9617</v>
      </c>
      <c r="H35" s="118" t="n">
        <v>2000</v>
      </c>
      <c r="I35" s="179" t="n">
        <v>2002</v>
      </c>
      <c r="J35" s="119"/>
      <c r="K35" s="120"/>
      <c r="L35" s="120"/>
      <c r="M35" s="120"/>
      <c r="N35" s="121"/>
      <c r="O35" s="120"/>
      <c r="P35" s="174" t="n">
        <v>5.571</v>
      </c>
      <c r="Q35" s="119"/>
      <c r="R35" s="119"/>
      <c r="S35" s="174" t="n">
        <v>242.135</v>
      </c>
      <c r="T35" s="32" t="n">
        <v>0</v>
      </c>
      <c r="U35" s="32" t="n">
        <v>0</v>
      </c>
      <c r="V35" s="119"/>
      <c r="W35" s="119"/>
      <c r="X35" s="125" t="n">
        <v>20.9</v>
      </c>
      <c r="Y35" s="125" t="n">
        <v>20.4</v>
      </c>
      <c r="Z35" s="32" t="n">
        <v>1.34</v>
      </c>
      <c r="AA35" s="32" t="n">
        <v>1.31</v>
      </c>
      <c r="AB35" s="34" t="n">
        <v>20.6</v>
      </c>
      <c r="AC35" s="125" t="n">
        <v>20.1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34.5919</v>
      </c>
      <c r="H36" s="131" t="n">
        <v>1000</v>
      </c>
      <c r="I36" s="179" t="n">
        <v>1002</v>
      </c>
      <c r="J36" s="124"/>
      <c r="K36" s="132"/>
      <c r="L36" s="132"/>
      <c r="M36" s="132"/>
      <c r="N36" s="133"/>
      <c r="O36" s="132"/>
      <c r="P36" s="177" t="n">
        <v>3.517</v>
      </c>
      <c r="Q36" s="124"/>
      <c r="R36" s="124"/>
      <c r="S36" s="177" t="n">
        <v>152.893</v>
      </c>
      <c r="T36" s="32" t="n">
        <v>0</v>
      </c>
      <c r="U36" s="32" t="n">
        <v>0</v>
      </c>
      <c r="V36" s="124"/>
      <c r="W36" s="124"/>
      <c r="X36" s="125" t="n">
        <v>34.3</v>
      </c>
      <c r="Y36" s="125" t="n">
        <v>33.5</v>
      </c>
      <c r="Z36" s="32" t="n">
        <v>2.24</v>
      </c>
      <c r="AA36" s="32" t="n">
        <v>2.19</v>
      </c>
      <c r="AB36" s="34" t="n">
        <v>32.4</v>
      </c>
      <c r="AC36" s="125" t="n">
        <v>31.7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34.5917</v>
      </c>
      <c r="H37" s="131" t="n">
        <v>500</v>
      </c>
      <c r="I37" s="179" t="n">
        <v>498</v>
      </c>
      <c r="J37" s="124"/>
      <c r="K37" s="132"/>
      <c r="L37" s="132"/>
      <c r="M37" s="132"/>
      <c r="N37" s="133"/>
      <c r="O37" s="132"/>
      <c r="P37" s="177" t="n">
        <v>3.146</v>
      </c>
      <c r="Q37" s="124"/>
      <c r="R37" s="124"/>
      <c r="S37" s="177" t="n">
        <v>136.834</v>
      </c>
      <c r="T37" s="32" t="n">
        <v>0</v>
      </c>
      <c r="U37" s="32" t="n">
        <v>0</v>
      </c>
      <c r="V37" s="124"/>
      <c r="W37" s="124"/>
      <c r="X37" s="125" t="n">
        <v>32.4</v>
      </c>
      <c r="Y37" s="125" t="n">
        <v>31.6</v>
      </c>
      <c r="Z37" s="32" t="n">
        <v>2.06</v>
      </c>
      <c r="AA37" s="32" t="n">
        <v>2.01</v>
      </c>
      <c r="AB37" s="34" t="n">
        <v>20.2</v>
      </c>
      <c r="AC37" s="125" t="n">
        <v>19.7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35.6021</v>
      </c>
      <c r="H38" s="131" t="n">
        <v>100</v>
      </c>
      <c r="I38" s="179" t="n">
        <v>101</v>
      </c>
      <c r="J38" s="124"/>
      <c r="K38" s="132"/>
      <c r="L38" s="132"/>
      <c r="M38" s="132"/>
      <c r="N38" s="133"/>
      <c r="O38" s="132"/>
      <c r="P38" s="177" t="n">
        <v>2.345</v>
      </c>
      <c r="Q38" s="124"/>
      <c r="R38" s="124"/>
      <c r="S38" s="177" t="n">
        <v>102.071</v>
      </c>
      <c r="T38" s="32" t="n">
        <v>0.02</v>
      </c>
      <c r="U38" s="32" t="n">
        <v>0.02</v>
      </c>
      <c r="V38" s="124"/>
      <c r="W38" s="124"/>
      <c r="X38" s="125" t="n">
        <v>19.8</v>
      </c>
      <c r="Y38" s="125" t="n">
        <v>19.3</v>
      </c>
      <c r="Z38" s="32" t="n">
        <v>1.28</v>
      </c>
      <c r="AA38" s="32" t="n">
        <v>1.25</v>
      </c>
      <c r="AB38" s="34" t="n">
        <v>5.8</v>
      </c>
      <c r="AC38" s="125" t="n">
        <v>5.6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35.7028</v>
      </c>
      <c r="H39" s="131" t="n">
        <v>80</v>
      </c>
      <c r="I39" s="179" t="n">
        <v>80</v>
      </c>
      <c r="J39" s="124"/>
      <c r="K39" s="132"/>
      <c r="L39" s="132"/>
      <c r="M39" s="132"/>
      <c r="N39" s="133"/>
      <c r="O39" s="132"/>
      <c r="P39" s="177" t="n">
        <v>2.723</v>
      </c>
      <c r="Q39" s="124"/>
      <c r="R39" s="124"/>
      <c r="S39" s="177" t="n">
        <v>118.534</v>
      </c>
      <c r="T39" s="32" t="n">
        <v>0.15</v>
      </c>
      <c r="U39" s="32" t="n">
        <v>0.15</v>
      </c>
      <c r="V39" s="124"/>
      <c r="W39" s="124"/>
      <c r="X39" s="125" t="n">
        <v>16.4</v>
      </c>
      <c r="Y39" s="125" t="n">
        <v>16</v>
      </c>
      <c r="Z39" s="32" t="n">
        <v>1.11</v>
      </c>
      <c r="AA39" s="32" t="n">
        <v>1.08</v>
      </c>
      <c r="AB39" s="34" t="n">
        <v>5.2</v>
      </c>
      <c r="AC39" s="125" t="n">
        <v>5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2" t="n">
        <v>35.8056</v>
      </c>
      <c r="H40" s="131" t="n">
        <v>60</v>
      </c>
      <c r="I40" s="179" t="n">
        <v>60</v>
      </c>
      <c r="J40" s="124"/>
      <c r="K40" s="132"/>
      <c r="L40" s="132"/>
      <c r="M40" s="132"/>
      <c r="N40" s="133"/>
      <c r="O40" s="132"/>
      <c r="P40" s="177" t="n">
        <v>3.205</v>
      </c>
      <c r="Q40" s="124"/>
      <c r="R40" s="124"/>
      <c r="S40" s="177" t="n">
        <v>139.578</v>
      </c>
      <c r="T40" s="32" t="n">
        <v>1.02</v>
      </c>
      <c r="U40" s="32" t="n">
        <v>0.99</v>
      </c>
      <c r="V40" s="124"/>
      <c r="W40" s="124"/>
      <c r="X40" s="125" t="n">
        <v>11.3</v>
      </c>
      <c r="Y40" s="125" t="n">
        <v>11.1</v>
      </c>
      <c r="Z40" s="32" t="n">
        <v>0.87</v>
      </c>
      <c r="AA40" s="32" t="n">
        <v>0.85</v>
      </c>
      <c r="AB40" s="34" t="n">
        <v>3.8</v>
      </c>
      <c r="AC40" s="125" t="n">
        <v>3.7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82" t="n">
        <v>35.8112</v>
      </c>
      <c r="H41" s="131" t="n">
        <v>60</v>
      </c>
      <c r="I41" s="179" t="n">
        <v>60</v>
      </c>
      <c r="J41" s="124"/>
      <c r="K41" s="132"/>
      <c r="L41" s="132"/>
      <c r="M41" s="132"/>
      <c r="N41" s="133"/>
      <c r="O41" s="132"/>
      <c r="P41" s="177" t="n">
        <v>3.236</v>
      </c>
      <c r="Q41" s="124"/>
      <c r="R41" s="124"/>
      <c r="S41" s="177" t="n">
        <v>140.928</v>
      </c>
      <c r="T41" s="32" t="n">
        <v>1.02</v>
      </c>
      <c r="U41" s="32" t="n">
        <v>1</v>
      </c>
      <c r="V41" s="124"/>
      <c r="W41" s="124"/>
      <c r="X41" s="125" t="n">
        <v>11.1</v>
      </c>
      <c r="Y41" s="125" t="n">
        <v>10.9</v>
      </c>
      <c r="Z41" s="32" t="n">
        <v>0.87</v>
      </c>
      <c r="AA41" s="32" t="n">
        <v>0.85</v>
      </c>
      <c r="AB41" s="34" t="n">
        <v>4</v>
      </c>
      <c r="AC41" s="125" t="n">
        <v>3.9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35.9856</v>
      </c>
      <c r="H42" s="131" t="n">
        <v>40</v>
      </c>
      <c r="I42" s="179" t="n">
        <v>40</v>
      </c>
      <c r="J42" s="124"/>
      <c r="K42" s="132"/>
      <c r="L42" s="132"/>
      <c r="M42" s="132"/>
      <c r="N42" s="133"/>
      <c r="O42" s="132"/>
      <c r="P42" s="177" t="n">
        <v>4.427</v>
      </c>
      <c r="Q42" s="124"/>
      <c r="R42" s="124"/>
      <c r="S42" s="177" t="n">
        <v>192.964</v>
      </c>
      <c r="T42" s="32" t="n">
        <v>0.14</v>
      </c>
      <c r="U42" s="32" t="n">
        <v>0.14</v>
      </c>
      <c r="V42" s="124"/>
      <c r="W42" s="124"/>
      <c r="X42" s="125" t="n">
        <v>2.4</v>
      </c>
      <c r="Y42" s="125" t="n">
        <v>2.4</v>
      </c>
      <c r="Z42" s="32" t="n">
        <v>0.33</v>
      </c>
      <c r="AA42" s="32" t="n">
        <v>0.32</v>
      </c>
      <c r="AB42" s="34" t="n">
        <v>1.6</v>
      </c>
      <c r="AC42" s="125" t="n">
        <v>1.6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36.0056</v>
      </c>
      <c r="H43" s="131" t="n">
        <v>20</v>
      </c>
      <c r="I43" s="179" t="n">
        <v>20</v>
      </c>
      <c r="J43" s="124"/>
      <c r="K43" s="132"/>
      <c r="L43" s="132"/>
      <c r="M43" s="132"/>
      <c r="N43" s="133"/>
      <c r="O43" s="132"/>
      <c r="P43" s="177" t="n">
        <v>4.758</v>
      </c>
      <c r="Q43" s="124"/>
      <c r="R43" s="124"/>
      <c r="S43" s="177" t="n">
        <v>207.453</v>
      </c>
      <c r="T43" s="32" t="n">
        <v>0.01</v>
      </c>
      <c r="U43" s="32" t="n">
        <v>0.01</v>
      </c>
      <c r="V43" s="124"/>
      <c r="W43" s="124"/>
      <c r="X43" s="125" t="n">
        <v>0.3</v>
      </c>
      <c r="Y43" s="125" t="n">
        <v>0.3</v>
      </c>
      <c r="Z43" s="32" t="n">
        <v>0.19</v>
      </c>
      <c r="AA43" s="32" t="n">
        <v>0.19</v>
      </c>
      <c r="AB43" s="34" t="n">
        <v>1.1</v>
      </c>
      <c r="AC43" s="125" t="n">
        <v>1.1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36.0054</v>
      </c>
      <c r="H44" s="131" t="n">
        <v>10</v>
      </c>
      <c r="I44" s="179" t="n">
        <v>10</v>
      </c>
      <c r="J44" s="124"/>
      <c r="K44" s="132"/>
      <c r="L44" s="132"/>
      <c r="M44" s="132"/>
      <c r="N44" s="133"/>
      <c r="O44" s="132"/>
      <c r="P44" s="177" t="n">
        <v>4.759</v>
      </c>
      <c r="Q44" s="124"/>
      <c r="R44" s="124"/>
      <c r="S44" s="177" t="n">
        <v>207.504</v>
      </c>
      <c r="T44" s="32" t="n">
        <v>0.02</v>
      </c>
      <c r="U44" s="32" t="n">
        <v>0.01</v>
      </c>
      <c r="V44" s="124"/>
      <c r="W44" s="124"/>
      <c r="X44" s="125" t="n">
        <v>0.4</v>
      </c>
      <c r="Y44" s="125" t="n">
        <v>0.4</v>
      </c>
      <c r="Z44" s="32" t="n">
        <v>0.29</v>
      </c>
      <c r="AA44" s="32" t="n">
        <v>0.28</v>
      </c>
      <c r="AB44" s="34" t="n">
        <v>1.2</v>
      </c>
      <c r="AC44" s="125" t="n">
        <v>1.1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36.0059</v>
      </c>
      <c r="H45" s="131" t="n">
        <v>0</v>
      </c>
      <c r="I45" s="179" t="n">
        <v>2</v>
      </c>
      <c r="J45" s="124"/>
      <c r="K45" s="132"/>
      <c r="L45" s="132"/>
      <c r="M45" s="132"/>
      <c r="N45" s="133"/>
      <c r="O45" s="132"/>
      <c r="P45" s="177" t="n">
        <v>4.768</v>
      </c>
      <c r="Q45" s="124"/>
      <c r="R45" s="124"/>
      <c r="S45" s="177" t="n">
        <v>207.896</v>
      </c>
      <c r="T45" s="32" t="n">
        <v>0.01</v>
      </c>
      <c r="U45" s="32" t="n">
        <v>0.01</v>
      </c>
      <c r="V45" s="124"/>
      <c r="W45" s="124"/>
      <c r="X45" s="125" t="n">
        <v>0.4</v>
      </c>
      <c r="Y45" s="125" t="n">
        <v>0.4</v>
      </c>
      <c r="Z45" s="32" t="n">
        <v>0.18</v>
      </c>
      <c r="AA45" s="32" t="n">
        <v>0.18</v>
      </c>
      <c r="AB45" s="34" t="n">
        <v>1.2</v>
      </c>
      <c r="AC45" s="125" t="n">
        <v>1.1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59.96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-1°59,96</v>
      </c>
      <c r="P9" s="29" t="s">
        <v>16</v>
      </c>
      <c r="Q9" s="33" t="n">
        <f aca="false">IF(ISBLANK(I9),"",IF(ISBLANK(J9),"",IF(J9&gt;60,"ERREUR !!",O11*(I9+(J9/60)))))</f>
        <v>-1.99933333333333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-10°0,01</v>
      </c>
      <c r="P10" s="29" t="s">
        <v>17</v>
      </c>
      <c r="Q10" s="33" t="n">
        <f aca="false">IF(ISBLANK(I10),"",IF(ISBLANK(J10),"",IF(J10&gt;60,"ERREUR !!",O12*(I10+(J10/60)))))</f>
        <v>-10.0001666666667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38986</v>
      </c>
      <c r="K11" s="38"/>
      <c r="L11" s="38"/>
      <c r="M11" s="38"/>
      <c r="N11" s="39" t="str">
        <f aca="false">I9&amp;"°"&amp;J9</f>
        <v>1°59,96</v>
      </c>
      <c r="O11" s="40" t="n">
        <f aca="false">IF(P9=M10,-1,1)</f>
        <v>-1</v>
      </c>
      <c r="P11" s="41" t="str">
        <f aca="false">TEXT(J11,"aaaa-mm-jj")&amp;"T"&amp;TEXT(J12,"hh:mm:ss")&amp;"z"</f>
        <v>2010-09-27T06:00:00z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0.25</v>
      </c>
      <c r="K12" s="45"/>
      <c r="L12" s="45"/>
      <c r="M12" s="45"/>
      <c r="N12" s="46" t="str">
        <f aca="false">I10&amp;"°"&amp;J10</f>
        <v>10°0,01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34.9668</v>
      </c>
      <c r="H35" s="118" t="n">
        <v>2000</v>
      </c>
      <c r="I35" s="179" t="n">
        <v>2000.4</v>
      </c>
      <c r="J35" s="119"/>
      <c r="K35" s="120"/>
      <c r="L35" s="120"/>
      <c r="M35" s="120"/>
      <c r="N35" s="121"/>
      <c r="O35" s="120"/>
      <c r="P35" s="174" t="n">
        <v>5.57</v>
      </c>
      <c r="Q35" s="119"/>
      <c r="R35" s="119"/>
      <c r="S35" s="174" t="n">
        <v>242.08</v>
      </c>
      <c r="T35" s="32" t="n">
        <v>0.02</v>
      </c>
      <c r="U35" s="32" t="n">
        <v>0.01</v>
      </c>
      <c r="V35" s="119"/>
      <c r="W35" s="119"/>
      <c r="X35" s="125" t="n">
        <v>20.6</v>
      </c>
      <c r="Y35" s="125" t="n">
        <v>20.1</v>
      </c>
      <c r="Z35" s="32" t="n">
        <v>1.36</v>
      </c>
      <c r="AA35" s="32" t="n">
        <v>1.33</v>
      </c>
      <c r="AB35" s="125" t="n">
        <v>20.4</v>
      </c>
      <c r="AC35" s="125" t="n">
        <v>19.9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34.6053</v>
      </c>
      <c r="H36" s="131" t="n">
        <v>1000</v>
      </c>
      <c r="I36" s="179" t="n">
        <v>1000.1</v>
      </c>
      <c r="J36" s="124"/>
      <c r="K36" s="132"/>
      <c r="L36" s="132"/>
      <c r="M36" s="132"/>
      <c r="N36" s="133"/>
      <c r="O36" s="132"/>
      <c r="P36" s="177" t="n">
        <v>3.621</v>
      </c>
      <c r="Q36" s="124"/>
      <c r="R36" s="124"/>
      <c r="S36" s="177" t="n">
        <v>157.424</v>
      </c>
      <c r="T36" s="32" t="n">
        <v>0</v>
      </c>
      <c r="U36" s="32" t="n">
        <v>0</v>
      </c>
      <c r="V36" s="124"/>
      <c r="W36" s="124"/>
      <c r="X36" s="125" t="n">
        <v>33.7</v>
      </c>
      <c r="Y36" s="125" t="n">
        <v>32.9</v>
      </c>
      <c r="Z36" s="32" t="n">
        <v>2.25</v>
      </c>
      <c r="AA36" s="32" t="n">
        <v>2.2</v>
      </c>
      <c r="AB36" s="125" t="n">
        <v>30.7</v>
      </c>
      <c r="AC36" s="125" t="n">
        <v>30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34.5952</v>
      </c>
      <c r="H37" s="131" t="n">
        <v>500</v>
      </c>
      <c r="I37" s="179" t="n">
        <v>500.8</v>
      </c>
      <c r="J37" s="124"/>
      <c r="K37" s="132"/>
      <c r="L37" s="132"/>
      <c r="M37" s="132"/>
      <c r="N37" s="133"/>
      <c r="O37" s="132"/>
      <c r="P37" s="177" t="n">
        <v>3.171</v>
      </c>
      <c r="Q37" s="124"/>
      <c r="R37" s="124"/>
      <c r="S37" s="177" t="n">
        <v>137.899</v>
      </c>
      <c r="T37" s="32" t="n">
        <v>0</v>
      </c>
      <c r="U37" s="32" t="n">
        <v>0</v>
      </c>
      <c r="V37" s="124"/>
      <c r="W37" s="124"/>
      <c r="X37" s="125" t="n">
        <v>32.2</v>
      </c>
      <c r="Y37" s="125" t="n">
        <v>31.5</v>
      </c>
      <c r="Z37" s="32" t="n">
        <v>2.07</v>
      </c>
      <c r="AA37" s="32" t="n">
        <v>2.02</v>
      </c>
      <c r="AB37" s="125" t="n">
        <v>20</v>
      </c>
      <c r="AC37" s="125" t="n">
        <v>19.6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35.5964</v>
      </c>
      <c r="H38" s="131" t="n">
        <v>100</v>
      </c>
      <c r="I38" s="179" t="n">
        <v>99.6</v>
      </c>
      <c r="J38" s="124"/>
      <c r="K38" s="132"/>
      <c r="L38" s="132"/>
      <c r="M38" s="132"/>
      <c r="N38" s="133"/>
      <c r="O38" s="132"/>
      <c r="P38" s="177" t="n">
        <v>2.274</v>
      </c>
      <c r="Q38" s="124"/>
      <c r="R38" s="124"/>
      <c r="S38" s="177" t="n">
        <v>98.988</v>
      </c>
      <c r="T38" s="32" t="n">
        <v>0.02</v>
      </c>
      <c r="U38" s="32" t="n">
        <v>0.02</v>
      </c>
      <c r="V38" s="124"/>
      <c r="W38" s="124"/>
      <c r="X38" s="125" t="n">
        <v>20.4</v>
      </c>
      <c r="Y38" s="125" t="n">
        <v>19.9</v>
      </c>
      <c r="Z38" s="32" t="n">
        <v>1.33</v>
      </c>
      <c r="AA38" s="32" t="n">
        <v>1.3</v>
      </c>
      <c r="AB38" s="125" t="n">
        <v>6.8</v>
      </c>
      <c r="AC38" s="125" t="n">
        <v>6.6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35.7197</v>
      </c>
      <c r="H39" s="131" t="n">
        <v>80</v>
      </c>
      <c r="I39" s="179" t="n">
        <v>79.6</v>
      </c>
      <c r="J39" s="124"/>
      <c r="K39" s="132"/>
      <c r="L39" s="132"/>
      <c r="M39" s="132"/>
      <c r="N39" s="133"/>
      <c r="O39" s="132"/>
      <c r="P39" s="177" t="n">
        <v>2.734</v>
      </c>
      <c r="Q39" s="124"/>
      <c r="R39" s="124"/>
      <c r="S39" s="177" t="n">
        <v>119.032</v>
      </c>
      <c r="T39" s="32" t="n">
        <v>0.04</v>
      </c>
      <c r="U39" s="32" t="n">
        <v>0.03</v>
      </c>
      <c r="V39" s="124"/>
      <c r="W39" s="124"/>
      <c r="X39" s="125" t="n">
        <v>16.6</v>
      </c>
      <c r="Y39" s="125" t="n">
        <v>16.2</v>
      </c>
      <c r="Z39" s="32" t="n">
        <v>1.11</v>
      </c>
      <c r="AA39" s="32" t="n">
        <v>1.09</v>
      </c>
      <c r="AB39" s="125" t="n">
        <v>5.1</v>
      </c>
      <c r="AC39" s="125" t="n">
        <v>5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35.8676</v>
      </c>
      <c r="H40" s="131" t="n">
        <v>60</v>
      </c>
      <c r="I40" s="179" t="n">
        <v>60.2</v>
      </c>
      <c r="J40" s="124"/>
      <c r="K40" s="132"/>
      <c r="L40" s="132"/>
      <c r="M40" s="132"/>
      <c r="N40" s="133"/>
      <c r="O40" s="132"/>
      <c r="P40" s="177" t="n">
        <v>3.214</v>
      </c>
      <c r="Q40" s="124"/>
      <c r="R40" s="124"/>
      <c r="S40" s="177" t="n">
        <v>139.971</v>
      </c>
      <c r="T40" s="32" t="n">
        <v>0.64</v>
      </c>
      <c r="U40" s="32" t="n">
        <v>0.62</v>
      </c>
      <c r="V40" s="124"/>
      <c r="W40" s="124"/>
      <c r="X40" s="125" t="n">
        <v>10.9</v>
      </c>
      <c r="Y40" s="125" t="n">
        <v>10.6</v>
      </c>
      <c r="Z40" s="32" t="n">
        <v>0.83</v>
      </c>
      <c r="AA40" s="32" t="n">
        <v>0.81</v>
      </c>
      <c r="AB40" s="125" t="n">
        <v>3.8</v>
      </c>
      <c r="AC40" s="125" t="n">
        <v>3.7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82" t="n">
        <v>36.0179</v>
      </c>
      <c r="H41" s="131" t="n">
        <v>40</v>
      </c>
      <c r="I41" s="179" t="n">
        <v>40.8</v>
      </c>
      <c r="J41" s="124"/>
      <c r="K41" s="132"/>
      <c r="L41" s="132"/>
      <c r="M41" s="132"/>
      <c r="N41" s="133"/>
      <c r="O41" s="132"/>
      <c r="P41" s="177" t="n">
        <v>4.479</v>
      </c>
      <c r="Q41" s="124"/>
      <c r="R41" s="124"/>
      <c r="S41" s="177" t="n">
        <v>195.248</v>
      </c>
      <c r="T41" s="32" t="n">
        <v>0.27</v>
      </c>
      <c r="U41" s="32" t="n">
        <v>0.26</v>
      </c>
      <c r="V41" s="124"/>
      <c r="W41" s="124"/>
      <c r="X41" s="125" t="n">
        <v>1.6</v>
      </c>
      <c r="Y41" s="125" t="n">
        <v>1.6</v>
      </c>
      <c r="Z41" s="32" t="n">
        <v>0.26</v>
      </c>
      <c r="AA41" s="32" t="n">
        <v>0.25</v>
      </c>
      <c r="AB41" s="125" t="n">
        <v>1.4</v>
      </c>
      <c r="AC41" s="125" t="n">
        <v>1.4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82" t="n">
        <v>36.017</v>
      </c>
      <c r="H42" s="131" t="n">
        <v>40</v>
      </c>
      <c r="I42" s="179" t="n">
        <v>40.7</v>
      </c>
      <c r="J42" s="124"/>
      <c r="K42" s="132"/>
      <c r="L42" s="132"/>
      <c r="M42" s="132"/>
      <c r="N42" s="133"/>
      <c r="O42" s="132"/>
      <c r="P42" s="177" t="n">
        <v>4.512</v>
      </c>
      <c r="Q42" s="124"/>
      <c r="R42" s="124"/>
      <c r="S42" s="177" t="n">
        <v>196.704</v>
      </c>
      <c r="T42" s="32" t="n">
        <v>0.24</v>
      </c>
      <c r="U42" s="32" t="n">
        <v>0.23</v>
      </c>
      <c r="V42" s="124"/>
      <c r="W42" s="124"/>
      <c r="X42" s="125" t="n">
        <v>1.4</v>
      </c>
      <c r="Y42" s="125" t="n">
        <v>1.4</v>
      </c>
      <c r="Z42" s="32" t="n">
        <v>0.23</v>
      </c>
      <c r="AA42" s="32" t="n">
        <v>0.22</v>
      </c>
      <c r="AB42" s="125" t="n">
        <v>1.4</v>
      </c>
      <c r="AC42" s="125" t="n">
        <v>1.4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35.9973</v>
      </c>
      <c r="H43" s="131" t="n">
        <v>20</v>
      </c>
      <c r="I43" s="179" t="n">
        <v>21.5</v>
      </c>
      <c r="J43" s="124"/>
      <c r="K43" s="132"/>
      <c r="L43" s="132"/>
      <c r="M43" s="132"/>
      <c r="N43" s="133"/>
      <c r="O43" s="132"/>
      <c r="P43" s="177" t="n">
        <v>4.706</v>
      </c>
      <c r="Q43" s="124"/>
      <c r="R43" s="124"/>
      <c r="S43" s="177" t="n">
        <v>205.162</v>
      </c>
      <c r="T43" s="32" t="n">
        <v>0.06</v>
      </c>
      <c r="U43" s="32" t="n">
        <v>0.06</v>
      </c>
      <c r="V43" s="124"/>
      <c r="W43" s="124"/>
      <c r="X43" s="125" t="n">
        <v>0.5</v>
      </c>
      <c r="Y43" s="125" t="n">
        <v>0.5</v>
      </c>
      <c r="Z43" s="32" t="n">
        <v>0.18</v>
      </c>
      <c r="AA43" s="32" t="n">
        <v>0.17</v>
      </c>
      <c r="AB43" s="125" t="n">
        <v>1.2</v>
      </c>
      <c r="AC43" s="125" t="n">
        <v>1.2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35.9967</v>
      </c>
      <c r="H44" s="131" t="n">
        <v>10</v>
      </c>
      <c r="I44" s="179" t="n">
        <v>10.2</v>
      </c>
      <c r="J44" s="124"/>
      <c r="K44" s="132"/>
      <c r="L44" s="132"/>
      <c r="M44" s="132"/>
      <c r="N44" s="133"/>
      <c r="O44" s="132"/>
      <c r="P44" s="177" t="n">
        <v>4.709</v>
      </c>
      <c r="Q44" s="124"/>
      <c r="R44" s="124"/>
      <c r="S44" s="177" t="n">
        <v>205.293</v>
      </c>
      <c r="T44" s="32" t="n">
        <v>0.05</v>
      </c>
      <c r="U44" s="32" t="n">
        <v>0.04</v>
      </c>
      <c r="V44" s="124"/>
      <c r="W44" s="124"/>
      <c r="X44" s="125" t="n">
        <v>0.5</v>
      </c>
      <c r="Y44" s="125" t="n">
        <v>0.5</v>
      </c>
      <c r="Z44" s="32" t="n">
        <v>0.18</v>
      </c>
      <c r="AA44" s="32" t="n">
        <v>0.18</v>
      </c>
      <c r="AB44" s="125" t="n">
        <v>1.2</v>
      </c>
      <c r="AC44" s="125" t="n">
        <v>1.2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35.9969</v>
      </c>
      <c r="H45" s="131" t="n">
        <v>0</v>
      </c>
      <c r="I45" s="179" t="n">
        <v>1.7</v>
      </c>
      <c r="J45" s="124"/>
      <c r="K45" s="132"/>
      <c r="L45" s="132"/>
      <c r="M45" s="132"/>
      <c r="N45" s="133"/>
      <c r="O45" s="132"/>
      <c r="P45" s="177" t="n">
        <v>4.756</v>
      </c>
      <c r="Q45" s="124"/>
      <c r="R45" s="124"/>
      <c r="S45" s="177" t="n">
        <v>207.37</v>
      </c>
      <c r="T45" s="32" t="n">
        <v>0.05</v>
      </c>
      <c r="U45" s="32" t="n">
        <v>0.05</v>
      </c>
      <c r="V45" s="124"/>
      <c r="W45" s="124"/>
      <c r="X45" s="125" t="n">
        <v>0.4</v>
      </c>
      <c r="Y45" s="125" t="n">
        <v>0.4</v>
      </c>
      <c r="Z45" s="32" t="n">
        <v>0.17</v>
      </c>
      <c r="AA45" s="32" t="n">
        <v>0.17</v>
      </c>
      <c r="AB45" s="125" t="n">
        <v>1.2</v>
      </c>
      <c r="AC45" s="125" t="n">
        <v>1.1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29.96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-1°29,96</v>
      </c>
      <c r="P9" s="29" t="s">
        <v>16</v>
      </c>
      <c r="Q9" s="33" t="n">
        <f aca="false">IF(ISBLANK(I9),"",IF(ISBLANK(J9),"",IF(J9&gt;60,"ERREUR !!",O11*(I9+(J9/60)))))</f>
        <v>-1.49933333333333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-10°0,12</v>
      </c>
      <c r="P10" s="29" t="s">
        <v>17</v>
      </c>
      <c r="Q10" s="33" t="n">
        <f aca="false">IF(ISBLANK(I10),"",IF(ISBLANK(J10),"",IF(J10&gt;60,"ERREUR !!",O12*(I10+(J10/60)))))</f>
        <v>-10.002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38986</v>
      </c>
      <c r="K11" s="38"/>
      <c r="L11" s="38"/>
      <c r="M11" s="38"/>
      <c r="N11" s="39" t="str">
        <f aca="false">I9&amp;"°"&amp;J9</f>
        <v>1°29,96</v>
      </c>
      <c r="O11" s="40" t="n">
        <f aca="false">IF(P9=M10,-1,1)</f>
        <v>-1</v>
      </c>
      <c r="P11" s="41" t="str">
        <f aca="false">TEXT(J11,"aaaa-mm-jj")&amp;"T"&amp;TEXT(J12,"hh:mm:ss")&amp;"z"</f>
        <v>2010-09-27T11:00:00z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0.458333333333333</v>
      </c>
      <c r="K12" s="45"/>
      <c r="L12" s="45"/>
      <c r="M12" s="45"/>
      <c r="N12" s="46" t="str">
        <f aca="false">I10&amp;"°"&amp;J10</f>
        <v>10°0,12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34.9667</v>
      </c>
      <c r="H35" s="118" t="n">
        <v>2000</v>
      </c>
      <c r="I35" s="179" t="n">
        <v>2000</v>
      </c>
      <c r="J35" s="119"/>
      <c r="K35" s="120"/>
      <c r="L35" s="120"/>
      <c r="M35" s="120"/>
      <c r="N35" s="121"/>
      <c r="O35" s="120"/>
      <c r="P35" s="186" t="n">
        <v>5.694</v>
      </c>
      <c r="Q35" s="119"/>
      <c r="R35" s="119"/>
      <c r="S35" s="192" t="n">
        <v>247.5</v>
      </c>
      <c r="T35" s="32" t="n">
        <v>0</v>
      </c>
      <c r="U35" s="32" t="n">
        <v>0</v>
      </c>
      <c r="V35" s="119"/>
      <c r="W35" s="119"/>
      <c r="X35" s="125" t="n">
        <v>19.9</v>
      </c>
      <c r="Y35" s="125" t="n">
        <v>19.5</v>
      </c>
      <c r="Z35" s="32" t="n">
        <v>1.27</v>
      </c>
      <c r="AA35" s="32" t="n">
        <v>1.24</v>
      </c>
      <c r="AB35" s="125" t="n">
        <v>18.2</v>
      </c>
      <c r="AC35" s="125" t="n">
        <v>17.8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34.6427</v>
      </c>
      <c r="H36" s="131" t="n">
        <v>1000</v>
      </c>
      <c r="I36" s="179" t="n">
        <v>1000.5</v>
      </c>
      <c r="J36" s="124"/>
      <c r="K36" s="132"/>
      <c r="L36" s="132"/>
      <c r="M36" s="132"/>
      <c r="N36" s="133"/>
      <c r="O36" s="132"/>
      <c r="P36" s="186" t="n">
        <v>3.709</v>
      </c>
      <c r="Q36" s="124"/>
      <c r="R36" s="124"/>
      <c r="S36" s="192" t="n">
        <v>161.3</v>
      </c>
      <c r="T36" s="32" t="n">
        <v>0</v>
      </c>
      <c r="U36" s="32" t="n">
        <v>0</v>
      </c>
      <c r="V36" s="124"/>
      <c r="W36" s="124"/>
      <c r="X36" s="125" t="n">
        <v>32.8</v>
      </c>
      <c r="Y36" s="125" t="n">
        <v>32.1</v>
      </c>
      <c r="Z36" s="32" t="n">
        <v>2.14</v>
      </c>
      <c r="AA36" s="32" t="n">
        <v>2.09</v>
      </c>
      <c r="AB36" s="125" t="n">
        <v>28.4</v>
      </c>
      <c r="AC36" s="125" t="n">
        <v>27.7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6.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34.5879</v>
      </c>
      <c r="H37" s="131" t="n">
        <v>500</v>
      </c>
      <c r="I37" s="179" t="n">
        <v>501.4</v>
      </c>
      <c r="J37" s="124"/>
      <c r="K37" s="132"/>
      <c r="L37" s="132"/>
      <c r="M37" s="132"/>
      <c r="N37" s="133"/>
      <c r="O37" s="132"/>
      <c r="P37" s="186" t="n">
        <v>3.202</v>
      </c>
      <c r="Q37" s="124"/>
      <c r="R37" s="124"/>
      <c r="S37" s="192" t="n">
        <v>139.3</v>
      </c>
      <c r="T37" s="32" t="n">
        <v>0</v>
      </c>
      <c r="U37" s="32" t="n">
        <v>0</v>
      </c>
      <c r="V37" s="124"/>
      <c r="W37" s="124"/>
      <c r="X37" s="125" t="n">
        <v>32.3</v>
      </c>
      <c r="Y37" s="125" t="n">
        <v>31.5</v>
      </c>
      <c r="Z37" s="32" t="n">
        <v>2.09</v>
      </c>
      <c r="AA37" s="32" t="n">
        <v>2.04</v>
      </c>
      <c r="AB37" s="125" t="n">
        <v>19.8</v>
      </c>
      <c r="AC37" s="125" t="n">
        <v>19.3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35.5905</v>
      </c>
      <c r="H38" s="131" t="n">
        <v>100</v>
      </c>
      <c r="I38" s="179" t="n">
        <v>100.2</v>
      </c>
      <c r="J38" s="124"/>
      <c r="K38" s="132"/>
      <c r="L38" s="132"/>
      <c r="M38" s="132"/>
      <c r="N38" s="133"/>
      <c r="O38" s="132"/>
      <c r="P38" s="186" t="n">
        <v>2.539</v>
      </c>
      <c r="Q38" s="124"/>
      <c r="R38" s="124"/>
      <c r="S38" s="192" t="n">
        <v>110.5</v>
      </c>
      <c r="T38" s="32" t="n">
        <v>0.03</v>
      </c>
      <c r="U38" s="32" t="n">
        <v>0.03</v>
      </c>
      <c r="V38" s="124"/>
      <c r="W38" s="124"/>
      <c r="X38" s="125" t="n">
        <v>19.1</v>
      </c>
      <c r="Y38" s="125" t="n">
        <v>18.7</v>
      </c>
      <c r="Z38" s="32" t="n">
        <v>1.26</v>
      </c>
      <c r="AA38" s="32" t="n">
        <v>1.23</v>
      </c>
      <c r="AB38" s="125" t="n">
        <v>6.3</v>
      </c>
      <c r="AC38" s="125" t="n">
        <v>6.1</v>
      </c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7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35.7615</v>
      </c>
      <c r="H39" s="131" t="n">
        <v>80</v>
      </c>
      <c r="I39" s="179" t="n">
        <v>79.8</v>
      </c>
      <c r="J39" s="124"/>
      <c r="K39" s="132"/>
      <c r="L39" s="132"/>
      <c r="M39" s="132"/>
      <c r="N39" s="133"/>
      <c r="O39" s="132"/>
      <c r="P39" s="186" t="n">
        <v>2.861</v>
      </c>
      <c r="Q39" s="124"/>
      <c r="R39" s="124"/>
      <c r="S39" s="192" t="n">
        <v>124.5</v>
      </c>
      <c r="T39" s="32" t="n">
        <v>0.05</v>
      </c>
      <c r="U39" s="32" t="n">
        <v>0.05</v>
      </c>
      <c r="V39" s="124"/>
      <c r="W39" s="124"/>
      <c r="X39" s="125" t="n">
        <v>14.9</v>
      </c>
      <c r="Y39" s="125" t="n">
        <v>14.6</v>
      </c>
      <c r="Z39" s="32" t="n">
        <v>1.07</v>
      </c>
      <c r="AA39" s="32" t="n">
        <v>1.04</v>
      </c>
      <c r="AB39" s="125" t="n">
        <v>4.7</v>
      </c>
      <c r="AC39" s="125" t="n">
        <v>4.5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6.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35.9413</v>
      </c>
      <c r="H40" s="131" t="n">
        <v>60</v>
      </c>
      <c r="I40" s="179" t="n">
        <v>60</v>
      </c>
      <c r="J40" s="124"/>
      <c r="K40" s="132"/>
      <c r="L40" s="132"/>
      <c r="M40" s="132"/>
      <c r="N40" s="133"/>
      <c r="O40" s="132"/>
      <c r="P40" s="186" t="n">
        <v>3.281</v>
      </c>
      <c r="Q40" s="124"/>
      <c r="R40" s="124"/>
      <c r="S40" s="192" t="n">
        <v>142.9</v>
      </c>
      <c r="T40" s="32" t="n">
        <v>0.15</v>
      </c>
      <c r="U40" s="32" t="n">
        <v>0.14</v>
      </c>
      <c r="V40" s="124"/>
      <c r="W40" s="124"/>
      <c r="X40" s="125" t="n">
        <v>10</v>
      </c>
      <c r="Y40" s="125" t="n">
        <v>9.8</v>
      </c>
      <c r="Z40" s="32" t="n">
        <v>0.76</v>
      </c>
      <c r="AA40" s="32" t="n">
        <v>0.75</v>
      </c>
      <c r="AB40" s="125" t="n">
        <v>3.4</v>
      </c>
      <c r="AC40" s="125" t="n">
        <v>3.3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36.0503</v>
      </c>
      <c r="H41" s="131" t="n">
        <v>40</v>
      </c>
      <c r="I41" s="179" t="n">
        <v>40.2</v>
      </c>
      <c r="J41" s="124"/>
      <c r="K41" s="132"/>
      <c r="L41" s="132"/>
      <c r="M41" s="132"/>
      <c r="N41" s="133"/>
      <c r="O41" s="132"/>
      <c r="P41" s="186" t="n">
        <v>4.606</v>
      </c>
      <c r="Q41" s="124"/>
      <c r="R41" s="124"/>
      <c r="S41" s="192" t="n">
        <v>200.8</v>
      </c>
      <c r="T41" s="32" t="n">
        <v>0.2</v>
      </c>
      <c r="U41" s="32" t="n">
        <v>0.19</v>
      </c>
      <c r="V41" s="124"/>
      <c r="W41" s="124"/>
      <c r="X41" s="125" t="n">
        <v>0.8</v>
      </c>
      <c r="Y41" s="125" t="n">
        <v>0.8</v>
      </c>
      <c r="Z41" s="32" t="n">
        <v>0.2</v>
      </c>
      <c r="AA41" s="32" t="n">
        <v>0.2</v>
      </c>
      <c r="AB41" s="125" t="n">
        <v>1.2</v>
      </c>
      <c r="AC41" s="125" t="n">
        <v>1.2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7"/>
    </row>
    <row r="42" customFormat="false" ht="16.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82" t="n">
        <v>36.05</v>
      </c>
      <c r="H42" s="131" t="n">
        <v>20</v>
      </c>
      <c r="I42" s="179" t="n">
        <v>19.5</v>
      </c>
      <c r="J42" s="124"/>
      <c r="K42" s="132"/>
      <c r="L42" s="132"/>
      <c r="M42" s="132"/>
      <c r="N42" s="133"/>
      <c r="O42" s="132"/>
      <c r="P42" s="185" t="n">
        <v>4.675</v>
      </c>
      <c r="Q42" s="124"/>
      <c r="R42" s="124"/>
      <c r="S42" s="193" t="n">
        <v>203.8</v>
      </c>
      <c r="T42" s="32" t="n">
        <v>0.16</v>
      </c>
      <c r="U42" s="32" t="n">
        <v>0.15</v>
      </c>
      <c r="V42" s="124"/>
      <c r="W42" s="124"/>
      <c r="X42" s="125" t="n">
        <v>0.6</v>
      </c>
      <c r="Y42" s="125" t="n">
        <v>0.6</v>
      </c>
      <c r="Z42" s="32" t="n">
        <v>0.2</v>
      </c>
      <c r="AA42" s="32" t="n">
        <v>0.19</v>
      </c>
      <c r="AB42" s="125" t="n">
        <v>1.2</v>
      </c>
      <c r="AC42" s="125" t="n">
        <v>1.1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2" t="n">
        <v>36.0499</v>
      </c>
      <c r="H43" s="131" t="n">
        <v>20</v>
      </c>
      <c r="I43" s="179" t="n">
        <v>19.6</v>
      </c>
      <c r="J43" s="124"/>
      <c r="K43" s="132"/>
      <c r="L43" s="132"/>
      <c r="M43" s="132"/>
      <c r="N43" s="133"/>
      <c r="O43" s="132"/>
      <c r="P43" s="185" t="n">
        <v>4.669</v>
      </c>
      <c r="Q43" s="124"/>
      <c r="R43" s="124"/>
      <c r="S43" s="193" t="n">
        <v>203.6</v>
      </c>
      <c r="T43" s="32" t="n">
        <v>0.15</v>
      </c>
      <c r="U43" s="32" t="n">
        <v>0.15</v>
      </c>
      <c r="V43" s="124"/>
      <c r="W43" s="124"/>
      <c r="X43" s="125" t="n">
        <v>0.6</v>
      </c>
      <c r="Y43" s="125" t="n">
        <v>0.6</v>
      </c>
      <c r="Z43" s="32" t="n">
        <v>0.2</v>
      </c>
      <c r="AA43" s="32" t="n">
        <v>0.19</v>
      </c>
      <c r="AB43" s="125" t="n">
        <v>1.2</v>
      </c>
      <c r="AC43" s="125" t="n">
        <v>1.2</v>
      </c>
      <c r="AD43" s="126"/>
      <c r="AE43" s="126"/>
      <c r="AF43" s="126"/>
      <c r="AG43" s="126"/>
      <c r="AH43" s="126"/>
      <c r="AI43" s="126"/>
      <c r="AJ43" s="126"/>
      <c r="AK43" s="126"/>
      <c r="AL43" s="126"/>
      <c r="AM43" s="126"/>
      <c r="AN43" s="126"/>
      <c r="AO43" s="126"/>
      <c r="AP43" s="126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7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36.0505</v>
      </c>
      <c r="H44" s="131" t="n">
        <v>10</v>
      </c>
      <c r="I44" s="179" t="n">
        <v>9.9</v>
      </c>
      <c r="J44" s="124"/>
      <c r="K44" s="132"/>
      <c r="L44" s="132"/>
      <c r="M44" s="132"/>
      <c r="N44" s="133"/>
      <c r="O44" s="132"/>
      <c r="P44" s="186" t="n">
        <v>4.709</v>
      </c>
      <c r="Q44" s="124"/>
      <c r="R44" s="124"/>
      <c r="S44" s="192" t="n">
        <v>205.3</v>
      </c>
      <c r="T44" s="32" t="n">
        <v>0.14</v>
      </c>
      <c r="U44" s="32" t="n">
        <v>0.13</v>
      </c>
      <c r="V44" s="124"/>
      <c r="W44" s="124"/>
      <c r="X44" s="125" t="n">
        <v>0.6</v>
      </c>
      <c r="Y44" s="125" t="n">
        <v>0.6</v>
      </c>
      <c r="Z44" s="32" t="n">
        <v>0.2</v>
      </c>
      <c r="AA44" s="32" t="n">
        <v>0.2</v>
      </c>
      <c r="AB44" s="125" t="n">
        <v>1.1</v>
      </c>
      <c r="AC44" s="125" t="n">
        <v>1.1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36.0507</v>
      </c>
      <c r="H45" s="131" t="n">
        <v>0</v>
      </c>
      <c r="I45" s="179" t="n">
        <v>2.2</v>
      </c>
      <c r="J45" s="124"/>
      <c r="K45" s="132"/>
      <c r="L45" s="132"/>
      <c r="M45" s="132"/>
      <c r="N45" s="133"/>
      <c r="O45" s="132"/>
      <c r="P45" s="186" t="n">
        <v>4.68</v>
      </c>
      <c r="Q45" s="124"/>
      <c r="R45" s="124"/>
      <c r="S45" s="192" t="n">
        <v>204.1</v>
      </c>
      <c r="T45" s="32" t="n">
        <v>0.11</v>
      </c>
      <c r="U45" s="32" t="n">
        <v>0.11</v>
      </c>
      <c r="V45" s="124"/>
      <c r="W45" s="124"/>
      <c r="X45" s="125" t="n">
        <v>0.6</v>
      </c>
      <c r="Y45" s="125" t="n">
        <v>0.6</v>
      </c>
      <c r="Z45" s="32" t="n">
        <v>0.2</v>
      </c>
      <c r="AA45" s="32" t="n">
        <v>0.19</v>
      </c>
      <c r="AB45" s="125" t="n">
        <v>1.2</v>
      </c>
      <c r="AC45" s="125" t="n">
        <v>1.1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36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59.99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-0°59,99</v>
      </c>
      <c r="P9" s="29" t="s">
        <v>16</v>
      </c>
      <c r="Q9" s="33" t="n">
        <f aca="false">IF(ISBLANK(I9),"",IF(ISBLANK(J9),"",IF(J9&gt;60,"ERREUR !!",O11*(I9+(J9/60)))))</f>
        <v>-0.999833333333333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29.93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-9°29,93</v>
      </c>
      <c r="P10" s="29" t="s">
        <v>17</v>
      </c>
      <c r="Q10" s="33" t="n">
        <f aca="false">IF(ISBLANK(I10),"",IF(ISBLANK(J10),"",IF(J10&gt;60,"ERREUR !!",O12*(I10+(J10/60)))))</f>
        <v>-9.49883333333333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38986</v>
      </c>
      <c r="K11" s="38"/>
      <c r="L11" s="38"/>
      <c r="M11" s="38"/>
      <c r="N11" s="39" t="str">
        <f aca="false">I9&amp;"°"&amp;J9</f>
        <v>0°59,99</v>
      </c>
      <c r="O11" s="40" t="n">
        <f aca="false">IF(P9=M10,-1,1)</f>
        <v>-1</v>
      </c>
      <c r="P11" s="41" t="str">
        <f aca="false">TEXT(J11,"aaaa-mm-jj")&amp;"T"&amp;TEXT(J12,"hh:mm:ss")&amp;"z"</f>
        <v>2010-09-27T15:30:00z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0.645833333333333</v>
      </c>
      <c r="K12" s="45"/>
      <c r="L12" s="45"/>
      <c r="M12" s="45"/>
      <c r="N12" s="46" t="str">
        <f aca="false">I10&amp;"°"&amp;J10</f>
        <v>9°29,93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34.9721</v>
      </c>
      <c r="H35" s="118" t="n">
        <v>2000</v>
      </c>
      <c r="I35" s="179" t="n">
        <v>2000.1</v>
      </c>
      <c r="J35" s="119"/>
      <c r="K35" s="120"/>
      <c r="L35" s="120"/>
      <c r="M35" s="120"/>
      <c r="N35" s="121"/>
      <c r="O35" s="120"/>
      <c r="P35" s="194" t="n">
        <v>5.706</v>
      </c>
      <c r="Q35" s="119"/>
      <c r="R35" s="119"/>
      <c r="S35" s="174" t="n">
        <v>248.027</v>
      </c>
      <c r="T35" s="32" t="n">
        <v>0</v>
      </c>
      <c r="U35" s="32" t="n">
        <v>0</v>
      </c>
      <c r="V35" s="119"/>
      <c r="W35" s="119"/>
      <c r="X35" s="125" t="n">
        <v>19.9</v>
      </c>
      <c r="Y35" s="125" t="n">
        <v>19.4</v>
      </c>
      <c r="Z35" s="32" t="n">
        <v>1.29</v>
      </c>
      <c r="AA35" s="32" t="n">
        <v>1.26</v>
      </c>
      <c r="AB35" s="125" t="n">
        <v>18.9</v>
      </c>
      <c r="AC35" s="125" t="n">
        <v>18.5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34.6312</v>
      </c>
      <c r="H36" s="131" t="n">
        <v>1000</v>
      </c>
      <c r="I36" s="179" t="n">
        <v>1000.5</v>
      </c>
      <c r="J36" s="124"/>
      <c r="K36" s="132"/>
      <c r="L36" s="132"/>
      <c r="M36" s="132"/>
      <c r="N36" s="133"/>
      <c r="O36" s="132"/>
      <c r="P36" s="159" t="n">
        <v>3.617</v>
      </c>
      <c r="Q36" s="124"/>
      <c r="R36" s="124"/>
      <c r="S36" s="177" t="n">
        <v>157.231</v>
      </c>
      <c r="T36" s="32" t="n">
        <v>0</v>
      </c>
      <c r="U36" s="32" t="n">
        <v>0</v>
      </c>
      <c r="V36" s="124"/>
      <c r="W36" s="124"/>
      <c r="X36" s="125" t="n">
        <v>33.2</v>
      </c>
      <c r="Y36" s="125" t="n">
        <v>32.5</v>
      </c>
      <c r="Z36" s="32" t="n">
        <v>2.21</v>
      </c>
      <c r="AA36" s="32" t="n">
        <v>2.16</v>
      </c>
      <c r="AB36" s="125" t="n">
        <v>29.2</v>
      </c>
      <c r="AC36" s="125" t="n">
        <v>28.5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34.6602</v>
      </c>
      <c r="H37" s="131" t="n">
        <v>500</v>
      </c>
      <c r="I37" s="179" t="n">
        <v>501</v>
      </c>
      <c r="J37" s="124"/>
      <c r="K37" s="132"/>
      <c r="L37" s="132"/>
      <c r="M37" s="132"/>
      <c r="N37" s="133"/>
      <c r="O37" s="132"/>
      <c r="P37" s="159" t="n">
        <v>2.709</v>
      </c>
      <c r="Q37" s="124"/>
      <c r="R37" s="124"/>
      <c r="S37" s="177" t="n">
        <v>117.804</v>
      </c>
      <c r="T37" s="32" t="n">
        <v>0</v>
      </c>
      <c r="U37" s="32" t="n">
        <v>0</v>
      </c>
      <c r="V37" s="124"/>
      <c r="W37" s="124"/>
      <c r="X37" s="125" t="n">
        <v>33.1</v>
      </c>
      <c r="Y37" s="125" t="n">
        <v>32.4</v>
      </c>
      <c r="Z37" s="32" t="n">
        <v>2.1</v>
      </c>
      <c r="AA37" s="32" t="n">
        <v>2.05</v>
      </c>
      <c r="AB37" s="125" t="n">
        <v>19.7</v>
      </c>
      <c r="AC37" s="125" t="n">
        <v>19.3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35.9001</v>
      </c>
      <c r="H38" s="131" t="n">
        <v>100</v>
      </c>
      <c r="I38" s="179" t="n">
        <v>100.4</v>
      </c>
      <c r="J38" s="124"/>
      <c r="K38" s="132"/>
      <c r="L38" s="132"/>
      <c r="M38" s="132"/>
      <c r="N38" s="133"/>
      <c r="O38" s="132"/>
      <c r="P38" s="159" t="n">
        <v>3.803</v>
      </c>
      <c r="Q38" s="124"/>
      <c r="R38" s="124"/>
      <c r="S38" s="177" t="n">
        <v>165.561</v>
      </c>
      <c r="T38" s="32" t="n">
        <v>0.0143</v>
      </c>
      <c r="U38" s="32" t="n">
        <v>0.01</v>
      </c>
      <c r="V38" s="124"/>
      <c r="W38" s="124"/>
      <c r="X38" s="125" t="n">
        <v>10</v>
      </c>
      <c r="Y38" s="125" t="n">
        <v>9.8</v>
      </c>
      <c r="Z38" s="32" t="n">
        <v>0.75</v>
      </c>
      <c r="AA38" s="32" t="n">
        <v>0.74</v>
      </c>
      <c r="AB38" s="125" t="n">
        <v>4</v>
      </c>
      <c r="AC38" s="125" t="n">
        <v>3.9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36.0795</v>
      </c>
      <c r="H39" s="131" t="n">
        <v>80</v>
      </c>
      <c r="I39" s="179" t="n">
        <v>78</v>
      </c>
      <c r="J39" s="124"/>
      <c r="K39" s="132"/>
      <c r="L39" s="132"/>
      <c r="M39" s="132"/>
      <c r="N39" s="133"/>
      <c r="O39" s="132"/>
      <c r="P39" s="159" t="n">
        <v>3.789</v>
      </c>
      <c r="Q39" s="124"/>
      <c r="R39" s="124"/>
      <c r="S39" s="177" t="n">
        <v>165.05</v>
      </c>
      <c r="T39" s="32" t="n">
        <v>0.0498</v>
      </c>
      <c r="U39" s="32" t="n">
        <v>0.05</v>
      </c>
      <c r="V39" s="124"/>
      <c r="W39" s="124"/>
      <c r="X39" s="125" t="n">
        <v>7.1</v>
      </c>
      <c r="Y39" s="125" t="n">
        <v>7</v>
      </c>
      <c r="Z39" s="32" t="n">
        <v>0.55</v>
      </c>
      <c r="AA39" s="32" t="n">
        <v>0.53</v>
      </c>
      <c r="AB39" s="125" t="n">
        <v>3</v>
      </c>
      <c r="AC39" s="125" t="n">
        <v>3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36.0385</v>
      </c>
      <c r="H40" s="131" t="n">
        <v>60</v>
      </c>
      <c r="I40" s="179" t="n">
        <v>60.5</v>
      </c>
      <c r="J40" s="124"/>
      <c r="K40" s="132"/>
      <c r="L40" s="132"/>
      <c r="M40" s="132"/>
      <c r="N40" s="133"/>
      <c r="O40" s="132"/>
      <c r="P40" s="159" t="n">
        <v>4.045</v>
      </c>
      <c r="Q40" s="124"/>
      <c r="R40" s="124"/>
      <c r="S40" s="177" t="n">
        <v>176.304</v>
      </c>
      <c r="T40" s="32" t="n">
        <v>0.2097</v>
      </c>
      <c r="U40" s="32" t="n">
        <v>0.2</v>
      </c>
      <c r="V40" s="124"/>
      <c r="W40" s="124"/>
      <c r="X40" s="125" t="n">
        <v>3.8</v>
      </c>
      <c r="Y40" s="125" t="n">
        <v>3.7</v>
      </c>
      <c r="Z40" s="32" t="n">
        <v>0.36</v>
      </c>
      <c r="AA40" s="32" t="n">
        <v>0.35</v>
      </c>
      <c r="AB40" s="125" t="n">
        <v>2.1</v>
      </c>
      <c r="AC40" s="125" t="n">
        <v>2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36.0321</v>
      </c>
      <c r="H41" s="131" t="n">
        <v>40</v>
      </c>
      <c r="I41" s="179" t="n">
        <v>40</v>
      </c>
      <c r="J41" s="124"/>
      <c r="K41" s="132"/>
      <c r="L41" s="132"/>
      <c r="M41" s="132"/>
      <c r="N41" s="133"/>
      <c r="O41" s="132"/>
      <c r="P41" s="159" t="n">
        <v>4.485</v>
      </c>
      <c r="Q41" s="124"/>
      <c r="R41" s="124"/>
      <c r="S41" s="177" t="n">
        <v>195.534</v>
      </c>
      <c r="T41" s="32" t="n">
        <v>0.192</v>
      </c>
      <c r="U41" s="32" t="n">
        <v>0.19</v>
      </c>
      <c r="V41" s="124"/>
      <c r="W41" s="124"/>
      <c r="X41" s="125" t="n">
        <v>1.5</v>
      </c>
      <c r="Y41" s="125" t="n">
        <v>1.5</v>
      </c>
      <c r="Z41" s="32" t="n">
        <v>0.22</v>
      </c>
      <c r="AA41" s="32" t="n">
        <v>0.21</v>
      </c>
      <c r="AB41" s="125" t="n">
        <v>1.6</v>
      </c>
      <c r="AC41" s="125" t="n">
        <v>1.5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36.0458</v>
      </c>
      <c r="H42" s="131" t="n">
        <v>20</v>
      </c>
      <c r="I42" s="179" t="n">
        <v>20.4</v>
      </c>
      <c r="J42" s="124"/>
      <c r="K42" s="132"/>
      <c r="L42" s="132"/>
      <c r="M42" s="132"/>
      <c r="N42" s="133"/>
      <c r="O42" s="132"/>
      <c r="P42" s="159" t="n">
        <v>4.66</v>
      </c>
      <c r="Q42" s="124"/>
      <c r="R42" s="124"/>
      <c r="S42" s="177" t="n">
        <v>203.208</v>
      </c>
      <c r="T42" s="32" t="n">
        <v>0.1031</v>
      </c>
      <c r="U42" s="32" t="n">
        <v>0.1</v>
      </c>
      <c r="V42" s="124"/>
      <c r="W42" s="124"/>
      <c r="X42" s="125" t="n">
        <v>0.9</v>
      </c>
      <c r="Y42" s="125" t="n">
        <v>0.9</v>
      </c>
      <c r="Z42" s="32" t="n">
        <v>0.18</v>
      </c>
      <c r="AA42" s="32" t="n">
        <v>0.18</v>
      </c>
      <c r="AB42" s="125" t="n">
        <v>1.3</v>
      </c>
      <c r="AC42" s="125" t="n">
        <v>1.3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2" t="n">
        <v>36.0473</v>
      </c>
      <c r="H43" s="131" t="n">
        <v>10</v>
      </c>
      <c r="I43" s="179" t="n">
        <v>10</v>
      </c>
      <c r="J43" s="124"/>
      <c r="K43" s="132"/>
      <c r="L43" s="132"/>
      <c r="M43" s="132"/>
      <c r="N43" s="133"/>
      <c r="O43" s="132"/>
      <c r="P43" s="159" t="n">
        <v>4.682</v>
      </c>
      <c r="Q43" s="124"/>
      <c r="R43" s="124"/>
      <c r="S43" s="177" t="n">
        <v>204.168</v>
      </c>
      <c r="T43" s="32" t="n">
        <v>0.0854</v>
      </c>
      <c r="U43" s="32" t="n">
        <v>0.08</v>
      </c>
      <c r="V43" s="124"/>
      <c r="W43" s="124"/>
      <c r="X43" s="125" t="n">
        <v>0.6</v>
      </c>
      <c r="Y43" s="125" t="n">
        <v>0.5</v>
      </c>
      <c r="Z43" s="32" t="n">
        <v>0.18</v>
      </c>
      <c r="AA43" s="32" t="n">
        <v>0.17</v>
      </c>
      <c r="AB43" s="125" t="n">
        <v>1.2</v>
      </c>
      <c r="AC43" s="125" t="n">
        <v>1.2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2" t="n">
        <v>36.0476</v>
      </c>
      <c r="H44" s="131" t="n">
        <v>10</v>
      </c>
      <c r="I44" s="179" t="n">
        <v>10</v>
      </c>
      <c r="J44" s="124"/>
      <c r="K44" s="132"/>
      <c r="L44" s="132"/>
      <c r="M44" s="132"/>
      <c r="N44" s="133"/>
      <c r="O44" s="132"/>
      <c r="P44" s="159" t="n">
        <v>4.692</v>
      </c>
      <c r="Q44" s="124"/>
      <c r="R44" s="124"/>
      <c r="S44" s="177" t="n">
        <v>204.587</v>
      </c>
      <c r="T44" s="32" t="n">
        <v>0.1031</v>
      </c>
      <c r="U44" s="32" t="n">
        <v>0.1</v>
      </c>
      <c r="V44" s="124"/>
      <c r="W44" s="124"/>
      <c r="X44" s="125" t="n">
        <v>0.7</v>
      </c>
      <c r="Y44" s="125" t="n">
        <v>0.7</v>
      </c>
      <c r="Z44" s="32" t="n">
        <v>0.18</v>
      </c>
      <c r="AA44" s="32" t="n">
        <v>0.17</v>
      </c>
      <c r="AB44" s="125" t="n">
        <v>1.4</v>
      </c>
      <c r="AC44" s="125" t="n">
        <v>1.3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36.0502</v>
      </c>
      <c r="H45" s="131" t="n">
        <v>0</v>
      </c>
      <c r="I45" s="179" t="n">
        <v>2</v>
      </c>
      <c r="J45" s="124"/>
      <c r="K45" s="132"/>
      <c r="L45" s="132"/>
      <c r="M45" s="132"/>
      <c r="N45" s="133"/>
      <c r="O45" s="132"/>
      <c r="P45" s="159" t="n">
        <v>4.677</v>
      </c>
      <c r="Q45" s="124"/>
      <c r="R45" s="124"/>
      <c r="S45" s="177" t="n">
        <v>203.941</v>
      </c>
      <c r="T45" s="32" t="n">
        <v>0.1031</v>
      </c>
      <c r="U45" s="32" t="n">
        <v>0.1</v>
      </c>
      <c r="V45" s="124"/>
      <c r="W45" s="124"/>
      <c r="X45" s="125" t="n">
        <v>0.7</v>
      </c>
      <c r="Y45" s="125" t="n">
        <v>0.7</v>
      </c>
      <c r="Z45" s="32" t="n">
        <v>0.18</v>
      </c>
      <c r="AA45" s="32" t="n">
        <v>0.18</v>
      </c>
      <c r="AB45" s="125" t="n">
        <v>1.4</v>
      </c>
      <c r="AC45" s="125" t="n">
        <v>1.3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29.96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-0°29,96</v>
      </c>
      <c r="P9" s="29" t="s">
        <v>16</v>
      </c>
      <c r="Q9" s="33" t="n">
        <f aca="false">IF(ISBLANK(I9),"",IF(ISBLANK(J9),"",IF(J9&gt;60,"ERREUR !!",O11*(I9+(J9/60)))))</f>
        <v>-0.499333333333333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38986</v>
      </c>
      <c r="K11" s="38"/>
      <c r="L11" s="38"/>
      <c r="M11" s="38"/>
      <c r="N11" s="39" t="str">
        <f aca="false">I9&amp;"°"&amp;J9</f>
        <v>0°29,96</v>
      </c>
      <c r="O11" s="40" t="n">
        <f aca="false">IF(P9=M10,-1,1)</f>
        <v>-1</v>
      </c>
      <c r="P11" s="41" t="str">
        <f aca="false">TEXT(J11,"aaaa-mm-jj")&amp;"T"&amp;TEXT(J12,"hh:mm:ss")&amp;"z"</f>
        <v>2010-09-27T21:45:00z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0.90625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34.9685</v>
      </c>
      <c r="H35" s="118" t="n">
        <v>2000</v>
      </c>
      <c r="I35" s="179" t="n">
        <v>2000.3</v>
      </c>
      <c r="J35" s="119"/>
      <c r="K35" s="120"/>
      <c r="L35" s="120"/>
      <c r="M35" s="120"/>
      <c r="N35" s="121"/>
      <c r="O35" s="120"/>
      <c r="P35" s="186" t="n">
        <v>5.728</v>
      </c>
      <c r="Q35" s="119"/>
      <c r="R35" s="119"/>
      <c r="S35" s="192" t="n">
        <v>249</v>
      </c>
      <c r="T35" s="32" t="n">
        <v>0</v>
      </c>
      <c r="U35" s="32" t="n">
        <v>0</v>
      </c>
      <c r="V35" s="119"/>
      <c r="W35" s="119"/>
      <c r="X35" s="125" t="n">
        <v>20</v>
      </c>
      <c r="Y35" s="125" t="n">
        <v>19.5</v>
      </c>
      <c r="Z35" s="32" t="n">
        <v>1.29</v>
      </c>
      <c r="AA35" s="32" t="n">
        <v>1.26</v>
      </c>
      <c r="AB35" s="125" t="n">
        <v>19.6</v>
      </c>
      <c r="AC35" s="125" t="n">
        <v>19.2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34.6231</v>
      </c>
      <c r="H36" s="131" t="n">
        <v>1000</v>
      </c>
      <c r="I36" s="179" t="n">
        <v>1000.3</v>
      </c>
      <c r="J36" s="124"/>
      <c r="K36" s="132"/>
      <c r="L36" s="132"/>
      <c r="M36" s="132"/>
      <c r="N36" s="133"/>
      <c r="O36" s="132"/>
      <c r="P36" s="186" t="n">
        <v>3.602</v>
      </c>
      <c r="Q36" s="124"/>
      <c r="R36" s="124"/>
      <c r="S36" s="192" t="n">
        <v>156.6</v>
      </c>
      <c r="T36" s="32" t="n">
        <v>0</v>
      </c>
      <c r="U36" s="32" t="n">
        <v>0</v>
      </c>
      <c r="V36" s="124"/>
      <c r="W36" s="124"/>
      <c r="X36" s="125" t="n">
        <v>33.4</v>
      </c>
      <c r="Y36" s="125" t="n">
        <v>32.6</v>
      </c>
      <c r="Z36" s="32" t="n">
        <v>2.2</v>
      </c>
      <c r="AA36" s="32" t="n">
        <v>2.15</v>
      </c>
      <c r="AB36" s="125" t="n">
        <v>30.8</v>
      </c>
      <c r="AC36" s="125" t="n">
        <v>30.1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34.6701</v>
      </c>
      <c r="H37" s="131" t="n">
        <v>500</v>
      </c>
      <c r="I37" s="179" t="n">
        <v>501.1</v>
      </c>
      <c r="J37" s="124"/>
      <c r="K37" s="132"/>
      <c r="L37" s="132"/>
      <c r="M37" s="132"/>
      <c r="N37" s="133"/>
      <c r="O37" s="132"/>
      <c r="P37" s="186" t="n">
        <v>2.638</v>
      </c>
      <c r="Q37" s="124"/>
      <c r="R37" s="124"/>
      <c r="S37" s="192" t="n">
        <v>114.7</v>
      </c>
      <c r="T37" s="32" t="n">
        <v>0</v>
      </c>
      <c r="U37" s="32" t="n">
        <v>0</v>
      </c>
      <c r="V37" s="124"/>
      <c r="W37" s="124"/>
      <c r="X37" s="125" t="n">
        <v>33.2</v>
      </c>
      <c r="Y37" s="125" t="n">
        <v>32.4</v>
      </c>
      <c r="Z37" s="32" t="n">
        <v>2.08</v>
      </c>
      <c r="AA37" s="32" t="n">
        <v>2.03</v>
      </c>
      <c r="AB37" s="125" t="n">
        <v>17.9</v>
      </c>
      <c r="AC37" s="125" t="n">
        <v>17.5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35.8087</v>
      </c>
      <c r="H38" s="131" t="n">
        <v>100</v>
      </c>
      <c r="I38" s="179" t="n">
        <v>99.5</v>
      </c>
      <c r="J38" s="124"/>
      <c r="K38" s="132"/>
      <c r="L38" s="132"/>
      <c r="M38" s="132"/>
      <c r="N38" s="133"/>
      <c r="O38" s="132"/>
      <c r="P38" s="186" t="n">
        <v>3.816</v>
      </c>
      <c r="Q38" s="124"/>
      <c r="R38" s="124"/>
      <c r="S38" s="192" t="n">
        <v>166.1</v>
      </c>
      <c r="T38" s="32" t="n">
        <v>0</v>
      </c>
      <c r="U38" s="32" t="n">
        <v>0</v>
      </c>
      <c r="V38" s="124"/>
      <c r="W38" s="124"/>
      <c r="X38" s="125" t="n">
        <v>10.6</v>
      </c>
      <c r="Y38" s="125" t="n">
        <v>10.3</v>
      </c>
      <c r="Z38" s="32" t="n">
        <v>0.8</v>
      </c>
      <c r="AA38" s="32" t="n">
        <v>0.78</v>
      </c>
      <c r="AB38" s="125" t="n">
        <v>4.3</v>
      </c>
      <c r="AC38" s="125" t="n">
        <v>4.2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35.9556</v>
      </c>
      <c r="H39" s="131" t="n">
        <v>80</v>
      </c>
      <c r="I39" s="179" t="n">
        <v>79.2</v>
      </c>
      <c r="J39" s="124"/>
      <c r="K39" s="132"/>
      <c r="L39" s="132"/>
      <c r="M39" s="132"/>
      <c r="N39" s="133"/>
      <c r="O39" s="132"/>
      <c r="P39" s="186" t="n">
        <v>3.763</v>
      </c>
      <c r="Q39" s="124"/>
      <c r="R39" s="124"/>
      <c r="S39" s="192" t="n">
        <v>163.9</v>
      </c>
      <c r="T39" s="32" t="n">
        <v>0.3519</v>
      </c>
      <c r="U39" s="32" t="n">
        <v>0.34</v>
      </c>
      <c r="V39" s="124"/>
      <c r="W39" s="124"/>
      <c r="X39" s="125" t="n">
        <v>7</v>
      </c>
      <c r="Y39" s="125" t="n">
        <v>6.9</v>
      </c>
      <c r="Z39" s="32" t="n">
        <v>0.54</v>
      </c>
      <c r="AA39" s="32" t="n">
        <v>0.53</v>
      </c>
      <c r="AB39" s="125" t="n">
        <v>2.5</v>
      </c>
      <c r="AC39" s="125" t="n">
        <v>2.5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35.9685</v>
      </c>
      <c r="H40" s="131" t="n">
        <v>60</v>
      </c>
      <c r="I40" s="179" t="n">
        <v>60.6</v>
      </c>
      <c r="J40" s="124"/>
      <c r="K40" s="132"/>
      <c r="L40" s="132"/>
      <c r="M40" s="132"/>
      <c r="N40" s="133"/>
      <c r="O40" s="132"/>
      <c r="P40" s="186" t="n">
        <v>3.98</v>
      </c>
      <c r="Q40" s="124"/>
      <c r="R40" s="124"/>
      <c r="S40" s="192" t="n">
        <v>173.5</v>
      </c>
      <c r="T40" s="32" t="n">
        <v>0.5829</v>
      </c>
      <c r="U40" s="32" t="n">
        <v>0.57</v>
      </c>
      <c r="V40" s="124"/>
      <c r="W40" s="124"/>
      <c r="X40" s="125" t="n">
        <v>5</v>
      </c>
      <c r="Y40" s="125" t="n">
        <v>4.9</v>
      </c>
      <c r="Z40" s="32" t="n">
        <v>0.43</v>
      </c>
      <c r="AA40" s="32" t="n">
        <v>0.42</v>
      </c>
      <c r="AB40" s="125" t="n">
        <v>2</v>
      </c>
      <c r="AC40" s="125" t="n">
        <v>2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36</v>
      </c>
      <c r="H41" s="131" t="n">
        <v>40</v>
      </c>
      <c r="I41" s="179" t="n">
        <v>40.7</v>
      </c>
      <c r="J41" s="124"/>
      <c r="K41" s="132"/>
      <c r="L41" s="132"/>
      <c r="M41" s="132"/>
      <c r="N41" s="133"/>
      <c r="O41" s="132"/>
      <c r="P41" s="186" t="n">
        <v>4.562</v>
      </c>
      <c r="Q41" s="124"/>
      <c r="R41" s="124"/>
      <c r="S41" s="192" t="n">
        <v>198.9</v>
      </c>
      <c r="T41" s="32" t="n">
        <v>0.1742</v>
      </c>
      <c r="U41" s="32" t="n">
        <v>0.17</v>
      </c>
      <c r="V41" s="124"/>
      <c r="W41" s="124"/>
      <c r="X41" s="125" t="n">
        <v>1.5</v>
      </c>
      <c r="Y41" s="125" t="n">
        <v>1.4</v>
      </c>
      <c r="Z41" s="32" t="n">
        <v>0.24</v>
      </c>
      <c r="AA41" s="32" t="n">
        <v>0.23</v>
      </c>
      <c r="AB41" s="125" t="n">
        <v>1.4</v>
      </c>
      <c r="AC41" s="125" t="n">
        <v>1.4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36.0193</v>
      </c>
      <c r="H42" s="131" t="n">
        <v>20</v>
      </c>
      <c r="I42" s="179" t="n">
        <v>19.9</v>
      </c>
      <c r="J42" s="124"/>
      <c r="K42" s="132"/>
      <c r="L42" s="132"/>
      <c r="M42" s="132"/>
      <c r="N42" s="133"/>
      <c r="O42" s="132"/>
      <c r="P42" s="186" t="n">
        <v>4.68</v>
      </c>
      <c r="Q42" s="124"/>
      <c r="R42" s="124"/>
      <c r="S42" s="192" t="n">
        <v>204</v>
      </c>
      <c r="T42" s="32" t="n">
        <v>0.1209</v>
      </c>
      <c r="U42" s="32" t="n">
        <v>0.12</v>
      </c>
      <c r="V42" s="124"/>
      <c r="W42" s="124"/>
      <c r="X42" s="125" t="n">
        <v>0.9</v>
      </c>
      <c r="Y42" s="125" t="n">
        <v>0.9</v>
      </c>
      <c r="Z42" s="32" t="n">
        <v>0.19</v>
      </c>
      <c r="AA42" s="32" t="n">
        <v>0.18</v>
      </c>
      <c r="AB42" s="125" t="n">
        <v>1.3</v>
      </c>
      <c r="AC42" s="125" t="n">
        <v>1.3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36.0247</v>
      </c>
      <c r="H43" s="131" t="n">
        <v>10</v>
      </c>
      <c r="I43" s="179" t="n">
        <v>9.9</v>
      </c>
      <c r="J43" s="124"/>
      <c r="K43" s="132"/>
      <c r="L43" s="132"/>
      <c r="M43" s="132"/>
      <c r="N43" s="133"/>
      <c r="O43" s="132"/>
      <c r="P43" s="186" t="n">
        <v>4.723</v>
      </c>
      <c r="Q43" s="124"/>
      <c r="R43" s="124"/>
      <c r="S43" s="192" t="n">
        <v>206</v>
      </c>
      <c r="T43" s="32" t="n">
        <v>0.0676</v>
      </c>
      <c r="U43" s="32" t="n">
        <v>0.07</v>
      </c>
      <c r="V43" s="124"/>
      <c r="W43" s="124"/>
      <c r="X43" s="125" t="n">
        <v>0.8</v>
      </c>
      <c r="Y43" s="125" t="n">
        <v>0.8</v>
      </c>
      <c r="Z43" s="32" t="n">
        <v>0.18</v>
      </c>
      <c r="AA43" s="32" t="n">
        <v>0.17</v>
      </c>
      <c r="AB43" s="125" t="n">
        <v>1.3</v>
      </c>
      <c r="AC43" s="125" t="n">
        <v>1.2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2" t="n">
        <v>36.0269</v>
      </c>
      <c r="H44" s="131" t="n">
        <v>0</v>
      </c>
      <c r="I44" s="179" t="n">
        <v>2.5</v>
      </c>
      <c r="J44" s="124"/>
      <c r="K44" s="132"/>
      <c r="L44" s="132"/>
      <c r="M44" s="132"/>
      <c r="N44" s="133"/>
      <c r="O44" s="132"/>
      <c r="P44" s="185" t="n">
        <v>4.719</v>
      </c>
      <c r="Q44" s="124"/>
      <c r="R44" s="124"/>
      <c r="S44" s="193" t="n">
        <v>205.8</v>
      </c>
      <c r="T44" s="32" t="n">
        <v>0.0854</v>
      </c>
      <c r="U44" s="32" t="n">
        <v>0.08</v>
      </c>
      <c r="V44" s="124"/>
      <c r="W44" s="124"/>
      <c r="X44" s="125" t="n">
        <v>0.9</v>
      </c>
      <c r="Y44" s="125" t="n">
        <v>0.9</v>
      </c>
      <c r="Z44" s="32" t="n">
        <v>0.18</v>
      </c>
      <c r="AA44" s="32" t="n">
        <v>0.18</v>
      </c>
      <c r="AB44" s="125" t="n">
        <v>1.3</v>
      </c>
      <c r="AC44" s="125" t="n">
        <v>1.2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2" t="n">
        <v>36.0267</v>
      </c>
      <c r="H45" s="131" t="n">
        <v>0</v>
      </c>
      <c r="I45" s="179" t="n">
        <v>2.3</v>
      </c>
      <c r="J45" s="124"/>
      <c r="K45" s="132"/>
      <c r="L45" s="132"/>
      <c r="M45" s="132"/>
      <c r="N45" s="133"/>
      <c r="O45" s="132"/>
      <c r="P45" s="185" t="n">
        <v>4.702</v>
      </c>
      <c r="Q45" s="124"/>
      <c r="R45" s="124"/>
      <c r="S45" s="193" t="n">
        <v>205</v>
      </c>
      <c r="T45" s="32" t="n">
        <v>0.1031</v>
      </c>
      <c r="U45" s="32" t="n">
        <v>0.1</v>
      </c>
      <c r="V45" s="124"/>
      <c r="W45" s="124"/>
      <c r="X45" s="125" t="n">
        <v>0.8</v>
      </c>
      <c r="Y45" s="125" t="n">
        <v>0.8</v>
      </c>
      <c r="Z45" s="32" t="n">
        <v>0.19</v>
      </c>
      <c r="AA45" s="32" t="n">
        <v>0.18</v>
      </c>
      <c r="AB45" s="125" t="n">
        <v>1.2</v>
      </c>
      <c r="AC45" s="125" t="n">
        <v>1.2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0.04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0°0,04</v>
      </c>
      <c r="P9" s="29" t="s">
        <v>13</v>
      </c>
      <c r="Q9" s="33" t="n">
        <f aca="false">IF(ISBLANK(I9),"",IF(ISBLANK(J9),"",IF(J9&gt;60,"ERREUR !!",O11*(I9+(J9/60)))))</f>
        <v>0.000666666666666667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-10°0,05</v>
      </c>
      <c r="P10" s="29" t="s">
        <v>17</v>
      </c>
      <c r="Q10" s="33" t="n">
        <f aca="false">IF(ISBLANK(I10),"",IF(ISBLANK(J10),"",IF(J10&gt;60,"ERREUR !!",O12*(I10+(J10/60)))))</f>
        <v>-10.0008333333333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38987</v>
      </c>
      <c r="K11" s="38"/>
      <c r="L11" s="38"/>
      <c r="M11" s="38"/>
      <c r="N11" s="39" t="str">
        <f aca="false">I9&amp;"°"&amp;J9</f>
        <v>0°0,04</v>
      </c>
      <c r="O11" s="40" t="n">
        <f aca="false">IF(P9=M10,-1,1)</f>
        <v>1</v>
      </c>
      <c r="P11" s="41" t="str">
        <f aca="false">TEXT(J11,"aaaa-mm-jj")&amp;"T"&amp;TEXT(J12,"hh:mm:ss")&amp;"z"</f>
        <v>2010-09-28T00:54:00z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0.0375</v>
      </c>
      <c r="K12" s="45"/>
      <c r="L12" s="45"/>
      <c r="M12" s="45"/>
      <c r="N12" s="46" t="str">
        <f aca="false">I10&amp;"°"&amp;J10</f>
        <v>10°0,05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2" t="n">
        <v>34.9696</v>
      </c>
      <c r="H35" s="118" t="n">
        <v>2000</v>
      </c>
      <c r="I35" s="179" t="n">
        <v>2001</v>
      </c>
      <c r="J35" s="119"/>
      <c r="K35" s="120"/>
      <c r="L35" s="120"/>
      <c r="M35" s="120"/>
      <c r="N35" s="121"/>
      <c r="O35" s="120"/>
      <c r="P35" s="194" t="n">
        <v>5.682</v>
      </c>
      <c r="Q35" s="119"/>
      <c r="R35" s="119"/>
      <c r="S35" s="174" t="n">
        <v>246.959</v>
      </c>
      <c r="T35" s="32" t="n">
        <v>0</v>
      </c>
      <c r="U35" s="32" t="n">
        <v>0</v>
      </c>
      <c r="V35" s="119"/>
      <c r="W35" s="119"/>
      <c r="X35" s="125" t="n">
        <v>20</v>
      </c>
      <c r="Y35" s="125" t="n">
        <v>19.5</v>
      </c>
      <c r="Z35" s="32" t="n">
        <v>1.33</v>
      </c>
      <c r="AA35" s="32" t="n">
        <v>1.3</v>
      </c>
      <c r="AB35" s="125" t="n">
        <v>19.7</v>
      </c>
      <c r="AC35" s="125" t="n">
        <v>19.3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2" t="n">
        <v>34.9689</v>
      </c>
      <c r="H36" s="131" t="n">
        <v>2000</v>
      </c>
      <c r="I36" s="179" t="n">
        <v>2001</v>
      </c>
      <c r="J36" s="124"/>
      <c r="K36" s="132"/>
      <c r="L36" s="132"/>
      <c r="M36" s="132"/>
      <c r="N36" s="133"/>
      <c r="O36" s="132"/>
      <c r="P36" s="159" t="n">
        <v>5.691</v>
      </c>
      <c r="Q36" s="124"/>
      <c r="R36" s="124"/>
      <c r="S36" s="177" t="n">
        <v>247.34</v>
      </c>
      <c r="T36" s="32" t="n">
        <v>0</v>
      </c>
      <c r="U36" s="32" t="n">
        <v>0</v>
      </c>
      <c r="V36" s="124"/>
      <c r="W36" s="124"/>
      <c r="X36" s="125" t="n">
        <v>20</v>
      </c>
      <c r="Y36" s="125" t="n">
        <v>19.6</v>
      </c>
      <c r="Z36" s="32" t="n">
        <v>1.33</v>
      </c>
      <c r="AA36" s="32" t="n">
        <v>1.3</v>
      </c>
      <c r="AB36" s="125" t="n">
        <v>19.8</v>
      </c>
      <c r="AC36" s="125" t="n">
        <v>19.3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34.5933</v>
      </c>
      <c r="H37" s="131" t="n">
        <v>1000</v>
      </c>
      <c r="I37" s="179" t="n">
        <v>1000.2</v>
      </c>
      <c r="J37" s="124"/>
      <c r="K37" s="132"/>
      <c r="L37" s="132"/>
      <c r="M37" s="132"/>
      <c r="N37" s="133"/>
      <c r="O37" s="132"/>
      <c r="P37" s="159" t="n">
        <v>3.474</v>
      </c>
      <c r="Q37" s="124"/>
      <c r="R37" s="124"/>
      <c r="S37" s="177" t="n">
        <v>151.049</v>
      </c>
      <c r="T37" s="32" t="n">
        <v>0</v>
      </c>
      <c r="U37" s="32" t="n">
        <v>0</v>
      </c>
      <c r="V37" s="124"/>
      <c r="W37" s="124"/>
      <c r="X37" s="125" t="n">
        <v>34</v>
      </c>
      <c r="Y37" s="125" t="n">
        <v>33.2</v>
      </c>
      <c r="Z37" s="32" t="n">
        <v>2.3</v>
      </c>
      <c r="AA37" s="32" t="n">
        <v>2.25</v>
      </c>
      <c r="AB37" s="125" t="n">
        <v>30.6</v>
      </c>
      <c r="AC37" s="125" t="n">
        <v>29.9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34.6871</v>
      </c>
      <c r="H38" s="131" t="n">
        <v>500</v>
      </c>
      <c r="I38" s="179" t="n">
        <v>500.1</v>
      </c>
      <c r="J38" s="124"/>
      <c r="K38" s="132"/>
      <c r="L38" s="132"/>
      <c r="M38" s="132"/>
      <c r="N38" s="133"/>
      <c r="O38" s="132"/>
      <c r="P38" s="159" t="n">
        <v>2.534</v>
      </c>
      <c r="Q38" s="124"/>
      <c r="R38" s="124"/>
      <c r="S38" s="177" t="n">
        <v>110.22</v>
      </c>
      <c r="T38" s="32" t="n">
        <v>0</v>
      </c>
      <c r="U38" s="32" t="n">
        <v>0</v>
      </c>
      <c r="V38" s="124"/>
      <c r="W38" s="124"/>
      <c r="X38" s="125" t="n">
        <v>33</v>
      </c>
      <c r="Y38" s="125" t="n">
        <v>32.2</v>
      </c>
      <c r="Z38" s="32" t="n">
        <v>2.12</v>
      </c>
      <c r="AA38" s="32" t="n">
        <v>2.07</v>
      </c>
      <c r="AB38" s="125" t="n">
        <v>18.4</v>
      </c>
      <c r="AC38" s="125" t="n">
        <v>18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35.7771</v>
      </c>
      <c r="H39" s="131" t="n">
        <v>100</v>
      </c>
      <c r="I39" s="179" t="n">
        <v>100.5</v>
      </c>
      <c r="J39" s="124"/>
      <c r="K39" s="132"/>
      <c r="L39" s="132"/>
      <c r="M39" s="132"/>
      <c r="N39" s="133"/>
      <c r="O39" s="132"/>
      <c r="P39" s="159" t="n">
        <v>3.515</v>
      </c>
      <c r="Q39" s="124"/>
      <c r="R39" s="124"/>
      <c r="S39" s="177" t="n">
        <v>153.006</v>
      </c>
      <c r="T39" s="32" t="n">
        <v>0.05</v>
      </c>
      <c r="U39" s="32" t="n">
        <v>0.05</v>
      </c>
      <c r="V39" s="124"/>
      <c r="W39" s="124"/>
      <c r="X39" s="125" t="n">
        <v>12.1</v>
      </c>
      <c r="Y39" s="125" t="n">
        <v>11.8</v>
      </c>
      <c r="Z39" s="32" t="n">
        <v>0.89</v>
      </c>
      <c r="AA39" s="32" t="n">
        <v>0.87</v>
      </c>
      <c r="AB39" s="125" t="n">
        <v>4.3</v>
      </c>
      <c r="AC39" s="125" t="n">
        <v>4.2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35.7805</v>
      </c>
      <c r="H40" s="131" t="n">
        <v>80</v>
      </c>
      <c r="I40" s="179" t="n">
        <v>79.6</v>
      </c>
      <c r="J40" s="124"/>
      <c r="K40" s="132"/>
      <c r="L40" s="132"/>
      <c r="M40" s="132"/>
      <c r="N40" s="133"/>
      <c r="O40" s="132"/>
      <c r="P40" s="159" t="n">
        <v>2.958</v>
      </c>
      <c r="Q40" s="124"/>
      <c r="R40" s="124"/>
      <c r="S40" s="177" t="n">
        <v>128.783</v>
      </c>
      <c r="T40" s="32" t="n">
        <v>0.09</v>
      </c>
      <c r="U40" s="32" t="n">
        <v>0.09</v>
      </c>
      <c r="V40" s="124"/>
      <c r="W40" s="124"/>
      <c r="X40" s="125" t="n">
        <v>13.7</v>
      </c>
      <c r="Y40" s="125" t="n">
        <v>13.3</v>
      </c>
      <c r="Z40" s="32" t="n">
        <v>0.95</v>
      </c>
      <c r="AA40" s="32" t="n">
        <v>0.92</v>
      </c>
      <c r="AB40" s="125" t="n">
        <v>4.1</v>
      </c>
      <c r="AC40" s="125" t="n">
        <v>4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35.9612</v>
      </c>
      <c r="H41" s="131" t="n">
        <v>60</v>
      </c>
      <c r="I41" s="179" t="n">
        <v>60.2</v>
      </c>
      <c r="J41" s="124"/>
      <c r="K41" s="132"/>
      <c r="L41" s="132"/>
      <c r="M41" s="132"/>
      <c r="N41" s="133"/>
      <c r="O41" s="132"/>
      <c r="P41" s="159" t="n">
        <v>4.619</v>
      </c>
      <c r="Q41" s="124"/>
      <c r="R41" s="124"/>
      <c r="S41" s="177" t="n">
        <v>201.39</v>
      </c>
      <c r="T41" s="32" t="n">
        <v>0.19</v>
      </c>
      <c r="U41" s="32" t="n">
        <v>0.19</v>
      </c>
      <c r="V41" s="124"/>
      <c r="W41" s="124"/>
      <c r="X41" s="125" t="n">
        <v>1</v>
      </c>
      <c r="Y41" s="125" t="n">
        <v>0.9</v>
      </c>
      <c r="Z41" s="32" t="n">
        <v>0.23</v>
      </c>
      <c r="AA41" s="32" t="n">
        <v>0.23</v>
      </c>
      <c r="AB41" s="125" t="n">
        <v>1.2</v>
      </c>
      <c r="AC41" s="125" t="n">
        <v>1.2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35.9792</v>
      </c>
      <c r="H42" s="131" t="n">
        <v>40</v>
      </c>
      <c r="I42" s="179" t="n">
        <v>40.5</v>
      </c>
      <c r="J42" s="124"/>
      <c r="K42" s="132"/>
      <c r="L42" s="132"/>
      <c r="M42" s="132"/>
      <c r="N42" s="133"/>
      <c r="O42" s="132"/>
      <c r="P42" s="159" t="n">
        <v>4.704</v>
      </c>
      <c r="Q42" s="124"/>
      <c r="R42" s="124"/>
      <c r="S42" s="177" t="n">
        <v>205.094</v>
      </c>
      <c r="T42" s="32" t="n">
        <v>0.17</v>
      </c>
      <c r="U42" s="32" t="n">
        <v>0.17</v>
      </c>
      <c r="V42" s="124"/>
      <c r="W42" s="124"/>
      <c r="X42" s="125" t="n">
        <v>0.8</v>
      </c>
      <c r="Y42" s="125" t="n">
        <v>0.8</v>
      </c>
      <c r="Z42" s="32" t="n">
        <v>0.2</v>
      </c>
      <c r="AA42" s="32" t="n">
        <v>0.2</v>
      </c>
      <c r="AB42" s="125" t="n">
        <v>1.2</v>
      </c>
      <c r="AC42" s="125" t="n">
        <v>1.2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35.9772</v>
      </c>
      <c r="H43" s="131" t="n">
        <v>20</v>
      </c>
      <c r="I43" s="179" t="n">
        <v>20</v>
      </c>
      <c r="J43" s="124"/>
      <c r="K43" s="132"/>
      <c r="L43" s="132"/>
      <c r="M43" s="132"/>
      <c r="N43" s="133"/>
      <c r="O43" s="132"/>
      <c r="P43" s="159" t="n">
        <v>4.679</v>
      </c>
      <c r="Q43" s="124"/>
      <c r="R43" s="124"/>
      <c r="S43" s="177" t="n">
        <v>204.027</v>
      </c>
      <c r="T43" s="32" t="n">
        <v>0.16</v>
      </c>
      <c r="U43" s="32" t="n">
        <v>0.16</v>
      </c>
      <c r="V43" s="124"/>
      <c r="W43" s="124"/>
      <c r="X43" s="125" t="n">
        <v>0.7</v>
      </c>
      <c r="Y43" s="125" t="n">
        <v>0.7</v>
      </c>
      <c r="Z43" s="32" t="n">
        <v>0.22</v>
      </c>
      <c r="AA43" s="32" t="n">
        <v>0.22</v>
      </c>
      <c r="AB43" s="125" t="n">
        <v>1.2</v>
      </c>
      <c r="AC43" s="125" t="n">
        <v>1.2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35.9783</v>
      </c>
      <c r="H44" s="131" t="n">
        <v>10</v>
      </c>
      <c r="I44" s="179" t="n">
        <v>10.8</v>
      </c>
      <c r="J44" s="124"/>
      <c r="K44" s="132"/>
      <c r="L44" s="132"/>
      <c r="M44" s="132"/>
      <c r="N44" s="133"/>
      <c r="O44" s="132"/>
      <c r="P44" s="159" t="n">
        <v>4.645</v>
      </c>
      <c r="Q44" s="124"/>
      <c r="R44" s="124"/>
      <c r="S44" s="177" t="n">
        <v>202.546</v>
      </c>
      <c r="T44" s="32" t="n">
        <v>0.2</v>
      </c>
      <c r="U44" s="32" t="n">
        <v>0.2</v>
      </c>
      <c r="V44" s="124"/>
      <c r="W44" s="124"/>
      <c r="X44" s="125" t="n">
        <v>0.6</v>
      </c>
      <c r="Y44" s="125" t="n">
        <v>0.6</v>
      </c>
      <c r="Z44" s="32" t="n">
        <v>0.19</v>
      </c>
      <c r="AA44" s="32" t="n">
        <v>0.19</v>
      </c>
      <c r="AB44" s="125" t="n">
        <v>1.2</v>
      </c>
      <c r="AC44" s="125" t="n">
        <v>1.2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35.9788</v>
      </c>
      <c r="H45" s="131" t="n">
        <v>0</v>
      </c>
      <c r="I45" s="179" t="n">
        <v>2.5</v>
      </c>
      <c r="J45" s="124"/>
      <c r="K45" s="132"/>
      <c r="L45" s="132"/>
      <c r="M45" s="132"/>
      <c r="N45" s="133"/>
      <c r="O45" s="132"/>
      <c r="P45" s="159" t="n">
        <v>4.714</v>
      </c>
      <c r="Q45" s="124"/>
      <c r="R45" s="124"/>
      <c r="S45" s="177" t="n">
        <v>205.542</v>
      </c>
      <c r="T45" s="32" t="n">
        <v>0.14</v>
      </c>
      <c r="U45" s="32" t="n">
        <v>0.14</v>
      </c>
      <c r="V45" s="124"/>
      <c r="W45" s="124"/>
      <c r="X45" s="125" t="n">
        <v>0.8</v>
      </c>
      <c r="Y45" s="125" t="n">
        <v>0.8</v>
      </c>
      <c r="Z45" s="32" t="n">
        <v>0.2</v>
      </c>
      <c r="AA45" s="32" t="n">
        <v>0.2</v>
      </c>
      <c r="AB45" s="125" t="n">
        <v>1.2</v>
      </c>
      <c r="AC45" s="125" t="n">
        <v>1.1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29.99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0°29,99</v>
      </c>
      <c r="P9" s="29" t="s">
        <v>13</v>
      </c>
      <c r="Q9" s="33" t="n">
        <f aca="false">IF(ISBLANK(I9),"",IF(ISBLANK(J9),"",IF(J9&gt;60,"ERREUR !!",O11*(I9+(J9/60)))))</f>
        <v>0.499833333333333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-10°0,05</v>
      </c>
      <c r="P10" s="29" t="s">
        <v>17</v>
      </c>
      <c r="Q10" s="33" t="n">
        <f aca="false">IF(ISBLANK(I10),"",IF(ISBLANK(J10),"",IF(J10&gt;60,"ERREUR !!",O12*(I10+(J10/60)))))</f>
        <v>-10.0008333333333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38987</v>
      </c>
      <c r="K11" s="38"/>
      <c r="L11" s="38"/>
      <c r="M11" s="38"/>
      <c r="N11" s="39" t="str">
        <f aca="false">I9&amp;"°"&amp;J9</f>
        <v>0°29,99</v>
      </c>
      <c r="O11" s="40" t="n">
        <f aca="false">IF(P9=M10,-1,1)</f>
        <v>1</v>
      </c>
      <c r="P11" s="41" t="str">
        <f aca="false">TEXT(J11,"aaaa-mm-jj")&amp;"T"&amp;TEXT(J12,"hh:mm:ss")&amp;"z"</f>
        <v>2010-09-28T05:51:00z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0.24375</v>
      </c>
      <c r="K12" s="45"/>
      <c r="L12" s="45"/>
      <c r="M12" s="45"/>
      <c r="N12" s="46" t="str">
        <f aca="false">I10&amp;"°"&amp;J10</f>
        <v>10°0,05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34.9679</v>
      </c>
      <c r="H35" s="118" t="n">
        <v>2000</v>
      </c>
      <c r="I35" s="179" t="n">
        <v>1999.7</v>
      </c>
      <c r="J35" s="119"/>
      <c r="K35" s="120"/>
      <c r="L35" s="120"/>
      <c r="M35" s="120"/>
      <c r="N35" s="121"/>
      <c r="O35" s="120"/>
      <c r="P35" s="194" t="n">
        <v>5.721</v>
      </c>
      <c r="Q35" s="119"/>
      <c r="R35" s="175" t="n">
        <v>240.2</v>
      </c>
      <c r="S35" s="174" t="n">
        <v>248.641</v>
      </c>
      <c r="T35" s="32" t="n">
        <v>0</v>
      </c>
      <c r="U35" s="32" t="n">
        <v>0</v>
      </c>
      <c r="V35" s="119"/>
      <c r="W35" s="119"/>
      <c r="X35" s="125" t="n">
        <v>20</v>
      </c>
      <c r="Y35" s="125" t="n">
        <v>19.6</v>
      </c>
      <c r="Z35" s="32" t="n">
        <v>1.29</v>
      </c>
      <c r="AA35" s="32" t="n">
        <v>1.26</v>
      </c>
      <c r="AB35" s="125" t="n">
        <v>19.3</v>
      </c>
      <c r="AC35" s="125" t="n">
        <v>18.9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2" t="n">
        <v>34.6586</v>
      </c>
      <c r="H36" s="131" t="n">
        <v>1000</v>
      </c>
      <c r="I36" s="179" t="n">
        <v>1001.6</v>
      </c>
      <c r="J36" s="124"/>
      <c r="K36" s="132"/>
      <c r="L36" s="132"/>
      <c r="M36" s="132"/>
      <c r="N36" s="133"/>
      <c r="O36" s="132"/>
      <c r="P36" s="159" t="n">
        <v>3.64</v>
      </c>
      <c r="Q36" s="124"/>
      <c r="R36" s="125" t="n">
        <v>161.7</v>
      </c>
      <c r="S36" s="177" t="n">
        <v>158.236</v>
      </c>
      <c r="T36" s="32" t="n">
        <v>0.01</v>
      </c>
      <c r="U36" s="32" t="n">
        <v>0.01</v>
      </c>
      <c r="V36" s="124"/>
      <c r="W36" s="124"/>
      <c r="X36" s="125" t="n">
        <v>32.5</v>
      </c>
      <c r="Y36" s="125" t="n">
        <v>31.7</v>
      </c>
      <c r="Z36" s="32" t="n">
        <v>2.14</v>
      </c>
      <c r="AA36" s="32" t="n">
        <v>2.09</v>
      </c>
      <c r="AB36" s="125" t="n">
        <v>27.1</v>
      </c>
      <c r="AC36" s="125" t="n">
        <v>26.5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2" t="n">
        <v>34.658</v>
      </c>
      <c r="H37" s="131" t="n">
        <v>1000</v>
      </c>
      <c r="I37" s="179" t="n">
        <v>1000.9</v>
      </c>
      <c r="J37" s="124"/>
      <c r="K37" s="132"/>
      <c r="L37" s="132"/>
      <c r="M37" s="132"/>
      <c r="N37" s="133"/>
      <c r="O37" s="132"/>
      <c r="P37" s="159" t="n">
        <v>3.637</v>
      </c>
      <c r="Q37" s="124"/>
      <c r="R37" s="125" t="n">
        <v>162.2</v>
      </c>
      <c r="S37" s="177" t="n">
        <v>158.121</v>
      </c>
      <c r="T37" s="32" t="n">
        <v>0</v>
      </c>
      <c r="U37" s="32" t="n">
        <v>0</v>
      </c>
      <c r="V37" s="124"/>
      <c r="W37" s="124"/>
      <c r="X37" s="125" t="n">
        <v>32.5</v>
      </c>
      <c r="Y37" s="125" t="n">
        <v>31.8</v>
      </c>
      <c r="Z37" s="32" t="n">
        <v>2.21</v>
      </c>
      <c r="AA37" s="32" t="n">
        <v>2.16</v>
      </c>
      <c r="AB37" s="125" t="n">
        <v>29.4</v>
      </c>
      <c r="AC37" s="125" t="n">
        <v>28.7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4" t="n">
        <v>34.729</v>
      </c>
      <c r="H38" s="131" t="n">
        <v>500</v>
      </c>
      <c r="I38" s="179" t="n">
        <v>499.8</v>
      </c>
      <c r="J38" s="124"/>
      <c r="K38" s="132"/>
      <c r="L38" s="132"/>
      <c r="M38" s="132"/>
      <c r="N38" s="133"/>
      <c r="O38" s="132"/>
      <c r="P38" s="159" t="n">
        <v>2.311</v>
      </c>
      <c r="Q38" s="124"/>
      <c r="R38" s="125" t="n">
        <v>85</v>
      </c>
      <c r="S38" s="177" t="n">
        <v>100.54</v>
      </c>
      <c r="T38" s="32" t="n">
        <v>0</v>
      </c>
      <c r="U38" s="32" t="n">
        <v>0</v>
      </c>
      <c r="V38" s="124"/>
      <c r="W38" s="124"/>
      <c r="X38" s="125" t="n">
        <v>33.3</v>
      </c>
      <c r="Y38" s="125" t="n">
        <v>32.6</v>
      </c>
      <c r="Z38" s="32" t="n">
        <v>2.09</v>
      </c>
      <c r="AA38" s="32" t="n">
        <v>2.04</v>
      </c>
      <c r="AB38" s="125" t="n">
        <v>16.6</v>
      </c>
      <c r="AC38" s="125" t="n">
        <v>16.2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35.7047</v>
      </c>
      <c r="H39" s="131" t="n">
        <v>100</v>
      </c>
      <c r="I39" s="179" t="n">
        <v>101.1</v>
      </c>
      <c r="J39" s="124"/>
      <c r="K39" s="132"/>
      <c r="L39" s="132"/>
      <c r="M39" s="132"/>
      <c r="N39" s="133"/>
      <c r="O39" s="132"/>
      <c r="P39" s="159" t="n">
        <v>2.693</v>
      </c>
      <c r="Q39" s="124"/>
      <c r="R39" s="125" t="n">
        <v>149.7</v>
      </c>
      <c r="S39" s="177" t="n">
        <v>117.217</v>
      </c>
      <c r="T39" s="32" t="n">
        <v>0.02</v>
      </c>
      <c r="U39" s="32" t="n">
        <v>0.02</v>
      </c>
      <c r="V39" s="124"/>
      <c r="W39" s="124"/>
      <c r="X39" s="125" t="n">
        <v>17</v>
      </c>
      <c r="Y39" s="125" t="n">
        <v>16.6</v>
      </c>
      <c r="Z39" s="32" t="n">
        <v>1.15</v>
      </c>
      <c r="AA39" s="32" t="n">
        <v>1.12</v>
      </c>
      <c r="AB39" s="125" t="n">
        <v>5.2</v>
      </c>
      <c r="AC39" s="125" t="n">
        <v>5.1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4" t="n">
        <v>35.8061</v>
      </c>
      <c r="H40" s="131" t="n">
        <v>80</v>
      </c>
      <c r="I40" s="179" t="n">
        <v>81.4</v>
      </c>
      <c r="J40" s="124"/>
      <c r="K40" s="132"/>
      <c r="L40" s="132"/>
      <c r="M40" s="132"/>
      <c r="N40" s="133"/>
      <c r="O40" s="132"/>
      <c r="P40" s="159" t="n">
        <v>3.394</v>
      </c>
      <c r="Q40" s="124"/>
      <c r="R40" s="125" t="n">
        <v>203</v>
      </c>
      <c r="S40" s="177" t="n">
        <v>147.815</v>
      </c>
      <c r="T40" s="32" t="n">
        <v>0.63</v>
      </c>
      <c r="U40" s="32" t="n">
        <v>0.61</v>
      </c>
      <c r="V40" s="124"/>
      <c r="W40" s="124"/>
      <c r="X40" s="125" t="n">
        <v>9.4</v>
      </c>
      <c r="Y40" s="125" t="n">
        <v>9.2</v>
      </c>
      <c r="Z40" s="32" t="n">
        <v>0.73</v>
      </c>
      <c r="AA40" s="32" t="n">
        <v>0.71</v>
      </c>
      <c r="AB40" s="125" t="n">
        <v>2.9</v>
      </c>
      <c r="AC40" s="125" t="n">
        <v>2.8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35.8915</v>
      </c>
      <c r="H41" s="131" t="n">
        <v>60</v>
      </c>
      <c r="I41" s="179" t="n">
        <v>61</v>
      </c>
      <c r="J41" s="124"/>
      <c r="K41" s="132"/>
      <c r="L41" s="132"/>
      <c r="M41" s="132"/>
      <c r="N41" s="133"/>
      <c r="O41" s="132"/>
      <c r="P41" s="159" t="n">
        <v>4.512</v>
      </c>
      <c r="Q41" s="124"/>
      <c r="R41" s="125" t="n">
        <v>211</v>
      </c>
      <c r="S41" s="177" t="n">
        <v>196.718</v>
      </c>
      <c r="T41" s="32" t="n">
        <v>0.31</v>
      </c>
      <c r="U41" s="32" t="n">
        <v>0.3</v>
      </c>
      <c r="V41" s="124"/>
      <c r="W41" s="124"/>
      <c r="X41" s="125" t="n">
        <v>1.6</v>
      </c>
      <c r="Y41" s="125" t="n">
        <v>1.6</v>
      </c>
      <c r="Z41" s="32" t="n">
        <v>0.27</v>
      </c>
      <c r="AA41" s="32" t="n">
        <v>0.26</v>
      </c>
      <c r="AB41" s="125" t="n">
        <v>1.2</v>
      </c>
      <c r="AC41" s="125" t="n">
        <v>1.2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35.899</v>
      </c>
      <c r="H42" s="131" t="n">
        <v>40</v>
      </c>
      <c r="I42" s="179" t="n">
        <v>40.1</v>
      </c>
      <c r="J42" s="124"/>
      <c r="K42" s="132"/>
      <c r="L42" s="132"/>
      <c r="M42" s="132"/>
      <c r="N42" s="133"/>
      <c r="O42" s="132"/>
      <c r="P42" s="159" t="n">
        <v>4.83</v>
      </c>
      <c r="Q42" s="124"/>
      <c r="R42" s="125" t="n">
        <v>203.8</v>
      </c>
      <c r="S42" s="177" t="n">
        <v>210.644</v>
      </c>
      <c r="T42" s="32" t="n">
        <v>0.04</v>
      </c>
      <c r="U42" s="32" t="n">
        <v>0.04</v>
      </c>
      <c r="V42" s="124"/>
      <c r="W42" s="124"/>
      <c r="X42" s="125" t="n">
        <v>0.2</v>
      </c>
      <c r="Y42" s="125" t="n">
        <v>0.2</v>
      </c>
      <c r="Z42" s="32" t="n">
        <v>0.24</v>
      </c>
      <c r="AA42" s="32" t="n">
        <v>0.23</v>
      </c>
      <c r="AB42" s="125" t="n">
        <v>1.1</v>
      </c>
      <c r="AC42" s="125" t="n">
        <v>1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35.7859</v>
      </c>
      <c r="H43" s="131" t="n">
        <v>20</v>
      </c>
      <c r="I43" s="179" t="n">
        <v>20.2</v>
      </c>
      <c r="J43" s="124"/>
      <c r="K43" s="132"/>
      <c r="L43" s="132"/>
      <c r="M43" s="132"/>
      <c r="N43" s="133"/>
      <c r="O43" s="132"/>
      <c r="P43" s="159" t="n">
        <v>4.844</v>
      </c>
      <c r="Q43" s="124"/>
      <c r="R43" s="125" t="n">
        <v>202.3</v>
      </c>
      <c r="S43" s="177" t="n">
        <v>211.282</v>
      </c>
      <c r="T43" s="32" t="n">
        <v>0.01</v>
      </c>
      <c r="U43" s="32" t="n">
        <v>0.01</v>
      </c>
      <c r="V43" s="124"/>
      <c r="W43" s="124"/>
      <c r="X43" s="125" t="n">
        <v>0</v>
      </c>
      <c r="Y43" s="125" t="n">
        <v>0</v>
      </c>
      <c r="Z43" s="32" t="n">
        <v>0.12</v>
      </c>
      <c r="AA43" s="32" t="n">
        <v>0.12</v>
      </c>
      <c r="AB43" s="125" t="n">
        <v>0.9</v>
      </c>
      <c r="AC43" s="125" t="n">
        <v>0.9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35.7807</v>
      </c>
      <c r="H44" s="131" t="n">
        <v>10</v>
      </c>
      <c r="I44" s="179" t="n">
        <v>10.4</v>
      </c>
      <c r="J44" s="124"/>
      <c r="K44" s="132"/>
      <c r="L44" s="132"/>
      <c r="M44" s="132"/>
      <c r="N44" s="133"/>
      <c r="O44" s="132"/>
      <c r="P44" s="159" t="n">
        <v>4.848</v>
      </c>
      <c r="Q44" s="124"/>
      <c r="R44" s="125" t="n">
        <v>211.5</v>
      </c>
      <c r="S44" s="177" t="n">
        <v>211.462</v>
      </c>
      <c r="T44" s="32" t="n">
        <v>0</v>
      </c>
      <c r="U44" s="32" t="n">
        <v>0</v>
      </c>
      <c r="V44" s="124"/>
      <c r="W44" s="124"/>
      <c r="X44" s="125" t="n">
        <v>0</v>
      </c>
      <c r="Y44" s="125" t="n">
        <v>0</v>
      </c>
      <c r="Z44" s="32" t="n">
        <v>0.11</v>
      </c>
      <c r="AA44" s="32" t="n">
        <v>0.11</v>
      </c>
      <c r="AB44" s="125" t="n">
        <v>0.9</v>
      </c>
      <c r="AC44" s="125" t="n">
        <v>0.9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35.7809</v>
      </c>
      <c r="H45" s="131" t="n">
        <v>0</v>
      </c>
      <c r="I45" s="179" t="n">
        <v>2.1</v>
      </c>
      <c r="J45" s="124"/>
      <c r="K45" s="132"/>
      <c r="L45" s="132"/>
      <c r="M45" s="132"/>
      <c r="N45" s="133"/>
      <c r="O45" s="132"/>
      <c r="P45" s="159" t="n">
        <v>4.845</v>
      </c>
      <c r="Q45" s="124"/>
      <c r="R45" s="125" t="n">
        <v>192.9</v>
      </c>
      <c r="S45" s="177" t="n">
        <v>211.317</v>
      </c>
      <c r="T45" s="32" t="n">
        <v>0.01</v>
      </c>
      <c r="U45" s="32" t="n">
        <v>0</v>
      </c>
      <c r="V45" s="124"/>
      <c r="W45" s="124"/>
      <c r="X45" s="125" t="n">
        <v>0</v>
      </c>
      <c r="Y45" s="125" t="n">
        <v>0</v>
      </c>
      <c r="Z45" s="32" t="n">
        <v>0.1</v>
      </c>
      <c r="AA45" s="32" t="n">
        <v>0.1</v>
      </c>
      <c r="AB45" s="125" t="n">
        <v>0.9</v>
      </c>
      <c r="AC45" s="125" t="n">
        <v>0.8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59.73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0°59,73</v>
      </c>
      <c r="P9" s="29" t="s">
        <v>13</v>
      </c>
      <c r="Q9" s="33" t="n">
        <f aca="false">IF(ISBLANK(I9),"",IF(ISBLANK(J9),"",IF(J9&gt;60,"ERREUR !!",O11*(I9+(J9/60)))))</f>
        <v>0.9955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-10°0,04</v>
      </c>
      <c r="P10" s="29" t="s">
        <v>17</v>
      </c>
      <c r="Q10" s="33" t="n">
        <f aca="false">IF(ISBLANK(I10),"",IF(ISBLANK(J10),"",IF(J10&gt;60,"ERREUR !!",O12*(I10+(J10/60)))))</f>
        <v>-10.0006666666667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38987</v>
      </c>
      <c r="K11" s="38"/>
      <c r="L11" s="38"/>
      <c r="M11" s="38"/>
      <c r="N11" s="39" t="str">
        <f aca="false">I9&amp;"°"&amp;J9</f>
        <v>0°59,73</v>
      </c>
      <c r="O11" s="40" t="n">
        <f aca="false">IF(P9=M10,-1,1)</f>
        <v>1</v>
      </c>
      <c r="P11" s="41" t="str">
        <f aca="false">TEXT(J11,"aaaa-mm-jj")&amp;"T"&amp;TEXT(J12,"hh:mm:ss")&amp;"z"</f>
        <v>2010-09-28T10:30:00z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0.4375</v>
      </c>
      <c r="K12" s="45"/>
      <c r="L12" s="45"/>
      <c r="M12" s="45"/>
      <c r="N12" s="46" t="str">
        <f aca="false">I10&amp;"°"&amp;J10</f>
        <v>10°0,04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34.9655</v>
      </c>
      <c r="H35" s="118" t="n">
        <v>2000</v>
      </c>
      <c r="I35" s="179" t="n">
        <v>1999</v>
      </c>
      <c r="J35" s="119"/>
      <c r="K35" s="120"/>
      <c r="L35" s="120"/>
      <c r="M35" s="120"/>
      <c r="N35" s="121"/>
      <c r="O35" s="120"/>
      <c r="P35" s="194" t="n">
        <v>5.662</v>
      </c>
      <c r="Q35" s="119"/>
      <c r="R35" s="119"/>
      <c r="S35" s="174" t="n">
        <v>246.086</v>
      </c>
      <c r="T35" s="32" t="n">
        <v>0</v>
      </c>
      <c r="U35" s="32" t="n">
        <v>0</v>
      </c>
      <c r="V35" s="119"/>
      <c r="W35" s="119"/>
      <c r="X35" s="125" t="n">
        <v>20.3</v>
      </c>
      <c r="Y35" s="125" t="n">
        <v>19.8</v>
      </c>
      <c r="Z35" s="32" t="n">
        <v>1.29</v>
      </c>
      <c r="AA35" s="32" t="n">
        <v>1.26</v>
      </c>
      <c r="AB35" s="125" t="n">
        <v>19.9</v>
      </c>
      <c r="AC35" s="125" t="n">
        <v>19.5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34.6399</v>
      </c>
      <c r="H36" s="131" t="n">
        <v>1000</v>
      </c>
      <c r="I36" s="179" t="n">
        <v>1000.6</v>
      </c>
      <c r="J36" s="124"/>
      <c r="K36" s="132"/>
      <c r="L36" s="132"/>
      <c r="M36" s="132"/>
      <c r="N36" s="133"/>
      <c r="O36" s="132"/>
      <c r="P36" s="159" t="n">
        <v>3.628</v>
      </c>
      <c r="Q36" s="124"/>
      <c r="R36" s="124"/>
      <c r="S36" s="177" t="n">
        <v>157.74</v>
      </c>
      <c r="T36" s="32" t="n">
        <v>0</v>
      </c>
      <c r="U36" s="32" t="n">
        <v>0</v>
      </c>
      <c r="V36" s="124"/>
      <c r="W36" s="124"/>
      <c r="X36" s="125" t="n">
        <v>33</v>
      </c>
      <c r="Y36" s="125" t="n">
        <v>32.3</v>
      </c>
      <c r="Z36" s="32" t="n">
        <v>2.16</v>
      </c>
      <c r="AA36" s="32" t="n">
        <v>2.11</v>
      </c>
      <c r="AB36" s="125" t="n">
        <v>28.2</v>
      </c>
      <c r="AC36" s="125" t="n">
        <v>27.6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2" t="n">
        <v>34.7095</v>
      </c>
      <c r="H37" s="131" t="n">
        <v>500</v>
      </c>
      <c r="I37" s="179" t="n">
        <v>500</v>
      </c>
      <c r="J37" s="124"/>
      <c r="K37" s="132"/>
      <c r="L37" s="132"/>
      <c r="M37" s="132"/>
      <c r="N37" s="133"/>
      <c r="O37" s="132"/>
      <c r="P37" s="159" t="n">
        <v>2.515</v>
      </c>
      <c r="Q37" s="124"/>
      <c r="R37" s="124"/>
      <c r="S37" s="177" t="n">
        <v>109.39</v>
      </c>
      <c r="T37" s="32" t="n">
        <v>0.02</v>
      </c>
      <c r="U37" s="32" t="n">
        <v>0.02</v>
      </c>
      <c r="V37" s="124"/>
      <c r="W37" s="124"/>
      <c r="X37" s="125" t="n">
        <v>33.2</v>
      </c>
      <c r="Y37" s="125" t="n">
        <v>32.4</v>
      </c>
      <c r="Z37" s="32" t="n">
        <v>2.08</v>
      </c>
      <c r="AA37" s="32" t="n">
        <v>2.03</v>
      </c>
      <c r="AB37" s="125" t="n">
        <v>18.4</v>
      </c>
      <c r="AC37" s="125" t="n">
        <v>17.9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2" t="n">
        <v>34.7145</v>
      </c>
      <c r="H38" s="131" t="n">
        <v>500</v>
      </c>
      <c r="I38" s="179" t="n">
        <v>500</v>
      </c>
      <c r="J38" s="124"/>
      <c r="K38" s="132"/>
      <c r="L38" s="132"/>
      <c r="M38" s="132"/>
      <c r="N38" s="133"/>
      <c r="O38" s="132"/>
      <c r="P38" s="159" t="n">
        <v>2.467</v>
      </c>
      <c r="Q38" s="124"/>
      <c r="R38" s="124"/>
      <c r="S38" s="177" t="n">
        <v>107.318</v>
      </c>
      <c r="T38" s="32" t="n">
        <v>0</v>
      </c>
      <c r="U38" s="32" t="n">
        <v>0</v>
      </c>
      <c r="V38" s="124"/>
      <c r="W38" s="124"/>
      <c r="X38" s="125" t="n">
        <v>33.2</v>
      </c>
      <c r="Y38" s="125" t="n">
        <v>32.5</v>
      </c>
      <c r="Z38" s="32" t="n">
        <v>2.09</v>
      </c>
      <c r="AA38" s="32" t="n">
        <v>2.04</v>
      </c>
      <c r="AB38" s="125" t="n">
        <v>18</v>
      </c>
      <c r="AC38" s="125" t="n">
        <v>17.6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4" t="n">
        <v>35.7049</v>
      </c>
      <c r="H39" s="131" t="n">
        <v>100</v>
      </c>
      <c r="I39" s="179" t="n">
        <v>100</v>
      </c>
      <c r="J39" s="124"/>
      <c r="K39" s="132"/>
      <c r="L39" s="132"/>
      <c r="M39" s="132"/>
      <c r="N39" s="133"/>
      <c r="O39" s="132"/>
      <c r="P39" s="159" t="n">
        <v>2.692</v>
      </c>
      <c r="Q39" s="124"/>
      <c r="R39" s="124"/>
      <c r="S39" s="177" t="n">
        <v>117.163</v>
      </c>
      <c r="T39" s="32" t="n">
        <v>0.06</v>
      </c>
      <c r="U39" s="32" t="n">
        <v>0.06</v>
      </c>
      <c r="V39" s="124"/>
      <c r="W39" s="124"/>
      <c r="X39" s="125" t="n">
        <v>17.1</v>
      </c>
      <c r="Y39" s="125" t="n">
        <v>16.7</v>
      </c>
      <c r="Z39" s="32" t="n">
        <v>1.13</v>
      </c>
      <c r="AA39" s="32" t="n">
        <v>1.1</v>
      </c>
      <c r="AB39" s="125" t="n">
        <v>5.4</v>
      </c>
      <c r="AC39" s="125" t="n">
        <v>5.2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35.8408</v>
      </c>
      <c r="H40" s="131" t="n">
        <v>80</v>
      </c>
      <c r="I40" s="179" t="n">
        <v>79.5</v>
      </c>
      <c r="J40" s="124"/>
      <c r="K40" s="132"/>
      <c r="L40" s="132"/>
      <c r="M40" s="132"/>
      <c r="N40" s="133"/>
      <c r="O40" s="132"/>
      <c r="P40" s="159" t="n">
        <v>4.244</v>
      </c>
      <c r="Q40" s="124"/>
      <c r="R40" s="124"/>
      <c r="S40" s="177" t="n">
        <v>184.966</v>
      </c>
      <c r="T40" s="32" t="n">
        <v>0.54</v>
      </c>
      <c r="U40" s="32" t="n">
        <v>0.52</v>
      </c>
      <c r="V40" s="124"/>
      <c r="W40" s="124"/>
      <c r="X40" s="125" t="n">
        <v>3</v>
      </c>
      <c r="Y40" s="125" t="n">
        <v>2.9</v>
      </c>
      <c r="Z40" s="32" t="n">
        <v>0.38</v>
      </c>
      <c r="AA40" s="32" t="n">
        <v>0.37</v>
      </c>
      <c r="AB40" s="125" t="n">
        <v>1.9</v>
      </c>
      <c r="AC40" s="125" t="n">
        <v>1.8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35.7724</v>
      </c>
      <c r="H41" s="131" t="n">
        <v>60</v>
      </c>
      <c r="I41" s="179" t="n">
        <v>59.1</v>
      </c>
      <c r="J41" s="124"/>
      <c r="K41" s="132"/>
      <c r="L41" s="132"/>
      <c r="M41" s="132"/>
      <c r="N41" s="133"/>
      <c r="O41" s="132"/>
      <c r="P41" s="159" t="n">
        <v>4.637</v>
      </c>
      <c r="Q41" s="124"/>
      <c r="R41" s="124"/>
      <c r="S41" s="177" t="n">
        <v>202.173</v>
      </c>
      <c r="T41" s="32" t="n">
        <v>0.15</v>
      </c>
      <c r="U41" s="32" t="n">
        <v>0.15</v>
      </c>
      <c r="V41" s="124"/>
      <c r="W41" s="124"/>
      <c r="X41" s="125" t="n">
        <v>0.8</v>
      </c>
      <c r="Y41" s="125" t="n">
        <v>0.8</v>
      </c>
      <c r="Z41" s="32" t="n">
        <v>0.21</v>
      </c>
      <c r="AA41" s="32" t="n">
        <v>0.2</v>
      </c>
      <c r="AB41" s="125" t="n">
        <v>1.4</v>
      </c>
      <c r="AC41" s="125" t="n">
        <v>1.3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35.6459</v>
      </c>
      <c r="H42" s="131" t="n">
        <v>40</v>
      </c>
      <c r="I42" s="179" t="n">
        <v>40</v>
      </c>
      <c r="J42" s="124"/>
      <c r="K42" s="132"/>
      <c r="L42" s="132"/>
      <c r="M42" s="132"/>
      <c r="N42" s="133"/>
      <c r="O42" s="132"/>
      <c r="P42" s="159" t="n">
        <v>4.723</v>
      </c>
      <c r="Q42" s="124"/>
      <c r="R42" s="124"/>
      <c r="S42" s="177" t="n">
        <v>206.023</v>
      </c>
      <c r="T42" s="32" t="n">
        <v>0.01</v>
      </c>
      <c r="U42" s="32" t="n">
        <v>0.01</v>
      </c>
      <c r="V42" s="124"/>
      <c r="W42" s="124"/>
      <c r="X42" s="125" t="n">
        <v>0.1</v>
      </c>
      <c r="Y42" s="125" t="n">
        <v>0.1</v>
      </c>
      <c r="Z42" s="32" t="n">
        <v>0.08</v>
      </c>
      <c r="AA42" s="32" t="n">
        <v>0.08</v>
      </c>
      <c r="AB42" s="125" t="n">
        <v>1.1</v>
      </c>
      <c r="AC42" s="125" t="n">
        <v>1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35.6395</v>
      </c>
      <c r="H43" s="131" t="n">
        <v>20</v>
      </c>
      <c r="I43" s="179" t="n">
        <v>19.6</v>
      </c>
      <c r="J43" s="124"/>
      <c r="K43" s="132"/>
      <c r="L43" s="132"/>
      <c r="M43" s="132"/>
      <c r="N43" s="133"/>
      <c r="O43" s="132"/>
      <c r="P43" s="159" t="n">
        <v>4.74</v>
      </c>
      <c r="Q43" s="124"/>
      <c r="R43" s="124"/>
      <c r="S43" s="177" t="n">
        <v>206.813</v>
      </c>
      <c r="T43" s="32" t="n">
        <v>0</v>
      </c>
      <c r="U43" s="32" t="n">
        <v>0</v>
      </c>
      <c r="V43" s="124"/>
      <c r="W43" s="124"/>
      <c r="X43" s="125" t="n">
        <v>0</v>
      </c>
      <c r="Y43" s="125" t="n">
        <v>0</v>
      </c>
      <c r="Z43" s="32" t="n">
        <v>0.08</v>
      </c>
      <c r="AA43" s="32" t="n">
        <v>0.07</v>
      </c>
      <c r="AB43" s="125" t="n">
        <v>1.1</v>
      </c>
      <c r="AC43" s="125" t="n">
        <v>1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35.6389</v>
      </c>
      <c r="H44" s="131" t="n">
        <v>10</v>
      </c>
      <c r="I44" s="179" t="n">
        <v>9.7</v>
      </c>
      <c r="J44" s="124"/>
      <c r="K44" s="132"/>
      <c r="L44" s="132"/>
      <c r="M44" s="132"/>
      <c r="N44" s="133"/>
      <c r="O44" s="132"/>
      <c r="P44" s="159" t="n">
        <v>4.732</v>
      </c>
      <c r="Q44" s="124"/>
      <c r="R44" s="124"/>
      <c r="S44" s="177" t="n">
        <v>206.429</v>
      </c>
      <c r="T44" s="32" t="n">
        <v>0.01</v>
      </c>
      <c r="U44" s="32" t="n">
        <v>0.01</v>
      </c>
      <c r="V44" s="124"/>
      <c r="W44" s="124"/>
      <c r="X44" s="125" t="n">
        <v>0.1</v>
      </c>
      <c r="Y44" s="125" t="n">
        <v>0.1</v>
      </c>
      <c r="Z44" s="32" t="n">
        <v>0.09</v>
      </c>
      <c r="AA44" s="32" t="n">
        <v>0.09</v>
      </c>
      <c r="AB44" s="125" t="n">
        <v>1.1</v>
      </c>
      <c r="AC44" s="125" t="n">
        <v>1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35.6393</v>
      </c>
      <c r="H45" s="131" t="n">
        <v>0</v>
      </c>
      <c r="I45" s="179" t="n">
        <v>1.8</v>
      </c>
      <c r="J45" s="124"/>
      <c r="K45" s="132"/>
      <c r="L45" s="132"/>
      <c r="M45" s="132"/>
      <c r="N45" s="133"/>
      <c r="O45" s="132"/>
      <c r="P45" s="159" t="n">
        <v>4.747</v>
      </c>
      <c r="Q45" s="124"/>
      <c r="R45" s="124"/>
      <c r="S45" s="177" t="n">
        <v>207.099</v>
      </c>
      <c r="T45" s="32" t="n">
        <v>0</v>
      </c>
      <c r="U45" s="32" t="n">
        <v>0</v>
      </c>
      <c r="V45" s="124"/>
      <c r="W45" s="124"/>
      <c r="X45" s="125" t="n">
        <v>0</v>
      </c>
      <c r="Y45" s="125" t="n">
        <v>0</v>
      </c>
      <c r="Z45" s="32" t="n">
        <v>0.08</v>
      </c>
      <c r="AA45" s="32" t="n">
        <v>0.08</v>
      </c>
      <c r="AB45" s="125" t="n">
        <v>1.2</v>
      </c>
      <c r="AC45" s="125" t="n">
        <v>1.2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38987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</v>
      </c>
      <c r="J9" s="29" t="n">
        <v>30.23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1°30,23</v>
      </c>
      <c r="P9" s="29" t="s">
        <v>13</v>
      </c>
      <c r="Q9" s="33" t="n">
        <f aca="false">IF(ISBLANK(I9),"",IF(ISBLANK(J9),"",IF(J9&gt;60,"ERREUR !!",O11*(I9+(J9/60)))))</f>
        <v>1.50383333333333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-9°59,95</v>
      </c>
      <c r="P10" s="29" t="s">
        <v>17</v>
      </c>
      <c r="Q10" s="33" t="n">
        <f aca="false">IF(ISBLANK(I10),"",IF(ISBLANK(J10),"",IF(J10&gt;60,"ERREUR !!",O12*(I10+(J10/60)))))</f>
        <v>-9.99916666666667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38987</v>
      </c>
      <c r="K11" s="38"/>
      <c r="L11" s="38"/>
      <c r="M11" s="38"/>
      <c r="N11" s="39" t="str">
        <f aca="false">I9&amp;"°"&amp;J9</f>
        <v>1°30,23</v>
      </c>
      <c r="O11" s="40" t="n">
        <f aca="false">IF(P9=M10,-1,1)</f>
        <v>1</v>
      </c>
      <c r="P11" s="41" t="str">
        <f aca="false">TEXT(J11,"aaaa-mm-jj")&amp;"T"&amp;TEXT(J12,"hh:mm:ss")&amp;"z"</f>
        <v>2010-09-28T16:00:00z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0.666666666666667</v>
      </c>
      <c r="K12" s="45"/>
      <c r="L12" s="45"/>
      <c r="M12" s="45"/>
      <c r="N12" s="46" t="str">
        <f aca="false">I10&amp;"°"&amp;J10</f>
        <v>9°59,95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80" t="n">
        <v>34.9652</v>
      </c>
      <c r="H35" s="118" t="n">
        <v>2000</v>
      </c>
      <c r="I35" s="179" t="n">
        <v>2000.4</v>
      </c>
      <c r="J35" s="119"/>
      <c r="K35" s="120"/>
      <c r="L35" s="120"/>
      <c r="M35" s="120"/>
      <c r="N35" s="121"/>
      <c r="O35" s="120"/>
      <c r="P35" s="194" t="n">
        <v>5.72</v>
      </c>
      <c r="Q35" s="119"/>
      <c r="R35" s="119"/>
      <c r="S35" s="174" t="n">
        <v>248.598</v>
      </c>
      <c r="T35" s="32" t="n">
        <v>0</v>
      </c>
      <c r="U35" s="32" t="n">
        <v>0</v>
      </c>
      <c r="V35" s="119"/>
      <c r="W35" s="119"/>
      <c r="X35" s="125" t="n">
        <v>20.6</v>
      </c>
      <c r="Y35" s="125" t="n">
        <v>20.1</v>
      </c>
      <c r="Z35" s="32" t="n">
        <v>1.26</v>
      </c>
      <c r="AA35" s="32" t="n">
        <v>1.23</v>
      </c>
      <c r="AB35" s="125" t="n">
        <v>20.1</v>
      </c>
      <c r="AC35" s="125" t="n">
        <v>19.7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84" t="n">
        <v>34.6325</v>
      </c>
      <c r="H36" s="131" t="n">
        <v>1000</v>
      </c>
      <c r="I36" s="179" t="n">
        <v>1000</v>
      </c>
      <c r="J36" s="124"/>
      <c r="K36" s="132"/>
      <c r="L36" s="132"/>
      <c r="M36" s="132"/>
      <c r="N36" s="133"/>
      <c r="O36" s="132"/>
      <c r="P36" s="159" t="n">
        <v>3.579</v>
      </c>
      <c r="Q36" s="124"/>
      <c r="R36" s="124"/>
      <c r="S36" s="177" t="n">
        <v>155.603</v>
      </c>
      <c r="T36" s="32" t="n">
        <v>0</v>
      </c>
      <c r="U36" s="32" t="n">
        <v>0</v>
      </c>
      <c r="V36" s="124"/>
      <c r="W36" s="124"/>
      <c r="X36" s="125" t="n">
        <v>33.3</v>
      </c>
      <c r="Y36" s="125" t="n">
        <v>32.5</v>
      </c>
      <c r="Z36" s="32" t="n">
        <v>2.17</v>
      </c>
      <c r="AA36" s="32" t="n">
        <v>2.12</v>
      </c>
      <c r="AB36" s="125" t="n">
        <v>29</v>
      </c>
      <c r="AC36" s="125" t="n">
        <v>28.3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84" t="n">
        <v>34.741</v>
      </c>
      <c r="H37" s="131" t="n">
        <v>500</v>
      </c>
      <c r="I37" s="179" t="n">
        <v>501</v>
      </c>
      <c r="J37" s="124"/>
      <c r="K37" s="132"/>
      <c r="L37" s="132"/>
      <c r="M37" s="132"/>
      <c r="N37" s="133"/>
      <c r="O37" s="132"/>
      <c r="P37" s="159" t="n">
        <v>2.561</v>
      </c>
      <c r="Q37" s="124"/>
      <c r="R37" s="124"/>
      <c r="S37" s="177" t="n">
        <v>111.38</v>
      </c>
      <c r="T37" s="32" t="n">
        <v>0</v>
      </c>
      <c r="U37" s="32" t="n">
        <v>0</v>
      </c>
      <c r="V37" s="124"/>
      <c r="W37" s="124"/>
      <c r="X37" s="125" t="n">
        <v>32.5</v>
      </c>
      <c r="Y37" s="125" t="n">
        <v>31.7</v>
      </c>
      <c r="Z37" s="32" t="n">
        <v>1.95</v>
      </c>
      <c r="AA37" s="32" t="n">
        <v>1.91</v>
      </c>
      <c r="AB37" s="125" t="n">
        <v>15.4</v>
      </c>
      <c r="AC37" s="125" t="n">
        <v>15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82" t="n">
        <v>35.6649</v>
      </c>
      <c r="H38" s="131" t="n">
        <v>100</v>
      </c>
      <c r="I38" s="179" t="n">
        <v>99.9</v>
      </c>
      <c r="J38" s="124"/>
      <c r="K38" s="132"/>
      <c r="L38" s="132"/>
      <c r="M38" s="132"/>
      <c r="N38" s="133"/>
      <c r="O38" s="132"/>
      <c r="P38" s="159" t="n">
        <v>2.951</v>
      </c>
      <c r="Q38" s="124"/>
      <c r="R38" s="124"/>
      <c r="S38" s="177" t="n">
        <v>128.418</v>
      </c>
      <c r="T38" s="32" t="n">
        <v>0.04</v>
      </c>
      <c r="U38" s="32" t="n">
        <v>0.04</v>
      </c>
      <c r="V38" s="124"/>
      <c r="W38" s="124"/>
      <c r="X38" s="125" t="n">
        <v>16.3</v>
      </c>
      <c r="Y38" s="125" t="n">
        <v>16</v>
      </c>
      <c r="Z38" s="32" t="n">
        <v>1.08</v>
      </c>
      <c r="AA38" s="32" t="n">
        <v>1.06</v>
      </c>
      <c r="AB38" s="125" t="n">
        <v>5.5</v>
      </c>
      <c r="AC38" s="125" t="n">
        <v>5.3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82" t="n">
        <v>35.6668</v>
      </c>
      <c r="H39" s="131" t="n">
        <v>100</v>
      </c>
      <c r="I39" s="179" t="n">
        <v>99.9</v>
      </c>
      <c r="J39" s="124"/>
      <c r="K39" s="132"/>
      <c r="L39" s="132"/>
      <c r="M39" s="132"/>
      <c r="N39" s="133"/>
      <c r="O39" s="132"/>
      <c r="P39" s="159" t="n">
        <v>2.972</v>
      </c>
      <c r="Q39" s="124"/>
      <c r="R39" s="124"/>
      <c r="S39" s="177" t="n">
        <v>129.344</v>
      </c>
      <c r="T39" s="32" t="n">
        <v>0.04</v>
      </c>
      <c r="U39" s="32" t="n">
        <v>0.04</v>
      </c>
      <c r="V39" s="124"/>
      <c r="W39" s="124"/>
      <c r="X39" s="125" t="n">
        <v>16.3</v>
      </c>
      <c r="Y39" s="125" t="n">
        <v>15.9</v>
      </c>
      <c r="Z39" s="32" t="n">
        <v>1.06</v>
      </c>
      <c r="AA39" s="32" t="n">
        <v>1.04</v>
      </c>
      <c r="AB39" s="125" t="n">
        <v>5.1</v>
      </c>
      <c r="AC39" s="125" t="n">
        <v>5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80" t="n">
        <v>35.7432</v>
      </c>
      <c r="H40" s="131" t="n">
        <v>80</v>
      </c>
      <c r="I40" s="179" t="n">
        <v>79.7</v>
      </c>
      <c r="J40" s="124"/>
      <c r="K40" s="132"/>
      <c r="L40" s="132"/>
      <c r="M40" s="132"/>
      <c r="N40" s="133"/>
      <c r="O40" s="132"/>
      <c r="P40" s="159" t="n">
        <v>3.105</v>
      </c>
      <c r="Q40" s="124"/>
      <c r="R40" s="124"/>
      <c r="S40" s="177" t="n">
        <v>135.147</v>
      </c>
      <c r="T40" s="32" t="n">
        <v>0.14</v>
      </c>
      <c r="U40" s="32" t="n">
        <v>0.14</v>
      </c>
      <c r="V40" s="124"/>
      <c r="W40" s="124"/>
      <c r="X40" s="125" t="n">
        <v>14.5</v>
      </c>
      <c r="Y40" s="125" t="n">
        <v>14.2</v>
      </c>
      <c r="Z40" s="32" t="n">
        <v>0.99</v>
      </c>
      <c r="AA40" s="32" t="n">
        <v>0.96</v>
      </c>
      <c r="AB40" s="125" t="n">
        <v>4.2</v>
      </c>
      <c r="AC40" s="125" t="n">
        <v>4.1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38" t="n">
        <v>35.7451</v>
      </c>
      <c r="H41" s="131" t="n">
        <v>60</v>
      </c>
      <c r="I41" s="179" t="n">
        <v>59.8</v>
      </c>
      <c r="J41" s="124"/>
      <c r="K41" s="132"/>
      <c r="L41" s="132"/>
      <c r="M41" s="132"/>
      <c r="N41" s="133"/>
      <c r="O41" s="132"/>
      <c r="P41" s="159" t="n">
        <v>4.757</v>
      </c>
      <c r="Q41" s="124"/>
      <c r="R41" s="124"/>
      <c r="S41" s="177" t="n">
        <v>207.423</v>
      </c>
      <c r="T41" s="32" t="n">
        <v>0.05</v>
      </c>
      <c r="U41" s="32" t="n">
        <v>0.05</v>
      </c>
      <c r="V41" s="124"/>
      <c r="W41" s="124"/>
      <c r="X41" s="125" t="n">
        <v>0.3</v>
      </c>
      <c r="Y41" s="125" t="n">
        <v>0.3</v>
      </c>
      <c r="Z41" s="32" t="n">
        <v>0.21</v>
      </c>
      <c r="AA41" s="32" t="n">
        <v>0.2</v>
      </c>
      <c r="AB41" s="125" t="n">
        <v>1</v>
      </c>
      <c r="AC41" s="125" t="n">
        <v>0.9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38" t="n">
        <v>35.6455</v>
      </c>
      <c r="H42" s="131" t="n">
        <v>40</v>
      </c>
      <c r="I42" s="179" t="n">
        <v>40.1</v>
      </c>
      <c r="J42" s="124"/>
      <c r="K42" s="132"/>
      <c r="L42" s="132"/>
      <c r="M42" s="132"/>
      <c r="N42" s="133"/>
      <c r="O42" s="132"/>
      <c r="P42" s="159" t="n">
        <v>4.742</v>
      </c>
      <c r="Q42" s="124"/>
      <c r="R42" s="124"/>
      <c r="S42" s="177" t="n">
        <v>206.915</v>
      </c>
      <c r="T42" s="32" t="n">
        <v>0</v>
      </c>
      <c r="U42" s="32" t="n">
        <v>0</v>
      </c>
      <c r="V42" s="124"/>
      <c r="W42" s="124"/>
      <c r="X42" s="125" t="n">
        <v>0</v>
      </c>
      <c r="Y42" s="125" t="n">
        <v>0</v>
      </c>
      <c r="Z42" s="32" t="n">
        <v>0.06</v>
      </c>
      <c r="AA42" s="32" t="n">
        <v>0.05</v>
      </c>
      <c r="AB42" s="125" t="n">
        <v>0.7</v>
      </c>
      <c r="AC42" s="125" t="n">
        <v>0.7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84" t="n">
        <v>35.6456</v>
      </c>
      <c r="H43" s="131" t="n">
        <v>20</v>
      </c>
      <c r="I43" s="179" t="n">
        <v>19.9</v>
      </c>
      <c r="J43" s="124"/>
      <c r="K43" s="132"/>
      <c r="L43" s="132"/>
      <c r="M43" s="132"/>
      <c r="N43" s="133"/>
      <c r="O43" s="132"/>
      <c r="P43" s="159" t="n">
        <v>4.741</v>
      </c>
      <c r="Q43" s="124"/>
      <c r="R43" s="124"/>
      <c r="S43" s="177" t="n">
        <v>206.85</v>
      </c>
      <c r="T43" s="32" t="n">
        <v>0</v>
      </c>
      <c r="U43" s="32" t="n">
        <v>0</v>
      </c>
      <c r="V43" s="124"/>
      <c r="W43" s="124"/>
      <c r="X43" s="125" t="n">
        <v>0</v>
      </c>
      <c r="Y43" s="125" t="n">
        <v>0</v>
      </c>
      <c r="Z43" s="32" t="n">
        <v>0.07</v>
      </c>
      <c r="AA43" s="32" t="n">
        <v>0.07</v>
      </c>
      <c r="AB43" s="125" t="n">
        <v>0.7</v>
      </c>
      <c r="AC43" s="125" t="n">
        <v>0.6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84" t="n">
        <v>35.6468</v>
      </c>
      <c r="H44" s="131" t="n">
        <v>10</v>
      </c>
      <c r="I44" s="179" t="n">
        <v>10.2</v>
      </c>
      <c r="J44" s="124"/>
      <c r="K44" s="132"/>
      <c r="L44" s="132"/>
      <c r="M44" s="132"/>
      <c r="N44" s="133"/>
      <c r="O44" s="132"/>
      <c r="P44" s="159" t="n">
        <v>4.755</v>
      </c>
      <c r="Q44" s="124"/>
      <c r="R44" s="124"/>
      <c r="S44" s="177" t="n">
        <v>207.458</v>
      </c>
      <c r="T44" s="32" t="n">
        <v>0</v>
      </c>
      <c r="U44" s="32" t="n">
        <v>0</v>
      </c>
      <c r="V44" s="124"/>
      <c r="W44" s="124"/>
      <c r="X44" s="125" t="n">
        <v>0</v>
      </c>
      <c r="Y44" s="125" t="n">
        <v>0</v>
      </c>
      <c r="Z44" s="32" t="n">
        <v>0.07</v>
      </c>
      <c r="AA44" s="32" t="n">
        <v>0.07</v>
      </c>
      <c r="AB44" s="125" t="n">
        <v>0.7</v>
      </c>
      <c r="AC44" s="125" t="n">
        <v>0.7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n">
        <v>35.6478</v>
      </c>
      <c r="H45" s="131" t="n">
        <v>0</v>
      </c>
      <c r="I45" s="179" t="n">
        <v>2.1</v>
      </c>
      <c r="J45" s="124"/>
      <c r="K45" s="132"/>
      <c r="L45" s="132"/>
      <c r="M45" s="132"/>
      <c r="N45" s="133"/>
      <c r="O45" s="132"/>
      <c r="P45" s="159" t="n">
        <v>4.747</v>
      </c>
      <c r="Q45" s="124"/>
      <c r="R45" s="124"/>
      <c r="S45" s="177" t="n">
        <v>207.126</v>
      </c>
      <c r="T45" s="32" t="n">
        <v>0</v>
      </c>
      <c r="U45" s="32" t="n">
        <v>0</v>
      </c>
      <c r="V45" s="124"/>
      <c r="W45" s="124"/>
      <c r="X45" s="125" t="n">
        <v>0</v>
      </c>
      <c r="Y45" s="125" t="n">
        <v>0</v>
      </c>
      <c r="Z45" s="32" t="n">
        <v>0.08</v>
      </c>
      <c r="AA45" s="32" t="n">
        <v>0.07</v>
      </c>
      <c r="AB45" s="125" t="n">
        <v>0.6</v>
      </c>
      <c r="AC45" s="125" t="n">
        <v>0.6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36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38998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0.03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0°0,03</v>
      </c>
      <c r="P9" s="29" t="s">
        <v>13</v>
      </c>
      <c r="Q9" s="33" t="n">
        <f aca="false">IF(ISBLANK(I9),"",IF(ISBLANK(J9),"",IF(J9&gt;60,"ERREUR !!",O11*(I9+(J9/60)))))</f>
        <v>0.0005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8</v>
      </c>
      <c r="J10" s="29" t="n">
        <v>0.11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-8°0,11</v>
      </c>
      <c r="P10" s="29" t="s">
        <v>17</v>
      </c>
      <c r="Q10" s="33" t="n">
        <f aca="false">IF(ISBLANK(I10),"",IF(ISBLANK(J10),"",IF(J10&gt;60,"ERREUR !!",O12*(I10+(J10/60)))))</f>
        <v>-8.00183333333333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38998</v>
      </c>
      <c r="K11" s="38"/>
      <c r="L11" s="38"/>
      <c r="M11" s="38"/>
      <c r="N11" s="39" t="str">
        <f aca="false">I9&amp;"°"&amp;J9</f>
        <v>0°0,03</v>
      </c>
      <c r="O11" s="40" t="n">
        <f aca="false">IF(P9=M10,-1,1)</f>
        <v>1</v>
      </c>
      <c r="P11" s="41" t="str">
        <f aca="false">TEXT(J11,"aaaa-mm-jj")&amp;"T"&amp;TEXT(J12,"hh:mm:ss")&amp;"z"</f>
        <v>2010-10-09T19:30:00z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0.8125</v>
      </c>
      <c r="K12" s="45"/>
      <c r="L12" s="45"/>
      <c r="M12" s="45"/>
      <c r="N12" s="46" t="str">
        <f aca="false">I10&amp;"°"&amp;J10</f>
        <v>8°0,11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5" t="n">
        <v>34.97</v>
      </c>
      <c r="H35" s="118" t="n">
        <v>2000</v>
      </c>
      <c r="I35" s="179" t="n">
        <v>2000.9</v>
      </c>
      <c r="J35" s="119"/>
      <c r="K35" s="120"/>
      <c r="L35" s="120"/>
      <c r="M35" s="120"/>
      <c r="N35" s="121"/>
      <c r="O35" s="120"/>
      <c r="P35" s="119"/>
      <c r="Q35" s="119"/>
      <c r="R35" s="119"/>
      <c r="S35" s="119"/>
      <c r="T35" s="32" t="n">
        <v>0</v>
      </c>
      <c r="U35" s="32" t="n">
        <v>0</v>
      </c>
      <c r="V35" s="119"/>
      <c r="W35" s="119"/>
      <c r="X35" s="125" t="n">
        <v>20.3</v>
      </c>
      <c r="Y35" s="125" t="n">
        <v>19.8</v>
      </c>
      <c r="Z35" s="32" t="n">
        <v>1.32</v>
      </c>
      <c r="AA35" s="32" t="n">
        <v>1.29</v>
      </c>
      <c r="AB35" s="125" t="n">
        <v>19.7</v>
      </c>
      <c r="AC35" s="125" t="n">
        <v>19.3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96" t="n">
        <v>34.857</v>
      </c>
      <c r="H36" s="131" t="n">
        <v>1000</v>
      </c>
      <c r="I36" s="179" t="n">
        <v>1000</v>
      </c>
      <c r="J36" s="124"/>
      <c r="K36" s="132"/>
      <c r="L36" s="132"/>
      <c r="M36" s="132"/>
      <c r="N36" s="133"/>
      <c r="O36" s="132"/>
      <c r="P36" s="124"/>
      <c r="Q36" s="124"/>
      <c r="R36" s="124"/>
      <c r="S36" s="124"/>
      <c r="T36" s="32" t="n">
        <v>0</v>
      </c>
      <c r="U36" s="32" t="n">
        <v>0</v>
      </c>
      <c r="V36" s="124"/>
      <c r="W36" s="124"/>
      <c r="X36" s="125" t="n">
        <v>33.8</v>
      </c>
      <c r="Y36" s="125" t="n">
        <v>33</v>
      </c>
      <c r="Z36" s="32" t="n">
        <v>2.25</v>
      </c>
      <c r="AA36" s="32" t="n">
        <v>2.2</v>
      </c>
      <c r="AB36" s="125" t="n">
        <v>31.4</v>
      </c>
      <c r="AC36" s="125" t="n">
        <v>30.7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96" t="n">
        <v>34.673</v>
      </c>
      <c r="H37" s="131" t="n">
        <v>500</v>
      </c>
      <c r="I37" s="179" t="n">
        <v>500.7</v>
      </c>
      <c r="J37" s="124"/>
      <c r="K37" s="132"/>
      <c r="L37" s="132"/>
      <c r="M37" s="132"/>
      <c r="N37" s="133"/>
      <c r="O37" s="132"/>
      <c r="P37" s="124"/>
      <c r="Q37" s="124"/>
      <c r="R37" s="124"/>
      <c r="S37" s="124"/>
      <c r="T37" s="32" t="n">
        <v>0</v>
      </c>
      <c r="U37" s="32" t="n">
        <v>0</v>
      </c>
      <c r="V37" s="124"/>
      <c r="W37" s="124"/>
      <c r="X37" s="125" t="n">
        <v>33.2</v>
      </c>
      <c r="Y37" s="125" t="n">
        <v>32.5</v>
      </c>
      <c r="Z37" s="32" t="n">
        <v>2.1</v>
      </c>
      <c r="AA37" s="32" t="n">
        <v>2.05</v>
      </c>
      <c r="AB37" s="125" t="n">
        <v>19</v>
      </c>
      <c r="AC37" s="125" t="n">
        <v>18.5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97" t="n">
        <v>35.674</v>
      </c>
      <c r="H38" s="131" t="n">
        <v>100</v>
      </c>
      <c r="I38" s="179" t="n">
        <v>100</v>
      </c>
      <c r="J38" s="124"/>
      <c r="K38" s="132"/>
      <c r="L38" s="132"/>
      <c r="M38" s="132"/>
      <c r="N38" s="133"/>
      <c r="O38" s="132"/>
      <c r="P38" s="124"/>
      <c r="Q38" s="124"/>
      <c r="R38" s="124"/>
      <c r="S38" s="124"/>
      <c r="T38" s="32" t="n">
        <v>0.03</v>
      </c>
      <c r="U38" s="32" t="n">
        <v>0.03</v>
      </c>
      <c r="V38" s="124"/>
      <c r="W38" s="124"/>
      <c r="X38" s="125" t="n">
        <v>15.2</v>
      </c>
      <c r="Y38" s="125" t="n">
        <v>14.8</v>
      </c>
      <c r="Z38" s="32" t="n">
        <v>1.05</v>
      </c>
      <c r="AA38" s="32" t="n">
        <v>1.03</v>
      </c>
      <c r="AB38" s="125" t="n">
        <v>5.4</v>
      </c>
      <c r="AC38" s="125" t="n">
        <v>5.3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97" t="n">
        <v>35.896</v>
      </c>
      <c r="H39" s="131" t="n">
        <v>80</v>
      </c>
      <c r="I39" s="179" t="n">
        <v>80.1</v>
      </c>
      <c r="J39" s="124"/>
      <c r="K39" s="132"/>
      <c r="L39" s="132"/>
      <c r="M39" s="132"/>
      <c r="N39" s="133"/>
      <c r="O39" s="132"/>
      <c r="P39" s="124"/>
      <c r="Q39" s="124"/>
      <c r="R39" s="124"/>
      <c r="S39" s="124"/>
      <c r="T39" s="32" t="n">
        <v>0.06</v>
      </c>
      <c r="U39" s="32" t="n">
        <v>0.06</v>
      </c>
      <c r="V39" s="124"/>
      <c r="W39" s="124"/>
      <c r="X39" s="125" t="n">
        <v>9.6</v>
      </c>
      <c r="Y39" s="125" t="n">
        <v>9.4</v>
      </c>
      <c r="Z39" s="32" t="n">
        <v>0.73</v>
      </c>
      <c r="AA39" s="32" t="n">
        <v>0.72</v>
      </c>
      <c r="AB39" s="125" t="n">
        <v>3.6</v>
      </c>
      <c r="AC39" s="125" t="n">
        <v>3.5</v>
      </c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3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95" t="n">
        <v>35.981</v>
      </c>
      <c r="H40" s="131" t="n">
        <v>60</v>
      </c>
      <c r="I40" s="179" t="n">
        <v>60.1</v>
      </c>
      <c r="J40" s="124"/>
      <c r="K40" s="132"/>
      <c r="L40" s="132"/>
      <c r="M40" s="132"/>
      <c r="N40" s="133"/>
      <c r="O40" s="132"/>
      <c r="P40" s="124"/>
      <c r="Q40" s="124"/>
      <c r="R40" s="124"/>
      <c r="S40" s="124"/>
      <c r="T40" s="32" t="n">
        <v>0.54</v>
      </c>
      <c r="U40" s="32" t="n">
        <v>0.53</v>
      </c>
      <c r="V40" s="124"/>
      <c r="W40" s="124"/>
      <c r="X40" s="125" t="n">
        <v>4.4</v>
      </c>
      <c r="Y40" s="125" t="n">
        <v>4.3</v>
      </c>
      <c r="Z40" s="32" t="n">
        <v>0.44</v>
      </c>
      <c r="AA40" s="32" t="n">
        <v>0.43</v>
      </c>
      <c r="AB40" s="125" t="n">
        <v>1.9</v>
      </c>
      <c r="AC40" s="125" t="n">
        <v>1.9</v>
      </c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3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98" t="n">
        <v>35.882</v>
      </c>
      <c r="H41" s="131" t="n">
        <v>40</v>
      </c>
      <c r="I41" s="179" t="n">
        <v>40.3</v>
      </c>
      <c r="J41" s="124"/>
      <c r="K41" s="132"/>
      <c r="L41" s="132"/>
      <c r="M41" s="132"/>
      <c r="N41" s="133"/>
      <c r="O41" s="132"/>
      <c r="P41" s="124"/>
      <c r="Q41" s="124"/>
      <c r="R41" s="124"/>
      <c r="S41" s="124"/>
      <c r="T41" s="32" t="n">
        <v>0.04</v>
      </c>
      <c r="U41" s="32" t="n">
        <v>0.04</v>
      </c>
      <c r="V41" s="124"/>
      <c r="W41" s="124"/>
      <c r="X41" s="125" t="n">
        <v>0.1</v>
      </c>
      <c r="Y41" s="125" t="n">
        <v>0.1</v>
      </c>
      <c r="Z41" s="32" t="n">
        <v>0.15</v>
      </c>
      <c r="AA41" s="32" t="n">
        <v>0.14</v>
      </c>
      <c r="AB41" s="125" t="n">
        <v>1.2</v>
      </c>
      <c r="AC41" s="125" t="n">
        <v>1.1</v>
      </c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3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98" t="n">
        <v>35.796</v>
      </c>
      <c r="H42" s="131" t="n">
        <v>20</v>
      </c>
      <c r="I42" s="179" t="n">
        <v>19.7</v>
      </c>
      <c r="J42" s="124"/>
      <c r="K42" s="132"/>
      <c r="L42" s="132"/>
      <c r="M42" s="132"/>
      <c r="N42" s="133"/>
      <c r="O42" s="132"/>
      <c r="P42" s="124"/>
      <c r="Q42" s="124"/>
      <c r="R42" s="124"/>
      <c r="S42" s="124"/>
      <c r="T42" s="32" t="n">
        <v>0.01</v>
      </c>
      <c r="U42" s="32" t="n">
        <v>0.01</v>
      </c>
      <c r="V42" s="124"/>
      <c r="W42" s="124"/>
      <c r="X42" s="125" t="n">
        <v>0</v>
      </c>
      <c r="Y42" s="125" t="n">
        <v>0</v>
      </c>
      <c r="Z42" s="32" t="n">
        <v>0.11</v>
      </c>
      <c r="AA42" s="32" t="n">
        <v>0.11</v>
      </c>
      <c r="AB42" s="125" t="n">
        <v>1.1</v>
      </c>
      <c r="AC42" s="125" t="n">
        <v>1.1</v>
      </c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3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96" t="n">
        <v>35.698</v>
      </c>
      <c r="H43" s="131" t="n">
        <v>10</v>
      </c>
      <c r="I43" s="179" t="n">
        <v>9.7</v>
      </c>
      <c r="J43" s="124"/>
      <c r="K43" s="132"/>
      <c r="L43" s="132"/>
      <c r="M43" s="132"/>
      <c r="N43" s="133"/>
      <c r="O43" s="132"/>
      <c r="P43" s="124"/>
      <c r="Q43" s="124"/>
      <c r="R43" s="124"/>
      <c r="S43" s="124"/>
      <c r="T43" s="32" t="n">
        <v>0.01</v>
      </c>
      <c r="U43" s="32" t="n">
        <v>0.01</v>
      </c>
      <c r="V43" s="124"/>
      <c r="W43" s="124"/>
      <c r="X43" s="125" t="n">
        <v>0</v>
      </c>
      <c r="Y43" s="125" t="n">
        <v>0</v>
      </c>
      <c r="Z43" s="32" t="n">
        <v>0.08</v>
      </c>
      <c r="AA43" s="32" t="n">
        <v>0.08</v>
      </c>
      <c r="AB43" s="125" t="n">
        <v>1.1</v>
      </c>
      <c r="AC43" s="125" t="n">
        <v>1</v>
      </c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3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96" t="n">
        <v>35.69</v>
      </c>
      <c r="H44" s="131" t="n">
        <v>0</v>
      </c>
      <c r="I44" s="179" t="n">
        <v>1.9</v>
      </c>
      <c r="J44" s="124"/>
      <c r="K44" s="132"/>
      <c r="L44" s="132"/>
      <c r="M44" s="132"/>
      <c r="N44" s="133"/>
      <c r="O44" s="132"/>
      <c r="P44" s="124"/>
      <c r="Q44" s="124"/>
      <c r="R44" s="124"/>
      <c r="S44" s="124"/>
      <c r="T44" s="32" t="n">
        <v>0.01</v>
      </c>
      <c r="U44" s="32" t="n">
        <v>0.01</v>
      </c>
      <c r="V44" s="124"/>
      <c r="W44" s="124"/>
      <c r="X44" s="125" t="n">
        <v>0</v>
      </c>
      <c r="Y44" s="125" t="n">
        <v>0</v>
      </c>
      <c r="Z44" s="32" t="n">
        <v>0.07</v>
      </c>
      <c r="AA44" s="32" t="n">
        <v>0.07</v>
      </c>
      <c r="AB44" s="125" t="n">
        <v>1</v>
      </c>
      <c r="AC44" s="125" t="n">
        <v>1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84" t="s">
        <v>99</v>
      </c>
      <c r="H45" s="131" t="s">
        <v>99</v>
      </c>
      <c r="I45" s="179" t="s">
        <v>99</v>
      </c>
      <c r="J45" s="124"/>
      <c r="K45" s="132"/>
      <c r="L45" s="132"/>
      <c r="M45" s="132"/>
      <c r="N45" s="133"/>
      <c r="O45" s="132"/>
      <c r="P45" s="159" t="s">
        <v>99</v>
      </c>
      <c r="Q45" s="177" t="s">
        <v>99</v>
      </c>
      <c r="R45" s="125" t="s">
        <v>99</v>
      </c>
      <c r="S45" s="199" t="s">
        <v>99</v>
      </c>
      <c r="T45" s="32" t="s">
        <v>99</v>
      </c>
      <c r="U45" s="32" t="s">
        <v>99</v>
      </c>
      <c r="V45" s="125" t="s">
        <v>99</v>
      </c>
      <c r="W45" s="125" t="s">
        <v>99</v>
      </c>
      <c r="X45" s="125" t="s">
        <v>99</v>
      </c>
      <c r="Y45" s="125" t="s">
        <v>99</v>
      </c>
      <c r="Z45" s="30" t="s">
        <v>99</v>
      </c>
      <c r="AA45" s="32" t="s">
        <v>99</v>
      </c>
      <c r="AB45" s="125" t="s">
        <v>99</v>
      </c>
      <c r="AC45" s="125" t="s">
        <v>99</v>
      </c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Y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38999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1.52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0°1,52</v>
      </c>
      <c r="P9" s="29" t="s">
        <v>13</v>
      </c>
      <c r="Q9" s="33" t="n">
        <f aca="false">IF(ISBLANK(I9),"",IF(ISBLANK(J9),"",IF(J9&gt;60,"ERREUR !!",O11*(I9+(J9/60)))))</f>
        <v>0.0253333333333333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54.25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-9°54,25</v>
      </c>
      <c r="P10" s="29" t="s">
        <v>17</v>
      </c>
      <c r="Q10" s="33" t="n">
        <f aca="false">IF(ISBLANK(I10),"",IF(ISBLANK(J10),"",IF(J10&gt;60,"ERREUR !!",O12*(I10+(J10/60)))))</f>
        <v>-9.90416666666667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38999</v>
      </c>
      <c r="K11" s="38"/>
      <c r="L11" s="38"/>
      <c r="M11" s="38"/>
      <c r="N11" s="39" t="str">
        <f aca="false">I9&amp;"°"&amp;J9</f>
        <v>0°1,52</v>
      </c>
      <c r="O11" s="40" t="n">
        <f aca="false">IF(P9=M10,-1,1)</f>
        <v>1</v>
      </c>
      <c r="P11" s="41" t="str">
        <f aca="false">TEXT(J11,"aaaa-mm-jj")&amp;"T"&amp;TEXT(J12,"hh:mm:ss")&amp;"z"</f>
        <v>2010-10-10T21:40:00z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0.902777777777778</v>
      </c>
      <c r="K12" s="45"/>
      <c r="L12" s="45"/>
      <c r="M12" s="45"/>
      <c r="N12" s="46" t="str">
        <f aca="false">I10&amp;"°"&amp;J10</f>
        <v>9°54,25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5" t="n">
        <v>34.967</v>
      </c>
      <c r="H35" s="118" t="n">
        <v>2000</v>
      </c>
      <c r="I35" s="179" t="n">
        <v>2000.5</v>
      </c>
      <c r="J35" s="119"/>
      <c r="K35" s="120"/>
      <c r="L35" s="120"/>
      <c r="M35" s="120"/>
      <c r="N35" s="121"/>
      <c r="O35" s="120"/>
      <c r="P35" s="119"/>
      <c r="Q35" s="119"/>
      <c r="R35" s="119"/>
      <c r="S35" s="119"/>
      <c r="T35" s="32" t="n">
        <v>0.01</v>
      </c>
      <c r="U35" s="32" t="n">
        <v>0.01</v>
      </c>
      <c r="V35" s="119"/>
      <c r="W35" s="119"/>
      <c r="X35" s="125" t="n">
        <v>20.2</v>
      </c>
      <c r="Y35" s="125" t="n">
        <v>19.7</v>
      </c>
      <c r="Z35" s="32" t="n">
        <v>1.32</v>
      </c>
      <c r="AA35" s="32" t="n">
        <v>1.29</v>
      </c>
      <c r="AB35" s="125" t="n">
        <v>21.4</v>
      </c>
      <c r="AC35" s="125" t="n">
        <v>20.9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96" t="n">
        <v>34.63</v>
      </c>
      <c r="H36" s="131" t="n">
        <v>1000</v>
      </c>
      <c r="I36" s="179" t="n">
        <v>999.6</v>
      </c>
      <c r="J36" s="124"/>
      <c r="K36" s="132"/>
      <c r="L36" s="132"/>
      <c r="M36" s="132"/>
      <c r="N36" s="133"/>
      <c r="O36" s="132"/>
      <c r="P36" s="124"/>
      <c r="Q36" s="124"/>
      <c r="R36" s="124"/>
      <c r="S36" s="124"/>
      <c r="T36" s="32" t="n">
        <v>0</v>
      </c>
      <c r="U36" s="32" t="n">
        <v>0</v>
      </c>
      <c r="V36" s="124"/>
      <c r="W36" s="124"/>
      <c r="X36" s="125" t="n">
        <v>32.9</v>
      </c>
      <c r="Y36" s="125" t="n">
        <v>32.2</v>
      </c>
      <c r="Z36" s="32" t="n">
        <v>2.23</v>
      </c>
      <c r="AA36" s="32" t="n">
        <v>2.18</v>
      </c>
      <c r="AB36" s="125" t="n">
        <v>30.6</v>
      </c>
      <c r="AC36" s="125" t="n">
        <v>29.9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96" t="n">
        <v>34.673</v>
      </c>
      <c r="H37" s="131" t="n">
        <v>500</v>
      </c>
      <c r="I37" s="179" t="n">
        <v>499.7</v>
      </c>
      <c r="J37" s="124"/>
      <c r="K37" s="132"/>
      <c r="L37" s="132"/>
      <c r="M37" s="132"/>
      <c r="N37" s="133"/>
      <c r="O37" s="132"/>
      <c r="P37" s="124"/>
      <c r="Q37" s="124"/>
      <c r="R37" s="124"/>
      <c r="S37" s="124"/>
      <c r="T37" s="32" t="n">
        <v>0</v>
      </c>
      <c r="U37" s="32" t="n">
        <v>0</v>
      </c>
      <c r="V37" s="124"/>
      <c r="W37" s="124"/>
      <c r="X37" s="125" t="n">
        <v>33.1</v>
      </c>
      <c r="Y37" s="125" t="n">
        <v>32.3</v>
      </c>
      <c r="Z37" s="32" t="n">
        <v>2.09</v>
      </c>
      <c r="AA37" s="32" t="n">
        <v>2.04</v>
      </c>
      <c r="AB37" s="125" t="n">
        <v>17.9</v>
      </c>
      <c r="AC37" s="125" t="n">
        <v>17.5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97" t="n">
        <v>35.732</v>
      </c>
      <c r="H38" s="131" t="n">
        <v>100</v>
      </c>
      <c r="I38" s="179" t="n">
        <v>100</v>
      </c>
      <c r="J38" s="124"/>
      <c r="K38" s="132"/>
      <c r="L38" s="132"/>
      <c r="M38" s="132"/>
      <c r="N38" s="133"/>
      <c r="O38" s="132"/>
      <c r="P38" s="124"/>
      <c r="Q38" s="124"/>
      <c r="R38" s="124"/>
      <c r="S38" s="124"/>
      <c r="T38" s="32" t="n">
        <v>0.05</v>
      </c>
      <c r="U38" s="32" t="n">
        <v>0.05</v>
      </c>
      <c r="V38" s="124"/>
      <c r="W38" s="124"/>
      <c r="X38" s="125" t="n">
        <v>13</v>
      </c>
      <c r="Y38" s="125" t="n">
        <v>12.7</v>
      </c>
      <c r="Z38" s="32" t="n">
        <v>0.9</v>
      </c>
      <c r="AA38" s="32" t="n">
        <v>0.88</v>
      </c>
      <c r="AB38" s="125" t="n">
        <v>4.5</v>
      </c>
      <c r="AC38" s="125" t="n">
        <v>4.4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97" t="n">
        <v>36.049</v>
      </c>
      <c r="H39" s="131" t="n">
        <v>80</v>
      </c>
      <c r="I39" s="179" t="n">
        <v>80</v>
      </c>
      <c r="J39" s="124"/>
      <c r="K39" s="132"/>
      <c r="L39" s="132"/>
      <c r="M39" s="132"/>
      <c r="N39" s="133"/>
      <c r="O39" s="132"/>
      <c r="P39" s="124"/>
      <c r="Q39" s="124"/>
      <c r="R39" s="124"/>
      <c r="S39" s="124"/>
      <c r="T39" s="32" t="n">
        <v>0.14</v>
      </c>
      <c r="U39" s="32" t="n">
        <v>0.13</v>
      </c>
      <c r="V39" s="124"/>
      <c r="W39" s="124"/>
      <c r="X39" s="125" t="n">
        <v>8.3</v>
      </c>
      <c r="Y39" s="125" t="n">
        <v>8.1</v>
      </c>
      <c r="Z39" s="32" t="n">
        <v>0.65</v>
      </c>
      <c r="AA39" s="32" t="n">
        <v>0.63</v>
      </c>
      <c r="AB39" s="125" t="n">
        <v>3</v>
      </c>
      <c r="AC39" s="125" t="n">
        <v>2.9</v>
      </c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3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95" t="n">
        <v>36</v>
      </c>
      <c r="H40" s="131" t="n">
        <v>60</v>
      </c>
      <c r="I40" s="179" t="n">
        <v>60</v>
      </c>
      <c r="J40" s="124"/>
      <c r="K40" s="132"/>
      <c r="L40" s="132"/>
      <c r="M40" s="132"/>
      <c r="N40" s="133"/>
      <c r="O40" s="132"/>
      <c r="P40" s="124"/>
      <c r="Q40" s="124"/>
      <c r="R40" s="124"/>
      <c r="S40" s="124"/>
      <c r="T40" s="32" t="n">
        <v>0.3</v>
      </c>
      <c r="U40" s="32" t="n">
        <v>0.29</v>
      </c>
      <c r="V40" s="124"/>
      <c r="W40" s="124"/>
      <c r="X40" s="125" t="n">
        <v>3</v>
      </c>
      <c r="Y40" s="125" t="n">
        <v>2.9</v>
      </c>
      <c r="Z40" s="32" t="n">
        <v>0.37</v>
      </c>
      <c r="AA40" s="32" t="n">
        <v>0.36</v>
      </c>
      <c r="AB40" s="125" t="n">
        <v>1.5</v>
      </c>
      <c r="AC40" s="125" t="n">
        <v>1.4</v>
      </c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3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98" t="n">
        <v>36.022</v>
      </c>
      <c r="H41" s="131" t="n">
        <v>40</v>
      </c>
      <c r="I41" s="179" t="n">
        <v>40</v>
      </c>
      <c r="J41" s="124"/>
      <c r="K41" s="132"/>
      <c r="L41" s="132"/>
      <c r="M41" s="132"/>
      <c r="N41" s="133"/>
      <c r="O41" s="132"/>
      <c r="P41" s="124"/>
      <c r="Q41" s="124"/>
      <c r="R41" s="124"/>
      <c r="S41" s="124"/>
      <c r="T41" s="32" t="n">
        <v>0.02</v>
      </c>
      <c r="U41" s="32" t="n">
        <v>0.02</v>
      </c>
      <c r="V41" s="124"/>
      <c r="W41" s="124"/>
      <c r="X41" s="125" t="n">
        <v>0.1</v>
      </c>
      <c r="Y41" s="125" t="n">
        <v>0.1</v>
      </c>
      <c r="Z41" s="32" t="n">
        <v>0.18</v>
      </c>
      <c r="AA41" s="32" t="n">
        <v>0.17</v>
      </c>
      <c r="AB41" s="125" t="n">
        <v>0.9</v>
      </c>
      <c r="AC41" s="125" t="n">
        <v>0.9</v>
      </c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3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98" t="n">
        <v>36.019</v>
      </c>
      <c r="H42" s="131" t="n">
        <v>20</v>
      </c>
      <c r="I42" s="179" t="n">
        <v>20.2</v>
      </c>
      <c r="J42" s="124"/>
      <c r="K42" s="132"/>
      <c r="L42" s="132"/>
      <c r="M42" s="132"/>
      <c r="N42" s="133"/>
      <c r="O42" s="132"/>
      <c r="P42" s="124"/>
      <c r="Q42" s="124"/>
      <c r="R42" s="124"/>
      <c r="S42" s="124"/>
      <c r="T42" s="32" t="n">
        <v>0.01</v>
      </c>
      <c r="U42" s="32" t="n">
        <v>0.01</v>
      </c>
      <c r="V42" s="124"/>
      <c r="W42" s="124"/>
      <c r="X42" s="125" t="n">
        <v>0</v>
      </c>
      <c r="Y42" s="125" t="n">
        <v>0</v>
      </c>
      <c r="Z42" s="32" t="n">
        <v>0.14</v>
      </c>
      <c r="AA42" s="32" t="n">
        <v>0.13</v>
      </c>
      <c r="AB42" s="125" t="n">
        <v>0.9</v>
      </c>
      <c r="AC42" s="125" t="n">
        <v>0.9</v>
      </c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3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96" t="n">
        <v>36.019</v>
      </c>
      <c r="H43" s="131" t="n">
        <v>10</v>
      </c>
      <c r="I43" s="179" t="n">
        <v>10.5</v>
      </c>
      <c r="J43" s="124"/>
      <c r="K43" s="132"/>
      <c r="L43" s="132"/>
      <c r="M43" s="132"/>
      <c r="N43" s="133"/>
      <c r="O43" s="132"/>
      <c r="P43" s="124"/>
      <c r="Q43" s="124"/>
      <c r="R43" s="124"/>
      <c r="S43" s="124"/>
      <c r="T43" s="32" t="n">
        <v>0.01</v>
      </c>
      <c r="U43" s="32" t="n">
        <v>0.01</v>
      </c>
      <c r="V43" s="124"/>
      <c r="W43" s="124"/>
      <c r="X43" s="125" t="n">
        <v>0</v>
      </c>
      <c r="Y43" s="125" t="n">
        <v>0</v>
      </c>
      <c r="Z43" s="32" t="n">
        <v>0.14</v>
      </c>
      <c r="AA43" s="32" t="n">
        <v>0.13</v>
      </c>
      <c r="AB43" s="125" t="n">
        <v>0.9</v>
      </c>
      <c r="AC43" s="125" t="n">
        <v>0.9</v>
      </c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3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96" t="n">
        <v>36.019</v>
      </c>
      <c r="H44" s="131" t="n">
        <v>0</v>
      </c>
      <c r="I44" s="179" t="n">
        <v>2.2</v>
      </c>
      <c r="J44" s="124"/>
      <c r="K44" s="132"/>
      <c r="L44" s="132"/>
      <c r="M44" s="132"/>
      <c r="N44" s="133"/>
      <c r="O44" s="132"/>
      <c r="P44" s="124"/>
      <c r="Q44" s="124"/>
      <c r="R44" s="124"/>
      <c r="S44" s="124"/>
      <c r="T44" s="32" t="n">
        <v>0.01</v>
      </c>
      <c r="U44" s="32" t="n">
        <v>0</v>
      </c>
      <c r="V44" s="124"/>
      <c r="W44" s="124"/>
      <c r="X44" s="125" t="n">
        <v>0</v>
      </c>
      <c r="Y44" s="125" t="n">
        <v>0</v>
      </c>
      <c r="Z44" s="32" t="n">
        <v>0.14</v>
      </c>
      <c r="AA44" s="32" t="n">
        <v>0.14</v>
      </c>
      <c r="AB44" s="125" t="n">
        <v>0.8</v>
      </c>
      <c r="AC44" s="125" t="n">
        <v>0.8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200" t="s">
        <v>99</v>
      </c>
      <c r="J45" s="124"/>
      <c r="K45" s="132"/>
      <c r="L45" s="132"/>
      <c r="M45" s="132"/>
      <c r="N45" s="133"/>
      <c r="O45" s="132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V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39001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0.13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0°0,13</v>
      </c>
      <c r="P9" s="29" t="s">
        <v>13</v>
      </c>
      <c r="Q9" s="33" t="n">
        <f aca="false">IF(ISBLANK(I9),"",IF(ISBLANK(J9),"",IF(J9&gt;60,"ERREUR !!",O11*(I9+(J9/60)))))</f>
        <v>0.00216666666666667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13</v>
      </c>
      <c r="J10" s="29" t="n">
        <v>0.02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-13°0,02</v>
      </c>
      <c r="P10" s="29" t="s">
        <v>17</v>
      </c>
      <c r="Q10" s="33" t="n">
        <f aca="false">IF(ISBLANK(I10),"",IF(ISBLANK(J10),"",IF(J10&gt;60,"ERREUR !!",O12*(I10+(J10/60)))))</f>
        <v>-13.0003333333333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39001</v>
      </c>
      <c r="K11" s="38"/>
      <c r="L11" s="38"/>
      <c r="M11" s="38"/>
      <c r="N11" s="39" t="str">
        <f aca="false">I9&amp;"°"&amp;J9</f>
        <v>0°0,13</v>
      </c>
      <c r="O11" s="40" t="n">
        <f aca="false">IF(P9=M10,-1,1)</f>
        <v>1</v>
      </c>
      <c r="P11" s="41" t="str">
        <f aca="false">TEXT(J11,"aaaa-mm-jj")&amp;"T"&amp;TEXT(J12,"hh:mm:ss")&amp;"z"</f>
        <v>2010-10-12T21:46:00z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0.906944444444444</v>
      </c>
      <c r="K12" s="45"/>
      <c r="L12" s="45"/>
      <c r="M12" s="45"/>
      <c r="N12" s="46" t="str">
        <f aca="false">I10&amp;"°"&amp;J10</f>
        <v>13°0,02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5" t="n">
        <v>34.969</v>
      </c>
      <c r="H35" s="118" t="n">
        <v>2000</v>
      </c>
      <c r="I35" s="179" t="n">
        <v>2000</v>
      </c>
      <c r="J35" s="119"/>
      <c r="K35" s="120"/>
      <c r="L35" s="120"/>
      <c r="M35" s="120"/>
      <c r="N35" s="121"/>
      <c r="O35" s="120"/>
      <c r="P35" s="119"/>
      <c r="Q35" s="119"/>
      <c r="R35" s="119"/>
      <c r="S35" s="119"/>
      <c r="T35" s="32" t="n">
        <v>0</v>
      </c>
      <c r="U35" s="32" t="n">
        <v>0</v>
      </c>
      <c r="V35" s="119"/>
      <c r="W35" s="119"/>
      <c r="X35" s="125" t="n">
        <v>19.9</v>
      </c>
      <c r="Y35" s="125" t="n">
        <v>19.5</v>
      </c>
      <c r="Z35" s="32" t="n">
        <v>1.3</v>
      </c>
      <c r="AA35" s="32" t="n">
        <v>1.27</v>
      </c>
      <c r="AB35" s="125" t="n">
        <v>21.1</v>
      </c>
      <c r="AC35" s="125" t="n">
        <v>20.6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96" t="n">
        <v>34.632</v>
      </c>
      <c r="H36" s="131" t="n">
        <v>1000</v>
      </c>
      <c r="I36" s="179" t="n">
        <v>1000</v>
      </c>
      <c r="J36" s="124"/>
      <c r="K36" s="132"/>
      <c r="L36" s="132"/>
      <c r="M36" s="132"/>
      <c r="N36" s="133"/>
      <c r="O36" s="132"/>
      <c r="P36" s="124"/>
      <c r="Q36" s="124"/>
      <c r="R36" s="124"/>
      <c r="S36" s="124"/>
      <c r="T36" s="32" t="n">
        <v>0</v>
      </c>
      <c r="U36" s="32" t="n">
        <v>0</v>
      </c>
      <c r="V36" s="124"/>
      <c r="W36" s="124"/>
      <c r="X36" s="125" t="n">
        <v>32.6</v>
      </c>
      <c r="Y36" s="125" t="n">
        <v>31.9</v>
      </c>
      <c r="Z36" s="32" t="n">
        <v>2.21</v>
      </c>
      <c r="AA36" s="32" t="n">
        <v>2.15</v>
      </c>
      <c r="AB36" s="125" t="n">
        <v>32.9</v>
      </c>
      <c r="AC36" s="125" t="n">
        <v>32.1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96" t="n">
        <v>34.677</v>
      </c>
      <c r="H37" s="131" t="n">
        <v>500</v>
      </c>
      <c r="I37" s="179" t="n">
        <v>500</v>
      </c>
      <c r="J37" s="124"/>
      <c r="K37" s="132"/>
      <c r="L37" s="132"/>
      <c r="M37" s="132"/>
      <c r="N37" s="133"/>
      <c r="O37" s="132"/>
      <c r="P37" s="124"/>
      <c r="Q37" s="124"/>
      <c r="R37" s="124"/>
      <c r="S37" s="124"/>
      <c r="T37" s="32" t="n">
        <v>0</v>
      </c>
      <c r="U37" s="32" t="n">
        <v>0</v>
      </c>
      <c r="V37" s="124"/>
      <c r="W37" s="124"/>
      <c r="X37" s="125" t="n">
        <v>33</v>
      </c>
      <c r="Y37" s="125" t="n">
        <v>32.2</v>
      </c>
      <c r="Z37" s="32" t="n">
        <v>2.09</v>
      </c>
      <c r="AA37" s="32" t="n">
        <v>2.04</v>
      </c>
      <c r="AB37" s="125" t="n">
        <v>18.8</v>
      </c>
      <c r="AC37" s="125" t="n">
        <v>18.3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97" t="n">
        <v>35.844</v>
      </c>
      <c r="H38" s="131" t="n">
        <v>100</v>
      </c>
      <c r="I38" s="179" t="n">
        <v>100</v>
      </c>
      <c r="J38" s="124"/>
      <c r="K38" s="132"/>
      <c r="L38" s="132"/>
      <c r="M38" s="132"/>
      <c r="N38" s="133"/>
      <c r="O38" s="132"/>
      <c r="P38" s="124"/>
      <c r="Q38" s="124"/>
      <c r="R38" s="124"/>
      <c r="S38" s="124"/>
      <c r="T38" s="32" t="n">
        <v>0.04</v>
      </c>
      <c r="U38" s="32" t="n">
        <v>0.04</v>
      </c>
      <c r="V38" s="124"/>
      <c r="W38" s="124"/>
      <c r="X38" s="125" t="n">
        <v>9.7</v>
      </c>
      <c r="Y38" s="125" t="n">
        <v>9.5</v>
      </c>
      <c r="Z38" s="32" t="n">
        <v>0.74</v>
      </c>
      <c r="AA38" s="32" t="n">
        <v>0.72</v>
      </c>
      <c r="AB38" s="125" t="n">
        <v>4</v>
      </c>
      <c r="AC38" s="125" t="n">
        <v>3.9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97" t="n">
        <v>35.874</v>
      </c>
      <c r="H39" s="131" t="n">
        <v>80</v>
      </c>
      <c r="I39" s="179" t="n">
        <v>80</v>
      </c>
      <c r="J39" s="124"/>
      <c r="K39" s="132"/>
      <c r="L39" s="132"/>
      <c r="M39" s="132"/>
      <c r="N39" s="133"/>
      <c r="O39" s="132"/>
      <c r="P39" s="124"/>
      <c r="Q39" s="124"/>
      <c r="R39" s="124"/>
      <c r="S39" s="124"/>
      <c r="T39" s="32" t="n">
        <v>0.09</v>
      </c>
      <c r="U39" s="32" t="n">
        <v>0.09</v>
      </c>
      <c r="V39" s="124"/>
      <c r="W39" s="124"/>
      <c r="X39" s="125" t="n">
        <v>11.1</v>
      </c>
      <c r="Y39" s="125" t="n">
        <v>10.9</v>
      </c>
      <c r="Z39" s="32" t="n">
        <v>0.79</v>
      </c>
      <c r="AA39" s="32" t="n">
        <v>0.77</v>
      </c>
      <c r="AB39" s="125" t="n">
        <v>4.5</v>
      </c>
      <c r="AC39" s="125" t="n">
        <v>4.4</v>
      </c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3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95" t="n">
        <v>36.037</v>
      </c>
      <c r="H40" s="131" t="n">
        <v>60</v>
      </c>
      <c r="I40" s="179" t="n">
        <v>60.5</v>
      </c>
      <c r="J40" s="124"/>
      <c r="K40" s="132"/>
      <c r="L40" s="132"/>
      <c r="M40" s="132"/>
      <c r="N40" s="133"/>
      <c r="O40" s="132"/>
      <c r="P40" s="124"/>
      <c r="Q40" s="124"/>
      <c r="R40" s="124"/>
      <c r="S40" s="124"/>
      <c r="T40" s="32" t="n">
        <v>0.18</v>
      </c>
      <c r="U40" s="32" t="n">
        <v>0.18</v>
      </c>
      <c r="V40" s="124"/>
      <c r="W40" s="124"/>
      <c r="X40" s="125" t="n">
        <v>6.2</v>
      </c>
      <c r="Y40" s="125" t="n">
        <v>6</v>
      </c>
      <c r="Z40" s="32" t="n">
        <v>0.52</v>
      </c>
      <c r="AA40" s="32" t="n">
        <v>0.51</v>
      </c>
      <c r="AB40" s="125" t="n">
        <v>3</v>
      </c>
      <c r="AC40" s="125" t="n">
        <v>2.9</v>
      </c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3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98" t="n">
        <v>35.924</v>
      </c>
      <c r="H41" s="131" t="n">
        <v>40</v>
      </c>
      <c r="I41" s="179" t="n">
        <v>40</v>
      </c>
      <c r="J41" s="124"/>
      <c r="K41" s="132"/>
      <c r="L41" s="132"/>
      <c r="M41" s="132"/>
      <c r="N41" s="133"/>
      <c r="O41" s="132"/>
      <c r="P41" s="124"/>
      <c r="Q41" s="124"/>
      <c r="R41" s="124"/>
      <c r="S41" s="124"/>
      <c r="T41" s="32" t="n">
        <v>0.15</v>
      </c>
      <c r="U41" s="32" t="n">
        <v>0.15</v>
      </c>
      <c r="V41" s="124"/>
      <c r="W41" s="124"/>
      <c r="X41" s="125" t="n">
        <v>1.5</v>
      </c>
      <c r="Y41" s="125" t="n">
        <v>1.4</v>
      </c>
      <c r="Z41" s="32" t="n">
        <v>0.23</v>
      </c>
      <c r="AA41" s="32" t="n">
        <v>0.22</v>
      </c>
      <c r="AB41" s="125" t="n">
        <v>1.8</v>
      </c>
      <c r="AC41" s="125" t="n">
        <v>1.7</v>
      </c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3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98" t="n">
        <v>35.765</v>
      </c>
      <c r="H42" s="131" t="n">
        <v>20</v>
      </c>
      <c r="I42" s="179" t="n">
        <v>20.2</v>
      </c>
      <c r="J42" s="124"/>
      <c r="K42" s="132"/>
      <c r="L42" s="132"/>
      <c r="M42" s="132"/>
      <c r="N42" s="133"/>
      <c r="O42" s="132"/>
      <c r="P42" s="124"/>
      <c r="Q42" s="124"/>
      <c r="R42" s="124"/>
      <c r="S42" s="124"/>
      <c r="T42" s="32" t="n">
        <v>0</v>
      </c>
      <c r="U42" s="32" t="n">
        <v>0</v>
      </c>
      <c r="V42" s="124"/>
      <c r="W42" s="124"/>
      <c r="X42" s="125" t="n">
        <v>0.1</v>
      </c>
      <c r="Y42" s="125" t="n">
        <v>0.1</v>
      </c>
      <c r="Z42" s="32" t="n">
        <v>0.07</v>
      </c>
      <c r="AA42" s="32" t="n">
        <v>0.07</v>
      </c>
      <c r="AB42" s="125" t="n">
        <v>1.2</v>
      </c>
      <c r="AC42" s="125" t="n">
        <v>1.2</v>
      </c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3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96" t="n">
        <v>35.767</v>
      </c>
      <c r="H43" s="131" t="n">
        <v>10</v>
      </c>
      <c r="I43" s="179" t="n">
        <v>10</v>
      </c>
      <c r="J43" s="124"/>
      <c r="K43" s="132"/>
      <c r="L43" s="132"/>
      <c r="M43" s="132"/>
      <c r="N43" s="133"/>
      <c r="O43" s="132"/>
      <c r="P43" s="124"/>
      <c r="Q43" s="124"/>
      <c r="R43" s="124"/>
      <c r="S43" s="124"/>
      <c r="T43" s="32" t="n">
        <v>0</v>
      </c>
      <c r="U43" s="32" t="n">
        <v>0</v>
      </c>
      <c r="V43" s="124"/>
      <c r="W43" s="124"/>
      <c r="X43" s="125" t="n">
        <v>0</v>
      </c>
      <c r="Y43" s="125" t="n">
        <v>0</v>
      </c>
      <c r="Z43" s="32" t="n">
        <v>0.08</v>
      </c>
      <c r="AA43" s="32" t="n">
        <v>0.08</v>
      </c>
      <c r="AB43" s="125" t="n">
        <v>1.1</v>
      </c>
      <c r="AC43" s="125" t="n">
        <v>1</v>
      </c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3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96" t="n">
        <v>35.768</v>
      </c>
      <c r="H44" s="131" t="n">
        <v>0</v>
      </c>
      <c r="I44" s="179" t="n">
        <v>2</v>
      </c>
      <c r="J44" s="124"/>
      <c r="K44" s="132"/>
      <c r="L44" s="132"/>
      <c r="M44" s="132"/>
      <c r="N44" s="133"/>
      <c r="O44" s="132"/>
      <c r="P44" s="124"/>
      <c r="Q44" s="124"/>
      <c r="R44" s="124"/>
      <c r="S44" s="124"/>
      <c r="T44" s="32" t="n">
        <v>0.01</v>
      </c>
      <c r="U44" s="32" t="n">
        <v>0</v>
      </c>
      <c r="V44" s="124"/>
      <c r="W44" s="124"/>
      <c r="X44" s="125" t="n">
        <v>0</v>
      </c>
      <c r="Y44" s="125" t="n">
        <v>0</v>
      </c>
      <c r="Z44" s="32" t="n">
        <v>0.07</v>
      </c>
      <c r="AA44" s="32" t="n">
        <v>0.07</v>
      </c>
      <c r="AB44" s="125" t="n">
        <v>1.1</v>
      </c>
      <c r="AC44" s="125" t="n">
        <v>1.1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7"/>
      <c r="J45" s="124"/>
      <c r="K45" s="132"/>
      <c r="L45" s="132"/>
      <c r="M45" s="132"/>
      <c r="N45" s="133"/>
      <c r="O45" s="132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/>
      <c r="Q46" s="151"/>
      <c r="R46" s="152"/>
      <c r="S46" s="152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33" activeCellId="0" sqref="AD3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36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39003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</v>
      </c>
      <c r="P9" s="29" t="s">
        <v>16</v>
      </c>
      <c r="Q9" s="33" t="n">
        <f aca="false">IF(ISBLANK(I9),"",IF(ISBLANK(J9),"",IF(J9&gt;60,"ERREUR !!",O11*(I9+(J9/60)))))</f>
        <v>0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17</v>
      </c>
      <c r="J10" s="29" t="n">
        <v>59.95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-17°59,95</v>
      </c>
      <c r="P10" s="29" t="s">
        <v>17</v>
      </c>
      <c r="Q10" s="33" t="n">
        <f aca="false">IF(ISBLANK(I10),"",IF(ISBLANK(J10),"",IF(J10&gt;60,"ERREUR !!",O12*(I10+(J10/60)))))</f>
        <v>-17.9991666666667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39003</v>
      </c>
      <c r="K11" s="38"/>
      <c r="L11" s="38"/>
      <c r="M11" s="38"/>
      <c r="N11" s="39" t="str">
        <f aca="false">I9&amp;"°"&amp;J9</f>
        <v>0°0</v>
      </c>
      <c r="O11" s="40" t="n">
        <f aca="false">IF(P9=M10,-1,1)</f>
        <v>-1</v>
      </c>
      <c r="P11" s="41" t="str">
        <f aca="false">TEXT(J11,"aaaa-mm-jj")&amp;"T"&amp;TEXT(J12,"hh:mm:ss")&amp;"z"</f>
        <v>2010-10-14T09:48:00z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0.408333333333333</v>
      </c>
      <c r="K12" s="45"/>
      <c r="L12" s="45"/>
      <c r="M12" s="45"/>
      <c r="N12" s="46" t="str">
        <f aca="false">I10&amp;"°"&amp;J10</f>
        <v>17°59,95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5" t="n">
        <v>34.979</v>
      </c>
      <c r="H35" s="118" t="n">
        <v>2000</v>
      </c>
      <c r="I35" s="179" t="n">
        <v>2000</v>
      </c>
      <c r="J35" s="119"/>
      <c r="K35" s="120"/>
      <c r="L35" s="120"/>
      <c r="M35" s="120"/>
      <c r="N35" s="121"/>
      <c r="O35" s="120"/>
      <c r="P35" s="119"/>
      <c r="Q35" s="119"/>
      <c r="R35" s="119"/>
      <c r="S35" s="119"/>
      <c r="T35" s="32" t="n">
        <v>0</v>
      </c>
      <c r="U35" s="32" t="n">
        <v>0</v>
      </c>
      <c r="V35" s="119"/>
      <c r="W35" s="119"/>
      <c r="X35" s="125" t="n">
        <v>19.9</v>
      </c>
      <c r="Y35" s="125" t="n">
        <v>19.5</v>
      </c>
      <c r="Z35" s="32" t="n">
        <v>1.28</v>
      </c>
      <c r="AA35" s="32" t="n">
        <v>1.25</v>
      </c>
      <c r="AB35" s="125" t="n">
        <v>21.4</v>
      </c>
      <c r="AC35" s="125" t="n">
        <v>20.9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96" t="n">
        <v>34.597</v>
      </c>
      <c r="H36" s="131" t="n">
        <v>1000</v>
      </c>
      <c r="I36" s="179" t="n">
        <v>1000</v>
      </c>
      <c r="J36" s="124"/>
      <c r="K36" s="132"/>
      <c r="L36" s="132"/>
      <c r="M36" s="132"/>
      <c r="N36" s="133"/>
      <c r="O36" s="132"/>
      <c r="P36" s="124"/>
      <c r="Q36" s="124"/>
      <c r="R36" s="124"/>
      <c r="S36" s="124"/>
      <c r="T36" s="32" t="n">
        <v>0</v>
      </c>
      <c r="U36" s="32" t="n">
        <v>0</v>
      </c>
      <c r="V36" s="124"/>
      <c r="W36" s="124"/>
      <c r="X36" s="125" t="n">
        <v>33.5</v>
      </c>
      <c r="Y36" s="125" t="n">
        <v>32.8</v>
      </c>
      <c r="Z36" s="32" t="n">
        <v>2.24</v>
      </c>
      <c r="AA36" s="32" t="n">
        <v>2.18</v>
      </c>
      <c r="AB36" s="125" t="n">
        <v>32.1</v>
      </c>
      <c r="AC36" s="125" t="n">
        <v>31.3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96" t="n">
        <v>34.734</v>
      </c>
      <c r="H37" s="131" t="n">
        <v>500</v>
      </c>
      <c r="I37" s="179" t="n">
        <v>500</v>
      </c>
      <c r="J37" s="124"/>
      <c r="K37" s="132"/>
      <c r="L37" s="132"/>
      <c r="M37" s="132"/>
      <c r="N37" s="133"/>
      <c r="O37" s="132"/>
      <c r="P37" s="124"/>
      <c r="Q37" s="124"/>
      <c r="R37" s="124"/>
      <c r="S37" s="124"/>
      <c r="T37" s="32" t="n">
        <v>0</v>
      </c>
      <c r="U37" s="32" t="n">
        <v>0</v>
      </c>
      <c r="V37" s="124"/>
      <c r="W37" s="124"/>
      <c r="X37" s="125" t="n">
        <v>32.2</v>
      </c>
      <c r="Y37" s="125" t="n">
        <v>31.5</v>
      </c>
      <c r="Z37" s="32" t="n">
        <v>2.1</v>
      </c>
      <c r="AA37" s="32" t="n">
        <v>2.05</v>
      </c>
      <c r="AB37" s="125" t="n">
        <v>17.6</v>
      </c>
      <c r="AC37" s="125" t="n">
        <v>17.2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97" t="n">
        <v>36.012</v>
      </c>
      <c r="H38" s="131" t="n">
        <v>100</v>
      </c>
      <c r="I38" s="179" t="n">
        <v>100</v>
      </c>
      <c r="J38" s="124"/>
      <c r="K38" s="132"/>
      <c r="L38" s="132"/>
      <c r="M38" s="132"/>
      <c r="N38" s="133"/>
      <c r="O38" s="132"/>
      <c r="P38" s="124"/>
      <c r="Q38" s="124"/>
      <c r="R38" s="124"/>
      <c r="S38" s="124"/>
      <c r="T38" s="32" t="n">
        <v>0.04</v>
      </c>
      <c r="U38" s="32" t="n">
        <v>0.04</v>
      </c>
      <c r="V38" s="124"/>
      <c r="W38" s="124"/>
      <c r="X38" s="125" t="n">
        <v>7.2</v>
      </c>
      <c r="Y38" s="125" t="n">
        <v>7</v>
      </c>
      <c r="Z38" s="32" t="n">
        <v>0.6</v>
      </c>
      <c r="AA38" s="32" t="n">
        <v>0.59</v>
      </c>
      <c r="AB38" s="125" t="n">
        <v>3.1</v>
      </c>
      <c r="AC38" s="125" t="n">
        <v>3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97" t="n">
        <v>35.944</v>
      </c>
      <c r="H39" s="131" t="n">
        <v>80</v>
      </c>
      <c r="I39" s="179" t="n">
        <v>80</v>
      </c>
      <c r="J39" s="124"/>
      <c r="K39" s="132"/>
      <c r="L39" s="132"/>
      <c r="M39" s="132"/>
      <c r="N39" s="133"/>
      <c r="O39" s="132"/>
      <c r="P39" s="124"/>
      <c r="Q39" s="124"/>
      <c r="R39" s="124"/>
      <c r="S39" s="124"/>
      <c r="T39" s="32" t="n">
        <v>0.25</v>
      </c>
      <c r="U39" s="32" t="n">
        <v>0.24</v>
      </c>
      <c r="V39" s="124"/>
      <c r="W39" s="124"/>
      <c r="X39" s="125" t="n">
        <v>6.7</v>
      </c>
      <c r="Y39" s="125" t="n">
        <v>6.6</v>
      </c>
      <c r="Z39" s="32" t="n">
        <v>0.51</v>
      </c>
      <c r="AA39" s="32" t="n">
        <v>0.5</v>
      </c>
      <c r="AB39" s="125" t="n">
        <v>2.8</v>
      </c>
      <c r="AC39" s="125" t="n">
        <v>2.8</v>
      </c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3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95" t="n">
        <v>36.085</v>
      </c>
      <c r="H40" s="131" t="n">
        <v>60</v>
      </c>
      <c r="I40" s="179" t="n">
        <v>60</v>
      </c>
      <c r="J40" s="124"/>
      <c r="K40" s="132"/>
      <c r="L40" s="132"/>
      <c r="M40" s="132"/>
      <c r="N40" s="133"/>
      <c r="O40" s="132"/>
      <c r="P40" s="124"/>
      <c r="Q40" s="124"/>
      <c r="R40" s="124"/>
      <c r="S40" s="124"/>
      <c r="T40" s="32" t="n">
        <v>0.24</v>
      </c>
      <c r="U40" s="32" t="n">
        <v>0.23</v>
      </c>
      <c r="V40" s="124"/>
      <c r="W40" s="124"/>
      <c r="X40" s="125" t="n">
        <v>1.1</v>
      </c>
      <c r="Y40" s="125" t="n">
        <v>1.1</v>
      </c>
      <c r="Z40" s="32" t="n">
        <v>0.17</v>
      </c>
      <c r="AA40" s="32" t="n">
        <v>0.17</v>
      </c>
      <c r="AB40" s="125" t="n">
        <v>1.4</v>
      </c>
      <c r="AC40" s="125" t="n">
        <v>1.3</v>
      </c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3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98" t="n">
        <v>36.091</v>
      </c>
      <c r="H41" s="131" t="n">
        <v>40</v>
      </c>
      <c r="I41" s="179" t="n">
        <v>40</v>
      </c>
      <c r="J41" s="124"/>
      <c r="K41" s="132"/>
      <c r="L41" s="132"/>
      <c r="M41" s="132"/>
      <c r="N41" s="133"/>
      <c r="O41" s="132"/>
      <c r="P41" s="124"/>
      <c r="Q41" s="124"/>
      <c r="R41" s="124"/>
      <c r="S41" s="124"/>
      <c r="T41" s="32" t="n">
        <v>0.05</v>
      </c>
      <c r="U41" s="32" t="n">
        <v>0.04</v>
      </c>
      <c r="V41" s="124"/>
      <c r="W41" s="124"/>
      <c r="X41" s="125" t="n">
        <v>0.2</v>
      </c>
      <c r="Y41" s="125" t="n">
        <v>0.2</v>
      </c>
      <c r="Z41" s="32" t="n">
        <v>0.12</v>
      </c>
      <c r="AA41" s="32" t="n">
        <v>0.12</v>
      </c>
      <c r="AB41" s="125" t="n">
        <v>1.2</v>
      </c>
      <c r="AC41" s="125" t="n">
        <v>1.2</v>
      </c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3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98" t="n">
        <v>36.095</v>
      </c>
      <c r="H42" s="131" t="n">
        <v>20</v>
      </c>
      <c r="I42" s="179" t="n">
        <v>20</v>
      </c>
      <c r="J42" s="124"/>
      <c r="K42" s="132"/>
      <c r="L42" s="132"/>
      <c r="M42" s="132"/>
      <c r="N42" s="133"/>
      <c r="O42" s="132"/>
      <c r="P42" s="124"/>
      <c r="Q42" s="124"/>
      <c r="R42" s="124"/>
      <c r="S42" s="124"/>
      <c r="T42" s="32" t="n">
        <v>0.01</v>
      </c>
      <c r="U42" s="32" t="n">
        <v>0.01</v>
      </c>
      <c r="V42" s="124"/>
      <c r="W42" s="124"/>
      <c r="X42" s="125" t="n">
        <v>0.1</v>
      </c>
      <c r="Y42" s="125" t="n">
        <v>0.1</v>
      </c>
      <c r="Z42" s="32" t="n">
        <v>0.1</v>
      </c>
      <c r="AA42" s="32" t="n">
        <v>0.1</v>
      </c>
      <c r="AB42" s="125" t="n">
        <v>1</v>
      </c>
      <c r="AC42" s="125" t="n">
        <v>1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96" t="n">
        <v>36.018</v>
      </c>
      <c r="H43" s="131" t="n">
        <v>10</v>
      </c>
      <c r="I43" s="179" t="n">
        <v>10</v>
      </c>
      <c r="J43" s="124"/>
      <c r="K43" s="132"/>
      <c r="L43" s="132"/>
      <c r="M43" s="132"/>
      <c r="N43" s="133"/>
      <c r="O43" s="132"/>
      <c r="P43" s="124"/>
      <c r="Q43" s="124"/>
      <c r="R43" s="124"/>
      <c r="S43" s="124"/>
      <c r="T43" s="32" t="n">
        <v>0</v>
      </c>
      <c r="U43" s="32" t="n">
        <v>0</v>
      </c>
      <c r="V43" s="124"/>
      <c r="W43" s="124"/>
      <c r="X43" s="125" t="n">
        <v>0</v>
      </c>
      <c r="Y43" s="125" t="n">
        <v>0</v>
      </c>
      <c r="Z43" s="32" t="n">
        <v>0.11</v>
      </c>
      <c r="AA43" s="32" t="n">
        <v>0.11</v>
      </c>
      <c r="AB43" s="125" t="n">
        <v>0.9</v>
      </c>
      <c r="AC43" s="125" t="n">
        <v>0.9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96" t="n">
        <v>35.936</v>
      </c>
      <c r="H44" s="131" t="n">
        <v>0</v>
      </c>
      <c r="I44" s="179" t="n">
        <v>1.7</v>
      </c>
      <c r="J44" s="124"/>
      <c r="K44" s="132"/>
      <c r="L44" s="132"/>
      <c r="M44" s="132"/>
      <c r="N44" s="133"/>
      <c r="O44" s="132"/>
      <c r="P44" s="124"/>
      <c r="Q44" s="124"/>
      <c r="R44" s="124"/>
      <c r="S44" s="124"/>
      <c r="T44" s="32" t="n">
        <v>0</v>
      </c>
      <c r="U44" s="32" t="n">
        <v>0</v>
      </c>
      <c r="V44" s="124"/>
      <c r="W44" s="124"/>
      <c r="X44" s="125" t="n">
        <v>0.1</v>
      </c>
      <c r="Y44" s="125" t="n">
        <v>0.1</v>
      </c>
      <c r="Z44" s="32" t="n">
        <v>0.09</v>
      </c>
      <c r="AA44" s="32" t="n">
        <v>0.09</v>
      </c>
      <c r="AB44" s="125" t="n">
        <v>1</v>
      </c>
      <c r="AC44" s="125" t="n">
        <v>0.9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7"/>
      <c r="H45" s="137"/>
      <c r="I45" s="137"/>
      <c r="J45" s="124"/>
      <c r="K45" s="132"/>
      <c r="L45" s="132"/>
      <c r="M45" s="132"/>
      <c r="N45" s="133"/>
      <c r="O45" s="132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39005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0.08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0°0,08</v>
      </c>
      <c r="P9" s="29" t="s">
        <v>13</v>
      </c>
      <c r="Q9" s="33" t="n">
        <f aca="false">IF(ISBLANK(I9),"",IF(ISBLANK(J9),"",IF(J9&gt;60,"ERREUR !!",O11*(I9+(J9/60)))))</f>
        <v>0.00133333333333333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1.1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-23°1,1</v>
      </c>
      <c r="P10" s="29" t="s">
        <v>17</v>
      </c>
      <c r="Q10" s="33" t="n">
        <f aca="false">IF(ISBLANK(I10),"",IF(ISBLANK(J10),"",IF(J10&gt;60,"ERREUR !!",O12*(I10+(J10/60)))))</f>
        <v>-23.0183333333333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39005</v>
      </c>
      <c r="K11" s="38"/>
      <c r="L11" s="38"/>
      <c r="M11" s="38"/>
      <c r="N11" s="39" t="str">
        <f aca="false">I9&amp;"°"&amp;J9</f>
        <v>0°0,08</v>
      </c>
      <c r="O11" s="40" t="n">
        <f aca="false">IF(P9=M10,-1,1)</f>
        <v>1</v>
      </c>
      <c r="P11" s="41" t="str">
        <f aca="false">TEXT(J11,"aaaa-mm-jj")&amp;"T"&amp;TEXT(J12,"hh:mm:ss")&amp;"z"</f>
        <v>2010-10-16T02:00:00z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0.0833333333333333</v>
      </c>
      <c r="K12" s="45"/>
      <c r="L12" s="45"/>
      <c r="M12" s="45"/>
      <c r="N12" s="46" t="str">
        <f aca="false">I10&amp;"°"&amp;J10</f>
        <v>23°1,1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5" t="n">
        <v>34.969</v>
      </c>
      <c r="H35" s="118" t="n">
        <v>2000</v>
      </c>
      <c r="I35" s="179" t="n">
        <v>2000</v>
      </c>
      <c r="J35" s="119"/>
      <c r="K35" s="120"/>
      <c r="L35" s="120"/>
      <c r="M35" s="120"/>
      <c r="N35" s="121"/>
      <c r="O35" s="120"/>
      <c r="P35" s="119"/>
      <c r="Q35" s="119"/>
      <c r="R35" s="119"/>
      <c r="S35" s="119"/>
      <c r="T35" s="32" t="n">
        <v>0.02</v>
      </c>
      <c r="U35" s="32" t="n">
        <v>0.01</v>
      </c>
      <c r="V35" s="119"/>
      <c r="W35" s="119"/>
      <c r="X35" s="125" t="n">
        <v>20.1</v>
      </c>
      <c r="Y35" s="125" t="n">
        <v>19.7</v>
      </c>
      <c r="Z35" s="32" t="n">
        <v>1.35</v>
      </c>
      <c r="AA35" s="32" t="n">
        <v>1.31</v>
      </c>
      <c r="AB35" s="125" t="n">
        <v>20.5</v>
      </c>
      <c r="AC35" s="125" t="n">
        <v>20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96" t="n">
        <v>34.627</v>
      </c>
      <c r="H36" s="131" t="n">
        <v>1000</v>
      </c>
      <c r="I36" s="179" t="n">
        <v>1000</v>
      </c>
      <c r="J36" s="124"/>
      <c r="K36" s="132"/>
      <c r="L36" s="132"/>
      <c r="M36" s="132"/>
      <c r="N36" s="133"/>
      <c r="O36" s="132"/>
      <c r="P36" s="124"/>
      <c r="Q36" s="124"/>
      <c r="R36" s="124"/>
      <c r="S36" s="124"/>
      <c r="T36" s="32" t="n">
        <v>0.01</v>
      </c>
      <c r="U36" s="32" t="n">
        <v>0.01</v>
      </c>
      <c r="V36" s="124"/>
      <c r="W36" s="124"/>
      <c r="X36" s="125" t="n">
        <v>33</v>
      </c>
      <c r="Y36" s="125" t="n">
        <v>32.2</v>
      </c>
      <c r="Z36" s="32" t="n">
        <v>2.28</v>
      </c>
      <c r="AA36" s="32" t="n">
        <v>2.23</v>
      </c>
      <c r="AB36" s="125" t="n">
        <v>31.4</v>
      </c>
      <c r="AC36" s="125" t="n">
        <v>30.6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96" t="n">
        <v>34.639</v>
      </c>
      <c r="H37" s="131" t="n">
        <v>500</v>
      </c>
      <c r="I37" s="179" t="n">
        <v>500.9</v>
      </c>
      <c r="J37" s="124"/>
      <c r="K37" s="132"/>
      <c r="L37" s="132"/>
      <c r="M37" s="132"/>
      <c r="N37" s="133"/>
      <c r="O37" s="132"/>
      <c r="P37" s="124"/>
      <c r="Q37" s="124"/>
      <c r="R37" s="124"/>
      <c r="S37" s="124"/>
      <c r="T37" s="32" t="n">
        <v>0</v>
      </c>
      <c r="U37" s="32" t="n">
        <v>0</v>
      </c>
      <c r="V37" s="124"/>
      <c r="W37" s="124"/>
      <c r="X37" s="125" t="n">
        <v>32.3</v>
      </c>
      <c r="Y37" s="125" t="n">
        <v>31.6</v>
      </c>
      <c r="Z37" s="32" t="n">
        <v>2.12</v>
      </c>
      <c r="AA37" s="32" t="n">
        <v>2.07</v>
      </c>
      <c r="AB37" s="125" t="n">
        <v>18.6</v>
      </c>
      <c r="AC37" s="125" t="n">
        <v>18.2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97" t="n">
        <v>36.083</v>
      </c>
      <c r="H38" s="131" t="n">
        <v>100</v>
      </c>
      <c r="I38" s="179" t="n">
        <v>99.5</v>
      </c>
      <c r="J38" s="124"/>
      <c r="K38" s="132"/>
      <c r="L38" s="132"/>
      <c r="M38" s="132"/>
      <c r="N38" s="133"/>
      <c r="O38" s="132"/>
      <c r="P38" s="124"/>
      <c r="Q38" s="124"/>
      <c r="R38" s="124"/>
      <c r="S38" s="124"/>
      <c r="T38" s="32" t="n">
        <v>0.08</v>
      </c>
      <c r="U38" s="32" t="n">
        <v>0.07</v>
      </c>
      <c r="V38" s="124"/>
      <c r="W38" s="124"/>
      <c r="X38" s="125" t="n">
        <v>4.8</v>
      </c>
      <c r="Y38" s="125" t="n">
        <v>4.7</v>
      </c>
      <c r="Z38" s="32" t="n">
        <v>0.38</v>
      </c>
      <c r="AA38" s="32" t="n">
        <v>0.37</v>
      </c>
      <c r="AB38" s="125" t="n">
        <v>2.2</v>
      </c>
      <c r="AC38" s="125" t="n">
        <v>2.2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97" t="n">
        <v>36.209</v>
      </c>
      <c r="H39" s="131" t="n">
        <v>80</v>
      </c>
      <c r="I39" s="179" t="n">
        <v>80.8</v>
      </c>
      <c r="J39" s="124"/>
      <c r="K39" s="132"/>
      <c r="L39" s="132"/>
      <c r="M39" s="132"/>
      <c r="N39" s="133"/>
      <c r="O39" s="132"/>
      <c r="P39" s="124"/>
      <c r="Q39" s="124"/>
      <c r="R39" s="124"/>
      <c r="S39" s="124"/>
      <c r="T39" s="32" t="n">
        <v>0.39</v>
      </c>
      <c r="U39" s="32" t="n">
        <v>0.38</v>
      </c>
      <c r="V39" s="124"/>
      <c r="W39" s="124"/>
      <c r="X39" s="125" t="n">
        <v>0.8</v>
      </c>
      <c r="Y39" s="125" t="n">
        <v>0.8</v>
      </c>
      <c r="Z39" s="32" t="n">
        <v>0.13</v>
      </c>
      <c r="AA39" s="32" t="n">
        <v>0.13</v>
      </c>
      <c r="AB39" s="125" t="n">
        <v>1.3</v>
      </c>
      <c r="AC39" s="125" t="n">
        <v>1.3</v>
      </c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3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95" t="n">
        <v>36.046</v>
      </c>
      <c r="H40" s="131" t="n">
        <v>60</v>
      </c>
      <c r="I40" s="179" t="n">
        <v>59.5</v>
      </c>
      <c r="J40" s="124"/>
      <c r="K40" s="132"/>
      <c r="L40" s="132"/>
      <c r="M40" s="132"/>
      <c r="N40" s="133"/>
      <c r="O40" s="132"/>
      <c r="P40" s="124"/>
      <c r="Q40" s="124"/>
      <c r="R40" s="124"/>
      <c r="S40" s="124"/>
      <c r="T40" s="32" t="n">
        <v>0.17</v>
      </c>
      <c r="U40" s="32" t="n">
        <v>0.16</v>
      </c>
      <c r="V40" s="124"/>
      <c r="W40" s="124"/>
      <c r="X40" s="125" t="n">
        <v>0.2</v>
      </c>
      <c r="Y40" s="125" t="n">
        <v>0.2</v>
      </c>
      <c r="Z40" s="32" t="n">
        <v>0.09</v>
      </c>
      <c r="AA40" s="32" t="n">
        <v>0.09</v>
      </c>
      <c r="AB40" s="125" t="n">
        <v>1.1</v>
      </c>
      <c r="AC40" s="125" t="n">
        <v>1.1</v>
      </c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3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98" t="n">
        <v>35.946</v>
      </c>
      <c r="H41" s="131" t="n">
        <v>40</v>
      </c>
      <c r="I41" s="179" t="n">
        <v>40.4</v>
      </c>
      <c r="J41" s="124"/>
      <c r="K41" s="132"/>
      <c r="L41" s="132"/>
      <c r="M41" s="132"/>
      <c r="N41" s="133"/>
      <c r="O41" s="132"/>
      <c r="P41" s="124"/>
      <c r="Q41" s="124"/>
      <c r="R41" s="124"/>
      <c r="S41" s="124"/>
      <c r="T41" s="32" t="n">
        <v>0.02</v>
      </c>
      <c r="U41" s="32" t="n">
        <v>0.02</v>
      </c>
      <c r="V41" s="124"/>
      <c r="W41" s="124"/>
      <c r="X41" s="125" t="n">
        <v>0</v>
      </c>
      <c r="Y41" s="125" t="n">
        <v>0</v>
      </c>
      <c r="Z41" s="32" t="n">
        <v>0.06</v>
      </c>
      <c r="AA41" s="32" t="n">
        <v>0.06</v>
      </c>
      <c r="AB41" s="125" t="n">
        <v>1.1</v>
      </c>
      <c r="AC41" s="125" t="n">
        <v>1.1</v>
      </c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3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98" t="n">
        <v>35.937</v>
      </c>
      <c r="H42" s="131" t="n">
        <v>20</v>
      </c>
      <c r="I42" s="179" t="n">
        <v>19.6</v>
      </c>
      <c r="J42" s="124"/>
      <c r="K42" s="132"/>
      <c r="L42" s="132"/>
      <c r="M42" s="132"/>
      <c r="N42" s="133"/>
      <c r="O42" s="132"/>
      <c r="P42" s="124"/>
      <c r="Q42" s="124"/>
      <c r="R42" s="124"/>
      <c r="S42" s="124"/>
      <c r="T42" s="32" t="n">
        <v>0.01</v>
      </c>
      <c r="U42" s="32" t="n">
        <v>0.01</v>
      </c>
      <c r="V42" s="124"/>
      <c r="W42" s="124"/>
      <c r="X42" s="125" t="n">
        <v>0.2</v>
      </c>
      <c r="Y42" s="125" t="n">
        <v>0.2</v>
      </c>
      <c r="Z42" s="32" t="n">
        <v>0.05</v>
      </c>
      <c r="AA42" s="32" t="n">
        <v>0.05</v>
      </c>
      <c r="AB42" s="125" t="n">
        <v>1.1</v>
      </c>
      <c r="AC42" s="125" t="n">
        <v>1.1</v>
      </c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3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96" t="n">
        <v>35.934</v>
      </c>
      <c r="H43" s="131" t="n">
        <v>10</v>
      </c>
      <c r="I43" s="179" t="n">
        <v>10.1</v>
      </c>
      <c r="J43" s="124"/>
      <c r="K43" s="132"/>
      <c r="L43" s="132"/>
      <c r="M43" s="132"/>
      <c r="N43" s="133"/>
      <c r="O43" s="132"/>
      <c r="P43" s="124"/>
      <c r="Q43" s="124"/>
      <c r="R43" s="124"/>
      <c r="S43" s="124"/>
      <c r="T43" s="32" t="n">
        <v>0.01</v>
      </c>
      <c r="U43" s="32" t="n">
        <v>0.01</v>
      </c>
      <c r="V43" s="124"/>
      <c r="W43" s="124"/>
      <c r="X43" s="125" t="n">
        <v>0</v>
      </c>
      <c r="Y43" s="125" t="n">
        <v>0</v>
      </c>
      <c r="Z43" s="32" t="n">
        <v>0.05</v>
      </c>
      <c r="AA43" s="32" t="n">
        <v>0.05</v>
      </c>
      <c r="AB43" s="125" t="n">
        <v>1.1</v>
      </c>
      <c r="AC43" s="125" t="n">
        <v>1.1</v>
      </c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3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96" t="n">
        <v>35.935</v>
      </c>
      <c r="H44" s="131" t="n">
        <v>0</v>
      </c>
      <c r="I44" s="179" t="n">
        <v>2</v>
      </c>
      <c r="J44" s="124"/>
      <c r="K44" s="132"/>
      <c r="L44" s="132"/>
      <c r="M44" s="132"/>
      <c r="N44" s="133"/>
      <c r="O44" s="132"/>
      <c r="P44" s="124"/>
      <c r="Q44" s="124"/>
      <c r="R44" s="124"/>
      <c r="S44" s="124"/>
      <c r="T44" s="32" t="n">
        <v>0.01</v>
      </c>
      <c r="U44" s="32" t="n">
        <v>0.01</v>
      </c>
      <c r="V44" s="124"/>
      <c r="W44" s="124"/>
      <c r="X44" s="125" t="n">
        <v>0.1</v>
      </c>
      <c r="Y44" s="125" t="n">
        <v>0.1</v>
      </c>
      <c r="Z44" s="32" t="n">
        <v>0.04</v>
      </c>
      <c r="AA44" s="32" t="n">
        <v>0.04</v>
      </c>
      <c r="AB44" s="125" t="n">
        <v>1.1</v>
      </c>
      <c r="AC44" s="125" t="n">
        <v>1.1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7"/>
      <c r="J45" s="124"/>
      <c r="K45" s="132"/>
      <c r="L45" s="132"/>
      <c r="M45" s="132"/>
      <c r="N45" s="133"/>
      <c r="O45" s="132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42"/>
      <c r="AE45" s="142"/>
      <c r="AF45" s="142"/>
      <c r="AG45" s="142"/>
      <c r="AH45" s="142"/>
      <c r="AI45" s="201"/>
      <c r="AJ45" s="201"/>
      <c r="AK45" s="201"/>
      <c r="AL45" s="142"/>
      <c r="AM45" s="142"/>
      <c r="AN45" s="142"/>
      <c r="AO45" s="142"/>
      <c r="AP45" s="142"/>
      <c r="AQ45" s="142"/>
      <c r="AR45" s="201"/>
      <c r="AS45" s="142"/>
      <c r="AT45" s="142"/>
      <c r="AU45" s="201"/>
      <c r="AV45" s="142"/>
      <c r="AW45" s="142"/>
      <c r="AX45" s="142"/>
      <c r="AY45" s="142"/>
      <c r="AZ45" s="142"/>
      <c r="BA45" s="142"/>
      <c r="BB45" s="202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false" showOutlineSymbols="true" defaultGridColor="true" view="normal" topLeftCell="D4" colorId="64" zoomScale="100" zoomScaleNormal="100" zoomScalePageLayoutView="100" workbookViewId="0">
      <selection pane="topLeft" activeCell="Q13" activeCellId="0" sqref="Q13"/>
    </sheetView>
  </sheetViews>
  <sheetFormatPr defaultColWidth="11.464843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64"/>
    <col collapsed="false" customWidth="true" hidden="false" outlineLevel="0" max="9" min="4" style="0" width="10.39"/>
    <col collapsed="false" customWidth="true" hidden="false" outlineLevel="0" max="10" min="10" style="0" width="10.71"/>
    <col collapsed="false" customWidth="true" hidden="true" outlineLevel="0" max="15" min="11" style="0" width="9.14"/>
    <col collapsed="false" customWidth="true" hidden="false" outlineLevel="0" max="16" min="16" style="0" width="10.71"/>
    <col collapsed="false" customWidth="true" hidden="false" outlineLevel="0" max="29" min="17" style="0" width="10.39"/>
    <col collapsed="false" customWidth="true" hidden="false" outlineLevel="0" max="30" min="30" style="0" width="13.6"/>
    <col collapsed="false" customWidth="true" hidden="false" outlineLevel="0" max="31" min="31" style="0" width="17.03"/>
    <col collapsed="false" customWidth="true" hidden="false" outlineLevel="0" max="32" min="32" style="0" width="9.11"/>
    <col collapsed="false" customWidth="true" hidden="false" outlineLevel="0" max="33" min="33" style="0" width="27"/>
    <col collapsed="false" customWidth="true" hidden="false" outlineLevel="0" max="34" min="34" style="0" width="13.07"/>
    <col collapsed="false" customWidth="true" hidden="false" outlineLevel="0" max="35" min="35" style="0" width="11.14"/>
    <col collapsed="false" customWidth="true" hidden="false" outlineLevel="0" max="36" min="36" style="0" width="14.78"/>
    <col collapsed="false" customWidth="true" hidden="false" outlineLevel="0" max="37" min="37" style="0" width="12.43"/>
    <col collapsed="false" customWidth="true" hidden="false" outlineLevel="0" max="38" min="38" style="0" width="27.42"/>
    <col collapsed="false" customWidth="true" hidden="false" outlineLevel="0" max="39" min="39" style="0" width="14.89"/>
    <col collapsed="false" customWidth="true" hidden="false" outlineLevel="0" max="40" min="40" style="0" width="11.36"/>
    <col collapsed="false" customWidth="true" hidden="false" outlineLevel="0" max="41" min="41" style="0" width="12.75"/>
    <col collapsed="false" customWidth="true" hidden="false" outlineLevel="0" max="42" min="42" style="0" width="10.71"/>
    <col collapsed="false" customWidth="true" hidden="false" outlineLevel="0" max="43" min="43" style="0" width="6.32"/>
    <col collapsed="false" customWidth="true" hidden="false" outlineLevel="0" max="44" min="44" style="0" width="19.92"/>
    <col collapsed="false" customWidth="true" hidden="false" outlineLevel="0" max="45" min="45" style="0" width="13.28"/>
    <col collapsed="false" customWidth="true" hidden="false" outlineLevel="0" max="46" min="46" style="0" width="18"/>
    <col collapsed="false" customWidth="true" hidden="false" outlineLevel="0" max="47" min="47" style="0" width="14.89"/>
    <col collapsed="false" customWidth="true" hidden="false" outlineLevel="0" max="48" min="48" style="0" width="13.6"/>
    <col collapsed="false" customWidth="true" hidden="false" outlineLevel="0" max="49" min="49" style="0" width="13.71"/>
    <col collapsed="false" customWidth="true" hidden="false" outlineLevel="0" max="50" min="50" style="0" width="20.14"/>
    <col collapsed="false" customWidth="true" hidden="false" outlineLevel="0" max="51" min="51" style="0" width="13.39"/>
    <col collapsed="false" customWidth="true" hidden="false" outlineLevel="0" max="52" min="52" style="0" width="17.89"/>
    <col collapsed="false" customWidth="true" hidden="false" outlineLevel="0" max="53" min="53" style="0" width="13.39"/>
    <col collapsed="false" customWidth="true" hidden="false" outlineLevel="0" max="54" min="54" style="0" width="12.85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39005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6°0</v>
      </c>
      <c r="P9" s="29" t="s">
        <v>13</v>
      </c>
      <c r="Q9" s="33" t="n">
        <f aca="false">IF(ISBLANK(I9),"",IF(ISBLANK(J9),"",IF(J9&gt;60,"ERREUR !!",O11*(I9+(J9/60)))))</f>
        <v>6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20</v>
      </c>
      <c r="J10" s="29" t="n">
        <v>45.43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-20°45,43</v>
      </c>
      <c r="P10" s="29" t="s">
        <v>17</v>
      </c>
      <c r="Q10" s="33" t="n">
        <f aca="false">IF(ISBLANK(I10),"",IF(ISBLANK(J10),"",IF(J10&gt;60,"ERREUR !!",O12*(I10+(J10/60)))))</f>
        <v>-20.7571666666667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39007</v>
      </c>
      <c r="K11" s="38"/>
      <c r="L11" s="38"/>
      <c r="M11" s="38"/>
      <c r="N11" s="39" t="str">
        <f aca="false">I9&amp;"°"&amp;J9</f>
        <v>6°0</v>
      </c>
      <c r="O11" s="40" t="n">
        <f aca="false">IF(P9=M10,-1,1)</f>
        <v>1</v>
      </c>
      <c r="P11" s="41" t="str">
        <f aca="false">TEXT(J11,"aaaa-mm-jj")&amp;"T"&amp;TEXT(J12,"hh:mm:ss")&amp;"z"</f>
        <v>2010-10-18T12:32:00z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0.522222222222222</v>
      </c>
      <c r="K12" s="45"/>
      <c r="L12" s="45"/>
      <c r="M12" s="45"/>
      <c r="N12" s="46" t="str">
        <f aca="false">I10&amp;"°"&amp;J10</f>
        <v>20°45,43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60"/>
      <c r="S15" s="61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2"/>
      <c r="S16" s="61" t="s">
        <v>29</v>
      </c>
    </row>
    <row r="17" customFormat="false" ht="15.75" hidden="false" customHeight="false" outlineLevel="0" collapsed="false">
      <c r="C17" s="63" t="s">
        <v>30</v>
      </c>
      <c r="D17" s="64"/>
      <c r="E17" s="64"/>
      <c r="F17" s="64"/>
      <c r="G17" s="64"/>
      <c r="H17" s="65"/>
      <c r="I17" s="65"/>
      <c r="J17" s="65"/>
      <c r="K17" s="64"/>
      <c r="L17" s="64"/>
      <c r="M17" s="64"/>
      <c r="N17" s="65"/>
      <c r="O17" s="66"/>
      <c r="P17" s="65"/>
      <c r="Q17" s="66" t="s">
        <v>31</v>
      </c>
      <c r="R17" s="67"/>
      <c r="S17" s="68" t="s">
        <v>29</v>
      </c>
    </row>
    <row r="18" customFormat="false" ht="15" hidden="true" customHeight="false" outlineLevel="0" collapsed="false">
      <c r="C18" s="69" t="s">
        <v>32</v>
      </c>
      <c r="D18" s="70"/>
      <c r="E18" s="70"/>
      <c r="F18" s="70"/>
      <c r="G18" s="70"/>
      <c r="H18" s="70"/>
      <c r="I18" s="70"/>
      <c r="J18" s="70"/>
      <c r="K18" s="71"/>
      <c r="L18" s="71"/>
      <c r="M18" s="71"/>
      <c r="N18" s="71"/>
      <c r="O18" s="72" t="s">
        <v>33</v>
      </c>
      <c r="P18" s="73" t="n">
        <f aca="false">(0.999842594+(0.00006793952*$R$14)-(0.00000909529*$R$14^2)+(0.0000001001685*$R$14^3)-(0.000000001120083*$R$14^4)+(0.000000000006536332*$R$14^5))</f>
        <v>0.999842594</v>
      </c>
      <c r="Q18" s="71"/>
      <c r="R18" s="6"/>
    </row>
    <row r="19" customFormat="false" ht="15" hidden="true" customHeight="false" outlineLevel="0" collapsed="false">
      <c r="C19" s="69" t="s">
        <v>34</v>
      </c>
      <c r="D19" s="70"/>
      <c r="E19" s="70"/>
      <c r="F19" s="70"/>
      <c r="G19" s="70"/>
      <c r="H19" s="70"/>
      <c r="I19" s="70"/>
      <c r="J19" s="70"/>
      <c r="K19" s="71"/>
      <c r="L19" s="71"/>
      <c r="M19" s="71"/>
      <c r="N19" s="71"/>
      <c r="O19" s="72" t="s">
        <v>35</v>
      </c>
      <c r="P19" s="73" t="e">
        <f aca="false">$P$24*($P$18/#REF!)</f>
        <v>#REF!</v>
      </c>
      <c r="Q19" s="71" t="s">
        <v>13</v>
      </c>
      <c r="R19" s="6"/>
    </row>
    <row r="20" customFormat="false" ht="15" hidden="true" customHeight="false" outlineLevel="0" collapsed="false">
      <c r="C20" s="69" t="s">
        <v>36</v>
      </c>
      <c r="D20" s="70"/>
      <c r="E20" s="70"/>
      <c r="F20" s="70"/>
      <c r="G20" s="70"/>
      <c r="H20" s="70"/>
      <c r="I20" s="70"/>
      <c r="J20" s="70"/>
      <c r="K20" s="71"/>
      <c r="L20" s="71"/>
      <c r="M20" s="71"/>
      <c r="N20" s="71"/>
      <c r="O20" s="72" t="s">
        <v>37</v>
      </c>
      <c r="P20" s="73" t="e">
        <f aca="false">5+#REF!</f>
        <v>#REF!</v>
      </c>
      <c r="Q20" s="71" t="s">
        <v>29</v>
      </c>
      <c r="R20" s="6"/>
    </row>
    <row r="21" customFormat="false" ht="15" hidden="true" customHeight="false" outlineLevel="0" collapsed="false">
      <c r="C21" s="69" t="s">
        <v>38</v>
      </c>
      <c r="D21" s="70"/>
      <c r="E21" s="70"/>
      <c r="F21" s="70"/>
      <c r="G21" s="70"/>
      <c r="H21" s="70"/>
      <c r="I21" s="70"/>
      <c r="J21" s="70"/>
      <c r="K21" s="71"/>
      <c r="L21" s="71"/>
      <c r="M21" s="71"/>
      <c r="N21" s="71"/>
      <c r="O21" s="72" t="s">
        <v>39</v>
      </c>
      <c r="P21" s="73" t="e">
        <f aca="false">P20*(1+0.00001*(R14-20))</f>
        <v>#REF!</v>
      </c>
      <c r="Q21" s="71" t="s">
        <v>29</v>
      </c>
      <c r="R21" s="6"/>
    </row>
    <row r="22" customFormat="false" ht="15" hidden="true" customHeight="false" outlineLevel="0" collapsed="false">
      <c r="C22" s="69" t="s">
        <v>40</v>
      </c>
      <c r="D22" s="70"/>
      <c r="E22" s="70"/>
      <c r="F22" s="70"/>
      <c r="G22" s="70"/>
      <c r="H22" s="70"/>
      <c r="I22" s="70"/>
      <c r="J22" s="70"/>
      <c r="K22" s="71"/>
      <c r="L22" s="71"/>
      <c r="M22" s="71"/>
      <c r="N22" s="71"/>
      <c r="O22" s="72" t="s">
        <v>41</v>
      </c>
      <c r="P22" s="74" t="n">
        <f aca="false">$R$16*(1+0.00001*(20-$R$14))</f>
        <v>0</v>
      </c>
      <c r="Q22" s="71" t="s">
        <v>29</v>
      </c>
      <c r="R22" s="6"/>
    </row>
    <row r="23" customFormat="false" ht="15" hidden="true" customHeight="false" outlineLevel="0" collapsed="false">
      <c r="C23" s="69" t="s">
        <v>42</v>
      </c>
      <c r="D23" s="70"/>
      <c r="E23" s="70"/>
      <c r="F23" s="70"/>
      <c r="G23" s="70"/>
      <c r="H23" s="70"/>
      <c r="I23" s="70"/>
      <c r="J23" s="70"/>
      <c r="K23" s="71"/>
      <c r="L23" s="71"/>
      <c r="M23" s="71"/>
      <c r="N23" s="71"/>
      <c r="O23" s="72" t="s">
        <v>43</v>
      </c>
      <c r="P23" s="74" t="n">
        <f aca="false">$R$17*(1+0.00001*(20-$R$14))</f>
        <v>0</v>
      </c>
      <c r="Q23" s="71" t="s">
        <v>29</v>
      </c>
      <c r="R23" s="6"/>
    </row>
    <row r="24" customFormat="false" ht="15" hidden="true" customHeight="false" outlineLevel="0" collapsed="false">
      <c r="C24" s="69" t="s">
        <v>44</v>
      </c>
      <c r="D24" s="70"/>
      <c r="E24" s="70"/>
      <c r="F24" s="70"/>
      <c r="G24" s="70"/>
      <c r="H24" s="70"/>
      <c r="I24" s="70"/>
      <c r="J24" s="70"/>
      <c r="K24" s="71"/>
      <c r="L24" s="71"/>
      <c r="M24" s="71"/>
      <c r="N24" s="71"/>
      <c r="O24" s="72" t="s">
        <v>45</v>
      </c>
      <c r="P24" s="58" t="e">
        <f aca="false">MAX(#REF!)</f>
        <v>#VALUE!</v>
      </c>
      <c r="Q24" s="71" t="s">
        <v>13</v>
      </c>
      <c r="R24" s="6"/>
    </row>
    <row r="25" customFormat="false" ht="15" hidden="true" customHeight="false" outlineLevel="0" collapsed="false">
      <c r="C25" s="69" t="s">
        <v>46</v>
      </c>
      <c r="D25" s="70"/>
      <c r="E25" s="70"/>
      <c r="F25" s="70"/>
      <c r="G25" s="70"/>
      <c r="H25" s="70"/>
      <c r="I25" s="70"/>
      <c r="J25" s="70"/>
      <c r="K25" s="71"/>
      <c r="L25" s="71"/>
      <c r="M25" s="71"/>
      <c r="N25" s="71"/>
      <c r="O25" s="72" t="s">
        <v>47</v>
      </c>
      <c r="P25" s="58" t="str">
        <f aca="false">IF(ISBLANK(R14),"",IF(ISBLANK(P21),"",IF(ISBLANK(R17),"",(($P$24*$P$18)/($P$22-$P$23)))))</f>
        <v/>
      </c>
      <c r="Q25" s="71" t="s">
        <v>13</v>
      </c>
      <c r="R25" s="6"/>
    </row>
    <row r="26" customFormat="false" ht="15" hidden="true" customHeight="false" outlineLevel="0" collapsed="false">
      <c r="C26" s="75" t="s">
        <v>48</v>
      </c>
      <c r="D26" s="76"/>
      <c r="E26" s="76"/>
      <c r="F26" s="76"/>
      <c r="G26" s="76"/>
      <c r="H26" s="76"/>
      <c r="I26" s="76"/>
      <c r="J26" s="76"/>
      <c r="K26" s="71"/>
      <c r="L26" s="71"/>
      <c r="M26" s="71"/>
      <c r="N26" s="71"/>
      <c r="O26" s="72" t="s">
        <v>49</v>
      </c>
      <c r="P26" s="58" t="e">
        <f aca="false">2+(#REF!+#REF!)</f>
        <v>#REF!</v>
      </c>
      <c r="Q26" s="71" t="s">
        <v>29</v>
      </c>
      <c r="R26" s="6"/>
    </row>
    <row r="27" customFormat="false" ht="15.75" hidden="true" customHeight="false" outlineLevel="0" collapsed="false">
      <c r="C27" s="77"/>
      <c r="D27" s="78"/>
      <c r="E27" s="78"/>
      <c r="F27" s="78"/>
      <c r="G27" s="78"/>
      <c r="H27" s="78"/>
      <c r="I27" s="78"/>
      <c r="J27" s="78"/>
      <c r="K27" s="79"/>
      <c r="L27" s="79"/>
      <c r="M27" s="79"/>
      <c r="N27" s="79"/>
      <c r="O27" s="80" t="s">
        <v>50</v>
      </c>
      <c r="P27" s="65" t="n">
        <v>0.0017</v>
      </c>
      <c r="Q27" s="79"/>
      <c r="R27" s="81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2" t="s">
        <v>52</v>
      </c>
      <c r="K29" s="83"/>
      <c r="L29" s="83"/>
      <c r="M29" s="83"/>
      <c r="N29" s="84"/>
      <c r="O29" s="8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5"/>
      <c r="K30" s="17"/>
      <c r="L30" s="17"/>
      <c r="M30" s="17"/>
      <c r="N30" s="84"/>
      <c r="O30" s="84" t="s">
        <v>53</v>
      </c>
      <c r="P30" s="84"/>
    </row>
    <row r="31" customFormat="false" ht="15.75" hidden="false" customHeight="true" outlineLevel="0" collapsed="false">
      <c r="C31" s="86" t="s">
        <v>54</v>
      </c>
      <c r="D31" s="87" t="s">
        <v>55</v>
      </c>
      <c r="E31" s="87" t="s">
        <v>56</v>
      </c>
      <c r="F31" s="87" t="s">
        <v>57</v>
      </c>
      <c r="G31" s="87" t="s">
        <v>58</v>
      </c>
      <c r="H31" s="87" t="s">
        <v>59</v>
      </c>
      <c r="I31" s="87" t="s">
        <v>60</v>
      </c>
      <c r="J31" s="87" t="s">
        <v>61</v>
      </c>
      <c r="K31" s="87" t="s">
        <v>62</v>
      </c>
      <c r="L31" s="87" t="s">
        <v>63</v>
      </c>
      <c r="M31" s="87" t="s">
        <v>64</v>
      </c>
      <c r="N31" s="87" t="s">
        <v>65</v>
      </c>
      <c r="O31" s="87" t="s">
        <v>66</v>
      </c>
      <c r="P31" s="88" t="s">
        <v>67</v>
      </c>
      <c r="Q31" s="88"/>
      <c r="R31" s="88"/>
      <c r="S31" s="88"/>
      <c r="T31" s="89" t="s">
        <v>68</v>
      </c>
      <c r="U31" s="89"/>
      <c r="V31" s="89" t="s">
        <v>69</v>
      </c>
      <c r="W31" s="89"/>
      <c r="X31" s="89" t="s">
        <v>70</v>
      </c>
      <c r="Y31" s="89"/>
      <c r="Z31" s="89" t="s">
        <v>71</v>
      </c>
      <c r="AA31" s="89"/>
      <c r="AB31" s="90" t="s">
        <v>72</v>
      </c>
      <c r="AC31" s="90"/>
      <c r="AD31" s="91" t="s">
        <v>73</v>
      </c>
      <c r="AE31" s="91" t="s">
        <v>74</v>
      </c>
      <c r="AF31" s="91" t="s">
        <v>75</v>
      </c>
      <c r="AG31" s="92" t="s">
        <v>76</v>
      </c>
      <c r="AH31" s="91" t="s">
        <v>77</v>
      </c>
      <c r="AI31" s="91" t="s">
        <v>78</v>
      </c>
      <c r="AJ31" s="91" t="s">
        <v>79</v>
      </c>
      <c r="AK31" s="91" t="s">
        <v>80</v>
      </c>
      <c r="AL31" s="92" t="s">
        <v>81</v>
      </c>
      <c r="AM31" s="91" t="s">
        <v>82</v>
      </c>
      <c r="AN31" s="91" t="s">
        <v>83</v>
      </c>
      <c r="AO31" s="91" t="s">
        <v>84</v>
      </c>
      <c r="AP31" s="91" t="s">
        <v>85</v>
      </c>
      <c r="AQ31" s="91" t="s">
        <v>86</v>
      </c>
      <c r="AR31" s="92" t="s">
        <v>87</v>
      </c>
      <c r="AS31" s="92" t="s">
        <v>88</v>
      </c>
      <c r="AT31" s="92" t="s">
        <v>89</v>
      </c>
      <c r="AU31" s="91" t="s">
        <v>90</v>
      </c>
      <c r="AV31" s="91" t="s">
        <v>91</v>
      </c>
      <c r="AW31" s="93" t="s">
        <v>92</v>
      </c>
      <c r="AX31" s="91" t="s">
        <v>93</v>
      </c>
      <c r="AY31" s="91" t="s">
        <v>94</v>
      </c>
      <c r="AZ31" s="92" t="s">
        <v>95</v>
      </c>
      <c r="BA31" s="91" t="s">
        <v>96</v>
      </c>
      <c r="BB31" s="94" t="s">
        <v>97</v>
      </c>
    </row>
    <row r="32" customFormat="false" ht="15.75" hidden="false" customHeight="true" outlineLevel="0" collapsed="false"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8"/>
      <c r="Q32" s="88"/>
      <c r="R32" s="88"/>
      <c r="S32" s="88"/>
      <c r="T32" s="89"/>
      <c r="U32" s="89"/>
      <c r="V32" s="89"/>
      <c r="W32" s="89"/>
      <c r="X32" s="89"/>
      <c r="Y32" s="89"/>
      <c r="Z32" s="89"/>
      <c r="AA32" s="89"/>
      <c r="AB32" s="90"/>
      <c r="AC32" s="90"/>
      <c r="AD32" s="91"/>
      <c r="AE32" s="91"/>
      <c r="AF32" s="91"/>
      <c r="AG32" s="92"/>
      <c r="AH32" s="91"/>
      <c r="AI32" s="91"/>
      <c r="AJ32" s="91"/>
      <c r="AK32" s="91"/>
      <c r="AL32" s="92"/>
      <c r="AM32" s="91"/>
      <c r="AN32" s="91"/>
      <c r="AO32" s="91"/>
      <c r="AP32" s="91"/>
      <c r="AQ32" s="91"/>
      <c r="AR32" s="92"/>
      <c r="AS32" s="92"/>
      <c r="AT32" s="92"/>
      <c r="AU32" s="91"/>
      <c r="AV32" s="91"/>
      <c r="AW32" s="93"/>
      <c r="AX32" s="91"/>
      <c r="AY32" s="91"/>
      <c r="AZ32" s="92"/>
      <c r="BA32" s="91"/>
      <c r="BB32" s="94"/>
    </row>
    <row r="33" customFormat="false" ht="15.75" hidden="false" customHeight="true" outlineLevel="0" collapsed="false">
      <c r="C33" s="95" t="s">
        <v>98</v>
      </c>
      <c r="D33" s="96" t="s">
        <v>99</v>
      </c>
      <c r="E33" s="96" t="s">
        <v>24</v>
      </c>
      <c r="F33" s="97" t="s">
        <v>100</v>
      </c>
      <c r="G33" s="98"/>
      <c r="H33" s="97" t="s">
        <v>101</v>
      </c>
      <c r="I33" s="97" t="s">
        <v>101</v>
      </c>
      <c r="J33" s="97" t="s">
        <v>100</v>
      </c>
      <c r="K33" s="98"/>
      <c r="L33" s="98"/>
      <c r="M33" s="98"/>
      <c r="N33" s="98"/>
      <c r="O33" s="98"/>
      <c r="P33" s="99" t="s">
        <v>102</v>
      </c>
      <c r="Q33" s="99"/>
      <c r="R33" s="99" t="s">
        <v>103</v>
      </c>
      <c r="S33" s="99" t="s">
        <v>104</v>
      </c>
      <c r="T33" s="100" t="s">
        <v>105</v>
      </c>
      <c r="U33" s="100" t="s">
        <v>106</v>
      </c>
      <c r="V33" s="100" t="s">
        <v>107</v>
      </c>
      <c r="W33" s="100" t="s">
        <v>108</v>
      </c>
      <c r="X33" s="100" t="s">
        <v>109</v>
      </c>
      <c r="Y33" s="100" t="s">
        <v>110</v>
      </c>
      <c r="Z33" s="100" t="s">
        <v>111</v>
      </c>
      <c r="AA33" s="100" t="s">
        <v>112</v>
      </c>
      <c r="AB33" s="100" t="s">
        <v>113</v>
      </c>
      <c r="AC33" s="101" t="s">
        <v>114</v>
      </c>
      <c r="AD33" s="102" t="s">
        <v>145</v>
      </c>
      <c r="AE33" s="102" t="s">
        <v>116</v>
      </c>
      <c r="AF33" s="102" t="s">
        <v>117</v>
      </c>
      <c r="AG33" s="102" t="s">
        <v>118</v>
      </c>
      <c r="AH33" s="102" t="s">
        <v>119</v>
      </c>
      <c r="AI33" s="103" t="s">
        <v>120</v>
      </c>
      <c r="AJ33" s="102" t="s">
        <v>121</v>
      </c>
      <c r="AK33" s="103" t="s">
        <v>122</v>
      </c>
      <c r="AL33" s="102" t="s">
        <v>123</v>
      </c>
      <c r="AM33" s="102" t="s">
        <v>124</v>
      </c>
      <c r="AN33" s="102" t="s">
        <v>125</v>
      </c>
      <c r="AO33" s="102" t="s">
        <v>126</v>
      </c>
      <c r="AP33" s="102" t="s">
        <v>127</v>
      </c>
      <c r="AQ33" s="103" t="s">
        <v>128</v>
      </c>
      <c r="AR33" s="102" t="s">
        <v>129</v>
      </c>
      <c r="AS33" s="102" t="s">
        <v>130</v>
      </c>
      <c r="AT33" s="103" t="s">
        <v>131</v>
      </c>
      <c r="AU33" s="104" t="s">
        <v>132</v>
      </c>
      <c r="AV33" s="104" t="s">
        <v>133</v>
      </c>
      <c r="AW33" s="104" t="s">
        <v>134</v>
      </c>
      <c r="AX33" s="102" t="s">
        <v>135</v>
      </c>
      <c r="AY33" s="102" t="s">
        <v>136</v>
      </c>
      <c r="AZ33" s="102" t="s">
        <v>137</v>
      </c>
      <c r="BA33" s="102" t="s">
        <v>138</v>
      </c>
      <c r="BB33" s="105" t="s">
        <v>139</v>
      </c>
    </row>
    <row r="34" customFormat="false" ht="14.25" hidden="false" customHeight="true" outlineLevel="0" collapsed="false">
      <c r="C34" s="95"/>
      <c r="D34" s="96"/>
      <c r="E34" s="96"/>
      <c r="F34" s="97"/>
      <c r="G34" s="98"/>
      <c r="H34" s="97"/>
      <c r="I34" s="97"/>
      <c r="J34" s="97"/>
      <c r="K34" s="106"/>
      <c r="L34" s="106"/>
      <c r="M34" s="106"/>
      <c r="N34" s="107" t="s">
        <v>29</v>
      </c>
      <c r="O34" s="106"/>
      <c r="P34" s="107" t="s">
        <v>140</v>
      </c>
      <c r="Q34" s="107" t="s">
        <v>141</v>
      </c>
      <c r="R34" s="107" t="s">
        <v>142</v>
      </c>
      <c r="S34" s="107" t="s">
        <v>143</v>
      </c>
      <c r="T34" s="108" t="s">
        <v>142</v>
      </c>
      <c r="U34" s="108" t="s">
        <v>143</v>
      </c>
      <c r="V34" s="108" t="s">
        <v>142</v>
      </c>
      <c r="W34" s="108" t="s">
        <v>143</v>
      </c>
      <c r="X34" s="108" t="s">
        <v>142</v>
      </c>
      <c r="Y34" s="108" t="s">
        <v>143</v>
      </c>
      <c r="Z34" s="108" t="s">
        <v>142</v>
      </c>
      <c r="AA34" s="108" t="s">
        <v>143</v>
      </c>
      <c r="AB34" s="108" t="s">
        <v>142</v>
      </c>
      <c r="AC34" s="109" t="s">
        <v>143</v>
      </c>
      <c r="AD34" s="110" t="s">
        <v>144</v>
      </c>
      <c r="AE34" s="110" t="s">
        <v>144</v>
      </c>
      <c r="AF34" s="110" t="s">
        <v>144</v>
      </c>
      <c r="AG34" s="110" t="s">
        <v>144</v>
      </c>
      <c r="AH34" s="110" t="s">
        <v>144</v>
      </c>
      <c r="AI34" s="110" t="s">
        <v>144</v>
      </c>
      <c r="AJ34" s="110" t="s">
        <v>144</v>
      </c>
      <c r="AK34" s="110" t="s">
        <v>144</v>
      </c>
      <c r="AL34" s="110" t="s">
        <v>144</v>
      </c>
      <c r="AM34" s="110" t="s">
        <v>144</v>
      </c>
      <c r="AN34" s="110" t="s">
        <v>144</v>
      </c>
      <c r="AO34" s="110" t="s">
        <v>144</v>
      </c>
      <c r="AP34" s="110" t="s">
        <v>144</v>
      </c>
      <c r="AQ34" s="110" t="s">
        <v>144</v>
      </c>
      <c r="AR34" s="110" t="s">
        <v>144</v>
      </c>
      <c r="AS34" s="110" t="s">
        <v>144</v>
      </c>
      <c r="AT34" s="110" t="s">
        <v>144</v>
      </c>
      <c r="AU34" s="110" t="s">
        <v>144</v>
      </c>
      <c r="AV34" s="110" t="s">
        <v>144</v>
      </c>
      <c r="AW34" s="110" t="s">
        <v>144</v>
      </c>
      <c r="AX34" s="110" t="s">
        <v>144</v>
      </c>
      <c r="AY34" s="110" t="s">
        <v>144</v>
      </c>
      <c r="AZ34" s="110" t="s">
        <v>144</v>
      </c>
      <c r="BA34" s="110" t="s">
        <v>144</v>
      </c>
      <c r="BB34" s="110" t="s">
        <v>144</v>
      </c>
    </row>
    <row r="35" customFormat="false" ht="15.75" hidden="false" customHeight="false" outlineLevel="0" collapsed="false">
      <c r="A35" s="111" t="n">
        <f aca="false">IF(ISBLANK(VLOOKUP(D35,#REF!,3)),0,1)</f>
        <v>1</v>
      </c>
      <c r="B35" s="112" t="n">
        <f aca="false">IF(ISBLANK(D35),0,IF(ISBLANK(E35),0,IF(ISBLANK(F35),0,1)))</f>
        <v>0</v>
      </c>
      <c r="C35" s="113" t="n">
        <v>1</v>
      </c>
      <c r="D35" s="114"/>
      <c r="E35" s="115"/>
      <c r="F35" s="116"/>
      <c r="G35" s="195" t="n">
        <v>34.954</v>
      </c>
      <c r="H35" s="118" t="n">
        <v>2000</v>
      </c>
      <c r="I35" s="179" t="n">
        <v>1999.4</v>
      </c>
      <c r="J35" s="119"/>
      <c r="K35" s="120"/>
      <c r="L35" s="120"/>
      <c r="M35" s="120"/>
      <c r="N35" s="121"/>
      <c r="O35" s="120"/>
      <c r="P35" s="119"/>
      <c r="Q35" s="119"/>
      <c r="R35" s="119"/>
      <c r="S35" s="119"/>
      <c r="T35" s="32" t="n">
        <v>0</v>
      </c>
      <c r="U35" s="32" t="n">
        <v>0</v>
      </c>
      <c r="V35" s="119"/>
      <c r="W35" s="119"/>
      <c r="X35" s="125" t="n">
        <v>21.9</v>
      </c>
      <c r="Y35" s="125" t="n">
        <v>21.4</v>
      </c>
      <c r="Z35" s="32" t="n">
        <v>1.46</v>
      </c>
      <c r="AA35" s="32" t="n">
        <v>1.42</v>
      </c>
      <c r="AB35" s="125" t="n">
        <v>24.1</v>
      </c>
      <c r="AC35" s="125" t="n">
        <v>23.5</v>
      </c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7"/>
    </row>
    <row r="36" customFormat="false" ht="15.75" hidden="false" customHeight="false" outlineLevel="0" collapsed="false">
      <c r="A36" s="111" t="n">
        <f aca="false">IF(ISBLANK(VLOOKUP(D36,#REF!,3)),0,1)</f>
        <v>1</v>
      </c>
      <c r="B36" s="112" t="n">
        <f aca="false">IF(ISBLANK(D36),0,IF(ISBLANK(E36),0,IF(ISBLANK(F36),0,1)))</f>
        <v>0</v>
      </c>
      <c r="C36" s="128" t="n">
        <v>2</v>
      </c>
      <c r="D36" s="129"/>
      <c r="E36" s="129"/>
      <c r="F36" s="130"/>
      <c r="G36" s="196" t="n">
        <v>34.674</v>
      </c>
      <c r="H36" s="131" t="n">
        <v>1000</v>
      </c>
      <c r="I36" s="179" t="n">
        <v>1000.3</v>
      </c>
      <c r="J36" s="124"/>
      <c r="K36" s="132"/>
      <c r="L36" s="132"/>
      <c r="M36" s="132"/>
      <c r="N36" s="133"/>
      <c r="O36" s="132"/>
      <c r="P36" s="124"/>
      <c r="Q36" s="124"/>
      <c r="R36" s="124"/>
      <c r="S36" s="124"/>
      <c r="T36" s="32" t="n">
        <v>0</v>
      </c>
      <c r="U36" s="32" t="n">
        <v>0</v>
      </c>
      <c r="V36" s="124"/>
      <c r="W36" s="124"/>
      <c r="X36" s="125" t="n">
        <v>34.5</v>
      </c>
      <c r="Y36" s="125" t="n">
        <v>33.7</v>
      </c>
      <c r="Z36" s="32" t="n">
        <v>2.27</v>
      </c>
      <c r="AA36" s="32" t="n">
        <v>2.21</v>
      </c>
      <c r="AB36" s="125" t="n">
        <v>29.2</v>
      </c>
      <c r="AC36" s="125" t="n">
        <v>28.5</v>
      </c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6"/>
    </row>
    <row r="37" customFormat="false" ht="15.75" hidden="false" customHeight="false" outlineLevel="0" collapsed="false">
      <c r="A37" s="111" t="n">
        <f aca="false">IF(ISBLANK(VLOOKUP(D37,#REF!,3)),0,1)</f>
        <v>1</v>
      </c>
      <c r="B37" s="112" t="n">
        <f aca="false">IF(ISBLANK(D37),0,IF(ISBLANK(E37),0,IF(ISBLANK(F37),0,1)))</f>
        <v>0</v>
      </c>
      <c r="C37" s="128" t="n">
        <v>3</v>
      </c>
      <c r="D37" s="129"/>
      <c r="E37" s="129"/>
      <c r="F37" s="137"/>
      <c r="G37" s="196" t="n">
        <v>34.775</v>
      </c>
      <c r="H37" s="131" t="n">
        <v>500</v>
      </c>
      <c r="I37" s="179" t="n">
        <v>500.2</v>
      </c>
      <c r="J37" s="124"/>
      <c r="K37" s="132"/>
      <c r="L37" s="132"/>
      <c r="M37" s="132"/>
      <c r="N37" s="133"/>
      <c r="O37" s="132"/>
      <c r="P37" s="124"/>
      <c r="Q37" s="124"/>
      <c r="R37" s="124"/>
      <c r="S37" s="124"/>
      <c r="T37" s="32" t="n">
        <v>0</v>
      </c>
      <c r="U37" s="32" t="n">
        <v>0</v>
      </c>
      <c r="V37" s="124"/>
      <c r="W37" s="124"/>
      <c r="X37" s="125" t="n">
        <v>36.7</v>
      </c>
      <c r="Y37" s="125" t="n">
        <v>35.9</v>
      </c>
      <c r="Z37" s="32" t="n">
        <v>2.31</v>
      </c>
      <c r="AA37" s="32" t="n">
        <v>2.25</v>
      </c>
      <c r="AB37" s="125" t="n">
        <v>18.2</v>
      </c>
      <c r="AC37" s="125" t="n">
        <v>17.7</v>
      </c>
      <c r="AD37" s="135"/>
      <c r="AE37" s="135"/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5"/>
      <c r="BB37" s="136"/>
    </row>
    <row r="38" customFormat="false" ht="15.75" hidden="false" customHeight="false" outlineLevel="0" collapsed="false">
      <c r="A38" s="111" t="n">
        <f aca="false">IF(ISBLANK(VLOOKUP(D38,#REF!,3)),0,1)</f>
        <v>1</v>
      </c>
      <c r="B38" s="112" t="n">
        <f aca="false">IF(ISBLANK(D38),0,IF(ISBLANK(E38),0,IF(ISBLANK(F38),0,1)))</f>
        <v>0</v>
      </c>
      <c r="C38" s="128" t="n">
        <v>4</v>
      </c>
      <c r="D38" s="140"/>
      <c r="E38" s="140"/>
      <c r="F38" s="141"/>
      <c r="G38" s="197" t="n">
        <v>35.629</v>
      </c>
      <c r="H38" s="131" t="n">
        <v>100</v>
      </c>
      <c r="I38" s="179" t="n">
        <v>100.1</v>
      </c>
      <c r="J38" s="124"/>
      <c r="K38" s="132"/>
      <c r="L38" s="132"/>
      <c r="M38" s="132"/>
      <c r="N38" s="133"/>
      <c r="O38" s="132"/>
      <c r="P38" s="124"/>
      <c r="Q38" s="124"/>
      <c r="R38" s="124"/>
      <c r="S38" s="124"/>
      <c r="T38" s="32" t="n">
        <v>0.03</v>
      </c>
      <c r="U38" s="32" t="n">
        <v>0.03</v>
      </c>
      <c r="V38" s="124"/>
      <c r="W38" s="124"/>
      <c r="X38" s="125" t="n">
        <v>23.5</v>
      </c>
      <c r="Y38" s="125" t="n">
        <v>22.9</v>
      </c>
      <c r="Z38" s="32" t="n">
        <v>1.49</v>
      </c>
      <c r="AA38" s="32" t="n">
        <v>1.46</v>
      </c>
      <c r="AB38" s="125" t="n">
        <v>6.5</v>
      </c>
      <c r="AC38" s="125" t="n">
        <v>6.4</v>
      </c>
      <c r="AD38" s="135"/>
      <c r="AE38" s="135"/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5"/>
      <c r="BB38" s="136"/>
    </row>
    <row r="39" customFormat="false" ht="15.75" hidden="false" customHeight="false" outlineLevel="0" collapsed="false">
      <c r="A39" s="111" t="n">
        <f aca="false">IF(ISBLANK(VLOOKUP(D39,#REF!,3)),0,1)</f>
        <v>1</v>
      </c>
      <c r="B39" s="112" t="n">
        <f aca="false">IF(ISBLANK(D39),0,IF(ISBLANK(E39),0,IF(ISBLANK(F39),0,1)))</f>
        <v>0</v>
      </c>
      <c r="C39" s="128" t="n">
        <v>5</v>
      </c>
      <c r="D39" s="129"/>
      <c r="E39" s="129"/>
      <c r="F39" s="137"/>
      <c r="G39" s="197" t="n">
        <v>35.838</v>
      </c>
      <c r="H39" s="131" t="n">
        <v>80</v>
      </c>
      <c r="I39" s="179" t="n">
        <v>79.2</v>
      </c>
      <c r="J39" s="124"/>
      <c r="K39" s="132"/>
      <c r="L39" s="132"/>
      <c r="M39" s="132"/>
      <c r="N39" s="133"/>
      <c r="O39" s="132"/>
      <c r="P39" s="124"/>
      <c r="Q39" s="124"/>
      <c r="R39" s="124"/>
      <c r="S39" s="124"/>
      <c r="T39" s="32" t="n">
        <v>0.31</v>
      </c>
      <c r="U39" s="32" t="n">
        <v>0.3</v>
      </c>
      <c r="V39" s="124"/>
      <c r="W39" s="124"/>
      <c r="X39" s="125" t="n">
        <v>12.5</v>
      </c>
      <c r="Y39" s="125" t="n">
        <v>12.2</v>
      </c>
      <c r="Z39" s="32" t="n">
        <v>0.82</v>
      </c>
      <c r="AA39" s="32" t="n">
        <v>0.8</v>
      </c>
      <c r="AB39" s="125" t="n">
        <v>4.2</v>
      </c>
      <c r="AC39" s="125" t="n">
        <v>4.1</v>
      </c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6"/>
    </row>
    <row r="40" customFormat="false" ht="15.75" hidden="false" customHeight="false" outlineLevel="0" collapsed="false">
      <c r="A40" s="111" t="n">
        <f aca="false">IF(ISBLANK(VLOOKUP(D40,#REF!,3)),0,1)</f>
        <v>1</v>
      </c>
      <c r="B40" s="112" t="n">
        <f aca="false">IF(ISBLANK(D40),0,IF(ISBLANK(E40),0,IF(ISBLANK(F40),0,1)))</f>
        <v>0</v>
      </c>
      <c r="C40" s="128" t="n">
        <v>6</v>
      </c>
      <c r="D40" s="129"/>
      <c r="E40" s="129"/>
      <c r="F40" s="137"/>
      <c r="G40" s="195" t="n">
        <v>35.991</v>
      </c>
      <c r="H40" s="131" t="n">
        <v>60</v>
      </c>
      <c r="I40" s="179" t="n">
        <v>60.2</v>
      </c>
      <c r="J40" s="124"/>
      <c r="K40" s="132"/>
      <c r="L40" s="132"/>
      <c r="M40" s="132"/>
      <c r="N40" s="133"/>
      <c r="O40" s="132"/>
      <c r="P40" s="124"/>
      <c r="Q40" s="124"/>
      <c r="R40" s="124"/>
      <c r="S40" s="124"/>
      <c r="T40" s="32" t="n">
        <v>0.07</v>
      </c>
      <c r="U40" s="32" t="n">
        <v>0.07</v>
      </c>
      <c r="V40" s="124"/>
      <c r="W40" s="124"/>
      <c r="X40" s="125" t="n">
        <v>1.1</v>
      </c>
      <c r="Y40" s="125" t="n">
        <v>1.1</v>
      </c>
      <c r="Z40" s="32" t="n">
        <v>0.13</v>
      </c>
      <c r="AA40" s="32" t="n">
        <v>0.13</v>
      </c>
      <c r="AB40" s="125" t="n">
        <v>2.1</v>
      </c>
      <c r="AC40" s="125" t="n">
        <v>2.1</v>
      </c>
      <c r="AD40" s="135"/>
      <c r="AE40" s="135"/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5"/>
      <c r="BB40" s="136"/>
    </row>
    <row r="41" customFormat="false" ht="15.75" hidden="false" customHeight="false" outlineLevel="0" collapsed="false">
      <c r="A41" s="111" t="n">
        <f aca="false">IF(ISBLANK(VLOOKUP(D41,#REF!,3)),0,1)</f>
        <v>1</v>
      </c>
      <c r="B41" s="112" t="n">
        <f aca="false">IF(ISBLANK(D41),0,IF(ISBLANK(E41),0,IF(ISBLANK(F41),0,1)))</f>
        <v>0</v>
      </c>
      <c r="C41" s="128" t="n">
        <v>7</v>
      </c>
      <c r="D41" s="129"/>
      <c r="E41" s="129"/>
      <c r="F41" s="137"/>
      <c r="G41" s="198" t="n">
        <v>36.111</v>
      </c>
      <c r="H41" s="131" t="n">
        <v>40</v>
      </c>
      <c r="I41" s="179" t="n">
        <v>39.8</v>
      </c>
      <c r="J41" s="124"/>
      <c r="K41" s="132"/>
      <c r="L41" s="132"/>
      <c r="M41" s="132"/>
      <c r="N41" s="133"/>
      <c r="O41" s="132"/>
      <c r="P41" s="124"/>
      <c r="Q41" s="124"/>
      <c r="R41" s="124"/>
      <c r="S41" s="124"/>
      <c r="T41" s="32" t="n">
        <v>0</v>
      </c>
      <c r="U41" s="32" t="n">
        <v>0</v>
      </c>
      <c r="V41" s="124"/>
      <c r="W41" s="124"/>
      <c r="X41" s="125" t="n">
        <v>0</v>
      </c>
      <c r="Y41" s="125" t="n">
        <v>0</v>
      </c>
      <c r="Z41" s="32" t="n">
        <v>0.03</v>
      </c>
      <c r="AA41" s="32" t="n">
        <v>0.03</v>
      </c>
      <c r="AB41" s="125" t="n">
        <v>1.1</v>
      </c>
      <c r="AC41" s="125" t="n">
        <v>1.1</v>
      </c>
      <c r="AD41" s="135"/>
      <c r="AE41" s="135"/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5"/>
      <c r="BB41" s="136"/>
    </row>
    <row r="42" customFormat="false" ht="15.75" hidden="false" customHeight="false" outlineLevel="0" collapsed="false">
      <c r="A42" s="111" t="n">
        <f aca="false">IF(ISBLANK(VLOOKUP(D42,#REF!,3)),0,1)</f>
        <v>1</v>
      </c>
      <c r="B42" s="112" t="n">
        <f aca="false">IF(ISBLANK(D42),0,IF(ISBLANK(E42),0,IF(ISBLANK(F42),0,1)))</f>
        <v>0</v>
      </c>
      <c r="C42" s="128" t="n">
        <v>8</v>
      </c>
      <c r="D42" s="129"/>
      <c r="E42" s="129"/>
      <c r="F42" s="137"/>
      <c r="G42" s="198" t="n">
        <v>35.166</v>
      </c>
      <c r="H42" s="131" t="n">
        <v>20</v>
      </c>
      <c r="I42" s="179" t="n">
        <v>19.9</v>
      </c>
      <c r="J42" s="124"/>
      <c r="K42" s="132"/>
      <c r="L42" s="132"/>
      <c r="M42" s="132"/>
      <c r="N42" s="133"/>
      <c r="O42" s="132"/>
      <c r="P42" s="124"/>
      <c r="Q42" s="124"/>
      <c r="R42" s="124"/>
      <c r="S42" s="124"/>
      <c r="T42" s="32" t="n">
        <v>0</v>
      </c>
      <c r="U42" s="32" t="n">
        <v>0</v>
      </c>
      <c r="V42" s="124"/>
      <c r="W42" s="124"/>
      <c r="X42" s="125" t="n">
        <v>0</v>
      </c>
      <c r="Y42" s="125" t="n">
        <v>0</v>
      </c>
      <c r="Z42" s="32" t="n">
        <v>0.04</v>
      </c>
      <c r="AA42" s="32" t="n">
        <v>0.04</v>
      </c>
      <c r="AB42" s="125" t="n">
        <v>0.9</v>
      </c>
      <c r="AC42" s="125" t="n">
        <v>0.9</v>
      </c>
      <c r="AD42" s="135"/>
      <c r="AE42" s="135"/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5"/>
      <c r="BB42" s="136"/>
    </row>
    <row r="43" customFormat="false" ht="15.75" hidden="false" customHeight="false" outlineLevel="0" collapsed="false">
      <c r="A43" s="111" t="n">
        <f aca="false">IF(ISBLANK(VLOOKUP(D43,#REF!,3)),0,1)</f>
        <v>1</v>
      </c>
      <c r="B43" s="112" t="n">
        <f aca="false">IF(ISBLANK(D43),0,IF(ISBLANK(E43),0,IF(ISBLANK(F43),0,1)))</f>
        <v>0</v>
      </c>
      <c r="C43" s="128" t="n">
        <v>9</v>
      </c>
      <c r="D43" s="129"/>
      <c r="E43" s="129"/>
      <c r="F43" s="137"/>
      <c r="G43" s="196" t="n">
        <v>35.156</v>
      </c>
      <c r="H43" s="131" t="n">
        <v>10</v>
      </c>
      <c r="I43" s="179" t="n">
        <v>10</v>
      </c>
      <c r="J43" s="124"/>
      <c r="K43" s="132"/>
      <c r="L43" s="132"/>
      <c r="M43" s="132"/>
      <c r="N43" s="133"/>
      <c r="O43" s="132"/>
      <c r="P43" s="124"/>
      <c r="Q43" s="124"/>
      <c r="R43" s="124"/>
      <c r="S43" s="124"/>
      <c r="T43" s="32" t="n">
        <v>0</v>
      </c>
      <c r="U43" s="32" t="n">
        <v>0</v>
      </c>
      <c r="V43" s="124"/>
      <c r="W43" s="124"/>
      <c r="X43" s="125" t="n">
        <v>0</v>
      </c>
      <c r="Y43" s="125" t="n">
        <v>0</v>
      </c>
      <c r="Z43" s="32" t="n">
        <v>0.03</v>
      </c>
      <c r="AA43" s="32" t="n">
        <v>0.03</v>
      </c>
      <c r="AB43" s="125" t="n">
        <v>0.9</v>
      </c>
      <c r="AC43" s="125" t="n">
        <v>0.9</v>
      </c>
      <c r="AD43" s="135"/>
      <c r="AE43" s="135"/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5"/>
      <c r="BB43" s="136"/>
    </row>
    <row r="44" customFormat="false" ht="15.75" hidden="false" customHeight="false" outlineLevel="0" collapsed="false">
      <c r="A44" s="111" t="n">
        <f aca="false">IF(ISBLANK(VLOOKUP(D44,#REF!,3)),0,1)</f>
        <v>1</v>
      </c>
      <c r="B44" s="112" t="n">
        <f aca="false">IF(ISBLANK(D44),0,IF(ISBLANK(E44),0,IF(ISBLANK(F44),0,1)))</f>
        <v>0</v>
      </c>
      <c r="C44" s="128" t="n">
        <v>10</v>
      </c>
      <c r="D44" s="129"/>
      <c r="E44" s="129"/>
      <c r="F44" s="137"/>
      <c r="G44" s="196" t="n">
        <v>35.154</v>
      </c>
      <c r="H44" s="131" t="n">
        <v>0</v>
      </c>
      <c r="I44" s="179" t="n">
        <v>2.1</v>
      </c>
      <c r="J44" s="124"/>
      <c r="K44" s="132"/>
      <c r="L44" s="132"/>
      <c r="M44" s="132"/>
      <c r="N44" s="133"/>
      <c r="O44" s="132"/>
      <c r="P44" s="124"/>
      <c r="Q44" s="124"/>
      <c r="R44" s="124"/>
      <c r="S44" s="124"/>
      <c r="T44" s="32" t="n">
        <v>0</v>
      </c>
      <c r="U44" s="32" t="n">
        <v>0</v>
      </c>
      <c r="V44" s="124"/>
      <c r="W44" s="124"/>
      <c r="X44" s="125" t="n">
        <v>0</v>
      </c>
      <c r="Y44" s="125" t="n">
        <v>0</v>
      </c>
      <c r="Z44" s="32" t="n">
        <v>0.02</v>
      </c>
      <c r="AA44" s="32" t="n">
        <v>0.02</v>
      </c>
      <c r="AB44" s="125" t="n">
        <v>1</v>
      </c>
      <c r="AC44" s="125" t="n">
        <v>0.9</v>
      </c>
      <c r="AD44" s="135"/>
      <c r="AE44" s="135"/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5"/>
      <c r="BB44" s="136"/>
    </row>
    <row r="45" customFormat="false" ht="15.75" hidden="false" customHeight="false" outlineLevel="0" collapsed="false">
      <c r="A45" s="111" t="n">
        <f aca="false">IF(ISBLANK(VLOOKUP(D45,#REF!,3)),0,1)</f>
        <v>1</v>
      </c>
      <c r="B45" s="112" t="n">
        <f aca="false">IF(ISBLANK(D45),0,IF(ISBLANK(E45),0,IF(ISBLANK(F45),0,1)))</f>
        <v>0</v>
      </c>
      <c r="C45" s="128" t="n">
        <v>11</v>
      </c>
      <c r="D45" s="129"/>
      <c r="E45" s="129"/>
      <c r="F45" s="137"/>
      <c r="G45" s="137"/>
      <c r="H45" s="137"/>
      <c r="I45" s="137"/>
      <c r="J45" s="124"/>
      <c r="K45" s="132"/>
      <c r="L45" s="132"/>
      <c r="M45" s="132"/>
      <c r="N45" s="133"/>
      <c r="O45" s="132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35"/>
      <c r="AE45" s="135"/>
      <c r="AF45" s="135"/>
      <c r="AG45" s="135"/>
      <c r="AH45" s="135"/>
      <c r="AI45" s="135"/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35"/>
      <c r="AW45" s="135"/>
      <c r="AX45" s="135"/>
      <c r="AY45" s="135"/>
      <c r="AZ45" s="135"/>
      <c r="BA45" s="135"/>
      <c r="BB45" s="136"/>
    </row>
    <row r="46" customFormat="false" ht="15.75" hidden="false" customHeight="false" outlineLevel="0" collapsed="false">
      <c r="A46" s="111" t="n">
        <f aca="false">IF(ISBLANK(VLOOKUP(D46,#REF!,3)),0,1)</f>
        <v>1</v>
      </c>
      <c r="B46" s="112" t="n">
        <f aca="false">IF(ISBLANK(D46),0,IF(ISBLANK(E46),0,IF(ISBLANK(F46),0,1)))</f>
        <v>0</v>
      </c>
      <c r="C46" s="128" t="n">
        <v>12</v>
      </c>
      <c r="D46" s="144"/>
      <c r="E46" s="144"/>
      <c r="F46" s="145"/>
      <c r="G46" s="146"/>
      <c r="H46" s="144"/>
      <c r="I46" s="147"/>
      <c r="J46" s="124" t="str">
        <f aca="false">IF(ISBLANK(D46),"",IF(VLOOKUP(D46,#REF!,2)=0,"",IF(D46&gt;#REF!,"Mauvais numéro",IF(D46&lt;#REF!,"Mauvais numéro",(VLOOKUP(D46,#REF!,3))))))</f>
        <v/>
      </c>
      <c r="K46" s="148" t="str">
        <f aca="false">IF(ISBLANK(E46),"",(0.000824493-(0.0000040899*E46)+(0.000000076438*E46^2)-(0.00000000082467*E46^3)+(0.0000000000053875*E46^4)))</f>
        <v/>
      </c>
      <c r="L46" s="148" t="str">
        <f aca="false">IF(ISBLANK(E46),"",(-0.00000572466+(0.00000010227*E46)-(0.0000000016546*E46^2)))</f>
        <v/>
      </c>
      <c r="M46" s="148" t="str">
        <f aca="false">IF(ISBLANK(E46),"",IF(ISBLANK(G46),(O46+(K46*35)+(L46*35^1.5)+(0.00000048314*35^2)),(O46+(K46*G46)+(L46*G46^1.5)+(0.00000048314*G46^2))))</f>
        <v/>
      </c>
      <c r="N46" s="149" t="str">
        <f aca="false">IF(ISBLANK(D46),"",IF(ISBLANK(G46),J46*(1+0.00001*(35-20)),J46*(1+0.00001*(G46-20))))</f>
        <v/>
      </c>
      <c r="O46" s="148" t="str">
        <f aca="false">IF(ISBLANK(E46),"",(0.999842594+(0.00006793952*E46)-(0.00000909529*E46^2)+(0.0000001001685*E46^3)-(0.000000001120083*E46^4)+(0.000000000006536332*E46^5)))</f>
        <v/>
      </c>
      <c r="P46" s="150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51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52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35"/>
      <c r="AW46" s="135"/>
      <c r="AX46" s="135"/>
      <c r="AY46" s="135"/>
      <c r="AZ46" s="135"/>
      <c r="BA46" s="135"/>
      <c r="BB46" s="136"/>
    </row>
    <row r="47" customFormat="false" ht="15.75" hidden="false" customHeight="false" outlineLevel="0" collapsed="false">
      <c r="A47" s="111" t="n">
        <f aca="false">IF(ISBLANK(VLOOKUP(D47,#REF!,3)),0,1)</f>
        <v>1</v>
      </c>
      <c r="B47" s="112" t="n">
        <f aca="false">IF(ISBLANK(D47),0,IF(ISBLANK(E47),0,IF(ISBLANK(F47),0,1)))</f>
        <v>0</v>
      </c>
      <c r="C47" s="128" t="n">
        <v>13</v>
      </c>
      <c r="D47" s="153"/>
      <c r="E47" s="153"/>
      <c r="F47" s="154"/>
      <c r="G47" s="155"/>
      <c r="H47" s="153"/>
      <c r="I47" s="153"/>
      <c r="J47" s="124" t="str">
        <f aca="false">IF(ISBLANK(D47),"",IF(VLOOKUP(D47,#REF!,2)=0,"",IF(D47&gt;#REF!,"Mauvais numéro",IF(D47&lt;#REF!,"Mauvais numéro",(VLOOKUP(D47,#REF!,3))))))</f>
        <v/>
      </c>
      <c r="K47" s="132" t="str">
        <f aca="false">IF(ISBLANK(E47),"",(0.000824493-(0.0000040899*E47)+(0.000000076438*E47^2)-(0.00000000082467*E47^3)+(0.0000000000053875*E47^4)))</f>
        <v/>
      </c>
      <c r="L47" s="132" t="str">
        <f aca="false">IF(ISBLANK(E47),"",(-0.00000572466+(0.00000010227*E47)-(0.0000000016546*E47^2)))</f>
        <v/>
      </c>
      <c r="M47" s="132" t="str">
        <f aca="false">IF(ISBLANK(E47),"",IF(ISBLANK(G47),(O47+(K47*35)+(L47*35^1.5)+(0.00000048314*35^2)),(O47+(K47*G47)+(L47*G47^1.5)+(0.00000048314*G47^2))))</f>
        <v/>
      </c>
      <c r="N47" s="133" t="str">
        <f aca="false">IF(ISBLANK(D47),"",IF(ISBLANK(G47),J47*(1+0.00001*(35-20)),J47*(1+0.00001*(G47-20))))</f>
        <v/>
      </c>
      <c r="O47" s="132" t="str">
        <f aca="false">IF(ISBLANK(E47),"",(0.999842594+(0.00006793952*E47)-(0.00000909529*E47^2)+(0.0000001001685*E47^3)-(0.000000001120083*E47^4)+(0.000000000006536332*E47^5)))</f>
        <v/>
      </c>
      <c r="P47" s="156"/>
      <c r="Q47" s="151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57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56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5"/>
      <c r="BB47" s="136"/>
    </row>
    <row r="48" customFormat="false" ht="15.75" hidden="false" customHeight="false" outlineLevel="0" collapsed="false">
      <c r="A48" s="111" t="n">
        <f aca="false">IF(ISBLANK(VLOOKUP(D48,#REF!,3)),0,1)</f>
        <v>1</v>
      </c>
      <c r="B48" s="112" t="n">
        <f aca="false">IF(ISBLANK(D48),0,IF(ISBLANK(E48),0,IF(ISBLANK(F48),0,1)))</f>
        <v>0</v>
      </c>
      <c r="C48" s="128" t="n">
        <v>14</v>
      </c>
      <c r="D48" s="153"/>
      <c r="E48" s="153"/>
      <c r="F48" s="154"/>
      <c r="G48" s="155"/>
      <c r="H48" s="153"/>
      <c r="I48" s="153"/>
      <c r="J48" s="124" t="str">
        <f aca="false">IF(ISBLANK(D48),"",IF(VLOOKUP(D48,#REF!,2)=0,"",IF(D48&gt;#REF!,"Mauvais numéro",IF(D48&lt;#REF!,"Mauvais numéro",(VLOOKUP(D48,#REF!,3))))))</f>
        <v/>
      </c>
      <c r="K48" s="132" t="str">
        <f aca="false">IF(ISBLANK(E48),"",(0.000824493-(0.0000040899*E48)+(0.000000076438*E48^2)-(0.00000000082467*E48^3)+(0.0000000000053875*E48^4)))</f>
        <v/>
      </c>
      <c r="L48" s="132" t="str">
        <f aca="false">IF(ISBLANK(E48),"",(-0.00000572466+(0.00000010227*E48)-(0.0000000016546*E48^2)))</f>
        <v/>
      </c>
      <c r="M48" s="132" t="str">
        <f aca="false">IF(ISBLANK(E48),"",IF(ISBLANK(G48),(O48+(K48*35)+(L48*35^1.5)+(0.00000048314*35^2)),(O48+(K48*G48)+(L48*G48^1.5)+(0.00000048314*G48^2))))</f>
        <v/>
      </c>
      <c r="N48" s="133" t="str">
        <f aca="false">IF(ISBLANK(D48),"",IF(ISBLANK(G48),J48*(1+0.00001*(35-20)),J48*(1+0.00001*(G48-20))))</f>
        <v/>
      </c>
      <c r="O48" s="132" t="str">
        <f aca="false">IF(ISBLANK(E48),"",(0.999842594+(0.00006793952*E48)-(0.00000909529*E48^2)+(0.0000001001685*E48^3)-(0.000000001120083*E48^4)+(0.000000000006536332*E48^5)))</f>
        <v/>
      </c>
      <c r="P48" s="156"/>
      <c r="Q48" s="151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57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56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6"/>
    </row>
    <row r="49" customFormat="false" ht="15.75" hidden="false" customHeight="false" outlineLevel="0" collapsed="false">
      <c r="A49" s="111" t="n">
        <f aca="false">IF(ISBLANK(VLOOKUP(D49,#REF!,3)),0,1)</f>
        <v>1</v>
      </c>
      <c r="B49" s="112" t="n">
        <f aca="false">IF(ISBLANK(D49),0,IF(ISBLANK(E49),0,IF(ISBLANK(F49),0,1)))</f>
        <v>0</v>
      </c>
      <c r="C49" s="128" t="n">
        <v>15</v>
      </c>
      <c r="D49" s="153"/>
      <c r="E49" s="153"/>
      <c r="F49" s="154"/>
      <c r="G49" s="158"/>
      <c r="H49" s="153"/>
      <c r="I49" s="153"/>
      <c r="J49" s="124" t="str">
        <f aca="false">IF(ISBLANK(D49),"",IF(VLOOKUP(D49,#REF!,2)=0,"",IF(D49&gt;#REF!,"Mauvais numéro",IF(D49&lt;#REF!,"Mauvais numéro",(VLOOKUP(D49,#REF!,3))))))</f>
        <v/>
      </c>
      <c r="K49" s="132" t="str">
        <f aca="false">IF(ISBLANK(E49),"",(0.000824493-(0.0000040899*E49)+(0.000000076438*E49^2)-(0.00000000082467*E49^3)+(0.0000000000053875*E49^4)))</f>
        <v/>
      </c>
      <c r="L49" s="132" t="str">
        <f aca="false">IF(ISBLANK(E49),"",(-0.00000572466+(0.00000010227*E49)-(0.0000000016546*E49^2)))</f>
        <v/>
      </c>
      <c r="M49" s="132" t="str">
        <f aca="false">IF(ISBLANK(E49),"",IF(ISBLANK(G49),(O49+(K49*35)+(L49*35^1.5)+(0.00000048314*35^2)),(O49+(K49*G49)+(L49*G49^1.5)+(0.00000048314*G49^2))))</f>
        <v/>
      </c>
      <c r="N49" s="133" t="str">
        <f aca="false">IF(ISBLANK(D49),"",IF(ISBLANK(G49),J49*(1+0.00001*(35-20)),J49*(1+0.00001*(G49-20))))</f>
        <v/>
      </c>
      <c r="O49" s="132" t="str">
        <f aca="false">IF(ISBLANK(E49),"",(0.999842594+(0.00006793952*E49)-(0.00000909529*E49^2)+(0.0000001001685*E49^3)-(0.000000001120083*E49^4)+(0.000000000006536332*E49^5)))</f>
        <v/>
      </c>
      <c r="P49" s="15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51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57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5"/>
      <c r="W49" s="125"/>
      <c r="X49" s="125"/>
      <c r="Y49" s="125"/>
      <c r="Z49" s="32"/>
      <c r="AA49" s="32"/>
      <c r="AB49" s="125"/>
      <c r="AC49" s="125"/>
      <c r="AD49" s="135"/>
      <c r="AE49" s="135"/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6"/>
    </row>
    <row r="50" customFormat="false" ht="15.75" hidden="false" customHeight="false" outlineLevel="0" collapsed="false">
      <c r="A50" s="111" t="n">
        <f aca="false">IF(ISBLANK(VLOOKUP(D50,#REF!,3)),0,1)</f>
        <v>1</v>
      </c>
      <c r="B50" s="112" t="n">
        <f aca="false">IF(ISBLANK(D50),0,IF(ISBLANK(E50),0,IF(ISBLANK(F50),0,1)))</f>
        <v>0</v>
      </c>
      <c r="C50" s="128" t="n">
        <v>16</v>
      </c>
      <c r="D50" s="153"/>
      <c r="E50" s="153"/>
      <c r="F50" s="154"/>
      <c r="G50" s="158"/>
      <c r="H50" s="153"/>
      <c r="I50" s="153"/>
      <c r="J50" s="124" t="str">
        <f aca="false">IF(ISBLANK(D50),"",IF(VLOOKUP(D50,#REF!,2)=0,"",IF(D50&gt;#REF!,"Mauvais numéro",IF(D50&lt;#REF!,"Mauvais numéro",(VLOOKUP(D50,#REF!,3))))))</f>
        <v/>
      </c>
      <c r="K50" s="132" t="str">
        <f aca="false">IF(ISBLANK(E50),"",(0.000824493-(0.0000040899*E50)+(0.000000076438*E50^2)-(0.00000000082467*E50^3)+(0.0000000000053875*E50^4)))</f>
        <v/>
      </c>
      <c r="L50" s="132" t="str">
        <f aca="false">IF(ISBLANK(E50),"",(-0.00000572466+(0.00000010227*E50)-(0.0000000016546*E50^2)))</f>
        <v/>
      </c>
      <c r="M50" s="132" t="str">
        <f aca="false">IF(ISBLANK(E50),"",IF(ISBLANK(G50),(O50+(K50*35)+(L50*35^1.5)+(0.00000048314*35^2)),(O50+(K50*G50)+(L50*G50^1.5)+(0.00000048314*G50^2))))</f>
        <v/>
      </c>
      <c r="N50" s="133" t="str">
        <f aca="false">IF(ISBLANK(D50),"",IF(ISBLANK(G50),J50*(1+0.00001*(35-20)),J50*(1+0.00001*(G50-20))))</f>
        <v/>
      </c>
      <c r="O50" s="132" t="str">
        <f aca="false">IF(ISBLANK(E50),"",(0.999842594+(0.00006793952*E50)-(0.00000909529*E50^2)+(0.0000001001685*E50^3)-(0.000000001120083*E50^4)+(0.000000000006536332*E50^5)))</f>
        <v/>
      </c>
      <c r="P50" s="15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51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57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6"/>
    </row>
    <row r="51" customFormat="false" ht="15.75" hidden="false" customHeight="false" outlineLevel="0" collapsed="false">
      <c r="A51" s="111" t="n">
        <f aca="false">IF(ISBLANK(VLOOKUP(D51,#REF!,3)),0,1)</f>
        <v>1</v>
      </c>
      <c r="B51" s="112" t="n">
        <f aca="false">IF(ISBLANK(D51),0,IF(ISBLANK(E51),0,IF(ISBLANK(F51),0,1)))</f>
        <v>0</v>
      </c>
      <c r="C51" s="128" t="n">
        <v>17</v>
      </c>
      <c r="D51" s="153"/>
      <c r="E51" s="153"/>
      <c r="F51" s="154"/>
      <c r="G51" s="158"/>
      <c r="H51" s="153"/>
      <c r="I51" s="153"/>
      <c r="J51" s="124" t="str">
        <f aca="false">IF(ISBLANK(D51),"",IF(VLOOKUP(D51,#REF!,2)=0,"",IF(D51&gt;#REF!,"Mauvais numéro",IF(D51&lt;#REF!,"Mauvais numéro",(VLOOKUP(D51,#REF!,3))))))</f>
        <v/>
      </c>
      <c r="K51" s="132" t="str">
        <f aca="false">IF(ISBLANK(E51),"",(0.000824493-(0.0000040899*E51)+(0.000000076438*E51^2)-(0.00000000082467*E51^3)+(0.0000000000053875*E51^4)))</f>
        <v/>
      </c>
      <c r="L51" s="132" t="str">
        <f aca="false">IF(ISBLANK(E51),"",(-0.00000572466+(0.00000010227*E51)-(0.0000000016546*E51^2)))</f>
        <v/>
      </c>
      <c r="M51" s="132" t="str">
        <f aca="false">IF(ISBLANK(E51),"",IF(ISBLANK(G51),(O51+(K51*35)+(L51*35^1.5)+(0.00000048314*35^2)),(O51+(K51*G51)+(L51*G51^1.5)+(0.00000048314*G51^2))))</f>
        <v/>
      </c>
      <c r="N51" s="133" t="str">
        <f aca="false">IF(ISBLANK(D51),"",IF(ISBLANK(G51),J51*(1+0.00001*(35-20)),J51*(1+0.00001*(G51-20))))</f>
        <v/>
      </c>
      <c r="O51" s="132" t="str">
        <f aca="false">IF(ISBLANK(E51),"",(0.999842594+(0.00006793952*E51)-(0.00000909529*E51^2)+(0.0000001001685*E51^3)-(0.000000001120083*E51^4)+(0.000000000006536332*E51^5)))</f>
        <v/>
      </c>
      <c r="P51" s="15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51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57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5"/>
      <c r="W51" s="125"/>
      <c r="X51" s="125"/>
      <c r="Y51" s="125"/>
      <c r="Z51" s="32"/>
      <c r="AA51" s="32"/>
      <c r="AB51" s="125"/>
      <c r="AC51" s="12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6"/>
    </row>
    <row r="52" customFormat="false" ht="15.75" hidden="false" customHeight="false" outlineLevel="0" collapsed="false">
      <c r="A52" s="111" t="n">
        <f aca="false">IF(ISBLANK(VLOOKUP(D52,#REF!,3)),0,1)</f>
        <v>1</v>
      </c>
      <c r="B52" s="112" t="n">
        <f aca="false">IF(ISBLANK(D52),0,IF(ISBLANK(E52),0,IF(ISBLANK(F52),0,1)))</f>
        <v>0</v>
      </c>
      <c r="C52" s="128" t="n">
        <v>18</v>
      </c>
      <c r="D52" s="153"/>
      <c r="E52" s="153"/>
      <c r="F52" s="154"/>
      <c r="G52" s="158"/>
      <c r="H52" s="153"/>
      <c r="I52" s="153"/>
      <c r="J52" s="124" t="str">
        <f aca="false">IF(ISBLANK(D52),"",IF(VLOOKUP(D52,#REF!,2)=0,"",IF(D52&gt;#REF!,"Mauvais numéro",IF(D52&lt;#REF!,"Mauvais numéro",(VLOOKUP(D52,#REF!,3))))))</f>
        <v/>
      </c>
      <c r="K52" s="132" t="str">
        <f aca="false">IF(ISBLANK(E52),"",(0.000824493-(0.0000040899*E52)+(0.000000076438*E52^2)-(0.00000000082467*E52^3)+(0.0000000000053875*E52^4)))</f>
        <v/>
      </c>
      <c r="L52" s="132" t="str">
        <f aca="false">IF(ISBLANK(E52),"",(-0.00000572466+(0.00000010227*E52)-(0.0000000016546*E52^2)))</f>
        <v/>
      </c>
      <c r="M52" s="132" t="str">
        <f aca="false">IF(ISBLANK(E52),"",IF(ISBLANK(G52),(O52+(K52*35)+(L52*35^1.5)+(0.00000048314*35^2)),(O52+(K52*G52)+(L52*G52^1.5)+(0.00000048314*G52^2))))</f>
        <v/>
      </c>
      <c r="N52" s="133" t="str">
        <f aca="false">IF(ISBLANK(D52),"",IF(ISBLANK(G52),J52*(1+0.00001*(35-20)),J52*(1+0.00001*(G52-20))))</f>
        <v/>
      </c>
      <c r="O52" s="132" t="str">
        <f aca="false">IF(ISBLANK(E52),"",(0.999842594+(0.00006793952*E52)-(0.00000909529*E52^2)+(0.0000001001685*E52^3)-(0.000000001120083*E52^4)+(0.000000000006536332*E52^5)))</f>
        <v/>
      </c>
      <c r="P52" s="15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51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57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6"/>
    </row>
    <row r="53" customFormat="false" ht="15.75" hidden="false" customHeight="false" outlineLevel="0" collapsed="false">
      <c r="A53" s="111" t="n">
        <f aca="false">IF(ISBLANK(VLOOKUP(D53,#REF!,3)),0,1)</f>
        <v>1</v>
      </c>
      <c r="B53" s="112" t="n">
        <f aca="false">IF(ISBLANK(D53),0,IF(ISBLANK(E53),0,IF(ISBLANK(F53),0,1)))</f>
        <v>0</v>
      </c>
      <c r="C53" s="128" t="n">
        <v>19</v>
      </c>
      <c r="D53" s="153"/>
      <c r="E53" s="153"/>
      <c r="F53" s="154"/>
      <c r="G53" s="158"/>
      <c r="H53" s="153"/>
      <c r="I53" s="153"/>
      <c r="J53" s="124" t="str">
        <f aca="false">IF(ISBLANK(D53),"",IF(VLOOKUP(D53,#REF!,2)=0,"",IF(D53&gt;#REF!,"Mauvais numéro",IF(D53&lt;#REF!,"Mauvais numéro",(VLOOKUP(D53,#REF!,3))))))</f>
        <v/>
      </c>
      <c r="K53" s="132" t="str">
        <f aca="false">IF(ISBLANK(E53),"",(0.000824493-(0.0000040899*E53)+(0.000000076438*E53^2)-(0.00000000082467*E53^3)+(0.0000000000053875*E53^4)))</f>
        <v/>
      </c>
      <c r="L53" s="132" t="str">
        <f aca="false">IF(ISBLANK(E53),"",(-0.00000572466+(0.00000010227*E53)-(0.0000000016546*E53^2)))</f>
        <v/>
      </c>
      <c r="M53" s="132" t="str">
        <f aca="false">IF(ISBLANK(E53),"",IF(ISBLANK(G53),(O53+(K53*35)+(L53*35^1.5)+(0.00000048314*35^2)),(O53+(K53*G53)+(L53*G53^1.5)+(0.00000048314*G53^2))))</f>
        <v/>
      </c>
      <c r="N53" s="133" t="str">
        <f aca="false">IF(ISBLANK(D53),"",IF(ISBLANK(G53),J53*(1+0.00001*(35-20)),J53*(1+0.00001*(G53-20))))</f>
        <v/>
      </c>
      <c r="O53" s="132" t="str">
        <f aca="false">IF(ISBLANK(E53),"",(0.999842594+(0.00006793952*E53)-(0.00000909529*E53^2)+(0.0000001001685*E53^3)-(0.000000001120083*E53^4)+(0.000000000006536332*E53^5)))</f>
        <v/>
      </c>
      <c r="P53" s="15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51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57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6"/>
    </row>
    <row r="54" customFormat="false" ht="15.75" hidden="false" customHeight="false" outlineLevel="0" collapsed="false">
      <c r="A54" s="111" t="n">
        <f aca="false">IF(ISBLANK(VLOOKUP(D54,#REF!,3)),0,1)</f>
        <v>1</v>
      </c>
      <c r="B54" s="112" t="n">
        <f aca="false">IF(ISBLANK(D54),0,IF(ISBLANK(E54),0,IF(ISBLANK(F54),0,1)))</f>
        <v>0</v>
      </c>
      <c r="C54" s="128" t="n">
        <v>20</v>
      </c>
      <c r="D54" s="153"/>
      <c r="E54" s="153"/>
      <c r="F54" s="154"/>
      <c r="G54" s="158"/>
      <c r="H54" s="153"/>
      <c r="I54" s="153"/>
      <c r="J54" s="124" t="str">
        <f aca="false">IF(ISBLANK(D54),"",IF(VLOOKUP(D54,#REF!,2)=0,"",IF(D54&gt;#REF!,"Mauvais numéro",IF(D54&lt;#REF!,"Mauvais numéro",(VLOOKUP(D54,#REF!,3))))))</f>
        <v/>
      </c>
      <c r="K54" s="132" t="str">
        <f aca="false">IF(ISBLANK(E54),"",(0.000824493-(0.0000040899*E54)+(0.000000076438*E54^2)-(0.00000000082467*E54^3)+(0.0000000000053875*E54^4)))</f>
        <v/>
      </c>
      <c r="L54" s="132" t="str">
        <f aca="false">IF(ISBLANK(E54),"",(-0.00000572466+(0.00000010227*E54)-(0.0000000016546*E54^2)))</f>
        <v/>
      </c>
      <c r="M54" s="132" t="str">
        <f aca="false">IF(ISBLANK(E54),"",IF(ISBLANK(G54),(O54+(K54*35)+(L54*35^1.5)+(0.00000048314*35^2)),(O54+(K54*G54)+(L54*G54^1.5)+(0.00000048314*G54^2))))</f>
        <v/>
      </c>
      <c r="N54" s="133" t="str">
        <f aca="false">IF(ISBLANK(D54),"",IF(ISBLANK(G54),J54*(1+0.00001*(35-20)),J54*(1+0.00001*(G54-20))))</f>
        <v/>
      </c>
      <c r="O54" s="132" t="str">
        <f aca="false">IF(ISBLANK(E54),"",(0.999842594+(0.00006793952*E54)-(0.00000909529*E54^2)+(0.0000001001685*E54^3)-(0.000000001120083*E54^4)+(0.000000000006536332*E54^5)))</f>
        <v/>
      </c>
      <c r="P54" s="15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51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57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6"/>
    </row>
    <row r="55" customFormat="false" ht="15.75" hidden="false" customHeight="false" outlineLevel="0" collapsed="false">
      <c r="A55" s="111" t="n">
        <f aca="false">IF(ISBLANK(VLOOKUP(D55,#REF!,3)),0,1)</f>
        <v>1</v>
      </c>
      <c r="B55" s="112" t="n">
        <f aca="false">IF(ISBLANK(D55),0,IF(ISBLANK(E55),0,IF(ISBLANK(F55),0,1)))</f>
        <v>0</v>
      </c>
      <c r="C55" s="128" t="n">
        <v>21</v>
      </c>
      <c r="D55" s="153"/>
      <c r="E55" s="153"/>
      <c r="F55" s="154"/>
      <c r="G55" s="158"/>
      <c r="H55" s="153"/>
      <c r="I55" s="153"/>
      <c r="J55" s="124" t="str">
        <f aca="false">IF(ISBLANK(D55),"",IF(VLOOKUP(D55,#REF!,2)=0,"",IF(D55&gt;#REF!,"Mauvais numéro",IF(D55&lt;#REF!,"Mauvais numéro",(VLOOKUP(D55,#REF!,3))))))</f>
        <v/>
      </c>
      <c r="K55" s="132" t="str">
        <f aca="false">IF(ISBLANK(E55),"",(0.000824493-(0.0000040899*E55)+(0.000000076438*E55^2)-(0.00000000082467*E55^3)+(0.0000000000053875*E55^4)))</f>
        <v/>
      </c>
      <c r="L55" s="132" t="str">
        <f aca="false">IF(ISBLANK(E55),"",(-0.00000572466+(0.00000010227*E55)-(0.0000000016546*E55^2)))</f>
        <v/>
      </c>
      <c r="M55" s="132" t="str">
        <f aca="false">IF(ISBLANK(E55),"",IF(ISBLANK(G55),(O55+(K55*35)+(L55*35^1.5)+(0.00000048314*35^2)),(O55+(K55*G55)+(L55*G55^1.5)+(0.00000048314*G55^2))))</f>
        <v/>
      </c>
      <c r="N55" s="133" t="str">
        <f aca="false">IF(ISBLANK(D55),"",IF(ISBLANK(G55),J55*(1+0.00001*(35-20)),J55*(1+0.00001*(G55-20))))</f>
        <v/>
      </c>
      <c r="O55" s="132" t="str">
        <f aca="false">IF(ISBLANK(E55),"",(0.999842594+(0.00006793952*E55)-(0.00000909529*E55^2)+(0.0000001001685*E55^3)-(0.000000001120083*E55^4)+(0.000000000006536332*E55^5)))</f>
        <v/>
      </c>
      <c r="P55" s="15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51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57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6"/>
    </row>
    <row r="56" customFormat="false" ht="15.75" hidden="false" customHeight="false" outlineLevel="0" collapsed="false">
      <c r="A56" s="111" t="n">
        <f aca="false">IF(ISBLANK(VLOOKUP(D56,#REF!,3)),0,1)</f>
        <v>1</v>
      </c>
      <c r="B56" s="112" t="n">
        <f aca="false">IF(ISBLANK(D56),0,IF(ISBLANK(E56),0,IF(ISBLANK(F56),0,1)))</f>
        <v>0</v>
      </c>
      <c r="C56" s="128" t="n">
        <v>22</v>
      </c>
      <c r="D56" s="153"/>
      <c r="E56" s="153"/>
      <c r="F56" s="154"/>
      <c r="G56" s="158"/>
      <c r="H56" s="153"/>
      <c r="I56" s="153"/>
      <c r="J56" s="124" t="str">
        <f aca="false">IF(ISBLANK(D56),"",IF(VLOOKUP(D56,#REF!,2)=0,"",IF(D56&gt;#REF!,"Mauvais numéro",IF(D56&lt;#REF!,"Mauvais numéro",(VLOOKUP(D56,#REF!,3))))))</f>
        <v/>
      </c>
      <c r="K56" s="132" t="str">
        <f aca="false">IF(ISBLANK(E56),"",(0.000824493-(0.0000040899*E56)+(0.000000076438*E56^2)-(0.00000000082467*E56^3)+(0.0000000000053875*E56^4)))</f>
        <v/>
      </c>
      <c r="L56" s="132" t="str">
        <f aca="false">IF(ISBLANK(E56),"",(-0.00000572466+(0.00000010227*E56)-(0.0000000016546*E56^2)))</f>
        <v/>
      </c>
      <c r="M56" s="132" t="str">
        <f aca="false">IF(ISBLANK(E56),"",IF(ISBLANK(G56),(O56+(K56*35)+(L56*35^1.5)+(0.00000048314*35^2)),(O56+(K56*G56)+(L56*G56^1.5)+(0.00000048314*G56^2))))</f>
        <v/>
      </c>
      <c r="N56" s="133" t="str">
        <f aca="false">IF(ISBLANK(D56),"",IF(ISBLANK(G56),J56*(1+0.00001*(35-20)),J56*(1+0.00001*(G56-20))))</f>
        <v/>
      </c>
      <c r="O56" s="132" t="str">
        <f aca="false">IF(ISBLANK(E56),"",(0.999842594+(0.00006793952*E56)-(0.00000909529*E56^2)+(0.0000001001685*E56^3)-(0.000000001120083*E56^4)+(0.000000000006536332*E56^5)))</f>
        <v/>
      </c>
      <c r="P56" s="15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51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57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5"/>
      <c r="W56" s="125"/>
      <c r="X56" s="125"/>
      <c r="Y56" s="125"/>
      <c r="Z56" s="32"/>
      <c r="AA56" s="32"/>
      <c r="AB56" s="125"/>
      <c r="AC56" s="12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6"/>
    </row>
    <row r="57" customFormat="false" ht="15.75" hidden="false" customHeight="false" outlineLevel="0" collapsed="false">
      <c r="A57" s="111" t="n">
        <f aca="false">IF(ISBLANK(VLOOKUP(D57,#REF!,3)),0,1)</f>
        <v>1</v>
      </c>
      <c r="B57" s="112" t="n">
        <f aca="false">IF(ISBLANK(D57),0,IF(ISBLANK(E57),0,IF(ISBLANK(F57),0,1)))</f>
        <v>0</v>
      </c>
      <c r="C57" s="128" t="n">
        <v>23</v>
      </c>
      <c r="D57" s="153"/>
      <c r="E57" s="153"/>
      <c r="F57" s="154"/>
      <c r="G57" s="158"/>
      <c r="H57" s="153"/>
      <c r="I57" s="153"/>
      <c r="J57" s="124" t="str">
        <f aca="false">IF(ISBLANK(D57),"",IF(VLOOKUP(D57,#REF!,2)=0,"",IF(D57&gt;#REF!,"Mauvais numéro",IF(D57&lt;#REF!,"Mauvais numéro",(VLOOKUP(D57,#REF!,3))))))</f>
        <v/>
      </c>
      <c r="K57" s="132" t="str">
        <f aca="false">IF(ISBLANK(E57),"",(0.000824493-(0.0000040899*E57)+(0.000000076438*E57^2)-(0.00000000082467*E57^3)+(0.0000000000053875*E57^4)))</f>
        <v/>
      </c>
      <c r="L57" s="132" t="str">
        <f aca="false">IF(ISBLANK(E57),"",(-0.00000572466+(0.00000010227*E57)-(0.0000000016546*E57^2)))</f>
        <v/>
      </c>
      <c r="M57" s="132" t="str">
        <f aca="false">IF(ISBLANK(E57),"",IF(ISBLANK(G57),(O57+(K57*35)+(L57*35^1.5)+(0.00000048314*35^2)),(O57+(K57*G57)+(L57*G57^1.5)+(0.00000048314*G57^2))))</f>
        <v/>
      </c>
      <c r="N57" s="133" t="str">
        <f aca="false">IF(ISBLANK(D57),"",IF(ISBLANK(G57),J57*(1+0.00001*(35-20)),J57*(1+0.00001*(G57-20))))</f>
        <v/>
      </c>
      <c r="O57" s="132" t="str">
        <f aca="false">IF(ISBLANK(E57),"",(0.999842594+(0.00006793952*E57)-(0.00000909529*E57^2)+(0.0000001001685*E57^3)-(0.000000001120083*E57^4)+(0.000000000006536332*E57^5)))</f>
        <v/>
      </c>
      <c r="P57" s="15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51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57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6"/>
    </row>
    <row r="58" customFormat="false" ht="16.5" hidden="false" customHeight="false" outlineLevel="0" collapsed="false">
      <c r="A58" s="111" t="n">
        <f aca="false">IF(ISBLANK(VLOOKUP(D58,#REF!,3)),0,1)</f>
        <v>1</v>
      </c>
      <c r="B58" s="112" t="n">
        <f aca="false">IF(ISBLANK(D58),0,IF(ISBLANK(E58),0,IF(ISBLANK(F58),0,1)))</f>
        <v>0</v>
      </c>
      <c r="C58" s="160" t="n">
        <v>24</v>
      </c>
      <c r="D58" s="161"/>
      <c r="E58" s="161"/>
      <c r="F58" s="162"/>
      <c r="G58" s="163"/>
      <c r="H58" s="161"/>
      <c r="I58" s="161"/>
      <c r="J58" s="164" t="str">
        <f aca="false">IF(ISBLANK(D58),"",IF(VLOOKUP(D58,#REF!,2)=0,"",IF(D58&gt;#REF!,"Mauvais numéro",IF(D58&lt;#REF!,"Mauvais numéro",(VLOOKUP(D58,#REF!,3))))))</f>
        <v/>
      </c>
      <c r="K58" s="165" t="str">
        <f aca="false">IF(ISBLANK(E58),"",(0.000824493-(0.0000040899*E58)+(0.000000076438*E58^2)-(0.00000000082467*E58^3)+(0.0000000000053875*E58^4)))</f>
        <v/>
      </c>
      <c r="L58" s="165" t="str">
        <f aca="false">IF(ISBLANK(E58),"",(-0.00000572466+(0.00000010227*E58)-(0.0000000016546*E58^2)))</f>
        <v/>
      </c>
      <c r="M58" s="165" t="str">
        <f aca="false">IF(ISBLANK(E58),"",IF(ISBLANK(G58),(O58+(K58*35)+(L58*35^1.5)+(0.00000048314*35^2)),(O58+(K58*G58)+(L58*G58^1.5)+(0.00000048314*G58^2))))</f>
        <v/>
      </c>
      <c r="N58" s="166" t="str">
        <f aca="false">IF(ISBLANK(D58),"",IF(ISBLANK(G58),J58*(1+0.00001*(35-20)),J58*(1+0.00001*(G58-20))))</f>
        <v/>
      </c>
      <c r="O58" s="165" t="str">
        <f aca="false">IF(ISBLANK(E58),"",(0.999842594+(0.00006793952*E58)-(0.00000909529*E58^2)+(0.0000001001685*E58^3)-(0.000000001120083*E58^4)+(0.000000000006536332*E58^5)))</f>
        <v/>
      </c>
      <c r="P58" s="167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68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69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1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operator="between" showDropDown="false" showErrorMessage="true" showInputMessage="false" sqref="J30" type="none">
      <formula1>0</formula1>
      <formula2>0</formula2>
    </dataValidation>
    <dataValidation allowBlank="false" operator="between" promptTitle="Choix Cardinal" showDropDown="false" showErrorMessage="true" showInputMessage="true" sqref="P9" type="list">
      <formula1>$M$8:$M$10</formula1>
      <formula2>0</formula2>
    </dataValidation>
    <dataValidation allowBlank="false" operator="between" promptTitle="Choix Cardinal" showDropDown="false" showErrorMessage="true" showInputMessage="true" sqref="P10" type="list">
      <formula1>$N$8:$N$10</formula1>
      <formula2>0</formula2>
    </dataValidation>
    <dataValidation allowBlank="true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fr-FR</dc:language>
  <cp:lastModifiedBy/>
  <cp:lastPrinted>2015-02-05T12:58:17Z</cp:lastPrinted>
  <dcterms:modified xsi:type="dcterms:W3CDTF">2020-09-24T15:39:23Z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