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codeName="ThisWorkbook" defaultThemeVersion="124226"/>
  <bookViews>
    <workbookView xWindow="15" yWindow="-15" windowWidth="9210" windowHeight="11760" firstSheet="25" activeTab="30"/>
  </bookViews>
  <sheets>
    <sheet name="001_01" sheetId="312" r:id="rId1"/>
    <sheet name="002_01" sheetId="369" r:id="rId2"/>
    <sheet name="003_01" sheetId="370" r:id="rId3"/>
    <sheet name="004_01" sheetId="371" r:id="rId4"/>
    <sheet name="005_01" sheetId="372" r:id="rId5"/>
    <sheet name="006_01" sheetId="373" r:id="rId6"/>
    <sheet name="007_01" sheetId="374" r:id="rId7"/>
    <sheet name="008_01" sheetId="375" r:id="rId8"/>
    <sheet name="009_01" sheetId="376" r:id="rId9"/>
    <sheet name="010_01" sheetId="377" r:id="rId10"/>
    <sheet name="011_01" sheetId="378" r:id="rId11"/>
    <sheet name="012_01" sheetId="379" r:id="rId12"/>
    <sheet name="013_01" sheetId="380" r:id="rId13"/>
    <sheet name="014_01" sheetId="381" r:id="rId14"/>
    <sheet name="015_01" sheetId="382" r:id="rId15"/>
    <sheet name="016_01" sheetId="383" r:id="rId16"/>
    <sheet name="017_01" sheetId="384" r:id="rId17"/>
    <sheet name="018_01" sheetId="385" r:id="rId18"/>
    <sheet name="019_01" sheetId="386" r:id="rId19"/>
    <sheet name="020_01" sheetId="387" r:id="rId20"/>
    <sheet name="021_01" sheetId="388" r:id="rId21"/>
    <sheet name="022_01" sheetId="389" r:id="rId22"/>
    <sheet name="023_01" sheetId="390" r:id="rId23"/>
    <sheet name="024_01" sheetId="391" r:id="rId24"/>
    <sheet name="025_01" sheetId="392" r:id="rId25"/>
    <sheet name="026_01" sheetId="393" r:id="rId26"/>
    <sheet name="027_01" sheetId="394" r:id="rId27"/>
    <sheet name="028_01" sheetId="395" r:id="rId28"/>
    <sheet name="029_01" sheetId="396" r:id="rId29"/>
    <sheet name="030_01" sheetId="397" r:id="rId30"/>
    <sheet name="031_01" sheetId="398" r:id="rId31"/>
    <sheet name="032_01" sheetId="399" r:id="rId32"/>
    <sheet name="033_01" sheetId="400" r:id="rId33"/>
    <sheet name="034_01" sheetId="401" r:id="rId34"/>
    <sheet name="035_01" sheetId="402" r:id="rId35"/>
    <sheet name="036_01" sheetId="403" r:id="rId36"/>
    <sheet name="037_01" sheetId="404" r:id="rId37"/>
    <sheet name="038_01" sheetId="405" r:id="rId38"/>
    <sheet name="039_01" sheetId="406" r:id="rId39"/>
    <sheet name="040_01" sheetId="407" r:id="rId40"/>
    <sheet name="041_01" sheetId="408" r:id="rId41"/>
  </sheets>
  <externalReferences>
    <externalReference r:id="rId42"/>
  </externalReferences>
  <definedNames>
    <definedName name="Blanc___24_27" localSheetId="14">'015_01'!$O$15</definedName>
    <definedName name="Blanc___24_27" localSheetId="15">'016_01'!$O$15</definedName>
    <definedName name="Blanc___24_27" localSheetId="16">'017_01'!$O$15</definedName>
    <definedName name="Blanc___24_27" localSheetId="17">'018_01'!$O$15</definedName>
    <definedName name="Blanc___24_27" localSheetId="18">'019_01'!$O$15</definedName>
    <definedName name="Blanc___24_27" localSheetId="19">'020_01'!$O$15</definedName>
    <definedName name="Blanc___24_27" localSheetId="20">'021_01'!$O$15</definedName>
    <definedName name="Blanc___24_27" localSheetId="21">'022_01'!$O$15</definedName>
    <definedName name="Blanc___24_27" localSheetId="22">'023_01'!$O$15</definedName>
    <definedName name="Blanc___24_27" localSheetId="23">'024_01'!$O$15</definedName>
    <definedName name="Blanc___24_27" localSheetId="24">'025_01'!$O$15</definedName>
    <definedName name="Blanc___24_27" localSheetId="25">'026_01'!$O$15</definedName>
    <definedName name="Blanc___24_27" localSheetId="26">'027_01'!$O$15</definedName>
    <definedName name="Blanc___24_27" localSheetId="27">'028_01'!$O$15</definedName>
    <definedName name="Blanc___24_27" localSheetId="28">'029_01'!$O$15</definedName>
    <definedName name="Blanc___24_27" localSheetId="29">'030_01'!$O$15</definedName>
    <definedName name="Blanc___24_27" localSheetId="30">'031_01'!$O$15</definedName>
    <definedName name="Blanc___24_27" localSheetId="31">'032_01'!$O$15</definedName>
    <definedName name="Blanc___24_27" localSheetId="32">'033_01'!$O$15</definedName>
    <definedName name="Blanc___24_27" localSheetId="33">'034_01'!$O$15</definedName>
    <definedName name="Blanc___24_27" localSheetId="34">'035_01'!$O$15</definedName>
    <definedName name="Blanc___24_27" localSheetId="35">'036_01'!$O$15</definedName>
    <definedName name="Blanc___24_27" localSheetId="36">'037_01'!$O$15</definedName>
    <definedName name="Blanc___24_27" localSheetId="37">'038_01'!$O$15</definedName>
    <definedName name="Blanc___24_27" localSheetId="38">'039_01'!$O$15</definedName>
    <definedName name="Blanc___24_27" localSheetId="39">'040_01'!$O$15</definedName>
    <definedName name="Blanc___24_27" localSheetId="40">'041_01'!$O$15</definedName>
    <definedName name="Blanc___24_27">'014_01'!$O$15</definedName>
    <definedName name="Correction_10ml">[1]corrections_de_vol_!$G$9</definedName>
    <definedName name="NORMALITE___24_27" localSheetId="14">'015_01'!$O$11</definedName>
    <definedName name="NORMALITE___24_27" localSheetId="15">'016_01'!$O$11</definedName>
    <definedName name="NORMALITE___24_27" localSheetId="16">'017_01'!$O$11</definedName>
    <definedName name="NORMALITE___24_27" localSheetId="17">'018_01'!$O$11</definedName>
    <definedName name="NORMALITE___24_27" localSheetId="18">'019_01'!$O$11</definedName>
    <definedName name="NORMALITE___24_27" localSheetId="19">'020_01'!$O$11</definedName>
    <definedName name="NORMALITE___24_27" localSheetId="20">'021_01'!$O$11</definedName>
    <definedName name="NORMALITE___24_27" localSheetId="21">'022_01'!$O$11</definedName>
    <definedName name="NORMALITE___24_27" localSheetId="22">'023_01'!$O$11</definedName>
    <definedName name="NORMALITE___24_27" localSheetId="23">'024_01'!$O$11</definedName>
    <definedName name="NORMALITE___24_27" localSheetId="24">'025_01'!$O$11</definedName>
    <definedName name="NORMALITE___24_27" localSheetId="25">'026_01'!$O$11</definedName>
    <definedName name="NORMALITE___24_27" localSheetId="26">'027_01'!$O$11</definedName>
    <definedName name="NORMALITE___24_27" localSheetId="27">'028_01'!$O$11</definedName>
    <definedName name="NORMALITE___24_27" localSheetId="28">'029_01'!$O$11</definedName>
    <definedName name="NORMALITE___24_27" localSheetId="29">'030_01'!$O$11</definedName>
    <definedName name="NORMALITE___24_27" localSheetId="30">'031_01'!$O$11</definedName>
    <definedName name="NORMALITE___24_27" localSheetId="31">'032_01'!$O$11</definedName>
    <definedName name="NORMALITE___24_27" localSheetId="32">'033_01'!$O$11</definedName>
    <definedName name="NORMALITE___24_27" localSheetId="33">'034_01'!$O$11</definedName>
    <definedName name="NORMALITE___24_27" localSheetId="34">'035_01'!$O$11</definedName>
    <definedName name="NORMALITE___24_27" localSheetId="35">'036_01'!$O$11</definedName>
    <definedName name="NORMALITE___24_27" localSheetId="36">'037_01'!$O$11</definedName>
    <definedName name="NORMALITE___24_27" localSheetId="37">'038_01'!$O$11</definedName>
    <definedName name="NORMALITE___24_27" localSheetId="38">'039_01'!$O$11</definedName>
    <definedName name="NORMALITE___24_27" localSheetId="39">'040_01'!$O$11</definedName>
    <definedName name="NORMALITE___24_27" localSheetId="40">'041_01'!$O$11</definedName>
    <definedName name="NORMALITE___24_27">'014_01'!$O$11</definedName>
    <definedName name="vol_iodate_tc___24_27" localSheetId="14">'015_01'!$O$13</definedName>
    <definedName name="vol_iodate_tc___24_27" localSheetId="15">'016_01'!$O$13</definedName>
    <definedName name="vol_iodate_tc___24_27" localSheetId="16">'017_01'!$O$13</definedName>
    <definedName name="vol_iodate_tc___24_27" localSheetId="17">'018_01'!$O$13</definedName>
    <definedName name="vol_iodate_tc___24_27" localSheetId="18">'019_01'!$O$13</definedName>
    <definedName name="vol_iodate_tc___24_27" localSheetId="19">'020_01'!$O$13</definedName>
    <definedName name="vol_iodate_tc___24_27" localSheetId="20">'021_01'!$O$13</definedName>
    <definedName name="vol_iodate_tc___24_27" localSheetId="21">'022_01'!$O$13</definedName>
    <definedName name="vol_iodate_tc___24_27" localSheetId="22">'023_01'!$O$13</definedName>
    <definedName name="vol_iodate_tc___24_27" localSheetId="23">'024_01'!$O$13</definedName>
    <definedName name="vol_iodate_tc___24_27" localSheetId="24">'025_01'!$O$13</definedName>
    <definedName name="vol_iodate_tc___24_27" localSheetId="25">'026_01'!$O$13</definedName>
    <definedName name="vol_iodate_tc___24_27" localSheetId="26">'027_01'!$O$13</definedName>
    <definedName name="vol_iodate_tc___24_27" localSheetId="27">'028_01'!$O$13</definedName>
    <definedName name="vol_iodate_tc___24_27" localSheetId="28">'029_01'!$O$13</definedName>
    <definedName name="vol_iodate_tc___24_27" localSheetId="29">'030_01'!$O$13</definedName>
    <definedName name="vol_iodate_tc___24_27" localSheetId="30">'031_01'!$O$13</definedName>
    <definedName name="vol_iodate_tc___24_27" localSheetId="31">'032_01'!$O$13</definedName>
    <definedName name="vol_iodate_tc___24_27" localSheetId="32">'033_01'!$O$13</definedName>
    <definedName name="vol_iodate_tc___24_27" localSheetId="33">'034_01'!$O$13</definedName>
    <definedName name="vol_iodate_tc___24_27" localSheetId="34">'035_01'!$O$13</definedName>
    <definedName name="vol_iodate_tc___24_27" localSheetId="35">'036_01'!$O$13</definedName>
    <definedName name="vol_iodate_tc___24_27" localSheetId="36">'037_01'!$O$13</definedName>
    <definedName name="vol_iodate_tc___24_27" localSheetId="37">'038_01'!$O$13</definedName>
    <definedName name="vol_iodate_tc___24_27" localSheetId="38">'039_01'!$O$13</definedName>
    <definedName name="vol_iodate_tc___24_27" localSheetId="39">'040_01'!$O$13</definedName>
    <definedName name="vol_iodate_tc___24_27" localSheetId="40">'041_01'!$O$13</definedName>
    <definedName name="vol_iodate_tc___24_27">'014_01'!$O$13</definedName>
    <definedName name="Vol_reactif___24_27" localSheetId="14">'015_01'!$N$20</definedName>
    <definedName name="Vol_reactif___24_27" localSheetId="15">'016_01'!$N$20</definedName>
    <definedName name="Vol_reactif___24_27" localSheetId="16">'017_01'!$N$20</definedName>
    <definedName name="Vol_reactif___24_27" localSheetId="17">'018_01'!$N$20</definedName>
    <definedName name="Vol_reactif___24_27" localSheetId="18">'019_01'!$N$20</definedName>
    <definedName name="Vol_reactif___24_27" localSheetId="19">'020_01'!$N$20</definedName>
    <definedName name="Vol_reactif___24_27" localSheetId="20">'021_01'!$N$20</definedName>
    <definedName name="Vol_reactif___24_27" localSheetId="21">'022_01'!$N$20</definedName>
    <definedName name="Vol_reactif___24_27" localSheetId="22">'023_01'!$N$20</definedName>
    <definedName name="Vol_reactif___24_27" localSheetId="23">'024_01'!$N$20</definedName>
    <definedName name="Vol_reactif___24_27" localSheetId="24">'025_01'!$N$20</definedName>
    <definedName name="Vol_reactif___24_27" localSheetId="25">'026_01'!$N$20</definedName>
    <definedName name="Vol_reactif___24_27" localSheetId="26">'027_01'!$N$20</definedName>
    <definedName name="Vol_reactif___24_27" localSheetId="27">'028_01'!$N$20</definedName>
    <definedName name="Vol_reactif___24_27" localSheetId="28">'029_01'!$N$20</definedName>
    <definedName name="Vol_reactif___24_27" localSheetId="29">'030_01'!$N$20</definedName>
    <definedName name="Vol_reactif___24_27" localSheetId="30">'031_01'!$N$20</definedName>
    <definedName name="Vol_reactif___24_27" localSheetId="31">'032_01'!$N$20</definedName>
    <definedName name="Vol_reactif___24_27" localSheetId="32">'033_01'!$N$20</definedName>
    <definedName name="Vol_reactif___24_27" localSheetId="33">'034_01'!$N$20</definedName>
    <definedName name="Vol_reactif___24_27" localSheetId="34">'035_01'!$N$20</definedName>
    <definedName name="Vol_reactif___24_27" localSheetId="35">'036_01'!$N$20</definedName>
    <definedName name="Vol_reactif___24_27" localSheetId="36">'037_01'!$N$20</definedName>
    <definedName name="Vol_reactif___24_27" localSheetId="37">'038_01'!$N$20</definedName>
    <definedName name="Vol_reactif___24_27" localSheetId="38">'039_01'!$N$20</definedName>
    <definedName name="Vol_reactif___24_27" localSheetId="39">'040_01'!$N$20</definedName>
    <definedName name="Vol_reactif___24_27" localSheetId="40">'041_01'!$N$20</definedName>
    <definedName name="Vol_reactif___24_27">'014_01'!$N$20</definedName>
    <definedName name="Vol_thio_iodate___24_27" localSheetId="14">'015_01'!$O$14</definedName>
    <definedName name="Vol_thio_iodate___24_27" localSheetId="15">'016_01'!$O$14</definedName>
    <definedName name="Vol_thio_iodate___24_27" localSheetId="16">'017_01'!$O$14</definedName>
    <definedName name="Vol_thio_iodate___24_27" localSheetId="17">'018_01'!$O$14</definedName>
    <definedName name="Vol_thio_iodate___24_27" localSheetId="18">'019_01'!$O$14</definedName>
    <definedName name="Vol_thio_iodate___24_27" localSheetId="19">'020_01'!$O$14</definedName>
    <definedName name="Vol_thio_iodate___24_27" localSheetId="20">'021_01'!$O$14</definedName>
    <definedName name="Vol_thio_iodate___24_27" localSheetId="21">'022_01'!$O$14</definedName>
    <definedName name="Vol_thio_iodate___24_27" localSheetId="22">'023_01'!$O$14</definedName>
    <definedName name="Vol_thio_iodate___24_27" localSheetId="23">'024_01'!$O$14</definedName>
    <definedName name="Vol_thio_iodate___24_27" localSheetId="24">'025_01'!$O$14</definedName>
    <definedName name="Vol_thio_iodate___24_27" localSheetId="25">'026_01'!$O$14</definedName>
    <definedName name="Vol_thio_iodate___24_27" localSheetId="26">'027_01'!$O$14</definedName>
    <definedName name="Vol_thio_iodate___24_27" localSheetId="27">'028_01'!$O$14</definedName>
    <definedName name="Vol_thio_iodate___24_27" localSheetId="28">'029_01'!$O$14</definedName>
    <definedName name="Vol_thio_iodate___24_27" localSheetId="29">'030_01'!$O$14</definedName>
    <definedName name="Vol_thio_iodate___24_27" localSheetId="30">'031_01'!$O$14</definedName>
    <definedName name="Vol_thio_iodate___24_27" localSheetId="31">'032_01'!$O$14</definedName>
    <definedName name="Vol_thio_iodate___24_27" localSheetId="32">'033_01'!$O$14</definedName>
    <definedName name="Vol_thio_iodate___24_27" localSheetId="33">'034_01'!$O$14</definedName>
    <definedName name="Vol_thio_iodate___24_27" localSheetId="34">'035_01'!$O$14</definedName>
    <definedName name="Vol_thio_iodate___24_27" localSheetId="35">'036_01'!$O$14</definedName>
    <definedName name="Vol_thio_iodate___24_27" localSheetId="36">'037_01'!$O$14</definedName>
    <definedName name="Vol_thio_iodate___24_27" localSheetId="37">'038_01'!$O$14</definedName>
    <definedName name="Vol_thio_iodate___24_27" localSheetId="38">'039_01'!$O$14</definedName>
    <definedName name="Vol_thio_iodate___24_27" localSheetId="39">'040_01'!$O$14</definedName>
    <definedName name="Vol_thio_iodate___24_27" localSheetId="40">'041_01'!$O$14</definedName>
    <definedName name="Vol_thio_iodate___24_27">'014_01'!$O$14</definedName>
  </definedNames>
  <calcPr calcId="145621"/>
</workbook>
</file>

<file path=xl/calcChain.xml><?xml version="1.0" encoding="utf-8"?>
<calcChain xmlns="http://schemas.openxmlformats.org/spreadsheetml/2006/main">
  <c r="S58" i="408" l="1"/>
  <c r="R58" i="408"/>
  <c r="Q58" i="408"/>
  <c r="P58" i="408"/>
  <c r="O58" i="408"/>
  <c r="N58" i="408"/>
  <c r="M58" i="408"/>
  <c r="L58" i="408"/>
  <c r="K58" i="408"/>
  <c r="J58" i="408"/>
  <c r="B58" i="408"/>
  <c r="A58" i="408"/>
  <c r="S57" i="408"/>
  <c r="R57" i="408"/>
  <c r="Q57" i="408"/>
  <c r="P57" i="408"/>
  <c r="O57" i="408"/>
  <c r="N57" i="408"/>
  <c r="M57" i="408"/>
  <c r="L57" i="408"/>
  <c r="K57" i="408"/>
  <c r="J57" i="408"/>
  <c r="B57" i="408"/>
  <c r="A57" i="408"/>
  <c r="S56" i="408"/>
  <c r="R56" i="408"/>
  <c r="Q56" i="408"/>
  <c r="P56" i="408"/>
  <c r="O56" i="408"/>
  <c r="N56" i="408"/>
  <c r="M56" i="408"/>
  <c r="L56" i="408"/>
  <c r="K56" i="408"/>
  <c r="J56" i="408"/>
  <c r="B56" i="408"/>
  <c r="A56" i="408"/>
  <c r="S55" i="408"/>
  <c r="R55" i="408"/>
  <c r="Q55" i="408"/>
  <c r="P55" i="408"/>
  <c r="O55" i="408"/>
  <c r="N55" i="408"/>
  <c r="M55" i="408"/>
  <c r="L55" i="408"/>
  <c r="K55" i="408"/>
  <c r="J55" i="408"/>
  <c r="B55" i="408"/>
  <c r="A55" i="408"/>
  <c r="S54" i="408"/>
  <c r="R54" i="408"/>
  <c r="Q54" i="408"/>
  <c r="P54" i="408"/>
  <c r="O54" i="408"/>
  <c r="N54" i="408"/>
  <c r="M54" i="408"/>
  <c r="L54" i="408"/>
  <c r="K54" i="408"/>
  <c r="J54" i="408"/>
  <c r="B54" i="408"/>
  <c r="A54" i="408"/>
  <c r="S53" i="408"/>
  <c r="R53" i="408"/>
  <c r="Q53" i="408"/>
  <c r="P53" i="408"/>
  <c r="O53" i="408"/>
  <c r="N53" i="408"/>
  <c r="M53" i="408"/>
  <c r="L53" i="408"/>
  <c r="K53" i="408"/>
  <c r="J53" i="408"/>
  <c r="B53" i="408"/>
  <c r="A53" i="408"/>
  <c r="S52" i="408"/>
  <c r="R52" i="408"/>
  <c r="Q52" i="408"/>
  <c r="P52" i="408"/>
  <c r="O52" i="408"/>
  <c r="N52" i="408"/>
  <c r="M52" i="408"/>
  <c r="L52" i="408"/>
  <c r="K52" i="408"/>
  <c r="J52" i="408"/>
  <c r="B52" i="408"/>
  <c r="A52" i="408"/>
  <c r="S51" i="408"/>
  <c r="R51" i="408"/>
  <c r="Q51" i="408"/>
  <c r="P51" i="408"/>
  <c r="O51" i="408"/>
  <c r="N51" i="408"/>
  <c r="M51" i="408"/>
  <c r="L51" i="408"/>
  <c r="K51" i="408"/>
  <c r="J51" i="408"/>
  <c r="B51" i="408"/>
  <c r="A51" i="408"/>
  <c r="S50" i="408"/>
  <c r="R50" i="408"/>
  <c r="Q50" i="408"/>
  <c r="P50" i="408"/>
  <c r="O50" i="408"/>
  <c r="N50" i="408"/>
  <c r="M50" i="408"/>
  <c r="L50" i="408"/>
  <c r="K50" i="408"/>
  <c r="J50" i="408"/>
  <c r="B50" i="408"/>
  <c r="A50" i="408"/>
  <c r="S49" i="408"/>
  <c r="R49" i="408"/>
  <c r="Q49" i="408"/>
  <c r="P49" i="408"/>
  <c r="O49" i="408"/>
  <c r="N49" i="408"/>
  <c r="M49" i="408"/>
  <c r="L49" i="408"/>
  <c r="K49" i="408"/>
  <c r="J49" i="408"/>
  <c r="B49" i="408"/>
  <c r="A49" i="408"/>
  <c r="R48" i="408"/>
  <c r="Q48" i="408"/>
  <c r="O48" i="408"/>
  <c r="N48" i="408"/>
  <c r="M48" i="408"/>
  <c r="L48" i="408"/>
  <c r="K48" i="408"/>
  <c r="J48" i="408"/>
  <c r="B48" i="408"/>
  <c r="A48" i="408"/>
  <c r="R47" i="408"/>
  <c r="Q47" i="408"/>
  <c r="O47" i="408"/>
  <c r="N47" i="408"/>
  <c r="M47" i="408"/>
  <c r="L47" i="408"/>
  <c r="K47" i="408"/>
  <c r="J47" i="408"/>
  <c r="B47" i="408"/>
  <c r="A47" i="408"/>
  <c r="S46" i="408"/>
  <c r="R46" i="408"/>
  <c r="Q46" i="408"/>
  <c r="P46" i="408"/>
  <c r="O46" i="408"/>
  <c r="N46" i="408"/>
  <c r="M46" i="408"/>
  <c r="L46" i="408"/>
  <c r="K46" i="408"/>
  <c r="J46" i="408"/>
  <c r="B46" i="408"/>
  <c r="A46" i="408"/>
  <c r="B45" i="408"/>
  <c r="A45" i="408"/>
  <c r="B44" i="408"/>
  <c r="A44" i="408"/>
  <c r="B43" i="408"/>
  <c r="A43" i="408"/>
  <c r="B42" i="408"/>
  <c r="A42" i="408"/>
  <c r="B41" i="408"/>
  <c r="A41" i="408"/>
  <c r="B40" i="408"/>
  <c r="A40" i="408"/>
  <c r="B39" i="408"/>
  <c r="A39" i="408"/>
  <c r="B38" i="408"/>
  <c r="A38" i="408"/>
  <c r="B37" i="408"/>
  <c r="A37" i="408"/>
  <c r="B36" i="408"/>
  <c r="A36" i="408"/>
  <c r="B35" i="408"/>
  <c r="A35" i="408"/>
  <c r="P26" i="408"/>
  <c r="P25" i="408"/>
  <c r="P24" i="408"/>
  <c r="P19" i="408" s="1"/>
  <c r="P23" i="408"/>
  <c r="P22" i="408"/>
  <c r="P20" i="408"/>
  <c r="P21" i="408" s="1"/>
  <c r="P18" i="408"/>
  <c r="O12" i="408"/>
  <c r="N12" i="408"/>
  <c r="O10" i="408" s="1"/>
  <c r="P11" i="408"/>
  <c r="O11" i="408"/>
  <c r="Q9" i="408" s="1"/>
  <c r="N11" i="408"/>
  <c r="Q10" i="408"/>
  <c r="L10" i="408"/>
  <c r="O9" i="408"/>
  <c r="L9" i="408"/>
  <c r="S58" i="407"/>
  <c r="R58" i="407"/>
  <c r="Q58" i="407"/>
  <c r="P58" i="407"/>
  <c r="O58" i="407"/>
  <c r="N58" i="407"/>
  <c r="M58" i="407"/>
  <c r="L58" i="407"/>
  <c r="K58" i="407"/>
  <c r="J58" i="407"/>
  <c r="B58" i="407"/>
  <c r="A58" i="407"/>
  <c r="S57" i="407"/>
  <c r="R57" i="407"/>
  <c r="Q57" i="407"/>
  <c r="P57" i="407"/>
  <c r="O57" i="407"/>
  <c r="N57" i="407"/>
  <c r="M57" i="407"/>
  <c r="L57" i="407"/>
  <c r="K57" i="407"/>
  <c r="J57" i="407"/>
  <c r="B57" i="407"/>
  <c r="A57" i="407"/>
  <c r="S56" i="407"/>
  <c r="R56" i="407"/>
  <c r="Q56" i="407"/>
  <c r="P56" i="407"/>
  <c r="O56" i="407"/>
  <c r="N56" i="407"/>
  <c r="M56" i="407"/>
  <c r="L56" i="407"/>
  <c r="K56" i="407"/>
  <c r="J56" i="407"/>
  <c r="B56" i="407"/>
  <c r="A56" i="407"/>
  <c r="S55" i="407"/>
  <c r="R55" i="407"/>
  <c r="Q55" i="407"/>
  <c r="P55" i="407"/>
  <c r="O55" i="407"/>
  <c r="N55" i="407"/>
  <c r="M55" i="407"/>
  <c r="L55" i="407"/>
  <c r="K55" i="407"/>
  <c r="J55" i="407"/>
  <c r="B55" i="407"/>
  <c r="A55" i="407"/>
  <c r="S54" i="407"/>
  <c r="R54" i="407"/>
  <c r="Q54" i="407"/>
  <c r="P54" i="407"/>
  <c r="O54" i="407"/>
  <c r="N54" i="407"/>
  <c r="M54" i="407"/>
  <c r="L54" i="407"/>
  <c r="K54" i="407"/>
  <c r="J54" i="407"/>
  <c r="B54" i="407"/>
  <c r="A54" i="407"/>
  <c r="S53" i="407"/>
  <c r="R53" i="407"/>
  <c r="Q53" i="407"/>
  <c r="P53" i="407"/>
  <c r="O53" i="407"/>
  <c r="N53" i="407"/>
  <c r="M53" i="407"/>
  <c r="L53" i="407"/>
  <c r="K53" i="407"/>
  <c r="J53" i="407"/>
  <c r="B53" i="407"/>
  <c r="A53" i="407"/>
  <c r="S52" i="407"/>
  <c r="R52" i="407"/>
  <c r="Q52" i="407"/>
  <c r="P52" i="407"/>
  <c r="O52" i="407"/>
  <c r="N52" i="407"/>
  <c r="M52" i="407"/>
  <c r="L52" i="407"/>
  <c r="K52" i="407"/>
  <c r="J52" i="407"/>
  <c r="B52" i="407"/>
  <c r="A52" i="407"/>
  <c r="S51" i="407"/>
  <c r="R51" i="407"/>
  <c r="Q51" i="407"/>
  <c r="P51" i="407"/>
  <c r="O51" i="407"/>
  <c r="N51" i="407"/>
  <c r="M51" i="407"/>
  <c r="L51" i="407"/>
  <c r="K51" i="407"/>
  <c r="J51" i="407"/>
  <c r="B51" i="407"/>
  <c r="A51" i="407"/>
  <c r="S50" i="407"/>
  <c r="R50" i="407"/>
  <c r="Q50" i="407"/>
  <c r="P50" i="407"/>
  <c r="O50" i="407"/>
  <c r="N50" i="407"/>
  <c r="M50" i="407"/>
  <c r="L50" i="407"/>
  <c r="K50" i="407"/>
  <c r="J50" i="407"/>
  <c r="B50" i="407"/>
  <c r="A50" i="407"/>
  <c r="S49" i="407"/>
  <c r="R49" i="407"/>
  <c r="Q49" i="407"/>
  <c r="P49" i="407"/>
  <c r="O49" i="407"/>
  <c r="N49" i="407"/>
  <c r="M49" i="407"/>
  <c r="L49" i="407"/>
  <c r="K49" i="407"/>
  <c r="J49" i="407"/>
  <c r="B49" i="407"/>
  <c r="A49" i="407"/>
  <c r="R48" i="407"/>
  <c r="Q48" i="407"/>
  <c r="O48" i="407"/>
  <c r="N48" i="407"/>
  <c r="M48" i="407"/>
  <c r="L48" i="407"/>
  <c r="K48" i="407"/>
  <c r="J48" i="407"/>
  <c r="B48" i="407"/>
  <c r="A48" i="407"/>
  <c r="R47" i="407"/>
  <c r="Q47" i="407"/>
  <c r="O47" i="407"/>
  <c r="N47" i="407"/>
  <c r="M47" i="407"/>
  <c r="L47" i="407"/>
  <c r="K47" i="407"/>
  <c r="J47" i="407"/>
  <c r="B47" i="407"/>
  <c r="A47" i="407"/>
  <c r="S46" i="407"/>
  <c r="R46" i="407"/>
  <c r="Q46" i="407"/>
  <c r="P46" i="407"/>
  <c r="O46" i="407"/>
  <c r="N46" i="407"/>
  <c r="M46" i="407"/>
  <c r="L46" i="407"/>
  <c r="K46" i="407"/>
  <c r="J46" i="407"/>
  <c r="B46" i="407"/>
  <c r="A46" i="407"/>
  <c r="B45" i="407"/>
  <c r="A45" i="407"/>
  <c r="B44" i="407"/>
  <c r="A44" i="407"/>
  <c r="B43" i="407"/>
  <c r="A43" i="407"/>
  <c r="B42" i="407"/>
  <c r="A42" i="407"/>
  <c r="B41" i="407"/>
  <c r="A41" i="407"/>
  <c r="B40" i="407"/>
  <c r="A40" i="407"/>
  <c r="B39" i="407"/>
  <c r="A39" i="407"/>
  <c r="B38" i="407"/>
  <c r="A38" i="407"/>
  <c r="B37" i="407"/>
  <c r="A37" i="407"/>
  <c r="B36" i="407"/>
  <c r="A36" i="407"/>
  <c r="B35" i="407"/>
  <c r="A35" i="407"/>
  <c r="P26" i="407"/>
  <c r="P25" i="407"/>
  <c r="P24" i="407"/>
  <c r="P19" i="407" s="1"/>
  <c r="P23" i="407"/>
  <c r="P22" i="407"/>
  <c r="P20" i="407"/>
  <c r="P21" i="407" s="1"/>
  <c r="P18" i="407"/>
  <c r="O12" i="407"/>
  <c r="N12" i="407"/>
  <c r="P11" i="407"/>
  <c r="O11" i="407"/>
  <c r="Q9" i="407" s="1"/>
  <c r="N11" i="407"/>
  <c r="Q10" i="407"/>
  <c r="O10" i="407"/>
  <c r="L10" i="407"/>
  <c r="O9" i="407"/>
  <c r="L9" i="407"/>
  <c r="S58" i="406"/>
  <c r="R58" i="406"/>
  <c r="Q58" i="406"/>
  <c r="P58" i="406"/>
  <c r="O58" i="406"/>
  <c r="N58" i="406"/>
  <c r="M58" i="406"/>
  <c r="L58" i="406"/>
  <c r="K58" i="406"/>
  <c r="J58" i="406"/>
  <c r="B58" i="406"/>
  <c r="A58" i="406"/>
  <c r="S57" i="406"/>
  <c r="R57" i="406"/>
  <c r="Q57" i="406"/>
  <c r="P57" i="406"/>
  <c r="O57" i="406"/>
  <c r="N57" i="406"/>
  <c r="M57" i="406"/>
  <c r="L57" i="406"/>
  <c r="K57" i="406"/>
  <c r="J57" i="406"/>
  <c r="B57" i="406"/>
  <c r="A57" i="406"/>
  <c r="S56" i="406"/>
  <c r="R56" i="406"/>
  <c r="Q56" i="406"/>
  <c r="P56" i="406"/>
  <c r="O56" i="406"/>
  <c r="N56" i="406"/>
  <c r="M56" i="406"/>
  <c r="L56" i="406"/>
  <c r="K56" i="406"/>
  <c r="J56" i="406"/>
  <c r="B56" i="406"/>
  <c r="A56" i="406"/>
  <c r="S55" i="406"/>
  <c r="R55" i="406"/>
  <c r="Q55" i="406"/>
  <c r="P55" i="406"/>
  <c r="O55" i="406"/>
  <c r="N55" i="406"/>
  <c r="M55" i="406"/>
  <c r="L55" i="406"/>
  <c r="K55" i="406"/>
  <c r="J55" i="406"/>
  <c r="B55" i="406"/>
  <c r="A55" i="406"/>
  <c r="S54" i="406"/>
  <c r="R54" i="406"/>
  <c r="Q54" i="406"/>
  <c r="P54" i="406"/>
  <c r="O54" i="406"/>
  <c r="N54" i="406"/>
  <c r="M54" i="406"/>
  <c r="L54" i="406"/>
  <c r="K54" i="406"/>
  <c r="J54" i="406"/>
  <c r="B54" i="406"/>
  <c r="A54" i="406"/>
  <c r="S53" i="406"/>
  <c r="R53" i="406"/>
  <c r="Q53" i="406"/>
  <c r="P53" i="406"/>
  <c r="O53" i="406"/>
  <c r="N53" i="406"/>
  <c r="M53" i="406"/>
  <c r="L53" i="406"/>
  <c r="K53" i="406"/>
  <c r="J53" i="406"/>
  <c r="B53" i="406"/>
  <c r="A53" i="406"/>
  <c r="S52" i="406"/>
  <c r="R52" i="406"/>
  <c r="Q52" i="406"/>
  <c r="P52" i="406"/>
  <c r="O52" i="406"/>
  <c r="N52" i="406"/>
  <c r="M52" i="406"/>
  <c r="L52" i="406"/>
  <c r="K52" i="406"/>
  <c r="J52" i="406"/>
  <c r="B52" i="406"/>
  <c r="A52" i="406"/>
  <c r="S51" i="406"/>
  <c r="R51" i="406"/>
  <c r="Q51" i="406"/>
  <c r="P51" i="406"/>
  <c r="O51" i="406"/>
  <c r="N51" i="406"/>
  <c r="M51" i="406"/>
  <c r="L51" i="406"/>
  <c r="K51" i="406"/>
  <c r="J51" i="406"/>
  <c r="B51" i="406"/>
  <c r="A51" i="406"/>
  <c r="S50" i="406"/>
  <c r="R50" i="406"/>
  <c r="Q50" i="406"/>
  <c r="P50" i="406"/>
  <c r="O50" i="406"/>
  <c r="N50" i="406"/>
  <c r="M50" i="406"/>
  <c r="L50" i="406"/>
  <c r="K50" i="406"/>
  <c r="J50" i="406"/>
  <c r="B50" i="406"/>
  <c r="A50" i="406"/>
  <c r="S49" i="406"/>
  <c r="R49" i="406"/>
  <c r="Q49" i="406"/>
  <c r="P49" i="406"/>
  <c r="O49" i="406"/>
  <c r="N49" i="406"/>
  <c r="M49" i="406"/>
  <c r="L49" i="406"/>
  <c r="K49" i="406"/>
  <c r="J49" i="406"/>
  <c r="B49" i="406"/>
  <c r="A49" i="406"/>
  <c r="R48" i="406"/>
  <c r="Q48" i="406"/>
  <c r="O48" i="406"/>
  <c r="N48" i="406"/>
  <c r="M48" i="406"/>
  <c r="L48" i="406"/>
  <c r="K48" i="406"/>
  <c r="J48" i="406"/>
  <c r="B48" i="406"/>
  <c r="A48" i="406"/>
  <c r="R47" i="406"/>
  <c r="Q47" i="406"/>
  <c r="O47" i="406"/>
  <c r="N47" i="406"/>
  <c r="M47" i="406"/>
  <c r="L47" i="406"/>
  <c r="K47" i="406"/>
  <c r="J47" i="406"/>
  <c r="B47" i="406"/>
  <c r="A47" i="406"/>
  <c r="S46" i="406"/>
  <c r="R46" i="406"/>
  <c r="Q46" i="406"/>
  <c r="P46" i="406"/>
  <c r="O46" i="406"/>
  <c r="N46" i="406"/>
  <c r="M46" i="406"/>
  <c r="L46" i="406"/>
  <c r="K46" i="406"/>
  <c r="J46" i="406"/>
  <c r="B46" i="406"/>
  <c r="A46" i="406"/>
  <c r="B45" i="406"/>
  <c r="A45" i="406"/>
  <c r="B44" i="406"/>
  <c r="A44" i="406"/>
  <c r="B43" i="406"/>
  <c r="A43" i="406"/>
  <c r="B42" i="406"/>
  <c r="A42" i="406"/>
  <c r="B41" i="406"/>
  <c r="A41" i="406"/>
  <c r="B40" i="406"/>
  <c r="A40" i="406"/>
  <c r="B39" i="406"/>
  <c r="A39" i="406"/>
  <c r="B38" i="406"/>
  <c r="A38" i="406"/>
  <c r="B37" i="406"/>
  <c r="A37" i="406"/>
  <c r="B36" i="406"/>
  <c r="A36" i="406"/>
  <c r="B35" i="406"/>
  <c r="A35" i="406"/>
  <c r="P26" i="406"/>
  <c r="P25" i="406"/>
  <c r="P24" i="406"/>
  <c r="P23" i="406"/>
  <c r="P22" i="406"/>
  <c r="P21" i="406"/>
  <c r="P20" i="406"/>
  <c r="P19" i="406"/>
  <c r="P18" i="406"/>
  <c r="O12" i="406"/>
  <c r="Q10" i="406" s="1"/>
  <c r="N12" i="406"/>
  <c r="P11" i="406"/>
  <c r="O11" i="406"/>
  <c r="N11" i="406"/>
  <c r="O9" i="406" s="1"/>
  <c r="O10" i="406"/>
  <c r="L10" i="406"/>
  <c r="Q9" i="406"/>
  <c r="L9" i="406"/>
  <c r="S58" i="405"/>
  <c r="R58" i="405"/>
  <c r="Q58" i="405"/>
  <c r="P58" i="405"/>
  <c r="O58" i="405"/>
  <c r="N58" i="405"/>
  <c r="M58" i="405"/>
  <c r="L58" i="405"/>
  <c r="K58" i="405"/>
  <c r="J58" i="405"/>
  <c r="B58" i="405"/>
  <c r="A58" i="405"/>
  <c r="S57" i="405"/>
  <c r="R57" i="405"/>
  <c r="Q57" i="405"/>
  <c r="P57" i="405"/>
  <c r="O57" i="405"/>
  <c r="N57" i="405"/>
  <c r="M57" i="405"/>
  <c r="L57" i="405"/>
  <c r="K57" i="405"/>
  <c r="J57" i="405"/>
  <c r="B57" i="405"/>
  <c r="A57" i="405"/>
  <c r="S56" i="405"/>
  <c r="R56" i="405"/>
  <c r="Q56" i="405"/>
  <c r="P56" i="405"/>
  <c r="O56" i="405"/>
  <c r="N56" i="405"/>
  <c r="M56" i="405"/>
  <c r="L56" i="405"/>
  <c r="K56" i="405"/>
  <c r="J56" i="405"/>
  <c r="B56" i="405"/>
  <c r="A56" i="405"/>
  <c r="S55" i="405"/>
  <c r="R55" i="405"/>
  <c r="Q55" i="405"/>
  <c r="P55" i="405"/>
  <c r="O55" i="405"/>
  <c r="N55" i="405"/>
  <c r="M55" i="405"/>
  <c r="L55" i="405"/>
  <c r="K55" i="405"/>
  <c r="J55" i="405"/>
  <c r="B55" i="405"/>
  <c r="A55" i="405"/>
  <c r="S54" i="405"/>
  <c r="R54" i="405"/>
  <c r="Q54" i="405"/>
  <c r="P54" i="405"/>
  <c r="O54" i="405"/>
  <c r="N54" i="405"/>
  <c r="M54" i="405"/>
  <c r="L54" i="405"/>
  <c r="K54" i="405"/>
  <c r="J54" i="405"/>
  <c r="B54" i="405"/>
  <c r="A54" i="405"/>
  <c r="S53" i="405"/>
  <c r="R53" i="405"/>
  <c r="Q53" i="405"/>
  <c r="P53" i="405"/>
  <c r="O53" i="405"/>
  <c r="N53" i="405"/>
  <c r="M53" i="405"/>
  <c r="L53" i="405"/>
  <c r="K53" i="405"/>
  <c r="J53" i="405"/>
  <c r="B53" i="405"/>
  <c r="A53" i="405"/>
  <c r="S52" i="405"/>
  <c r="R52" i="405"/>
  <c r="Q52" i="405"/>
  <c r="P52" i="405"/>
  <c r="O52" i="405"/>
  <c r="N52" i="405"/>
  <c r="M52" i="405"/>
  <c r="L52" i="405"/>
  <c r="K52" i="405"/>
  <c r="J52" i="405"/>
  <c r="B52" i="405"/>
  <c r="A52" i="405"/>
  <c r="S51" i="405"/>
  <c r="R51" i="405"/>
  <c r="Q51" i="405"/>
  <c r="P51" i="405"/>
  <c r="O51" i="405"/>
  <c r="N51" i="405"/>
  <c r="M51" i="405"/>
  <c r="L51" i="405"/>
  <c r="K51" i="405"/>
  <c r="J51" i="405"/>
  <c r="B51" i="405"/>
  <c r="A51" i="405"/>
  <c r="S50" i="405"/>
  <c r="R50" i="405"/>
  <c r="Q50" i="405"/>
  <c r="P50" i="405"/>
  <c r="O50" i="405"/>
  <c r="N50" i="405"/>
  <c r="M50" i="405"/>
  <c r="L50" i="405"/>
  <c r="K50" i="405"/>
  <c r="J50" i="405"/>
  <c r="B50" i="405"/>
  <c r="A50" i="405"/>
  <c r="S49" i="405"/>
  <c r="R49" i="405"/>
  <c r="Q49" i="405"/>
  <c r="P49" i="405"/>
  <c r="O49" i="405"/>
  <c r="N49" i="405"/>
  <c r="M49" i="405"/>
  <c r="L49" i="405"/>
  <c r="K49" i="405"/>
  <c r="J49" i="405"/>
  <c r="B49" i="405"/>
  <c r="A49" i="405"/>
  <c r="R48" i="405"/>
  <c r="Q48" i="405"/>
  <c r="O48" i="405"/>
  <c r="N48" i="405"/>
  <c r="M48" i="405"/>
  <c r="L48" i="405"/>
  <c r="K48" i="405"/>
  <c r="J48" i="405"/>
  <c r="B48" i="405"/>
  <c r="A48" i="405"/>
  <c r="R47" i="405"/>
  <c r="Q47" i="405"/>
  <c r="O47" i="405"/>
  <c r="N47" i="405"/>
  <c r="M47" i="405"/>
  <c r="L47" i="405"/>
  <c r="K47" i="405"/>
  <c r="J47" i="405"/>
  <c r="B47" i="405"/>
  <c r="A47" i="405"/>
  <c r="S46" i="405"/>
  <c r="R46" i="405"/>
  <c r="Q46" i="405"/>
  <c r="P46" i="405"/>
  <c r="O46" i="405"/>
  <c r="N46" i="405"/>
  <c r="M46" i="405"/>
  <c r="L46" i="405"/>
  <c r="K46" i="405"/>
  <c r="J46" i="405"/>
  <c r="B46" i="405"/>
  <c r="A46" i="405"/>
  <c r="B45" i="405"/>
  <c r="A45" i="405"/>
  <c r="B44" i="405"/>
  <c r="A44" i="405"/>
  <c r="B43" i="405"/>
  <c r="A43" i="405"/>
  <c r="B42" i="405"/>
  <c r="A42" i="405"/>
  <c r="B41" i="405"/>
  <c r="A41" i="405"/>
  <c r="B40" i="405"/>
  <c r="A40" i="405"/>
  <c r="B39" i="405"/>
  <c r="A39" i="405"/>
  <c r="B38" i="405"/>
  <c r="A38" i="405"/>
  <c r="B37" i="405"/>
  <c r="A37" i="405"/>
  <c r="B36" i="405"/>
  <c r="A36" i="405"/>
  <c r="B35" i="405"/>
  <c r="A35" i="405"/>
  <c r="P26" i="405"/>
  <c r="P25" i="405"/>
  <c r="P24" i="405"/>
  <c r="P23" i="405"/>
  <c r="P22" i="405"/>
  <c r="P21" i="405"/>
  <c r="P20" i="405"/>
  <c r="P18" i="405"/>
  <c r="P19" i="405" s="1"/>
  <c r="O12" i="405"/>
  <c r="Q10" i="405" s="1"/>
  <c r="N12" i="405"/>
  <c r="P11" i="405"/>
  <c r="O11" i="405"/>
  <c r="N11" i="405"/>
  <c r="O10" i="405"/>
  <c r="L10" i="405"/>
  <c r="Q9" i="405"/>
  <c r="L9" i="405"/>
  <c r="O9" i="405" s="1"/>
  <c r="S58" i="404"/>
  <c r="R58" i="404"/>
  <c r="Q58" i="404"/>
  <c r="P58" i="404"/>
  <c r="O58" i="404"/>
  <c r="N58" i="404"/>
  <c r="M58" i="404"/>
  <c r="L58" i="404"/>
  <c r="K58" i="404"/>
  <c r="J58" i="404"/>
  <c r="B58" i="404"/>
  <c r="A58" i="404"/>
  <c r="S57" i="404"/>
  <c r="R57" i="404"/>
  <c r="Q57" i="404"/>
  <c r="P57" i="404"/>
  <c r="O57" i="404"/>
  <c r="N57" i="404"/>
  <c r="M57" i="404"/>
  <c r="L57" i="404"/>
  <c r="K57" i="404"/>
  <c r="J57" i="404"/>
  <c r="B57" i="404"/>
  <c r="A57" i="404"/>
  <c r="S56" i="404"/>
  <c r="R56" i="404"/>
  <c r="Q56" i="404"/>
  <c r="P56" i="404"/>
  <c r="O56" i="404"/>
  <c r="N56" i="404"/>
  <c r="M56" i="404"/>
  <c r="L56" i="404"/>
  <c r="K56" i="404"/>
  <c r="J56" i="404"/>
  <c r="B56" i="404"/>
  <c r="A56" i="404"/>
  <c r="S55" i="404"/>
  <c r="R55" i="404"/>
  <c r="Q55" i="404"/>
  <c r="P55" i="404"/>
  <c r="O55" i="404"/>
  <c r="N55" i="404"/>
  <c r="M55" i="404"/>
  <c r="L55" i="404"/>
  <c r="K55" i="404"/>
  <c r="J55" i="404"/>
  <c r="B55" i="404"/>
  <c r="A55" i="404"/>
  <c r="S54" i="404"/>
  <c r="R54" i="404"/>
  <c r="Q54" i="404"/>
  <c r="P54" i="404"/>
  <c r="O54" i="404"/>
  <c r="N54" i="404"/>
  <c r="M54" i="404"/>
  <c r="L54" i="404"/>
  <c r="K54" i="404"/>
  <c r="J54" i="404"/>
  <c r="B54" i="404"/>
  <c r="A54" i="404"/>
  <c r="S53" i="404"/>
  <c r="R53" i="404"/>
  <c r="Q53" i="404"/>
  <c r="P53" i="404"/>
  <c r="O53" i="404"/>
  <c r="N53" i="404"/>
  <c r="M53" i="404"/>
  <c r="L53" i="404"/>
  <c r="K53" i="404"/>
  <c r="J53" i="404"/>
  <c r="B53" i="404"/>
  <c r="A53" i="404"/>
  <c r="S52" i="404"/>
  <c r="R52" i="404"/>
  <c r="Q52" i="404"/>
  <c r="P52" i="404"/>
  <c r="O52" i="404"/>
  <c r="N52" i="404"/>
  <c r="M52" i="404"/>
  <c r="L52" i="404"/>
  <c r="K52" i="404"/>
  <c r="J52" i="404"/>
  <c r="B52" i="404"/>
  <c r="A52" i="404"/>
  <c r="S51" i="404"/>
  <c r="R51" i="404"/>
  <c r="Q51" i="404"/>
  <c r="P51" i="404"/>
  <c r="O51" i="404"/>
  <c r="N51" i="404"/>
  <c r="M51" i="404"/>
  <c r="L51" i="404"/>
  <c r="K51" i="404"/>
  <c r="J51" i="404"/>
  <c r="B51" i="404"/>
  <c r="A51" i="404"/>
  <c r="S50" i="404"/>
  <c r="R50" i="404"/>
  <c r="Q50" i="404"/>
  <c r="P50" i="404"/>
  <c r="O50" i="404"/>
  <c r="N50" i="404"/>
  <c r="M50" i="404"/>
  <c r="L50" i="404"/>
  <c r="K50" i="404"/>
  <c r="J50" i="404"/>
  <c r="B50" i="404"/>
  <c r="A50" i="404"/>
  <c r="S49" i="404"/>
  <c r="R49" i="404"/>
  <c r="Q49" i="404"/>
  <c r="P49" i="404"/>
  <c r="O49" i="404"/>
  <c r="N49" i="404"/>
  <c r="M49" i="404"/>
  <c r="L49" i="404"/>
  <c r="K49" i="404"/>
  <c r="J49" i="404"/>
  <c r="B49" i="404"/>
  <c r="A49" i="404"/>
  <c r="R48" i="404"/>
  <c r="Q48" i="404"/>
  <c r="O48" i="404"/>
  <c r="N48" i="404"/>
  <c r="M48" i="404"/>
  <c r="L48" i="404"/>
  <c r="K48" i="404"/>
  <c r="J48" i="404"/>
  <c r="B48" i="404"/>
  <c r="A48" i="404"/>
  <c r="R47" i="404"/>
  <c r="Q47" i="404"/>
  <c r="O47" i="404"/>
  <c r="N47" i="404"/>
  <c r="M47" i="404"/>
  <c r="L47" i="404"/>
  <c r="K47" i="404"/>
  <c r="J47" i="404"/>
  <c r="B47" i="404"/>
  <c r="A47" i="404"/>
  <c r="S46" i="404"/>
  <c r="R46" i="404"/>
  <c r="Q46" i="404"/>
  <c r="P46" i="404"/>
  <c r="O46" i="404"/>
  <c r="N46" i="404"/>
  <c r="M46" i="404"/>
  <c r="L46" i="404"/>
  <c r="K46" i="404"/>
  <c r="J46" i="404"/>
  <c r="B46" i="404"/>
  <c r="A46" i="404"/>
  <c r="B45" i="404"/>
  <c r="A45" i="404"/>
  <c r="B44" i="404"/>
  <c r="A44" i="404"/>
  <c r="B43" i="404"/>
  <c r="A43" i="404"/>
  <c r="B42" i="404"/>
  <c r="A42" i="404"/>
  <c r="B41" i="404"/>
  <c r="A41" i="404"/>
  <c r="B40" i="404"/>
  <c r="A40" i="404"/>
  <c r="B39" i="404"/>
  <c r="A39" i="404"/>
  <c r="B38" i="404"/>
  <c r="A38" i="404"/>
  <c r="B37" i="404"/>
  <c r="A37" i="404"/>
  <c r="B36" i="404"/>
  <c r="A36" i="404"/>
  <c r="B35" i="404"/>
  <c r="A35" i="404"/>
  <c r="P26" i="404"/>
  <c r="P25" i="404"/>
  <c r="P24" i="404"/>
  <c r="P23" i="404"/>
  <c r="P22" i="404"/>
  <c r="P21" i="404"/>
  <c r="P20" i="404"/>
  <c r="P18" i="404"/>
  <c r="P19" i="404" s="1"/>
  <c r="O12" i="404"/>
  <c r="Q10" i="404" s="1"/>
  <c r="N12" i="404"/>
  <c r="P11" i="404"/>
  <c r="O11" i="404"/>
  <c r="N11" i="404"/>
  <c r="O10" i="404"/>
  <c r="L10" i="404"/>
  <c r="Q9" i="404"/>
  <c r="L9" i="404"/>
  <c r="O9" i="404" s="1"/>
  <c r="S58" i="403"/>
  <c r="R58" i="403"/>
  <c r="Q58" i="403"/>
  <c r="P58" i="403"/>
  <c r="O58" i="403"/>
  <c r="N58" i="403"/>
  <c r="M58" i="403"/>
  <c r="L58" i="403"/>
  <c r="K58" i="403"/>
  <c r="J58" i="403"/>
  <c r="B58" i="403"/>
  <c r="A58" i="403"/>
  <c r="S57" i="403"/>
  <c r="R57" i="403"/>
  <c r="Q57" i="403"/>
  <c r="P57" i="403"/>
  <c r="O57" i="403"/>
  <c r="N57" i="403"/>
  <c r="M57" i="403"/>
  <c r="L57" i="403"/>
  <c r="K57" i="403"/>
  <c r="J57" i="403"/>
  <c r="B57" i="403"/>
  <c r="A57" i="403"/>
  <c r="S56" i="403"/>
  <c r="R56" i="403"/>
  <c r="Q56" i="403"/>
  <c r="P56" i="403"/>
  <c r="O56" i="403"/>
  <c r="N56" i="403"/>
  <c r="M56" i="403"/>
  <c r="L56" i="403"/>
  <c r="K56" i="403"/>
  <c r="J56" i="403"/>
  <c r="B56" i="403"/>
  <c r="A56" i="403"/>
  <c r="S55" i="403"/>
  <c r="R55" i="403"/>
  <c r="Q55" i="403"/>
  <c r="P55" i="403"/>
  <c r="O55" i="403"/>
  <c r="N55" i="403"/>
  <c r="M55" i="403"/>
  <c r="L55" i="403"/>
  <c r="K55" i="403"/>
  <c r="J55" i="403"/>
  <c r="B55" i="403"/>
  <c r="A55" i="403"/>
  <c r="S54" i="403"/>
  <c r="R54" i="403"/>
  <c r="Q54" i="403"/>
  <c r="P54" i="403"/>
  <c r="O54" i="403"/>
  <c r="N54" i="403"/>
  <c r="M54" i="403"/>
  <c r="L54" i="403"/>
  <c r="K54" i="403"/>
  <c r="J54" i="403"/>
  <c r="B54" i="403"/>
  <c r="A54" i="403"/>
  <c r="S53" i="403"/>
  <c r="R53" i="403"/>
  <c r="Q53" i="403"/>
  <c r="P53" i="403"/>
  <c r="O53" i="403"/>
  <c r="N53" i="403"/>
  <c r="M53" i="403"/>
  <c r="L53" i="403"/>
  <c r="K53" i="403"/>
  <c r="J53" i="403"/>
  <c r="B53" i="403"/>
  <c r="A53" i="403"/>
  <c r="S52" i="403"/>
  <c r="R52" i="403"/>
  <c r="Q52" i="403"/>
  <c r="P52" i="403"/>
  <c r="O52" i="403"/>
  <c r="N52" i="403"/>
  <c r="M52" i="403"/>
  <c r="L52" i="403"/>
  <c r="K52" i="403"/>
  <c r="J52" i="403"/>
  <c r="B52" i="403"/>
  <c r="A52" i="403"/>
  <c r="S51" i="403"/>
  <c r="R51" i="403"/>
  <c r="Q51" i="403"/>
  <c r="P51" i="403"/>
  <c r="O51" i="403"/>
  <c r="N51" i="403"/>
  <c r="M51" i="403"/>
  <c r="L51" i="403"/>
  <c r="K51" i="403"/>
  <c r="J51" i="403"/>
  <c r="B51" i="403"/>
  <c r="A51" i="403"/>
  <c r="S50" i="403"/>
  <c r="R50" i="403"/>
  <c r="Q50" i="403"/>
  <c r="P50" i="403"/>
  <c r="O50" i="403"/>
  <c r="N50" i="403"/>
  <c r="M50" i="403"/>
  <c r="L50" i="403"/>
  <c r="K50" i="403"/>
  <c r="J50" i="403"/>
  <c r="B50" i="403"/>
  <c r="A50" i="403"/>
  <c r="S49" i="403"/>
  <c r="R49" i="403"/>
  <c r="Q49" i="403"/>
  <c r="P49" i="403"/>
  <c r="O49" i="403"/>
  <c r="N49" i="403"/>
  <c r="M49" i="403"/>
  <c r="L49" i="403"/>
  <c r="K49" i="403"/>
  <c r="J49" i="403"/>
  <c r="B49" i="403"/>
  <c r="A49" i="403"/>
  <c r="R48" i="403"/>
  <c r="Q48" i="403"/>
  <c r="O48" i="403"/>
  <c r="N48" i="403"/>
  <c r="M48" i="403"/>
  <c r="L48" i="403"/>
  <c r="K48" i="403"/>
  <c r="J48" i="403"/>
  <c r="B48" i="403"/>
  <c r="A48" i="403"/>
  <c r="R47" i="403"/>
  <c r="Q47" i="403"/>
  <c r="O47" i="403"/>
  <c r="N47" i="403"/>
  <c r="M47" i="403"/>
  <c r="L47" i="403"/>
  <c r="K47" i="403"/>
  <c r="J47" i="403"/>
  <c r="B47" i="403"/>
  <c r="A47" i="403"/>
  <c r="S46" i="403"/>
  <c r="R46" i="403"/>
  <c r="Q46" i="403"/>
  <c r="P46" i="403"/>
  <c r="O46" i="403"/>
  <c r="N46" i="403"/>
  <c r="M46" i="403"/>
  <c r="L46" i="403"/>
  <c r="K46" i="403"/>
  <c r="J46" i="403"/>
  <c r="B46" i="403"/>
  <c r="A46" i="403"/>
  <c r="B45" i="403"/>
  <c r="A45" i="403"/>
  <c r="B44" i="403"/>
  <c r="A44" i="403"/>
  <c r="B43" i="403"/>
  <c r="A43" i="403"/>
  <c r="B42" i="403"/>
  <c r="A42" i="403"/>
  <c r="B41" i="403"/>
  <c r="A41" i="403"/>
  <c r="B40" i="403"/>
  <c r="A40" i="403"/>
  <c r="B39" i="403"/>
  <c r="A39" i="403"/>
  <c r="B38" i="403"/>
  <c r="A38" i="403"/>
  <c r="B37" i="403"/>
  <c r="A37" i="403"/>
  <c r="B36" i="403"/>
  <c r="A36" i="403"/>
  <c r="B35" i="403"/>
  <c r="A35" i="403"/>
  <c r="P26" i="403"/>
  <c r="P25" i="403"/>
  <c r="P24" i="403"/>
  <c r="P23" i="403"/>
  <c r="P22" i="403"/>
  <c r="P21" i="403"/>
  <c r="P20" i="403"/>
  <c r="P18" i="403"/>
  <c r="P19" i="403" s="1"/>
  <c r="O12" i="403"/>
  <c r="Q10" i="403" s="1"/>
  <c r="N12" i="403"/>
  <c r="P11" i="403"/>
  <c r="O11" i="403"/>
  <c r="Q9" i="403" s="1"/>
  <c r="N11" i="403"/>
  <c r="L10" i="403"/>
  <c r="L9" i="403"/>
  <c r="O9" i="403" s="1"/>
  <c r="S58" i="402"/>
  <c r="R58" i="402"/>
  <c r="Q58" i="402"/>
  <c r="P58" i="402"/>
  <c r="O58" i="402"/>
  <c r="N58" i="402"/>
  <c r="M58" i="402"/>
  <c r="L58" i="402"/>
  <c r="K58" i="402"/>
  <c r="J58" i="402"/>
  <c r="B58" i="402"/>
  <c r="A58" i="402"/>
  <c r="S57" i="402"/>
  <c r="R57" i="402"/>
  <c r="Q57" i="402"/>
  <c r="P57" i="402"/>
  <c r="O57" i="402"/>
  <c r="N57" i="402"/>
  <c r="M57" i="402"/>
  <c r="L57" i="402"/>
  <c r="K57" i="402"/>
  <c r="J57" i="402"/>
  <c r="B57" i="402"/>
  <c r="A57" i="402"/>
  <c r="S56" i="402"/>
  <c r="R56" i="402"/>
  <c r="Q56" i="402"/>
  <c r="P56" i="402"/>
  <c r="O56" i="402"/>
  <c r="N56" i="402"/>
  <c r="M56" i="402"/>
  <c r="L56" i="402"/>
  <c r="K56" i="402"/>
  <c r="J56" i="402"/>
  <c r="B56" i="402"/>
  <c r="A56" i="402"/>
  <c r="S55" i="402"/>
  <c r="R55" i="402"/>
  <c r="Q55" i="402"/>
  <c r="P55" i="402"/>
  <c r="O55" i="402"/>
  <c r="N55" i="402"/>
  <c r="M55" i="402"/>
  <c r="L55" i="402"/>
  <c r="K55" i="402"/>
  <c r="J55" i="402"/>
  <c r="B55" i="402"/>
  <c r="A55" i="402"/>
  <c r="S54" i="402"/>
  <c r="R54" i="402"/>
  <c r="Q54" i="402"/>
  <c r="P54" i="402"/>
  <c r="O54" i="402"/>
  <c r="N54" i="402"/>
  <c r="M54" i="402"/>
  <c r="L54" i="402"/>
  <c r="K54" i="402"/>
  <c r="J54" i="402"/>
  <c r="B54" i="402"/>
  <c r="A54" i="402"/>
  <c r="S53" i="402"/>
  <c r="R53" i="402"/>
  <c r="Q53" i="402"/>
  <c r="P53" i="402"/>
  <c r="O53" i="402"/>
  <c r="N53" i="402"/>
  <c r="M53" i="402"/>
  <c r="L53" i="402"/>
  <c r="K53" i="402"/>
  <c r="J53" i="402"/>
  <c r="B53" i="402"/>
  <c r="A53" i="402"/>
  <c r="S52" i="402"/>
  <c r="R52" i="402"/>
  <c r="Q52" i="402"/>
  <c r="P52" i="402"/>
  <c r="O52" i="402"/>
  <c r="N52" i="402"/>
  <c r="M52" i="402"/>
  <c r="L52" i="402"/>
  <c r="K52" i="402"/>
  <c r="J52" i="402"/>
  <c r="B52" i="402"/>
  <c r="A52" i="402"/>
  <c r="S51" i="402"/>
  <c r="R51" i="402"/>
  <c r="Q51" i="402"/>
  <c r="P51" i="402"/>
  <c r="O51" i="402"/>
  <c r="N51" i="402"/>
  <c r="M51" i="402"/>
  <c r="L51" i="402"/>
  <c r="K51" i="402"/>
  <c r="J51" i="402"/>
  <c r="B51" i="402"/>
  <c r="A51" i="402"/>
  <c r="S50" i="402"/>
  <c r="R50" i="402"/>
  <c r="Q50" i="402"/>
  <c r="P50" i="402"/>
  <c r="O50" i="402"/>
  <c r="N50" i="402"/>
  <c r="M50" i="402"/>
  <c r="L50" i="402"/>
  <c r="K50" i="402"/>
  <c r="J50" i="402"/>
  <c r="B50" i="402"/>
  <c r="A50" i="402"/>
  <c r="S49" i="402"/>
  <c r="R49" i="402"/>
  <c r="Q49" i="402"/>
  <c r="P49" i="402"/>
  <c r="O49" i="402"/>
  <c r="N49" i="402"/>
  <c r="M49" i="402"/>
  <c r="L49" i="402"/>
  <c r="K49" i="402"/>
  <c r="J49" i="402"/>
  <c r="B49" i="402"/>
  <c r="A49" i="402"/>
  <c r="R48" i="402"/>
  <c r="Q48" i="402"/>
  <c r="O48" i="402"/>
  <c r="N48" i="402"/>
  <c r="M48" i="402"/>
  <c r="L48" i="402"/>
  <c r="K48" i="402"/>
  <c r="J48" i="402"/>
  <c r="B48" i="402"/>
  <c r="A48" i="402"/>
  <c r="R47" i="402"/>
  <c r="Q47" i="402"/>
  <c r="O47" i="402"/>
  <c r="N47" i="402"/>
  <c r="M47" i="402"/>
  <c r="L47" i="402"/>
  <c r="K47" i="402"/>
  <c r="J47" i="402"/>
  <c r="B47" i="402"/>
  <c r="A47" i="402"/>
  <c r="S46" i="402"/>
  <c r="R46" i="402"/>
  <c r="Q46" i="402"/>
  <c r="P46" i="402"/>
  <c r="O46" i="402"/>
  <c r="N46" i="402"/>
  <c r="M46" i="402"/>
  <c r="L46" i="402"/>
  <c r="K46" i="402"/>
  <c r="J46" i="402"/>
  <c r="B46" i="402"/>
  <c r="A46" i="402"/>
  <c r="B45" i="402"/>
  <c r="A45" i="402"/>
  <c r="B44" i="402"/>
  <c r="A44" i="402"/>
  <c r="B43" i="402"/>
  <c r="A43" i="402"/>
  <c r="B42" i="402"/>
  <c r="A42" i="402"/>
  <c r="B41" i="402"/>
  <c r="A41" i="402"/>
  <c r="B40" i="402"/>
  <c r="A40" i="402"/>
  <c r="B39" i="402"/>
  <c r="A39" i="402"/>
  <c r="B38" i="402"/>
  <c r="A38" i="402"/>
  <c r="B37" i="402"/>
  <c r="A37" i="402"/>
  <c r="B36" i="402"/>
  <c r="A36" i="402"/>
  <c r="B35" i="402"/>
  <c r="A35" i="402"/>
  <c r="P26" i="402"/>
  <c r="P25" i="402"/>
  <c r="P24" i="402"/>
  <c r="P23" i="402"/>
  <c r="P22" i="402"/>
  <c r="P21" i="402"/>
  <c r="P20" i="402"/>
  <c r="P19" i="402"/>
  <c r="P18" i="402"/>
  <c r="O12" i="402"/>
  <c r="Q10" i="402" s="1"/>
  <c r="N12" i="402"/>
  <c r="P11" i="402"/>
  <c r="O11" i="402"/>
  <c r="N11" i="402"/>
  <c r="O10" i="402"/>
  <c r="L10" i="402"/>
  <c r="Q9" i="402"/>
  <c r="L9" i="402"/>
  <c r="O9" i="402" s="1"/>
  <c r="S58" i="401"/>
  <c r="R58" i="401"/>
  <c r="Q58" i="401"/>
  <c r="P58" i="401"/>
  <c r="O58" i="401"/>
  <c r="N58" i="401"/>
  <c r="M58" i="401"/>
  <c r="L58" i="401"/>
  <c r="K58" i="401"/>
  <c r="J58" i="401"/>
  <c r="B58" i="401"/>
  <c r="A58" i="401"/>
  <c r="S57" i="401"/>
  <c r="R57" i="401"/>
  <c r="Q57" i="401"/>
  <c r="P57" i="401"/>
  <c r="O57" i="401"/>
  <c r="N57" i="401"/>
  <c r="M57" i="401"/>
  <c r="L57" i="401"/>
  <c r="K57" i="401"/>
  <c r="J57" i="401"/>
  <c r="B57" i="401"/>
  <c r="A57" i="401"/>
  <c r="S56" i="401"/>
  <c r="R56" i="401"/>
  <c r="Q56" i="401"/>
  <c r="P56" i="401"/>
  <c r="O56" i="401"/>
  <c r="N56" i="401"/>
  <c r="M56" i="401"/>
  <c r="L56" i="401"/>
  <c r="K56" i="401"/>
  <c r="J56" i="401"/>
  <c r="B56" i="401"/>
  <c r="A56" i="401"/>
  <c r="S55" i="401"/>
  <c r="R55" i="401"/>
  <c r="Q55" i="401"/>
  <c r="P55" i="401"/>
  <c r="O55" i="401"/>
  <c r="N55" i="401"/>
  <c r="M55" i="401"/>
  <c r="L55" i="401"/>
  <c r="K55" i="401"/>
  <c r="J55" i="401"/>
  <c r="B55" i="401"/>
  <c r="A55" i="401"/>
  <c r="S54" i="401"/>
  <c r="R54" i="401"/>
  <c r="Q54" i="401"/>
  <c r="P54" i="401"/>
  <c r="O54" i="401"/>
  <c r="N54" i="401"/>
  <c r="M54" i="401"/>
  <c r="L54" i="401"/>
  <c r="K54" i="401"/>
  <c r="J54" i="401"/>
  <c r="B54" i="401"/>
  <c r="A54" i="401"/>
  <c r="S53" i="401"/>
  <c r="R53" i="401"/>
  <c r="Q53" i="401"/>
  <c r="P53" i="401"/>
  <c r="O53" i="401"/>
  <c r="N53" i="401"/>
  <c r="M53" i="401"/>
  <c r="L53" i="401"/>
  <c r="K53" i="401"/>
  <c r="J53" i="401"/>
  <c r="B53" i="401"/>
  <c r="A53" i="401"/>
  <c r="S52" i="401"/>
  <c r="R52" i="401"/>
  <c r="Q52" i="401"/>
  <c r="P52" i="401"/>
  <c r="O52" i="401"/>
  <c r="N52" i="401"/>
  <c r="M52" i="401"/>
  <c r="L52" i="401"/>
  <c r="K52" i="401"/>
  <c r="J52" i="401"/>
  <c r="B52" i="401"/>
  <c r="A52" i="401"/>
  <c r="S51" i="401"/>
  <c r="R51" i="401"/>
  <c r="Q51" i="401"/>
  <c r="P51" i="401"/>
  <c r="O51" i="401"/>
  <c r="N51" i="401"/>
  <c r="M51" i="401"/>
  <c r="L51" i="401"/>
  <c r="K51" i="401"/>
  <c r="J51" i="401"/>
  <c r="B51" i="401"/>
  <c r="A51" i="401"/>
  <c r="S50" i="401"/>
  <c r="R50" i="401"/>
  <c r="Q50" i="401"/>
  <c r="P50" i="401"/>
  <c r="O50" i="401"/>
  <c r="N50" i="401"/>
  <c r="M50" i="401"/>
  <c r="L50" i="401"/>
  <c r="K50" i="401"/>
  <c r="J50" i="401"/>
  <c r="B50" i="401"/>
  <c r="A50" i="401"/>
  <c r="S49" i="401"/>
  <c r="R49" i="401"/>
  <c r="Q49" i="401"/>
  <c r="P49" i="401"/>
  <c r="O49" i="401"/>
  <c r="N49" i="401"/>
  <c r="M49" i="401"/>
  <c r="L49" i="401"/>
  <c r="K49" i="401"/>
  <c r="J49" i="401"/>
  <c r="B49" i="401"/>
  <c r="A49" i="401"/>
  <c r="R48" i="401"/>
  <c r="Q48" i="401"/>
  <c r="O48" i="401"/>
  <c r="N48" i="401"/>
  <c r="M48" i="401"/>
  <c r="L48" i="401"/>
  <c r="K48" i="401"/>
  <c r="J48" i="401"/>
  <c r="B48" i="401"/>
  <c r="A48" i="401"/>
  <c r="R47" i="401"/>
  <c r="Q47" i="401"/>
  <c r="O47" i="401"/>
  <c r="N47" i="401"/>
  <c r="M47" i="401"/>
  <c r="L47" i="401"/>
  <c r="K47" i="401"/>
  <c r="J47" i="401"/>
  <c r="B47" i="401"/>
  <c r="A47" i="401"/>
  <c r="S46" i="401"/>
  <c r="R46" i="401"/>
  <c r="Q46" i="401"/>
  <c r="P46" i="401"/>
  <c r="O46" i="401"/>
  <c r="N46" i="401"/>
  <c r="M46" i="401"/>
  <c r="L46" i="401"/>
  <c r="K46" i="401"/>
  <c r="J46" i="401"/>
  <c r="B46" i="401"/>
  <c r="A46" i="401"/>
  <c r="B45" i="401"/>
  <c r="A45" i="401"/>
  <c r="B44" i="401"/>
  <c r="A44" i="401"/>
  <c r="B43" i="401"/>
  <c r="A43" i="401"/>
  <c r="B42" i="401"/>
  <c r="A42" i="401"/>
  <c r="B41" i="401"/>
  <c r="A41" i="401"/>
  <c r="B40" i="401"/>
  <c r="A40" i="401"/>
  <c r="B39" i="401"/>
  <c r="A39" i="401"/>
  <c r="B38" i="401"/>
  <c r="A38" i="401"/>
  <c r="B37" i="401"/>
  <c r="A37" i="401"/>
  <c r="B36" i="401"/>
  <c r="A36" i="401"/>
  <c r="B35" i="401"/>
  <c r="A35" i="401"/>
  <c r="P26" i="401"/>
  <c r="P25" i="401"/>
  <c r="P24" i="401"/>
  <c r="P23" i="401"/>
  <c r="P22" i="401"/>
  <c r="P21" i="401"/>
  <c r="P20" i="401"/>
  <c r="P19" i="401"/>
  <c r="P18" i="401"/>
  <c r="O12" i="401"/>
  <c r="N12" i="401"/>
  <c r="O10" i="401" s="1"/>
  <c r="P11" i="401"/>
  <c r="O11" i="401"/>
  <c r="N11" i="401"/>
  <c r="Q10" i="401"/>
  <c r="L10" i="401"/>
  <c r="Q9" i="401"/>
  <c r="L9" i="401"/>
  <c r="S58" i="400"/>
  <c r="R58" i="400"/>
  <c r="Q58" i="400"/>
  <c r="P58" i="400"/>
  <c r="O58" i="400"/>
  <c r="N58" i="400"/>
  <c r="M58" i="400"/>
  <c r="L58" i="400"/>
  <c r="K58" i="400"/>
  <c r="J58" i="400"/>
  <c r="B58" i="400"/>
  <c r="A58" i="400"/>
  <c r="S57" i="400"/>
  <c r="R57" i="400"/>
  <c r="Q57" i="400"/>
  <c r="P57" i="400"/>
  <c r="O57" i="400"/>
  <c r="N57" i="400"/>
  <c r="M57" i="400"/>
  <c r="L57" i="400"/>
  <c r="K57" i="400"/>
  <c r="J57" i="400"/>
  <c r="B57" i="400"/>
  <c r="A57" i="400"/>
  <c r="S56" i="400"/>
  <c r="R56" i="400"/>
  <c r="Q56" i="400"/>
  <c r="P56" i="400"/>
  <c r="O56" i="400"/>
  <c r="N56" i="400"/>
  <c r="M56" i="400"/>
  <c r="L56" i="400"/>
  <c r="K56" i="400"/>
  <c r="J56" i="400"/>
  <c r="B56" i="400"/>
  <c r="A56" i="400"/>
  <c r="S55" i="400"/>
  <c r="R55" i="400"/>
  <c r="Q55" i="400"/>
  <c r="P55" i="400"/>
  <c r="O55" i="400"/>
  <c r="N55" i="400"/>
  <c r="M55" i="400"/>
  <c r="L55" i="400"/>
  <c r="K55" i="400"/>
  <c r="J55" i="400"/>
  <c r="B55" i="400"/>
  <c r="A55" i="400"/>
  <c r="S54" i="400"/>
  <c r="R54" i="400"/>
  <c r="Q54" i="400"/>
  <c r="P54" i="400"/>
  <c r="O54" i="400"/>
  <c r="N54" i="400"/>
  <c r="M54" i="400"/>
  <c r="L54" i="400"/>
  <c r="K54" i="400"/>
  <c r="J54" i="400"/>
  <c r="B54" i="400"/>
  <c r="A54" i="400"/>
  <c r="S53" i="400"/>
  <c r="R53" i="400"/>
  <c r="Q53" i="400"/>
  <c r="P53" i="400"/>
  <c r="O53" i="400"/>
  <c r="N53" i="400"/>
  <c r="M53" i="400"/>
  <c r="L53" i="400"/>
  <c r="K53" i="400"/>
  <c r="J53" i="400"/>
  <c r="B53" i="400"/>
  <c r="A53" i="400"/>
  <c r="S52" i="400"/>
  <c r="R52" i="400"/>
  <c r="Q52" i="400"/>
  <c r="P52" i="400"/>
  <c r="O52" i="400"/>
  <c r="N52" i="400"/>
  <c r="M52" i="400"/>
  <c r="L52" i="400"/>
  <c r="K52" i="400"/>
  <c r="J52" i="400"/>
  <c r="B52" i="400"/>
  <c r="A52" i="400"/>
  <c r="S51" i="400"/>
  <c r="R51" i="400"/>
  <c r="Q51" i="400"/>
  <c r="P51" i="400"/>
  <c r="O51" i="400"/>
  <c r="N51" i="400"/>
  <c r="M51" i="400"/>
  <c r="L51" i="400"/>
  <c r="K51" i="400"/>
  <c r="J51" i="400"/>
  <c r="B51" i="400"/>
  <c r="A51" i="400"/>
  <c r="S50" i="400"/>
  <c r="R50" i="400"/>
  <c r="Q50" i="400"/>
  <c r="P50" i="400"/>
  <c r="O50" i="400"/>
  <c r="N50" i="400"/>
  <c r="M50" i="400"/>
  <c r="L50" i="400"/>
  <c r="K50" i="400"/>
  <c r="J50" i="400"/>
  <c r="B50" i="400"/>
  <c r="A50" i="400"/>
  <c r="S49" i="400"/>
  <c r="R49" i="400"/>
  <c r="Q49" i="400"/>
  <c r="P49" i="400"/>
  <c r="O49" i="400"/>
  <c r="N49" i="400"/>
  <c r="M49" i="400"/>
  <c r="L49" i="400"/>
  <c r="K49" i="400"/>
  <c r="J49" i="400"/>
  <c r="B49" i="400"/>
  <c r="A49" i="400"/>
  <c r="R48" i="400"/>
  <c r="Q48" i="400"/>
  <c r="O48" i="400"/>
  <c r="N48" i="400"/>
  <c r="M48" i="400"/>
  <c r="L48" i="400"/>
  <c r="K48" i="400"/>
  <c r="J48" i="400"/>
  <c r="B48" i="400"/>
  <c r="A48" i="400"/>
  <c r="R47" i="400"/>
  <c r="Q47" i="400"/>
  <c r="O47" i="400"/>
  <c r="N47" i="400"/>
  <c r="M47" i="400"/>
  <c r="L47" i="400"/>
  <c r="K47" i="400"/>
  <c r="J47" i="400"/>
  <c r="B47" i="400"/>
  <c r="A47" i="400"/>
  <c r="S46" i="400"/>
  <c r="R46" i="400"/>
  <c r="Q46" i="400"/>
  <c r="P46" i="400"/>
  <c r="O46" i="400"/>
  <c r="N46" i="400"/>
  <c r="M46" i="400"/>
  <c r="L46" i="400"/>
  <c r="K46" i="400"/>
  <c r="J46" i="400"/>
  <c r="B46" i="400"/>
  <c r="A46" i="400"/>
  <c r="B45" i="400"/>
  <c r="A45" i="400"/>
  <c r="B44" i="400"/>
  <c r="A44" i="400"/>
  <c r="B43" i="400"/>
  <c r="A43" i="400"/>
  <c r="B42" i="400"/>
  <c r="A42" i="400"/>
  <c r="B41" i="400"/>
  <c r="A41" i="400"/>
  <c r="B40" i="400"/>
  <c r="A40" i="400"/>
  <c r="B39" i="400"/>
  <c r="A39" i="400"/>
  <c r="B38" i="400"/>
  <c r="A38" i="400"/>
  <c r="B37" i="400"/>
  <c r="A37" i="400"/>
  <c r="B36" i="400"/>
  <c r="A36" i="400"/>
  <c r="B35" i="400"/>
  <c r="A35" i="400"/>
  <c r="P26" i="400"/>
  <c r="P25" i="400"/>
  <c r="P24" i="400"/>
  <c r="P23" i="400"/>
  <c r="P22" i="400"/>
  <c r="P21" i="400"/>
  <c r="P20" i="400"/>
  <c r="P19" i="400"/>
  <c r="P18" i="400"/>
  <c r="O12" i="400"/>
  <c r="N12" i="400"/>
  <c r="O10" i="400" s="1"/>
  <c r="P11" i="400"/>
  <c r="O11" i="400"/>
  <c r="N11" i="400"/>
  <c r="Q10" i="400"/>
  <c r="L10" i="400"/>
  <c r="Q9" i="400"/>
  <c r="L9" i="400"/>
  <c r="O9" i="400" s="1"/>
  <c r="S58" i="399"/>
  <c r="R58" i="399"/>
  <c r="Q58" i="399"/>
  <c r="P58" i="399"/>
  <c r="O58" i="399"/>
  <c r="N58" i="399"/>
  <c r="M58" i="399"/>
  <c r="L58" i="399"/>
  <c r="K58" i="399"/>
  <c r="J58" i="399"/>
  <c r="B58" i="399"/>
  <c r="A58" i="399"/>
  <c r="S57" i="399"/>
  <c r="R57" i="399"/>
  <c r="Q57" i="399"/>
  <c r="P57" i="399"/>
  <c r="O57" i="399"/>
  <c r="N57" i="399"/>
  <c r="M57" i="399"/>
  <c r="L57" i="399"/>
  <c r="K57" i="399"/>
  <c r="J57" i="399"/>
  <c r="B57" i="399"/>
  <c r="A57" i="399"/>
  <c r="S56" i="399"/>
  <c r="R56" i="399"/>
  <c r="Q56" i="399"/>
  <c r="P56" i="399"/>
  <c r="O56" i="399"/>
  <c r="N56" i="399"/>
  <c r="M56" i="399"/>
  <c r="L56" i="399"/>
  <c r="K56" i="399"/>
  <c r="J56" i="399"/>
  <c r="B56" i="399"/>
  <c r="A56" i="399"/>
  <c r="S55" i="399"/>
  <c r="R55" i="399"/>
  <c r="Q55" i="399"/>
  <c r="P55" i="399"/>
  <c r="O55" i="399"/>
  <c r="N55" i="399"/>
  <c r="M55" i="399"/>
  <c r="L55" i="399"/>
  <c r="K55" i="399"/>
  <c r="J55" i="399"/>
  <c r="B55" i="399"/>
  <c r="A55" i="399"/>
  <c r="S54" i="399"/>
  <c r="R54" i="399"/>
  <c r="Q54" i="399"/>
  <c r="P54" i="399"/>
  <c r="O54" i="399"/>
  <c r="N54" i="399"/>
  <c r="M54" i="399"/>
  <c r="L54" i="399"/>
  <c r="K54" i="399"/>
  <c r="J54" i="399"/>
  <c r="B54" i="399"/>
  <c r="A54" i="399"/>
  <c r="S53" i="399"/>
  <c r="R53" i="399"/>
  <c r="Q53" i="399"/>
  <c r="P53" i="399"/>
  <c r="O53" i="399"/>
  <c r="N53" i="399"/>
  <c r="M53" i="399"/>
  <c r="L53" i="399"/>
  <c r="K53" i="399"/>
  <c r="J53" i="399"/>
  <c r="B53" i="399"/>
  <c r="A53" i="399"/>
  <c r="S52" i="399"/>
  <c r="R52" i="399"/>
  <c r="Q52" i="399"/>
  <c r="P52" i="399"/>
  <c r="O52" i="399"/>
  <c r="N52" i="399"/>
  <c r="M52" i="399"/>
  <c r="L52" i="399"/>
  <c r="K52" i="399"/>
  <c r="J52" i="399"/>
  <c r="B52" i="399"/>
  <c r="A52" i="399"/>
  <c r="S51" i="399"/>
  <c r="R51" i="399"/>
  <c r="Q51" i="399"/>
  <c r="P51" i="399"/>
  <c r="O51" i="399"/>
  <c r="N51" i="399"/>
  <c r="M51" i="399"/>
  <c r="L51" i="399"/>
  <c r="K51" i="399"/>
  <c r="J51" i="399"/>
  <c r="B51" i="399"/>
  <c r="A51" i="399"/>
  <c r="S50" i="399"/>
  <c r="R50" i="399"/>
  <c r="Q50" i="399"/>
  <c r="P50" i="399"/>
  <c r="O50" i="399"/>
  <c r="N50" i="399"/>
  <c r="M50" i="399"/>
  <c r="L50" i="399"/>
  <c r="K50" i="399"/>
  <c r="J50" i="399"/>
  <c r="B50" i="399"/>
  <c r="A50" i="399"/>
  <c r="S49" i="399"/>
  <c r="R49" i="399"/>
  <c r="Q49" i="399"/>
  <c r="P49" i="399"/>
  <c r="O49" i="399"/>
  <c r="N49" i="399"/>
  <c r="M49" i="399"/>
  <c r="L49" i="399"/>
  <c r="K49" i="399"/>
  <c r="J49" i="399"/>
  <c r="B49" i="399"/>
  <c r="A49" i="399"/>
  <c r="R48" i="399"/>
  <c r="Q48" i="399"/>
  <c r="O48" i="399"/>
  <c r="N48" i="399"/>
  <c r="M48" i="399"/>
  <c r="L48" i="399"/>
  <c r="K48" i="399"/>
  <c r="J48" i="399"/>
  <c r="B48" i="399"/>
  <c r="A48" i="399"/>
  <c r="R47" i="399"/>
  <c r="Q47" i="399"/>
  <c r="O47" i="399"/>
  <c r="N47" i="399"/>
  <c r="M47" i="399"/>
  <c r="L47" i="399"/>
  <c r="K47" i="399"/>
  <c r="J47" i="399"/>
  <c r="B47" i="399"/>
  <c r="A47" i="399"/>
  <c r="S46" i="399"/>
  <c r="R46" i="399"/>
  <c r="Q46" i="399"/>
  <c r="P46" i="399"/>
  <c r="O46" i="399"/>
  <c r="N46" i="399"/>
  <c r="M46" i="399"/>
  <c r="L46" i="399"/>
  <c r="K46" i="399"/>
  <c r="J46" i="399"/>
  <c r="B46" i="399"/>
  <c r="A46" i="399"/>
  <c r="B45" i="399"/>
  <c r="A45" i="399"/>
  <c r="B44" i="399"/>
  <c r="A44" i="399"/>
  <c r="B43" i="399"/>
  <c r="A43" i="399"/>
  <c r="B42" i="399"/>
  <c r="A42" i="399"/>
  <c r="B41" i="399"/>
  <c r="A41" i="399"/>
  <c r="B40" i="399"/>
  <c r="A40" i="399"/>
  <c r="B39" i="399"/>
  <c r="A39" i="399"/>
  <c r="B38" i="399"/>
  <c r="A38" i="399"/>
  <c r="B37" i="399"/>
  <c r="A37" i="399"/>
  <c r="B36" i="399"/>
  <c r="A36" i="399"/>
  <c r="B35" i="399"/>
  <c r="A35" i="399"/>
  <c r="P26" i="399"/>
  <c r="P25" i="399"/>
  <c r="P24" i="399"/>
  <c r="P23" i="399"/>
  <c r="P22" i="399"/>
  <c r="P21" i="399"/>
  <c r="P20" i="399"/>
  <c r="P18" i="399"/>
  <c r="P19" i="399" s="1"/>
  <c r="O12" i="399"/>
  <c r="Q10" i="399" s="1"/>
  <c r="N12" i="399"/>
  <c r="P11" i="399"/>
  <c r="O11" i="399"/>
  <c r="N11" i="399"/>
  <c r="O10" i="399"/>
  <c r="L10" i="399"/>
  <c r="Q9" i="399"/>
  <c r="L9" i="399"/>
  <c r="O9" i="399" s="1"/>
  <c r="S58" i="398"/>
  <c r="R58" i="398"/>
  <c r="Q58" i="398"/>
  <c r="P58" i="398"/>
  <c r="O58" i="398"/>
  <c r="N58" i="398"/>
  <c r="M58" i="398"/>
  <c r="L58" i="398"/>
  <c r="K58" i="398"/>
  <c r="J58" i="398"/>
  <c r="B58" i="398"/>
  <c r="A58" i="398"/>
  <c r="S57" i="398"/>
  <c r="R57" i="398"/>
  <c r="Q57" i="398"/>
  <c r="P57" i="398"/>
  <c r="O57" i="398"/>
  <c r="N57" i="398"/>
  <c r="M57" i="398"/>
  <c r="L57" i="398"/>
  <c r="K57" i="398"/>
  <c r="J57" i="398"/>
  <c r="B57" i="398"/>
  <c r="A57" i="398"/>
  <c r="S56" i="398"/>
  <c r="R56" i="398"/>
  <c r="Q56" i="398"/>
  <c r="P56" i="398"/>
  <c r="O56" i="398"/>
  <c r="N56" i="398"/>
  <c r="M56" i="398"/>
  <c r="L56" i="398"/>
  <c r="K56" i="398"/>
  <c r="J56" i="398"/>
  <c r="B56" i="398"/>
  <c r="A56" i="398"/>
  <c r="S55" i="398"/>
  <c r="R55" i="398"/>
  <c r="Q55" i="398"/>
  <c r="P55" i="398"/>
  <c r="O55" i="398"/>
  <c r="N55" i="398"/>
  <c r="M55" i="398"/>
  <c r="L55" i="398"/>
  <c r="K55" i="398"/>
  <c r="J55" i="398"/>
  <c r="B55" i="398"/>
  <c r="A55" i="398"/>
  <c r="S54" i="398"/>
  <c r="R54" i="398"/>
  <c r="Q54" i="398"/>
  <c r="P54" i="398"/>
  <c r="O54" i="398"/>
  <c r="N54" i="398"/>
  <c r="M54" i="398"/>
  <c r="L54" i="398"/>
  <c r="K54" i="398"/>
  <c r="J54" i="398"/>
  <c r="B54" i="398"/>
  <c r="A54" i="398"/>
  <c r="S53" i="398"/>
  <c r="R53" i="398"/>
  <c r="Q53" i="398"/>
  <c r="P53" i="398"/>
  <c r="O53" i="398"/>
  <c r="N53" i="398"/>
  <c r="M53" i="398"/>
  <c r="L53" i="398"/>
  <c r="K53" i="398"/>
  <c r="J53" i="398"/>
  <c r="B53" i="398"/>
  <c r="A53" i="398"/>
  <c r="S52" i="398"/>
  <c r="R52" i="398"/>
  <c r="Q52" i="398"/>
  <c r="P52" i="398"/>
  <c r="O52" i="398"/>
  <c r="N52" i="398"/>
  <c r="M52" i="398"/>
  <c r="L52" i="398"/>
  <c r="K52" i="398"/>
  <c r="J52" i="398"/>
  <c r="B52" i="398"/>
  <c r="A52" i="398"/>
  <c r="S51" i="398"/>
  <c r="R51" i="398"/>
  <c r="Q51" i="398"/>
  <c r="P51" i="398"/>
  <c r="O51" i="398"/>
  <c r="N51" i="398"/>
  <c r="M51" i="398"/>
  <c r="L51" i="398"/>
  <c r="K51" i="398"/>
  <c r="J51" i="398"/>
  <c r="B51" i="398"/>
  <c r="A51" i="398"/>
  <c r="S50" i="398"/>
  <c r="R50" i="398"/>
  <c r="Q50" i="398"/>
  <c r="P50" i="398"/>
  <c r="O50" i="398"/>
  <c r="N50" i="398"/>
  <c r="M50" i="398"/>
  <c r="L50" i="398"/>
  <c r="K50" i="398"/>
  <c r="J50" i="398"/>
  <c r="B50" i="398"/>
  <c r="A50" i="398"/>
  <c r="S49" i="398"/>
  <c r="R49" i="398"/>
  <c r="Q49" i="398"/>
  <c r="P49" i="398"/>
  <c r="O49" i="398"/>
  <c r="N49" i="398"/>
  <c r="M49" i="398"/>
  <c r="L49" i="398"/>
  <c r="K49" i="398"/>
  <c r="J49" i="398"/>
  <c r="B49" i="398"/>
  <c r="A49" i="398"/>
  <c r="R48" i="398"/>
  <c r="Q48" i="398"/>
  <c r="O48" i="398"/>
  <c r="N48" i="398"/>
  <c r="M48" i="398"/>
  <c r="L48" i="398"/>
  <c r="K48" i="398"/>
  <c r="J48" i="398"/>
  <c r="B48" i="398"/>
  <c r="A48" i="398"/>
  <c r="R47" i="398"/>
  <c r="Q47" i="398"/>
  <c r="O47" i="398"/>
  <c r="N47" i="398"/>
  <c r="M47" i="398"/>
  <c r="L47" i="398"/>
  <c r="K47" i="398"/>
  <c r="J47" i="398"/>
  <c r="B47" i="398"/>
  <c r="A47" i="398"/>
  <c r="S46" i="398"/>
  <c r="R46" i="398"/>
  <c r="Q46" i="398"/>
  <c r="P46" i="398"/>
  <c r="O46" i="398"/>
  <c r="N46" i="398"/>
  <c r="M46" i="398"/>
  <c r="L46" i="398"/>
  <c r="K46" i="398"/>
  <c r="J46" i="398"/>
  <c r="B46" i="398"/>
  <c r="A46" i="398"/>
  <c r="B45" i="398"/>
  <c r="A45" i="398"/>
  <c r="B44" i="398"/>
  <c r="A44" i="398"/>
  <c r="B43" i="398"/>
  <c r="A43" i="398"/>
  <c r="B42" i="398"/>
  <c r="A42" i="398"/>
  <c r="B41" i="398"/>
  <c r="A41" i="398"/>
  <c r="B40" i="398"/>
  <c r="A40" i="398"/>
  <c r="B39" i="398"/>
  <c r="A39" i="398"/>
  <c r="B38" i="398"/>
  <c r="A38" i="398"/>
  <c r="B37" i="398"/>
  <c r="A37" i="398"/>
  <c r="B36" i="398"/>
  <c r="A36" i="398"/>
  <c r="B35" i="398"/>
  <c r="A35" i="398"/>
  <c r="P26" i="398"/>
  <c r="P25" i="398"/>
  <c r="P24" i="398"/>
  <c r="P23" i="398"/>
  <c r="P22" i="398"/>
  <c r="P21" i="398"/>
  <c r="P20" i="398"/>
  <c r="P18" i="398"/>
  <c r="P19" i="398" s="1"/>
  <c r="O12" i="398"/>
  <c r="Q10" i="398" s="1"/>
  <c r="N12" i="398"/>
  <c r="P11" i="398"/>
  <c r="O11" i="398"/>
  <c r="N11" i="398"/>
  <c r="L10" i="398"/>
  <c r="O10" i="398" s="1"/>
  <c r="Q9" i="398"/>
  <c r="L9" i="398"/>
  <c r="S58" i="397"/>
  <c r="R58" i="397"/>
  <c r="Q58" i="397"/>
  <c r="P58" i="397"/>
  <c r="O58" i="397"/>
  <c r="N58" i="397"/>
  <c r="M58" i="397"/>
  <c r="L58" i="397"/>
  <c r="K58" i="397"/>
  <c r="J58" i="397"/>
  <c r="B58" i="397"/>
  <c r="A58" i="397"/>
  <c r="S57" i="397"/>
  <c r="R57" i="397"/>
  <c r="Q57" i="397"/>
  <c r="P57" i="397"/>
  <c r="O57" i="397"/>
  <c r="N57" i="397"/>
  <c r="M57" i="397"/>
  <c r="L57" i="397"/>
  <c r="K57" i="397"/>
  <c r="J57" i="397"/>
  <c r="B57" i="397"/>
  <c r="A57" i="397"/>
  <c r="S56" i="397"/>
  <c r="R56" i="397"/>
  <c r="Q56" i="397"/>
  <c r="P56" i="397"/>
  <c r="O56" i="397"/>
  <c r="N56" i="397"/>
  <c r="M56" i="397"/>
  <c r="L56" i="397"/>
  <c r="K56" i="397"/>
  <c r="J56" i="397"/>
  <c r="B56" i="397"/>
  <c r="A56" i="397"/>
  <c r="S55" i="397"/>
  <c r="R55" i="397"/>
  <c r="Q55" i="397"/>
  <c r="P55" i="397"/>
  <c r="O55" i="397"/>
  <c r="N55" i="397"/>
  <c r="M55" i="397"/>
  <c r="L55" i="397"/>
  <c r="K55" i="397"/>
  <c r="J55" i="397"/>
  <c r="B55" i="397"/>
  <c r="A55" i="397"/>
  <c r="S54" i="397"/>
  <c r="R54" i="397"/>
  <c r="Q54" i="397"/>
  <c r="P54" i="397"/>
  <c r="O54" i="397"/>
  <c r="N54" i="397"/>
  <c r="M54" i="397"/>
  <c r="L54" i="397"/>
  <c r="K54" i="397"/>
  <c r="J54" i="397"/>
  <c r="B54" i="397"/>
  <c r="A54" i="397"/>
  <c r="S53" i="397"/>
  <c r="R53" i="397"/>
  <c r="Q53" i="397"/>
  <c r="P53" i="397"/>
  <c r="O53" i="397"/>
  <c r="N53" i="397"/>
  <c r="M53" i="397"/>
  <c r="L53" i="397"/>
  <c r="K53" i="397"/>
  <c r="J53" i="397"/>
  <c r="B53" i="397"/>
  <c r="A53" i="397"/>
  <c r="S52" i="397"/>
  <c r="R52" i="397"/>
  <c r="Q52" i="397"/>
  <c r="P52" i="397"/>
  <c r="O52" i="397"/>
  <c r="N52" i="397"/>
  <c r="M52" i="397"/>
  <c r="L52" i="397"/>
  <c r="K52" i="397"/>
  <c r="J52" i="397"/>
  <c r="B52" i="397"/>
  <c r="A52" i="397"/>
  <c r="S51" i="397"/>
  <c r="R51" i="397"/>
  <c r="Q51" i="397"/>
  <c r="P51" i="397"/>
  <c r="O51" i="397"/>
  <c r="N51" i="397"/>
  <c r="M51" i="397"/>
  <c r="L51" i="397"/>
  <c r="K51" i="397"/>
  <c r="J51" i="397"/>
  <c r="B51" i="397"/>
  <c r="A51" i="397"/>
  <c r="S50" i="397"/>
  <c r="R50" i="397"/>
  <c r="Q50" i="397"/>
  <c r="P50" i="397"/>
  <c r="O50" i="397"/>
  <c r="N50" i="397"/>
  <c r="M50" i="397"/>
  <c r="L50" i="397"/>
  <c r="K50" i="397"/>
  <c r="J50" i="397"/>
  <c r="B50" i="397"/>
  <c r="A50" i="397"/>
  <c r="S49" i="397"/>
  <c r="R49" i="397"/>
  <c r="Q49" i="397"/>
  <c r="P49" i="397"/>
  <c r="O49" i="397"/>
  <c r="N49" i="397"/>
  <c r="M49" i="397"/>
  <c r="L49" i="397"/>
  <c r="K49" i="397"/>
  <c r="J49" i="397"/>
  <c r="B49" i="397"/>
  <c r="A49" i="397"/>
  <c r="R48" i="397"/>
  <c r="Q48" i="397"/>
  <c r="O48" i="397"/>
  <c r="N48" i="397"/>
  <c r="M48" i="397"/>
  <c r="L48" i="397"/>
  <c r="K48" i="397"/>
  <c r="J48" i="397"/>
  <c r="B48" i="397"/>
  <c r="A48" i="397"/>
  <c r="R47" i="397"/>
  <c r="Q47" i="397"/>
  <c r="O47" i="397"/>
  <c r="N47" i="397"/>
  <c r="M47" i="397"/>
  <c r="L47" i="397"/>
  <c r="K47" i="397"/>
  <c r="J47" i="397"/>
  <c r="B47" i="397"/>
  <c r="A47" i="397"/>
  <c r="S46" i="397"/>
  <c r="R46" i="397"/>
  <c r="Q46" i="397"/>
  <c r="P46" i="397"/>
  <c r="O46" i="397"/>
  <c r="N46" i="397"/>
  <c r="M46" i="397"/>
  <c r="L46" i="397"/>
  <c r="K46" i="397"/>
  <c r="J46" i="397"/>
  <c r="B46" i="397"/>
  <c r="A46" i="397"/>
  <c r="B45" i="397"/>
  <c r="A45" i="397"/>
  <c r="B44" i="397"/>
  <c r="A44" i="397"/>
  <c r="B43" i="397"/>
  <c r="A43" i="397"/>
  <c r="B42" i="397"/>
  <c r="A42" i="397"/>
  <c r="B41" i="397"/>
  <c r="A41" i="397"/>
  <c r="B40" i="397"/>
  <c r="A40" i="397"/>
  <c r="B39" i="397"/>
  <c r="A39" i="397"/>
  <c r="B38" i="397"/>
  <c r="A38" i="397"/>
  <c r="B37" i="397"/>
  <c r="A37" i="397"/>
  <c r="B36" i="397"/>
  <c r="A36" i="397"/>
  <c r="B35" i="397"/>
  <c r="A35" i="397"/>
  <c r="P26" i="397"/>
  <c r="P25" i="397"/>
  <c r="P24" i="397"/>
  <c r="P19" i="397" s="1"/>
  <c r="P23" i="397"/>
  <c r="P22" i="397"/>
  <c r="P21" i="397"/>
  <c r="P20" i="397"/>
  <c r="P18" i="397"/>
  <c r="O12" i="397"/>
  <c r="N12" i="397"/>
  <c r="P11" i="397"/>
  <c r="O11" i="397"/>
  <c r="N11" i="397"/>
  <c r="Q10" i="397"/>
  <c r="O10" i="397"/>
  <c r="L10" i="397"/>
  <c r="Q9" i="397"/>
  <c r="O9" i="397"/>
  <c r="L9" i="397"/>
  <c r="S58" i="396"/>
  <c r="R58" i="396"/>
  <c r="Q58" i="396"/>
  <c r="P58" i="396"/>
  <c r="O58" i="396"/>
  <c r="N58" i="396"/>
  <c r="M58" i="396"/>
  <c r="L58" i="396"/>
  <c r="K58" i="396"/>
  <c r="J58" i="396"/>
  <c r="B58" i="396"/>
  <c r="A58" i="396"/>
  <c r="S57" i="396"/>
  <c r="R57" i="396"/>
  <c r="Q57" i="396"/>
  <c r="P57" i="396"/>
  <c r="O57" i="396"/>
  <c r="N57" i="396"/>
  <c r="M57" i="396"/>
  <c r="L57" i="396"/>
  <c r="K57" i="396"/>
  <c r="J57" i="396"/>
  <c r="B57" i="396"/>
  <c r="A57" i="396"/>
  <c r="S56" i="396"/>
  <c r="R56" i="396"/>
  <c r="Q56" i="396"/>
  <c r="P56" i="396"/>
  <c r="O56" i="396"/>
  <c r="N56" i="396"/>
  <c r="M56" i="396"/>
  <c r="L56" i="396"/>
  <c r="K56" i="396"/>
  <c r="J56" i="396"/>
  <c r="B56" i="396"/>
  <c r="A56" i="396"/>
  <c r="S55" i="396"/>
  <c r="R55" i="396"/>
  <c r="Q55" i="396"/>
  <c r="P55" i="396"/>
  <c r="O55" i="396"/>
  <c r="N55" i="396"/>
  <c r="M55" i="396"/>
  <c r="L55" i="396"/>
  <c r="K55" i="396"/>
  <c r="J55" i="396"/>
  <c r="B55" i="396"/>
  <c r="A55" i="396"/>
  <c r="S54" i="396"/>
  <c r="R54" i="396"/>
  <c r="Q54" i="396"/>
  <c r="P54" i="396"/>
  <c r="O54" i="396"/>
  <c r="N54" i="396"/>
  <c r="M54" i="396"/>
  <c r="L54" i="396"/>
  <c r="K54" i="396"/>
  <c r="J54" i="396"/>
  <c r="B54" i="396"/>
  <c r="A54" i="396"/>
  <c r="S53" i="396"/>
  <c r="R53" i="396"/>
  <c r="Q53" i="396"/>
  <c r="P53" i="396"/>
  <c r="O53" i="396"/>
  <c r="N53" i="396"/>
  <c r="M53" i="396"/>
  <c r="L53" i="396"/>
  <c r="K53" i="396"/>
  <c r="J53" i="396"/>
  <c r="B53" i="396"/>
  <c r="A53" i="396"/>
  <c r="S52" i="396"/>
  <c r="R52" i="396"/>
  <c r="Q52" i="396"/>
  <c r="P52" i="396"/>
  <c r="O52" i="396"/>
  <c r="N52" i="396"/>
  <c r="M52" i="396"/>
  <c r="L52" i="396"/>
  <c r="K52" i="396"/>
  <c r="J52" i="396"/>
  <c r="B52" i="396"/>
  <c r="A52" i="396"/>
  <c r="S51" i="396"/>
  <c r="R51" i="396"/>
  <c r="Q51" i="396"/>
  <c r="P51" i="396"/>
  <c r="O51" i="396"/>
  <c r="N51" i="396"/>
  <c r="M51" i="396"/>
  <c r="L51" i="396"/>
  <c r="K51" i="396"/>
  <c r="J51" i="396"/>
  <c r="B51" i="396"/>
  <c r="A51" i="396"/>
  <c r="S50" i="396"/>
  <c r="R50" i="396"/>
  <c r="Q50" i="396"/>
  <c r="P50" i="396"/>
  <c r="O50" i="396"/>
  <c r="N50" i="396"/>
  <c r="M50" i="396"/>
  <c r="L50" i="396"/>
  <c r="K50" i="396"/>
  <c r="J50" i="396"/>
  <c r="B50" i="396"/>
  <c r="A50" i="396"/>
  <c r="S49" i="396"/>
  <c r="R49" i="396"/>
  <c r="Q49" i="396"/>
  <c r="P49" i="396"/>
  <c r="O49" i="396"/>
  <c r="N49" i="396"/>
  <c r="M49" i="396"/>
  <c r="L49" i="396"/>
  <c r="K49" i="396"/>
  <c r="J49" i="396"/>
  <c r="B49" i="396"/>
  <c r="A49" i="396"/>
  <c r="R48" i="396"/>
  <c r="Q48" i="396"/>
  <c r="O48" i="396"/>
  <c r="N48" i="396"/>
  <c r="M48" i="396"/>
  <c r="L48" i="396"/>
  <c r="K48" i="396"/>
  <c r="J48" i="396"/>
  <c r="B48" i="396"/>
  <c r="A48" i="396"/>
  <c r="R47" i="396"/>
  <c r="Q47" i="396"/>
  <c r="O47" i="396"/>
  <c r="N47" i="396"/>
  <c r="M47" i="396"/>
  <c r="L47" i="396"/>
  <c r="K47" i="396"/>
  <c r="J47" i="396"/>
  <c r="B47" i="396"/>
  <c r="A47" i="396"/>
  <c r="S46" i="396"/>
  <c r="R46" i="396"/>
  <c r="Q46" i="396"/>
  <c r="P46" i="396"/>
  <c r="O46" i="396"/>
  <c r="N46" i="396"/>
  <c r="M46" i="396"/>
  <c r="L46" i="396"/>
  <c r="K46" i="396"/>
  <c r="J46" i="396"/>
  <c r="B46" i="396"/>
  <c r="A46" i="396"/>
  <c r="B45" i="396"/>
  <c r="A45" i="396"/>
  <c r="B44" i="396"/>
  <c r="A44" i="396"/>
  <c r="B43" i="396"/>
  <c r="A43" i="396"/>
  <c r="B42" i="396"/>
  <c r="A42" i="396"/>
  <c r="B41" i="396"/>
  <c r="A41" i="396"/>
  <c r="B40" i="396"/>
  <c r="A40" i="396"/>
  <c r="B39" i="396"/>
  <c r="A39" i="396"/>
  <c r="B38" i="396"/>
  <c r="A38" i="396"/>
  <c r="B37" i="396"/>
  <c r="A37" i="396"/>
  <c r="B36" i="396"/>
  <c r="A36" i="396"/>
  <c r="B35" i="396"/>
  <c r="A35" i="396"/>
  <c r="P26" i="396"/>
  <c r="P25" i="396"/>
  <c r="P24" i="396"/>
  <c r="P23" i="396"/>
  <c r="P22" i="396"/>
  <c r="P21" i="396"/>
  <c r="P20" i="396"/>
  <c r="P19" i="396"/>
  <c r="P18" i="396"/>
  <c r="O12" i="396"/>
  <c r="Q10" i="396" s="1"/>
  <c r="N12" i="396"/>
  <c r="P11" i="396"/>
  <c r="O11" i="396"/>
  <c r="N11" i="396"/>
  <c r="O9" i="396" s="1"/>
  <c r="O10" i="396"/>
  <c r="L10" i="396"/>
  <c r="Q9" i="396"/>
  <c r="L9" i="396"/>
  <c r="S58" i="395"/>
  <c r="R58" i="395"/>
  <c r="Q58" i="395"/>
  <c r="P58" i="395"/>
  <c r="O58" i="395"/>
  <c r="N58" i="395"/>
  <c r="M58" i="395"/>
  <c r="L58" i="395"/>
  <c r="K58" i="395"/>
  <c r="J58" i="395"/>
  <c r="B58" i="395"/>
  <c r="A58" i="395"/>
  <c r="S57" i="395"/>
  <c r="R57" i="395"/>
  <c r="Q57" i="395"/>
  <c r="P57" i="395"/>
  <c r="O57" i="395"/>
  <c r="N57" i="395"/>
  <c r="M57" i="395"/>
  <c r="L57" i="395"/>
  <c r="K57" i="395"/>
  <c r="J57" i="395"/>
  <c r="B57" i="395"/>
  <c r="A57" i="395"/>
  <c r="S56" i="395"/>
  <c r="R56" i="395"/>
  <c r="Q56" i="395"/>
  <c r="P56" i="395"/>
  <c r="O56" i="395"/>
  <c r="N56" i="395"/>
  <c r="M56" i="395"/>
  <c r="L56" i="395"/>
  <c r="K56" i="395"/>
  <c r="J56" i="395"/>
  <c r="B56" i="395"/>
  <c r="A56" i="395"/>
  <c r="S55" i="395"/>
  <c r="R55" i="395"/>
  <c r="Q55" i="395"/>
  <c r="P55" i="395"/>
  <c r="O55" i="395"/>
  <c r="N55" i="395"/>
  <c r="M55" i="395"/>
  <c r="L55" i="395"/>
  <c r="K55" i="395"/>
  <c r="J55" i="395"/>
  <c r="B55" i="395"/>
  <c r="A55" i="395"/>
  <c r="S54" i="395"/>
  <c r="R54" i="395"/>
  <c r="Q54" i="395"/>
  <c r="P54" i="395"/>
  <c r="O54" i="395"/>
  <c r="N54" i="395"/>
  <c r="M54" i="395"/>
  <c r="L54" i="395"/>
  <c r="K54" i="395"/>
  <c r="J54" i="395"/>
  <c r="B54" i="395"/>
  <c r="A54" i="395"/>
  <c r="S53" i="395"/>
  <c r="R53" i="395"/>
  <c r="Q53" i="395"/>
  <c r="P53" i="395"/>
  <c r="O53" i="395"/>
  <c r="N53" i="395"/>
  <c r="M53" i="395"/>
  <c r="L53" i="395"/>
  <c r="K53" i="395"/>
  <c r="J53" i="395"/>
  <c r="B53" i="395"/>
  <c r="A53" i="395"/>
  <c r="S52" i="395"/>
  <c r="R52" i="395"/>
  <c r="Q52" i="395"/>
  <c r="P52" i="395"/>
  <c r="O52" i="395"/>
  <c r="N52" i="395"/>
  <c r="M52" i="395"/>
  <c r="L52" i="395"/>
  <c r="K52" i="395"/>
  <c r="J52" i="395"/>
  <c r="B52" i="395"/>
  <c r="A52" i="395"/>
  <c r="S51" i="395"/>
  <c r="R51" i="395"/>
  <c r="Q51" i="395"/>
  <c r="P51" i="395"/>
  <c r="O51" i="395"/>
  <c r="N51" i="395"/>
  <c r="M51" i="395"/>
  <c r="L51" i="395"/>
  <c r="K51" i="395"/>
  <c r="J51" i="395"/>
  <c r="B51" i="395"/>
  <c r="A51" i="395"/>
  <c r="S50" i="395"/>
  <c r="R50" i="395"/>
  <c r="Q50" i="395"/>
  <c r="P50" i="395"/>
  <c r="O50" i="395"/>
  <c r="N50" i="395"/>
  <c r="M50" i="395"/>
  <c r="L50" i="395"/>
  <c r="K50" i="395"/>
  <c r="J50" i="395"/>
  <c r="B50" i="395"/>
  <c r="A50" i="395"/>
  <c r="S49" i="395"/>
  <c r="R49" i="395"/>
  <c r="Q49" i="395"/>
  <c r="P49" i="395"/>
  <c r="O49" i="395"/>
  <c r="N49" i="395"/>
  <c r="M49" i="395"/>
  <c r="L49" i="395"/>
  <c r="K49" i="395"/>
  <c r="J49" i="395"/>
  <c r="B49" i="395"/>
  <c r="A49" i="395"/>
  <c r="R48" i="395"/>
  <c r="Q48" i="395"/>
  <c r="O48" i="395"/>
  <c r="N48" i="395"/>
  <c r="M48" i="395"/>
  <c r="L48" i="395"/>
  <c r="K48" i="395"/>
  <c r="J48" i="395"/>
  <c r="B48" i="395"/>
  <c r="A48" i="395"/>
  <c r="R47" i="395"/>
  <c r="Q47" i="395"/>
  <c r="O47" i="395"/>
  <c r="N47" i="395"/>
  <c r="M47" i="395"/>
  <c r="L47" i="395"/>
  <c r="K47" i="395"/>
  <c r="J47" i="395"/>
  <c r="B47" i="395"/>
  <c r="A47" i="395"/>
  <c r="S46" i="395"/>
  <c r="R46" i="395"/>
  <c r="Q46" i="395"/>
  <c r="P46" i="395"/>
  <c r="O46" i="395"/>
  <c r="N46" i="395"/>
  <c r="M46" i="395"/>
  <c r="L46" i="395"/>
  <c r="K46" i="395"/>
  <c r="J46" i="395"/>
  <c r="B46" i="395"/>
  <c r="A46" i="395"/>
  <c r="B45" i="395"/>
  <c r="A45" i="395"/>
  <c r="B44" i="395"/>
  <c r="A44" i="395"/>
  <c r="B43" i="395"/>
  <c r="A43" i="395"/>
  <c r="B42" i="395"/>
  <c r="A42" i="395"/>
  <c r="B41" i="395"/>
  <c r="A41" i="395"/>
  <c r="B40" i="395"/>
  <c r="A40" i="395"/>
  <c r="B39" i="395"/>
  <c r="A39" i="395"/>
  <c r="B38" i="395"/>
  <c r="A38" i="395"/>
  <c r="B37" i="395"/>
  <c r="A37" i="395"/>
  <c r="B36" i="395"/>
  <c r="A36" i="395"/>
  <c r="B35" i="395"/>
  <c r="A35" i="395"/>
  <c r="P26" i="395"/>
  <c r="P25" i="395"/>
  <c r="P24" i="395"/>
  <c r="P23" i="395"/>
  <c r="P22" i="395"/>
  <c r="P20" i="395"/>
  <c r="P21" i="395" s="1"/>
  <c r="P19" i="395"/>
  <c r="P18" i="395"/>
  <c r="O12" i="395"/>
  <c r="N12" i="395"/>
  <c r="O10" i="395" s="1"/>
  <c r="P11" i="395"/>
  <c r="O11" i="395"/>
  <c r="Q9" i="395" s="1"/>
  <c r="N11" i="395"/>
  <c r="Q10" i="395"/>
  <c r="L10" i="395"/>
  <c r="L9" i="395"/>
  <c r="O9" i="395" s="1"/>
  <c r="S58" i="394"/>
  <c r="R58" i="394"/>
  <c r="Q58" i="394"/>
  <c r="P58" i="394"/>
  <c r="O58" i="394"/>
  <c r="N58" i="394"/>
  <c r="M58" i="394"/>
  <c r="L58" i="394"/>
  <c r="K58" i="394"/>
  <c r="J58" i="394"/>
  <c r="B58" i="394"/>
  <c r="A58" i="394"/>
  <c r="S57" i="394"/>
  <c r="R57" i="394"/>
  <c r="Q57" i="394"/>
  <c r="P57" i="394"/>
  <c r="O57" i="394"/>
  <c r="N57" i="394"/>
  <c r="M57" i="394"/>
  <c r="L57" i="394"/>
  <c r="K57" i="394"/>
  <c r="J57" i="394"/>
  <c r="B57" i="394"/>
  <c r="A57" i="394"/>
  <c r="S56" i="394"/>
  <c r="R56" i="394"/>
  <c r="Q56" i="394"/>
  <c r="P56" i="394"/>
  <c r="O56" i="394"/>
  <c r="N56" i="394"/>
  <c r="M56" i="394"/>
  <c r="L56" i="394"/>
  <c r="K56" i="394"/>
  <c r="J56" i="394"/>
  <c r="B56" i="394"/>
  <c r="A56" i="394"/>
  <c r="S55" i="394"/>
  <c r="R55" i="394"/>
  <c r="Q55" i="394"/>
  <c r="P55" i="394"/>
  <c r="O55" i="394"/>
  <c r="N55" i="394"/>
  <c r="M55" i="394"/>
  <c r="L55" i="394"/>
  <c r="K55" i="394"/>
  <c r="J55" i="394"/>
  <c r="B55" i="394"/>
  <c r="A55" i="394"/>
  <c r="S54" i="394"/>
  <c r="R54" i="394"/>
  <c r="Q54" i="394"/>
  <c r="P54" i="394"/>
  <c r="O54" i="394"/>
  <c r="N54" i="394"/>
  <c r="M54" i="394"/>
  <c r="L54" i="394"/>
  <c r="K54" i="394"/>
  <c r="J54" i="394"/>
  <c r="B54" i="394"/>
  <c r="A54" i="394"/>
  <c r="S53" i="394"/>
  <c r="R53" i="394"/>
  <c r="Q53" i="394"/>
  <c r="P53" i="394"/>
  <c r="O53" i="394"/>
  <c r="N53" i="394"/>
  <c r="M53" i="394"/>
  <c r="L53" i="394"/>
  <c r="K53" i="394"/>
  <c r="J53" i="394"/>
  <c r="B53" i="394"/>
  <c r="A53" i="394"/>
  <c r="S52" i="394"/>
  <c r="R52" i="394"/>
  <c r="Q52" i="394"/>
  <c r="P52" i="394"/>
  <c r="O52" i="394"/>
  <c r="N52" i="394"/>
  <c r="M52" i="394"/>
  <c r="L52" i="394"/>
  <c r="K52" i="394"/>
  <c r="J52" i="394"/>
  <c r="B52" i="394"/>
  <c r="A52" i="394"/>
  <c r="S51" i="394"/>
  <c r="R51" i="394"/>
  <c r="Q51" i="394"/>
  <c r="P51" i="394"/>
  <c r="O51" i="394"/>
  <c r="N51" i="394"/>
  <c r="M51" i="394"/>
  <c r="L51" i="394"/>
  <c r="K51" i="394"/>
  <c r="J51" i="394"/>
  <c r="B51" i="394"/>
  <c r="A51" i="394"/>
  <c r="S50" i="394"/>
  <c r="R50" i="394"/>
  <c r="Q50" i="394"/>
  <c r="P50" i="394"/>
  <c r="O50" i="394"/>
  <c r="N50" i="394"/>
  <c r="M50" i="394"/>
  <c r="L50" i="394"/>
  <c r="K50" i="394"/>
  <c r="J50" i="394"/>
  <c r="B50" i="394"/>
  <c r="A50" i="394"/>
  <c r="S49" i="394"/>
  <c r="R49" i="394"/>
  <c r="Q49" i="394"/>
  <c r="P49" i="394"/>
  <c r="O49" i="394"/>
  <c r="N49" i="394"/>
  <c r="M49" i="394"/>
  <c r="L49" i="394"/>
  <c r="K49" i="394"/>
  <c r="J49" i="394"/>
  <c r="B49" i="394"/>
  <c r="A49" i="394"/>
  <c r="R48" i="394"/>
  <c r="Q48" i="394"/>
  <c r="O48" i="394"/>
  <c r="N48" i="394"/>
  <c r="M48" i="394"/>
  <c r="L48" i="394"/>
  <c r="K48" i="394"/>
  <c r="J48" i="394"/>
  <c r="B48" i="394"/>
  <c r="A48" i="394"/>
  <c r="R47" i="394"/>
  <c r="Q47" i="394"/>
  <c r="O47" i="394"/>
  <c r="N47" i="394"/>
  <c r="M47" i="394"/>
  <c r="L47" i="394"/>
  <c r="K47" i="394"/>
  <c r="J47" i="394"/>
  <c r="B47" i="394"/>
  <c r="A47" i="394"/>
  <c r="S46" i="394"/>
  <c r="R46" i="394"/>
  <c r="Q46" i="394"/>
  <c r="P46" i="394"/>
  <c r="O46" i="394"/>
  <c r="N46" i="394"/>
  <c r="M46" i="394"/>
  <c r="L46" i="394"/>
  <c r="K46" i="394"/>
  <c r="J46" i="394"/>
  <c r="B46" i="394"/>
  <c r="A46" i="394"/>
  <c r="B45" i="394"/>
  <c r="A45" i="394"/>
  <c r="B44" i="394"/>
  <c r="A44" i="394"/>
  <c r="B43" i="394"/>
  <c r="A43" i="394"/>
  <c r="B42" i="394"/>
  <c r="A42" i="394"/>
  <c r="B41" i="394"/>
  <c r="A41" i="394"/>
  <c r="B40" i="394"/>
  <c r="A40" i="394"/>
  <c r="B39" i="394"/>
  <c r="A39" i="394"/>
  <c r="B38" i="394"/>
  <c r="A38" i="394"/>
  <c r="B37" i="394"/>
  <c r="A37" i="394"/>
  <c r="B36" i="394"/>
  <c r="A36" i="394"/>
  <c r="B35" i="394"/>
  <c r="A35" i="394"/>
  <c r="P26" i="394"/>
  <c r="P25" i="394"/>
  <c r="P24" i="394"/>
  <c r="P23" i="394"/>
  <c r="P22" i="394"/>
  <c r="P21" i="394"/>
  <c r="P20" i="394"/>
  <c r="P18" i="394"/>
  <c r="P19" i="394" s="1"/>
  <c r="O12" i="394"/>
  <c r="Q10" i="394" s="1"/>
  <c r="N12" i="394"/>
  <c r="P11" i="394"/>
  <c r="O11" i="394"/>
  <c r="N11" i="394"/>
  <c r="L10" i="394"/>
  <c r="O10" i="394" s="1"/>
  <c r="Q9" i="394"/>
  <c r="L9" i="394"/>
  <c r="O9" i="394" s="1"/>
  <c r="S58" i="393"/>
  <c r="R58" i="393"/>
  <c r="Q58" i="393"/>
  <c r="P58" i="393"/>
  <c r="O58" i="393"/>
  <c r="N58" i="393"/>
  <c r="M58" i="393"/>
  <c r="L58" i="393"/>
  <c r="K58" i="393"/>
  <c r="J58" i="393"/>
  <c r="B58" i="393"/>
  <c r="A58" i="393"/>
  <c r="S57" i="393"/>
  <c r="R57" i="393"/>
  <c r="Q57" i="393"/>
  <c r="P57" i="393"/>
  <c r="O57" i="393"/>
  <c r="N57" i="393"/>
  <c r="M57" i="393"/>
  <c r="L57" i="393"/>
  <c r="K57" i="393"/>
  <c r="J57" i="393"/>
  <c r="B57" i="393"/>
  <c r="A57" i="393"/>
  <c r="S56" i="393"/>
  <c r="R56" i="393"/>
  <c r="Q56" i="393"/>
  <c r="P56" i="393"/>
  <c r="O56" i="393"/>
  <c r="N56" i="393"/>
  <c r="M56" i="393"/>
  <c r="L56" i="393"/>
  <c r="K56" i="393"/>
  <c r="J56" i="393"/>
  <c r="B56" i="393"/>
  <c r="A56" i="393"/>
  <c r="S55" i="393"/>
  <c r="R55" i="393"/>
  <c r="Q55" i="393"/>
  <c r="P55" i="393"/>
  <c r="O55" i="393"/>
  <c r="N55" i="393"/>
  <c r="M55" i="393"/>
  <c r="L55" i="393"/>
  <c r="K55" i="393"/>
  <c r="J55" i="393"/>
  <c r="B55" i="393"/>
  <c r="A55" i="393"/>
  <c r="S54" i="393"/>
  <c r="R54" i="393"/>
  <c r="Q54" i="393"/>
  <c r="P54" i="393"/>
  <c r="O54" i="393"/>
  <c r="N54" i="393"/>
  <c r="M54" i="393"/>
  <c r="L54" i="393"/>
  <c r="K54" i="393"/>
  <c r="J54" i="393"/>
  <c r="B54" i="393"/>
  <c r="A54" i="393"/>
  <c r="S53" i="393"/>
  <c r="R53" i="393"/>
  <c r="Q53" i="393"/>
  <c r="P53" i="393"/>
  <c r="O53" i="393"/>
  <c r="N53" i="393"/>
  <c r="M53" i="393"/>
  <c r="L53" i="393"/>
  <c r="K53" i="393"/>
  <c r="J53" i="393"/>
  <c r="B53" i="393"/>
  <c r="A53" i="393"/>
  <c r="S52" i="393"/>
  <c r="R52" i="393"/>
  <c r="Q52" i="393"/>
  <c r="P52" i="393"/>
  <c r="O52" i="393"/>
  <c r="N52" i="393"/>
  <c r="M52" i="393"/>
  <c r="L52" i="393"/>
  <c r="K52" i="393"/>
  <c r="J52" i="393"/>
  <c r="B52" i="393"/>
  <c r="A52" i="393"/>
  <c r="S51" i="393"/>
  <c r="R51" i="393"/>
  <c r="Q51" i="393"/>
  <c r="P51" i="393"/>
  <c r="O51" i="393"/>
  <c r="N51" i="393"/>
  <c r="M51" i="393"/>
  <c r="L51" i="393"/>
  <c r="K51" i="393"/>
  <c r="J51" i="393"/>
  <c r="B51" i="393"/>
  <c r="A51" i="393"/>
  <c r="S50" i="393"/>
  <c r="R50" i="393"/>
  <c r="Q50" i="393"/>
  <c r="P50" i="393"/>
  <c r="O50" i="393"/>
  <c r="N50" i="393"/>
  <c r="M50" i="393"/>
  <c r="L50" i="393"/>
  <c r="K50" i="393"/>
  <c r="J50" i="393"/>
  <c r="B50" i="393"/>
  <c r="A50" i="393"/>
  <c r="S49" i="393"/>
  <c r="R49" i="393"/>
  <c r="Q49" i="393"/>
  <c r="P49" i="393"/>
  <c r="O49" i="393"/>
  <c r="N49" i="393"/>
  <c r="M49" i="393"/>
  <c r="L49" i="393"/>
  <c r="K49" i="393"/>
  <c r="J49" i="393"/>
  <c r="B49" i="393"/>
  <c r="A49" i="393"/>
  <c r="R48" i="393"/>
  <c r="Q48" i="393"/>
  <c r="O48" i="393"/>
  <c r="N48" i="393"/>
  <c r="M48" i="393"/>
  <c r="L48" i="393"/>
  <c r="K48" i="393"/>
  <c r="J48" i="393"/>
  <c r="B48" i="393"/>
  <c r="A48" i="393"/>
  <c r="R47" i="393"/>
  <c r="Q47" i="393"/>
  <c r="O47" i="393"/>
  <c r="N47" i="393"/>
  <c r="M47" i="393"/>
  <c r="L47" i="393"/>
  <c r="K47" i="393"/>
  <c r="J47" i="393"/>
  <c r="B47" i="393"/>
  <c r="A47" i="393"/>
  <c r="S46" i="393"/>
  <c r="R46" i="393"/>
  <c r="Q46" i="393"/>
  <c r="P46" i="393"/>
  <c r="O46" i="393"/>
  <c r="N46" i="393"/>
  <c r="M46" i="393"/>
  <c r="L46" i="393"/>
  <c r="K46" i="393"/>
  <c r="J46" i="393"/>
  <c r="B46" i="393"/>
  <c r="A46" i="393"/>
  <c r="B45" i="393"/>
  <c r="A45" i="393"/>
  <c r="B44" i="393"/>
  <c r="A44" i="393"/>
  <c r="B43" i="393"/>
  <c r="A43" i="393"/>
  <c r="B42" i="393"/>
  <c r="A42" i="393"/>
  <c r="B41" i="393"/>
  <c r="A41" i="393"/>
  <c r="B40" i="393"/>
  <c r="A40" i="393"/>
  <c r="B39" i="393"/>
  <c r="A39" i="393"/>
  <c r="B38" i="393"/>
  <c r="A38" i="393"/>
  <c r="B37" i="393"/>
  <c r="A37" i="393"/>
  <c r="B36" i="393"/>
  <c r="A36" i="393"/>
  <c r="B35" i="393"/>
  <c r="A35" i="393"/>
  <c r="P26" i="393"/>
  <c r="P25" i="393"/>
  <c r="P24" i="393"/>
  <c r="P23" i="393"/>
  <c r="P22" i="393"/>
  <c r="P20" i="393"/>
  <c r="P21" i="393" s="1"/>
  <c r="P19" i="393"/>
  <c r="P18" i="393"/>
  <c r="O12" i="393"/>
  <c r="N12" i="393"/>
  <c r="O10" i="393" s="1"/>
  <c r="P11" i="393"/>
  <c r="O11" i="393"/>
  <c r="N11" i="393"/>
  <c r="Q10" i="393"/>
  <c r="L10" i="393"/>
  <c r="Q9" i="393"/>
  <c r="L9" i="393"/>
  <c r="O9" i="393" s="1"/>
  <c r="S58" i="392"/>
  <c r="R58" i="392"/>
  <c r="Q58" i="392"/>
  <c r="P58" i="392"/>
  <c r="O58" i="392"/>
  <c r="N58" i="392"/>
  <c r="M58" i="392"/>
  <c r="L58" i="392"/>
  <c r="K58" i="392"/>
  <c r="J58" i="392"/>
  <c r="B58" i="392"/>
  <c r="A58" i="392"/>
  <c r="S57" i="392"/>
  <c r="R57" i="392"/>
  <c r="Q57" i="392"/>
  <c r="P57" i="392"/>
  <c r="O57" i="392"/>
  <c r="N57" i="392"/>
  <c r="M57" i="392"/>
  <c r="L57" i="392"/>
  <c r="K57" i="392"/>
  <c r="J57" i="392"/>
  <c r="B57" i="392"/>
  <c r="A57" i="392"/>
  <c r="S56" i="392"/>
  <c r="R56" i="392"/>
  <c r="Q56" i="392"/>
  <c r="P56" i="392"/>
  <c r="O56" i="392"/>
  <c r="N56" i="392"/>
  <c r="M56" i="392"/>
  <c r="L56" i="392"/>
  <c r="K56" i="392"/>
  <c r="J56" i="392"/>
  <c r="B56" i="392"/>
  <c r="A56" i="392"/>
  <c r="S55" i="392"/>
  <c r="R55" i="392"/>
  <c r="Q55" i="392"/>
  <c r="P55" i="392"/>
  <c r="O55" i="392"/>
  <c r="N55" i="392"/>
  <c r="M55" i="392"/>
  <c r="L55" i="392"/>
  <c r="K55" i="392"/>
  <c r="J55" i="392"/>
  <c r="B55" i="392"/>
  <c r="A55" i="392"/>
  <c r="S54" i="392"/>
  <c r="R54" i="392"/>
  <c r="Q54" i="392"/>
  <c r="P54" i="392"/>
  <c r="O54" i="392"/>
  <c r="N54" i="392"/>
  <c r="M54" i="392"/>
  <c r="L54" i="392"/>
  <c r="K54" i="392"/>
  <c r="J54" i="392"/>
  <c r="B54" i="392"/>
  <c r="A54" i="392"/>
  <c r="S53" i="392"/>
  <c r="R53" i="392"/>
  <c r="Q53" i="392"/>
  <c r="P53" i="392"/>
  <c r="O53" i="392"/>
  <c r="N53" i="392"/>
  <c r="M53" i="392"/>
  <c r="L53" i="392"/>
  <c r="K53" i="392"/>
  <c r="J53" i="392"/>
  <c r="B53" i="392"/>
  <c r="A53" i="392"/>
  <c r="S52" i="392"/>
  <c r="R52" i="392"/>
  <c r="Q52" i="392"/>
  <c r="P52" i="392"/>
  <c r="O52" i="392"/>
  <c r="N52" i="392"/>
  <c r="M52" i="392"/>
  <c r="L52" i="392"/>
  <c r="K52" i="392"/>
  <c r="J52" i="392"/>
  <c r="B52" i="392"/>
  <c r="A52" i="392"/>
  <c r="S51" i="392"/>
  <c r="R51" i="392"/>
  <c r="Q51" i="392"/>
  <c r="P51" i="392"/>
  <c r="O51" i="392"/>
  <c r="N51" i="392"/>
  <c r="M51" i="392"/>
  <c r="L51" i="392"/>
  <c r="K51" i="392"/>
  <c r="J51" i="392"/>
  <c r="B51" i="392"/>
  <c r="A51" i="392"/>
  <c r="S50" i="392"/>
  <c r="R50" i="392"/>
  <c r="Q50" i="392"/>
  <c r="P50" i="392"/>
  <c r="O50" i="392"/>
  <c r="N50" i="392"/>
  <c r="M50" i="392"/>
  <c r="L50" i="392"/>
  <c r="K50" i="392"/>
  <c r="J50" i="392"/>
  <c r="B50" i="392"/>
  <c r="A50" i="392"/>
  <c r="S49" i="392"/>
  <c r="R49" i="392"/>
  <c r="Q49" i="392"/>
  <c r="P49" i="392"/>
  <c r="O49" i="392"/>
  <c r="N49" i="392"/>
  <c r="M49" i="392"/>
  <c r="L49" i="392"/>
  <c r="K49" i="392"/>
  <c r="J49" i="392"/>
  <c r="B49" i="392"/>
  <c r="A49" i="392"/>
  <c r="R48" i="392"/>
  <c r="Q48" i="392"/>
  <c r="O48" i="392"/>
  <c r="N48" i="392"/>
  <c r="M48" i="392"/>
  <c r="L48" i="392"/>
  <c r="K48" i="392"/>
  <c r="J48" i="392"/>
  <c r="B48" i="392"/>
  <c r="A48" i="392"/>
  <c r="R47" i="392"/>
  <c r="Q47" i="392"/>
  <c r="O47" i="392"/>
  <c r="N47" i="392"/>
  <c r="M47" i="392"/>
  <c r="L47" i="392"/>
  <c r="K47" i="392"/>
  <c r="J47" i="392"/>
  <c r="B47" i="392"/>
  <c r="A47" i="392"/>
  <c r="S46" i="392"/>
  <c r="R46" i="392"/>
  <c r="Q46" i="392"/>
  <c r="P46" i="392"/>
  <c r="O46" i="392"/>
  <c r="N46" i="392"/>
  <c r="M46" i="392"/>
  <c r="L46" i="392"/>
  <c r="K46" i="392"/>
  <c r="J46" i="392"/>
  <c r="B46" i="392"/>
  <c r="A46" i="392"/>
  <c r="B45" i="392"/>
  <c r="A45" i="392"/>
  <c r="B44" i="392"/>
  <c r="A44" i="392"/>
  <c r="B43" i="392"/>
  <c r="A43" i="392"/>
  <c r="B42" i="392"/>
  <c r="A42" i="392"/>
  <c r="B41" i="392"/>
  <c r="A41" i="392"/>
  <c r="B40" i="392"/>
  <c r="A40" i="392"/>
  <c r="B39" i="392"/>
  <c r="A39" i="392"/>
  <c r="B38" i="392"/>
  <c r="A38" i="392"/>
  <c r="B37" i="392"/>
  <c r="A37" i="392"/>
  <c r="B36" i="392"/>
  <c r="A36" i="392"/>
  <c r="B35" i="392"/>
  <c r="A35" i="392"/>
  <c r="P26" i="392"/>
  <c r="P25" i="392"/>
  <c r="P24" i="392"/>
  <c r="P19" i="392" s="1"/>
  <c r="P23" i="392"/>
  <c r="P22" i="392"/>
  <c r="P21" i="392"/>
  <c r="P20" i="392"/>
  <c r="P18" i="392"/>
  <c r="O12" i="392"/>
  <c r="Q10" i="392" s="1"/>
  <c r="N12" i="392"/>
  <c r="P11" i="392"/>
  <c r="O11" i="392"/>
  <c r="Q9" i="392" s="1"/>
  <c r="N11" i="392"/>
  <c r="L10" i="392"/>
  <c r="O10" i="392" s="1"/>
  <c r="L9" i="392"/>
  <c r="O9" i="392" s="1"/>
  <c r="S58" i="391"/>
  <c r="R58" i="391"/>
  <c r="Q58" i="391"/>
  <c r="P58" i="391"/>
  <c r="O58" i="391"/>
  <c r="N58" i="391"/>
  <c r="M58" i="391"/>
  <c r="L58" i="391"/>
  <c r="K58" i="391"/>
  <c r="J58" i="391"/>
  <c r="B58" i="391"/>
  <c r="A58" i="391"/>
  <c r="S57" i="391"/>
  <c r="R57" i="391"/>
  <c r="Q57" i="391"/>
  <c r="P57" i="391"/>
  <c r="O57" i="391"/>
  <c r="N57" i="391"/>
  <c r="M57" i="391"/>
  <c r="L57" i="391"/>
  <c r="K57" i="391"/>
  <c r="J57" i="391"/>
  <c r="B57" i="391"/>
  <c r="A57" i="391"/>
  <c r="S56" i="391"/>
  <c r="R56" i="391"/>
  <c r="Q56" i="391"/>
  <c r="P56" i="391"/>
  <c r="O56" i="391"/>
  <c r="N56" i="391"/>
  <c r="M56" i="391"/>
  <c r="L56" i="391"/>
  <c r="K56" i="391"/>
  <c r="J56" i="391"/>
  <c r="B56" i="391"/>
  <c r="A56" i="391"/>
  <c r="S55" i="391"/>
  <c r="R55" i="391"/>
  <c r="Q55" i="391"/>
  <c r="P55" i="391"/>
  <c r="O55" i="391"/>
  <c r="N55" i="391"/>
  <c r="M55" i="391"/>
  <c r="L55" i="391"/>
  <c r="K55" i="391"/>
  <c r="J55" i="391"/>
  <c r="B55" i="391"/>
  <c r="A55" i="391"/>
  <c r="S54" i="391"/>
  <c r="R54" i="391"/>
  <c r="Q54" i="391"/>
  <c r="P54" i="391"/>
  <c r="O54" i="391"/>
  <c r="N54" i="391"/>
  <c r="M54" i="391"/>
  <c r="L54" i="391"/>
  <c r="K54" i="391"/>
  <c r="J54" i="391"/>
  <c r="B54" i="391"/>
  <c r="A54" i="391"/>
  <c r="S53" i="391"/>
  <c r="R53" i="391"/>
  <c r="Q53" i="391"/>
  <c r="P53" i="391"/>
  <c r="O53" i="391"/>
  <c r="N53" i="391"/>
  <c r="M53" i="391"/>
  <c r="L53" i="391"/>
  <c r="K53" i="391"/>
  <c r="J53" i="391"/>
  <c r="B53" i="391"/>
  <c r="A53" i="391"/>
  <c r="S52" i="391"/>
  <c r="R52" i="391"/>
  <c r="Q52" i="391"/>
  <c r="P52" i="391"/>
  <c r="O52" i="391"/>
  <c r="N52" i="391"/>
  <c r="M52" i="391"/>
  <c r="L52" i="391"/>
  <c r="K52" i="391"/>
  <c r="J52" i="391"/>
  <c r="B52" i="391"/>
  <c r="A52" i="391"/>
  <c r="S51" i="391"/>
  <c r="R51" i="391"/>
  <c r="Q51" i="391"/>
  <c r="P51" i="391"/>
  <c r="O51" i="391"/>
  <c r="N51" i="391"/>
  <c r="M51" i="391"/>
  <c r="L51" i="391"/>
  <c r="K51" i="391"/>
  <c r="J51" i="391"/>
  <c r="B51" i="391"/>
  <c r="A51" i="391"/>
  <c r="S50" i="391"/>
  <c r="R50" i="391"/>
  <c r="Q50" i="391"/>
  <c r="P50" i="391"/>
  <c r="O50" i="391"/>
  <c r="N50" i="391"/>
  <c r="M50" i="391"/>
  <c r="L50" i="391"/>
  <c r="K50" i="391"/>
  <c r="J50" i="391"/>
  <c r="B50" i="391"/>
  <c r="A50" i="391"/>
  <c r="S49" i="391"/>
  <c r="R49" i="391"/>
  <c r="Q49" i="391"/>
  <c r="P49" i="391"/>
  <c r="O49" i="391"/>
  <c r="N49" i="391"/>
  <c r="M49" i="391"/>
  <c r="L49" i="391"/>
  <c r="K49" i="391"/>
  <c r="J49" i="391"/>
  <c r="B49" i="391"/>
  <c r="A49" i="391"/>
  <c r="R48" i="391"/>
  <c r="Q48" i="391"/>
  <c r="O48" i="391"/>
  <c r="N48" i="391"/>
  <c r="M48" i="391"/>
  <c r="L48" i="391"/>
  <c r="K48" i="391"/>
  <c r="J48" i="391"/>
  <c r="B48" i="391"/>
  <c r="A48" i="391"/>
  <c r="R47" i="391"/>
  <c r="Q47" i="391"/>
  <c r="O47" i="391"/>
  <c r="N47" i="391"/>
  <c r="M47" i="391"/>
  <c r="L47" i="391"/>
  <c r="K47" i="391"/>
  <c r="J47" i="391"/>
  <c r="B47" i="391"/>
  <c r="A47" i="391"/>
  <c r="S46" i="391"/>
  <c r="R46" i="391"/>
  <c r="Q46" i="391"/>
  <c r="P46" i="391"/>
  <c r="O46" i="391"/>
  <c r="N46" i="391"/>
  <c r="M46" i="391"/>
  <c r="L46" i="391"/>
  <c r="K46" i="391"/>
  <c r="J46" i="391"/>
  <c r="B46" i="391"/>
  <c r="A46" i="391"/>
  <c r="B45" i="391"/>
  <c r="A45" i="391"/>
  <c r="B44" i="391"/>
  <c r="A44" i="391"/>
  <c r="B43" i="391"/>
  <c r="A43" i="391"/>
  <c r="B42" i="391"/>
  <c r="A42" i="391"/>
  <c r="B41" i="391"/>
  <c r="A41" i="391"/>
  <c r="B40" i="391"/>
  <c r="A40" i="391"/>
  <c r="B39" i="391"/>
  <c r="A39" i="391"/>
  <c r="B38" i="391"/>
  <c r="A38" i="391"/>
  <c r="B37" i="391"/>
  <c r="A37" i="391"/>
  <c r="B36" i="391"/>
  <c r="A36" i="391"/>
  <c r="B35" i="391"/>
  <c r="A35" i="391"/>
  <c r="P26" i="391"/>
  <c r="P25" i="391"/>
  <c r="P24" i="391"/>
  <c r="P23" i="391"/>
  <c r="P22" i="391"/>
  <c r="P20" i="391"/>
  <c r="P21" i="391" s="1"/>
  <c r="P18" i="391"/>
  <c r="P19" i="391" s="1"/>
  <c r="O12" i="391"/>
  <c r="Q10" i="391" s="1"/>
  <c r="N12" i="391"/>
  <c r="P11" i="391"/>
  <c r="O11" i="391"/>
  <c r="Q9" i="391" s="1"/>
  <c r="N11" i="391"/>
  <c r="O10" i="391"/>
  <c r="L10" i="391"/>
  <c r="L9" i="391"/>
  <c r="O9" i="391" s="1"/>
  <c r="S58" i="390"/>
  <c r="R58" i="390"/>
  <c r="Q58" i="390"/>
  <c r="P58" i="390"/>
  <c r="O58" i="390"/>
  <c r="N58" i="390"/>
  <c r="M58" i="390"/>
  <c r="L58" i="390"/>
  <c r="K58" i="390"/>
  <c r="J58" i="390"/>
  <c r="B58" i="390"/>
  <c r="A58" i="390"/>
  <c r="S57" i="390"/>
  <c r="R57" i="390"/>
  <c r="Q57" i="390"/>
  <c r="P57" i="390"/>
  <c r="O57" i="390"/>
  <c r="N57" i="390"/>
  <c r="M57" i="390"/>
  <c r="L57" i="390"/>
  <c r="K57" i="390"/>
  <c r="J57" i="390"/>
  <c r="B57" i="390"/>
  <c r="A57" i="390"/>
  <c r="S56" i="390"/>
  <c r="R56" i="390"/>
  <c r="Q56" i="390"/>
  <c r="P56" i="390"/>
  <c r="O56" i="390"/>
  <c r="N56" i="390"/>
  <c r="M56" i="390"/>
  <c r="L56" i="390"/>
  <c r="K56" i="390"/>
  <c r="J56" i="390"/>
  <c r="B56" i="390"/>
  <c r="A56" i="390"/>
  <c r="S55" i="390"/>
  <c r="R55" i="390"/>
  <c r="Q55" i="390"/>
  <c r="P55" i="390"/>
  <c r="O55" i="390"/>
  <c r="N55" i="390"/>
  <c r="M55" i="390"/>
  <c r="L55" i="390"/>
  <c r="K55" i="390"/>
  <c r="J55" i="390"/>
  <c r="B55" i="390"/>
  <c r="A55" i="390"/>
  <c r="S54" i="390"/>
  <c r="R54" i="390"/>
  <c r="Q54" i="390"/>
  <c r="P54" i="390"/>
  <c r="O54" i="390"/>
  <c r="N54" i="390"/>
  <c r="M54" i="390"/>
  <c r="L54" i="390"/>
  <c r="K54" i="390"/>
  <c r="J54" i="390"/>
  <c r="B54" i="390"/>
  <c r="A54" i="390"/>
  <c r="S53" i="390"/>
  <c r="R53" i="390"/>
  <c r="Q53" i="390"/>
  <c r="P53" i="390"/>
  <c r="O53" i="390"/>
  <c r="N53" i="390"/>
  <c r="M53" i="390"/>
  <c r="L53" i="390"/>
  <c r="K53" i="390"/>
  <c r="J53" i="390"/>
  <c r="B53" i="390"/>
  <c r="A53" i="390"/>
  <c r="S52" i="390"/>
  <c r="R52" i="390"/>
  <c r="Q52" i="390"/>
  <c r="P52" i="390"/>
  <c r="O52" i="390"/>
  <c r="N52" i="390"/>
  <c r="M52" i="390"/>
  <c r="L52" i="390"/>
  <c r="K52" i="390"/>
  <c r="J52" i="390"/>
  <c r="B52" i="390"/>
  <c r="A52" i="390"/>
  <c r="S51" i="390"/>
  <c r="R51" i="390"/>
  <c r="Q51" i="390"/>
  <c r="P51" i="390"/>
  <c r="O51" i="390"/>
  <c r="N51" i="390"/>
  <c r="M51" i="390"/>
  <c r="L51" i="390"/>
  <c r="K51" i="390"/>
  <c r="J51" i="390"/>
  <c r="B51" i="390"/>
  <c r="A51" i="390"/>
  <c r="S50" i="390"/>
  <c r="R50" i="390"/>
  <c r="Q50" i="390"/>
  <c r="P50" i="390"/>
  <c r="O50" i="390"/>
  <c r="N50" i="390"/>
  <c r="M50" i="390"/>
  <c r="L50" i="390"/>
  <c r="K50" i="390"/>
  <c r="J50" i="390"/>
  <c r="B50" i="390"/>
  <c r="A50" i="390"/>
  <c r="S49" i="390"/>
  <c r="R49" i="390"/>
  <c r="Q49" i="390"/>
  <c r="P49" i="390"/>
  <c r="O49" i="390"/>
  <c r="N49" i="390"/>
  <c r="M49" i="390"/>
  <c r="L49" i="390"/>
  <c r="K49" i="390"/>
  <c r="J49" i="390"/>
  <c r="B49" i="390"/>
  <c r="A49" i="390"/>
  <c r="R48" i="390"/>
  <c r="Q48" i="390"/>
  <c r="O48" i="390"/>
  <c r="N48" i="390"/>
  <c r="M48" i="390"/>
  <c r="L48" i="390"/>
  <c r="K48" i="390"/>
  <c r="J48" i="390"/>
  <c r="B48" i="390"/>
  <c r="A48" i="390"/>
  <c r="R47" i="390"/>
  <c r="Q47" i="390"/>
  <c r="O47" i="390"/>
  <c r="N47" i="390"/>
  <c r="M47" i="390"/>
  <c r="L47" i="390"/>
  <c r="K47" i="390"/>
  <c r="J47" i="390"/>
  <c r="B47" i="390"/>
  <c r="A47" i="390"/>
  <c r="S46" i="390"/>
  <c r="R46" i="390"/>
  <c r="Q46" i="390"/>
  <c r="P46" i="390"/>
  <c r="O46" i="390"/>
  <c r="N46" i="390"/>
  <c r="M46" i="390"/>
  <c r="L46" i="390"/>
  <c r="K46" i="390"/>
  <c r="J46" i="390"/>
  <c r="B46" i="390"/>
  <c r="A46" i="390"/>
  <c r="B45" i="390"/>
  <c r="A45" i="390"/>
  <c r="B44" i="390"/>
  <c r="A44" i="390"/>
  <c r="B43" i="390"/>
  <c r="A43" i="390"/>
  <c r="B42" i="390"/>
  <c r="A42" i="390"/>
  <c r="B41" i="390"/>
  <c r="A41" i="390"/>
  <c r="B40" i="390"/>
  <c r="A40" i="390"/>
  <c r="B39" i="390"/>
  <c r="A39" i="390"/>
  <c r="B38" i="390"/>
  <c r="A38" i="390"/>
  <c r="B37" i="390"/>
  <c r="A37" i="390"/>
  <c r="B36" i="390"/>
  <c r="A36" i="390"/>
  <c r="B35" i="390"/>
  <c r="A35" i="390"/>
  <c r="P26" i="390"/>
  <c r="P25" i="390"/>
  <c r="P24" i="390"/>
  <c r="P19" i="390" s="1"/>
  <c r="P23" i="390"/>
  <c r="P22" i="390"/>
  <c r="P20" i="390"/>
  <c r="P21" i="390" s="1"/>
  <c r="P18" i="390"/>
  <c r="O12" i="390"/>
  <c r="Q10" i="390" s="1"/>
  <c r="N12" i="390"/>
  <c r="P11" i="390"/>
  <c r="O11" i="390"/>
  <c r="Q9" i="390" s="1"/>
  <c r="N11" i="390"/>
  <c r="L10" i="390"/>
  <c r="O10" i="390" s="1"/>
  <c r="L9" i="390"/>
  <c r="O9" i="390" s="1"/>
  <c r="S58" i="389"/>
  <c r="R58" i="389"/>
  <c r="Q58" i="389"/>
  <c r="P58" i="389"/>
  <c r="O58" i="389"/>
  <c r="N58" i="389"/>
  <c r="M58" i="389"/>
  <c r="L58" i="389"/>
  <c r="K58" i="389"/>
  <c r="J58" i="389"/>
  <c r="B58" i="389"/>
  <c r="A58" i="389"/>
  <c r="S57" i="389"/>
  <c r="R57" i="389"/>
  <c r="Q57" i="389"/>
  <c r="P57" i="389"/>
  <c r="O57" i="389"/>
  <c r="N57" i="389"/>
  <c r="M57" i="389"/>
  <c r="L57" i="389"/>
  <c r="K57" i="389"/>
  <c r="J57" i="389"/>
  <c r="B57" i="389"/>
  <c r="A57" i="389"/>
  <c r="S56" i="389"/>
  <c r="R56" i="389"/>
  <c r="Q56" i="389"/>
  <c r="P56" i="389"/>
  <c r="O56" i="389"/>
  <c r="N56" i="389"/>
  <c r="M56" i="389"/>
  <c r="L56" i="389"/>
  <c r="K56" i="389"/>
  <c r="J56" i="389"/>
  <c r="B56" i="389"/>
  <c r="A56" i="389"/>
  <c r="S55" i="389"/>
  <c r="R55" i="389"/>
  <c r="Q55" i="389"/>
  <c r="P55" i="389"/>
  <c r="O55" i="389"/>
  <c r="N55" i="389"/>
  <c r="M55" i="389"/>
  <c r="L55" i="389"/>
  <c r="K55" i="389"/>
  <c r="J55" i="389"/>
  <c r="B55" i="389"/>
  <c r="A55" i="389"/>
  <c r="S54" i="389"/>
  <c r="R54" i="389"/>
  <c r="Q54" i="389"/>
  <c r="P54" i="389"/>
  <c r="O54" i="389"/>
  <c r="N54" i="389"/>
  <c r="M54" i="389"/>
  <c r="L54" i="389"/>
  <c r="K54" i="389"/>
  <c r="J54" i="389"/>
  <c r="B54" i="389"/>
  <c r="A54" i="389"/>
  <c r="S53" i="389"/>
  <c r="R53" i="389"/>
  <c r="Q53" i="389"/>
  <c r="P53" i="389"/>
  <c r="O53" i="389"/>
  <c r="N53" i="389"/>
  <c r="M53" i="389"/>
  <c r="L53" i="389"/>
  <c r="K53" i="389"/>
  <c r="J53" i="389"/>
  <c r="B53" i="389"/>
  <c r="A53" i="389"/>
  <c r="S52" i="389"/>
  <c r="R52" i="389"/>
  <c r="Q52" i="389"/>
  <c r="P52" i="389"/>
  <c r="O52" i="389"/>
  <c r="N52" i="389"/>
  <c r="M52" i="389"/>
  <c r="L52" i="389"/>
  <c r="K52" i="389"/>
  <c r="J52" i="389"/>
  <c r="B52" i="389"/>
  <c r="A52" i="389"/>
  <c r="S51" i="389"/>
  <c r="R51" i="389"/>
  <c r="Q51" i="389"/>
  <c r="P51" i="389"/>
  <c r="O51" i="389"/>
  <c r="N51" i="389"/>
  <c r="M51" i="389"/>
  <c r="L51" i="389"/>
  <c r="K51" i="389"/>
  <c r="J51" i="389"/>
  <c r="B51" i="389"/>
  <c r="A51" i="389"/>
  <c r="S50" i="389"/>
  <c r="R50" i="389"/>
  <c r="Q50" i="389"/>
  <c r="P50" i="389"/>
  <c r="O50" i="389"/>
  <c r="N50" i="389"/>
  <c r="M50" i="389"/>
  <c r="L50" i="389"/>
  <c r="K50" i="389"/>
  <c r="J50" i="389"/>
  <c r="B50" i="389"/>
  <c r="A50" i="389"/>
  <c r="S49" i="389"/>
  <c r="R49" i="389"/>
  <c r="Q49" i="389"/>
  <c r="P49" i="389"/>
  <c r="O49" i="389"/>
  <c r="N49" i="389"/>
  <c r="M49" i="389"/>
  <c r="L49" i="389"/>
  <c r="K49" i="389"/>
  <c r="J49" i="389"/>
  <c r="B49" i="389"/>
  <c r="A49" i="389"/>
  <c r="R48" i="389"/>
  <c r="Q48" i="389"/>
  <c r="O48" i="389"/>
  <c r="N48" i="389"/>
  <c r="M48" i="389"/>
  <c r="L48" i="389"/>
  <c r="K48" i="389"/>
  <c r="J48" i="389"/>
  <c r="B48" i="389"/>
  <c r="A48" i="389"/>
  <c r="R47" i="389"/>
  <c r="Q47" i="389"/>
  <c r="O47" i="389"/>
  <c r="N47" i="389"/>
  <c r="M47" i="389"/>
  <c r="L47" i="389"/>
  <c r="K47" i="389"/>
  <c r="J47" i="389"/>
  <c r="B47" i="389"/>
  <c r="A47" i="389"/>
  <c r="S46" i="389"/>
  <c r="R46" i="389"/>
  <c r="Q46" i="389"/>
  <c r="P46" i="389"/>
  <c r="O46" i="389"/>
  <c r="N46" i="389"/>
  <c r="M46" i="389"/>
  <c r="L46" i="389"/>
  <c r="K46" i="389"/>
  <c r="J46" i="389"/>
  <c r="B46" i="389"/>
  <c r="A46" i="389"/>
  <c r="B45" i="389"/>
  <c r="A45" i="389"/>
  <c r="B44" i="389"/>
  <c r="A44" i="389"/>
  <c r="B43" i="389"/>
  <c r="A43" i="389"/>
  <c r="B42" i="389"/>
  <c r="A42" i="389"/>
  <c r="B41" i="389"/>
  <c r="A41" i="389"/>
  <c r="B40" i="389"/>
  <c r="A40" i="389"/>
  <c r="B39" i="389"/>
  <c r="A39" i="389"/>
  <c r="B38" i="389"/>
  <c r="A38" i="389"/>
  <c r="B37" i="389"/>
  <c r="A37" i="389"/>
  <c r="B36" i="389"/>
  <c r="A36" i="389"/>
  <c r="B35" i="389"/>
  <c r="A35" i="389"/>
  <c r="P26" i="389"/>
  <c r="P25" i="389"/>
  <c r="P24" i="389"/>
  <c r="P23" i="389"/>
  <c r="P22" i="389"/>
  <c r="P21" i="389"/>
  <c r="P20" i="389"/>
  <c r="P19" i="389"/>
  <c r="P18" i="389"/>
  <c r="O12" i="389"/>
  <c r="Q10" i="389" s="1"/>
  <c r="N12" i="389"/>
  <c r="P11" i="389"/>
  <c r="O11" i="389"/>
  <c r="N11" i="389"/>
  <c r="O10" i="389"/>
  <c r="L10" i="389"/>
  <c r="Q9" i="389"/>
  <c r="L9" i="389"/>
  <c r="O9" i="389" s="1"/>
  <c r="S58" i="388"/>
  <c r="R58" i="388"/>
  <c r="Q58" i="388"/>
  <c r="P58" i="388"/>
  <c r="O58" i="388"/>
  <c r="N58" i="388"/>
  <c r="M58" i="388"/>
  <c r="L58" i="388"/>
  <c r="K58" i="388"/>
  <c r="J58" i="388"/>
  <c r="B58" i="388"/>
  <c r="A58" i="388"/>
  <c r="S57" i="388"/>
  <c r="R57" i="388"/>
  <c r="Q57" i="388"/>
  <c r="P57" i="388"/>
  <c r="O57" i="388"/>
  <c r="N57" i="388"/>
  <c r="M57" i="388"/>
  <c r="L57" i="388"/>
  <c r="K57" i="388"/>
  <c r="J57" i="388"/>
  <c r="B57" i="388"/>
  <c r="A57" i="388"/>
  <c r="S56" i="388"/>
  <c r="R56" i="388"/>
  <c r="Q56" i="388"/>
  <c r="P56" i="388"/>
  <c r="O56" i="388"/>
  <c r="N56" i="388"/>
  <c r="M56" i="388"/>
  <c r="L56" i="388"/>
  <c r="K56" i="388"/>
  <c r="J56" i="388"/>
  <c r="B56" i="388"/>
  <c r="A56" i="388"/>
  <c r="S55" i="388"/>
  <c r="R55" i="388"/>
  <c r="Q55" i="388"/>
  <c r="P55" i="388"/>
  <c r="O55" i="388"/>
  <c r="N55" i="388"/>
  <c r="M55" i="388"/>
  <c r="L55" i="388"/>
  <c r="K55" i="388"/>
  <c r="J55" i="388"/>
  <c r="B55" i="388"/>
  <c r="A55" i="388"/>
  <c r="S54" i="388"/>
  <c r="R54" i="388"/>
  <c r="Q54" i="388"/>
  <c r="P54" i="388"/>
  <c r="O54" i="388"/>
  <c r="N54" i="388"/>
  <c r="M54" i="388"/>
  <c r="L54" i="388"/>
  <c r="K54" i="388"/>
  <c r="J54" i="388"/>
  <c r="B54" i="388"/>
  <c r="A54" i="388"/>
  <c r="S53" i="388"/>
  <c r="R53" i="388"/>
  <c r="Q53" i="388"/>
  <c r="P53" i="388"/>
  <c r="O53" i="388"/>
  <c r="N53" i="388"/>
  <c r="M53" i="388"/>
  <c r="L53" i="388"/>
  <c r="K53" i="388"/>
  <c r="J53" i="388"/>
  <c r="B53" i="388"/>
  <c r="A53" i="388"/>
  <c r="S52" i="388"/>
  <c r="R52" i="388"/>
  <c r="Q52" i="388"/>
  <c r="P52" i="388"/>
  <c r="O52" i="388"/>
  <c r="N52" i="388"/>
  <c r="M52" i="388"/>
  <c r="L52" i="388"/>
  <c r="K52" i="388"/>
  <c r="J52" i="388"/>
  <c r="B52" i="388"/>
  <c r="A52" i="388"/>
  <c r="S51" i="388"/>
  <c r="R51" i="388"/>
  <c r="Q51" i="388"/>
  <c r="P51" i="388"/>
  <c r="O51" i="388"/>
  <c r="N51" i="388"/>
  <c r="M51" i="388"/>
  <c r="L51" i="388"/>
  <c r="K51" i="388"/>
  <c r="J51" i="388"/>
  <c r="B51" i="388"/>
  <c r="A51" i="388"/>
  <c r="S50" i="388"/>
  <c r="R50" i="388"/>
  <c r="Q50" i="388"/>
  <c r="P50" i="388"/>
  <c r="O50" i="388"/>
  <c r="N50" i="388"/>
  <c r="M50" i="388"/>
  <c r="L50" i="388"/>
  <c r="K50" i="388"/>
  <c r="J50" i="388"/>
  <c r="B50" i="388"/>
  <c r="A50" i="388"/>
  <c r="S49" i="388"/>
  <c r="R49" i="388"/>
  <c r="Q49" i="388"/>
  <c r="P49" i="388"/>
  <c r="O49" i="388"/>
  <c r="N49" i="388"/>
  <c r="M49" i="388"/>
  <c r="L49" i="388"/>
  <c r="K49" i="388"/>
  <c r="J49" i="388"/>
  <c r="B49" i="388"/>
  <c r="A49" i="388"/>
  <c r="R48" i="388"/>
  <c r="Q48" i="388"/>
  <c r="O48" i="388"/>
  <c r="N48" i="388"/>
  <c r="M48" i="388"/>
  <c r="L48" i="388"/>
  <c r="K48" i="388"/>
  <c r="J48" i="388"/>
  <c r="B48" i="388"/>
  <c r="A48" i="388"/>
  <c r="R47" i="388"/>
  <c r="Q47" i="388"/>
  <c r="O47" i="388"/>
  <c r="N47" i="388"/>
  <c r="M47" i="388"/>
  <c r="L47" i="388"/>
  <c r="K47" i="388"/>
  <c r="J47" i="388"/>
  <c r="B47" i="388"/>
  <c r="A47" i="388"/>
  <c r="S46" i="388"/>
  <c r="R46" i="388"/>
  <c r="Q46" i="388"/>
  <c r="P46" i="388"/>
  <c r="O46" i="388"/>
  <c r="N46" i="388"/>
  <c r="M46" i="388"/>
  <c r="L46" i="388"/>
  <c r="K46" i="388"/>
  <c r="J46" i="388"/>
  <c r="B46" i="388"/>
  <c r="A46" i="388"/>
  <c r="B45" i="388"/>
  <c r="A45" i="388"/>
  <c r="B44" i="388"/>
  <c r="A44" i="388"/>
  <c r="B43" i="388"/>
  <c r="A43" i="388"/>
  <c r="B42" i="388"/>
  <c r="A42" i="388"/>
  <c r="B41" i="388"/>
  <c r="A41" i="388"/>
  <c r="B40" i="388"/>
  <c r="A40" i="388"/>
  <c r="B39" i="388"/>
  <c r="A39" i="388"/>
  <c r="B38" i="388"/>
  <c r="A38" i="388"/>
  <c r="B37" i="388"/>
  <c r="A37" i="388"/>
  <c r="B36" i="388"/>
  <c r="A36" i="388"/>
  <c r="B35" i="388"/>
  <c r="A35" i="388"/>
  <c r="P26" i="388"/>
  <c r="P25" i="388"/>
  <c r="P24" i="388"/>
  <c r="P23" i="388"/>
  <c r="P22" i="388"/>
  <c r="P21" i="388"/>
  <c r="P20" i="388"/>
  <c r="P18" i="388"/>
  <c r="P19" i="388" s="1"/>
  <c r="O12" i="388"/>
  <c r="Q10" i="388" s="1"/>
  <c r="N12" i="388"/>
  <c r="P11" i="388"/>
  <c r="O11" i="388"/>
  <c r="Q9" i="388" s="1"/>
  <c r="N11" i="388"/>
  <c r="L10" i="388"/>
  <c r="O10" i="388" s="1"/>
  <c r="L9" i="388"/>
  <c r="O9" i="388" s="1"/>
  <c r="S58" i="387"/>
  <c r="R58" i="387"/>
  <c r="Q58" i="387"/>
  <c r="P58" i="387"/>
  <c r="O58" i="387"/>
  <c r="N58" i="387"/>
  <c r="M58" i="387"/>
  <c r="L58" i="387"/>
  <c r="K58" i="387"/>
  <c r="J58" i="387"/>
  <c r="B58" i="387"/>
  <c r="A58" i="387"/>
  <c r="S57" i="387"/>
  <c r="R57" i="387"/>
  <c r="Q57" i="387"/>
  <c r="P57" i="387"/>
  <c r="O57" i="387"/>
  <c r="N57" i="387"/>
  <c r="M57" i="387"/>
  <c r="L57" i="387"/>
  <c r="K57" i="387"/>
  <c r="J57" i="387"/>
  <c r="B57" i="387"/>
  <c r="A57" i="387"/>
  <c r="S56" i="387"/>
  <c r="R56" i="387"/>
  <c r="Q56" i="387"/>
  <c r="P56" i="387"/>
  <c r="O56" i="387"/>
  <c r="N56" i="387"/>
  <c r="M56" i="387"/>
  <c r="L56" i="387"/>
  <c r="K56" i="387"/>
  <c r="J56" i="387"/>
  <c r="B56" i="387"/>
  <c r="A56" i="387"/>
  <c r="S55" i="387"/>
  <c r="R55" i="387"/>
  <c r="Q55" i="387"/>
  <c r="P55" i="387"/>
  <c r="O55" i="387"/>
  <c r="N55" i="387"/>
  <c r="M55" i="387"/>
  <c r="L55" i="387"/>
  <c r="K55" i="387"/>
  <c r="J55" i="387"/>
  <c r="B55" i="387"/>
  <c r="A55" i="387"/>
  <c r="S54" i="387"/>
  <c r="R54" i="387"/>
  <c r="Q54" i="387"/>
  <c r="P54" i="387"/>
  <c r="O54" i="387"/>
  <c r="N54" i="387"/>
  <c r="M54" i="387"/>
  <c r="L54" i="387"/>
  <c r="K54" i="387"/>
  <c r="J54" i="387"/>
  <c r="B54" i="387"/>
  <c r="A54" i="387"/>
  <c r="S53" i="387"/>
  <c r="R53" i="387"/>
  <c r="Q53" i="387"/>
  <c r="P53" i="387"/>
  <c r="O53" i="387"/>
  <c r="N53" i="387"/>
  <c r="M53" i="387"/>
  <c r="L53" i="387"/>
  <c r="K53" i="387"/>
  <c r="J53" i="387"/>
  <c r="B53" i="387"/>
  <c r="A53" i="387"/>
  <c r="S52" i="387"/>
  <c r="R52" i="387"/>
  <c r="Q52" i="387"/>
  <c r="P52" i="387"/>
  <c r="O52" i="387"/>
  <c r="N52" i="387"/>
  <c r="M52" i="387"/>
  <c r="L52" i="387"/>
  <c r="K52" i="387"/>
  <c r="J52" i="387"/>
  <c r="B52" i="387"/>
  <c r="A52" i="387"/>
  <c r="S51" i="387"/>
  <c r="R51" i="387"/>
  <c r="Q51" i="387"/>
  <c r="P51" i="387"/>
  <c r="O51" i="387"/>
  <c r="N51" i="387"/>
  <c r="M51" i="387"/>
  <c r="L51" i="387"/>
  <c r="K51" i="387"/>
  <c r="J51" i="387"/>
  <c r="B51" i="387"/>
  <c r="A51" i="387"/>
  <c r="S50" i="387"/>
  <c r="R50" i="387"/>
  <c r="Q50" i="387"/>
  <c r="P50" i="387"/>
  <c r="O50" i="387"/>
  <c r="N50" i="387"/>
  <c r="M50" i="387"/>
  <c r="L50" i="387"/>
  <c r="K50" i="387"/>
  <c r="J50" i="387"/>
  <c r="B50" i="387"/>
  <c r="A50" i="387"/>
  <c r="S49" i="387"/>
  <c r="R49" i="387"/>
  <c r="Q49" i="387"/>
  <c r="P49" i="387"/>
  <c r="O49" i="387"/>
  <c r="N49" i="387"/>
  <c r="M49" i="387"/>
  <c r="L49" i="387"/>
  <c r="K49" i="387"/>
  <c r="J49" i="387"/>
  <c r="B49" i="387"/>
  <c r="A49" i="387"/>
  <c r="R48" i="387"/>
  <c r="Q48" i="387"/>
  <c r="O48" i="387"/>
  <c r="N48" i="387"/>
  <c r="M48" i="387"/>
  <c r="L48" i="387"/>
  <c r="K48" i="387"/>
  <c r="J48" i="387"/>
  <c r="B48" i="387"/>
  <c r="A48" i="387"/>
  <c r="R47" i="387"/>
  <c r="Q47" i="387"/>
  <c r="O47" i="387"/>
  <c r="N47" i="387"/>
  <c r="M47" i="387"/>
  <c r="L47" i="387"/>
  <c r="K47" i="387"/>
  <c r="J47" i="387"/>
  <c r="B47" i="387"/>
  <c r="A47" i="387"/>
  <c r="S46" i="387"/>
  <c r="R46" i="387"/>
  <c r="Q46" i="387"/>
  <c r="P46" i="387"/>
  <c r="O46" i="387"/>
  <c r="N46" i="387"/>
  <c r="M46" i="387"/>
  <c r="L46" i="387"/>
  <c r="K46" i="387"/>
  <c r="J46" i="387"/>
  <c r="B46" i="387"/>
  <c r="A46" i="387"/>
  <c r="B45" i="387"/>
  <c r="A45" i="387"/>
  <c r="B44" i="387"/>
  <c r="A44" i="387"/>
  <c r="B43" i="387"/>
  <c r="A43" i="387"/>
  <c r="B42" i="387"/>
  <c r="A42" i="387"/>
  <c r="B41" i="387"/>
  <c r="A41" i="387"/>
  <c r="B40" i="387"/>
  <c r="A40" i="387"/>
  <c r="B39" i="387"/>
  <c r="A39" i="387"/>
  <c r="B38" i="387"/>
  <c r="A38" i="387"/>
  <c r="B37" i="387"/>
  <c r="A37" i="387"/>
  <c r="B36" i="387"/>
  <c r="A36" i="387"/>
  <c r="B35" i="387"/>
  <c r="A35" i="387"/>
  <c r="P26" i="387"/>
  <c r="P25" i="387"/>
  <c r="P24" i="387"/>
  <c r="P23" i="387"/>
  <c r="P22" i="387"/>
  <c r="P21" i="387"/>
  <c r="P20" i="387"/>
  <c r="P18" i="387"/>
  <c r="P19" i="387" s="1"/>
  <c r="O12" i="387"/>
  <c r="Q10" i="387" s="1"/>
  <c r="N12" i="387"/>
  <c r="P11" i="387"/>
  <c r="O11" i="387"/>
  <c r="N11" i="387"/>
  <c r="O10" i="387"/>
  <c r="L10" i="387"/>
  <c r="Q9" i="387"/>
  <c r="L9" i="387"/>
  <c r="O9" i="387" s="1"/>
  <c r="S58" i="386"/>
  <c r="R58" i="386"/>
  <c r="Q58" i="386"/>
  <c r="P58" i="386"/>
  <c r="O58" i="386"/>
  <c r="N58" i="386"/>
  <c r="M58" i="386"/>
  <c r="L58" i="386"/>
  <c r="K58" i="386"/>
  <c r="J58" i="386"/>
  <c r="B58" i="386"/>
  <c r="A58" i="386"/>
  <c r="S57" i="386"/>
  <c r="R57" i="386"/>
  <c r="Q57" i="386"/>
  <c r="P57" i="386"/>
  <c r="O57" i="386"/>
  <c r="N57" i="386"/>
  <c r="M57" i="386"/>
  <c r="L57" i="386"/>
  <c r="K57" i="386"/>
  <c r="J57" i="386"/>
  <c r="B57" i="386"/>
  <c r="A57" i="386"/>
  <c r="S56" i="386"/>
  <c r="R56" i="386"/>
  <c r="Q56" i="386"/>
  <c r="P56" i="386"/>
  <c r="O56" i="386"/>
  <c r="N56" i="386"/>
  <c r="M56" i="386"/>
  <c r="L56" i="386"/>
  <c r="K56" i="386"/>
  <c r="J56" i="386"/>
  <c r="B56" i="386"/>
  <c r="A56" i="386"/>
  <c r="S55" i="386"/>
  <c r="R55" i="386"/>
  <c r="Q55" i="386"/>
  <c r="P55" i="386"/>
  <c r="O55" i="386"/>
  <c r="N55" i="386"/>
  <c r="M55" i="386"/>
  <c r="L55" i="386"/>
  <c r="K55" i="386"/>
  <c r="J55" i="386"/>
  <c r="B55" i="386"/>
  <c r="A55" i="386"/>
  <c r="S54" i="386"/>
  <c r="R54" i="386"/>
  <c r="Q54" i="386"/>
  <c r="P54" i="386"/>
  <c r="O54" i="386"/>
  <c r="N54" i="386"/>
  <c r="M54" i="386"/>
  <c r="L54" i="386"/>
  <c r="K54" i="386"/>
  <c r="J54" i="386"/>
  <c r="B54" i="386"/>
  <c r="A54" i="386"/>
  <c r="S53" i="386"/>
  <c r="R53" i="386"/>
  <c r="Q53" i="386"/>
  <c r="P53" i="386"/>
  <c r="O53" i="386"/>
  <c r="N53" i="386"/>
  <c r="M53" i="386"/>
  <c r="L53" i="386"/>
  <c r="K53" i="386"/>
  <c r="J53" i="386"/>
  <c r="B53" i="386"/>
  <c r="A53" i="386"/>
  <c r="S52" i="386"/>
  <c r="R52" i="386"/>
  <c r="Q52" i="386"/>
  <c r="P52" i="386"/>
  <c r="O52" i="386"/>
  <c r="N52" i="386"/>
  <c r="M52" i="386"/>
  <c r="L52" i="386"/>
  <c r="K52" i="386"/>
  <c r="J52" i="386"/>
  <c r="B52" i="386"/>
  <c r="A52" i="386"/>
  <c r="S51" i="386"/>
  <c r="R51" i="386"/>
  <c r="Q51" i="386"/>
  <c r="P51" i="386"/>
  <c r="O51" i="386"/>
  <c r="N51" i="386"/>
  <c r="M51" i="386"/>
  <c r="L51" i="386"/>
  <c r="K51" i="386"/>
  <c r="J51" i="386"/>
  <c r="B51" i="386"/>
  <c r="A51" i="386"/>
  <c r="S50" i="386"/>
  <c r="R50" i="386"/>
  <c r="Q50" i="386"/>
  <c r="P50" i="386"/>
  <c r="O50" i="386"/>
  <c r="N50" i="386"/>
  <c r="M50" i="386"/>
  <c r="L50" i="386"/>
  <c r="K50" i="386"/>
  <c r="J50" i="386"/>
  <c r="B50" i="386"/>
  <c r="A50" i="386"/>
  <c r="S49" i="386"/>
  <c r="R49" i="386"/>
  <c r="Q49" i="386"/>
  <c r="P49" i="386"/>
  <c r="O49" i="386"/>
  <c r="N49" i="386"/>
  <c r="M49" i="386"/>
  <c r="L49" i="386"/>
  <c r="K49" i="386"/>
  <c r="J49" i="386"/>
  <c r="B49" i="386"/>
  <c r="A49" i="386"/>
  <c r="R48" i="386"/>
  <c r="Q48" i="386"/>
  <c r="O48" i="386"/>
  <c r="N48" i="386"/>
  <c r="M48" i="386"/>
  <c r="L48" i="386"/>
  <c r="K48" i="386"/>
  <c r="J48" i="386"/>
  <c r="B48" i="386"/>
  <c r="A48" i="386"/>
  <c r="R47" i="386"/>
  <c r="Q47" i="386"/>
  <c r="O47" i="386"/>
  <c r="N47" i="386"/>
  <c r="M47" i="386"/>
  <c r="L47" i="386"/>
  <c r="K47" i="386"/>
  <c r="J47" i="386"/>
  <c r="B47" i="386"/>
  <c r="A47" i="386"/>
  <c r="S46" i="386"/>
  <c r="R46" i="386"/>
  <c r="Q46" i="386"/>
  <c r="P46" i="386"/>
  <c r="O46" i="386"/>
  <c r="N46" i="386"/>
  <c r="M46" i="386"/>
  <c r="L46" i="386"/>
  <c r="K46" i="386"/>
  <c r="J46" i="386"/>
  <c r="B46" i="386"/>
  <c r="A46" i="386"/>
  <c r="B45" i="386"/>
  <c r="A45" i="386"/>
  <c r="B44" i="386"/>
  <c r="A44" i="386"/>
  <c r="B43" i="386"/>
  <c r="A43" i="386"/>
  <c r="B42" i="386"/>
  <c r="A42" i="386"/>
  <c r="B41" i="386"/>
  <c r="A41" i="386"/>
  <c r="B40" i="386"/>
  <c r="A40" i="386"/>
  <c r="B39" i="386"/>
  <c r="A39" i="386"/>
  <c r="B38" i="386"/>
  <c r="A38" i="386"/>
  <c r="B37" i="386"/>
  <c r="A37" i="386"/>
  <c r="B36" i="386"/>
  <c r="A36" i="386"/>
  <c r="B35" i="386"/>
  <c r="A35" i="386"/>
  <c r="P26" i="386"/>
  <c r="P25" i="386"/>
  <c r="P24" i="386"/>
  <c r="P19" i="386" s="1"/>
  <c r="P23" i="386"/>
  <c r="P22" i="386"/>
  <c r="P21" i="386"/>
  <c r="P20" i="386"/>
  <c r="P18" i="386"/>
  <c r="O12" i="386"/>
  <c r="Q10" i="386" s="1"/>
  <c r="N12" i="386"/>
  <c r="P11" i="386"/>
  <c r="O11" i="386"/>
  <c r="Q9" i="386" s="1"/>
  <c r="N11" i="386"/>
  <c r="L10" i="386"/>
  <c r="O10" i="386" s="1"/>
  <c r="L9" i="386"/>
  <c r="O9" i="386" s="1"/>
  <c r="S58" i="385"/>
  <c r="R58" i="385"/>
  <c r="Q58" i="385"/>
  <c r="P58" i="385"/>
  <c r="O58" i="385"/>
  <c r="N58" i="385"/>
  <c r="M58" i="385"/>
  <c r="L58" i="385"/>
  <c r="K58" i="385"/>
  <c r="J58" i="385"/>
  <c r="B58" i="385"/>
  <c r="A58" i="385"/>
  <c r="S57" i="385"/>
  <c r="R57" i="385"/>
  <c r="Q57" i="385"/>
  <c r="P57" i="385"/>
  <c r="O57" i="385"/>
  <c r="N57" i="385"/>
  <c r="M57" i="385"/>
  <c r="L57" i="385"/>
  <c r="K57" i="385"/>
  <c r="J57" i="385"/>
  <c r="B57" i="385"/>
  <c r="A57" i="385"/>
  <c r="S56" i="385"/>
  <c r="R56" i="385"/>
  <c r="Q56" i="385"/>
  <c r="P56" i="385"/>
  <c r="O56" i="385"/>
  <c r="N56" i="385"/>
  <c r="M56" i="385"/>
  <c r="L56" i="385"/>
  <c r="K56" i="385"/>
  <c r="J56" i="385"/>
  <c r="B56" i="385"/>
  <c r="A56" i="385"/>
  <c r="S55" i="385"/>
  <c r="R55" i="385"/>
  <c r="Q55" i="385"/>
  <c r="P55" i="385"/>
  <c r="O55" i="385"/>
  <c r="N55" i="385"/>
  <c r="M55" i="385"/>
  <c r="L55" i="385"/>
  <c r="K55" i="385"/>
  <c r="J55" i="385"/>
  <c r="B55" i="385"/>
  <c r="A55" i="385"/>
  <c r="S54" i="385"/>
  <c r="R54" i="385"/>
  <c r="Q54" i="385"/>
  <c r="P54" i="385"/>
  <c r="O54" i="385"/>
  <c r="N54" i="385"/>
  <c r="M54" i="385"/>
  <c r="L54" i="385"/>
  <c r="K54" i="385"/>
  <c r="J54" i="385"/>
  <c r="B54" i="385"/>
  <c r="A54" i="385"/>
  <c r="S53" i="385"/>
  <c r="R53" i="385"/>
  <c r="Q53" i="385"/>
  <c r="P53" i="385"/>
  <c r="O53" i="385"/>
  <c r="N53" i="385"/>
  <c r="M53" i="385"/>
  <c r="L53" i="385"/>
  <c r="K53" i="385"/>
  <c r="J53" i="385"/>
  <c r="B53" i="385"/>
  <c r="A53" i="385"/>
  <c r="S52" i="385"/>
  <c r="R52" i="385"/>
  <c r="Q52" i="385"/>
  <c r="P52" i="385"/>
  <c r="O52" i="385"/>
  <c r="N52" i="385"/>
  <c r="M52" i="385"/>
  <c r="L52" i="385"/>
  <c r="K52" i="385"/>
  <c r="J52" i="385"/>
  <c r="B52" i="385"/>
  <c r="A52" i="385"/>
  <c r="S51" i="385"/>
  <c r="R51" i="385"/>
  <c r="Q51" i="385"/>
  <c r="P51" i="385"/>
  <c r="O51" i="385"/>
  <c r="N51" i="385"/>
  <c r="M51" i="385"/>
  <c r="L51" i="385"/>
  <c r="K51" i="385"/>
  <c r="J51" i="385"/>
  <c r="B51" i="385"/>
  <c r="A51" i="385"/>
  <c r="S50" i="385"/>
  <c r="R50" i="385"/>
  <c r="Q50" i="385"/>
  <c r="P50" i="385"/>
  <c r="O50" i="385"/>
  <c r="N50" i="385"/>
  <c r="M50" i="385"/>
  <c r="L50" i="385"/>
  <c r="K50" i="385"/>
  <c r="J50" i="385"/>
  <c r="B50" i="385"/>
  <c r="A50" i="385"/>
  <c r="S49" i="385"/>
  <c r="R49" i="385"/>
  <c r="Q49" i="385"/>
  <c r="P49" i="385"/>
  <c r="O49" i="385"/>
  <c r="N49" i="385"/>
  <c r="M49" i="385"/>
  <c r="L49" i="385"/>
  <c r="K49" i="385"/>
  <c r="J49" i="385"/>
  <c r="B49" i="385"/>
  <c r="A49" i="385"/>
  <c r="R48" i="385"/>
  <c r="Q48" i="385"/>
  <c r="O48" i="385"/>
  <c r="N48" i="385"/>
  <c r="M48" i="385"/>
  <c r="L48" i="385"/>
  <c r="K48" i="385"/>
  <c r="J48" i="385"/>
  <c r="B48" i="385"/>
  <c r="A48" i="385"/>
  <c r="R47" i="385"/>
  <c r="Q47" i="385"/>
  <c r="O47" i="385"/>
  <c r="N47" i="385"/>
  <c r="M47" i="385"/>
  <c r="L47" i="385"/>
  <c r="K47" i="385"/>
  <c r="J47" i="385"/>
  <c r="B47" i="385"/>
  <c r="A47" i="385"/>
  <c r="S46" i="385"/>
  <c r="R46" i="385"/>
  <c r="Q46" i="385"/>
  <c r="P46" i="385"/>
  <c r="O46" i="385"/>
  <c r="N46" i="385"/>
  <c r="M46" i="385"/>
  <c r="L46" i="385"/>
  <c r="K46" i="385"/>
  <c r="J46" i="385"/>
  <c r="B46" i="385"/>
  <c r="A46" i="385"/>
  <c r="B45" i="385"/>
  <c r="A45" i="385"/>
  <c r="B44" i="385"/>
  <c r="A44" i="385"/>
  <c r="B43" i="385"/>
  <c r="A43" i="385"/>
  <c r="B42" i="385"/>
  <c r="A42" i="385"/>
  <c r="B41" i="385"/>
  <c r="A41" i="385"/>
  <c r="B40" i="385"/>
  <c r="A40" i="385"/>
  <c r="B39" i="385"/>
  <c r="A39" i="385"/>
  <c r="B38" i="385"/>
  <c r="A38" i="385"/>
  <c r="B37" i="385"/>
  <c r="A37" i="385"/>
  <c r="B36" i="385"/>
  <c r="A36" i="385"/>
  <c r="B35" i="385"/>
  <c r="A35" i="385"/>
  <c r="P26" i="385"/>
  <c r="P25" i="385"/>
  <c r="P24" i="385"/>
  <c r="P23" i="385"/>
  <c r="P22" i="385"/>
  <c r="P21" i="385"/>
  <c r="P20" i="385"/>
  <c r="P18" i="385"/>
  <c r="P19" i="385" s="1"/>
  <c r="O12" i="385"/>
  <c r="N12" i="385"/>
  <c r="P11" i="385"/>
  <c r="O11" i="385"/>
  <c r="N11" i="385"/>
  <c r="Q10" i="385"/>
  <c r="O10" i="385"/>
  <c r="L10" i="385"/>
  <c r="Q9" i="385"/>
  <c r="L9" i="385"/>
  <c r="O9" i="385" s="1"/>
  <c r="S58" i="384"/>
  <c r="R58" i="384"/>
  <c r="Q58" i="384"/>
  <c r="P58" i="384"/>
  <c r="O58" i="384"/>
  <c r="N58" i="384"/>
  <c r="M58" i="384"/>
  <c r="L58" i="384"/>
  <c r="K58" i="384"/>
  <c r="J58" i="384"/>
  <c r="B58" i="384"/>
  <c r="A58" i="384"/>
  <c r="S57" i="384"/>
  <c r="R57" i="384"/>
  <c r="Q57" i="384"/>
  <c r="P57" i="384"/>
  <c r="O57" i="384"/>
  <c r="N57" i="384"/>
  <c r="M57" i="384"/>
  <c r="L57" i="384"/>
  <c r="K57" i="384"/>
  <c r="J57" i="384"/>
  <c r="B57" i="384"/>
  <c r="A57" i="384"/>
  <c r="S56" i="384"/>
  <c r="R56" i="384"/>
  <c r="Q56" i="384"/>
  <c r="P56" i="384"/>
  <c r="O56" i="384"/>
  <c r="N56" i="384"/>
  <c r="M56" i="384"/>
  <c r="L56" i="384"/>
  <c r="K56" i="384"/>
  <c r="J56" i="384"/>
  <c r="B56" i="384"/>
  <c r="A56" i="384"/>
  <c r="S55" i="384"/>
  <c r="R55" i="384"/>
  <c r="Q55" i="384"/>
  <c r="P55" i="384"/>
  <c r="O55" i="384"/>
  <c r="N55" i="384"/>
  <c r="M55" i="384"/>
  <c r="L55" i="384"/>
  <c r="K55" i="384"/>
  <c r="J55" i="384"/>
  <c r="B55" i="384"/>
  <c r="A55" i="384"/>
  <c r="S54" i="384"/>
  <c r="R54" i="384"/>
  <c r="Q54" i="384"/>
  <c r="P54" i="384"/>
  <c r="O54" i="384"/>
  <c r="N54" i="384"/>
  <c r="M54" i="384"/>
  <c r="L54" i="384"/>
  <c r="K54" i="384"/>
  <c r="J54" i="384"/>
  <c r="B54" i="384"/>
  <c r="A54" i="384"/>
  <c r="S53" i="384"/>
  <c r="R53" i="384"/>
  <c r="Q53" i="384"/>
  <c r="P53" i="384"/>
  <c r="O53" i="384"/>
  <c r="N53" i="384"/>
  <c r="M53" i="384"/>
  <c r="L53" i="384"/>
  <c r="K53" i="384"/>
  <c r="J53" i="384"/>
  <c r="B53" i="384"/>
  <c r="A53" i="384"/>
  <c r="S52" i="384"/>
  <c r="R52" i="384"/>
  <c r="Q52" i="384"/>
  <c r="P52" i="384"/>
  <c r="O52" i="384"/>
  <c r="N52" i="384"/>
  <c r="M52" i="384"/>
  <c r="L52" i="384"/>
  <c r="K52" i="384"/>
  <c r="J52" i="384"/>
  <c r="B52" i="384"/>
  <c r="A52" i="384"/>
  <c r="S51" i="384"/>
  <c r="R51" i="384"/>
  <c r="Q51" i="384"/>
  <c r="P51" i="384"/>
  <c r="O51" i="384"/>
  <c r="N51" i="384"/>
  <c r="M51" i="384"/>
  <c r="L51" i="384"/>
  <c r="K51" i="384"/>
  <c r="J51" i="384"/>
  <c r="B51" i="384"/>
  <c r="A51" i="384"/>
  <c r="S50" i="384"/>
  <c r="R50" i="384"/>
  <c r="Q50" i="384"/>
  <c r="P50" i="384"/>
  <c r="O50" i="384"/>
  <c r="N50" i="384"/>
  <c r="M50" i="384"/>
  <c r="L50" i="384"/>
  <c r="K50" i="384"/>
  <c r="J50" i="384"/>
  <c r="B50" i="384"/>
  <c r="A50" i="384"/>
  <c r="S49" i="384"/>
  <c r="R49" i="384"/>
  <c r="Q49" i="384"/>
  <c r="P49" i="384"/>
  <c r="O49" i="384"/>
  <c r="N49" i="384"/>
  <c r="M49" i="384"/>
  <c r="L49" i="384"/>
  <c r="K49" i="384"/>
  <c r="J49" i="384"/>
  <c r="B49" i="384"/>
  <c r="A49" i="384"/>
  <c r="R48" i="384"/>
  <c r="Q48" i="384"/>
  <c r="O48" i="384"/>
  <c r="N48" i="384"/>
  <c r="M48" i="384"/>
  <c r="L48" i="384"/>
  <c r="K48" i="384"/>
  <c r="J48" i="384"/>
  <c r="B48" i="384"/>
  <c r="A48" i="384"/>
  <c r="R47" i="384"/>
  <c r="Q47" i="384"/>
  <c r="O47" i="384"/>
  <c r="N47" i="384"/>
  <c r="M47" i="384"/>
  <c r="L47" i="384"/>
  <c r="K47" i="384"/>
  <c r="J47" i="384"/>
  <c r="B47" i="384"/>
  <c r="A47" i="384"/>
  <c r="S46" i="384"/>
  <c r="R46" i="384"/>
  <c r="Q46" i="384"/>
  <c r="P46" i="384"/>
  <c r="O46" i="384"/>
  <c r="N46" i="384"/>
  <c r="M46" i="384"/>
  <c r="L46" i="384"/>
  <c r="K46" i="384"/>
  <c r="J46" i="384"/>
  <c r="B46" i="384"/>
  <c r="A46" i="384"/>
  <c r="B45" i="384"/>
  <c r="A45" i="384"/>
  <c r="B44" i="384"/>
  <c r="A44" i="384"/>
  <c r="B43" i="384"/>
  <c r="A43" i="384"/>
  <c r="B42" i="384"/>
  <c r="A42" i="384"/>
  <c r="B41" i="384"/>
  <c r="A41" i="384"/>
  <c r="B40" i="384"/>
  <c r="A40" i="384"/>
  <c r="B39" i="384"/>
  <c r="A39" i="384"/>
  <c r="B38" i="384"/>
  <c r="A38" i="384"/>
  <c r="B37" i="384"/>
  <c r="A37" i="384"/>
  <c r="B36" i="384"/>
  <c r="A36" i="384"/>
  <c r="B35" i="384"/>
  <c r="A35" i="384"/>
  <c r="P26" i="384"/>
  <c r="P25" i="384"/>
  <c r="P24" i="384"/>
  <c r="P23" i="384"/>
  <c r="P22" i="384"/>
  <c r="P21" i="384"/>
  <c r="P20" i="384"/>
  <c r="P19" i="384"/>
  <c r="P18" i="384"/>
  <c r="O12" i="384"/>
  <c r="Q10" i="384" s="1"/>
  <c r="N12" i="384"/>
  <c r="P11" i="384"/>
  <c r="O11" i="384"/>
  <c r="N11" i="384"/>
  <c r="O10" i="384"/>
  <c r="L10" i="384"/>
  <c r="Q9" i="384"/>
  <c r="L9" i="384"/>
  <c r="O9" i="384" s="1"/>
  <c r="S58" i="383"/>
  <c r="R58" i="383"/>
  <c r="Q58" i="383"/>
  <c r="P58" i="383"/>
  <c r="O58" i="383"/>
  <c r="N58" i="383"/>
  <c r="M58" i="383"/>
  <c r="L58" i="383"/>
  <c r="K58" i="383"/>
  <c r="J58" i="383"/>
  <c r="B58" i="383"/>
  <c r="A58" i="383"/>
  <c r="S57" i="383"/>
  <c r="R57" i="383"/>
  <c r="Q57" i="383"/>
  <c r="P57" i="383"/>
  <c r="O57" i="383"/>
  <c r="N57" i="383"/>
  <c r="M57" i="383"/>
  <c r="L57" i="383"/>
  <c r="K57" i="383"/>
  <c r="J57" i="383"/>
  <c r="B57" i="383"/>
  <c r="A57" i="383"/>
  <c r="S56" i="383"/>
  <c r="R56" i="383"/>
  <c r="Q56" i="383"/>
  <c r="P56" i="383"/>
  <c r="O56" i="383"/>
  <c r="N56" i="383"/>
  <c r="M56" i="383"/>
  <c r="L56" i="383"/>
  <c r="K56" i="383"/>
  <c r="J56" i="383"/>
  <c r="B56" i="383"/>
  <c r="A56" i="383"/>
  <c r="S55" i="383"/>
  <c r="R55" i="383"/>
  <c r="Q55" i="383"/>
  <c r="P55" i="383"/>
  <c r="O55" i="383"/>
  <c r="N55" i="383"/>
  <c r="M55" i="383"/>
  <c r="L55" i="383"/>
  <c r="K55" i="383"/>
  <c r="J55" i="383"/>
  <c r="B55" i="383"/>
  <c r="A55" i="383"/>
  <c r="S54" i="383"/>
  <c r="R54" i="383"/>
  <c r="Q54" i="383"/>
  <c r="P54" i="383"/>
  <c r="O54" i="383"/>
  <c r="N54" i="383"/>
  <c r="M54" i="383"/>
  <c r="L54" i="383"/>
  <c r="K54" i="383"/>
  <c r="J54" i="383"/>
  <c r="B54" i="383"/>
  <c r="A54" i="383"/>
  <c r="S53" i="383"/>
  <c r="R53" i="383"/>
  <c r="Q53" i="383"/>
  <c r="P53" i="383"/>
  <c r="O53" i="383"/>
  <c r="N53" i="383"/>
  <c r="M53" i="383"/>
  <c r="L53" i="383"/>
  <c r="K53" i="383"/>
  <c r="J53" i="383"/>
  <c r="B53" i="383"/>
  <c r="A53" i="383"/>
  <c r="S52" i="383"/>
  <c r="R52" i="383"/>
  <c r="Q52" i="383"/>
  <c r="P52" i="383"/>
  <c r="O52" i="383"/>
  <c r="N52" i="383"/>
  <c r="M52" i="383"/>
  <c r="L52" i="383"/>
  <c r="K52" i="383"/>
  <c r="J52" i="383"/>
  <c r="B52" i="383"/>
  <c r="A52" i="383"/>
  <c r="S51" i="383"/>
  <c r="R51" i="383"/>
  <c r="Q51" i="383"/>
  <c r="P51" i="383"/>
  <c r="O51" i="383"/>
  <c r="N51" i="383"/>
  <c r="M51" i="383"/>
  <c r="L51" i="383"/>
  <c r="K51" i="383"/>
  <c r="J51" i="383"/>
  <c r="B51" i="383"/>
  <c r="A51" i="383"/>
  <c r="S50" i="383"/>
  <c r="R50" i="383"/>
  <c r="Q50" i="383"/>
  <c r="P50" i="383"/>
  <c r="O50" i="383"/>
  <c r="N50" i="383"/>
  <c r="M50" i="383"/>
  <c r="L50" i="383"/>
  <c r="K50" i="383"/>
  <c r="J50" i="383"/>
  <c r="B50" i="383"/>
  <c r="A50" i="383"/>
  <c r="S49" i="383"/>
  <c r="R49" i="383"/>
  <c r="Q49" i="383"/>
  <c r="P49" i="383"/>
  <c r="O49" i="383"/>
  <c r="N49" i="383"/>
  <c r="M49" i="383"/>
  <c r="L49" i="383"/>
  <c r="K49" i="383"/>
  <c r="J49" i="383"/>
  <c r="B49" i="383"/>
  <c r="A49" i="383"/>
  <c r="R48" i="383"/>
  <c r="Q48" i="383"/>
  <c r="O48" i="383"/>
  <c r="N48" i="383"/>
  <c r="M48" i="383"/>
  <c r="L48" i="383"/>
  <c r="K48" i="383"/>
  <c r="J48" i="383"/>
  <c r="B48" i="383"/>
  <c r="A48" i="383"/>
  <c r="R47" i="383"/>
  <c r="Q47" i="383"/>
  <c r="O47" i="383"/>
  <c r="N47" i="383"/>
  <c r="M47" i="383"/>
  <c r="L47" i="383"/>
  <c r="K47" i="383"/>
  <c r="J47" i="383"/>
  <c r="B47" i="383"/>
  <c r="A47" i="383"/>
  <c r="S46" i="383"/>
  <c r="R46" i="383"/>
  <c r="Q46" i="383"/>
  <c r="P46" i="383"/>
  <c r="O46" i="383"/>
  <c r="N46" i="383"/>
  <c r="M46" i="383"/>
  <c r="L46" i="383"/>
  <c r="K46" i="383"/>
  <c r="J46" i="383"/>
  <c r="B46" i="383"/>
  <c r="A46" i="383"/>
  <c r="B45" i="383"/>
  <c r="A45" i="383"/>
  <c r="B44" i="383"/>
  <c r="A44" i="383"/>
  <c r="B43" i="383"/>
  <c r="A43" i="383"/>
  <c r="B42" i="383"/>
  <c r="A42" i="383"/>
  <c r="B41" i="383"/>
  <c r="A41" i="383"/>
  <c r="B40" i="383"/>
  <c r="A40" i="383"/>
  <c r="B39" i="383"/>
  <c r="A39" i="383"/>
  <c r="B38" i="383"/>
  <c r="A38" i="383"/>
  <c r="B37" i="383"/>
  <c r="A37" i="383"/>
  <c r="B36" i="383"/>
  <c r="A36" i="383"/>
  <c r="B35" i="383"/>
  <c r="A35" i="383"/>
  <c r="P26" i="383"/>
  <c r="P25" i="383"/>
  <c r="P24" i="383"/>
  <c r="P19" i="383" s="1"/>
  <c r="P23" i="383"/>
  <c r="P22" i="383"/>
  <c r="P20" i="383"/>
  <c r="P21" i="383" s="1"/>
  <c r="P18" i="383"/>
  <c r="O12" i="383"/>
  <c r="N12" i="383"/>
  <c r="O10" i="383" s="1"/>
  <c r="P11" i="383"/>
  <c r="O11" i="383"/>
  <c r="N11" i="383"/>
  <c r="Q10" i="383"/>
  <c r="L10" i="383"/>
  <c r="Q9" i="383"/>
  <c r="O9" i="383"/>
  <c r="L9" i="383"/>
  <c r="S58" i="382"/>
  <c r="R58" i="382"/>
  <c r="Q58" i="382"/>
  <c r="P58" i="382"/>
  <c r="O58" i="382"/>
  <c r="N58" i="382"/>
  <c r="M58" i="382"/>
  <c r="L58" i="382"/>
  <c r="K58" i="382"/>
  <c r="J58" i="382"/>
  <c r="B58" i="382"/>
  <c r="A58" i="382"/>
  <c r="S57" i="382"/>
  <c r="R57" i="382"/>
  <c r="Q57" i="382"/>
  <c r="P57" i="382"/>
  <c r="O57" i="382"/>
  <c r="N57" i="382"/>
  <c r="M57" i="382"/>
  <c r="L57" i="382"/>
  <c r="K57" i="382"/>
  <c r="J57" i="382"/>
  <c r="B57" i="382"/>
  <c r="A57" i="382"/>
  <c r="S56" i="382"/>
  <c r="R56" i="382"/>
  <c r="Q56" i="382"/>
  <c r="P56" i="382"/>
  <c r="O56" i="382"/>
  <c r="N56" i="382"/>
  <c r="M56" i="382"/>
  <c r="L56" i="382"/>
  <c r="K56" i="382"/>
  <c r="J56" i="382"/>
  <c r="B56" i="382"/>
  <c r="A56" i="382"/>
  <c r="S55" i="382"/>
  <c r="R55" i="382"/>
  <c r="Q55" i="382"/>
  <c r="P55" i="382"/>
  <c r="O55" i="382"/>
  <c r="N55" i="382"/>
  <c r="M55" i="382"/>
  <c r="L55" i="382"/>
  <c r="K55" i="382"/>
  <c r="J55" i="382"/>
  <c r="B55" i="382"/>
  <c r="A55" i="382"/>
  <c r="S54" i="382"/>
  <c r="R54" i="382"/>
  <c r="Q54" i="382"/>
  <c r="P54" i="382"/>
  <c r="O54" i="382"/>
  <c r="N54" i="382"/>
  <c r="M54" i="382"/>
  <c r="L54" i="382"/>
  <c r="K54" i="382"/>
  <c r="J54" i="382"/>
  <c r="B54" i="382"/>
  <c r="A54" i="382"/>
  <c r="S53" i="382"/>
  <c r="R53" i="382"/>
  <c r="Q53" i="382"/>
  <c r="P53" i="382"/>
  <c r="O53" i="382"/>
  <c r="N53" i="382"/>
  <c r="M53" i="382"/>
  <c r="L53" i="382"/>
  <c r="K53" i="382"/>
  <c r="J53" i="382"/>
  <c r="B53" i="382"/>
  <c r="A53" i="382"/>
  <c r="S52" i="382"/>
  <c r="R52" i="382"/>
  <c r="Q52" i="382"/>
  <c r="P52" i="382"/>
  <c r="O52" i="382"/>
  <c r="N52" i="382"/>
  <c r="M52" i="382"/>
  <c r="L52" i="382"/>
  <c r="K52" i="382"/>
  <c r="J52" i="382"/>
  <c r="B52" i="382"/>
  <c r="A52" i="382"/>
  <c r="S51" i="382"/>
  <c r="R51" i="382"/>
  <c r="Q51" i="382"/>
  <c r="P51" i="382"/>
  <c r="O51" i="382"/>
  <c r="N51" i="382"/>
  <c r="M51" i="382"/>
  <c r="L51" i="382"/>
  <c r="K51" i="382"/>
  <c r="J51" i="382"/>
  <c r="B51" i="382"/>
  <c r="A51" i="382"/>
  <c r="S50" i="382"/>
  <c r="R50" i="382"/>
  <c r="Q50" i="382"/>
  <c r="P50" i="382"/>
  <c r="O50" i="382"/>
  <c r="N50" i="382"/>
  <c r="M50" i="382"/>
  <c r="L50" i="382"/>
  <c r="K50" i="382"/>
  <c r="J50" i="382"/>
  <c r="B50" i="382"/>
  <c r="A50" i="382"/>
  <c r="S49" i="382"/>
  <c r="R49" i="382"/>
  <c r="Q49" i="382"/>
  <c r="P49" i="382"/>
  <c r="O49" i="382"/>
  <c r="N49" i="382"/>
  <c r="M49" i="382"/>
  <c r="L49" i="382"/>
  <c r="K49" i="382"/>
  <c r="J49" i="382"/>
  <c r="B49" i="382"/>
  <c r="A49" i="382"/>
  <c r="R48" i="382"/>
  <c r="Q48" i="382"/>
  <c r="O48" i="382"/>
  <c r="N48" i="382"/>
  <c r="M48" i="382"/>
  <c r="L48" i="382"/>
  <c r="K48" i="382"/>
  <c r="J48" i="382"/>
  <c r="B48" i="382"/>
  <c r="A48" i="382"/>
  <c r="R47" i="382"/>
  <c r="Q47" i="382"/>
  <c r="O47" i="382"/>
  <c r="N47" i="382"/>
  <c r="M47" i="382"/>
  <c r="L47" i="382"/>
  <c r="K47" i="382"/>
  <c r="J47" i="382"/>
  <c r="B47" i="382"/>
  <c r="A47" i="382"/>
  <c r="S46" i="382"/>
  <c r="R46" i="382"/>
  <c r="Q46" i="382"/>
  <c r="P46" i="382"/>
  <c r="O46" i="382"/>
  <c r="N46" i="382"/>
  <c r="M46" i="382"/>
  <c r="L46" i="382"/>
  <c r="K46" i="382"/>
  <c r="J46" i="382"/>
  <c r="B46" i="382"/>
  <c r="A46" i="382"/>
  <c r="B45" i="382"/>
  <c r="A45" i="382"/>
  <c r="B44" i="382"/>
  <c r="A44" i="382"/>
  <c r="B43" i="382"/>
  <c r="A43" i="382"/>
  <c r="B42" i="382"/>
  <c r="A42" i="382"/>
  <c r="B41" i="382"/>
  <c r="A41" i="382"/>
  <c r="B40" i="382"/>
  <c r="A40" i="382"/>
  <c r="B39" i="382"/>
  <c r="A39" i="382"/>
  <c r="B38" i="382"/>
  <c r="A38" i="382"/>
  <c r="B37" i="382"/>
  <c r="A37" i="382"/>
  <c r="B36" i="382"/>
  <c r="A36" i="382"/>
  <c r="B35" i="382"/>
  <c r="A35" i="382"/>
  <c r="P26" i="382"/>
  <c r="P25" i="382"/>
  <c r="P24" i="382"/>
  <c r="P23" i="382"/>
  <c r="P22" i="382"/>
  <c r="P21" i="382"/>
  <c r="P20" i="382"/>
  <c r="P19" i="382"/>
  <c r="P18" i="382"/>
  <c r="O12" i="382"/>
  <c r="N12" i="382"/>
  <c r="P11" i="382"/>
  <c r="O11" i="382"/>
  <c r="N11" i="382"/>
  <c r="Q10" i="382"/>
  <c r="O10" i="382"/>
  <c r="L10" i="382"/>
  <c r="Q9" i="382"/>
  <c r="L9" i="382"/>
  <c r="S58" i="381"/>
  <c r="R58" i="381"/>
  <c r="Q58" i="381"/>
  <c r="P58" i="381"/>
  <c r="O58" i="381"/>
  <c r="N58" i="381"/>
  <c r="M58" i="381"/>
  <c r="L58" i="381"/>
  <c r="K58" i="381"/>
  <c r="J58" i="381"/>
  <c r="B58" i="381"/>
  <c r="A58" i="381"/>
  <c r="S57" i="381"/>
  <c r="R57" i="381"/>
  <c r="Q57" i="381"/>
  <c r="P57" i="381"/>
  <c r="O57" i="381"/>
  <c r="N57" i="381"/>
  <c r="M57" i="381"/>
  <c r="L57" i="381"/>
  <c r="K57" i="381"/>
  <c r="J57" i="381"/>
  <c r="B57" i="381"/>
  <c r="A57" i="381"/>
  <c r="S56" i="381"/>
  <c r="R56" i="381"/>
  <c r="Q56" i="381"/>
  <c r="P56" i="381"/>
  <c r="O56" i="381"/>
  <c r="N56" i="381"/>
  <c r="M56" i="381"/>
  <c r="L56" i="381"/>
  <c r="K56" i="381"/>
  <c r="J56" i="381"/>
  <c r="B56" i="381"/>
  <c r="A56" i="381"/>
  <c r="S55" i="381"/>
  <c r="R55" i="381"/>
  <c r="Q55" i="381"/>
  <c r="P55" i="381"/>
  <c r="O55" i="381"/>
  <c r="N55" i="381"/>
  <c r="M55" i="381"/>
  <c r="L55" i="381"/>
  <c r="K55" i="381"/>
  <c r="J55" i="381"/>
  <c r="B55" i="381"/>
  <c r="A55" i="381"/>
  <c r="S54" i="381"/>
  <c r="R54" i="381"/>
  <c r="Q54" i="381"/>
  <c r="P54" i="381"/>
  <c r="O54" i="381"/>
  <c r="N54" i="381"/>
  <c r="M54" i="381"/>
  <c r="L54" i="381"/>
  <c r="K54" i="381"/>
  <c r="J54" i="381"/>
  <c r="B54" i="381"/>
  <c r="A54" i="381"/>
  <c r="S53" i="381"/>
  <c r="R53" i="381"/>
  <c r="Q53" i="381"/>
  <c r="P53" i="381"/>
  <c r="O53" i="381"/>
  <c r="N53" i="381"/>
  <c r="M53" i="381"/>
  <c r="L53" i="381"/>
  <c r="K53" i="381"/>
  <c r="J53" i="381"/>
  <c r="B53" i="381"/>
  <c r="A53" i="381"/>
  <c r="S52" i="381"/>
  <c r="R52" i="381"/>
  <c r="Q52" i="381"/>
  <c r="P52" i="381"/>
  <c r="O52" i="381"/>
  <c r="N52" i="381"/>
  <c r="M52" i="381"/>
  <c r="L52" i="381"/>
  <c r="K52" i="381"/>
  <c r="J52" i="381"/>
  <c r="B52" i="381"/>
  <c r="A52" i="381"/>
  <c r="S51" i="381"/>
  <c r="R51" i="381"/>
  <c r="Q51" i="381"/>
  <c r="P51" i="381"/>
  <c r="O51" i="381"/>
  <c r="N51" i="381"/>
  <c r="M51" i="381"/>
  <c r="L51" i="381"/>
  <c r="K51" i="381"/>
  <c r="J51" i="381"/>
  <c r="B51" i="381"/>
  <c r="A51" i="381"/>
  <c r="S50" i="381"/>
  <c r="R50" i="381"/>
  <c r="Q50" i="381"/>
  <c r="P50" i="381"/>
  <c r="O50" i="381"/>
  <c r="N50" i="381"/>
  <c r="M50" i="381"/>
  <c r="L50" i="381"/>
  <c r="K50" i="381"/>
  <c r="J50" i="381"/>
  <c r="B50" i="381"/>
  <c r="A50" i="381"/>
  <c r="S49" i="381"/>
  <c r="R49" i="381"/>
  <c r="Q49" i="381"/>
  <c r="P49" i="381"/>
  <c r="O49" i="381"/>
  <c r="N49" i="381"/>
  <c r="M49" i="381"/>
  <c r="L49" i="381"/>
  <c r="K49" i="381"/>
  <c r="J49" i="381"/>
  <c r="B49" i="381"/>
  <c r="A49" i="381"/>
  <c r="R48" i="381"/>
  <c r="Q48" i="381"/>
  <c r="O48" i="381"/>
  <c r="N48" i="381"/>
  <c r="M48" i="381"/>
  <c r="L48" i="381"/>
  <c r="K48" i="381"/>
  <c r="J48" i="381"/>
  <c r="B48" i="381"/>
  <c r="A48" i="381"/>
  <c r="R47" i="381"/>
  <c r="Q47" i="381"/>
  <c r="O47" i="381"/>
  <c r="N47" i="381"/>
  <c r="M47" i="381"/>
  <c r="L47" i="381"/>
  <c r="K47" i="381"/>
  <c r="J47" i="381"/>
  <c r="B47" i="381"/>
  <c r="A47" i="381"/>
  <c r="S46" i="381"/>
  <c r="R46" i="381"/>
  <c r="Q46" i="381"/>
  <c r="P46" i="381"/>
  <c r="O46" i="381"/>
  <c r="N46" i="381"/>
  <c r="M46" i="381"/>
  <c r="L46" i="381"/>
  <c r="K46" i="381"/>
  <c r="J46" i="381"/>
  <c r="B46" i="381"/>
  <c r="A46" i="381"/>
  <c r="B45" i="381"/>
  <c r="A45" i="381"/>
  <c r="B44" i="381"/>
  <c r="A44" i="381"/>
  <c r="B43" i="381"/>
  <c r="A43" i="381"/>
  <c r="B42" i="381"/>
  <c r="A42" i="381"/>
  <c r="B41" i="381"/>
  <c r="A41" i="381"/>
  <c r="B40" i="381"/>
  <c r="A40" i="381"/>
  <c r="B39" i="381"/>
  <c r="A39" i="381"/>
  <c r="B38" i="381"/>
  <c r="A38" i="381"/>
  <c r="B37" i="381"/>
  <c r="A37" i="381"/>
  <c r="B36" i="381"/>
  <c r="A36" i="381"/>
  <c r="B35" i="381"/>
  <c r="A35" i="381"/>
  <c r="P26" i="381"/>
  <c r="P25" i="381"/>
  <c r="P24" i="381"/>
  <c r="P19" i="381" s="1"/>
  <c r="P23" i="381"/>
  <c r="P22" i="381"/>
  <c r="P21" i="381"/>
  <c r="P20" i="381"/>
  <c r="P18" i="381"/>
  <c r="O12" i="381"/>
  <c r="Q10" i="381" s="1"/>
  <c r="N12" i="381"/>
  <c r="P11" i="381"/>
  <c r="O11" i="381"/>
  <c r="Q9" i="381" s="1"/>
  <c r="N11" i="381"/>
  <c r="O10" i="381"/>
  <c r="L10" i="381"/>
  <c r="O9" i="381"/>
  <c r="L9" i="381"/>
  <c r="S58" i="380"/>
  <c r="R58" i="380"/>
  <c r="Q58" i="380"/>
  <c r="P58" i="380"/>
  <c r="O58" i="380"/>
  <c r="N58" i="380"/>
  <c r="M58" i="380"/>
  <c r="L58" i="380"/>
  <c r="K58" i="380"/>
  <c r="J58" i="380"/>
  <c r="B58" i="380"/>
  <c r="A58" i="380"/>
  <c r="S57" i="380"/>
  <c r="R57" i="380"/>
  <c r="Q57" i="380"/>
  <c r="P57" i="380"/>
  <c r="O57" i="380"/>
  <c r="N57" i="380"/>
  <c r="M57" i="380"/>
  <c r="L57" i="380"/>
  <c r="K57" i="380"/>
  <c r="J57" i="380"/>
  <c r="B57" i="380"/>
  <c r="A57" i="380"/>
  <c r="S56" i="380"/>
  <c r="R56" i="380"/>
  <c r="Q56" i="380"/>
  <c r="P56" i="380"/>
  <c r="O56" i="380"/>
  <c r="N56" i="380"/>
  <c r="M56" i="380"/>
  <c r="L56" i="380"/>
  <c r="K56" i="380"/>
  <c r="J56" i="380"/>
  <c r="B56" i="380"/>
  <c r="A56" i="380"/>
  <c r="S55" i="380"/>
  <c r="R55" i="380"/>
  <c r="Q55" i="380"/>
  <c r="P55" i="380"/>
  <c r="O55" i="380"/>
  <c r="N55" i="380"/>
  <c r="M55" i="380"/>
  <c r="L55" i="380"/>
  <c r="K55" i="380"/>
  <c r="J55" i="380"/>
  <c r="B55" i="380"/>
  <c r="A55" i="380"/>
  <c r="S54" i="380"/>
  <c r="R54" i="380"/>
  <c r="Q54" i="380"/>
  <c r="P54" i="380"/>
  <c r="O54" i="380"/>
  <c r="N54" i="380"/>
  <c r="M54" i="380"/>
  <c r="L54" i="380"/>
  <c r="K54" i="380"/>
  <c r="J54" i="380"/>
  <c r="B54" i="380"/>
  <c r="A54" i="380"/>
  <c r="S53" i="380"/>
  <c r="R53" i="380"/>
  <c r="Q53" i="380"/>
  <c r="P53" i="380"/>
  <c r="O53" i="380"/>
  <c r="N53" i="380"/>
  <c r="M53" i="380"/>
  <c r="L53" i="380"/>
  <c r="K53" i="380"/>
  <c r="J53" i="380"/>
  <c r="B53" i="380"/>
  <c r="A53" i="380"/>
  <c r="S52" i="380"/>
  <c r="R52" i="380"/>
  <c r="Q52" i="380"/>
  <c r="P52" i="380"/>
  <c r="O52" i="380"/>
  <c r="N52" i="380"/>
  <c r="M52" i="380"/>
  <c r="L52" i="380"/>
  <c r="K52" i="380"/>
  <c r="J52" i="380"/>
  <c r="B52" i="380"/>
  <c r="A52" i="380"/>
  <c r="S51" i="380"/>
  <c r="R51" i="380"/>
  <c r="Q51" i="380"/>
  <c r="P51" i="380"/>
  <c r="O51" i="380"/>
  <c r="N51" i="380"/>
  <c r="M51" i="380"/>
  <c r="L51" i="380"/>
  <c r="K51" i="380"/>
  <c r="J51" i="380"/>
  <c r="B51" i="380"/>
  <c r="A51" i="380"/>
  <c r="S50" i="380"/>
  <c r="R50" i="380"/>
  <c r="Q50" i="380"/>
  <c r="P50" i="380"/>
  <c r="O50" i="380"/>
  <c r="N50" i="380"/>
  <c r="M50" i="380"/>
  <c r="L50" i="380"/>
  <c r="K50" i="380"/>
  <c r="J50" i="380"/>
  <c r="B50" i="380"/>
  <c r="A50" i="380"/>
  <c r="S49" i="380"/>
  <c r="R49" i="380"/>
  <c r="Q49" i="380"/>
  <c r="P49" i="380"/>
  <c r="O49" i="380"/>
  <c r="N49" i="380"/>
  <c r="M49" i="380"/>
  <c r="L49" i="380"/>
  <c r="K49" i="380"/>
  <c r="J49" i="380"/>
  <c r="B49" i="380"/>
  <c r="A49" i="380"/>
  <c r="R48" i="380"/>
  <c r="Q48" i="380"/>
  <c r="O48" i="380"/>
  <c r="N48" i="380"/>
  <c r="M48" i="380"/>
  <c r="L48" i="380"/>
  <c r="K48" i="380"/>
  <c r="J48" i="380"/>
  <c r="B48" i="380"/>
  <c r="A48" i="380"/>
  <c r="R47" i="380"/>
  <c r="Q47" i="380"/>
  <c r="O47" i="380"/>
  <c r="N47" i="380"/>
  <c r="M47" i="380"/>
  <c r="L47" i="380"/>
  <c r="K47" i="380"/>
  <c r="J47" i="380"/>
  <c r="B47" i="380"/>
  <c r="A47" i="380"/>
  <c r="S46" i="380"/>
  <c r="R46" i="380"/>
  <c r="Q46" i="380"/>
  <c r="P46" i="380"/>
  <c r="O46" i="380"/>
  <c r="N46" i="380"/>
  <c r="M46" i="380"/>
  <c r="L46" i="380"/>
  <c r="K46" i="380"/>
  <c r="J46" i="380"/>
  <c r="B46" i="380"/>
  <c r="A46" i="380"/>
  <c r="B45" i="380"/>
  <c r="A45" i="380"/>
  <c r="B44" i="380"/>
  <c r="A44" i="380"/>
  <c r="B43" i="380"/>
  <c r="A43" i="380"/>
  <c r="B42" i="380"/>
  <c r="A42" i="380"/>
  <c r="B41" i="380"/>
  <c r="A41" i="380"/>
  <c r="B40" i="380"/>
  <c r="A40" i="380"/>
  <c r="B39" i="380"/>
  <c r="A39" i="380"/>
  <c r="B38" i="380"/>
  <c r="A38" i="380"/>
  <c r="B37" i="380"/>
  <c r="A37" i="380"/>
  <c r="B36" i="380"/>
  <c r="A36" i="380"/>
  <c r="B35" i="380"/>
  <c r="A35" i="380"/>
  <c r="P26" i="380"/>
  <c r="P25" i="380"/>
  <c r="P24" i="380"/>
  <c r="P23" i="380"/>
  <c r="P22" i="380"/>
  <c r="P21" i="380"/>
  <c r="P20" i="380"/>
  <c r="P18" i="380"/>
  <c r="P19" i="380" s="1"/>
  <c r="O12" i="380"/>
  <c r="Q10" i="380" s="1"/>
  <c r="N12" i="380"/>
  <c r="P11" i="380"/>
  <c r="O11" i="380"/>
  <c r="N11" i="380"/>
  <c r="O9" i="380" s="1"/>
  <c r="O10" i="380"/>
  <c r="L10" i="380"/>
  <c r="Q9" i="380"/>
  <c r="L9" i="380"/>
  <c r="S58" i="379"/>
  <c r="R58" i="379"/>
  <c r="Q58" i="379"/>
  <c r="P58" i="379"/>
  <c r="O58" i="379"/>
  <c r="N58" i="379"/>
  <c r="M58" i="379"/>
  <c r="L58" i="379"/>
  <c r="K58" i="379"/>
  <c r="J58" i="379"/>
  <c r="B58" i="379"/>
  <c r="A58" i="379"/>
  <c r="S57" i="379"/>
  <c r="R57" i="379"/>
  <c r="Q57" i="379"/>
  <c r="P57" i="379"/>
  <c r="O57" i="379"/>
  <c r="N57" i="379"/>
  <c r="M57" i="379"/>
  <c r="L57" i="379"/>
  <c r="K57" i="379"/>
  <c r="J57" i="379"/>
  <c r="B57" i="379"/>
  <c r="A57" i="379"/>
  <c r="S56" i="379"/>
  <c r="R56" i="379"/>
  <c r="Q56" i="379"/>
  <c r="P56" i="379"/>
  <c r="O56" i="379"/>
  <c r="N56" i="379"/>
  <c r="M56" i="379"/>
  <c r="L56" i="379"/>
  <c r="K56" i="379"/>
  <c r="J56" i="379"/>
  <c r="B56" i="379"/>
  <c r="A56" i="379"/>
  <c r="S55" i="379"/>
  <c r="R55" i="379"/>
  <c r="Q55" i="379"/>
  <c r="P55" i="379"/>
  <c r="O55" i="379"/>
  <c r="N55" i="379"/>
  <c r="M55" i="379"/>
  <c r="L55" i="379"/>
  <c r="K55" i="379"/>
  <c r="J55" i="379"/>
  <c r="B55" i="379"/>
  <c r="A55" i="379"/>
  <c r="S54" i="379"/>
  <c r="R54" i="379"/>
  <c r="Q54" i="379"/>
  <c r="P54" i="379"/>
  <c r="O54" i="379"/>
  <c r="N54" i="379"/>
  <c r="M54" i="379"/>
  <c r="L54" i="379"/>
  <c r="K54" i="379"/>
  <c r="J54" i="379"/>
  <c r="B54" i="379"/>
  <c r="A54" i="379"/>
  <c r="S53" i="379"/>
  <c r="R53" i="379"/>
  <c r="Q53" i="379"/>
  <c r="P53" i="379"/>
  <c r="O53" i="379"/>
  <c r="N53" i="379"/>
  <c r="M53" i="379"/>
  <c r="L53" i="379"/>
  <c r="K53" i="379"/>
  <c r="J53" i="379"/>
  <c r="B53" i="379"/>
  <c r="A53" i="379"/>
  <c r="S52" i="379"/>
  <c r="R52" i="379"/>
  <c r="Q52" i="379"/>
  <c r="P52" i="379"/>
  <c r="O52" i="379"/>
  <c r="N52" i="379"/>
  <c r="M52" i="379"/>
  <c r="L52" i="379"/>
  <c r="K52" i="379"/>
  <c r="J52" i="379"/>
  <c r="B52" i="379"/>
  <c r="A52" i="379"/>
  <c r="S51" i="379"/>
  <c r="R51" i="379"/>
  <c r="Q51" i="379"/>
  <c r="P51" i="379"/>
  <c r="O51" i="379"/>
  <c r="N51" i="379"/>
  <c r="M51" i="379"/>
  <c r="L51" i="379"/>
  <c r="K51" i="379"/>
  <c r="J51" i="379"/>
  <c r="B51" i="379"/>
  <c r="A51" i="379"/>
  <c r="S50" i="379"/>
  <c r="R50" i="379"/>
  <c r="Q50" i="379"/>
  <c r="P50" i="379"/>
  <c r="O50" i="379"/>
  <c r="N50" i="379"/>
  <c r="M50" i="379"/>
  <c r="L50" i="379"/>
  <c r="K50" i="379"/>
  <c r="J50" i="379"/>
  <c r="B50" i="379"/>
  <c r="A50" i="379"/>
  <c r="S49" i="379"/>
  <c r="R49" i="379"/>
  <c r="Q49" i="379"/>
  <c r="P49" i="379"/>
  <c r="O49" i="379"/>
  <c r="N49" i="379"/>
  <c r="M49" i="379"/>
  <c r="L49" i="379"/>
  <c r="K49" i="379"/>
  <c r="J49" i="379"/>
  <c r="B49" i="379"/>
  <c r="A49" i="379"/>
  <c r="R48" i="379"/>
  <c r="Q48" i="379"/>
  <c r="O48" i="379"/>
  <c r="N48" i="379"/>
  <c r="M48" i="379"/>
  <c r="L48" i="379"/>
  <c r="K48" i="379"/>
  <c r="J48" i="379"/>
  <c r="B48" i="379"/>
  <c r="A48" i="379"/>
  <c r="R47" i="379"/>
  <c r="Q47" i="379"/>
  <c r="O47" i="379"/>
  <c r="N47" i="379"/>
  <c r="M47" i="379"/>
  <c r="L47" i="379"/>
  <c r="K47" i="379"/>
  <c r="J47" i="379"/>
  <c r="B47" i="379"/>
  <c r="A47" i="379"/>
  <c r="S46" i="379"/>
  <c r="R46" i="379"/>
  <c r="Q46" i="379"/>
  <c r="P46" i="379"/>
  <c r="O46" i="379"/>
  <c r="N46" i="379"/>
  <c r="M46" i="379"/>
  <c r="L46" i="379"/>
  <c r="K46" i="379"/>
  <c r="J46" i="379"/>
  <c r="B46" i="379"/>
  <c r="A46" i="379"/>
  <c r="B45" i="379"/>
  <c r="A45" i="379"/>
  <c r="B44" i="379"/>
  <c r="A44" i="379"/>
  <c r="B43" i="379"/>
  <c r="A43" i="379"/>
  <c r="B42" i="379"/>
  <c r="A42" i="379"/>
  <c r="B41" i="379"/>
  <c r="A41" i="379"/>
  <c r="B40" i="379"/>
  <c r="A40" i="379"/>
  <c r="B39" i="379"/>
  <c r="A39" i="379"/>
  <c r="B38" i="379"/>
  <c r="A38" i="379"/>
  <c r="B37" i="379"/>
  <c r="A37" i="379"/>
  <c r="B36" i="379"/>
  <c r="A36" i="379"/>
  <c r="B35" i="379"/>
  <c r="A35" i="379"/>
  <c r="P26" i="379"/>
  <c r="P25" i="379"/>
  <c r="P24" i="379"/>
  <c r="P23" i="379"/>
  <c r="P22" i="379"/>
  <c r="P21" i="379"/>
  <c r="P20" i="379"/>
  <c r="P19" i="379"/>
  <c r="P18" i="379"/>
  <c r="O12" i="379"/>
  <c r="Q10" i="379" s="1"/>
  <c r="N12" i="379"/>
  <c r="P11" i="379"/>
  <c r="O11" i="379"/>
  <c r="N11" i="379"/>
  <c r="O10" i="379"/>
  <c r="L10" i="379"/>
  <c r="Q9" i="379"/>
  <c r="L9" i="379"/>
  <c r="O9" i="379" s="1"/>
  <c r="S58" i="378"/>
  <c r="R58" i="378"/>
  <c r="Q58" i="378"/>
  <c r="P58" i="378"/>
  <c r="O58" i="378"/>
  <c r="N58" i="378"/>
  <c r="M58" i="378"/>
  <c r="L58" i="378"/>
  <c r="K58" i="378"/>
  <c r="J58" i="378"/>
  <c r="B58" i="378"/>
  <c r="A58" i="378"/>
  <c r="S57" i="378"/>
  <c r="R57" i="378"/>
  <c r="Q57" i="378"/>
  <c r="P57" i="378"/>
  <c r="O57" i="378"/>
  <c r="N57" i="378"/>
  <c r="M57" i="378"/>
  <c r="L57" i="378"/>
  <c r="K57" i="378"/>
  <c r="J57" i="378"/>
  <c r="B57" i="378"/>
  <c r="A57" i="378"/>
  <c r="S56" i="378"/>
  <c r="R56" i="378"/>
  <c r="Q56" i="378"/>
  <c r="P56" i="378"/>
  <c r="O56" i="378"/>
  <c r="N56" i="378"/>
  <c r="M56" i="378"/>
  <c r="L56" i="378"/>
  <c r="K56" i="378"/>
  <c r="J56" i="378"/>
  <c r="B56" i="378"/>
  <c r="A56" i="378"/>
  <c r="S55" i="378"/>
  <c r="R55" i="378"/>
  <c r="Q55" i="378"/>
  <c r="P55" i="378"/>
  <c r="O55" i="378"/>
  <c r="N55" i="378"/>
  <c r="M55" i="378"/>
  <c r="L55" i="378"/>
  <c r="K55" i="378"/>
  <c r="J55" i="378"/>
  <c r="B55" i="378"/>
  <c r="A55" i="378"/>
  <c r="S54" i="378"/>
  <c r="R54" i="378"/>
  <c r="Q54" i="378"/>
  <c r="P54" i="378"/>
  <c r="O54" i="378"/>
  <c r="N54" i="378"/>
  <c r="M54" i="378"/>
  <c r="L54" i="378"/>
  <c r="K54" i="378"/>
  <c r="J54" i="378"/>
  <c r="B54" i="378"/>
  <c r="A54" i="378"/>
  <c r="S53" i="378"/>
  <c r="R53" i="378"/>
  <c r="Q53" i="378"/>
  <c r="P53" i="378"/>
  <c r="O53" i="378"/>
  <c r="N53" i="378"/>
  <c r="M53" i="378"/>
  <c r="L53" i="378"/>
  <c r="K53" i="378"/>
  <c r="J53" i="378"/>
  <c r="B53" i="378"/>
  <c r="A53" i="378"/>
  <c r="S52" i="378"/>
  <c r="R52" i="378"/>
  <c r="Q52" i="378"/>
  <c r="P52" i="378"/>
  <c r="O52" i="378"/>
  <c r="N52" i="378"/>
  <c r="M52" i="378"/>
  <c r="L52" i="378"/>
  <c r="K52" i="378"/>
  <c r="J52" i="378"/>
  <c r="B52" i="378"/>
  <c r="A52" i="378"/>
  <c r="S51" i="378"/>
  <c r="R51" i="378"/>
  <c r="Q51" i="378"/>
  <c r="P51" i="378"/>
  <c r="O51" i="378"/>
  <c r="N51" i="378"/>
  <c r="M51" i="378"/>
  <c r="L51" i="378"/>
  <c r="K51" i="378"/>
  <c r="J51" i="378"/>
  <c r="B51" i="378"/>
  <c r="A51" i="378"/>
  <c r="S50" i="378"/>
  <c r="R50" i="378"/>
  <c r="Q50" i="378"/>
  <c r="P50" i="378"/>
  <c r="O50" i="378"/>
  <c r="N50" i="378"/>
  <c r="M50" i="378"/>
  <c r="L50" i="378"/>
  <c r="K50" i="378"/>
  <c r="J50" i="378"/>
  <c r="B50" i="378"/>
  <c r="A50" i="378"/>
  <c r="S49" i="378"/>
  <c r="R49" i="378"/>
  <c r="Q49" i="378"/>
  <c r="P49" i="378"/>
  <c r="O49" i="378"/>
  <c r="N49" i="378"/>
  <c r="M49" i="378"/>
  <c r="L49" i="378"/>
  <c r="K49" i="378"/>
  <c r="J49" i="378"/>
  <c r="B49" i="378"/>
  <c r="A49" i="378"/>
  <c r="R48" i="378"/>
  <c r="Q48" i="378"/>
  <c r="O48" i="378"/>
  <c r="N48" i="378"/>
  <c r="M48" i="378"/>
  <c r="L48" i="378"/>
  <c r="K48" i="378"/>
  <c r="J48" i="378"/>
  <c r="B48" i="378"/>
  <c r="A48" i="378"/>
  <c r="R47" i="378"/>
  <c r="Q47" i="378"/>
  <c r="O47" i="378"/>
  <c r="N47" i="378"/>
  <c r="M47" i="378"/>
  <c r="L47" i="378"/>
  <c r="K47" i="378"/>
  <c r="J47" i="378"/>
  <c r="B47" i="378"/>
  <c r="A47" i="378"/>
  <c r="S46" i="378"/>
  <c r="R46" i="378"/>
  <c r="Q46" i="378"/>
  <c r="P46" i="378"/>
  <c r="O46" i="378"/>
  <c r="N46" i="378"/>
  <c r="M46" i="378"/>
  <c r="L46" i="378"/>
  <c r="K46" i="378"/>
  <c r="J46" i="378"/>
  <c r="B46" i="378"/>
  <c r="A46" i="378"/>
  <c r="B45" i="378"/>
  <c r="A45" i="378"/>
  <c r="B44" i="378"/>
  <c r="A44" i="378"/>
  <c r="B43" i="378"/>
  <c r="A43" i="378"/>
  <c r="B42" i="378"/>
  <c r="A42" i="378"/>
  <c r="B41" i="378"/>
  <c r="A41" i="378"/>
  <c r="B40" i="378"/>
  <c r="A40" i="378"/>
  <c r="B39" i="378"/>
  <c r="A39" i="378"/>
  <c r="B38" i="378"/>
  <c r="A38" i="378"/>
  <c r="B37" i="378"/>
  <c r="A37" i="378"/>
  <c r="B36" i="378"/>
  <c r="A36" i="378"/>
  <c r="B35" i="378"/>
  <c r="A35" i="378"/>
  <c r="P26" i="378"/>
  <c r="P25" i="378"/>
  <c r="P24" i="378"/>
  <c r="P19" i="378" s="1"/>
  <c r="P23" i="378"/>
  <c r="P22" i="378"/>
  <c r="P20" i="378"/>
  <c r="P21" i="378" s="1"/>
  <c r="P18" i="378"/>
  <c r="O12" i="378"/>
  <c r="N12" i="378"/>
  <c r="P11" i="378"/>
  <c r="O11" i="378"/>
  <c r="Q9" i="378" s="1"/>
  <c r="N11" i="378"/>
  <c r="Q10" i="378"/>
  <c r="O10" i="378"/>
  <c r="L10" i="378"/>
  <c r="L9" i="378"/>
  <c r="O9" i="378" s="1"/>
  <c r="S58" i="377"/>
  <c r="R58" i="377"/>
  <c r="Q58" i="377"/>
  <c r="P58" i="377"/>
  <c r="O58" i="377"/>
  <c r="N58" i="377"/>
  <c r="M58" i="377"/>
  <c r="L58" i="377"/>
  <c r="K58" i="377"/>
  <c r="J58" i="377"/>
  <c r="B58" i="377"/>
  <c r="A58" i="377"/>
  <c r="S57" i="377"/>
  <c r="R57" i="377"/>
  <c r="Q57" i="377"/>
  <c r="P57" i="377"/>
  <c r="O57" i="377"/>
  <c r="N57" i="377"/>
  <c r="M57" i="377"/>
  <c r="L57" i="377"/>
  <c r="K57" i="377"/>
  <c r="J57" i="377"/>
  <c r="B57" i="377"/>
  <c r="A57" i="377"/>
  <c r="S56" i="377"/>
  <c r="R56" i="377"/>
  <c r="Q56" i="377"/>
  <c r="P56" i="377"/>
  <c r="O56" i="377"/>
  <c r="N56" i="377"/>
  <c r="M56" i="377"/>
  <c r="L56" i="377"/>
  <c r="K56" i="377"/>
  <c r="J56" i="377"/>
  <c r="B56" i="377"/>
  <c r="A56" i="377"/>
  <c r="S55" i="377"/>
  <c r="R55" i="377"/>
  <c r="Q55" i="377"/>
  <c r="P55" i="377"/>
  <c r="O55" i="377"/>
  <c r="N55" i="377"/>
  <c r="M55" i="377"/>
  <c r="L55" i="377"/>
  <c r="K55" i="377"/>
  <c r="J55" i="377"/>
  <c r="B55" i="377"/>
  <c r="A55" i="377"/>
  <c r="S54" i="377"/>
  <c r="R54" i="377"/>
  <c r="Q54" i="377"/>
  <c r="P54" i="377"/>
  <c r="O54" i="377"/>
  <c r="N54" i="377"/>
  <c r="M54" i="377"/>
  <c r="L54" i="377"/>
  <c r="K54" i="377"/>
  <c r="J54" i="377"/>
  <c r="B54" i="377"/>
  <c r="A54" i="377"/>
  <c r="S53" i="377"/>
  <c r="R53" i="377"/>
  <c r="Q53" i="377"/>
  <c r="P53" i="377"/>
  <c r="O53" i="377"/>
  <c r="N53" i="377"/>
  <c r="M53" i="377"/>
  <c r="L53" i="377"/>
  <c r="K53" i="377"/>
  <c r="J53" i="377"/>
  <c r="B53" i="377"/>
  <c r="A53" i="377"/>
  <c r="S52" i="377"/>
  <c r="R52" i="377"/>
  <c r="Q52" i="377"/>
  <c r="P52" i="377"/>
  <c r="O52" i="377"/>
  <c r="N52" i="377"/>
  <c r="M52" i="377"/>
  <c r="L52" i="377"/>
  <c r="K52" i="377"/>
  <c r="J52" i="377"/>
  <c r="B52" i="377"/>
  <c r="A52" i="377"/>
  <c r="S51" i="377"/>
  <c r="R51" i="377"/>
  <c r="Q51" i="377"/>
  <c r="P51" i="377"/>
  <c r="O51" i="377"/>
  <c r="N51" i="377"/>
  <c r="M51" i="377"/>
  <c r="L51" i="377"/>
  <c r="K51" i="377"/>
  <c r="J51" i="377"/>
  <c r="B51" i="377"/>
  <c r="A51" i="377"/>
  <c r="S50" i="377"/>
  <c r="R50" i="377"/>
  <c r="Q50" i="377"/>
  <c r="P50" i="377"/>
  <c r="O50" i="377"/>
  <c r="N50" i="377"/>
  <c r="M50" i="377"/>
  <c r="L50" i="377"/>
  <c r="K50" i="377"/>
  <c r="J50" i="377"/>
  <c r="B50" i="377"/>
  <c r="A50" i="377"/>
  <c r="S49" i="377"/>
  <c r="R49" i="377"/>
  <c r="Q49" i="377"/>
  <c r="P49" i="377"/>
  <c r="O49" i="377"/>
  <c r="N49" i="377"/>
  <c r="M49" i="377"/>
  <c r="L49" i="377"/>
  <c r="K49" i="377"/>
  <c r="J49" i="377"/>
  <c r="B49" i="377"/>
  <c r="A49" i="377"/>
  <c r="R48" i="377"/>
  <c r="Q48" i="377"/>
  <c r="O48" i="377"/>
  <c r="N48" i="377"/>
  <c r="M48" i="377"/>
  <c r="L48" i="377"/>
  <c r="K48" i="377"/>
  <c r="J48" i="377"/>
  <c r="B48" i="377"/>
  <c r="A48" i="377"/>
  <c r="R47" i="377"/>
  <c r="Q47" i="377"/>
  <c r="O47" i="377"/>
  <c r="N47" i="377"/>
  <c r="M47" i="377"/>
  <c r="L47" i="377"/>
  <c r="K47" i="377"/>
  <c r="J47" i="377"/>
  <c r="B47" i="377"/>
  <c r="A47" i="377"/>
  <c r="S46" i="377"/>
  <c r="R46" i="377"/>
  <c r="Q46" i="377"/>
  <c r="P46" i="377"/>
  <c r="O46" i="377"/>
  <c r="N46" i="377"/>
  <c r="M46" i="377"/>
  <c r="L46" i="377"/>
  <c r="K46" i="377"/>
  <c r="J46" i="377"/>
  <c r="B46" i="377"/>
  <c r="A46" i="377"/>
  <c r="B45" i="377"/>
  <c r="A45" i="377"/>
  <c r="B44" i="377"/>
  <c r="A44" i="377"/>
  <c r="B43" i="377"/>
  <c r="A43" i="377"/>
  <c r="B42" i="377"/>
  <c r="A42" i="377"/>
  <c r="B41" i="377"/>
  <c r="A41" i="377"/>
  <c r="B40" i="377"/>
  <c r="A40" i="377"/>
  <c r="B39" i="377"/>
  <c r="A39" i="377"/>
  <c r="B38" i="377"/>
  <c r="A38" i="377"/>
  <c r="B37" i="377"/>
  <c r="A37" i="377"/>
  <c r="B36" i="377"/>
  <c r="A36" i="377"/>
  <c r="B35" i="377"/>
  <c r="A35" i="377"/>
  <c r="P26" i="377"/>
  <c r="P25" i="377"/>
  <c r="P24" i="377"/>
  <c r="P23" i="377"/>
  <c r="P22" i="377"/>
  <c r="P21" i="377"/>
  <c r="P20" i="377"/>
  <c r="P19" i="377"/>
  <c r="P18" i="377"/>
  <c r="O12" i="377"/>
  <c r="Q10" i="377" s="1"/>
  <c r="N12" i="377"/>
  <c r="P11" i="377"/>
  <c r="O11" i="377"/>
  <c r="N11" i="377"/>
  <c r="O10" i="377"/>
  <c r="L10" i="377"/>
  <c r="Q9" i="377"/>
  <c r="L9" i="377"/>
  <c r="O9" i="377" s="1"/>
  <c r="S58" i="376"/>
  <c r="R58" i="376"/>
  <c r="Q58" i="376"/>
  <c r="P58" i="376"/>
  <c r="O58" i="376"/>
  <c r="N58" i="376"/>
  <c r="M58" i="376"/>
  <c r="L58" i="376"/>
  <c r="K58" i="376"/>
  <c r="J58" i="376"/>
  <c r="B58" i="376"/>
  <c r="A58" i="376"/>
  <c r="S57" i="376"/>
  <c r="R57" i="376"/>
  <c r="Q57" i="376"/>
  <c r="P57" i="376"/>
  <c r="O57" i="376"/>
  <c r="N57" i="376"/>
  <c r="M57" i="376"/>
  <c r="L57" i="376"/>
  <c r="K57" i="376"/>
  <c r="J57" i="376"/>
  <c r="B57" i="376"/>
  <c r="A57" i="376"/>
  <c r="S56" i="376"/>
  <c r="R56" i="376"/>
  <c r="Q56" i="376"/>
  <c r="P56" i="376"/>
  <c r="O56" i="376"/>
  <c r="N56" i="376"/>
  <c r="M56" i="376"/>
  <c r="L56" i="376"/>
  <c r="K56" i="376"/>
  <c r="J56" i="376"/>
  <c r="B56" i="376"/>
  <c r="A56" i="376"/>
  <c r="S55" i="376"/>
  <c r="R55" i="376"/>
  <c r="Q55" i="376"/>
  <c r="P55" i="376"/>
  <c r="O55" i="376"/>
  <c r="N55" i="376"/>
  <c r="M55" i="376"/>
  <c r="L55" i="376"/>
  <c r="K55" i="376"/>
  <c r="J55" i="376"/>
  <c r="B55" i="376"/>
  <c r="A55" i="376"/>
  <c r="S54" i="376"/>
  <c r="R54" i="376"/>
  <c r="Q54" i="376"/>
  <c r="P54" i="376"/>
  <c r="O54" i="376"/>
  <c r="N54" i="376"/>
  <c r="M54" i="376"/>
  <c r="L54" i="376"/>
  <c r="K54" i="376"/>
  <c r="J54" i="376"/>
  <c r="B54" i="376"/>
  <c r="A54" i="376"/>
  <c r="S53" i="376"/>
  <c r="R53" i="376"/>
  <c r="Q53" i="376"/>
  <c r="P53" i="376"/>
  <c r="O53" i="376"/>
  <c r="N53" i="376"/>
  <c r="M53" i="376"/>
  <c r="L53" i="376"/>
  <c r="K53" i="376"/>
  <c r="J53" i="376"/>
  <c r="B53" i="376"/>
  <c r="A53" i="376"/>
  <c r="S52" i="376"/>
  <c r="R52" i="376"/>
  <c r="Q52" i="376"/>
  <c r="P52" i="376"/>
  <c r="O52" i="376"/>
  <c r="N52" i="376"/>
  <c r="M52" i="376"/>
  <c r="L52" i="376"/>
  <c r="K52" i="376"/>
  <c r="J52" i="376"/>
  <c r="B52" i="376"/>
  <c r="A52" i="376"/>
  <c r="S51" i="376"/>
  <c r="R51" i="376"/>
  <c r="Q51" i="376"/>
  <c r="P51" i="376"/>
  <c r="O51" i="376"/>
  <c r="N51" i="376"/>
  <c r="M51" i="376"/>
  <c r="L51" i="376"/>
  <c r="K51" i="376"/>
  <c r="J51" i="376"/>
  <c r="B51" i="376"/>
  <c r="A51" i="376"/>
  <c r="S50" i="376"/>
  <c r="R50" i="376"/>
  <c r="Q50" i="376"/>
  <c r="P50" i="376"/>
  <c r="O50" i="376"/>
  <c r="N50" i="376"/>
  <c r="M50" i="376"/>
  <c r="L50" i="376"/>
  <c r="K50" i="376"/>
  <c r="J50" i="376"/>
  <c r="B50" i="376"/>
  <c r="A50" i="376"/>
  <c r="S49" i="376"/>
  <c r="R49" i="376"/>
  <c r="Q49" i="376"/>
  <c r="P49" i="376"/>
  <c r="O49" i="376"/>
  <c r="N49" i="376"/>
  <c r="M49" i="376"/>
  <c r="L49" i="376"/>
  <c r="K49" i="376"/>
  <c r="J49" i="376"/>
  <c r="B49" i="376"/>
  <c r="A49" i="376"/>
  <c r="R48" i="376"/>
  <c r="Q48" i="376"/>
  <c r="O48" i="376"/>
  <c r="N48" i="376"/>
  <c r="M48" i="376"/>
  <c r="L48" i="376"/>
  <c r="K48" i="376"/>
  <c r="J48" i="376"/>
  <c r="B48" i="376"/>
  <c r="A48" i="376"/>
  <c r="R47" i="376"/>
  <c r="Q47" i="376"/>
  <c r="O47" i="376"/>
  <c r="N47" i="376"/>
  <c r="M47" i="376"/>
  <c r="L47" i="376"/>
  <c r="K47" i="376"/>
  <c r="J47" i="376"/>
  <c r="B47" i="376"/>
  <c r="A47" i="376"/>
  <c r="S46" i="376"/>
  <c r="R46" i="376"/>
  <c r="Q46" i="376"/>
  <c r="P46" i="376"/>
  <c r="O46" i="376"/>
  <c r="N46" i="376"/>
  <c r="M46" i="376"/>
  <c r="L46" i="376"/>
  <c r="K46" i="376"/>
  <c r="J46" i="376"/>
  <c r="B46" i="376"/>
  <c r="A46" i="376"/>
  <c r="B45" i="376"/>
  <c r="A45" i="376"/>
  <c r="B44" i="376"/>
  <c r="A44" i="376"/>
  <c r="B43" i="376"/>
  <c r="A43" i="376"/>
  <c r="B42" i="376"/>
  <c r="A42" i="376"/>
  <c r="B41" i="376"/>
  <c r="A41" i="376"/>
  <c r="B40" i="376"/>
  <c r="A40" i="376"/>
  <c r="B39" i="376"/>
  <c r="A39" i="376"/>
  <c r="B38" i="376"/>
  <c r="A38" i="376"/>
  <c r="B37" i="376"/>
  <c r="A37" i="376"/>
  <c r="B36" i="376"/>
  <c r="A36" i="376"/>
  <c r="B35" i="376"/>
  <c r="A35" i="376"/>
  <c r="P26" i="376"/>
  <c r="P25" i="376"/>
  <c r="P24" i="376"/>
  <c r="P23" i="376"/>
  <c r="P22" i="376"/>
  <c r="P21" i="376"/>
  <c r="P20" i="376"/>
  <c r="P19" i="376"/>
  <c r="P18" i="376"/>
  <c r="O12" i="376"/>
  <c r="Q10" i="376" s="1"/>
  <c r="N12" i="376"/>
  <c r="P11" i="376"/>
  <c r="O11" i="376"/>
  <c r="Q9" i="376" s="1"/>
  <c r="N11" i="376"/>
  <c r="O9" i="376" s="1"/>
  <c r="O10" i="376"/>
  <c r="L10" i="376"/>
  <c r="L9" i="376"/>
  <c r="S58" i="375"/>
  <c r="R58" i="375"/>
  <c r="Q58" i="375"/>
  <c r="P58" i="375"/>
  <c r="O58" i="375"/>
  <c r="N58" i="375"/>
  <c r="M58" i="375"/>
  <c r="L58" i="375"/>
  <c r="K58" i="375"/>
  <c r="J58" i="375"/>
  <c r="B58" i="375"/>
  <c r="A58" i="375"/>
  <c r="S57" i="375"/>
  <c r="R57" i="375"/>
  <c r="Q57" i="375"/>
  <c r="P57" i="375"/>
  <c r="O57" i="375"/>
  <c r="N57" i="375"/>
  <c r="M57" i="375"/>
  <c r="L57" i="375"/>
  <c r="K57" i="375"/>
  <c r="J57" i="375"/>
  <c r="B57" i="375"/>
  <c r="A57" i="375"/>
  <c r="S56" i="375"/>
  <c r="R56" i="375"/>
  <c r="Q56" i="375"/>
  <c r="P56" i="375"/>
  <c r="O56" i="375"/>
  <c r="N56" i="375"/>
  <c r="M56" i="375"/>
  <c r="L56" i="375"/>
  <c r="K56" i="375"/>
  <c r="J56" i="375"/>
  <c r="B56" i="375"/>
  <c r="A56" i="375"/>
  <c r="S55" i="375"/>
  <c r="R55" i="375"/>
  <c r="Q55" i="375"/>
  <c r="P55" i="375"/>
  <c r="O55" i="375"/>
  <c r="N55" i="375"/>
  <c r="M55" i="375"/>
  <c r="L55" i="375"/>
  <c r="K55" i="375"/>
  <c r="J55" i="375"/>
  <c r="B55" i="375"/>
  <c r="A55" i="375"/>
  <c r="S54" i="375"/>
  <c r="R54" i="375"/>
  <c r="Q54" i="375"/>
  <c r="P54" i="375"/>
  <c r="O54" i="375"/>
  <c r="N54" i="375"/>
  <c r="M54" i="375"/>
  <c r="L54" i="375"/>
  <c r="K54" i="375"/>
  <c r="J54" i="375"/>
  <c r="B54" i="375"/>
  <c r="A54" i="375"/>
  <c r="S53" i="375"/>
  <c r="R53" i="375"/>
  <c r="Q53" i="375"/>
  <c r="P53" i="375"/>
  <c r="O53" i="375"/>
  <c r="N53" i="375"/>
  <c r="M53" i="375"/>
  <c r="L53" i="375"/>
  <c r="K53" i="375"/>
  <c r="J53" i="375"/>
  <c r="B53" i="375"/>
  <c r="A53" i="375"/>
  <c r="S52" i="375"/>
  <c r="R52" i="375"/>
  <c r="Q52" i="375"/>
  <c r="P52" i="375"/>
  <c r="O52" i="375"/>
  <c r="N52" i="375"/>
  <c r="M52" i="375"/>
  <c r="L52" i="375"/>
  <c r="K52" i="375"/>
  <c r="J52" i="375"/>
  <c r="B52" i="375"/>
  <c r="A52" i="375"/>
  <c r="S51" i="375"/>
  <c r="R51" i="375"/>
  <c r="Q51" i="375"/>
  <c r="P51" i="375"/>
  <c r="O51" i="375"/>
  <c r="N51" i="375"/>
  <c r="M51" i="375"/>
  <c r="L51" i="375"/>
  <c r="K51" i="375"/>
  <c r="J51" i="375"/>
  <c r="B51" i="375"/>
  <c r="A51" i="375"/>
  <c r="S50" i="375"/>
  <c r="R50" i="375"/>
  <c r="Q50" i="375"/>
  <c r="P50" i="375"/>
  <c r="O50" i="375"/>
  <c r="N50" i="375"/>
  <c r="M50" i="375"/>
  <c r="L50" i="375"/>
  <c r="K50" i="375"/>
  <c r="J50" i="375"/>
  <c r="B50" i="375"/>
  <c r="A50" i="375"/>
  <c r="S49" i="375"/>
  <c r="R49" i="375"/>
  <c r="Q49" i="375"/>
  <c r="P49" i="375"/>
  <c r="O49" i="375"/>
  <c r="N49" i="375"/>
  <c r="M49" i="375"/>
  <c r="L49" i="375"/>
  <c r="K49" i="375"/>
  <c r="J49" i="375"/>
  <c r="B49" i="375"/>
  <c r="A49" i="375"/>
  <c r="R48" i="375"/>
  <c r="Q48" i="375"/>
  <c r="O48" i="375"/>
  <c r="N48" i="375"/>
  <c r="M48" i="375"/>
  <c r="L48" i="375"/>
  <c r="K48" i="375"/>
  <c r="J48" i="375"/>
  <c r="B48" i="375"/>
  <c r="A48" i="375"/>
  <c r="R47" i="375"/>
  <c r="Q47" i="375"/>
  <c r="O47" i="375"/>
  <c r="N47" i="375"/>
  <c r="M47" i="375"/>
  <c r="L47" i="375"/>
  <c r="K47" i="375"/>
  <c r="J47" i="375"/>
  <c r="B47" i="375"/>
  <c r="A47" i="375"/>
  <c r="S46" i="375"/>
  <c r="R46" i="375"/>
  <c r="Q46" i="375"/>
  <c r="P46" i="375"/>
  <c r="O46" i="375"/>
  <c r="N46" i="375"/>
  <c r="M46" i="375"/>
  <c r="L46" i="375"/>
  <c r="K46" i="375"/>
  <c r="J46" i="375"/>
  <c r="B46" i="375"/>
  <c r="A46" i="375"/>
  <c r="B45" i="375"/>
  <c r="A45" i="375"/>
  <c r="B44" i="375"/>
  <c r="A44" i="375"/>
  <c r="B43" i="375"/>
  <c r="A43" i="375"/>
  <c r="B42" i="375"/>
  <c r="A42" i="375"/>
  <c r="B41" i="375"/>
  <c r="A41" i="375"/>
  <c r="B40" i="375"/>
  <c r="A40" i="375"/>
  <c r="B39" i="375"/>
  <c r="A39" i="375"/>
  <c r="B38" i="375"/>
  <c r="A38" i="375"/>
  <c r="B37" i="375"/>
  <c r="A37" i="375"/>
  <c r="B36" i="375"/>
  <c r="A36" i="375"/>
  <c r="B35" i="375"/>
  <c r="A35" i="375"/>
  <c r="P26" i="375"/>
  <c r="P25" i="375"/>
  <c r="P24" i="375"/>
  <c r="P19" i="375" s="1"/>
  <c r="P23" i="375"/>
  <c r="P22" i="375"/>
  <c r="P20" i="375"/>
  <c r="P21" i="375" s="1"/>
  <c r="P18" i="375"/>
  <c r="O12" i="375"/>
  <c r="N12" i="375"/>
  <c r="O10" i="375" s="1"/>
  <c r="P11" i="375"/>
  <c r="O11" i="375"/>
  <c r="N11" i="375"/>
  <c r="Q10" i="375"/>
  <c r="L10" i="375"/>
  <c r="Q9" i="375"/>
  <c r="O9" i="375"/>
  <c r="L9" i="375"/>
  <c r="S58" i="374"/>
  <c r="R58" i="374"/>
  <c r="Q58" i="374"/>
  <c r="P58" i="374"/>
  <c r="O58" i="374"/>
  <c r="N58" i="374"/>
  <c r="M58" i="374"/>
  <c r="L58" i="374"/>
  <c r="K58" i="374"/>
  <c r="J58" i="374"/>
  <c r="B58" i="374"/>
  <c r="A58" i="374"/>
  <c r="S57" i="374"/>
  <c r="R57" i="374"/>
  <c r="Q57" i="374"/>
  <c r="P57" i="374"/>
  <c r="O57" i="374"/>
  <c r="N57" i="374"/>
  <c r="M57" i="374"/>
  <c r="L57" i="374"/>
  <c r="K57" i="374"/>
  <c r="J57" i="374"/>
  <c r="B57" i="374"/>
  <c r="A57" i="374"/>
  <c r="S56" i="374"/>
  <c r="R56" i="374"/>
  <c r="Q56" i="374"/>
  <c r="P56" i="374"/>
  <c r="O56" i="374"/>
  <c r="N56" i="374"/>
  <c r="M56" i="374"/>
  <c r="L56" i="374"/>
  <c r="K56" i="374"/>
  <c r="J56" i="374"/>
  <c r="B56" i="374"/>
  <c r="A56" i="374"/>
  <c r="S55" i="374"/>
  <c r="R55" i="374"/>
  <c r="Q55" i="374"/>
  <c r="P55" i="374"/>
  <c r="O55" i="374"/>
  <c r="N55" i="374"/>
  <c r="M55" i="374"/>
  <c r="L55" i="374"/>
  <c r="K55" i="374"/>
  <c r="J55" i="374"/>
  <c r="B55" i="374"/>
  <c r="A55" i="374"/>
  <c r="S54" i="374"/>
  <c r="R54" i="374"/>
  <c r="Q54" i="374"/>
  <c r="P54" i="374"/>
  <c r="O54" i="374"/>
  <c r="N54" i="374"/>
  <c r="M54" i="374"/>
  <c r="L54" i="374"/>
  <c r="K54" i="374"/>
  <c r="J54" i="374"/>
  <c r="B54" i="374"/>
  <c r="A54" i="374"/>
  <c r="S53" i="374"/>
  <c r="R53" i="374"/>
  <c r="Q53" i="374"/>
  <c r="P53" i="374"/>
  <c r="O53" i="374"/>
  <c r="N53" i="374"/>
  <c r="M53" i="374"/>
  <c r="L53" i="374"/>
  <c r="K53" i="374"/>
  <c r="J53" i="374"/>
  <c r="B53" i="374"/>
  <c r="A53" i="374"/>
  <c r="S52" i="374"/>
  <c r="R52" i="374"/>
  <c r="Q52" i="374"/>
  <c r="P52" i="374"/>
  <c r="O52" i="374"/>
  <c r="N52" i="374"/>
  <c r="M52" i="374"/>
  <c r="L52" i="374"/>
  <c r="K52" i="374"/>
  <c r="J52" i="374"/>
  <c r="B52" i="374"/>
  <c r="A52" i="374"/>
  <c r="S51" i="374"/>
  <c r="R51" i="374"/>
  <c r="Q51" i="374"/>
  <c r="P51" i="374"/>
  <c r="O51" i="374"/>
  <c r="N51" i="374"/>
  <c r="M51" i="374"/>
  <c r="L51" i="374"/>
  <c r="K51" i="374"/>
  <c r="J51" i="374"/>
  <c r="B51" i="374"/>
  <c r="A51" i="374"/>
  <c r="S50" i="374"/>
  <c r="R50" i="374"/>
  <c r="Q50" i="374"/>
  <c r="P50" i="374"/>
  <c r="O50" i="374"/>
  <c r="N50" i="374"/>
  <c r="M50" i="374"/>
  <c r="L50" i="374"/>
  <c r="K50" i="374"/>
  <c r="J50" i="374"/>
  <c r="B50" i="374"/>
  <c r="A50" i="374"/>
  <c r="S49" i="374"/>
  <c r="R49" i="374"/>
  <c r="Q49" i="374"/>
  <c r="P49" i="374"/>
  <c r="O49" i="374"/>
  <c r="N49" i="374"/>
  <c r="M49" i="374"/>
  <c r="L49" i="374"/>
  <c r="K49" i="374"/>
  <c r="J49" i="374"/>
  <c r="B49" i="374"/>
  <c r="A49" i="374"/>
  <c r="R48" i="374"/>
  <c r="Q48" i="374"/>
  <c r="O48" i="374"/>
  <c r="N48" i="374"/>
  <c r="M48" i="374"/>
  <c r="L48" i="374"/>
  <c r="K48" i="374"/>
  <c r="J48" i="374"/>
  <c r="B48" i="374"/>
  <c r="A48" i="374"/>
  <c r="R47" i="374"/>
  <c r="Q47" i="374"/>
  <c r="O47" i="374"/>
  <c r="N47" i="374"/>
  <c r="M47" i="374"/>
  <c r="L47" i="374"/>
  <c r="K47" i="374"/>
  <c r="J47" i="374"/>
  <c r="B47" i="374"/>
  <c r="A47" i="374"/>
  <c r="S46" i="374"/>
  <c r="R46" i="374"/>
  <c r="Q46" i="374"/>
  <c r="P46" i="374"/>
  <c r="O46" i="374"/>
  <c r="N46" i="374"/>
  <c r="M46" i="374"/>
  <c r="L46" i="374"/>
  <c r="K46" i="374"/>
  <c r="J46" i="374"/>
  <c r="B46" i="374"/>
  <c r="A46" i="374"/>
  <c r="B45" i="374"/>
  <c r="A45" i="374"/>
  <c r="B44" i="374"/>
  <c r="A44" i="374"/>
  <c r="B43" i="374"/>
  <c r="A43" i="374"/>
  <c r="B42" i="374"/>
  <c r="A42" i="374"/>
  <c r="B41" i="374"/>
  <c r="A41" i="374"/>
  <c r="B40" i="374"/>
  <c r="A40" i="374"/>
  <c r="B39" i="374"/>
  <c r="A39" i="374"/>
  <c r="B38" i="374"/>
  <c r="A38" i="374"/>
  <c r="B37" i="374"/>
  <c r="A37" i="374"/>
  <c r="B36" i="374"/>
  <c r="A36" i="374"/>
  <c r="B35" i="374"/>
  <c r="A35" i="374"/>
  <c r="P26" i="374"/>
  <c r="P25" i="374"/>
  <c r="P24" i="374"/>
  <c r="P23" i="374"/>
  <c r="P22" i="374"/>
  <c r="P21" i="374"/>
  <c r="P20" i="374"/>
  <c r="P19" i="374"/>
  <c r="P18" i="374"/>
  <c r="O12" i="374"/>
  <c r="Q10" i="374" s="1"/>
  <c r="N12" i="374"/>
  <c r="P11" i="374"/>
  <c r="O11" i="374"/>
  <c r="N11" i="374"/>
  <c r="O9" i="374" s="1"/>
  <c r="O10" i="374"/>
  <c r="L10" i="374"/>
  <c r="Q9" i="374"/>
  <c r="L9" i="374"/>
  <c r="S58" i="373"/>
  <c r="R58" i="373"/>
  <c r="Q58" i="373"/>
  <c r="P58" i="373"/>
  <c r="O58" i="373"/>
  <c r="N58" i="373"/>
  <c r="M58" i="373"/>
  <c r="L58" i="373"/>
  <c r="K58" i="373"/>
  <c r="J58" i="373"/>
  <c r="B58" i="373"/>
  <c r="A58" i="373"/>
  <c r="S57" i="373"/>
  <c r="R57" i="373"/>
  <c r="Q57" i="373"/>
  <c r="P57" i="373"/>
  <c r="O57" i="373"/>
  <c r="N57" i="373"/>
  <c r="M57" i="373"/>
  <c r="L57" i="373"/>
  <c r="K57" i="373"/>
  <c r="J57" i="373"/>
  <c r="B57" i="373"/>
  <c r="A57" i="373"/>
  <c r="S56" i="373"/>
  <c r="R56" i="373"/>
  <c r="Q56" i="373"/>
  <c r="P56" i="373"/>
  <c r="O56" i="373"/>
  <c r="N56" i="373"/>
  <c r="M56" i="373"/>
  <c r="L56" i="373"/>
  <c r="K56" i="373"/>
  <c r="J56" i="373"/>
  <c r="B56" i="373"/>
  <c r="A56" i="373"/>
  <c r="S55" i="373"/>
  <c r="R55" i="373"/>
  <c r="Q55" i="373"/>
  <c r="P55" i="373"/>
  <c r="O55" i="373"/>
  <c r="N55" i="373"/>
  <c r="M55" i="373"/>
  <c r="L55" i="373"/>
  <c r="K55" i="373"/>
  <c r="J55" i="373"/>
  <c r="B55" i="373"/>
  <c r="A55" i="373"/>
  <c r="S54" i="373"/>
  <c r="R54" i="373"/>
  <c r="Q54" i="373"/>
  <c r="P54" i="373"/>
  <c r="O54" i="373"/>
  <c r="N54" i="373"/>
  <c r="M54" i="373"/>
  <c r="L54" i="373"/>
  <c r="K54" i="373"/>
  <c r="J54" i="373"/>
  <c r="B54" i="373"/>
  <c r="A54" i="373"/>
  <c r="S53" i="373"/>
  <c r="R53" i="373"/>
  <c r="Q53" i="373"/>
  <c r="P53" i="373"/>
  <c r="O53" i="373"/>
  <c r="N53" i="373"/>
  <c r="M53" i="373"/>
  <c r="L53" i="373"/>
  <c r="K53" i="373"/>
  <c r="J53" i="373"/>
  <c r="B53" i="373"/>
  <c r="A53" i="373"/>
  <c r="S52" i="373"/>
  <c r="R52" i="373"/>
  <c r="Q52" i="373"/>
  <c r="P52" i="373"/>
  <c r="O52" i="373"/>
  <c r="N52" i="373"/>
  <c r="M52" i="373"/>
  <c r="L52" i="373"/>
  <c r="K52" i="373"/>
  <c r="J52" i="373"/>
  <c r="B52" i="373"/>
  <c r="A52" i="373"/>
  <c r="S51" i="373"/>
  <c r="R51" i="373"/>
  <c r="Q51" i="373"/>
  <c r="P51" i="373"/>
  <c r="O51" i="373"/>
  <c r="N51" i="373"/>
  <c r="M51" i="373"/>
  <c r="L51" i="373"/>
  <c r="K51" i="373"/>
  <c r="J51" i="373"/>
  <c r="B51" i="373"/>
  <c r="A51" i="373"/>
  <c r="S50" i="373"/>
  <c r="R50" i="373"/>
  <c r="Q50" i="373"/>
  <c r="P50" i="373"/>
  <c r="O50" i="373"/>
  <c r="N50" i="373"/>
  <c r="M50" i="373"/>
  <c r="L50" i="373"/>
  <c r="K50" i="373"/>
  <c r="J50" i="373"/>
  <c r="B50" i="373"/>
  <c r="A50" i="373"/>
  <c r="S49" i="373"/>
  <c r="R49" i="373"/>
  <c r="Q49" i="373"/>
  <c r="P49" i="373"/>
  <c r="O49" i="373"/>
  <c r="N49" i="373"/>
  <c r="M49" i="373"/>
  <c r="L49" i="373"/>
  <c r="K49" i="373"/>
  <c r="J49" i="373"/>
  <c r="B49" i="373"/>
  <c r="A49" i="373"/>
  <c r="R48" i="373"/>
  <c r="Q48" i="373"/>
  <c r="O48" i="373"/>
  <c r="N48" i="373"/>
  <c r="M48" i="373"/>
  <c r="L48" i="373"/>
  <c r="K48" i="373"/>
  <c r="J48" i="373"/>
  <c r="B48" i="373"/>
  <c r="A48" i="373"/>
  <c r="R47" i="373"/>
  <c r="Q47" i="373"/>
  <c r="O47" i="373"/>
  <c r="N47" i="373"/>
  <c r="M47" i="373"/>
  <c r="L47" i="373"/>
  <c r="K47" i="373"/>
  <c r="J47" i="373"/>
  <c r="B47" i="373"/>
  <c r="A47" i="373"/>
  <c r="S46" i="373"/>
  <c r="R46" i="373"/>
  <c r="Q46" i="373"/>
  <c r="P46" i="373"/>
  <c r="O46" i="373"/>
  <c r="N46" i="373"/>
  <c r="M46" i="373"/>
  <c r="L46" i="373"/>
  <c r="K46" i="373"/>
  <c r="J46" i="373"/>
  <c r="B46" i="373"/>
  <c r="A46" i="373"/>
  <c r="B45" i="373"/>
  <c r="A45" i="373"/>
  <c r="B44" i="373"/>
  <c r="A44" i="373"/>
  <c r="B43" i="373"/>
  <c r="A43" i="373"/>
  <c r="B42" i="373"/>
  <c r="A42" i="373"/>
  <c r="B41" i="373"/>
  <c r="A41" i="373"/>
  <c r="B40" i="373"/>
  <c r="A40" i="373"/>
  <c r="B39" i="373"/>
  <c r="A39" i="373"/>
  <c r="B38" i="373"/>
  <c r="A38" i="373"/>
  <c r="B37" i="373"/>
  <c r="A37" i="373"/>
  <c r="B36" i="373"/>
  <c r="A36" i="373"/>
  <c r="B35" i="373"/>
  <c r="A35" i="373"/>
  <c r="P26" i="373"/>
  <c r="P25" i="373"/>
  <c r="P24" i="373"/>
  <c r="P23" i="373"/>
  <c r="P22" i="373"/>
  <c r="P20" i="373"/>
  <c r="P21" i="373" s="1"/>
  <c r="P19" i="373"/>
  <c r="P18" i="373"/>
  <c r="O12" i="373"/>
  <c r="N12" i="373"/>
  <c r="O10" i="373" s="1"/>
  <c r="P11" i="373"/>
  <c r="O11" i="373"/>
  <c r="Q9" i="373" s="1"/>
  <c r="N11" i="373"/>
  <c r="Q10" i="373"/>
  <c r="L10" i="373"/>
  <c r="O9" i="373"/>
  <c r="L9" i="373"/>
  <c r="S58" i="372"/>
  <c r="R58" i="372"/>
  <c r="Q58" i="372"/>
  <c r="P58" i="372"/>
  <c r="O58" i="372"/>
  <c r="N58" i="372"/>
  <c r="M58" i="372"/>
  <c r="L58" i="372"/>
  <c r="K58" i="372"/>
  <c r="J58" i="372"/>
  <c r="B58" i="372"/>
  <c r="A58" i="372"/>
  <c r="S57" i="372"/>
  <c r="R57" i="372"/>
  <c r="Q57" i="372"/>
  <c r="P57" i="372"/>
  <c r="O57" i="372"/>
  <c r="N57" i="372"/>
  <c r="M57" i="372"/>
  <c r="L57" i="372"/>
  <c r="K57" i="372"/>
  <c r="J57" i="372"/>
  <c r="B57" i="372"/>
  <c r="A57" i="372"/>
  <c r="S56" i="372"/>
  <c r="R56" i="372"/>
  <c r="Q56" i="372"/>
  <c r="P56" i="372"/>
  <c r="O56" i="372"/>
  <c r="N56" i="372"/>
  <c r="M56" i="372"/>
  <c r="L56" i="372"/>
  <c r="K56" i="372"/>
  <c r="J56" i="372"/>
  <c r="B56" i="372"/>
  <c r="A56" i="372"/>
  <c r="S55" i="372"/>
  <c r="R55" i="372"/>
  <c r="Q55" i="372"/>
  <c r="P55" i="372"/>
  <c r="O55" i="372"/>
  <c r="N55" i="372"/>
  <c r="M55" i="372"/>
  <c r="L55" i="372"/>
  <c r="K55" i="372"/>
  <c r="J55" i="372"/>
  <c r="B55" i="372"/>
  <c r="A55" i="372"/>
  <c r="S54" i="372"/>
  <c r="R54" i="372"/>
  <c r="Q54" i="372"/>
  <c r="P54" i="372"/>
  <c r="O54" i="372"/>
  <c r="N54" i="372"/>
  <c r="M54" i="372"/>
  <c r="L54" i="372"/>
  <c r="K54" i="372"/>
  <c r="J54" i="372"/>
  <c r="B54" i="372"/>
  <c r="A54" i="372"/>
  <c r="S53" i="372"/>
  <c r="R53" i="372"/>
  <c r="Q53" i="372"/>
  <c r="P53" i="372"/>
  <c r="O53" i="372"/>
  <c r="N53" i="372"/>
  <c r="M53" i="372"/>
  <c r="L53" i="372"/>
  <c r="K53" i="372"/>
  <c r="J53" i="372"/>
  <c r="B53" i="372"/>
  <c r="A53" i="372"/>
  <c r="S52" i="372"/>
  <c r="R52" i="372"/>
  <c r="Q52" i="372"/>
  <c r="P52" i="372"/>
  <c r="O52" i="372"/>
  <c r="N52" i="372"/>
  <c r="M52" i="372"/>
  <c r="L52" i="372"/>
  <c r="K52" i="372"/>
  <c r="J52" i="372"/>
  <c r="B52" i="372"/>
  <c r="A52" i="372"/>
  <c r="S51" i="372"/>
  <c r="R51" i="372"/>
  <c r="Q51" i="372"/>
  <c r="P51" i="372"/>
  <c r="O51" i="372"/>
  <c r="N51" i="372"/>
  <c r="M51" i="372"/>
  <c r="L51" i="372"/>
  <c r="K51" i="372"/>
  <c r="J51" i="372"/>
  <c r="B51" i="372"/>
  <c r="A51" i="372"/>
  <c r="S50" i="372"/>
  <c r="R50" i="372"/>
  <c r="Q50" i="372"/>
  <c r="P50" i="372"/>
  <c r="O50" i="372"/>
  <c r="N50" i="372"/>
  <c r="M50" i="372"/>
  <c r="L50" i="372"/>
  <c r="K50" i="372"/>
  <c r="J50" i="372"/>
  <c r="B50" i="372"/>
  <c r="A50" i="372"/>
  <c r="S49" i="372"/>
  <c r="R49" i="372"/>
  <c r="Q49" i="372"/>
  <c r="P49" i="372"/>
  <c r="O49" i="372"/>
  <c r="N49" i="372"/>
  <c r="M49" i="372"/>
  <c r="L49" i="372"/>
  <c r="K49" i="372"/>
  <c r="J49" i="372"/>
  <c r="B49" i="372"/>
  <c r="A49" i="372"/>
  <c r="R48" i="372"/>
  <c r="Q48" i="372"/>
  <c r="O48" i="372"/>
  <c r="N48" i="372"/>
  <c r="M48" i="372"/>
  <c r="L48" i="372"/>
  <c r="K48" i="372"/>
  <c r="J48" i="372"/>
  <c r="B48" i="372"/>
  <c r="A48" i="372"/>
  <c r="R47" i="372"/>
  <c r="Q47" i="372"/>
  <c r="O47" i="372"/>
  <c r="N47" i="372"/>
  <c r="M47" i="372"/>
  <c r="L47" i="372"/>
  <c r="K47" i="372"/>
  <c r="J47" i="372"/>
  <c r="B47" i="372"/>
  <c r="A47" i="372"/>
  <c r="S46" i="372"/>
  <c r="R46" i="372"/>
  <c r="Q46" i="372"/>
  <c r="P46" i="372"/>
  <c r="O46" i="372"/>
  <c r="N46" i="372"/>
  <c r="M46" i="372"/>
  <c r="L46" i="372"/>
  <c r="K46" i="372"/>
  <c r="J46" i="372"/>
  <c r="B46" i="372"/>
  <c r="A46" i="372"/>
  <c r="B45" i="372"/>
  <c r="A45" i="372"/>
  <c r="B44" i="372"/>
  <c r="A44" i="372"/>
  <c r="B43" i="372"/>
  <c r="A43" i="372"/>
  <c r="B42" i="372"/>
  <c r="A42" i="372"/>
  <c r="B41" i="372"/>
  <c r="A41" i="372"/>
  <c r="B40" i="372"/>
  <c r="A40" i="372"/>
  <c r="B39" i="372"/>
  <c r="A39" i="372"/>
  <c r="B38" i="372"/>
  <c r="A38" i="372"/>
  <c r="B37" i="372"/>
  <c r="A37" i="372"/>
  <c r="B36" i="372"/>
  <c r="A36" i="372"/>
  <c r="B35" i="372"/>
  <c r="A35" i="372"/>
  <c r="P26" i="372"/>
  <c r="P25" i="372"/>
  <c r="P24" i="372"/>
  <c r="P23" i="372"/>
  <c r="P22" i="372"/>
  <c r="P21" i="372"/>
  <c r="P20" i="372"/>
  <c r="P18" i="372"/>
  <c r="P19" i="372" s="1"/>
  <c r="O12" i="372"/>
  <c r="Q10" i="372" s="1"/>
  <c r="N12" i="372"/>
  <c r="P11" i="372"/>
  <c r="O11" i="372"/>
  <c r="Q9" i="372" s="1"/>
  <c r="N11" i="372"/>
  <c r="O9" i="372" s="1"/>
  <c r="O10" i="372"/>
  <c r="L10" i="372"/>
  <c r="L9" i="372"/>
  <c r="S58" i="371"/>
  <c r="R58" i="371"/>
  <c r="Q58" i="371"/>
  <c r="P58" i="371"/>
  <c r="O58" i="371"/>
  <c r="N58" i="371"/>
  <c r="M58" i="371"/>
  <c r="L58" i="371"/>
  <c r="K58" i="371"/>
  <c r="J58" i="371"/>
  <c r="B58" i="371"/>
  <c r="A58" i="371"/>
  <c r="S57" i="371"/>
  <c r="R57" i="371"/>
  <c r="Q57" i="371"/>
  <c r="P57" i="371"/>
  <c r="O57" i="371"/>
  <c r="N57" i="371"/>
  <c r="M57" i="371"/>
  <c r="L57" i="371"/>
  <c r="K57" i="371"/>
  <c r="J57" i="371"/>
  <c r="B57" i="371"/>
  <c r="A57" i="371"/>
  <c r="S56" i="371"/>
  <c r="R56" i="371"/>
  <c r="Q56" i="371"/>
  <c r="P56" i="371"/>
  <c r="O56" i="371"/>
  <c r="N56" i="371"/>
  <c r="M56" i="371"/>
  <c r="L56" i="371"/>
  <c r="K56" i="371"/>
  <c r="J56" i="371"/>
  <c r="B56" i="371"/>
  <c r="A56" i="371"/>
  <c r="S55" i="371"/>
  <c r="R55" i="371"/>
  <c r="Q55" i="371"/>
  <c r="P55" i="371"/>
  <c r="O55" i="371"/>
  <c r="N55" i="371"/>
  <c r="M55" i="371"/>
  <c r="L55" i="371"/>
  <c r="K55" i="371"/>
  <c r="J55" i="371"/>
  <c r="B55" i="371"/>
  <c r="A55" i="371"/>
  <c r="S54" i="371"/>
  <c r="R54" i="371"/>
  <c r="Q54" i="371"/>
  <c r="P54" i="371"/>
  <c r="O54" i="371"/>
  <c r="N54" i="371"/>
  <c r="M54" i="371"/>
  <c r="L54" i="371"/>
  <c r="K54" i="371"/>
  <c r="J54" i="371"/>
  <c r="B54" i="371"/>
  <c r="A54" i="371"/>
  <c r="S53" i="371"/>
  <c r="R53" i="371"/>
  <c r="Q53" i="371"/>
  <c r="P53" i="371"/>
  <c r="O53" i="371"/>
  <c r="N53" i="371"/>
  <c r="M53" i="371"/>
  <c r="L53" i="371"/>
  <c r="K53" i="371"/>
  <c r="J53" i="371"/>
  <c r="B53" i="371"/>
  <c r="A53" i="371"/>
  <c r="S52" i="371"/>
  <c r="R52" i="371"/>
  <c r="Q52" i="371"/>
  <c r="P52" i="371"/>
  <c r="O52" i="371"/>
  <c r="N52" i="371"/>
  <c r="M52" i="371"/>
  <c r="L52" i="371"/>
  <c r="K52" i="371"/>
  <c r="J52" i="371"/>
  <c r="B52" i="371"/>
  <c r="A52" i="371"/>
  <c r="S51" i="371"/>
  <c r="R51" i="371"/>
  <c r="Q51" i="371"/>
  <c r="P51" i="371"/>
  <c r="O51" i="371"/>
  <c r="N51" i="371"/>
  <c r="M51" i="371"/>
  <c r="L51" i="371"/>
  <c r="K51" i="371"/>
  <c r="J51" i="371"/>
  <c r="B51" i="371"/>
  <c r="A51" i="371"/>
  <c r="S50" i="371"/>
  <c r="R50" i="371"/>
  <c r="Q50" i="371"/>
  <c r="P50" i="371"/>
  <c r="O50" i="371"/>
  <c r="N50" i="371"/>
  <c r="M50" i="371"/>
  <c r="L50" i="371"/>
  <c r="K50" i="371"/>
  <c r="J50" i="371"/>
  <c r="B50" i="371"/>
  <c r="A50" i="371"/>
  <c r="S49" i="371"/>
  <c r="R49" i="371"/>
  <c r="Q49" i="371"/>
  <c r="P49" i="371"/>
  <c r="O49" i="371"/>
  <c r="N49" i="371"/>
  <c r="M49" i="371"/>
  <c r="L49" i="371"/>
  <c r="K49" i="371"/>
  <c r="J49" i="371"/>
  <c r="B49" i="371"/>
  <c r="A49" i="371"/>
  <c r="R48" i="371"/>
  <c r="Q48" i="371"/>
  <c r="O48" i="371"/>
  <c r="N48" i="371"/>
  <c r="M48" i="371"/>
  <c r="L48" i="371"/>
  <c r="K48" i="371"/>
  <c r="J48" i="371"/>
  <c r="B48" i="371"/>
  <c r="A48" i="371"/>
  <c r="R47" i="371"/>
  <c r="Q47" i="371"/>
  <c r="O47" i="371"/>
  <c r="N47" i="371"/>
  <c r="M47" i="371"/>
  <c r="L47" i="371"/>
  <c r="K47" i="371"/>
  <c r="J47" i="371"/>
  <c r="B47" i="371"/>
  <c r="A47" i="371"/>
  <c r="S46" i="371"/>
  <c r="R46" i="371"/>
  <c r="Q46" i="371"/>
  <c r="P46" i="371"/>
  <c r="O46" i="371"/>
  <c r="N46" i="371"/>
  <c r="M46" i="371"/>
  <c r="L46" i="371"/>
  <c r="K46" i="371"/>
  <c r="J46" i="371"/>
  <c r="B46" i="371"/>
  <c r="A46" i="371"/>
  <c r="B45" i="371"/>
  <c r="A45" i="371"/>
  <c r="B44" i="371"/>
  <c r="A44" i="371"/>
  <c r="B43" i="371"/>
  <c r="A43" i="371"/>
  <c r="B42" i="371"/>
  <c r="A42" i="371"/>
  <c r="B41" i="371"/>
  <c r="A41" i="371"/>
  <c r="B40" i="371"/>
  <c r="A40" i="371"/>
  <c r="B39" i="371"/>
  <c r="A39" i="371"/>
  <c r="B38" i="371"/>
  <c r="A38" i="371"/>
  <c r="B37" i="371"/>
  <c r="A37" i="371"/>
  <c r="B36" i="371"/>
  <c r="A36" i="371"/>
  <c r="B35" i="371"/>
  <c r="A35" i="371"/>
  <c r="P26" i="371"/>
  <c r="P25" i="371"/>
  <c r="P24" i="371"/>
  <c r="P23" i="371"/>
  <c r="P22" i="371"/>
  <c r="P21" i="371"/>
  <c r="P20" i="371"/>
  <c r="P19" i="371"/>
  <c r="P18" i="371"/>
  <c r="O12" i="371"/>
  <c r="Q10" i="371" s="1"/>
  <c r="N12" i="371"/>
  <c r="P11" i="371"/>
  <c r="O11" i="371"/>
  <c r="N11" i="371"/>
  <c r="O9" i="371" s="1"/>
  <c r="O10" i="371"/>
  <c r="L10" i="371"/>
  <c r="Q9" i="371"/>
  <c r="L9" i="371"/>
  <c r="S58" i="370"/>
  <c r="R58" i="370"/>
  <c r="Q58" i="370"/>
  <c r="P58" i="370"/>
  <c r="O58" i="370"/>
  <c r="N58" i="370"/>
  <c r="M58" i="370"/>
  <c r="L58" i="370"/>
  <c r="K58" i="370"/>
  <c r="J58" i="370"/>
  <c r="B58" i="370"/>
  <c r="A58" i="370"/>
  <c r="S57" i="370"/>
  <c r="R57" i="370"/>
  <c r="Q57" i="370"/>
  <c r="P57" i="370"/>
  <c r="O57" i="370"/>
  <c r="N57" i="370"/>
  <c r="M57" i="370"/>
  <c r="L57" i="370"/>
  <c r="K57" i="370"/>
  <c r="J57" i="370"/>
  <c r="B57" i="370"/>
  <c r="A57" i="370"/>
  <c r="S56" i="370"/>
  <c r="R56" i="370"/>
  <c r="Q56" i="370"/>
  <c r="P56" i="370"/>
  <c r="O56" i="370"/>
  <c r="N56" i="370"/>
  <c r="M56" i="370"/>
  <c r="L56" i="370"/>
  <c r="K56" i="370"/>
  <c r="J56" i="370"/>
  <c r="B56" i="370"/>
  <c r="A56" i="370"/>
  <c r="S55" i="370"/>
  <c r="R55" i="370"/>
  <c r="Q55" i="370"/>
  <c r="P55" i="370"/>
  <c r="O55" i="370"/>
  <c r="N55" i="370"/>
  <c r="M55" i="370"/>
  <c r="L55" i="370"/>
  <c r="K55" i="370"/>
  <c r="J55" i="370"/>
  <c r="B55" i="370"/>
  <c r="A55" i="370"/>
  <c r="S54" i="370"/>
  <c r="R54" i="370"/>
  <c r="Q54" i="370"/>
  <c r="P54" i="370"/>
  <c r="O54" i="370"/>
  <c r="N54" i="370"/>
  <c r="M54" i="370"/>
  <c r="L54" i="370"/>
  <c r="K54" i="370"/>
  <c r="J54" i="370"/>
  <c r="B54" i="370"/>
  <c r="A54" i="370"/>
  <c r="S53" i="370"/>
  <c r="R53" i="370"/>
  <c r="Q53" i="370"/>
  <c r="P53" i="370"/>
  <c r="O53" i="370"/>
  <c r="N53" i="370"/>
  <c r="M53" i="370"/>
  <c r="L53" i="370"/>
  <c r="K53" i="370"/>
  <c r="J53" i="370"/>
  <c r="B53" i="370"/>
  <c r="A53" i="370"/>
  <c r="S52" i="370"/>
  <c r="R52" i="370"/>
  <c r="Q52" i="370"/>
  <c r="P52" i="370"/>
  <c r="O52" i="370"/>
  <c r="N52" i="370"/>
  <c r="M52" i="370"/>
  <c r="L52" i="370"/>
  <c r="K52" i="370"/>
  <c r="J52" i="370"/>
  <c r="B52" i="370"/>
  <c r="A52" i="370"/>
  <c r="S51" i="370"/>
  <c r="R51" i="370"/>
  <c r="Q51" i="370"/>
  <c r="P51" i="370"/>
  <c r="O51" i="370"/>
  <c r="N51" i="370"/>
  <c r="M51" i="370"/>
  <c r="L51" i="370"/>
  <c r="K51" i="370"/>
  <c r="J51" i="370"/>
  <c r="B51" i="370"/>
  <c r="A51" i="370"/>
  <c r="S50" i="370"/>
  <c r="R50" i="370"/>
  <c r="Q50" i="370"/>
  <c r="P50" i="370"/>
  <c r="O50" i="370"/>
  <c r="N50" i="370"/>
  <c r="M50" i="370"/>
  <c r="L50" i="370"/>
  <c r="K50" i="370"/>
  <c r="J50" i="370"/>
  <c r="B50" i="370"/>
  <c r="A50" i="370"/>
  <c r="S49" i="370"/>
  <c r="R49" i="370"/>
  <c r="Q49" i="370"/>
  <c r="P49" i="370"/>
  <c r="O49" i="370"/>
  <c r="N49" i="370"/>
  <c r="M49" i="370"/>
  <c r="L49" i="370"/>
  <c r="K49" i="370"/>
  <c r="J49" i="370"/>
  <c r="B49" i="370"/>
  <c r="A49" i="370"/>
  <c r="R48" i="370"/>
  <c r="Q48" i="370"/>
  <c r="O48" i="370"/>
  <c r="N48" i="370"/>
  <c r="M48" i="370"/>
  <c r="L48" i="370"/>
  <c r="K48" i="370"/>
  <c r="J48" i="370"/>
  <c r="B48" i="370"/>
  <c r="A48" i="370"/>
  <c r="R47" i="370"/>
  <c r="Q47" i="370"/>
  <c r="O47" i="370"/>
  <c r="N47" i="370"/>
  <c r="M47" i="370"/>
  <c r="L47" i="370"/>
  <c r="K47" i="370"/>
  <c r="J47" i="370"/>
  <c r="B47" i="370"/>
  <c r="A47" i="370"/>
  <c r="S46" i="370"/>
  <c r="R46" i="370"/>
  <c r="Q46" i="370"/>
  <c r="P46" i="370"/>
  <c r="O46" i="370"/>
  <c r="N46" i="370"/>
  <c r="M46" i="370"/>
  <c r="L46" i="370"/>
  <c r="K46" i="370"/>
  <c r="J46" i="370"/>
  <c r="B46" i="370"/>
  <c r="A46" i="370"/>
  <c r="B45" i="370"/>
  <c r="A45" i="370"/>
  <c r="B44" i="370"/>
  <c r="A44" i="370"/>
  <c r="B43" i="370"/>
  <c r="A43" i="370"/>
  <c r="B42" i="370"/>
  <c r="A42" i="370"/>
  <c r="B41" i="370"/>
  <c r="A41" i="370"/>
  <c r="B40" i="370"/>
  <c r="A40" i="370"/>
  <c r="B39" i="370"/>
  <c r="A39" i="370"/>
  <c r="B38" i="370"/>
  <c r="A38" i="370"/>
  <c r="B37" i="370"/>
  <c r="A37" i="370"/>
  <c r="B36" i="370"/>
  <c r="A36" i="370"/>
  <c r="B35" i="370"/>
  <c r="A35" i="370"/>
  <c r="P26" i="370"/>
  <c r="P25" i="370"/>
  <c r="P24" i="370"/>
  <c r="P23" i="370"/>
  <c r="P22" i="370"/>
  <c r="P21" i="370"/>
  <c r="P20" i="370"/>
  <c r="P19" i="370"/>
  <c r="P18" i="370"/>
  <c r="O12" i="370"/>
  <c r="Q10" i="370" s="1"/>
  <c r="N12" i="370"/>
  <c r="P11" i="370"/>
  <c r="O11" i="370"/>
  <c r="N11" i="370"/>
  <c r="O9" i="370" s="1"/>
  <c r="O10" i="370"/>
  <c r="L10" i="370"/>
  <c r="Q9" i="370"/>
  <c r="L9" i="370"/>
  <c r="S58" i="369"/>
  <c r="R58" i="369"/>
  <c r="Q58" i="369"/>
  <c r="P58" i="369"/>
  <c r="O58" i="369"/>
  <c r="N58" i="369"/>
  <c r="M58" i="369"/>
  <c r="L58" i="369"/>
  <c r="K58" i="369"/>
  <c r="J58" i="369"/>
  <c r="B58" i="369"/>
  <c r="A58" i="369"/>
  <c r="S57" i="369"/>
  <c r="R57" i="369"/>
  <c r="Q57" i="369"/>
  <c r="P57" i="369"/>
  <c r="O57" i="369"/>
  <c r="N57" i="369"/>
  <c r="M57" i="369"/>
  <c r="L57" i="369"/>
  <c r="K57" i="369"/>
  <c r="J57" i="369"/>
  <c r="B57" i="369"/>
  <c r="A57" i="369"/>
  <c r="S56" i="369"/>
  <c r="R56" i="369"/>
  <c r="Q56" i="369"/>
  <c r="P56" i="369"/>
  <c r="O56" i="369"/>
  <c r="N56" i="369"/>
  <c r="M56" i="369"/>
  <c r="L56" i="369"/>
  <c r="K56" i="369"/>
  <c r="J56" i="369"/>
  <c r="B56" i="369"/>
  <c r="A56" i="369"/>
  <c r="S55" i="369"/>
  <c r="R55" i="369"/>
  <c r="Q55" i="369"/>
  <c r="P55" i="369"/>
  <c r="O55" i="369"/>
  <c r="N55" i="369"/>
  <c r="M55" i="369"/>
  <c r="L55" i="369"/>
  <c r="K55" i="369"/>
  <c r="J55" i="369"/>
  <c r="B55" i="369"/>
  <c r="A55" i="369"/>
  <c r="S54" i="369"/>
  <c r="R54" i="369"/>
  <c r="Q54" i="369"/>
  <c r="P54" i="369"/>
  <c r="O54" i="369"/>
  <c r="N54" i="369"/>
  <c r="M54" i="369"/>
  <c r="L54" i="369"/>
  <c r="K54" i="369"/>
  <c r="J54" i="369"/>
  <c r="B54" i="369"/>
  <c r="A54" i="369"/>
  <c r="S53" i="369"/>
  <c r="R53" i="369"/>
  <c r="Q53" i="369"/>
  <c r="P53" i="369"/>
  <c r="O53" i="369"/>
  <c r="N53" i="369"/>
  <c r="M53" i="369"/>
  <c r="L53" i="369"/>
  <c r="K53" i="369"/>
  <c r="J53" i="369"/>
  <c r="B53" i="369"/>
  <c r="A53" i="369"/>
  <c r="S52" i="369"/>
  <c r="R52" i="369"/>
  <c r="Q52" i="369"/>
  <c r="P52" i="369"/>
  <c r="O52" i="369"/>
  <c r="N52" i="369"/>
  <c r="M52" i="369"/>
  <c r="L52" i="369"/>
  <c r="K52" i="369"/>
  <c r="J52" i="369"/>
  <c r="B52" i="369"/>
  <c r="A52" i="369"/>
  <c r="S51" i="369"/>
  <c r="R51" i="369"/>
  <c r="Q51" i="369"/>
  <c r="P51" i="369"/>
  <c r="O51" i="369"/>
  <c r="N51" i="369"/>
  <c r="M51" i="369"/>
  <c r="L51" i="369"/>
  <c r="K51" i="369"/>
  <c r="J51" i="369"/>
  <c r="B51" i="369"/>
  <c r="A51" i="369"/>
  <c r="S50" i="369"/>
  <c r="R50" i="369"/>
  <c r="Q50" i="369"/>
  <c r="P50" i="369"/>
  <c r="O50" i="369"/>
  <c r="N50" i="369"/>
  <c r="M50" i="369"/>
  <c r="L50" i="369"/>
  <c r="K50" i="369"/>
  <c r="J50" i="369"/>
  <c r="B50" i="369"/>
  <c r="A50" i="369"/>
  <c r="S49" i="369"/>
  <c r="R49" i="369"/>
  <c r="Q49" i="369"/>
  <c r="P49" i="369"/>
  <c r="O49" i="369"/>
  <c r="N49" i="369"/>
  <c r="M49" i="369"/>
  <c r="L49" i="369"/>
  <c r="K49" i="369"/>
  <c r="J49" i="369"/>
  <c r="B49" i="369"/>
  <c r="A49" i="369"/>
  <c r="R48" i="369"/>
  <c r="Q48" i="369"/>
  <c r="O48" i="369"/>
  <c r="N48" i="369"/>
  <c r="M48" i="369"/>
  <c r="L48" i="369"/>
  <c r="K48" i="369"/>
  <c r="J48" i="369"/>
  <c r="B48" i="369"/>
  <c r="A48" i="369"/>
  <c r="R47" i="369"/>
  <c r="Q47" i="369"/>
  <c r="O47" i="369"/>
  <c r="N47" i="369"/>
  <c r="M47" i="369"/>
  <c r="L47" i="369"/>
  <c r="K47" i="369"/>
  <c r="J47" i="369"/>
  <c r="B47" i="369"/>
  <c r="A47" i="369"/>
  <c r="S46" i="369"/>
  <c r="R46" i="369"/>
  <c r="Q46" i="369"/>
  <c r="P46" i="369"/>
  <c r="O46" i="369"/>
  <c r="N46" i="369"/>
  <c r="M46" i="369"/>
  <c r="L46" i="369"/>
  <c r="K46" i="369"/>
  <c r="J46" i="369"/>
  <c r="B46" i="369"/>
  <c r="A46" i="369"/>
  <c r="B45" i="369"/>
  <c r="A45" i="369"/>
  <c r="B44" i="369"/>
  <c r="A44" i="369"/>
  <c r="B43" i="369"/>
  <c r="A43" i="369"/>
  <c r="B42" i="369"/>
  <c r="A42" i="369"/>
  <c r="B41" i="369"/>
  <c r="A41" i="369"/>
  <c r="B40" i="369"/>
  <c r="A40" i="369"/>
  <c r="B39" i="369"/>
  <c r="A39" i="369"/>
  <c r="B38" i="369"/>
  <c r="A38" i="369"/>
  <c r="B37" i="369"/>
  <c r="A37" i="369"/>
  <c r="B36" i="369"/>
  <c r="A36" i="369"/>
  <c r="B35" i="369"/>
  <c r="A35" i="369"/>
  <c r="P26" i="369"/>
  <c r="P25" i="369"/>
  <c r="P24" i="369"/>
  <c r="P23" i="369"/>
  <c r="P22" i="369"/>
  <c r="P21" i="369"/>
  <c r="P20" i="369"/>
  <c r="P19" i="369"/>
  <c r="P18" i="369"/>
  <c r="O12" i="369"/>
  <c r="Q10" i="369" s="1"/>
  <c r="N12" i="369"/>
  <c r="P11" i="369"/>
  <c r="O11" i="369"/>
  <c r="N11" i="369"/>
  <c r="O9" i="369" s="1"/>
  <c r="O10" i="369"/>
  <c r="L10" i="369"/>
  <c r="Q9" i="369"/>
  <c r="L9" i="369"/>
  <c r="O10" i="403" l="1"/>
  <c r="O9" i="401"/>
  <c r="O9" i="398"/>
  <c r="O9" i="382"/>
  <c r="S58" i="312" l="1"/>
  <c r="R58" i="312"/>
  <c r="Q58" i="312"/>
  <c r="P58" i="312"/>
  <c r="O58" i="312"/>
  <c r="N58" i="312"/>
  <c r="M58" i="312"/>
  <c r="L58" i="312"/>
  <c r="K58" i="312"/>
  <c r="J58" i="312"/>
  <c r="B58" i="312"/>
  <c r="A58" i="312"/>
  <c r="S57" i="312"/>
  <c r="R57" i="312"/>
  <c r="Q57" i="312"/>
  <c r="P57" i="312"/>
  <c r="O57" i="312"/>
  <c r="N57" i="312"/>
  <c r="M57" i="312"/>
  <c r="L57" i="312"/>
  <c r="K57" i="312"/>
  <c r="J57" i="312"/>
  <c r="B57" i="312"/>
  <c r="A57" i="312"/>
  <c r="S56" i="312"/>
  <c r="R56" i="312"/>
  <c r="Q56" i="312"/>
  <c r="P56" i="312"/>
  <c r="O56" i="312"/>
  <c r="N56" i="312"/>
  <c r="M56" i="312"/>
  <c r="L56" i="312"/>
  <c r="K56" i="312"/>
  <c r="J56" i="312"/>
  <c r="B56" i="312"/>
  <c r="A56" i="312"/>
  <c r="S55" i="312"/>
  <c r="R55" i="312"/>
  <c r="Q55" i="312"/>
  <c r="P55" i="312"/>
  <c r="O55" i="312"/>
  <c r="N55" i="312"/>
  <c r="M55" i="312"/>
  <c r="L55" i="312"/>
  <c r="K55" i="312"/>
  <c r="J55" i="312"/>
  <c r="B55" i="312"/>
  <c r="A55" i="312"/>
  <c r="S54" i="312"/>
  <c r="R54" i="312"/>
  <c r="Q54" i="312"/>
  <c r="P54" i="312"/>
  <c r="O54" i="312"/>
  <c r="N54" i="312"/>
  <c r="M54" i="312"/>
  <c r="L54" i="312"/>
  <c r="K54" i="312"/>
  <c r="J54" i="312"/>
  <c r="B54" i="312"/>
  <c r="A54" i="312"/>
  <c r="S53" i="312"/>
  <c r="R53" i="312"/>
  <c r="Q53" i="312"/>
  <c r="P53" i="312"/>
  <c r="O53" i="312"/>
  <c r="N53" i="312"/>
  <c r="M53" i="312"/>
  <c r="L53" i="312"/>
  <c r="K53" i="312"/>
  <c r="J53" i="312"/>
  <c r="B53" i="312"/>
  <c r="A53" i="312"/>
  <c r="S52" i="312"/>
  <c r="R52" i="312"/>
  <c r="Q52" i="312"/>
  <c r="P52" i="312"/>
  <c r="O52" i="312"/>
  <c r="N52" i="312"/>
  <c r="M52" i="312"/>
  <c r="L52" i="312"/>
  <c r="K52" i="312"/>
  <c r="J52" i="312"/>
  <c r="B52" i="312"/>
  <c r="A52" i="312"/>
  <c r="S51" i="312"/>
  <c r="R51" i="312"/>
  <c r="Q51" i="312"/>
  <c r="P51" i="312"/>
  <c r="O51" i="312"/>
  <c r="N51" i="312"/>
  <c r="M51" i="312"/>
  <c r="L51" i="312"/>
  <c r="K51" i="312"/>
  <c r="J51" i="312"/>
  <c r="B51" i="312"/>
  <c r="A51" i="312"/>
  <c r="S50" i="312"/>
  <c r="R50" i="312"/>
  <c r="Q50" i="312"/>
  <c r="P50" i="312"/>
  <c r="O50" i="312"/>
  <c r="N50" i="312"/>
  <c r="M50" i="312"/>
  <c r="L50" i="312"/>
  <c r="K50" i="312"/>
  <c r="J50" i="312"/>
  <c r="B50" i="312"/>
  <c r="A50" i="312"/>
  <c r="S49" i="312"/>
  <c r="R49" i="312"/>
  <c r="Q49" i="312"/>
  <c r="P49" i="312"/>
  <c r="O49" i="312"/>
  <c r="N49" i="312"/>
  <c r="M49" i="312"/>
  <c r="L49" i="312"/>
  <c r="K49" i="312"/>
  <c r="J49" i="312"/>
  <c r="B49" i="312"/>
  <c r="A49" i="312"/>
  <c r="R48" i="312"/>
  <c r="Q48" i="312"/>
  <c r="O48" i="312"/>
  <c r="N48" i="312"/>
  <c r="M48" i="312"/>
  <c r="L48" i="312"/>
  <c r="K48" i="312"/>
  <c r="J48" i="312"/>
  <c r="B48" i="312"/>
  <c r="A48" i="312"/>
  <c r="R47" i="312"/>
  <c r="Q47" i="312"/>
  <c r="O47" i="312"/>
  <c r="N47" i="312"/>
  <c r="M47" i="312"/>
  <c r="L47" i="312"/>
  <c r="K47" i="312"/>
  <c r="J47" i="312"/>
  <c r="B47" i="312"/>
  <c r="A47" i="312"/>
  <c r="S46" i="312"/>
  <c r="R46" i="312"/>
  <c r="Q46" i="312"/>
  <c r="P46" i="312"/>
  <c r="O46" i="312"/>
  <c r="N46" i="312"/>
  <c r="M46" i="312"/>
  <c r="L46" i="312"/>
  <c r="K46" i="312"/>
  <c r="J46" i="312"/>
  <c r="B46" i="312"/>
  <c r="A46" i="312"/>
  <c r="B45" i="312"/>
  <c r="A45" i="312"/>
  <c r="B44" i="312"/>
  <c r="A44" i="312"/>
  <c r="B43" i="312"/>
  <c r="A43" i="312"/>
  <c r="B42" i="312"/>
  <c r="A42" i="312"/>
  <c r="B41" i="312"/>
  <c r="A41" i="312"/>
  <c r="B40" i="312"/>
  <c r="A40" i="312"/>
  <c r="B39" i="312"/>
  <c r="A39" i="312"/>
  <c r="B38" i="312"/>
  <c r="A38" i="312"/>
  <c r="B37" i="312"/>
  <c r="A37" i="312"/>
  <c r="B36" i="312"/>
  <c r="A36" i="312"/>
  <c r="B35" i="312"/>
  <c r="A35" i="312"/>
  <c r="P25" i="312"/>
  <c r="P23" i="312"/>
  <c r="P22" i="312"/>
  <c r="P18" i="312"/>
  <c r="O12" i="312"/>
  <c r="Q10" i="312" s="1"/>
  <c r="N12" i="312"/>
  <c r="P11" i="312"/>
  <c r="O11" i="312"/>
  <c r="Q9" i="312" s="1"/>
  <c r="N11" i="312"/>
  <c r="O9" i="312" s="1"/>
  <c r="L10" i="312"/>
  <c r="L9" i="312"/>
  <c r="O10" i="312" l="1"/>
  <c r="P26" i="312" l="1"/>
  <c r="P20" i="312"/>
  <c r="P21" i="312" s="1"/>
  <c r="P24" i="312" l="1"/>
  <c r="P19" i="312" s="1"/>
</calcChain>
</file>

<file path=xl/sharedStrings.xml><?xml version="1.0" encoding="utf-8"?>
<sst xmlns="http://schemas.openxmlformats.org/spreadsheetml/2006/main" count="8108" uniqueCount="146">
  <si>
    <t>ρ =</t>
  </si>
  <si>
    <t>Données :</t>
  </si>
  <si>
    <t>°C</t>
  </si>
  <si>
    <t>N</t>
  </si>
  <si>
    <t xml:space="preserve"> </t>
  </si>
  <si>
    <t>N°</t>
  </si>
  <si>
    <t>mL</t>
  </si>
  <si>
    <t>Température du laboratoire à la calibration ( t°c )</t>
  </si>
  <si>
    <t>Masse volumique de l'eau pure à la calibration</t>
  </si>
  <si>
    <t>Normalite de l'iodate (NIO3) à la température de calibration</t>
  </si>
  <si>
    <t>Vol. de la prise d'essai d'iodate (VIO3) à t°c</t>
  </si>
  <si>
    <t>Volume moyen de thiosulfate pour la titration à t°c</t>
  </si>
  <si>
    <t>Volume moyen de thiosulfate pour la détermination du blanc à t°c</t>
  </si>
  <si>
    <t>Volume moyen de thiosulfate pour la titration à 20° C</t>
  </si>
  <si>
    <t>Volume moyen de thiosulfate pour la détermination du blanc à 20° C</t>
  </si>
  <si>
    <t>Normalite de l'iodate (NIO3) à 20°C</t>
  </si>
  <si>
    <t>Titre du thiosulfate à 20°C</t>
  </si>
  <si>
    <t>t°c =</t>
  </si>
  <si>
    <t>Vol. de la prise d'essai d'iodate (VIO3) à 20°C</t>
  </si>
  <si>
    <t>Campagne :</t>
  </si>
  <si>
    <t>Salinité</t>
  </si>
  <si>
    <t>A</t>
  </si>
  <si>
    <t>B</t>
  </si>
  <si>
    <t>Densité eau pure à t°</t>
  </si>
  <si>
    <t>N° des Flacons</t>
  </si>
  <si>
    <t>Vol. à t° prél. des flacons</t>
  </si>
  <si>
    <t>Densité eau de mer à t°</t>
  </si>
  <si>
    <t>m</t>
  </si>
  <si>
    <t>µmol/kg</t>
  </si>
  <si>
    <t>DOreg =</t>
  </si>
  <si>
    <t>Vreg =</t>
  </si>
  <si>
    <t>Volume de réactif utilisé</t>
  </si>
  <si>
    <t xml:space="preserve">Température du laboratoire au début de la série d'analyses </t>
  </si>
  <si>
    <t>Date</t>
  </si>
  <si>
    <r>
      <t>t°</t>
    </r>
    <r>
      <rPr>
        <vertAlign val="subscript"/>
        <sz val="10"/>
        <color theme="1"/>
        <rFont val="Calibri"/>
        <family val="2"/>
        <scheme val="minor"/>
      </rPr>
      <t>lab</t>
    </r>
    <r>
      <rPr>
        <sz val="10"/>
        <color theme="1"/>
        <rFont val="Calibri"/>
        <family val="2"/>
        <scheme val="minor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</si>
  <si>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moy.titr.t°c</t>
    </r>
    <r>
      <rPr>
        <sz val="10"/>
        <color theme="1"/>
        <rFont val="Calibri"/>
        <family val="2"/>
      </rPr>
      <t xml:space="preserve"> =</t>
    </r>
  </si>
  <si>
    <r>
      <t>V</t>
    </r>
    <r>
      <rPr>
        <vertAlign val="subscript"/>
        <sz val="10"/>
        <color theme="1"/>
        <rFont val="Calibri"/>
        <family val="2"/>
      </rPr>
      <t>moy.titr.blanc.t°c</t>
    </r>
    <r>
      <rPr>
        <sz val="10"/>
        <color theme="1"/>
        <rFont val="Calibri"/>
        <family val="2"/>
      </rPr>
      <t xml:space="preserve"> =</t>
    </r>
  </si>
  <si>
    <t>N° de palanquée :</t>
  </si>
  <si>
    <t>N° de station :</t>
  </si>
  <si>
    <r>
      <t>V</t>
    </r>
    <r>
      <rPr>
        <vertAlign val="subscript"/>
        <sz val="8"/>
        <color theme="1"/>
        <rFont val="Calibri"/>
        <family val="2"/>
      </rPr>
      <t>moy.titr.20°C</t>
    </r>
    <r>
      <rPr>
        <sz val="8"/>
        <color theme="1"/>
        <rFont val="Calibri"/>
        <family val="2"/>
      </rPr>
      <t xml:space="preserve"> =</t>
    </r>
  </si>
  <si>
    <r>
      <t>V</t>
    </r>
    <r>
      <rPr>
        <vertAlign val="subscript"/>
        <sz val="8"/>
        <color theme="1"/>
        <rFont val="Calibri"/>
        <family val="2"/>
      </rPr>
      <t>moy.titr.blanc.20°C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</si>
  <si>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</si>
  <si>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V(Thio)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</si>
  <si>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N(IO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</si>
  <si>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20°C</t>
    </r>
    <r>
      <rPr>
        <sz val="8"/>
        <color theme="1"/>
        <rFont val="Calibri"/>
        <family val="2"/>
      </rPr>
      <t xml:space="preserve"> =</t>
    </r>
  </si>
  <si>
    <r>
      <t>V(IO</t>
    </r>
    <r>
      <rPr>
        <vertAlign val="subscript"/>
        <sz val="8"/>
        <color theme="1"/>
        <rFont val="Calibri"/>
        <family val="2"/>
      </rPr>
      <t>3</t>
    </r>
    <r>
      <rPr>
        <sz val="8"/>
        <color theme="1"/>
        <rFont val="Calibri"/>
        <family val="2"/>
      </rPr>
      <t>)</t>
    </r>
    <r>
      <rPr>
        <vertAlign val="subscript"/>
        <sz val="8"/>
        <color theme="1"/>
        <rFont val="Calibri"/>
        <family val="2"/>
      </rPr>
      <t>t°c</t>
    </r>
    <r>
      <rPr>
        <sz val="8"/>
        <color theme="1"/>
        <rFont val="Calibri"/>
        <family val="2"/>
      </rPr>
      <t>=</t>
    </r>
  </si>
  <si>
    <t>Minutes</t>
  </si>
  <si>
    <t>Décimale</t>
  </si>
  <si>
    <t>Latitude</t>
  </si>
  <si>
    <t>Longitude</t>
  </si>
  <si>
    <t xml:space="preserve">Degrés </t>
  </si>
  <si>
    <t>:</t>
  </si>
  <si>
    <t>Cardinal</t>
  </si>
  <si>
    <t>S</t>
  </si>
  <si>
    <t>E</t>
  </si>
  <si>
    <t>W</t>
  </si>
  <si>
    <t xml:space="preserve">Volume de thio. </t>
  </si>
  <si>
    <t>Position</t>
  </si>
  <si>
    <t>T° prélèv.</t>
  </si>
  <si>
    <t>BTL</t>
  </si>
  <si>
    <t>Choix de la série de flacons :</t>
  </si>
  <si>
    <t>ml/l</t>
  </si>
  <si>
    <t>ml</t>
  </si>
  <si>
    <t>µmol/l</t>
  </si>
  <si>
    <t xml:space="preserve">V. flacons 20°C </t>
  </si>
  <si>
    <t>LPO</t>
  </si>
  <si>
    <t>IRD</t>
  </si>
  <si>
    <t>Phosphate</t>
  </si>
  <si>
    <t>Silicate</t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</si>
  <si>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</si>
  <si>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+ NO</t>
    </r>
    <r>
      <rPr>
        <b/>
        <vertAlign val="subscript"/>
        <sz val="22"/>
        <color rgb="FFFFFF00"/>
        <rFont val="Calibri"/>
        <family val="2"/>
        <scheme val="minor"/>
      </rPr>
      <t>2</t>
    </r>
  </si>
  <si>
    <r>
      <t>NO</t>
    </r>
    <r>
      <rPr>
        <b/>
        <vertAlign val="subscript"/>
        <sz val="22"/>
        <color rgb="FFFFFF00"/>
        <rFont val="Calibri"/>
        <family val="2"/>
        <scheme val="minor"/>
      </rPr>
      <t>3</t>
    </r>
    <r>
      <rPr>
        <b/>
        <sz val="22"/>
        <color rgb="FFFFFF00"/>
        <rFont val="Calibri"/>
        <family val="2"/>
        <scheme val="minor"/>
      </rPr>
      <t xml:space="preserve"> </t>
    </r>
  </si>
  <si>
    <t>Prélèvement</t>
  </si>
  <si>
    <t>Heure</t>
  </si>
  <si>
    <t>Oxygène dissous</t>
  </si>
  <si>
    <t>Données de campagne</t>
  </si>
  <si>
    <t>Prof. Théorique</t>
  </si>
  <si>
    <t>Prof. Effective</t>
  </si>
  <si>
    <t>Date d'analyse :</t>
  </si>
  <si>
    <t>ml/kg</t>
  </si>
  <si>
    <t>chlorophyll-c3</t>
  </si>
  <si>
    <t>chlorophyll-c1+c2</t>
  </si>
  <si>
    <t>peridinin</t>
  </si>
  <si>
    <t>19'-butanoyloxyfucoxanthin</t>
  </si>
  <si>
    <t>fucoxanthine</t>
  </si>
  <si>
    <t>neoxanthin</t>
  </si>
  <si>
    <t>prasinoxanthin</t>
  </si>
  <si>
    <t>violaxanthin</t>
  </si>
  <si>
    <t>19'-hexanoyloxyfucoxanthin</t>
  </si>
  <si>
    <t>diadinoxanthin</t>
  </si>
  <si>
    <t>alloxanthin</t>
  </si>
  <si>
    <t>diatoxanthin</t>
  </si>
  <si>
    <t>zeaxanthin</t>
  </si>
  <si>
    <t>lutein</t>
  </si>
  <si>
    <t>divinyl chlorophyll-b</t>
  </si>
  <si>
    <t>chlorophyll-b</t>
  </si>
  <si>
    <t>total chlorophyll-b</t>
  </si>
  <si>
    <t>alpha-carotene</t>
  </si>
  <si>
    <t>beta-carotene</t>
  </si>
  <si>
    <t>pheophorbide</t>
  </si>
  <si>
    <t xml:space="preserve">divinyl chlorophyll-a </t>
  </si>
  <si>
    <t xml:space="preserve">chlorophyll-a </t>
  </si>
  <si>
    <t>total chlorophyll-a</t>
  </si>
  <si>
    <t>pheophytin_a</t>
  </si>
  <si>
    <t>crocoxanthin</t>
  </si>
  <si>
    <t>DOX1</t>
  </si>
  <si>
    <t>DOXY</t>
  </si>
  <si>
    <t>DOX2</t>
  </si>
  <si>
    <t>NTRI</t>
  </si>
  <si>
    <t>NTIW</t>
  </si>
  <si>
    <t>NTRZ</t>
  </si>
  <si>
    <t>NTZW</t>
  </si>
  <si>
    <t>NTRA</t>
  </si>
  <si>
    <t>NTAW</t>
  </si>
  <si>
    <t>PHOS</t>
  </si>
  <si>
    <t>PHOW</t>
  </si>
  <si>
    <t>SLCA</t>
  </si>
  <si>
    <t>SLCW</t>
  </si>
  <si>
    <t>CHC3</t>
  </si>
  <si>
    <t>CHCZ</t>
  </si>
  <si>
    <t>PERP</t>
  </si>
  <si>
    <t>BFUP</t>
  </si>
  <si>
    <t>FUCP</t>
  </si>
  <si>
    <t>NXAP</t>
  </si>
  <si>
    <t>PXAP</t>
  </si>
  <si>
    <t>VXAP</t>
  </si>
  <si>
    <t>HFUP</t>
  </si>
  <si>
    <t>DXAP</t>
  </si>
  <si>
    <t>AXAP</t>
  </si>
  <si>
    <t>TXAP</t>
  </si>
  <si>
    <t>ZXAP</t>
  </si>
  <si>
    <t>LUTP</t>
  </si>
  <si>
    <t>CHBD</t>
  </si>
  <si>
    <t>CH2P</t>
  </si>
  <si>
    <t>CHLB</t>
  </si>
  <si>
    <t>AACP</t>
  </si>
  <si>
    <t>BBCP</t>
  </si>
  <si>
    <t>PHEP</t>
  </si>
  <si>
    <t>CHAD</t>
  </si>
  <si>
    <t>CH1P</t>
  </si>
  <si>
    <t>CPHL</t>
  </si>
  <si>
    <t>PHEA</t>
  </si>
  <si>
    <t>CXAP</t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</si>
  <si>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</si>
  <si>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r>
      <t>µg.l</t>
    </r>
    <r>
      <rPr>
        <b/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/>
    </r>
  </si>
  <si>
    <t>EGEE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</si>
</sst>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164" formatCode="0.00000000"/>
    <numFmt numFmtId="165" formatCode="#,##0.00;[Red]&quot;Erreur !&quot;;[Red]&quot;Erreur !&quot;;[Red]General"/>
    <numFmt numFmtId="166" formatCode="0.000"/>
    <numFmt numFmtId="167" formatCode="0.0"/>
    <numFmt numFmtId="168" formatCode="00.00&quot; ''&quot;"/>
    <numFmt numFmtId="169" formatCode="00\°"/>
    <numFmt numFmtId="170" formatCode="00.00\'\'"/>
    <numFmt numFmtId="171" formatCode="yyyy\-mm\-dd\Thh:mm:ss\z"/>
    <numFmt numFmtId="172" formatCode="00"/>
    <numFmt numFmtId="173" formatCode="[$-F800]dddd\,\ mmmm\ dd\,\ yyyy"/>
    <numFmt numFmtId="174" formatCode="yyyy\-mm\-dd"/>
    <numFmt numFmtId="175" formatCode="000"/>
    <numFmt numFmtId="176" formatCode="#,##0.000;[Red]&quot;Erreur !&quot;;[Red]&quot;Erreur !&quot;;[Red]General"/>
    <numFmt numFmtId="177" formatCode="0.0000"/>
    <numFmt numFmtId="179" formatCode="#,##0.0;[Red]#,##0.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</font>
    <font>
      <vertAlign val="subscript"/>
      <sz val="8"/>
      <color theme="1"/>
      <name val="Calibri"/>
      <family val="2"/>
    </font>
    <font>
      <b/>
      <sz val="22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b/>
      <vertAlign val="subscript"/>
      <sz val="22"/>
      <color rgb="FFFFFF0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name val="Arial"/>
      <family val="2"/>
    </font>
    <font>
      <b/>
      <sz val="12"/>
      <color rgb="FFFFFF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26"/>
      </patternFill>
    </fill>
    <fill>
      <patternFill patternType="solid">
        <fgColor rgb="FFFFFF66"/>
        <bgColor indexed="43"/>
      </patternFill>
    </fill>
    <fill>
      <patternFill patternType="solid">
        <fgColor rgb="FF00B0F0"/>
        <bgColor indexed="64"/>
      </patternFill>
    </fill>
    <fill>
      <patternFill patternType="solid">
        <fgColor indexed="26"/>
        <bgColor indexed="43"/>
      </patternFill>
    </fill>
    <fill>
      <patternFill patternType="solid">
        <fgColor indexed="15"/>
        <bgColor indexed="35"/>
      </patternFill>
    </fill>
    <fill>
      <patternFill patternType="solid">
        <fgColor indexed="29"/>
        <bgColor indexed="4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50"/>
        <bgColor indexed="51"/>
      </patternFill>
    </fill>
    <fill>
      <patternFill patternType="solid">
        <fgColor indexed="11"/>
        <bgColor indexed="49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22">
    <xf numFmtId="0" fontId="0" fillId="0" borderId="0" xfId="0"/>
    <xf numFmtId="0" fontId="0" fillId="0" borderId="13" xfId="0" applyBorder="1"/>
    <xf numFmtId="0" fontId="0" fillId="0" borderId="15" xfId="0" applyBorder="1"/>
    <xf numFmtId="0" fontId="0" fillId="0" borderId="14" xfId="0" applyBorder="1"/>
    <xf numFmtId="0" fontId="0" fillId="0" borderId="18" xfId="0" applyBorder="1"/>
    <xf numFmtId="0" fontId="1" fillId="0" borderId="23" xfId="0" applyFont="1" applyBorder="1"/>
    <xf numFmtId="0" fontId="0" fillId="0" borderId="0" xfId="0" applyBorder="1"/>
    <xf numFmtId="0" fontId="4" fillId="0" borderId="0" xfId="0" applyFont="1" applyBorder="1" applyAlignment="1">
      <alignment horizontal="center"/>
    </xf>
    <xf numFmtId="0" fontId="9" fillId="0" borderId="14" xfId="1" applyFont="1" applyFill="1" applyBorder="1" applyAlignment="1" applyProtection="1"/>
    <xf numFmtId="0" fontId="9" fillId="0" borderId="0" xfId="1" applyFont="1" applyFill="1" applyBorder="1" applyAlignment="1" applyProtection="1"/>
    <xf numFmtId="0" fontId="10" fillId="0" borderId="0" xfId="0" applyFont="1" applyBorder="1"/>
    <xf numFmtId="0" fontId="0" fillId="0" borderId="1" xfId="0" applyBorder="1" applyAlignment="1">
      <alignment horizontal="center"/>
    </xf>
    <xf numFmtId="0" fontId="13" fillId="0" borderId="12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15" fillId="0" borderId="0" xfId="0" applyFont="1" applyBorder="1" applyAlignment="1">
      <alignment horizontal="right"/>
    </xf>
    <xf numFmtId="0" fontId="15" fillId="0" borderId="17" xfId="0" applyFont="1" applyBorder="1" applyAlignment="1">
      <alignment horizontal="right"/>
    </xf>
    <xf numFmtId="2" fontId="0" fillId="0" borderId="1" xfId="0" applyNumberFormat="1" applyBorder="1" applyAlignment="1">
      <alignment horizontal="center"/>
    </xf>
    <xf numFmtId="0" fontId="17" fillId="3" borderId="12" xfId="0" applyFont="1" applyFill="1" applyBorder="1"/>
    <xf numFmtId="0" fontId="17" fillId="3" borderId="0" xfId="0" applyFont="1" applyFill="1" applyBorder="1"/>
    <xf numFmtId="166" fontId="17" fillId="0" borderId="0" xfId="0" applyNumberFormat="1" applyFont="1" applyBorder="1"/>
    <xf numFmtId="166" fontId="17" fillId="3" borderId="0" xfId="0" applyNumberFormat="1" applyFont="1" applyFill="1" applyBorder="1"/>
    <xf numFmtId="166" fontId="17" fillId="3" borderId="17" xfId="0" applyNumberFormat="1" applyFont="1" applyFill="1" applyBorder="1"/>
    <xf numFmtId="166" fontId="13" fillId="0" borderId="0" xfId="0" applyNumberFormat="1" applyFont="1" applyBorder="1"/>
    <xf numFmtId="0" fontId="13" fillId="0" borderId="0" xfId="0" applyFont="1" applyBorder="1"/>
    <xf numFmtId="0" fontId="13" fillId="0" borderId="17" xfId="0" applyFont="1" applyBorder="1"/>
    <xf numFmtId="0" fontId="18" fillId="0" borderId="0" xfId="0" applyFont="1" applyBorder="1" applyAlignment="1">
      <alignment horizontal="right"/>
    </xf>
    <xf numFmtId="0" fontId="9" fillId="0" borderId="16" xfId="1" applyFont="1" applyFill="1" applyBorder="1" applyAlignment="1" applyProtection="1">
      <alignment horizontal="left"/>
    </xf>
    <xf numFmtId="0" fontId="9" fillId="0" borderId="17" xfId="1" applyFont="1" applyFill="1" applyBorder="1" applyAlignment="1" applyProtection="1">
      <alignment horizontal="left"/>
    </xf>
    <xf numFmtId="0" fontId="10" fillId="0" borderId="17" xfId="0" applyFont="1" applyBorder="1"/>
    <xf numFmtId="0" fontId="18" fillId="0" borderId="17" xfId="0" applyFont="1" applyBorder="1" applyAlignment="1">
      <alignment horizontal="right"/>
    </xf>
    <xf numFmtId="0" fontId="1" fillId="0" borderId="0" xfId="0" applyFont="1" applyFill="1" applyBorder="1"/>
    <xf numFmtId="168" fontId="0" fillId="0" borderId="0" xfId="0" applyNumberFormat="1"/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 applyAlignment="1"/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/>
    <xf numFmtId="169" fontId="0" fillId="3" borderId="1" xfId="0" applyNumberFormat="1" applyFont="1" applyFill="1" applyBorder="1" applyAlignment="1">
      <alignment horizontal="center"/>
    </xf>
    <xf numFmtId="170" fontId="0" fillId="3" borderId="1" xfId="0" applyNumberFormat="1" applyFont="1" applyFill="1" applyBorder="1" applyAlignment="1">
      <alignment horizontal="center"/>
    </xf>
    <xf numFmtId="0" fontId="9" fillId="0" borderId="14" xfId="1" applyFont="1" applyFill="1" applyBorder="1" applyAlignment="1" applyProtection="1">
      <alignment horizontal="left"/>
    </xf>
    <xf numFmtId="0" fontId="9" fillId="0" borderId="0" xfId="1" applyFont="1" applyFill="1" applyBorder="1" applyAlignment="1" applyProtection="1">
      <alignment horizontal="left"/>
    </xf>
    <xf numFmtId="0" fontId="0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vertical="center"/>
    </xf>
    <xf numFmtId="0" fontId="23" fillId="3" borderId="1" xfId="1" applyFont="1" applyFill="1" applyBorder="1" applyAlignment="1" applyProtection="1">
      <alignment horizontal="center"/>
      <protection locked="0"/>
    </xf>
    <xf numFmtId="0" fontId="23" fillId="5" borderId="1" xfId="1" applyFont="1" applyFill="1" applyBorder="1" applyAlignment="1" applyProtection="1">
      <alignment horizontal="center"/>
      <protection locked="0"/>
    </xf>
    <xf numFmtId="166" fontId="23" fillId="3" borderId="1" xfId="1" applyNumberFormat="1" applyFont="1" applyFill="1" applyBorder="1" applyAlignment="1" applyProtection="1">
      <alignment horizontal="center"/>
      <protection locked="0"/>
    </xf>
    <xf numFmtId="166" fontId="23" fillId="3" borderId="1" xfId="1" applyNumberFormat="1" applyFont="1" applyFill="1" applyBorder="1" applyAlignment="1" applyProtection="1">
      <alignment horizontal="center"/>
    </xf>
    <xf numFmtId="164" fontId="23" fillId="0" borderId="1" xfId="1" applyNumberFormat="1" applyFont="1" applyFill="1" applyBorder="1" applyAlignment="1" applyProtection="1">
      <alignment horizontal="center"/>
    </xf>
    <xf numFmtId="165" fontId="23" fillId="0" borderId="1" xfId="1" applyNumberFormat="1" applyFont="1" applyFill="1" applyBorder="1" applyAlignment="1" applyProtection="1">
      <alignment horizontal="center"/>
    </xf>
    <xf numFmtId="166" fontId="23" fillId="0" borderId="1" xfId="1" applyNumberFormat="1" applyFont="1" applyFill="1" applyBorder="1" applyAlignment="1" applyProtection="1">
      <alignment horizontal="center"/>
    </xf>
    <xf numFmtId="167" fontId="23" fillId="0" borderId="1" xfId="1" applyNumberFormat="1" applyFont="1" applyFill="1" applyBorder="1" applyAlignment="1" applyProtection="1">
      <alignment horizontal="center"/>
    </xf>
    <xf numFmtId="0" fontId="11" fillId="3" borderId="1" xfId="0" applyFont="1" applyFill="1" applyBorder="1" applyAlignment="1">
      <alignment horizontal="center"/>
    </xf>
    <xf numFmtId="0" fontId="8" fillId="0" borderId="24" xfId="0" applyFont="1" applyBorder="1" applyAlignment="1"/>
    <xf numFmtId="0" fontId="8" fillId="0" borderId="0" xfId="0" applyFont="1"/>
    <xf numFmtId="0" fontId="8" fillId="0" borderId="0" xfId="0" applyFont="1" applyBorder="1" applyAlignment="1"/>
    <xf numFmtId="0" fontId="11" fillId="0" borderId="0" xfId="0" applyFont="1" applyFill="1" applyBorder="1" applyAlignment="1">
      <alignment horizontal="center"/>
    </xf>
    <xf numFmtId="0" fontId="24" fillId="0" borderId="0" xfId="0" applyFont="1"/>
    <xf numFmtId="0" fontId="7" fillId="0" borderId="0" xfId="0" applyFont="1"/>
    <xf numFmtId="0" fontId="0" fillId="0" borderId="1" xfId="0" applyBorder="1"/>
    <xf numFmtId="0" fontId="0" fillId="0" borderId="0" xfId="0"/>
    <xf numFmtId="171" fontId="0" fillId="0" borderId="0" xfId="0" applyNumberFormat="1"/>
    <xf numFmtId="173" fontId="0" fillId="0" borderId="0" xfId="0" applyNumberFormat="1"/>
    <xf numFmtId="0" fontId="1" fillId="0" borderId="1" xfId="0" applyFont="1" applyBorder="1" applyAlignment="1"/>
    <xf numFmtId="0" fontId="1" fillId="0" borderId="6" xfId="0" applyFont="1" applyBorder="1" applyAlignment="1"/>
    <xf numFmtId="174" fontId="0" fillId="3" borderId="1" xfId="0" applyNumberFormat="1" applyFill="1" applyBorder="1" applyAlignment="1"/>
    <xf numFmtId="2" fontId="0" fillId="3" borderId="1" xfId="0" applyNumberFormat="1" applyFill="1" applyBorder="1" applyAlignment="1"/>
    <xf numFmtId="0" fontId="0" fillId="3" borderId="1" xfId="0" applyNumberFormat="1" applyFill="1" applyBorder="1" applyAlignment="1"/>
    <xf numFmtId="21" fontId="0" fillId="3" borderId="6" xfId="0" applyNumberFormat="1" applyFill="1" applyBorder="1" applyAlignment="1"/>
    <xf numFmtId="2" fontId="0" fillId="3" borderId="6" xfId="0" applyNumberFormat="1" applyFill="1" applyBorder="1" applyAlignment="1"/>
    <xf numFmtId="0" fontId="2" fillId="0" borderId="12" xfId="1" applyFont="1" applyFill="1" applyBorder="1" applyAlignment="1" applyProtection="1"/>
    <xf numFmtId="0" fontId="13" fillId="0" borderId="12" xfId="0" applyFont="1" applyBorder="1"/>
    <xf numFmtId="0" fontId="13" fillId="0" borderId="13" xfId="0" applyFont="1" applyBorder="1"/>
    <xf numFmtId="0" fontId="2" fillId="0" borderId="0" xfId="1" applyFont="1" applyFill="1" applyBorder="1" applyAlignment="1" applyProtection="1"/>
    <xf numFmtId="0" fontId="13" fillId="0" borderId="15" xfId="0" applyFont="1" applyBorder="1"/>
    <xf numFmtId="0" fontId="2" fillId="0" borderId="17" xfId="1" applyFont="1" applyFill="1" applyBorder="1" applyAlignment="1" applyProtection="1"/>
    <xf numFmtId="0" fontId="13" fillId="0" borderId="18" xfId="0" applyFont="1" applyBorder="1"/>
    <xf numFmtId="0" fontId="26" fillId="0" borderId="11" xfId="1" applyFont="1" applyFill="1" applyBorder="1" applyAlignment="1" applyProtection="1"/>
    <xf numFmtId="0" fontId="26" fillId="0" borderId="14" xfId="1" applyFont="1" applyFill="1" applyBorder="1" applyAlignment="1" applyProtection="1"/>
    <xf numFmtId="0" fontId="26" fillId="0" borderId="16" xfId="1" applyFont="1" applyFill="1" applyBorder="1" applyAlignment="1" applyProtection="1"/>
    <xf numFmtId="0" fontId="6" fillId="6" borderId="34" xfId="0" applyFont="1" applyFill="1" applyBorder="1" applyAlignment="1">
      <alignment horizontal="center"/>
    </xf>
    <xf numFmtId="0" fontId="28" fillId="3" borderId="1" xfId="1" applyFont="1" applyFill="1" applyBorder="1" applyAlignment="1" applyProtection="1">
      <alignment horizontal="center"/>
      <protection locked="0"/>
    </xf>
    <xf numFmtId="0" fontId="28" fillId="5" borderId="1" xfId="1" applyFont="1" applyFill="1" applyBorder="1" applyAlignment="1" applyProtection="1">
      <alignment horizontal="center"/>
      <protection locked="0"/>
    </xf>
    <xf numFmtId="166" fontId="28" fillId="3" borderId="1" xfId="1" applyNumberFormat="1" applyFont="1" applyFill="1" applyBorder="1" applyAlignment="1" applyProtection="1">
      <alignment horizontal="center"/>
      <protection locked="0"/>
    </xf>
    <xf numFmtId="166" fontId="28" fillId="3" borderId="1" xfId="1" applyNumberFormat="1" applyFont="1" applyFill="1" applyBorder="1" applyAlignment="1" applyProtection="1">
      <alignment horizontal="center"/>
    </xf>
    <xf numFmtId="164" fontId="28" fillId="0" borderId="1" xfId="1" applyNumberFormat="1" applyFont="1" applyFill="1" applyBorder="1" applyAlignment="1" applyProtection="1">
      <alignment horizontal="center"/>
    </xf>
    <xf numFmtId="165" fontId="28" fillId="0" borderId="1" xfId="1" applyNumberFormat="1" applyFont="1" applyFill="1" applyBorder="1" applyAlignment="1" applyProtection="1">
      <alignment horizontal="center"/>
    </xf>
    <xf numFmtId="166" fontId="28" fillId="0" borderId="1" xfId="1" applyNumberFormat="1" applyFont="1" applyFill="1" applyBorder="1" applyAlignment="1" applyProtection="1">
      <alignment horizontal="center"/>
    </xf>
    <xf numFmtId="167" fontId="28" fillId="0" borderId="1" xfId="1" applyNumberFormat="1" applyFont="1" applyFill="1" applyBorder="1" applyAlignment="1" applyProtection="1">
      <alignment horizontal="center"/>
    </xf>
    <xf numFmtId="177" fontId="23" fillId="3" borderId="1" xfId="1" applyNumberFormat="1" applyFont="1" applyFill="1" applyBorder="1" applyAlignment="1" applyProtection="1">
      <alignment horizontal="center"/>
    </xf>
    <xf numFmtId="21" fontId="0" fillId="3" borderId="6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77" fontId="23" fillId="0" borderId="1" xfId="1" applyNumberFormat="1" applyFont="1" applyFill="1" applyBorder="1" applyAlignment="1" applyProtection="1">
      <alignment horizontal="center"/>
    </xf>
    <xf numFmtId="0" fontId="6" fillId="4" borderId="34" xfId="1" applyFont="1" applyFill="1" applyBorder="1" applyAlignment="1" applyProtection="1">
      <alignment horizontal="center"/>
    </xf>
    <xf numFmtId="0" fontId="22" fillId="4" borderId="34" xfId="1" applyFont="1" applyFill="1" applyBorder="1" applyAlignment="1" applyProtection="1">
      <alignment horizontal="center"/>
    </xf>
    <xf numFmtId="176" fontId="23" fillId="0" borderId="1" xfId="1" applyNumberFormat="1" applyFont="1" applyFill="1" applyBorder="1" applyAlignment="1" applyProtection="1">
      <alignment horizontal="center"/>
    </xf>
    <xf numFmtId="166" fontId="23" fillId="0" borderId="1" xfId="0" applyNumberFormat="1" applyFont="1" applyBorder="1" applyAlignment="1">
      <alignment horizontal="center"/>
    </xf>
    <xf numFmtId="0" fontId="27" fillId="3" borderId="1" xfId="1" applyFont="1" applyFill="1" applyBorder="1" applyAlignment="1" applyProtection="1">
      <alignment horizontal="center"/>
      <protection locked="0"/>
    </xf>
    <xf numFmtId="0" fontId="30" fillId="4" borderId="34" xfId="1" applyFont="1" applyFill="1" applyBorder="1" applyAlignment="1" applyProtection="1">
      <alignment horizontal="center" vertical="center" wrapText="1"/>
    </xf>
    <xf numFmtId="0" fontId="30" fillId="6" borderId="34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177" fontId="1" fillId="10" borderId="1" xfId="0" applyNumberFormat="1" applyFont="1" applyFill="1" applyBorder="1" applyAlignment="1">
      <alignment horizontal="center"/>
    </xf>
    <xf numFmtId="177" fontId="1" fillId="11" borderId="1" xfId="0" applyNumberFormat="1" applyFont="1" applyFill="1" applyBorder="1" applyAlignment="1">
      <alignment horizontal="center"/>
    </xf>
    <xf numFmtId="177" fontId="27" fillId="10" borderId="1" xfId="0" applyNumberFormat="1" applyFont="1" applyFill="1" applyBorder="1" applyAlignment="1">
      <alignment horizontal="center"/>
    </xf>
    <xf numFmtId="177" fontId="21" fillId="10" borderId="1" xfId="0" applyNumberFormat="1" applyFont="1" applyFill="1" applyBorder="1" applyAlignment="1">
      <alignment horizontal="center"/>
    </xf>
    <xf numFmtId="2" fontId="27" fillId="11" borderId="1" xfId="0" applyNumberFormat="1" applyFont="1" applyFill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177" fontId="1" fillId="10" borderId="34" xfId="0" applyNumberFormat="1" applyFont="1" applyFill="1" applyBorder="1" applyAlignment="1">
      <alignment horizontal="center"/>
    </xf>
    <xf numFmtId="177" fontId="1" fillId="11" borderId="34" xfId="0" applyNumberFormat="1" applyFont="1" applyFill="1" applyBorder="1" applyAlignment="1">
      <alignment horizontal="center"/>
    </xf>
    <xf numFmtId="0" fontId="0" fillId="7" borderId="1" xfId="0" applyFont="1" applyFill="1" applyBorder="1" applyAlignment="1" applyProtection="1">
      <alignment horizontal="center"/>
      <protection locked="0"/>
    </xf>
    <xf numFmtId="166" fontId="0" fillId="7" borderId="1" xfId="0" applyNumberFormat="1" applyFill="1" applyBorder="1" applyAlignment="1" applyProtection="1">
      <alignment horizontal="center"/>
      <protection locked="0"/>
    </xf>
    <xf numFmtId="0" fontId="29" fillId="9" borderId="1" xfId="0" applyFont="1" applyFill="1" applyBorder="1" applyAlignment="1" applyProtection="1">
      <alignment horizontal="center"/>
      <protection locked="0"/>
    </xf>
    <xf numFmtId="166" fontId="0" fillId="7" borderId="1" xfId="0" applyNumberFormat="1" applyFont="1" applyFill="1" applyBorder="1" applyAlignment="1" applyProtection="1">
      <alignment horizontal="center"/>
      <protection locked="0"/>
    </xf>
    <xf numFmtId="0" fontId="3" fillId="7" borderId="1" xfId="0" applyFont="1" applyFill="1" applyBorder="1" applyAlignment="1" applyProtection="1">
      <alignment horizontal="center"/>
      <protection locked="0"/>
    </xf>
    <xf numFmtId="166" fontId="3" fillId="7" borderId="1" xfId="0" applyNumberFormat="1" applyFont="1" applyFill="1" applyBorder="1" applyAlignment="1" applyProtection="1">
      <alignment horizontal="center"/>
      <protection locked="0"/>
    </xf>
    <xf numFmtId="0" fontId="23" fillId="2" borderId="25" xfId="1" applyFont="1" applyFill="1" applyBorder="1" applyAlignment="1" applyProtection="1">
      <alignment horizontal="center"/>
    </xf>
    <xf numFmtId="0" fontId="0" fillId="7" borderId="2" xfId="0" applyFont="1" applyFill="1" applyBorder="1" applyAlignment="1" applyProtection="1">
      <alignment horizontal="center"/>
      <protection locked="0"/>
    </xf>
    <xf numFmtId="0" fontId="0" fillId="7" borderId="2" xfId="0" applyFill="1" applyBorder="1" applyAlignment="1" applyProtection="1">
      <alignment horizontal="center"/>
      <protection locked="0"/>
    </xf>
    <xf numFmtId="166" fontId="0" fillId="7" borderId="2" xfId="0" applyNumberFormat="1" applyFill="1" applyBorder="1" applyAlignment="1" applyProtection="1">
      <alignment horizontal="center"/>
      <protection locked="0"/>
    </xf>
    <xf numFmtId="0" fontId="29" fillId="9" borderId="2" xfId="0" applyFont="1" applyFill="1" applyBorder="1" applyAlignment="1" applyProtection="1">
      <alignment horizontal="center"/>
      <protection locked="0"/>
    </xf>
    <xf numFmtId="176" fontId="23" fillId="0" borderId="2" xfId="1" applyNumberFormat="1" applyFont="1" applyFill="1" applyBorder="1" applyAlignment="1" applyProtection="1">
      <alignment horizontal="center"/>
    </xf>
    <xf numFmtId="164" fontId="23" fillId="0" borderId="2" xfId="1" applyNumberFormat="1" applyFont="1" applyFill="1" applyBorder="1" applyAlignment="1" applyProtection="1">
      <alignment horizontal="center"/>
    </xf>
    <xf numFmtId="165" fontId="23" fillId="0" borderId="2" xfId="1" applyNumberFormat="1" applyFont="1" applyFill="1" applyBorder="1" applyAlignment="1" applyProtection="1">
      <alignment horizontal="center"/>
    </xf>
    <xf numFmtId="0" fontId="0" fillId="0" borderId="2" xfId="0" applyBorder="1"/>
    <xf numFmtId="0" fontId="0" fillId="0" borderId="3" xfId="0" applyBorder="1"/>
    <xf numFmtId="0" fontId="23" fillId="2" borderId="26" xfId="1" applyFont="1" applyFill="1" applyBorder="1" applyAlignment="1" applyProtection="1">
      <alignment horizontal="center"/>
    </xf>
    <xf numFmtId="0" fontId="0" fillId="0" borderId="4" xfId="0" applyBorder="1"/>
    <xf numFmtId="0" fontId="23" fillId="2" borderId="5" xfId="1" applyFont="1" applyFill="1" applyBorder="1" applyAlignment="1" applyProtection="1">
      <alignment horizontal="center"/>
    </xf>
    <xf numFmtId="0" fontId="23" fillId="3" borderId="6" xfId="1" applyFont="1" applyFill="1" applyBorder="1" applyAlignment="1" applyProtection="1">
      <alignment horizontal="center"/>
      <protection locked="0"/>
    </xf>
    <xf numFmtId="0" fontId="23" fillId="5" borderId="6" xfId="1" applyFont="1" applyFill="1" applyBorder="1" applyAlignment="1" applyProtection="1">
      <alignment horizontal="center"/>
      <protection locked="0"/>
    </xf>
    <xf numFmtId="166" fontId="23" fillId="3" borderId="6" xfId="1" applyNumberFormat="1" applyFont="1" applyFill="1" applyBorder="1" applyAlignment="1" applyProtection="1">
      <alignment horizontal="center"/>
      <protection locked="0"/>
    </xf>
    <xf numFmtId="166" fontId="23" fillId="3" borderId="6" xfId="1" applyNumberFormat="1" applyFont="1" applyFill="1" applyBorder="1" applyAlignment="1" applyProtection="1">
      <alignment horizontal="center"/>
    </xf>
    <xf numFmtId="176" fontId="23" fillId="0" borderId="6" xfId="1" applyNumberFormat="1" applyFont="1" applyFill="1" applyBorder="1" applyAlignment="1" applyProtection="1">
      <alignment horizontal="center"/>
    </xf>
    <xf numFmtId="164" fontId="23" fillId="0" borderId="6" xfId="1" applyNumberFormat="1" applyFont="1" applyFill="1" applyBorder="1" applyAlignment="1" applyProtection="1">
      <alignment horizontal="center"/>
    </xf>
    <xf numFmtId="165" fontId="23" fillId="0" borderId="6" xfId="1" applyNumberFormat="1" applyFont="1" applyFill="1" applyBorder="1" applyAlignment="1" applyProtection="1">
      <alignment horizontal="center"/>
    </xf>
    <xf numFmtId="166" fontId="23" fillId="0" borderId="6" xfId="1" applyNumberFormat="1" applyFont="1" applyFill="1" applyBorder="1" applyAlignment="1" applyProtection="1">
      <alignment horizontal="center"/>
    </xf>
    <xf numFmtId="166" fontId="23" fillId="0" borderId="6" xfId="0" applyNumberFormat="1" applyFont="1" applyBorder="1" applyAlignment="1">
      <alignment horizontal="center"/>
    </xf>
    <xf numFmtId="167" fontId="23" fillId="0" borderId="6" xfId="1" applyNumberFormat="1" applyFont="1" applyFill="1" applyBorder="1" applyAlignment="1" applyProtection="1">
      <alignment horizontal="center"/>
    </xf>
    <xf numFmtId="0" fontId="0" fillId="0" borderId="6" xfId="0" applyBorder="1"/>
    <xf numFmtId="0" fontId="0" fillId="0" borderId="7" xfId="0" applyBorder="1"/>
    <xf numFmtId="177" fontId="0" fillId="0" borderId="1" xfId="0" applyNumberFormat="1" applyBorder="1" applyAlignment="1">
      <alignment horizont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77" fontId="0" fillId="8" borderId="37" xfId="0" applyNumberFormat="1" applyFont="1" applyFill="1" applyBorder="1" applyAlignment="1" applyProtection="1">
      <alignment horizontal="center"/>
    </xf>
    <xf numFmtId="166" fontId="3" fillId="2" borderId="37" xfId="0" applyNumberFormat="1" applyFont="1" applyFill="1" applyBorder="1" applyAlignment="1" applyProtection="1">
      <alignment horizontal="center"/>
    </xf>
    <xf numFmtId="167" fontId="3" fillId="2" borderId="38" xfId="0" applyNumberFormat="1" applyFont="1" applyFill="1" applyBorder="1" applyAlignment="1" applyProtection="1">
      <alignment horizontal="center"/>
    </xf>
    <xf numFmtId="179" fontId="23" fillId="0" borderId="1" xfId="1" applyNumberFormat="1" applyFont="1" applyFill="1" applyBorder="1" applyAlignment="1" applyProtection="1">
      <alignment horizontal="center"/>
    </xf>
    <xf numFmtId="0" fontId="29" fillId="9" borderId="37" xfId="0" applyFont="1" applyFill="1" applyBorder="1" applyAlignment="1" applyProtection="1">
      <alignment horizontal="center"/>
      <protection locked="0"/>
    </xf>
    <xf numFmtId="167" fontId="23" fillId="0" borderId="2" xfId="1" applyNumberFormat="1" applyFont="1" applyFill="1" applyBorder="1" applyAlignment="1" applyProtection="1">
      <alignment horizontal="center"/>
    </xf>
    <xf numFmtId="20" fontId="0" fillId="3" borderId="6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4" borderId="34" xfId="1" applyFont="1" applyFill="1" applyBorder="1" applyAlignment="1" applyProtection="1">
      <alignment horizontal="center" vertical="center" wrapText="1"/>
    </xf>
    <xf numFmtId="2" fontId="21" fillId="11" borderId="1" xfId="0" applyNumberFormat="1" applyFont="1" applyFill="1" applyBorder="1" applyAlignment="1">
      <alignment horizontal="center" vertical="center"/>
    </xf>
    <xf numFmtId="0" fontId="6" fillId="4" borderId="35" xfId="1" applyFont="1" applyFill="1" applyBorder="1" applyAlignment="1" applyProtection="1">
      <alignment horizontal="center" vertical="center"/>
    </xf>
    <xf numFmtId="0" fontId="6" fillId="4" borderId="22" xfId="1" applyFont="1" applyFill="1" applyBorder="1" applyAlignment="1" applyProtection="1">
      <alignment horizontal="center" vertical="center"/>
    </xf>
    <xf numFmtId="0" fontId="6" fillId="4" borderId="34" xfId="1" applyFont="1" applyFill="1" applyBorder="1" applyAlignment="1" applyProtection="1">
      <alignment horizontal="center" vertical="center"/>
    </xf>
    <xf numFmtId="0" fontId="6" fillId="4" borderId="21" xfId="1" applyFont="1" applyFill="1" applyBorder="1" applyAlignment="1" applyProtection="1">
      <alignment horizontal="center" vertical="center"/>
    </xf>
    <xf numFmtId="0" fontId="22" fillId="4" borderId="34" xfId="1" applyFont="1" applyFill="1" applyBorder="1" applyAlignment="1" applyProtection="1">
      <alignment horizontal="center" vertical="center"/>
    </xf>
    <xf numFmtId="0" fontId="22" fillId="4" borderId="21" xfId="1" applyFont="1" applyFill="1" applyBorder="1" applyAlignment="1" applyProtection="1">
      <alignment horizontal="center" vertical="center"/>
    </xf>
    <xf numFmtId="0" fontId="6" fillId="4" borderId="34" xfId="1" applyFont="1" applyFill="1" applyBorder="1" applyAlignment="1" applyProtection="1">
      <alignment horizontal="center" vertical="center" wrapText="1"/>
    </xf>
    <xf numFmtId="0" fontId="6" fillId="4" borderId="21" xfId="1" applyFont="1" applyFill="1" applyBorder="1" applyAlignment="1" applyProtection="1">
      <alignment horizontal="center" vertical="center" wrapText="1"/>
    </xf>
    <xf numFmtId="177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1" fillId="11" borderId="1" xfId="0" applyNumberFormat="1" applyFont="1" applyFill="1" applyBorder="1" applyAlignment="1" applyProtection="1">
      <alignment horizontal="center" vertical="center"/>
    </xf>
    <xf numFmtId="0" fontId="20" fillId="4" borderId="2" xfId="1" applyFont="1" applyFill="1" applyBorder="1" applyAlignment="1" applyProtection="1">
      <alignment horizontal="center" vertical="center" wrapText="1"/>
    </xf>
    <xf numFmtId="0" fontId="20" fillId="4" borderId="1" xfId="1" applyFont="1" applyFill="1" applyBorder="1" applyAlignment="1" applyProtection="1">
      <alignment horizontal="center" vertical="center" wrapText="1"/>
    </xf>
    <xf numFmtId="0" fontId="20" fillId="6" borderId="2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1" xfId="1" applyFont="1" applyFill="1" applyBorder="1" applyAlignment="1" applyProtection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4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6" fillId="4" borderId="25" xfId="1" applyFont="1" applyFill="1" applyBorder="1" applyAlignment="1" applyProtection="1">
      <alignment horizontal="center" vertical="center"/>
    </xf>
    <xf numFmtId="0" fontId="6" fillId="4" borderId="26" xfId="1" applyFont="1" applyFill="1" applyBorder="1" applyAlignment="1" applyProtection="1">
      <alignment horizontal="center" vertical="center"/>
    </xf>
    <xf numFmtId="0" fontId="6" fillId="4" borderId="20" xfId="1" applyFont="1" applyFill="1" applyBorder="1" applyAlignment="1" applyProtection="1">
      <alignment horizontal="center" vertical="center" wrapText="1"/>
    </xf>
    <xf numFmtId="0" fontId="6" fillId="4" borderId="19" xfId="1" applyFont="1" applyFill="1" applyBorder="1" applyAlignment="1" applyProtection="1">
      <alignment horizontal="center" vertical="center" wrapText="1"/>
    </xf>
    <xf numFmtId="0" fontId="0" fillId="0" borderId="19" xfId="0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" fontId="0" fillId="0" borderId="4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8" fillId="0" borderId="8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175" fontId="8" fillId="3" borderId="9" xfId="0" applyNumberFormat="1" applyFont="1" applyFill="1" applyBorder="1" applyAlignment="1">
      <alignment horizontal="center" vertical="center"/>
    </xf>
    <xf numFmtId="172" fontId="8" fillId="3" borderId="9" xfId="0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right" vertical="center"/>
    </xf>
    <xf numFmtId="14" fontId="8" fillId="3" borderId="9" xfId="0" applyNumberFormat="1" applyFont="1" applyFill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/>
    </xf>
    <xf numFmtId="177" fontId="0" fillId="12" borderId="37" xfId="0" applyNumberFormat="1" applyFont="1" applyFill="1" applyBorder="1" applyAlignment="1" applyProtection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7" fontId="0" fillId="13" borderId="37" xfId="0" applyNumberFormat="1" applyFont="1" applyFill="1" applyBorder="1" applyAlignment="1" applyProtection="1">
      <alignment horizontal="center"/>
    </xf>
    <xf numFmtId="167" fontId="3" fillId="12" borderId="38" xfId="0" applyNumberFormat="1" applyFont="1" applyFill="1" applyBorder="1" applyAlignment="1" applyProtection="1">
      <alignment horizontal="center"/>
    </xf>
    <xf numFmtId="2" fontId="2" fillId="0" borderId="0" xfId="0" applyNumberFormat="1" applyFont="1" applyAlignment="1">
      <alignment horizontal="center"/>
    </xf>
  </cellXfs>
  <cellStyles count="8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</cellStyles>
  <dxfs count="0"/>
  <tableStyles count="0" defaultTableStyle="TableStyleMedium2" defaultPivotStyle="PivotStyleLight16"/>
  <colors>
    <mruColors>
      <color rgb="FFD68C8A"/>
      <color rgb="FFC2514E"/>
      <color rgb="FFFA6F58"/>
      <color rgb="FFFF8080"/>
      <color rgb="FFC35855"/>
      <color rgb="FFCE7270"/>
      <color rgb="FFBF4845"/>
      <color rgb="FF00FF00"/>
      <color rgb="FF00CC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gee5_St1-25_nettoy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on_1"/>
      <sheetName val="Station_2"/>
      <sheetName val="Station_3"/>
      <sheetName val="Station_4"/>
      <sheetName val="Station_5"/>
      <sheetName val="Station_6"/>
      <sheetName val="Station_7"/>
      <sheetName val="Station_8"/>
      <sheetName val="Station_9"/>
      <sheetName val="Station_10"/>
      <sheetName val="Station_11"/>
      <sheetName val="Station_12"/>
      <sheetName val="Station_13"/>
      <sheetName val="Station_14"/>
      <sheetName val="Station_15"/>
      <sheetName val="Station_16"/>
      <sheetName val="Station_17"/>
      <sheetName val="Station_18"/>
      <sheetName val="Station_19"/>
      <sheetName val="Station_20"/>
      <sheetName val="Station_21"/>
      <sheetName val="Station_22"/>
      <sheetName val="Station_23"/>
      <sheetName val="Station_24"/>
      <sheetName val="Station_25"/>
      <sheetName val="TITRE_IODATE"/>
      <sheetName val="volumes"/>
      <sheetName val="corrections_de_vol_"/>
      <sheetName val="Modu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>
        <row r="9">
          <cell r="G9">
            <v>-1.4999999999965041E-4</v>
          </cell>
        </row>
      </sheetData>
      <sheetData sheetId="2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S45" sqref="S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5"/>
    <row r="2" spans="3:23" ht="21" x14ac:dyDescent="0.4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ht="14.45" x14ac:dyDescent="0.3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5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37867</v>
      </c>
      <c r="U6" s="215"/>
    </row>
    <row r="7" spans="3:23" ht="16.5" customHeight="1" thickBot="1" x14ac:dyDescent="0.45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0" t="s">
        <v>50</v>
      </c>
      <c r="J8" s="150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3">
      <c r="C9" s="46"/>
      <c r="D9" s="33"/>
      <c r="G9" s="199" t="s">
        <v>48</v>
      </c>
      <c r="H9" s="200"/>
      <c r="I9" s="38">
        <v>3</v>
      </c>
      <c r="J9" s="39">
        <v>29.7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3°29,7</v>
      </c>
      <c r="P9" s="39" t="s">
        <v>3</v>
      </c>
      <c r="Q9" s="201">
        <f>IF(ISBLANK(I9),"",IF(ISBLANK(J9),"",IF(J9&gt;60,"ERREUR !!",O11*(I9+(J9/60)))))</f>
        <v>3.4950000000000001</v>
      </c>
      <c r="R9" s="202"/>
    </row>
    <row r="10" spans="3:23" ht="15" customHeight="1" x14ac:dyDescent="0.3">
      <c r="C10" s="46"/>
      <c r="D10" s="33"/>
      <c r="G10" s="199" t="s">
        <v>49</v>
      </c>
      <c r="H10" s="200"/>
      <c r="I10" s="38">
        <v>6</v>
      </c>
      <c r="J10" s="39">
        <v>0.35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6°0,35</v>
      </c>
      <c r="P10" s="39" t="s">
        <v>54</v>
      </c>
      <c r="Q10" s="201">
        <f>IF(ISBLANK(I10),"",IF(ISBLANK(J10),"",IF(J10&gt;60,"ERREUR !!",O12*(I10+(J10/60)))))</f>
        <v>6.0058333333333334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37866</v>
      </c>
      <c r="K11" s="72"/>
      <c r="L11" s="72"/>
      <c r="M11" s="72"/>
      <c r="N11" s="73" t="str">
        <f>I9&amp;"°"&amp;J9</f>
        <v>3°29,7</v>
      </c>
      <c r="O11" s="74">
        <f>IF(P9=M10,-1,1)</f>
        <v>1</v>
      </c>
      <c r="P11" s="185" t="str">
        <f>TEXT(J11,"aaaa-mm-jj")&amp;"T"&amp;TEXT(J12,"hh:mm:ss")&amp;"z"</f>
        <v>2007-09-03T18:00:00z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97">
        <v>0.75</v>
      </c>
      <c r="K12" s="75"/>
      <c r="L12" s="75"/>
      <c r="M12" s="75"/>
      <c r="N12" s="76" t="str">
        <f>I10&amp;"°"&amp;J10</f>
        <v>6°0,35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t="14.45" hidden="1" x14ac:dyDescent="0.3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t="14.45" hidden="1" x14ac:dyDescent="0.3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t="14.45" hidden="1" x14ac:dyDescent="0.3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t="14.45" hidden="1" x14ac:dyDescent="0.3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t="14.45" hidden="1" x14ac:dyDescent="0.3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t="14.45" hidden="1" x14ac:dyDescent="0.3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t="14.45" hidden="1" x14ac:dyDescent="0.3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t="14.45" hidden="1" x14ac:dyDescent="0.3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t="14.45" hidden="1" x14ac:dyDescent="0.3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idden="1" thickBot="1" x14ac:dyDescent="0.35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149999999999999" thickBot="1" x14ac:dyDescent="0.35">
      <c r="E30" s="149"/>
      <c r="F30" s="149"/>
      <c r="G30" s="149"/>
      <c r="H30" s="149"/>
      <c r="I30" s="14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48"/>
      <c r="L33" s="148"/>
      <c r="M33" s="148"/>
      <c r="N33" s="148"/>
      <c r="O33" s="148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34.600999999999999</v>
      </c>
      <c r="H35" s="126">
        <v>700</v>
      </c>
      <c r="I35" s="155">
        <v>702</v>
      </c>
      <c r="J35" s="127"/>
      <c r="K35" s="128"/>
      <c r="L35" s="128"/>
      <c r="M35" s="128"/>
      <c r="N35" s="129"/>
      <c r="O35" s="128"/>
      <c r="P35" s="127">
        <v>2.3439999999999999</v>
      </c>
      <c r="Q35" s="127"/>
      <c r="R35" s="127"/>
      <c r="S35" s="156">
        <v>102</v>
      </c>
      <c r="T35" s="217">
        <v>0</v>
      </c>
      <c r="U35" s="217">
        <v>0</v>
      </c>
      <c r="V35" s="127"/>
      <c r="W35" s="127"/>
      <c r="X35" s="217">
        <v>35.630000000000003</v>
      </c>
      <c r="Y35" s="217">
        <v>34.817258642473234</v>
      </c>
      <c r="Z35" s="217">
        <v>2.383</v>
      </c>
      <c r="AA35" s="217">
        <v>2.3286423616338396</v>
      </c>
      <c r="AB35" s="217">
        <v>25.93</v>
      </c>
      <c r="AC35" s="217">
        <v>25.338521375226797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34.600900000000003</v>
      </c>
      <c r="H36" s="118">
        <v>700</v>
      </c>
      <c r="I36" s="155">
        <v>702</v>
      </c>
      <c r="J36" s="102"/>
      <c r="K36" s="55"/>
      <c r="L36" s="55"/>
      <c r="M36" s="55"/>
      <c r="N36" s="56"/>
      <c r="O36" s="55"/>
      <c r="P36" s="102">
        <v>2.4260000000000002</v>
      </c>
      <c r="Q36" s="102"/>
      <c r="R36" s="102"/>
      <c r="S36" s="58">
        <v>105.6</v>
      </c>
      <c r="T36" s="217">
        <v>0</v>
      </c>
      <c r="U36" s="217">
        <v>0</v>
      </c>
      <c r="V36" s="102"/>
      <c r="W36" s="102"/>
      <c r="X36" s="217">
        <v>35.18</v>
      </c>
      <c r="Y36" s="217">
        <v>34.377523408425716</v>
      </c>
      <c r="Z36" s="217">
        <v>2.3460000000000001</v>
      </c>
      <c r="AA36" s="217">
        <v>2.2924863535010442</v>
      </c>
      <c r="AB36" s="217">
        <v>25.88</v>
      </c>
      <c r="AC36" s="217">
        <v>25.289661904777073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34.664099999999998</v>
      </c>
      <c r="H37" s="118">
        <v>600</v>
      </c>
      <c r="I37" s="155">
        <v>599</v>
      </c>
      <c r="J37" s="102"/>
      <c r="K37" s="55"/>
      <c r="L37" s="55"/>
      <c r="M37" s="55"/>
      <c r="N37" s="56"/>
      <c r="O37" s="55"/>
      <c r="P37" s="102">
        <v>2.16</v>
      </c>
      <c r="Q37" s="102"/>
      <c r="R37" s="102"/>
      <c r="S37" s="58">
        <v>94</v>
      </c>
      <c r="T37" s="217">
        <v>0</v>
      </c>
      <c r="U37" s="217">
        <v>0</v>
      </c>
      <c r="V37" s="102"/>
      <c r="W37" s="102"/>
      <c r="X37" s="217">
        <v>34.869999999999997</v>
      </c>
      <c r="Y37" s="217">
        <v>34.074594691637422</v>
      </c>
      <c r="Z37" s="217">
        <v>2.3009999999999997</v>
      </c>
      <c r="AA37" s="217">
        <v>2.2485128300962924</v>
      </c>
      <c r="AB37" s="217">
        <v>21.69</v>
      </c>
      <c r="AC37" s="217">
        <v>21.195238281090216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35.773400000000002</v>
      </c>
      <c r="H38" s="118">
        <v>100</v>
      </c>
      <c r="I38" s="155">
        <v>97</v>
      </c>
      <c r="J38" s="102"/>
      <c r="K38" s="55"/>
      <c r="L38" s="55"/>
      <c r="M38" s="55"/>
      <c r="N38" s="56"/>
      <c r="O38" s="55"/>
      <c r="P38" s="102">
        <v>2.6259999999999999</v>
      </c>
      <c r="Q38" s="102"/>
      <c r="R38" s="102"/>
      <c r="S38" s="58">
        <v>114.3</v>
      </c>
      <c r="T38" s="217">
        <v>6.0000000000000019E-3</v>
      </c>
      <c r="U38" s="217">
        <v>5.8631364539668664E-3</v>
      </c>
      <c r="V38" s="102"/>
      <c r="W38" s="102"/>
      <c r="X38" s="217">
        <v>14.513999999999999</v>
      </c>
      <c r="Y38" s="217">
        <v>14.182927082145845</v>
      </c>
      <c r="Z38" s="217">
        <v>1.127</v>
      </c>
      <c r="AA38" s="217">
        <v>1.101292463936776</v>
      </c>
      <c r="AB38" s="217">
        <v>6.11</v>
      </c>
      <c r="AC38" s="217">
        <v>5.9706272889562575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35.873100000000001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2.7160000000000002</v>
      </c>
      <c r="Q39" s="102"/>
      <c r="R39" s="102"/>
      <c r="S39" s="58">
        <v>118.3</v>
      </c>
      <c r="T39" s="217">
        <v>3.2000000000000001E-2</v>
      </c>
      <c r="U39" s="217">
        <v>3.1270061087823278E-2</v>
      </c>
      <c r="V39" s="102"/>
      <c r="W39" s="102"/>
      <c r="X39" s="217">
        <v>13.038</v>
      </c>
      <c r="Y39" s="217">
        <v>12.740595514469996</v>
      </c>
      <c r="Z39" s="217">
        <v>1.0169999999999999</v>
      </c>
      <c r="AA39" s="217">
        <v>0.99380162894738344</v>
      </c>
      <c r="AB39" s="217">
        <v>5.0999999999999996</v>
      </c>
      <c r="AC39" s="217">
        <v>4.9836659858718342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35.871400000000001</v>
      </c>
      <c r="H40" s="118">
        <v>80</v>
      </c>
      <c r="I40" s="155">
        <v>80</v>
      </c>
      <c r="J40" s="102"/>
      <c r="K40" s="55"/>
      <c r="L40" s="55"/>
      <c r="M40" s="55"/>
      <c r="N40" s="56"/>
      <c r="O40" s="55"/>
      <c r="P40" s="102">
        <v>2.4260000000000002</v>
      </c>
      <c r="Q40" s="102"/>
      <c r="R40" s="102"/>
      <c r="S40" s="58">
        <v>105.6</v>
      </c>
      <c r="T40" s="217">
        <v>3.2000000000000001E-2</v>
      </c>
      <c r="U40" s="217">
        <v>3.1270061087823278E-2</v>
      </c>
      <c r="V40" s="102"/>
      <c r="W40" s="102"/>
      <c r="X40" s="217">
        <v>13.007999999999999</v>
      </c>
      <c r="Y40" s="217">
        <v>12.711279832200161</v>
      </c>
      <c r="Z40" s="217">
        <v>1.0189999999999999</v>
      </c>
      <c r="AA40" s="217">
        <v>0.99575600776537243</v>
      </c>
      <c r="AB40" s="217">
        <v>5.17</v>
      </c>
      <c r="AC40" s="217">
        <v>5.0520692445014479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35.994799999999998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3.1059999999999999</v>
      </c>
      <c r="Q41" s="102"/>
      <c r="R41" s="102"/>
      <c r="S41" s="58">
        <v>135.30000000000001</v>
      </c>
      <c r="T41" s="217">
        <v>0.59399999999999997</v>
      </c>
      <c r="U41" s="217">
        <v>0.58045050894271955</v>
      </c>
      <c r="V41" s="102"/>
      <c r="W41" s="102"/>
      <c r="X41" s="217">
        <v>6.9259999999999993</v>
      </c>
      <c r="Y41" s="217">
        <v>6.7680138466957498</v>
      </c>
      <c r="Z41" s="217">
        <v>0.68300000000000005</v>
      </c>
      <c r="AA41" s="217">
        <v>0.6674203663432281</v>
      </c>
      <c r="AB41" s="217">
        <v>3.1</v>
      </c>
      <c r="AC41" s="217">
        <v>3.0292871678828801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35.153500000000001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4.4329999999999998</v>
      </c>
      <c r="Q42" s="102"/>
      <c r="R42" s="102"/>
      <c r="S42" s="58">
        <v>193.5</v>
      </c>
      <c r="T42" s="217">
        <v>0</v>
      </c>
      <c r="U42" s="217">
        <v>0</v>
      </c>
      <c r="V42" s="102"/>
      <c r="W42" s="102"/>
      <c r="X42" s="217">
        <v>0.13</v>
      </c>
      <c r="Y42" s="217">
        <v>0.12703462316928207</v>
      </c>
      <c r="Z42" s="217">
        <v>0.05</v>
      </c>
      <c r="AA42" s="217">
        <v>4.8859470449723871E-2</v>
      </c>
      <c r="AB42" s="217">
        <v>0.99</v>
      </c>
      <c r="AC42" s="217">
        <v>0.96741751490453265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34.762</v>
      </c>
      <c r="H43" s="118">
        <v>20</v>
      </c>
      <c r="I43" s="155">
        <v>19</v>
      </c>
      <c r="J43" s="102"/>
      <c r="K43" s="55"/>
      <c r="L43" s="55"/>
      <c r="M43" s="55"/>
      <c r="N43" s="56"/>
      <c r="O43" s="55"/>
      <c r="P43" s="102">
        <v>4.5049999999999999</v>
      </c>
      <c r="Q43" s="102"/>
      <c r="R43" s="102"/>
      <c r="S43" s="58">
        <v>196.8</v>
      </c>
      <c r="T43" s="217">
        <v>0</v>
      </c>
      <c r="U43" s="217">
        <v>0</v>
      </c>
      <c r="V43" s="102"/>
      <c r="W43" s="102"/>
      <c r="X43" s="217">
        <v>0.12</v>
      </c>
      <c r="Y43" s="217">
        <v>0.11726272907933728</v>
      </c>
      <c r="Z43" s="217">
        <v>3.7999999999999992E-2</v>
      </c>
      <c r="AA43" s="217">
        <v>3.7133197541790133E-2</v>
      </c>
      <c r="AB43" s="217">
        <v>1.22</v>
      </c>
      <c r="AC43" s="217">
        <v>1.1921710789732625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32.0837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4.6189999999999998</v>
      </c>
      <c r="Q44" s="102"/>
      <c r="R44" s="102"/>
      <c r="S44" s="58">
        <v>202.2</v>
      </c>
      <c r="T44" s="217">
        <v>0</v>
      </c>
      <c r="U44" s="217">
        <v>0</v>
      </c>
      <c r="V44" s="102"/>
      <c r="W44" s="102"/>
      <c r="X44" s="217">
        <v>0.13</v>
      </c>
      <c r="Y44" s="217">
        <v>0.12703462316928207</v>
      </c>
      <c r="Z44" s="217">
        <v>0</v>
      </c>
      <c r="AA44" s="217">
        <v>0</v>
      </c>
      <c r="AB44" s="217">
        <v>1.91</v>
      </c>
      <c r="AC44" s="217">
        <v>1.8664317711794518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31.808499999999999</v>
      </c>
      <c r="H45" s="118">
        <v>0</v>
      </c>
      <c r="I45" s="155">
        <v>1</v>
      </c>
      <c r="J45" s="102"/>
      <c r="K45" s="55"/>
      <c r="L45" s="55"/>
      <c r="M45" s="55"/>
      <c r="N45" s="56"/>
      <c r="O45" s="55"/>
      <c r="P45" s="102">
        <v>4.5970000000000004</v>
      </c>
      <c r="Q45" s="102"/>
      <c r="R45" s="102"/>
      <c r="S45" s="154">
        <v>201.2</v>
      </c>
      <c r="T45" s="217">
        <v>0</v>
      </c>
      <c r="U45" s="217">
        <v>0</v>
      </c>
      <c r="V45" s="102"/>
      <c r="W45" s="102"/>
      <c r="X45" s="217">
        <v>0.12</v>
      </c>
      <c r="Y45" s="217">
        <v>0.11726272907933728</v>
      </c>
      <c r="Z45" s="217">
        <v>0</v>
      </c>
      <c r="AA45" s="217">
        <v>0</v>
      </c>
      <c r="AB45" s="217">
        <v>1.89</v>
      </c>
      <c r="AC45" s="217">
        <v>1.8468879829995621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6" x14ac:dyDescent="0.3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6" x14ac:dyDescent="0.3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6" x14ac:dyDescent="0.3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6" x14ac:dyDescent="0.3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C2:E2"/>
    <mergeCell ref="F2:T2"/>
    <mergeCell ref="C4:U4"/>
    <mergeCell ref="C6:E6"/>
    <mergeCell ref="F6:G6"/>
    <mergeCell ref="H6:J6"/>
    <mergeCell ref="P6:Q6"/>
    <mergeCell ref="R6:S6"/>
    <mergeCell ref="T6:U6"/>
    <mergeCell ref="G8:H8"/>
    <mergeCell ref="Q8:R8"/>
    <mergeCell ref="G9:H9"/>
    <mergeCell ref="Q9:R9"/>
    <mergeCell ref="G10:H10"/>
    <mergeCell ref="Q10:R10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J31:J32"/>
    <mergeCell ref="K31:K32"/>
    <mergeCell ref="L31:L32"/>
    <mergeCell ref="M31:M32"/>
    <mergeCell ref="N31:N32"/>
    <mergeCell ref="AT31:AT32"/>
    <mergeCell ref="AI31:AI32"/>
    <mergeCell ref="P31:S32"/>
    <mergeCell ref="T31:U32"/>
    <mergeCell ref="V31:W32"/>
    <mergeCell ref="X31:Y32"/>
    <mergeCell ref="Z31:AA32"/>
    <mergeCell ref="AB31:AC32"/>
    <mergeCell ref="AD31:AD32"/>
    <mergeCell ref="AE31:AE32"/>
    <mergeCell ref="AF31:AF32"/>
    <mergeCell ref="AG31:AG32"/>
    <mergeCell ref="AH31:AH32"/>
    <mergeCell ref="AO31:AO32"/>
    <mergeCell ref="AP31:AP32"/>
    <mergeCell ref="AQ31:AQ32"/>
    <mergeCell ref="AR31:AR32"/>
    <mergeCell ref="AS31:AS32"/>
    <mergeCell ref="AJ31:AJ32"/>
    <mergeCell ref="AK31:AK32"/>
    <mergeCell ref="AL31:AL32"/>
    <mergeCell ref="AM31:AM32"/>
    <mergeCell ref="AN31:AN32"/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U31:AU32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S45" sqref="S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37867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59.9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2°59,9</v>
      </c>
      <c r="P9" s="39" t="s">
        <v>3</v>
      </c>
      <c r="Q9" s="201">
        <f>IF(ISBLANK(I9),"",IF(ISBLANK(J9),"",IF(J9&gt;60,"ERREUR !!",O11*(I9+(J9/60)))))</f>
        <v>2.9983333333333331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0.24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6°0,24</v>
      </c>
      <c r="P10" s="39" t="s">
        <v>54</v>
      </c>
      <c r="Q10" s="201">
        <f>IF(ISBLANK(I10),"",IF(ISBLANK(J10),"",IF(J10&gt;60,"ERREUR !!",O12*(I10+(J10/60)))))</f>
        <v>6.0039999999999996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37866</v>
      </c>
      <c r="K11" s="72"/>
      <c r="L11" s="72"/>
      <c r="M11" s="72"/>
      <c r="N11" s="73" t="str">
        <f>I9&amp;"°"&amp;J9</f>
        <v>2°59,9</v>
      </c>
      <c r="O11" s="74">
        <f>IF(P9=M10,-1,1)</f>
        <v>1</v>
      </c>
      <c r="P11" s="185" t="str">
        <f>TEXT(J11,"aaaa-mm-jj")&amp;"T"&amp;TEXT(J12,"hh:mm:ss")&amp;"z"</f>
        <v>2007-09-03T23:00:00z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97">
        <v>0.95833333333333337</v>
      </c>
      <c r="K12" s="75"/>
      <c r="L12" s="75"/>
      <c r="M12" s="75"/>
      <c r="N12" s="76" t="str">
        <f>I10&amp;"°"&amp;J10</f>
        <v>6°0,24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34.631399999999999</v>
      </c>
      <c r="H35" s="126">
        <v>1000</v>
      </c>
      <c r="I35" s="155">
        <v>1002</v>
      </c>
      <c r="J35" s="127"/>
      <c r="K35" s="128"/>
      <c r="L35" s="128"/>
      <c r="M35" s="128"/>
      <c r="N35" s="129"/>
      <c r="O35" s="128"/>
      <c r="P35" s="127">
        <v>3.206</v>
      </c>
      <c r="Q35" s="127"/>
      <c r="R35" s="127"/>
      <c r="S35" s="156">
        <v>139.4</v>
      </c>
      <c r="T35" s="217">
        <v>4.0000000000000001E-3</v>
      </c>
      <c r="U35" s="217">
        <v>3.9087576359779098E-3</v>
      </c>
      <c r="V35" s="127"/>
      <c r="W35" s="127"/>
      <c r="X35" s="217">
        <v>33.045999999999999</v>
      </c>
      <c r="Y35" s="217">
        <v>32.2922012096315</v>
      </c>
      <c r="Z35" s="217">
        <v>2.2109999999999999</v>
      </c>
      <c r="AA35" s="217">
        <v>2.1605657832867893</v>
      </c>
      <c r="AB35" s="217">
        <v>31.74</v>
      </c>
      <c r="AC35" s="217">
        <v>31.015991841484713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34.647599999999997</v>
      </c>
      <c r="H36" s="118">
        <v>600</v>
      </c>
      <c r="I36" s="155">
        <v>598</v>
      </c>
      <c r="J36" s="102"/>
      <c r="K36" s="55"/>
      <c r="L36" s="55"/>
      <c r="M36" s="55"/>
      <c r="N36" s="56"/>
      <c r="O36" s="55"/>
      <c r="P36" s="102">
        <v>2.0299999999999998</v>
      </c>
      <c r="Q36" s="102"/>
      <c r="R36" s="102"/>
      <c r="S36" s="58">
        <v>88.3</v>
      </c>
      <c r="T36" s="217">
        <v>2.0000000000000018E-3</v>
      </c>
      <c r="U36" s="217">
        <v>1.9543788179889566E-3</v>
      </c>
      <c r="V36" s="102"/>
      <c r="W36" s="102"/>
      <c r="X36" s="217">
        <v>35.597999999999999</v>
      </c>
      <c r="Y36" s="217">
        <v>34.785988581385404</v>
      </c>
      <c r="Z36" s="217">
        <v>2.3050000000000002</v>
      </c>
      <c r="AA36" s="217">
        <v>2.25242158773227</v>
      </c>
      <c r="AB36" s="217">
        <v>22.76</v>
      </c>
      <c r="AC36" s="217">
        <v>22.240830948714308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34.648699999999998</v>
      </c>
      <c r="H37" s="118">
        <v>600</v>
      </c>
      <c r="I37" s="155">
        <v>598</v>
      </c>
      <c r="J37" s="102"/>
      <c r="K37" s="55"/>
      <c r="L37" s="55"/>
      <c r="M37" s="55"/>
      <c r="N37" s="56"/>
      <c r="O37" s="55"/>
      <c r="P37" s="102">
        <v>2.12</v>
      </c>
      <c r="Q37" s="102"/>
      <c r="R37" s="102"/>
      <c r="S37" s="58">
        <v>92.2</v>
      </c>
      <c r="T37" s="217">
        <v>2.9999999999999992E-3</v>
      </c>
      <c r="U37" s="217">
        <v>2.9315682269834315E-3</v>
      </c>
      <c r="V37" s="102"/>
      <c r="W37" s="102"/>
      <c r="X37" s="217">
        <v>34.546999999999997</v>
      </c>
      <c r="Y37" s="217">
        <v>33.758962512532207</v>
      </c>
      <c r="Z37" s="217">
        <v>2.2999999999999998</v>
      </c>
      <c r="AA37" s="217">
        <v>2.2475356406872979</v>
      </c>
      <c r="AB37" s="217">
        <v>22.77</v>
      </c>
      <c r="AC37" s="217">
        <v>22.250602842804248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35.023699999999998</v>
      </c>
      <c r="H38" s="118">
        <v>300</v>
      </c>
      <c r="I38" s="155">
        <v>299.89999999999998</v>
      </c>
      <c r="J38" s="102"/>
      <c r="K38" s="55"/>
      <c r="L38" s="55"/>
      <c r="M38" s="55"/>
      <c r="N38" s="56"/>
      <c r="O38" s="55"/>
      <c r="P38" s="102">
        <v>1.296</v>
      </c>
      <c r="Q38" s="102"/>
      <c r="R38" s="102"/>
      <c r="S38" s="58">
        <v>56.4</v>
      </c>
      <c r="T38" s="217">
        <v>4.0000000000000001E-3</v>
      </c>
      <c r="U38" s="217">
        <v>3.9087576359779098E-3</v>
      </c>
      <c r="V38" s="102"/>
      <c r="W38" s="102"/>
      <c r="X38" s="217">
        <v>31.995999999999999</v>
      </c>
      <c r="Y38" s="217">
        <v>31.266152330187296</v>
      </c>
      <c r="Z38" s="217">
        <v>1.9809999999999999</v>
      </c>
      <c r="AA38" s="217">
        <v>1.9358122192180596</v>
      </c>
      <c r="AB38" s="217">
        <v>14.61</v>
      </c>
      <c r="AC38" s="217">
        <v>14.276737265409315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35.793799999999997</v>
      </c>
      <c r="H39" s="118">
        <v>100</v>
      </c>
      <c r="I39" s="155">
        <v>98.9</v>
      </c>
      <c r="J39" s="102"/>
      <c r="K39" s="55"/>
      <c r="L39" s="55"/>
      <c r="M39" s="55"/>
      <c r="N39" s="56"/>
      <c r="O39" s="55"/>
      <c r="P39" s="102">
        <v>2.5579999999999998</v>
      </c>
      <c r="Q39" s="102"/>
      <c r="R39" s="102"/>
      <c r="S39" s="58">
        <v>111.4</v>
      </c>
      <c r="T39" s="217">
        <v>6.0999999999999999E-2</v>
      </c>
      <c r="U39" s="217">
        <v>5.9608553948663122E-2</v>
      </c>
      <c r="V39" s="102"/>
      <c r="W39" s="102"/>
      <c r="X39" s="217">
        <v>14.079000000000001</v>
      </c>
      <c r="Y39" s="217">
        <v>13.757849689233248</v>
      </c>
      <c r="Z39" s="217">
        <v>1.125</v>
      </c>
      <c r="AA39" s="217">
        <v>1.0993380851187871</v>
      </c>
      <c r="AB39" s="217">
        <v>5.31</v>
      </c>
      <c r="AC39" s="217">
        <v>5.1888757617606744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35.9512</v>
      </c>
      <c r="H40" s="118">
        <v>80</v>
      </c>
      <c r="I40" s="155">
        <v>78.099999999999994</v>
      </c>
      <c r="J40" s="102"/>
      <c r="K40" s="55"/>
      <c r="L40" s="55"/>
      <c r="M40" s="55"/>
      <c r="N40" s="56"/>
      <c r="O40" s="55"/>
      <c r="P40" s="102">
        <v>2.9260000000000002</v>
      </c>
      <c r="Q40" s="102"/>
      <c r="R40" s="102"/>
      <c r="S40" s="58">
        <v>127.4</v>
      </c>
      <c r="T40" s="217">
        <v>0.35199999999999998</v>
      </c>
      <c r="U40" s="217">
        <v>0.34397067196605602</v>
      </c>
      <c r="V40" s="102"/>
      <c r="W40" s="102"/>
      <c r="X40" s="217">
        <v>10.337999999999999</v>
      </c>
      <c r="Y40" s="217">
        <v>10.102184110184906</v>
      </c>
      <c r="Z40" s="217">
        <v>0.91</v>
      </c>
      <c r="AA40" s="217">
        <v>0.88924236218497443</v>
      </c>
      <c r="AB40" s="217">
        <v>4.21</v>
      </c>
      <c r="AC40" s="217">
        <v>4.1139674118667502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36.0197</v>
      </c>
      <c r="H41" s="118">
        <v>60</v>
      </c>
      <c r="I41" s="155">
        <v>60.4</v>
      </c>
      <c r="J41" s="102"/>
      <c r="K41" s="55"/>
      <c r="L41" s="55"/>
      <c r="M41" s="55"/>
      <c r="N41" s="56"/>
      <c r="O41" s="55"/>
      <c r="P41" s="102">
        <v>3.218</v>
      </c>
      <c r="Q41" s="102"/>
      <c r="R41" s="102"/>
      <c r="S41" s="58">
        <v>140.1</v>
      </c>
      <c r="T41" s="217">
        <v>0.50800000000000001</v>
      </c>
      <c r="U41" s="217">
        <v>0.49641221976919453</v>
      </c>
      <c r="V41" s="102"/>
      <c r="W41" s="102"/>
      <c r="X41" s="217">
        <v>8.5219999999999985</v>
      </c>
      <c r="Y41" s="217">
        <v>8.3276081434509344</v>
      </c>
      <c r="Z41" s="217">
        <v>0.77500000000000002</v>
      </c>
      <c r="AA41" s="217">
        <v>0.75732179197072003</v>
      </c>
      <c r="AB41" s="217">
        <v>3.66</v>
      </c>
      <c r="AC41" s="217">
        <v>3.5765132369197876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35.129399999999997</v>
      </c>
      <c r="H42" s="118">
        <v>40</v>
      </c>
      <c r="I42" s="155">
        <v>40.1</v>
      </c>
      <c r="J42" s="102"/>
      <c r="K42" s="55"/>
      <c r="L42" s="55"/>
      <c r="M42" s="55"/>
      <c r="N42" s="56"/>
      <c r="O42" s="55"/>
      <c r="P42" s="102">
        <v>4.5049999999999999</v>
      </c>
      <c r="Q42" s="102"/>
      <c r="R42" s="102"/>
      <c r="S42" s="58">
        <v>196.6</v>
      </c>
      <c r="T42" s="217">
        <v>1.0000000000000009E-3</v>
      </c>
      <c r="U42" s="217">
        <v>9.7718940899447831E-4</v>
      </c>
      <c r="V42" s="102"/>
      <c r="W42" s="102"/>
      <c r="X42" s="217">
        <v>8.8999999999999996E-2</v>
      </c>
      <c r="Y42" s="217">
        <v>8.6969857400508485E-2</v>
      </c>
      <c r="Z42" s="217">
        <v>7.8E-2</v>
      </c>
      <c r="AA42" s="217">
        <v>7.6220773901569241E-2</v>
      </c>
      <c r="AB42" s="217">
        <v>0.84</v>
      </c>
      <c r="AC42" s="217">
        <v>0.82083910355536094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34.380699999999997</v>
      </c>
      <c r="H43" s="118">
        <v>20</v>
      </c>
      <c r="I43" s="155">
        <v>20.5</v>
      </c>
      <c r="J43" s="102"/>
      <c r="K43" s="55"/>
      <c r="L43" s="55"/>
      <c r="M43" s="55"/>
      <c r="N43" s="56"/>
      <c r="O43" s="55"/>
      <c r="P43" s="102">
        <v>4.4249999999999998</v>
      </c>
      <c r="Q43" s="102"/>
      <c r="R43" s="102"/>
      <c r="S43" s="58">
        <v>193.3</v>
      </c>
      <c r="T43" s="217">
        <v>2.9999999999999992E-3</v>
      </c>
      <c r="U43" s="217">
        <v>2.9315682269834315E-3</v>
      </c>
      <c r="V43" s="102"/>
      <c r="W43" s="102"/>
      <c r="X43" s="217">
        <v>0.11699999999999999</v>
      </c>
      <c r="Y43" s="217">
        <v>0.11433116085235386</v>
      </c>
      <c r="Z43" s="217">
        <v>5.4000000000000006E-2</v>
      </c>
      <c r="AA43" s="217">
        <v>5.2768228085701786E-2</v>
      </c>
      <c r="AB43" s="217">
        <v>1.56</v>
      </c>
      <c r="AC43" s="217">
        <v>1.5244154780313848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32.869700000000002</v>
      </c>
      <c r="H44" s="118">
        <v>10</v>
      </c>
      <c r="I44" s="155">
        <v>9.6</v>
      </c>
      <c r="J44" s="102"/>
      <c r="K44" s="55"/>
      <c r="L44" s="55"/>
      <c r="M44" s="55"/>
      <c r="N44" s="56"/>
      <c r="O44" s="55"/>
      <c r="P44" s="102">
        <v>4.5910000000000002</v>
      </c>
      <c r="Q44" s="102"/>
      <c r="R44" s="102"/>
      <c r="S44" s="58">
        <v>200.8</v>
      </c>
      <c r="T44" s="217">
        <v>1.0000000000000009E-3</v>
      </c>
      <c r="U44" s="217">
        <v>9.7718940899447831E-4</v>
      </c>
      <c r="V44" s="102"/>
      <c r="W44" s="102"/>
      <c r="X44" s="217">
        <v>8.8999999999999996E-2</v>
      </c>
      <c r="Y44" s="217">
        <v>8.6969857400508485E-2</v>
      </c>
      <c r="Z44" s="217">
        <v>1.8000000000000002E-2</v>
      </c>
      <c r="AA44" s="217">
        <v>1.7589409361900597E-2</v>
      </c>
      <c r="AB44" s="217">
        <v>2.59</v>
      </c>
      <c r="AC44" s="217">
        <v>2.5309205692956964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32.176000000000002</v>
      </c>
      <c r="H45" s="118">
        <v>0</v>
      </c>
      <c r="I45" s="155">
        <v>1.9</v>
      </c>
      <c r="J45" s="102"/>
      <c r="K45" s="55"/>
      <c r="L45" s="55"/>
      <c r="M45" s="55"/>
      <c r="N45" s="56"/>
      <c r="O45" s="55"/>
      <c r="P45" s="102">
        <v>4.569</v>
      </c>
      <c r="Q45" s="102"/>
      <c r="R45" s="102"/>
      <c r="S45" s="154">
        <v>199.9</v>
      </c>
      <c r="T45" s="217">
        <v>5.0000000000000001E-3</v>
      </c>
      <c r="U45" s="217">
        <v>4.8859470449723877E-3</v>
      </c>
      <c r="V45" s="102"/>
      <c r="W45" s="102"/>
      <c r="X45" s="217">
        <v>0.155</v>
      </c>
      <c r="Y45" s="217">
        <v>0.15146435839414399</v>
      </c>
      <c r="Z45" s="217">
        <v>0.02</v>
      </c>
      <c r="AA45" s="217">
        <v>1.9543788179889551E-2</v>
      </c>
      <c r="AB45" s="217">
        <v>2.0499999999999998</v>
      </c>
      <c r="AC45" s="217">
        <v>2.0032382884386783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S35" sqref="S35:S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30.01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2°30,01</v>
      </c>
      <c r="P9" s="39" t="s">
        <v>3</v>
      </c>
      <c r="Q9" s="201">
        <f>IF(ISBLANK(I9),"",IF(ISBLANK(J9),"",IF(J9&gt;60,"ERREUR !!",O11*(I9+(J9/60)))))</f>
        <v>2.5001666666666669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6°0,4</v>
      </c>
      <c r="P10" s="39" t="s">
        <v>54</v>
      </c>
      <c r="Q10" s="201">
        <f>IF(ISBLANK(I10),"",IF(ISBLANK(J10),"",IF(J10&gt;60,"ERREUR !!",O12*(I10+(J10/60)))))</f>
        <v>6.0066666666666668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37867</v>
      </c>
      <c r="K11" s="72"/>
      <c r="L11" s="72"/>
      <c r="M11" s="72"/>
      <c r="N11" s="73" t="str">
        <f>I9&amp;"°"&amp;J9</f>
        <v>2°30,01</v>
      </c>
      <c r="O11" s="74">
        <f>IF(P9=M10,-1,1)</f>
        <v>1</v>
      </c>
      <c r="P11" s="185" t="str">
        <f>TEXT(J11,"aaaa-mm-jj")&amp;"T"&amp;TEXT(J12,"hh:mm:ss")&amp;"z"</f>
        <v>2007-09-04T04:00:00z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97">
        <v>0.16666666666666666</v>
      </c>
      <c r="K12" s="75"/>
      <c r="L12" s="75"/>
      <c r="M12" s="75"/>
      <c r="N12" s="76" t="str">
        <f>I10&amp;"°"&amp;J10</f>
        <v>6°0,4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34.655200000000001</v>
      </c>
      <c r="H35" s="126">
        <v>1000</v>
      </c>
      <c r="I35" s="155">
        <v>1009.72</v>
      </c>
      <c r="J35" s="127"/>
      <c r="K35" s="128"/>
      <c r="L35" s="128"/>
      <c r="M35" s="128"/>
      <c r="N35" s="129"/>
      <c r="O35" s="128"/>
      <c r="P35" s="127">
        <v>3.3530000000000002</v>
      </c>
      <c r="Q35" s="127"/>
      <c r="R35" s="127"/>
      <c r="S35" s="156">
        <v>145.69999999999999</v>
      </c>
      <c r="T35" s="217">
        <v>0</v>
      </c>
      <c r="U35" s="217">
        <v>0</v>
      </c>
      <c r="V35" s="127"/>
      <c r="W35" s="127"/>
      <c r="X35" s="217">
        <v>34.08</v>
      </c>
      <c r="Y35" s="217">
        <v>33.302615058531785</v>
      </c>
      <c r="Z35" s="217">
        <v>2.2239999999999998</v>
      </c>
      <c r="AA35" s="217">
        <v>2.1732692456037177</v>
      </c>
      <c r="AB35" s="218">
        <v>31.86</v>
      </c>
      <c r="AC35" s="217">
        <v>31.133254570564048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34.617699999999999</v>
      </c>
      <c r="H36" s="118">
        <v>600</v>
      </c>
      <c r="I36" s="155">
        <v>597</v>
      </c>
      <c r="J36" s="102"/>
      <c r="K36" s="55"/>
      <c r="L36" s="55"/>
      <c r="M36" s="55"/>
      <c r="N36" s="56"/>
      <c r="O36" s="55"/>
      <c r="P36" s="102">
        <v>2.327</v>
      </c>
      <c r="Q36" s="102"/>
      <c r="R36" s="102"/>
      <c r="S36" s="58">
        <v>101.2</v>
      </c>
      <c r="T36" s="217">
        <v>0</v>
      </c>
      <c r="U36" s="217">
        <v>0</v>
      </c>
      <c r="V36" s="102"/>
      <c r="W36" s="102"/>
      <c r="X36" s="217">
        <v>35.799999999999997</v>
      </c>
      <c r="Y36" s="217">
        <v>34.98338084200229</v>
      </c>
      <c r="Z36" s="217">
        <v>2.2650000000000001</v>
      </c>
      <c r="AA36" s="217">
        <v>2.2133340113724915</v>
      </c>
      <c r="AB36" s="218">
        <v>22.71</v>
      </c>
      <c r="AC36" s="217">
        <v>22.191971478264584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35.031399999999998</v>
      </c>
      <c r="H37" s="118">
        <v>300</v>
      </c>
      <c r="I37" s="155">
        <v>299</v>
      </c>
      <c r="J37" s="102"/>
      <c r="K37" s="55"/>
      <c r="L37" s="55"/>
      <c r="M37" s="55"/>
      <c r="N37" s="56"/>
      <c r="O37" s="55"/>
      <c r="P37" s="102">
        <v>1.29</v>
      </c>
      <c r="Q37" s="102"/>
      <c r="R37" s="102"/>
      <c r="S37" s="58">
        <v>56.1</v>
      </c>
      <c r="T37" s="217">
        <v>0</v>
      </c>
      <c r="U37" s="217">
        <v>0</v>
      </c>
      <c r="V37" s="102"/>
      <c r="W37" s="102"/>
      <c r="X37" s="217">
        <v>33.049999999999997</v>
      </c>
      <c r="Y37" s="217">
        <v>32.296109967267476</v>
      </c>
      <c r="Z37" s="217">
        <v>2.0019999999999998</v>
      </c>
      <c r="AA37" s="217">
        <v>1.9563331968069435</v>
      </c>
      <c r="AB37" s="218">
        <v>14.78</v>
      </c>
      <c r="AC37" s="217">
        <v>14.442859464938376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35.0321</v>
      </c>
      <c r="H38" s="118">
        <v>300</v>
      </c>
      <c r="I38" s="155">
        <v>299</v>
      </c>
      <c r="J38" s="102"/>
      <c r="K38" s="55"/>
      <c r="L38" s="55"/>
      <c r="M38" s="55"/>
      <c r="N38" s="56"/>
      <c r="O38" s="55"/>
      <c r="P38" s="102">
        <v>1.323</v>
      </c>
      <c r="Q38" s="102"/>
      <c r="R38" s="102"/>
      <c r="S38" s="58">
        <v>57.5</v>
      </c>
      <c r="T38" s="217">
        <v>0</v>
      </c>
      <c r="U38" s="217">
        <v>0</v>
      </c>
      <c r="V38" s="102"/>
      <c r="W38" s="102"/>
      <c r="X38" s="217">
        <v>33.630000000000003</v>
      </c>
      <c r="Y38" s="217">
        <v>32.862879824484274</v>
      </c>
      <c r="Z38" s="217">
        <v>1.9809999999999999</v>
      </c>
      <c r="AA38" s="217">
        <v>1.9358122192180596</v>
      </c>
      <c r="AB38" s="218">
        <v>14.56</v>
      </c>
      <c r="AC38" s="217">
        <v>14.227877794959591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35.837800000000001</v>
      </c>
      <c r="H39" s="118">
        <v>100</v>
      </c>
      <c r="I39" s="155">
        <v>98</v>
      </c>
      <c r="J39" s="102"/>
      <c r="K39" s="55"/>
      <c r="L39" s="55"/>
      <c r="M39" s="55"/>
      <c r="N39" s="56"/>
      <c r="O39" s="55"/>
      <c r="P39" s="102">
        <v>2.95</v>
      </c>
      <c r="Q39" s="102"/>
      <c r="R39" s="102"/>
      <c r="S39" s="58">
        <v>128.4</v>
      </c>
      <c r="T39" s="217">
        <v>5.5999999999999994E-2</v>
      </c>
      <c r="U39" s="217">
        <v>5.4722606903690726E-2</v>
      </c>
      <c r="V39" s="102"/>
      <c r="W39" s="102"/>
      <c r="X39" s="217">
        <v>14.224</v>
      </c>
      <c r="Y39" s="217">
        <v>13.899542153537446</v>
      </c>
      <c r="Z39" s="217">
        <v>1</v>
      </c>
      <c r="AA39" s="217">
        <v>0.97718940899447737</v>
      </c>
      <c r="AB39" s="218">
        <v>5.13</v>
      </c>
      <c r="AC39" s="217">
        <v>5.012981668141669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35.962000000000003</v>
      </c>
      <c r="H40" s="118">
        <v>80</v>
      </c>
      <c r="I40" s="155">
        <v>74</v>
      </c>
      <c r="J40" s="102"/>
      <c r="K40" s="55"/>
      <c r="L40" s="55"/>
      <c r="M40" s="55"/>
      <c r="N40" s="56"/>
      <c r="O40" s="55"/>
      <c r="P40" s="102">
        <v>3.07</v>
      </c>
      <c r="Q40" s="102"/>
      <c r="R40" s="102"/>
      <c r="S40" s="58">
        <v>133.6</v>
      </c>
      <c r="T40" s="217">
        <v>0.17599999999999999</v>
      </c>
      <c r="U40" s="217">
        <v>0.17198533598302801</v>
      </c>
      <c r="V40" s="102"/>
      <c r="W40" s="102"/>
      <c r="X40" s="217">
        <v>10.474</v>
      </c>
      <c r="Y40" s="217">
        <v>10.235081869808157</v>
      </c>
      <c r="Z40" s="217">
        <v>0.89100000000000001</v>
      </c>
      <c r="AA40" s="217">
        <v>0.87067576341407937</v>
      </c>
      <c r="AB40" s="218">
        <v>4.2</v>
      </c>
      <c r="AC40" s="217">
        <v>4.1041955177768052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35.498899999999999</v>
      </c>
      <c r="H41" s="118">
        <v>60</v>
      </c>
      <c r="I41" s="155">
        <v>61</v>
      </c>
      <c r="J41" s="102"/>
      <c r="K41" s="55"/>
      <c r="L41" s="55"/>
      <c r="M41" s="55"/>
      <c r="N41" s="56"/>
      <c r="O41" s="55"/>
      <c r="P41" s="102">
        <v>4.2729999999999997</v>
      </c>
      <c r="Q41" s="102"/>
      <c r="R41" s="102"/>
      <c r="S41" s="58">
        <v>186.4</v>
      </c>
      <c r="T41" s="217">
        <v>4.4999999999999998E-2</v>
      </c>
      <c r="U41" s="217">
        <v>4.3973523404751483E-2</v>
      </c>
      <c r="V41" s="102"/>
      <c r="W41" s="102"/>
      <c r="X41" s="217">
        <v>0.48499999999999999</v>
      </c>
      <c r="Y41" s="217">
        <v>0.4739368633623216</v>
      </c>
      <c r="Z41" s="217">
        <v>0.188</v>
      </c>
      <c r="AA41" s="217">
        <v>0.18371160889096175</v>
      </c>
      <c r="AB41" s="218">
        <v>1.1399999999999999</v>
      </c>
      <c r="AC41" s="217">
        <v>1.1139959262537042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35.149700000000003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4.9470000000000001</v>
      </c>
      <c r="Q42" s="102"/>
      <c r="R42" s="102"/>
      <c r="S42" s="58">
        <v>215.9</v>
      </c>
      <c r="T42" s="217">
        <v>0</v>
      </c>
      <c r="U42" s="217">
        <v>0</v>
      </c>
      <c r="V42" s="102"/>
      <c r="W42" s="102"/>
      <c r="X42" s="217">
        <v>0</v>
      </c>
      <c r="Y42" s="217">
        <v>0</v>
      </c>
      <c r="Z42" s="217">
        <v>0.111</v>
      </c>
      <c r="AA42" s="217">
        <v>0.10846802439838699</v>
      </c>
      <c r="AB42" s="218">
        <v>0.54</v>
      </c>
      <c r="AC42" s="217">
        <v>0.52768228085701785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35.115900000000003</v>
      </c>
      <c r="H43" s="118">
        <v>20</v>
      </c>
      <c r="I43" s="155">
        <v>19</v>
      </c>
      <c r="J43" s="102"/>
      <c r="K43" s="55"/>
      <c r="L43" s="55"/>
      <c r="M43" s="55"/>
      <c r="N43" s="56"/>
      <c r="O43" s="55"/>
      <c r="P43" s="102">
        <v>4.5380000000000003</v>
      </c>
      <c r="Q43" s="102"/>
      <c r="R43" s="102"/>
      <c r="S43" s="58">
        <v>198.1</v>
      </c>
      <c r="T43" s="217">
        <v>1.0000000000000009E-3</v>
      </c>
      <c r="U43" s="217">
        <v>9.7718940899447831E-4</v>
      </c>
      <c r="V43" s="102"/>
      <c r="W43" s="102"/>
      <c r="X43" s="217">
        <v>0</v>
      </c>
      <c r="Y43" s="217">
        <v>0</v>
      </c>
      <c r="Z43" s="217">
        <v>0.12399999999999999</v>
      </c>
      <c r="AA43" s="217">
        <v>0.12117148671531518</v>
      </c>
      <c r="AB43" s="218">
        <v>0.5</v>
      </c>
      <c r="AC43" s="217">
        <v>0.48859470449723869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35.118299999999998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4.5789999999999997</v>
      </c>
      <c r="Q44" s="102"/>
      <c r="R44" s="102"/>
      <c r="S44" s="58">
        <v>199.9</v>
      </c>
      <c r="T44" s="217">
        <v>0</v>
      </c>
      <c r="U44" s="217">
        <v>0</v>
      </c>
      <c r="V44" s="102"/>
      <c r="W44" s="102"/>
      <c r="X44" s="217">
        <v>0.03</v>
      </c>
      <c r="Y44" s="217">
        <v>2.9315682269834321E-2</v>
      </c>
      <c r="Z44" s="217">
        <v>0.12</v>
      </c>
      <c r="AA44" s="217">
        <v>0.1172627290793373</v>
      </c>
      <c r="AB44" s="218">
        <v>0.47</v>
      </c>
      <c r="AC44" s="217">
        <v>0.45927902222740435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35.116900000000001</v>
      </c>
      <c r="H45" s="118">
        <v>0</v>
      </c>
      <c r="I45" s="155">
        <v>2</v>
      </c>
      <c r="J45" s="102"/>
      <c r="K45" s="55"/>
      <c r="L45" s="55"/>
      <c r="M45" s="55"/>
      <c r="N45" s="56"/>
      <c r="O45" s="55"/>
      <c r="P45" s="102">
        <v>4.569</v>
      </c>
      <c r="Q45" s="102"/>
      <c r="R45" s="102"/>
      <c r="S45" s="58">
        <v>199.4</v>
      </c>
      <c r="T45" s="217">
        <v>4.0000000000000001E-3</v>
      </c>
      <c r="U45" s="217">
        <v>3.9087576359779098E-3</v>
      </c>
      <c r="V45" s="102"/>
      <c r="W45" s="102"/>
      <c r="X45" s="217">
        <v>7.5999999999999998E-2</v>
      </c>
      <c r="Y45" s="217">
        <v>7.4266395083580281E-2</v>
      </c>
      <c r="Z45" s="217">
        <v>0.12</v>
      </c>
      <c r="AA45" s="217">
        <v>0.1172627290793373</v>
      </c>
      <c r="AB45" s="218">
        <v>0.43</v>
      </c>
      <c r="AC45" s="217">
        <v>0.4201914458676253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10" sqref="J10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4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59.99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1°59,99</v>
      </c>
      <c r="P9" s="39" t="s">
        <v>3</v>
      </c>
      <c r="Q9" s="201">
        <f>IF(ISBLANK(I9),"",IF(ISBLANK(J9),"",IF(J9&gt;60,"ERREUR !!",O11*(I9+(J9/60)))))</f>
        <v>1.9998333333333334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0.17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6°0,17</v>
      </c>
      <c r="P10" s="39" t="s">
        <v>54</v>
      </c>
      <c r="Q10" s="201">
        <f>IF(ISBLANK(I10),"",IF(ISBLANK(J10),"",IF(J10&gt;60,"ERREUR !!",O12*(I10+(J10/60)))))</f>
        <v>6.0028333333333332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37867</v>
      </c>
      <c r="K11" s="72"/>
      <c r="L11" s="72"/>
      <c r="M11" s="72"/>
      <c r="N11" s="73" t="str">
        <f>I9&amp;"°"&amp;J9</f>
        <v>1°59,99</v>
      </c>
      <c r="O11" s="74">
        <f>IF(P9=M10,-1,1)</f>
        <v>1</v>
      </c>
      <c r="P11" s="185" t="str">
        <f>TEXT(J11,"aaaa-mm-jj")&amp;"T"&amp;TEXT(J12,"hh:mm:ss")&amp;"z"</f>
        <v>2007-09-04T09:30:00z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0.39583333333333331</v>
      </c>
      <c r="K12" s="75"/>
      <c r="L12" s="75"/>
      <c r="M12" s="75"/>
      <c r="N12" s="76" t="str">
        <f>I10&amp;"°"&amp;J10</f>
        <v>6°0,17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34.956200000000003</v>
      </c>
      <c r="H35" s="126">
        <v>2000</v>
      </c>
      <c r="I35" s="155">
        <v>1993</v>
      </c>
      <c r="J35" s="127"/>
      <c r="K35" s="128"/>
      <c r="L35" s="128"/>
      <c r="M35" s="128"/>
      <c r="N35" s="129"/>
      <c r="O35" s="128"/>
      <c r="P35" s="127">
        <v>5.2889999999999997</v>
      </c>
      <c r="Q35" s="127"/>
      <c r="R35" s="127"/>
      <c r="S35" s="156">
        <v>229.9</v>
      </c>
      <c r="T35" s="217">
        <v>8.0000000000000002E-3</v>
      </c>
      <c r="U35" s="217">
        <v>7.8175152719558196E-3</v>
      </c>
      <c r="V35" s="127"/>
      <c r="W35" s="127"/>
      <c r="X35" s="217">
        <v>16.832000000000001</v>
      </c>
      <c r="Y35" s="217">
        <v>16.448052132195045</v>
      </c>
      <c r="Z35" s="217">
        <v>1.3979999999999999</v>
      </c>
      <c r="AA35" s="217">
        <v>1.3661107937742794</v>
      </c>
      <c r="AB35" s="217">
        <v>24.28</v>
      </c>
      <c r="AC35" s="217">
        <v>23.726158850385911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34.628100000000003</v>
      </c>
      <c r="H36" s="118">
        <v>1000</v>
      </c>
      <c r="I36" s="155">
        <v>1000</v>
      </c>
      <c r="J36" s="102"/>
      <c r="K36" s="55"/>
      <c r="L36" s="55"/>
      <c r="M36" s="55"/>
      <c r="N36" s="56"/>
      <c r="O36" s="55"/>
      <c r="P36" s="102">
        <v>3.3919999999999999</v>
      </c>
      <c r="Q36" s="102"/>
      <c r="R36" s="102"/>
      <c r="S36" s="58">
        <v>147.5</v>
      </c>
      <c r="T36" s="217">
        <v>4.0000000000000001E-3</v>
      </c>
      <c r="U36" s="217">
        <v>3.9087576359779098E-3</v>
      </c>
      <c r="V36" s="102"/>
      <c r="W36" s="102"/>
      <c r="X36" s="217">
        <v>28.355999999999998</v>
      </c>
      <c r="Y36" s="217">
        <v>27.709182881447401</v>
      </c>
      <c r="Z36" s="217">
        <v>2.2159999999999997</v>
      </c>
      <c r="AA36" s="217">
        <v>2.1654517303317617</v>
      </c>
      <c r="AB36" s="217">
        <v>31.16</v>
      </c>
      <c r="AC36" s="217">
        <v>30.449221984267915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34.622900000000001</v>
      </c>
      <c r="H37" s="118">
        <v>600</v>
      </c>
      <c r="I37" s="155">
        <v>602</v>
      </c>
      <c r="J37" s="102"/>
      <c r="K37" s="55"/>
      <c r="L37" s="55"/>
      <c r="M37" s="55"/>
      <c r="N37" s="56"/>
      <c r="O37" s="55"/>
      <c r="P37" s="102">
        <v>2.3039999999999998</v>
      </c>
      <c r="Q37" s="102"/>
      <c r="R37" s="102"/>
      <c r="S37" s="58">
        <v>100.2</v>
      </c>
      <c r="T37" s="217">
        <v>8.9999999999999993E-3</v>
      </c>
      <c r="U37" s="217">
        <v>8.7947046809502966E-3</v>
      </c>
      <c r="V37" s="102"/>
      <c r="W37" s="102"/>
      <c r="X37" s="217">
        <v>31.161000000000001</v>
      </c>
      <c r="Y37" s="217">
        <v>30.450199173676911</v>
      </c>
      <c r="Z37" s="217">
        <v>2.278</v>
      </c>
      <c r="AA37" s="217">
        <v>2.2260374736894195</v>
      </c>
      <c r="AB37" s="217">
        <v>22.77</v>
      </c>
      <c r="AC37" s="217">
        <v>22.250602842804248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9">
        <v>35.784999999999997</v>
      </c>
      <c r="H38" s="118">
        <v>100</v>
      </c>
      <c r="I38" s="155">
        <v>99.7</v>
      </c>
      <c r="J38" s="102"/>
      <c r="K38" s="55"/>
      <c r="L38" s="55"/>
      <c r="M38" s="55"/>
      <c r="N38" s="56"/>
      <c r="O38" s="55"/>
      <c r="P38" s="102">
        <v>2.9769999999999999</v>
      </c>
      <c r="Q38" s="102"/>
      <c r="R38" s="102"/>
      <c r="S38" s="58">
        <v>129.6</v>
      </c>
      <c r="T38" s="217">
        <v>5.8000000000000003E-2</v>
      </c>
      <c r="U38" s="217">
        <v>5.6676985721679694E-2</v>
      </c>
      <c r="V38" s="102"/>
      <c r="W38" s="102"/>
      <c r="X38" s="217">
        <v>12.092000000000001</v>
      </c>
      <c r="Y38" s="217">
        <v>11.816174333561221</v>
      </c>
      <c r="Z38" s="217">
        <v>1.0169999999999999</v>
      </c>
      <c r="AA38" s="217">
        <v>0.99380162894738344</v>
      </c>
      <c r="AB38" s="217">
        <v>5.32</v>
      </c>
      <c r="AC38" s="217">
        <v>5.1986476558506203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9">
        <v>35.784500000000001</v>
      </c>
      <c r="H39" s="118">
        <v>100</v>
      </c>
      <c r="I39" s="155">
        <v>102</v>
      </c>
      <c r="J39" s="102"/>
      <c r="K39" s="55"/>
      <c r="L39" s="55"/>
      <c r="M39" s="55"/>
      <c r="N39" s="56"/>
      <c r="O39" s="55"/>
      <c r="P39" s="102">
        <v>3.2909999999999999</v>
      </c>
      <c r="Q39" s="102"/>
      <c r="R39" s="102"/>
      <c r="S39" s="58">
        <v>143.30000000000001</v>
      </c>
      <c r="T39" s="217">
        <v>9.6000000000000002E-2</v>
      </c>
      <c r="U39" s="217">
        <v>9.3810183263469835E-2</v>
      </c>
      <c r="V39" s="102"/>
      <c r="W39" s="102"/>
      <c r="X39" s="217">
        <v>11.794</v>
      </c>
      <c r="Y39" s="217">
        <v>11.524971889680867</v>
      </c>
      <c r="Z39" s="217">
        <v>0.96099999999999997</v>
      </c>
      <c r="AA39" s="217">
        <v>0.93907902204369276</v>
      </c>
      <c r="AB39" s="217">
        <v>5</v>
      </c>
      <c r="AC39" s="217">
        <v>4.8859470449723874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35.836300000000001</v>
      </c>
      <c r="H40" s="118">
        <v>80</v>
      </c>
      <c r="I40" s="155">
        <v>78.099999999999994</v>
      </c>
      <c r="J40" s="102"/>
      <c r="K40" s="55"/>
      <c r="L40" s="55"/>
      <c r="M40" s="55"/>
      <c r="N40" s="56"/>
      <c r="O40" s="55"/>
      <c r="P40" s="102">
        <v>3.0019999999999998</v>
      </c>
      <c r="Q40" s="102"/>
      <c r="R40" s="102"/>
      <c r="S40" s="58">
        <v>130.69999999999999</v>
      </c>
      <c r="T40" s="217">
        <v>9.6000000000000002E-2</v>
      </c>
      <c r="U40" s="217">
        <v>9.3810183263469835E-2</v>
      </c>
      <c r="V40" s="102"/>
      <c r="W40" s="102"/>
      <c r="X40" s="217">
        <v>12.864000000000001</v>
      </c>
      <c r="Y40" s="217">
        <v>12.570564557304959</v>
      </c>
      <c r="Z40" s="217">
        <v>0.94099999999999995</v>
      </c>
      <c r="AA40" s="217">
        <v>0.9195352338638032</v>
      </c>
      <c r="AB40" s="217">
        <v>4.87</v>
      </c>
      <c r="AC40" s="217">
        <v>4.7589124218031049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35.439799999999998</v>
      </c>
      <c r="H41" s="118">
        <v>60</v>
      </c>
      <c r="I41" s="155">
        <v>58.6</v>
      </c>
      <c r="J41" s="102"/>
      <c r="K41" s="55"/>
      <c r="L41" s="55"/>
      <c r="M41" s="55"/>
      <c r="N41" s="56"/>
      <c r="O41" s="55"/>
      <c r="P41" s="102">
        <v>4.0880000000000001</v>
      </c>
      <c r="Q41" s="102"/>
      <c r="R41" s="102"/>
      <c r="S41" s="58">
        <v>178.3</v>
      </c>
      <c r="T41" s="217">
        <v>0.14099999999999999</v>
      </c>
      <c r="U41" s="217">
        <v>0.13778370666822129</v>
      </c>
      <c r="V41" s="102"/>
      <c r="W41" s="102"/>
      <c r="X41" s="217">
        <v>6.0289999999999999</v>
      </c>
      <c r="Y41" s="217">
        <v>5.8914749468277039</v>
      </c>
      <c r="Z41" s="217">
        <v>0.45600000000000002</v>
      </c>
      <c r="AA41" s="217">
        <v>0.44559837050148171</v>
      </c>
      <c r="AB41" s="217">
        <v>2.37</v>
      </c>
      <c r="AC41" s="217">
        <v>2.3159388993169117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35.185400000000001</v>
      </c>
      <c r="H42" s="118">
        <v>40</v>
      </c>
      <c r="I42" s="155">
        <v>39.5</v>
      </c>
      <c r="J42" s="102"/>
      <c r="K42" s="55"/>
      <c r="L42" s="55"/>
      <c r="M42" s="55"/>
      <c r="N42" s="56"/>
      <c r="O42" s="55"/>
      <c r="P42" s="102">
        <v>4.5149999999999997</v>
      </c>
      <c r="Q42" s="102"/>
      <c r="R42" s="102"/>
      <c r="S42" s="58">
        <v>197</v>
      </c>
      <c r="T42" s="217">
        <v>1.4999999999999999E-2</v>
      </c>
      <c r="U42" s="217">
        <v>1.465784113491716E-2</v>
      </c>
      <c r="V42" s="102"/>
      <c r="W42" s="102"/>
      <c r="X42" s="217">
        <v>0.375</v>
      </c>
      <c r="Y42" s="217">
        <v>0.366446028372929</v>
      </c>
      <c r="Z42" s="217">
        <v>2.2999999999999993E-2</v>
      </c>
      <c r="AA42" s="217">
        <v>2.2475356406872975E-2</v>
      </c>
      <c r="AB42" s="217">
        <v>0.79</v>
      </c>
      <c r="AC42" s="217">
        <v>0.77197963310563722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35.177799999999998</v>
      </c>
      <c r="H43" s="118">
        <v>20</v>
      </c>
      <c r="I43" s="155">
        <v>19.399999999999999</v>
      </c>
      <c r="J43" s="102"/>
      <c r="K43" s="55"/>
      <c r="L43" s="55"/>
      <c r="M43" s="55"/>
      <c r="N43" s="56"/>
      <c r="O43" s="55"/>
      <c r="P43" s="102">
        <v>4.593</v>
      </c>
      <c r="Q43" s="102"/>
      <c r="R43" s="102"/>
      <c r="S43" s="58">
        <v>200.5</v>
      </c>
      <c r="T43" s="217">
        <v>2.1000000000000001E-2</v>
      </c>
      <c r="U43" s="217">
        <v>2.0520977588884028E-2</v>
      </c>
      <c r="V43" s="102"/>
      <c r="W43" s="102"/>
      <c r="X43" s="217">
        <v>0.11900000000000001</v>
      </c>
      <c r="Y43" s="217">
        <v>0.11628553967034282</v>
      </c>
      <c r="Z43" s="217">
        <v>2.2999999999999993E-2</v>
      </c>
      <c r="AA43" s="217">
        <v>2.2475356406872975E-2</v>
      </c>
      <c r="AB43" s="217">
        <v>0.8</v>
      </c>
      <c r="AC43" s="217">
        <v>0.78175152719558194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35.177900000000001</v>
      </c>
      <c r="H44" s="118">
        <v>10</v>
      </c>
      <c r="I44" s="155">
        <v>9.8000000000000007</v>
      </c>
      <c r="J44" s="102"/>
      <c r="K44" s="55"/>
      <c r="L44" s="55"/>
      <c r="M44" s="55"/>
      <c r="N44" s="56"/>
      <c r="O44" s="55"/>
      <c r="P44" s="102">
        <v>4.5250000000000004</v>
      </c>
      <c r="Q44" s="102"/>
      <c r="R44" s="102"/>
      <c r="S44" s="58">
        <v>197.5</v>
      </c>
      <c r="T44" s="217">
        <v>1.6E-2</v>
      </c>
      <c r="U44" s="217">
        <v>1.5635030543911639E-2</v>
      </c>
      <c r="V44" s="102"/>
      <c r="W44" s="102"/>
      <c r="X44" s="217">
        <v>0.20400000000000001</v>
      </c>
      <c r="Y44" s="217">
        <v>0.19934663943487341</v>
      </c>
      <c r="Z44" s="217">
        <v>0.02</v>
      </c>
      <c r="AA44" s="217">
        <v>1.9543788179889551E-2</v>
      </c>
      <c r="AB44" s="217">
        <v>0.83</v>
      </c>
      <c r="AC44" s="217">
        <v>0.81106720946541622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35.180399999999999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02">
        <v>4.5289999999999999</v>
      </c>
      <c r="Q45" s="102"/>
      <c r="R45" s="102"/>
      <c r="S45" s="58">
        <v>197.7</v>
      </c>
      <c r="T45" s="217">
        <v>1.2999999999999999E-2</v>
      </c>
      <c r="U45" s="217">
        <v>1.2703462316928206E-2</v>
      </c>
      <c r="V45" s="102"/>
      <c r="W45" s="102"/>
      <c r="X45" s="217">
        <v>0.17699999999999999</v>
      </c>
      <c r="Y45" s="217">
        <v>0.1729625253920225</v>
      </c>
      <c r="Z45" s="217">
        <v>2.8999999999999998E-2</v>
      </c>
      <c r="AA45" s="217">
        <v>2.8338492860839844E-2</v>
      </c>
      <c r="AB45" s="217">
        <v>0.86</v>
      </c>
      <c r="AC45" s="217">
        <v>0.8403828917352506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Q47" sqref="Q47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5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30.19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1°30,19</v>
      </c>
      <c r="P9" s="39" t="s">
        <v>3</v>
      </c>
      <c r="Q9" s="201">
        <f>IF(ISBLANK(I9),"",IF(ISBLANK(J9),"",IF(J9&gt;60,"ERREUR !!",O11*(I9+(J9/60)))))</f>
        <v>1.5031666666666665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0.28000000000000003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6°0,28</v>
      </c>
      <c r="P10" s="39" t="s">
        <v>54</v>
      </c>
      <c r="Q10" s="201">
        <f>IF(ISBLANK(I10),"",IF(ISBLANK(J10),"",IF(J10&gt;60,"ERREUR !!",O12*(I10+(J10/60)))))</f>
        <v>6.004666666666667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37867</v>
      </c>
      <c r="K11" s="72"/>
      <c r="L11" s="72"/>
      <c r="M11" s="72"/>
      <c r="N11" s="73" t="str">
        <f>I9&amp;"°"&amp;J9</f>
        <v>1°30,19</v>
      </c>
      <c r="O11" s="74">
        <f>IF(P9=M10,-1,1)</f>
        <v>1</v>
      </c>
      <c r="P11" s="185" t="str">
        <f>TEXT(J11,"aaaa-mm-jj")&amp;"T"&amp;TEXT(J12,"hh:mm:ss")&amp;"z"</f>
        <v>2007-09-04T15:30:00z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0.64583333333333337</v>
      </c>
      <c r="K12" s="75"/>
      <c r="L12" s="75"/>
      <c r="M12" s="75"/>
      <c r="N12" s="76" t="str">
        <f>I10&amp;"°"&amp;J10</f>
        <v>6°0,28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34.942</v>
      </c>
      <c r="H35" s="126">
        <v>2000</v>
      </c>
      <c r="I35" s="155">
        <v>1999</v>
      </c>
      <c r="J35" s="127"/>
      <c r="K35" s="128"/>
      <c r="L35" s="128"/>
      <c r="M35" s="128"/>
      <c r="N35" s="129"/>
      <c r="O35" s="128"/>
      <c r="P35" s="127">
        <v>5.4610000000000003</v>
      </c>
      <c r="Q35" s="127"/>
      <c r="R35" s="127"/>
      <c r="S35" s="156">
        <v>237.3</v>
      </c>
      <c r="T35" s="217">
        <v>6.0000000000000001E-3</v>
      </c>
      <c r="U35" s="217">
        <v>5.8631364539668647E-3</v>
      </c>
      <c r="X35" s="217">
        <v>17.483999999999998</v>
      </c>
      <c r="Y35" s="217">
        <v>17.085179626859443</v>
      </c>
      <c r="Z35" s="217">
        <v>1.4159999999999999</v>
      </c>
      <c r="AA35" s="217">
        <v>1.38370020313618</v>
      </c>
      <c r="AB35" s="217">
        <v>26.13</v>
      </c>
      <c r="AC35" s="217">
        <v>25.533959257025693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34.6233</v>
      </c>
      <c r="H36" s="118">
        <v>1000</v>
      </c>
      <c r="I36" s="155">
        <v>1000</v>
      </c>
      <c r="J36" s="102"/>
      <c r="K36" s="55"/>
      <c r="L36" s="55"/>
      <c r="M36" s="55"/>
      <c r="N36" s="56"/>
      <c r="O36" s="55"/>
      <c r="P36" s="102">
        <v>3.4060000000000001</v>
      </c>
      <c r="Q36" s="102"/>
      <c r="R36" s="102"/>
      <c r="S36" s="58">
        <v>148.1</v>
      </c>
      <c r="T36" s="217">
        <v>4.0000000000000001E-3</v>
      </c>
      <c r="U36" s="217">
        <v>3.9087576359779098E-3</v>
      </c>
      <c r="X36" s="217">
        <v>28.745999999999999</v>
      </c>
      <c r="Y36" s="217">
        <v>28.090286750955247</v>
      </c>
      <c r="Z36" s="217">
        <v>2.2239999999999998</v>
      </c>
      <c r="AA36" s="217">
        <v>2.1732692456037177</v>
      </c>
      <c r="AB36" s="217">
        <v>30.91</v>
      </c>
      <c r="AC36" s="217">
        <v>30.204924632019296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34.616399999999999</v>
      </c>
      <c r="H37" s="118">
        <v>600</v>
      </c>
      <c r="I37" s="155">
        <v>598</v>
      </c>
      <c r="J37" s="102"/>
      <c r="K37" s="55"/>
      <c r="L37" s="55"/>
      <c r="M37" s="55"/>
      <c r="N37" s="56"/>
      <c r="O37" s="55"/>
      <c r="P37" s="102">
        <v>2.363</v>
      </c>
      <c r="Q37" s="102"/>
      <c r="R37" s="102"/>
      <c r="S37" s="58">
        <v>102.8</v>
      </c>
      <c r="T37" s="217">
        <v>8.0000000000000002E-3</v>
      </c>
      <c r="U37" s="217">
        <v>7.8175152719558196E-3</v>
      </c>
      <c r="X37" s="217">
        <v>31.282</v>
      </c>
      <c r="Y37" s="217">
        <v>30.568439092165242</v>
      </c>
      <c r="Z37" s="217">
        <v>2.29</v>
      </c>
      <c r="AA37" s="217">
        <v>2.2377637465973534</v>
      </c>
      <c r="AB37" s="217">
        <v>22.59</v>
      </c>
      <c r="AC37" s="217">
        <v>22.074708749185245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35.757800000000003</v>
      </c>
      <c r="H38" s="118">
        <v>100</v>
      </c>
      <c r="I38" s="155">
        <v>98</v>
      </c>
      <c r="J38" s="102"/>
      <c r="K38" s="55"/>
      <c r="L38" s="55"/>
      <c r="M38" s="55"/>
      <c r="N38" s="56"/>
      <c r="O38" s="55"/>
      <c r="P38" s="102">
        <v>3.1360000000000001</v>
      </c>
      <c r="Q38" s="102"/>
      <c r="R38" s="102"/>
      <c r="S38" s="58">
        <v>136.5</v>
      </c>
      <c r="T38" s="217">
        <v>6.3E-2</v>
      </c>
      <c r="U38" s="217">
        <v>6.1562932766652076E-2</v>
      </c>
      <c r="X38" s="217">
        <v>10.987</v>
      </c>
      <c r="Y38" s="217">
        <v>10.736380036622323</v>
      </c>
      <c r="Z38" s="217">
        <v>0.95499999999999996</v>
      </c>
      <c r="AA38" s="217">
        <v>0.9332158855897259</v>
      </c>
      <c r="AB38" s="217">
        <v>4.82</v>
      </c>
      <c r="AC38" s="217">
        <v>4.7100529513533811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35.804299999999998</v>
      </c>
      <c r="H39" s="118">
        <v>80</v>
      </c>
      <c r="I39" s="155">
        <v>79.900000000000006</v>
      </c>
      <c r="J39" s="102"/>
      <c r="K39" s="55"/>
      <c r="L39" s="55"/>
      <c r="M39" s="55"/>
      <c r="N39" s="56"/>
      <c r="O39" s="55"/>
      <c r="P39" s="102">
        <v>3.202</v>
      </c>
      <c r="Q39" s="102"/>
      <c r="R39" s="102"/>
      <c r="S39" s="58">
        <v>139.4</v>
      </c>
      <c r="T39" s="217">
        <v>6.0999999999999999E-2</v>
      </c>
      <c r="U39" s="217">
        <v>5.9608553948663122E-2</v>
      </c>
      <c r="X39" s="217">
        <v>11.638999999999999</v>
      </c>
      <c r="Y39" s="217">
        <v>11.373507531286721</v>
      </c>
      <c r="Z39" s="217">
        <v>0.94299999999999995</v>
      </c>
      <c r="AA39" s="217">
        <v>0.92148961268179219</v>
      </c>
      <c r="AB39" s="217">
        <v>4.8600000000000003</v>
      </c>
      <c r="AC39" s="217">
        <v>4.7491405277131609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35.808799999999998</v>
      </c>
      <c r="H40" s="118">
        <v>80</v>
      </c>
      <c r="I40" s="155">
        <v>79.599999999999994</v>
      </c>
      <c r="J40" s="102"/>
      <c r="K40" s="55"/>
      <c r="L40" s="55"/>
      <c r="M40" s="55"/>
      <c r="N40" s="56"/>
      <c r="O40" s="55"/>
      <c r="P40" s="102">
        <v>3.3410000000000002</v>
      </c>
      <c r="Q40" s="102"/>
      <c r="R40" s="102"/>
      <c r="S40" s="58">
        <v>145.4</v>
      </c>
      <c r="T40" s="217">
        <v>8.5000000000000006E-2</v>
      </c>
      <c r="U40" s="217">
        <v>8.3061099764530591E-2</v>
      </c>
      <c r="X40" s="217">
        <v>12.375</v>
      </c>
      <c r="Y40" s="217">
        <v>12.092718936306659</v>
      </c>
      <c r="Z40" s="217">
        <v>0.98299999999999998</v>
      </c>
      <c r="AA40" s="217">
        <v>0.9605771890415713</v>
      </c>
      <c r="AB40" s="217">
        <v>4.87</v>
      </c>
      <c r="AC40" s="217">
        <v>4.7589124218031049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35.6447</v>
      </c>
      <c r="H41" s="118">
        <v>60</v>
      </c>
      <c r="I41" s="155">
        <v>59.4</v>
      </c>
      <c r="J41" s="102"/>
      <c r="K41" s="55"/>
      <c r="L41" s="55"/>
      <c r="M41" s="55"/>
      <c r="N41" s="56"/>
      <c r="O41" s="55"/>
      <c r="P41" s="102">
        <v>3.77</v>
      </c>
      <c r="Q41" s="102"/>
      <c r="R41" s="102"/>
      <c r="S41" s="58">
        <v>164.3</v>
      </c>
      <c r="T41" s="217">
        <v>9.1999999999999998E-2</v>
      </c>
      <c r="U41" s="217">
        <v>8.9901425627491913E-2</v>
      </c>
      <c r="X41" s="217">
        <v>1.508</v>
      </c>
      <c r="Y41" s="217">
        <v>1.473601628763672</v>
      </c>
      <c r="Z41" s="217">
        <v>0.26200000000000001</v>
      </c>
      <c r="AA41" s="217">
        <v>0.25602362515655308</v>
      </c>
      <c r="AB41" s="217">
        <v>1.35</v>
      </c>
      <c r="AC41" s="217">
        <v>1.3192057021425445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35.1083</v>
      </c>
      <c r="H42" s="118">
        <v>40</v>
      </c>
      <c r="I42" s="155">
        <v>40.4</v>
      </c>
      <c r="J42" s="102"/>
      <c r="K42" s="55"/>
      <c r="L42" s="55"/>
      <c r="M42" s="55"/>
      <c r="N42" s="56"/>
      <c r="O42" s="55"/>
      <c r="P42" s="102">
        <v>4.5339999999999998</v>
      </c>
      <c r="Q42" s="102"/>
      <c r="R42" s="102"/>
      <c r="S42" s="58">
        <v>197.9</v>
      </c>
      <c r="T42" s="217">
        <v>1.2999999999999999E-2</v>
      </c>
      <c r="U42" s="217">
        <v>1.2703462316928206E-2</v>
      </c>
      <c r="X42" s="217">
        <v>0.22699999999999998</v>
      </c>
      <c r="Y42" s="217">
        <v>0.22182199584174636</v>
      </c>
      <c r="Z42" s="217">
        <v>7.9000000000000001E-2</v>
      </c>
      <c r="AA42" s="217">
        <v>7.7197963310563722E-2</v>
      </c>
      <c r="AB42" s="217">
        <v>0.56000000000000005</v>
      </c>
      <c r="AC42" s="217">
        <v>0.5472260690369074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34.987900000000003</v>
      </c>
      <c r="H43" s="118">
        <v>20</v>
      </c>
      <c r="I43" s="155">
        <v>19.899999999999999</v>
      </c>
      <c r="J43" s="102"/>
      <c r="K43" s="55"/>
      <c r="L43" s="55"/>
      <c r="M43" s="55"/>
      <c r="N43" s="56"/>
      <c r="O43" s="55"/>
      <c r="P43" s="102">
        <v>4.6059999999999999</v>
      </c>
      <c r="Q43" s="102"/>
      <c r="R43" s="102"/>
      <c r="S43" s="58">
        <v>201.1</v>
      </c>
      <c r="T43" s="217">
        <v>1.2999999999999999E-2</v>
      </c>
      <c r="U43" s="217">
        <v>1.2703462316928206E-2</v>
      </c>
      <c r="X43" s="217">
        <v>0.25700000000000001</v>
      </c>
      <c r="Y43" s="217">
        <v>0.25113767811158072</v>
      </c>
      <c r="Z43" s="217">
        <v>5.5E-2</v>
      </c>
      <c r="AA43" s="217">
        <v>5.3745417494696267E-2</v>
      </c>
      <c r="AB43" s="217">
        <v>0.56000000000000005</v>
      </c>
      <c r="AC43" s="217">
        <v>0.5472260690369074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34.9801</v>
      </c>
      <c r="H44" s="118">
        <v>10</v>
      </c>
      <c r="I44" s="155">
        <v>10.199999999999999</v>
      </c>
      <c r="J44" s="102"/>
      <c r="K44" s="55"/>
      <c r="L44" s="55"/>
      <c r="M44" s="55"/>
      <c r="N44" s="56"/>
      <c r="O44" s="55"/>
      <c r="P44" s="102">
        <v>4.6109999999999998</v>
      </c>
      <c r="Q44" s="102"/>
      <c r="R44" s="102"/>
      <c r="S44" s="58">
        <v>201.3</v>
      </c>
      <c r="T44" s="217">
        <v>1.4E-2</v>
      </c>
      <c r="U44" s="217">
        <v>1.3680651725922683E-2</v>
      </c>
      <c r="X44" s="217">
        <v>0.27599999999999997</v>
      </c>
      <c r="Y44" s="217">
        <v>0.26970427688247572</v>
      </c>
      <c r="Z44" s="217">
        <v>5.5E-2</v>
      </c>
      <c r="AA44" s="217">
        <v>5.3745417494696267E-2</v>
      </c>
      <c r="AB44" s="217">
        <v>0.55000000000000004</v>
      </c>
      <c r="AC44" s="217">
        <v>0.53745417494696257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34.977800000000002</v>
      </c>
      <c r="H45" s="118">
        <v>0</v>
      </c>
      <c r="I45" s="155">
        <v>2.2000000000000002</v>
      </c>
      <c r="J45" s="102"/>
      <c r="K45" s="55"/>
      <c r="L45" s="55"/>
      <c r="M45" s="55"/>
      <c r="N45" s="56"/>
      <c r="O45" s="55"/>
      <c r="P45" s="102">
        <v>4.5910000000000002</v>
      </c>
      <c r="Q45" s="102"/>
      <c r="R45" s="102"/>
      <c r="S45" s="58">
        <v>200.4</v>
      </c>
      <c r="T45" s="217">
        <v>1.4E-2</v>
      </c>
      <c r="U45" s="217">
        <v>1.3680651725922683E-2</v>
      </c>
      <c r="X45" s="217">
        <v>0.23599999999999999</v>
      </c>
      <c r="Y45" s="217">
        <v>0.23061670052269664</v>
      </c>
      <c r="Z45" s="217">
        <v>5.5E-2</v>
      </c>
      <c r="AA45" s="217">
        <v>5.3745417494696267E-2</v>
      </c>
      <c r="AB45" s="217">
        <v>0.48</v>
      </c>
      <c r="AC45" s="217">
        <v>0.46905091631734913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V39" sqref="V39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6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59.85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0°59,85</v>
      </c>
      <c r="P9" s="39" t="s">
        <v>3</v>
      </c>
      <c r="Q9" s="201">
        <f>IF(ISBLANK(I9),"",IF(ISBLANK(J9),"",IF(J9&gt;60,"ERREUR !!",O11*(I9+(J9/60)))))</f>
        <v>0.99750000000000005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0.06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6°0,06</v>
      </c>
      <c r="P10" s="39" t="s">
        <v>54</v>
      </c>
      <c r="Q10" s="201">
        <f>IF(ISBLANK(I10),"",IF(ISBLANK(J10),"",IF(J10&gt;60,"ERREUR !!",O12*(I10+(J10/60)))))</f>
        <v>6.0010000000000003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37867</v>
      </c>
      <c r="K11" s="72"/>
      <c r="L11" s="72"/>
      <c r="M11" s="72"/>
      <c r="N11" s="73" t="str">
        <f>I9&amp;"°"&amp;J9</f>
        <v>0°59,85</v>
      </c>
      <c r="O11" s="74">
        <f>IF(P9=M10,-1,1)</f>
        <v>1</v>
      </c>
      <c r="P11" s="185" t="str">
        <f>TEXT(J11,"aaaa-mm-jj")&amp;"T"&amp;TEXT(J12,"hh:mm:ss")&amp;"z"</f>
        <v>2007-09-04T21:30:00z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0.89583333333333337</v>
      </c>
      <c r="K12" s="75"/>
      <c r="L12" s="75"/>
      <c r="M12" s="75"/>
      <c r="N12" s="76" t="str">
        <f>I10&amp;"°"&amp;J10</f>
        <v>6°0,06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34.960999999999999</v>
      </c>
      <c r="H35" s="126">
        <v>2000</v>
      </c>
      <c r="I35" s="155">
        <v>2003</v>
      </c>
      <c r="J35" s="127"/>
      <c r="K35" s="128"/>
      <c r="L35" s="128"/>
      <c r="M35" s="128"/>
      <c r="N35" s="129"/>
      <c r="O35" s="128"/>
      <c r="P35" s="127">
        <v>5.3659999999999997</v>
      </c>
      <c r="Q35" s="127"/>
      <c r="R35" s="127"/>
      <c r="S35" s="156">
        <v>233.3</v>
      </c>
      <c r="T35" s="217">
        <v>6.0000000000000019E-3</v>
      </c>
      <c r="U35" s="217">
        <v>5.8631364539668664E-3</v>
      </c>
      <c r="X35" s="217">
        <v>20.934000000000001</v>
      </c>
      <c r="Y35" s="217">
        <v>20.45648308789039</v>
      </c>
      <c r="Z35" s="217">
        <v>1.39</v>
      </c>
      <c r="AA35" s="217">
        <v>1.3582932785023234</v>
      </c>
      <c r="AB35" s="217">
        <v>23.52</v>
      </c>
      <c r="AC35" s="217">
        <v>22.983494899550109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34.6372</v>
      </c>
      <c r="H36" s="118">
        <v>1000</v>
      </c>
      <c r="I36" s="155">
        <v>999</v>
      </c>
      <c r="J36" s="102"/>
      <c r="K36" s="55"/>
      <c r="L36" s="55"/>
      <c r="M36" s="55"/>
      <c r="N36" s="56"/>
      <c r="O36" s="55"/>
      <c r="P36" s="102">
        <v>3.407</v>
      </c>
      <c r="Q36" s="102"/>
      <c r="R36" s="102"/>
      <c r="S36" s="58">
        <v>148.19999999999999</v>
      </c>
      <c r="T36" s="217">
        <v>2.9999999999999992E-3</v>
      </c>
      <c r="U36" s="217">
        <v>2.9315682269834315E-3</v>
      </c>
      <c r="X36" s="217">
        <v>33.417000000000002</v>
      </c>
      <c r="Y36" s="217">
        <v>32.654738480368451</v>
      </c>
      <c r="Z36" s="217">
        <v>2.2239999999999998</v>
      </c>
      <c r="AA36" s="217">
        <v>2.1732692456037177</v>
      </c>
      <c r="AB36" s="217">
        <v>30.49</v>
      </c>
      <c r="AC36" s="217">
        <v>29.794505080241613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34.633099999999999</v>
      </c>
      <c r="H37" s="118">
        <v>600</v>
      </c>
      <c r="I37" s="155">
        <v>598.70000000000005</v>
      </c>
      <c r="J37" s="102"/>
      <c r="K37" s="55"/>
      <c r="L37" s="55"/>
      <c r="M37" s="55"/>
      <c r="N37" s="56"/>
      <c r="O37" s="55"/>
      <c r="P37" s="102">
        <v>2.383</v>
      </c>
      <c r="Q37" s="102"/>
      <c r="R37" s="102"/>
      <c r="S37" s="58">
        <v>103.6</v>
      </c>
      <c r="T37" s="217">
        <v>1.0000000000000009E-3</v>
      </c>
      <c r="U37" s="217">
        <v>9.7718940899447831E-4</v>
      </c>
      <c r="X37" s="217">
        <v>35.139000000000003</v>
      </c>
      <c r="Y37" s="217">
        <v>34.337458642656941</v>
      </c>
      <c r="Z37" s="217">
        <v>2.2359999999999998</v>
      </c>
      <c r="AA37" s="217">
        <v>2.1849955185116512</v>
      </c>
      <c r="AB37" s="217">
        <v>21.26</v>
      </c>
      <c r="AC37" s="217">
        <v>20.775046835222589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35.709699999999998</v>
      </c>
      <c r="H38" s="118">
        <v>100</v>
      </c>
      <c r="I38" s="155">
        <v>99.2</v>
      </c>
      <c r="J38" s="102"/>
      <c r="K38" s="55"/>
      <c r="L38" s="55"/>
      <c r="M38" s="55"/>
      <c r="N38" s="56"/>
      <c r="O38" s="55"/>
      <c r="P38" s="102">
        <v>3.2240000000000002</v>
      </c>
      <c r="Q38" s="102"/>
      <c r="R38" s="102"/>
      <c r="S38" s="58">
        <v>140.30000000000001</v>
      </c>
      <c r="T38" s="217">
        <v>3.2000000000000001E-2</v>
      </c>
      <c r="U38" s="217">
        <v>3.1270061087823278E-2</v>
      </c>
      <c r="X38" s="217">
        <v>14.407999999999999</v>
      </c>
      <c r="Y38" s="217">
        <v>14.07934500479243</v>
      </c>
      <c r="Z38" s="217">
        <v>1.0029999999999999</v>
      </c>
      <c r="AA38" s="217">
        <v>0.98012097722146074</v>
      </c>
      <c r="AB38" s="217">
        <v>5.55</v>
      </c>
      <c r="AC38" s="217">
        <v>5.4234012199193495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35.769399999999997</v>
      </c>
      <c r="H39" s="118">
        <v>80</v>
      </c>
      <c r="I39" s="155">
        <v>79.5</v>
      </c>
      <c r="J39" s="102"/>
      <c r="K39" s="55"/>
      <c r="L39" s="55"/>
      <c r="M39" s="55"/>
      <c r="N39" s="56"/>
      <c r="O39" s="55"/>
      <c r="P39" s="102">
        <v>3.2570000000000001</v>
      </c>
      <c r="Q39" s="102"/>
      <c r="R39" s="102"/>
      <c r="S39" s="58">
        <v>141.80000000000001</v>
      </c>
      <c r="T39" s="217">
        <v>0.17699999999999999</v>
      </c>
      <c r="U39" s="217">
        <v>0.1729625253920225</v>
      </c>
      <c r="X39" s="217">
        <v>13.563000000000001</v>
      </c>
      <c r="Y39" s="217">
        <v>13.253619954192098</v>
      </c>
      <c r="Z39" s="217">
        <v>0.95699999999999996</v>
      </c>
      <c r="AA39" s="217">
        <v>0.93517026440771489</v>
      </c>
      <c r="AB39" s="217">
        <v>5.08</v>
      </c>
      <c r="AC39" s="217">
        <v>4.9641221976919452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35.354999999999997</v>
      </c>
      <c r="H40" s="118">
        <v>60</v>
      </c>
      <c r="I40" s="155">
        <v>60.5</v>
      </c>
      <c r="J40" s="102"/>
      <c r="K40" s="55"/>
      <c r="L40" s="55"/>
      <c r="M40" s="55"/>
      <c r="N40" s="56"/>
      <c r="O40" s="55"/>
      <c r="P40" s="102">
        <v>4.2300000000000004</v>
      </c>
      <c r="Q40" s="102"/>
      <c r="R40" s="102"/>
      <c r="S40" s="58">
        <v>184.5</v>
      </c>
      <c r="T40" s="217">
        <v>7.6999999999999999E-2</v>
      </c>
      <c r="U40" s="217">
        <v>7.5243584492574761E-2</v>
      </c>
      <c r="X40" s="217">
        <v>1.9830000000000001</v>
      </c>
      <c r="Y40" s="217">
        <v>1.9377665980360488</v>
      </c>
      <c r="Z40" s="217">
        <v>0.253</v>
      </c>
      <c r="AA40" s="217">
        <v>0.2472289204756028</v>
      </c>
      <c r="AB40" s="217">
        <v>1.84</v>
      </c>
      <c r="AC40" s="217">
        <v>1.7980285125498385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35.322600000000001</v>
      </c>
      <c r="H41" s="118">
        <v>60</v>
      </c>
      <c r="I41" s="155">
        <v>60.6</v>
      </c>
      <c r="J41" s="102"/>
      <c r="K41" s="55"/>
      <c r="L41" s="55"/>
      <c r="M41" s="55"/>
      <c r="N41" s="56"/>
      <c r="O41" s="55"/>
      <c r="P41" s="102">
        <v>4.2880000000000003</v>
      </c>
      <c r="Q41" s="102"/>
      <c r="R41" s="102"/>
      <c r="S41" s="58">
        <v>187.1</v>
      </c>
      <c r="T41" s="217">
        <v>7.6999999999999999E-2</v>
      </c>
      <c r="U41" s="217">
        <v>7.5243584492574761E-2</v>
      </c>
      <c r="X41" s="217">
        <v>1.353</v>
      </c>
      <c r="Y41" s="217">
        <v>1.322137270369528</v>
      </c>
      <c r="Z41" s="217">
        <v>0.16399999999999998</v>
      </c>
      <c r="AA41" s="217">
        <v>0.16025906307509427</v>
      </c>
      <c r="AB41" s="217">
        <v>1.62</v>
      </c>
      <c r="AC41" s="217">
        <v>1.5830468425710535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34.9696</v>
      </c>
      <c r="H42" s="118">
        <v>40</v>
      </c>
      <c r="I42" s="155">
        <v>40.6</v>
      </c>
      <c r="J42" s="102"/>
      <c r="K42" s="55"/>
      <c r="L42" s="55"/>
      <c r="M42" s="55"/>
      <c r="N42" s="56"/>
      <c r="O42" s="55"/>
      <c r="P42" s="102">
        <v>4.5460000000000003</v>
      </c>
      <c r="Q42" s="102"/>
      <c r="R42" s="102"/>
      <c r="S42" s="58">
        <v>198.4</v>
      </c>
      <c r="T42" s="217">
        <v>0.01</v>
      </c>
      <c r="U42" s="217">
        <v>9.7718940899447753E-3</v>
      </c>
      <c r="X42" s="217">
        <v>0</v>
      </c>
      <c r="Y42" s="217">
        <v>0</v>
      </c>
      <c r="Z42" s="217">
        <v>3.1E-2</v>
      </c>
      <c r="AA42" s="217">
        <v>3.0292871678828798E-2</v>
      </c>
      <c r="AB42" s="217">
        <v>1.17</v>
      </c>
      <c r="AC42" s="217">
        <v>1.1433116085235384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34.904000000000003</v>
      </c>
      <c r="H43" s="118">
        <v>20</v>
      </c>
      <c r="I43" s="155">
        <v>20.7</v>
      </c>
      <c r="J43" s="102"/>
      <c r="K43" s="55"/>
      <c r="L43" s="55"/>
      <c r="M43" s="55"/>
      <c r="N43" s="56"/>
      <c r="O43" s="55"/>
      <c r="P43" s="102">
        <v>4.5449999999999999</v>
      </c>
      <c r="Q43" s="102"/>
      <c r="R43" s="102"/>
      <c r="S43" s="58">
        <v>198.4</v>
      </c>
      <c r="T43" s="217">
        <v>8.0000000000000002E-3</v>
      </c>
      <c r="U43" s="217">
        <v>7.8175152719558196E-3</v>
      </c>
      <c r="X43" s="217">
        <v>2.1999999999999999E-2</v>
      </c>
      <c r="Y43" s="217">
        <v>2.1498166997878501E-2</v>
      </c>
      <c r="Z43" s="217">
        <v>3.4000000000000002E-2</v>
      </c>
      <c r="AA43" s="217">
        <v>3.3224439905812232E-2</v>
      </c>
      <c r="AB43" s="217">
        <v>1.2</v>
      </c>
      <c r="AC43" s="217">
        <v>1.1726272907933728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34.893500000000003</v>
      </c>
      <c r="H44" s="118">
        <v>10</v>
      </c>
      <c r="I44" s="155">
        <v>9.6</v>
      </c>
      <c r="J44" s="102"/>
      <c r="K44" s="55"/>
      <c r="L44" s="55"/>
      <c r="M44" s="55"/>
      <c r="N44" s="56"/>
      <c r="O44" s="55"/>
      <c r="P44" s="102">
        <v>4.5650000000000004</v>
      </c>
      <c r="Q44" s="102"/>
      <c r="R44" s="102"/>
      <c r="S44" s="58">
        <v>199.3</v>
      </c>
      <c r="T44" s="217">
        <v>6.9999999999999993E-3</v>
      </c>
      <c r="U44" s="217">
        <v>6.8403258629613408E-3</v>
      </c>
      <c r="X44" s="217">
        <v>3.0000000000000009E-3</v>
      </c>
      <c r="Y44" s="217">
        <v>2.9315682269834332E-3</v>
      </c>
      <c r="Z44" s="217">
        <v>2.8999999999999998E-2</v>
      </c>
      <c r="AA44" s="217">
        <v>2.8338492860839844E-2</v>
      </c>
      <c r="AB44" s="217">
        <v>1.28</v>
      </c>
      <c r="AC44" s="217">
        <v>1.250802443512931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34.892299999999999</v>
      </c>
      <c r="H45" s="118">
        <v>0</v>
      </c>
      <c r="I45" s="155">
        <v>1.8</v>
      </c>
      <c r="J45" s="102"/>
      <c r="K45" s="55"/>
      <c r="L45" s="55"/>
      <c r="M45" s="55"/>
      <c r="N45" s="56"/>
      <c r="O45" s="55"/>
      <c r="P45" s="102">
        <v>4.5529999999999999</v>
      </c>
      <c r="Q45" s="102"/>
      <c r="R45" s="102"/>
      <c r="S45" s="58">
        <v>198.8</v>
      </c>
      <c r="T45" s="217">
        <v>6.0000000000000019E-3</v>
      </c>
      <c r="U45" s="217">
        <v>5.8631364539668664E-3</v>
      </c>
      <c r="X45" s="217">
        <v>3.4000000000000002E-2</v>
      </c>
      <c r="Y45" s="217">
        <v>3.3224439905812232E-2</v>
      </c>
      <c r="Z45" s="217">
        <v>3.3000000000000002E-2</v>
      </c>
      <c r="AA45" s="217">
        <v>3.2247250496817759E-2</v>
      </c>
      <c r="AB45" s="217">
        <v>1.27</v>
      </c>
      <c r="AC45" s="217">
        <v>1.2410305494229863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7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30.03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0°30,03</v>
      </c>
      <c r="P9" s="39" t="s">
        <v>3</v>
      </c>
      <c r="Q9" s="201">
        <f>IF(ISBLANK(I9),"",IF(ISBLANK(J9),"",IF(J9&gt;60,"ERREUR !!",O11*(I9+(J9/60)))))</f>
        <v>0.50050000000000006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6</v>
      </c>
      <c r="J10" s="39">
        <v>0.13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6°0,13</v>
      </c>
      <c r="P10" s="39" t="s">
        <v>54</v>
      </c>
      <c r="Q10" s="201">
        <f>IF(ISBLANK(I10),"",IF(ISBLANK(J10),"",IF(J10&gt;60,"ERREUR !!",O12*(I10+(J10/60)))))</f>
        <v>6.0021666666666667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37868</v>
      </c>
      <c r="K11" s="72"/>
      <c r="L11" s="72"/>
      <c r="M11" s="72"/>
      <c r="N11" s="73" t="str">
        <f>I9&amp;"°"&amp;J9</f>
        <v>0°30,03</v>
      </c>
      <c r="O11" s="74">
        <f>IF(P9=M10,-1,1)</f>
        <v>1</v>
      </c>
      <c r="P11" s="185" t="str">
        <f>TEXT(J11,"aaaa-mm-jj")&amp;"T"&amp;TEXT(J12,"hh:mm:ss")&amp;"z"</f>
        <v>2007-09-05T03:00:00z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0.125</v>
      </c>
      <c r="K12" s="75"/>
      <c r="L12" s="75"/>
      <c r="M12" s="75"/>
      <c r="N12" s="76" t="str">
        <f>I10&amp;"°"&amp;J10</f>
        <v>6°0,13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34.965299999999999</v>
      </c>
      <c r="H35" s="126">
        <v>2000</v>
      </c>
      <c r="I35" s="155">
        <v>2004.4</v>
      </c>
      <c r="J35" s="127"/>
      <c r="K35" s="128"/>
      <c r="L35" s="128"/>
      <c r="M35" s="128"/>
      <c r="N35" s="129"/>
      <c r="O35" s="128"/>
      <c r="P35" s="127">
        <v>5.4489999999999998</v>
      </c>
      <c r="Q35" s="127"/>
      <c r="S35" s="156">
        <v>236.8</v>
      </c>
      <c r="T35" s="217">
        <v>0</v>
      </c>
      <c r="U35" s="217">
        <v>0</v>
      </c>
      <c r="X35" s="217">
        <v>20.84</v>
      </c>
      <c r="Y35" s="217">
        <v>20.364627283444911</v>
      </c>
      <c r="Z35" s="217">
        <v>1.38</v>
      </c>
      <c r="AA35" s="217">
        <v>1.3485213844123787</v>
      </c>
      <c r="AB35" s="217">
        <v>22.68</v>
      </c>
      <c r="AC35" s="217">
        <v>22.162655795994748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34.627299999999998</v>
      </c>
      <c r="H36" s="118">
        <v>1000</v>
      </c>
      <c r="I36" s="155">
        <v>999</v>
      </c>
      <c r="J36" s="102"/>
      <c r="K36" s="55"/>
      <c r="L36" s="55"/>
      <c r="M36" s="55"/>
      <c r="N36" s="56"/>
      <c r="O36" s="55"/>
      <c r="P36" s="102">
        <v>3.4</v>
      </c>
      <c r="Q36" s="102"/>
      <c r="S36" s="58">
        <v>147.80000000000001</v>
      </c>
      <c r="T36" s="217">
        <v>0</v>
      </c>
      <c r="U36" s="217">
        <v>0</v>
      </c>
      <c r="X36" s="217">
        <v>33.630000000000003</v>
      </c>
      <c r="Y36" s="217">
        <v>32.862879824484274</v>
      </c>
      <c r="Z36" s="217">
        <v>2.2349999999999999</v>
      </c>
      <c r="AA36" s="217">
        <v>2.1840183291026567</v>
      </c>
      <c r="AB36" s="217">
        <v>31.24</v>
      </c>
      <c r="AC36" s="217">
        <v>30.527397136987471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34.622999999999998</v>
      </c>
      <c r="H37" s="118">
        <v>600</v>
      </c>
      <c r="I37" s="155">
        <v>598</v>
      </c>
      <c r="J37" s="102"/>
      <c r="K37" s="55"/>
      <c r="L37" s="55"/>
      <c r="M37" s="55"/>
      <c r="N37" s="56"/>
      <c r="O37" s="55"/>
      <c r="P37" s="102">
        <v>2.4340000000000002</v>
      </c>
      <c r="Q37" s="102"/>
      <c r="S37" s="58">
        <v>105.9</v>
      </c>
      <c r="T37" s="217">
        <v>6.9999999999999993E-3</v>
      </c>
      <c r="U37" s="217">
        <v>6.8403258629613408E-3</v>
      </c>
      <c r="X37" s="217">
        <v>35.073</v>
      </c>
      <c r="Y37" s="217">
        <v>34.272964141663309</v>
      </c>
      <c r="Z37" s="217">
        <v>2.1759999999999997</v>
      </c>
      <c r="AA37" s="217">
        <v>2.1263641539719824</v>
      </c>
      <c r="AB37" s="217">
        <v>21.47</v>
      </c>
      <c r="AC37" s="217">
        <v>20.980256611111429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35.702300000000001</v>
      </c>
      <c r="H38" s="118">
        <v>100</v>
      </c>
      <c r="I38" s="155">
        <v>98</v>
      </c>
      <c r="J38" s="102"/>
      <c r="K38" s="55"/>
      <c r="L38" s="55"/>
      <c r="M38" s="55"/>
      <c r="N38" s="56"/>
      <c r="O38" s="55"/>
      <c r="P38" s="102">
        <v>3.2160000000000002</v>
      </c>
      <c r="Q38" s="102"/>
      <c r="S38" s="58">
        <v>140</v>
      </c>
      <c r="T38" s="217">
        <v>2.7000000000000003E-2</v>
      </c>
      <c r="U38" s="217">
        <v>2.6384114042850893E-2</v>
      </c>
      <c r="X38" s="217">
        <v>14.543000000000001</v>
      </c>
      <c r="Y38" s="217">
        <v>14.211265575006687</v>
      </c>
      <c r="Z38" s="217">
        <v>1.02</v>
      </c>
      <c r="AA38" s="217">
        <v>0.99673319717436692</v>
      </c>
      <c r="AB38" s="217">
        <v>5.22</v>
      </c>
      <c r="AC38" s="217">
        <v>5.1009287149511717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35.746000000000002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3.2679999999999998</v>
      </c>
      <c r="Q39" s="102"/>
      <c r="S39" s="58">
        <v>142.19999999999999</v>
      </c>
      <c r="T39" s="217">
        <v>6.4000000000000001E-2</v>
      </c>
      <c r="U39" s="217">
        <v>6.2540122175646556E-2</v>
      </c>
      <c r="X39" s="217">
        <v>13.746</v>
      </c>
      <c r="Y39" s="217">
        <v>13.432445616038088</v>
      </c>
      <c r="Z39" s="217">
        <v>0.97600000000000009</v>
      </c>
      <c r="AA39" s="217">
        <v>0.95373686317861006</v>
      </c>
      <c r="AB39" s="217">
        <v>5.12</v>
      </c>
      <c r="AC39" s="217">
        <v>5.0032097740517241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35.792099999999998</v>
      </c>
      <c r="H40" s="118">
        <v>60</v>
      </c>
      <c r="I40" s="155">
        <v>59</v>
      </c>
      <c r="J40" s="102"/>
      <c r="K40" s="55"/>
      <c r="L40" s="55"/>
      <c r="M40" s="55"/>
      <c r="N40" s="56"/>
      <c r="O40" s="55"/>
      <c r="P40" s="102">
        <v>3.6230000000000002</v>
      </c>
      <c r="Q40" s="102"/>
      <c r="S40" s="58">
        <v>157.80000000000001</v>
      </c>
      <c r="T40" s="217">
        <v>0.35399999999999998</v>
      </c>
      <c r="U40" s="217">
        <v>0.34592505078404501</v>
      </c>
      <c r="X40" s="217">
        <v>8.1460000000000008</v>
      </c>
      <c r="Y40" s="217">
        <v>7.9601849256690134</v>
      </c>
      <c r="Z40" s="217">
        <v>0.65500000000000003</v>
      </c>
      <c r="AA40" s="217">
        <v>0.6400590628913827</v>
      </c>
      <c r="AB40" s="217">
        <v>3.69</v>
      </c>
      <c r="AC40" s="217">
        <v>3.6058289191896216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34.890900000000002</v>
      </c>
      <c r="H41" s="118">
        <v>40</v>
      </c>
      <c r="I41" s="155">
        <v>31</v>
      </c>
      <c r="J41" s="102"/>
      <c r="K41" s="55"/>
      <c r="L41" s="55"/>
      <c r="M41" s="55"/>
      <c r="N41" s="56"/>
      <c r="O41" s="55"/>
      <c r="P41" s="102">
        <v>4.5590000000000002</v>
      </c>
      <c r="Q41" s="102"/>
      <c r="S41" s="58">
        <v>199</v>
      </c>
      <c r="T41" s="217">
        <v>0</v>
      </c>
      <c r="U41" s="217">
        <v>0</v>
      </c>
      <c r="X41" s="217">
        <v>0</v>
      </c>
      <c r="Y41" s="217">
        <v>0</v>
      </c>
      <c r="Z41" s="217">
        <v>1.8000000000000002E-2</v>
      </c>
      <c r="AA41" s="217">
        <v>1.7589409361900597E-2</v>
      </c>
      <c r="AB41" s="217">
        <v>1.03</v>
      </c>
      <c r="AC41" s="217">
        <v>1.0065050912643116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34.891100000000002</v>
      </c>
      <c r="H42" s="118">
        <v>40</v>
      </c>
      <c r="I42" s="155">
        <v>31</v>
      </c>
      <c r="J42" s="102"/>
      <c r="K42" s="55"/>
      <c r="L42" s="55"/>
      <c r="M42" s="55"/>
      <c r="N42" s="56"/>
      <c r="O42" s="55"/>
      <c r="P42" s="102">
        <v>4.5540000000000003</v>
      </c>
      <c r="Q42" s="102"/>
      <c r="S42" s="58">
        <v>198.8</v>
      </c>
      <c r="T42" s="217">
        <v>0</v>
      </c>
      <c r="U42" s="217">
        <v>0</v>
      </c>
      <c r="X42" s="217">
        <v>0.01</v>
      </c>
      <c r="Y42" s="217">
        <v>9.7718940899447736E-3</v>
      </c>
      <c r="Z42" s="217">
        <v>6.7999999999999991E-2</v>
      </c>
      <c r="AA42" s="217">
        <v>6.6448879811624451E-2</v>
      </c>
      <c r="AB42" s="217">
        <v>1.06</v>
      </c>
      <c r="AC42" s="217">
        <v>1.035820773534146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34.893999999999998</v>
      </c>
      <c r="H43" s="118">
        <v>20</v>
      </c>
      <c r="I43" s="155">
        <v>19</v>
      </c>
      <c r="J43" s="102"/>
      <c r="K43" s="55"/>
      <c r="L43" s="55"/>
      <c r="M43" s="55"/>
      <c r="N43" s="56"/>
      <c r="O43" s="55"/>
      <c r="P43" s="102">
        <v>4.5609999999999999</v>
      </c>
      <c r="Q43" s="102"/>
      <c r="S43" s="58">
        <v>199.1</v>
      </c>
      <c r="T43" s="217">
        <v>0</v>
      </c>
      <c r="U43" s="217">
        <v>0</v>
      </c>
      <c r="X43" s="217">
        <v>0</v>
      </c>
      <c r="Y43" s="217">
        <v>0</v>
      </c>
      <c r="Z43" s="217">
        <v>2.5000000000000001E-2</v>
      </c>
      <c r="AA43" s="217">
        <v>2.4429735224861929E-2</v>
      </c>
      <c r="AB43" s="217">
        <v>1.07</v>
      </c>
      <c r="AC43" s="217">
        <v>1.045592667624091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34.893000000000001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4.5609999999999999</v>
      </c>
      <c r="Q44" s="102"/>
      <c r="S44" s="58">
        <v>199.1</v>
      </c>
      <c r="T44" s="217">
        <v>2.9999999999999992E-3</v>
      </c>
      <c r="U44" s="217">
        <v>2.9315682269834315E-3</v>
      </c>
      <c r="X44" s="217">
        <v>1.7000000000000001E-2</v>
      </c>
      <c r="Y44" s="217">
        <v>1.6612219952906116E-2</v>
      </c>
      <c r="Z44" s="217">
        <v>2.5000000000000001E-2</v>
      </c>
      <c r="AA44" s="217">
        <v>2.4429735224861929E-2</v>
      </c>
      <c r="AB44" s="217">
        <v>0.99</v>
      </c>
      <c r="AC44" s="217">
        <v>0.96741751490453265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34.893900000000002</v>
      </c>
      <c r="H45" s="118">
        <v>0</v>
      </c>
      <c r="I45" s="155">
        <v>1.9</v>
      </c>
      <c r="J45" s="102"/>
      <c r="K45" s="55"/>
      <c r="L45" s="55"/>
      <c r="M45" s="55"/>
      <c r="N45" s="56"/>
      <c r="O45" s="55"/>
      <c r="P45" s="102">
        <v>4.5650000000000004</v>
      </c>
      <c r="Q45" s="102"/>
      <c r="S45" s="58">
        <v>199.3</v>
      </c>
      <c r="T45" s="217">
        <v>0</v>
      </c>
      <c r="U45" s="217">
        <v>0</v>
      </c>
      <c r="X45" s="217">
        <v>0</v>
      </c>
      <c r="Y45" s="217">
        <v>0</v>
      </c>
      <c r="Z45" s="217">
        <v>3.5000000000000003E-2</v>
      </c>
      <c r="AA45" s="217">
        <v>3.4201629314806713E-2</v>
      </c>
      <c r="AB45" s="217">
        <v>1.03</v>
      </c>
      <c r="AC45" s="217">
        <v>1.0065050912643116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P35" sqref="P35:P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8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37868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0.04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0°0,04</v>
      </c>
      <c r="P9" s="39" t="s">
        <v>3</v>
      </c>
      <c r="Q9" s="201">
        <f>IF(ISBLANK(I9),"",IF(ISBLANK(J9),"",IF(J9&gt;60,"ERREUR !!",O11*(I9+(J9/60)))))</f>
        <v>6.6666666666666664E-4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5</v>
      </c>
      <c r="J10" s="39">
        <v>59.9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5°59,9</v>
      </c>
      <c r="P10" s="39" t="s">
        <v>54</v>
      </c>
      <c r="Q10" s="201">
        <f>IF(ISBLANK(I10),"",IF(ISBLANK(J10),"",IF(J10&gt;60,"ERREUR !!",O12*(I10+(J10/60)))))</f>
        <v>5.9983333333333331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37868</v>
      </c>
      <c r="K11" s="72"/>
      <c r="L11" s="72"/>
      <c r="M11" s="72"/>
      <c r="N11" s="73" t="str">
        <f>I9&amp;"°"&amp;J9</f>
        <v>0°0,04</v>
      </c>
      <c r="O11" s="74">
        <f>IF(P9=M10,-1,1)</f>
        <v>1</v>
      </c>
      <c r="P11" s="185" t="str">
        <f>TEXT(J11,"aaaa-mm-jj")&amp;"T"&amp;TEXT(J12,"hh:mm:ss")&amp;"z"</f>
        <v>2007-09-05T08:30:00z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0.35416666666666669</v>
      </c>
      <c r="K12" s="75"/>
      <c r="L12" s="75"/>
      <c r="M12" s="75"/>
      <c r="N12" s="76" t="str">
        <f>I10&amp;"°"&amp;J10</f>
        <v>5°59,9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34.967799999999997</v>
      </c>
      <c r="H35" s="126">
        <v>2000</v>
      </c>
      <c r="I35" s="155">
        <v>2000</v>
      </c>
      <c r="J35" s="127"/>
      <c r="K35" s="128"/>
      <c r="L35" s="128"/>
      <c r="M35" s="128"/>
      <c r="N35" s="129"/>
      <c r="O35" s="128"/>
      <c r="P35" s="218">
        <v>5.476</v>
      </c>
      <c r="Q35" s="127"/>
      <c r="R35" s="127"/>
      <c r="S35" s="156">
        <v>238</v>
      </c>
      <c r="T35" s="217">
        <v>1.0999999999999999E-2</v>
      </c>
      <c r="U35" s="217">
        <v>1.0749083498939251E-2</v>
      </c>
      <c r="X35" s="217">
        <v>20.689</v>
      </c>
      <c r="Y35" s="217">
        <v>20.217071682686743</v>
      </c>
      <c r="Z35" s="217">
        <v>1.383</v>
      </c>
      <c r="AA35" s="217">
        <v>1.3514529526393622</v>
      </c>
      <c r="AB35" s="217">
        <v>22.03</v>
      </c>
      <c r="AC35" s="217">
        <v>21.527482680148339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34.631500000000003</v>
      </c>
      <c r="H36" s="118">
        <v>1000</v>
      </c>
      <c r="I36" s="155">
        <v>999.4</v>
      </c>
      <c r="J36" s="102"/>
      <c r="K36" s="55"/>
      <c r="L36" s="55"/>
      <c r="M36" s="55"/>
      <c r="N36" s="56"/>
      <c r="O36" s="55"/>
      <c r="P36" s="218">
        <v>3.4449999999999998</v>
      </c>
      <c r="Q36" s="102"/>
      <c r="R36" s="102"/>
      <c r="S36" s="58">
        <v>149.80000000000001</v>
      </c>
      <c r="T36" s="217">
        <v>0</v>
      </c>
      <c r="U36" s="217">
        <v>0</v>
      </c>
      <c r="X36" s="217">
        <v>33.450000000000003</v>
      </c>
      <c r="Y36" s="217">
        <v>32.686985730865274</v>
      </c>
      <c r="Z36" s="217">
        <v>2.202</v>
      </c>
      <c r="AA36" s="217">
        <v>2.1517710786058393</v>
      </c>
      <c r="AB36" s="217">
        <v>31.06</v>
      </c>
      <c r="AC36" s="217">
        <v>30.351503043368467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34.6205</v>
      </c>
      <c r="H37" s="118">
        <v>600</v>
      </c>
      <c r="I37" s="155">
        <v>599.1</v>
      </c>
      <c r="J37" s="102"/>
      <c r="K37" s="55"/>
      <c r="L37" s="55"/>
      <c r="M37" s="55"/>
      <c r="N37" s="56"/>
      <c r="O37" s="55"/>
      <c r="P37" s="218">
        <v>2.4460000000000002</v>
      </c>
      <c r="Q37" s="102"/>
      <c r="R37" s="102"/>
      <c r="S37" s="58">
        <v>106.4</v>
      </c>
      <c r="T37" s="217">
        <v>1.0000000000000009E-3</v>
      </c>
      <c r="U37" s="217">
        <v>9.7718940899447831E-4</v>
      </c>
      <c r="X37" s="217">
        <v>35.219000000000001</v>
      </c>
      <c r="Y37" s="217">
        <v>34.4156337953765</v>
      </c>
      <c r="Z37" s="217">
        <v>2.2279999999999998</v>
      </c>
      <c r="AA37" s="217">
        <v>2.1771780032396952</v>
      </c>
      <c r="AB37" s="217">
        <v>22.48</v>
      </c>
      <c r="AC37" s="217">
        <v>21.967217914195853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35.720799999999997</v>
      </c>
      <c r="H38" s="118">
        <v>100</v>
      </c>
      <c r="I38" s="155">
        <v>99</v>
      </c>
      <c r="J38" s="102"/>
      <c r="K38" s="55"/>
      <c r="L38" s="55"/>
      <c r="M38" s="55"/>
      <c r="N38" s="56"/>
      <c r="O38" s="55"/>
      <c r="P38" s="218">
        <v>3.2370000000000001</v>
      </c>
      <c r="Q38" s="102"/>
      <c r="R38" s="102"/>
      <c r="S38" s="58">
        <v>140.9</v>
      </c>
      <c r="T38" s="217">
        <v>5.5999999999999994E-2</v>
      </c>
      <c r="U38" s="217">
        <v>5.4722606903690726E-2</v>
      </c>
      <c r="X38" s="217">
        <v>14.024000000000001</v>
      </c>
      <c r="Y38" s="217">
        <v>13.704104271738553</v>
      </c>
      <c r="Z38" s="217">
        <v>0.97499999999999998</v>
      </c>
      <c r="AA38" s="217">
        <v>0.95275967376961546</v>
      </c>
      <c r="AB38" s="217">
        <v>5</v>
      </c>
      <c r="AC38" s="217">
        <v>4.8859470449723874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35.744500000000002</v>
      </c>
      <c r="H39" s="118">
        <v>80</v>
      </c>
      <c r="I39" s="155">
        <v>79.3</v>
      </c>
      <c r="J39" s="102"/>
      <c r="K39" s="55"/>
      <c r="L39" s="55"/>
      <c r="M39" s="55"/>
      <c r="N39" s="56"/>
      <c r="O39" s="55"/>
      <c r="P39" s="218">
        <v>3.282</v>
      </c>
      <c r="Q39" s="102"/>
      <c r="R39" s="102"/>
      <c r="S39" s="58">
        <v>142.80000000000001</v>
      </c>
      <c r="T39" s="217">
        <v>0.42299999999999999</v>
      </c>
      <c r="U39" s="217">
        <v>0.41335112000466395</v>
      </c>
      <c r="X39" s="217">
        <v>13.257</v>
      </c>
      <c r="Y39" s="217">
        <v>12.954599995039787</v>
      </c>
      <c r="Z39" s="217">
        <v>0.97699999999999998</v>
      </c>
      <c r="AA39" s="217">
        <v>0.95471405258760444</v>
      </c>
      <c r="AB39" s="217">
        <v>5.22</v>
      </c>
      <c r="AC39" s="217">
        <v>5.1009287149511717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35.658499999999997</v>
      </c>
      <c r="H40" s="118">
        <v>60</v>
      </c>
      <c r="I40" s="155">
        <v>61.2</v>
      </c>
      <c r="J40" s="102"/>
      <c r="K40" s="55"/>
      <c r="L40" s="55"/>
      <c r="M40" s="55"/>
      <c r="N40" s="56"/>
      <c r="O40" s="55"/>
      <c r="P40" s="218">
        <v>3.657</v>
      </c>
      <c r="Q40" s="102"/>
      <c r="R40" s="102"/>
      <c r="S40" s="58">
        <v>159.30000000000001</v>
      </c>
      <c r="T40" s="217">
        <v>0.376</v>
      </c>
      <c r="U40" s="217">
        <v>0.36742321778192349</v>
      </c>
      <c r="X40" s="217">
        <v>8.3340000000000014</v>
      </c>
      <c r="Y40" s="217">
        <v>8.1438965345599765</v>
      </c>
      <c r="Z40" s="217">
        <v>0.65200000000000002</v>
      </c>
      <c r="AA40" s="217">
        <v>0.63712749466439933</v>
      </c>
      <c r="AB40" s="217">
        <v>3.82</v>
      </c>
      <c r="AC40" s="217">
        <v>3.7328635423589036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35.091299999999997</v>
      </c>
      <c r="H41" s="118">
        <v>40</v>
      </c>
      <c r="I41" s="155">
        <v>40.4</v>
      </c>
      <c r="J41" s="102"/>
      <c r="K41" s="55"/>
      <c r="L41" s="55"/>
      <c r="M41" s="55"/>
      <c r="N41" s="56"/>
      <c r="O41" s="55"/>
      <c r="P41" s="218">
        <v>4.5620000000000003</v>
      </c>
      <c r="Q41" s="102"/>
      <c r="R41" s="102"/>
      <c r="S41" s="58">
        <v>199.1</v>
      </c>
      <c r="T41" s="217">
        <v>6.0000000000000019E-3</v>
      </c>
      <c r="U41" s="217">
        <v>5.8631364539668664E-3</v>
      </c>
      <c r="X41" s="217">
        <v>5.3999999999999992E-2</v>
      </c>
      <c r="Y41" s="217">
        <v>5.2768228085701772E-2</v>
      </c>
      <c r="Z41" s="217">
        <v>4.7E-2</v>
      </c>
      <c r="AA41" s="217">
        <v>4.5927902222740437E-2</v>
      </c>
      <c r="AB41" s="217">
        <v>1.73</v>
      </c>
      <c r="AC41" s="217">
        <v>1.6905376775604459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34.7697</v>
      </c>
      <c r="H42" s="118">
        <v>20</v>
      </c>
      <c r="I42" s="155">
        <v>20.3</v>
      </c>
      <c r="J42" s="102"/>
      <c r="K42" s="55"/>
      <c r="L42" s="55"/>
      <c r="M42" s="55"/>
      <c r="N42" s="56"/>
      <c r="O42" s="55"/>
      <c r="P42" s="218">
        <v>4.5780000000000003</v>
      </c>
      <c r="Q42" s="102"/>
      <c r="R42" s="102"/>
      <c r="S42" s="58">
        <v>199.8</v>
      </c>
      <c r="T42" s="217">
        <v>0</v>
      </c>
      <c r="U42" s="217">
        <v>0</v>
      </c>
      <c r="X42" s="217">
        <v>0</v>
      </c>
      <c r="Y42" s="217">
        <v>0</v>
      </c>
      <c r="Z42" s="217">
        <v>4.7E-2</v>
      </c>
      <c r="AA42" s="217">
        <v>4.5927902222740437E-2</v>
      </c>
      <c r="AB42" s="217">
        <v>1.29</v>
      </c>
      <c r="AC42" s="217">
        <v>1.260574337602876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34.765500000000003</v>
      </c>
      <c r="H43" s="118">
        <v>20</v>
      </c>
      <c r="I43" s="155">
        <v>20.5</v>
      </c>
      <c r="J43" s="102"/>
      <c r="K43" s="55"/>
      <c r="L43" s="55"/>
      <c r="M43" s="55"/>
      <c r="N43" s="56"/>
      <c r="O43" s="55"/>
      <c r="P43" s="218">
        <v>4.5830000000000002</v>
      </c>
      <c r="Q43" s="102"/>
      <c r="R43" s="102"/>
      <c r="S43" s="58">
        <v>200.1</v>
      </c>
      <c r="T43" s="217">
        <v>0</v>
      </c>
      <c r="U43" s="217">
        <v>0</v>
      </c>
      <c r="X43" s="217">
        <v>0</v>
      </c>
      <c r="Y43" s="217">
        <v>0</v>
      </c>
      <c r="Z43" s="217">
        <v>4.5999999999999999E-2</v>
      </c>
      <c r="AA43" s="217">
        <v>4.4950712813745956E-2</v>
      </c>
      <c r="AB43" s="217">
        <v>1.81</v>
      </c>
      <c r="AC43" s="217">
        <v>1.7687128302800041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34.762799999999999</v>
      </c>
      <c r="H44" s="118">
        <v>10</v>
      </c>
      <c r="I44" s="155">
        <v>10.1</v>
      </c>
      <c r="J44" s="102"/>
      <c r="K44" s="55"/>
      <c r="L44" s="55"/>
      <c r="M44" s="55"/>
      <c r="N44" s="56"/>
      <c r="O44" s="55"/>
      <c r="P44" s="218">
        <v>4.5750000000000002</v>
      </c>
      <c r="Q44" s="102"/>
      <c r="R44" s="102"/>
      <c r="S44" s="58">
        <v>199.7</v>
      </c>
      <c r="T44" s="217">
        <v>1.0000000000000009E-3</v>
      </c>
      <c r="U44" s="217">
        <v>9.7718940899447831E-4</v>
      </c>
      <c r="X44" s="217">
        <v>4.9000000000000002E-2</v>
      </c>
      <c r="Y44" s="217">
        <v>4.7882281040729398E-2</v>
      </c>
      <c r="Z44" s="217">
        <v>4.3999999999999997E-2</v>
      </c>
      <c r="AA44" s="217">
        <v>4.2996333995757002E-2</v>
      </c>
      <c r="AB44" s="217">
        <v>1.78</v>
      </c>
      <c r="AC44" s="217">
        <v>1.7393971480101698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34.763599999999997</v>
      </c>
      <c r="H45" s="118">
        <v>0</v>
      </c>
      <c r="I45" s="155">
        <v>1.5</v>
      </c>
      <c r="J45" s="102"/>
      <c r="K45" s="55"/>
      <c r="L45" s="55"/>
      <c r="M45" s="55"/>
      <c r="N45" s="56"/>
      <c r="O45" s="55"/>
      <c r="P45" s="218">
        <v>4.5839999999999996</v>
      </c>
      <c r="Q45" s="102"/>
      <c r="R45" s="102"/>
      <c r="S45" s="58">
        <v>200.1</v>
      </c>
      <c r="T45" s="217">
        <v>0</v>
      </c>
      <c r="U45" s="217">
        <v>0</v>
      </c>
      <c r="X45" s="217">
        <v>0</v>
      </c>
      <c r="Y45" s="217">
        <v>0</v>
      </c>
      <c r="Z45" s="217">
        <v>3.7000000000000005E-2</v>
      </c>
      <c r="AA45" s="217">
        <v>3.6156008132795667E-2</v>
      </c>
      <c r="AB45" s="217">
        <v>1.19</v>
      </c>
      <c r="AC45" s="217">
        <v>1.1628553967034281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9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37869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30.07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-0°30,07</v>
      </c>
      <c r="P9" s="39" t="s">
        <v>53</v>
      </c>
      <c r="Q9" s="201">
        <f>IF(ISBLANK(I9),"",IF(ISBLANK(J9),"",IF(J9&gt;60,"ERREUR !!",O11*(I9+(J9/60)))))</f>
        <v>-0.50116666666666665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5</v>
      </c>
      <c r="J10" s="39">
        <v>59.91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5°59,91</v>
      </c>
      <c r="P10" s="39" t="s">
        <v>54</v>
      </c>
      <c r="Q10" s="201">
        <f>IF(ISBLANK(I10),"",IF(ISBLANK(J10),"",IF(J10&gt;60,"ERREUR !!",O12*(I10+(J10/60)))))</f>
        <v>5.9984999999999999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37868</v>
      </c>
      <c r="K11" s="72"/>
      <c r="L11" s="72"/>
      <c r="M11" s="72"/>
      <c r="N11" s="73" t="str">
        <f>I9&amp;"°"&amp;J9</f>
        <v>0°30,07</v>
      </c>
      <c r="O11" s="74">
        <f>IF(P9=M10,-1,1)</f>
        <v>-1</v>
      </c>
      <c r="P11" s="185" t="str">
        <f>TEXT(J11,"aaaa-mm-jj")&amp;"T"&amp;TEXT(J12,"hh:mm:ss")&amp;"z"</f>
        <v>2007-09-05T14:00:00z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0.58333333333333337</v>
      </c>
      <c r="K12" s="75"/>
      <c r="L12" s="75"/>
      <c r="M12" s="75"/>
      <c r="N12" s="76" t="str">
        <f>I10&amp;"°"&amp;J10</f>
        <v>5°59,91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34.964100000000002</v>
      </c>
      <c r="H35" s="126">
        <v>2000</v>
      </c>
      <c r="I35" s="155">
        <v>2006</v>
      </c>
      <c r="J35" s="127"/>
      <c r="K35" s="128"/>
      <c r="L35" s="128"/>
      <c r="M35" s="128"/>
      <c r="N35" s="129"/>
      <c r="O35" s="128"/>
      <c r="P35" s="127">
        <v>5.431</v>
      </c>
      <c r="Q35" s="127"/>
      <c r="R35" s="127"/>
      <c r="S35" s="156">
        <v>236.1</v>
      </c>
      <c r="T35" s="217">
        <v>8.0000000000000002E-3</v>
      </c>
      <c r="U35" s="217">
        <v>7.8175152719558196E-3</v>
      </c>
      <c r="X35" s="217">
        <v>20.592000000000002</v>
      </c>
      <c r="Y35" s="217">
        <v>20.12228431001428</v>
      </c>
      <c r="Z35" s="217">
        <v>1.3719999999999999</v>
      </c>
      <c r="AA35" s="217">
        <v>1.3407038691404229</v>
      </c>
      <c r="AB35" s="217">
        <v>23.28</v>
      </c>
      <c r="AC35" s="217">
        <v>22.748969441391434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34.6464</v>
      </c>
      <c r="H36" s="118">
        <v>1000</v>
      </c>
      <c r="I36" s="155">
        <v>999</v>
      </c>
      <c r="J36" s="102"/>
      <c r="K36" s="55"/>
      <c r="L36" s="55"/>
      <c r="M36" s="55"/>
      <c r="N36" s="56"/>
      <c r="O36" s="55"/>
      <c r="P36" s="102"/>
      <c r="Q36" s="102"/>
      <c r="R36" s="102"/>
      <c r="S36" s="58"/>
      <c r="T36" s="217">
        <v>5.0000000000000001E-3</v>
      </c>
      <c r="U36" s="217">
        <v>4.8859470449723877E-3</v>
      </c>
      <c r="X36" s="217">
        <v>32.655000000000001</v>
      </c>
      <c r="Y36" s="217">
        <v>31.910120150714654</v>
      </c>
      <c r="Z36" s="217">
        <v>2.1789999999999998</v>
      </c>
      <c r="AA36" s="217">
        <v>2.1292957221989659</v>
      </c>
      <c r="AB36" s="217">
        <v>30.62</v>
      </c>
      <c r="AC36" s="217">
        <v>29.9215397034109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34.616100000000003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/>
      <c r="Q37" s="102"/>
      <c r="R37" s="102"/>
      <c r="S37" s="58"/>
      <c r="T37" s="217">
        <v>0</v>
      </c>
      <c r="U37" s="217">
        <v>0</v>
      </c>
      <c r="X37" s="217">
        <v>35.21</v>
      </c>
      <c r="Y37" s="217">
        <v>34.406839090695549</v>
      </c>
      <c r="Z37" s="217">
        <v>2.2749999999999999</v>
      </c>
      <c r="AA37" s="217">
        <v>2.223105905462436</v>
      </c>
      <c r="AB37" s="217">
        <v>22.97</v>
      </c>
      <c r="AC37" s="217">
        <v>22.446040724603144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35.7136</v>
      </c>
      <c r="H38" s="118">
        <v>100</v>
      </c>
      <c r="I38" s="155">
        <v>98</v>
      </c>
      <c r="J38" s="102"/>
      <c r="K38" s="55"/>
      <c r="L38" s="55"/>
      <c r="M38" s="55"/>
      <c r="N38" s="56"/>
      <c r="O38" s="55"/>
      <c r="P38" s="102">
        <v>3.266</v>
      </c>
      <c r="Q38" s="102"/>
      <c r="R38" s="102"/>
      <c r="S38" s="58">
        <v>142.19999999999999</v>
      </c>
      <c r="T38" s="217">
        <v>0.24399999999999999</v>
      </c>
      <c r="U38" s="217">
        <v>0.23843421579465249</v>
      </c>
      <c r="X38" s="217">
        <v>13.736000000000001</v>
      </c>
      <c r="Y38" s="217">
        <v>13.422673721948142</v>
      </c>
      <c r="Z38" s="217">
        <v>1.002</v>
      </c>
      <c r="AA38" s="217">
        <v>0.97914378781246636</v>
      </c>
      <c r="AB38" s="217">
        <v>5.4</v>
      </c>
      <c r="AC38" s="217">
        <v>5.276822808570178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35.762999999999998</v>
      </c>
      <c r="H39" s="118">
        <v>80</v>
      </c>
      <c r="I39" s="155">
        <v>77</v>
      </c>
      <c r="J39" s="102"/>
      <c r="K39" s="55"/>
      <c r="L39" s="55"/>
      <c r="M39" s="55"/>
      <c r="N39" s="56"/>
      <c r="O39" s="55"/>
      <c r="P39" s="102">
        <v>3.3679999999999999</v>
      </c>
      <c r="Q39" s="102"/>
      <c r="R39" s="102"/>
      <c r="S39" s="58">
        <v>146.6</v>
      </c>
      <c r="T39" s="217">
        <v>0.79300000000000004</v>
      </c>
      <c r="U39" s="217">
        <v>0.77491120133262059</v>
      </c>
      <c r="X39" s="217">
        <v>12.167000000000002</v>
      </c>
      <c r="Y39" s="217">
        <v>11.889463539235807</v>
      </c>
      <c r="Z39" s="217">
        <v>0.93699999999999994</v>
      </c>
      <c r="AA39" s="217">
        <v>0.91562647622782523</v>
      </c>
      <c r="AB39" s="217">
        <v>4.9000000000000004</v>
      </c>
      <c r="AC39" s="217">
        <v>4.7882281040729398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35.8035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3.4079999999999999</v>
      </c>
      <c r="Q40" s="102"/>
      <c r="R40" s="102"/>
      <c r="S40" s="58">
        <v>148.4</v>
      </c>
      <c r="T40" s="217">
        <v>0.60399999999999998</v>
      </c>
      <c r="U40" s="217">
        <v>0.59022240303266438</v>
      </c>
      <c r="X40" s="217">
        <v>11.566000000000001</v>
      </c>
      <c r="Y40" s="217">
        <v>11.302172704430127</v>
      </c>
      <c r="Z40" s="217">
        <v>0.88900000000000001</v>
      </c>
      <c r="AA40" s="217">
        <v>0.86872138459609038</v>
      </c>
      <c r="AB40" s="217">
        <v>4.07</v>
      </c>
      <c r="AC40" s="217">
        <v>3.9771608946075232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35.172800000000002</v>
      </c>
      <c r="H41" s="118">
        <v>40</v>
      </c>
      <c r="I41" s="155">
        <v>39</v>
      </c>
      <c r="J41" s="102"/>
      <c r="K41" s="55"/>
      <c r="L41" s="55"/>
      <c r="M41" s="55"/>
      <c r="N41" s="56"/>
      <c r="O41" s="55"/>
      <c r="P41" s="102">
        <v>4.5970000000000004</v>
      </c>
      <c r="Q41" s="102"/>
      <c r="R41" s="102"/>
      <c r="S41" s="58">
        <v>200.6</v>
      </c>
      <c r="T41" s="217">
        <v>0.01</v>
      </c>
      <c r="U41" s="217">
        <v>9.7718940899447753E-3</v>
      </c>
      <c r="X41" s="217">
        <v>0.01</v>
      </c>
      <c r="Y41" s="217">
        <v>9.7718940899447718E-3</v>
      </c>
      <c r="Z41" s="217">
        <v>3.8999999999999993E-2</v>
      </c>
      <c r="AA41" s="217">
        <v>3.8110386950784614E-2</v>
      </c>
      <c r="AB41" s="217">
        <v>0.96</v>
      </c>
      <c r="AC41" s="217">
        <v>0.93810183263469826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35.168799999999997</v>
      </c>
      <c r="H42" s="118">
        <v>20</v>
      </c>
      <c r="I42" s="155">
        <v>19</v>
      </c>
      <c r="J42" s="102"/>
      <c r="K42" s="55"/>
      <c r="L42" s="55"/>
      <c r="M42" s="55"/>
      <c r="N42" s="56"/>
      <c r="O42" s="55"/>
      <c r="P42" s="102">
        <v>4.6260000000000003</v>
      </c>
      <c r="Q42" s="102"/>
      <c r="R42" s="102"/>
      <c r="S42" s="58">
        <v>201.9</v>
      </c>
      <c r="T42" s="217">
        <v>0</v>
      </c>
      <c r="U42" s="217">
        <v>0</v>
      </c>
      <c r="X42" s="217">
        <v>0</v>
      </c>
      <c r="Y42" s="217">
        <v>0</v>
      </c>
      <c r="Z42" s="217">
        <v>0.03</v>
      </c>
      <c r="AA42" s="217">
        <v>2.9315682269834321E-2</v>
      </c>
      <c r="AB42" s="217">
        <v>1.03</v>
      </c>
      <c r="AC42" s="217">
        <v>1.0065050912643116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35.169199999999996</v>
      </c>
      <c r="H43" s="118">
        <v>10</v>
      </c>
      <c r="I43" s="155">
        <v>9</v>
      </c>
      <c r="J43" s="102"/>
      <c r="K43" s="55"/>
      <c r="L43" s="55"/>
      <c r="M43" s="55"/>
      <c r="N43" s="56"/>
      <c r="O43" s="55"/>
      <c r="P43" s="102">
        <v>4.6310000000000002</v>
      </c>
      <c r="Q43" s="102"/>
      <c r="R43" s="102"/>
      <c r="S43" s="58">
        <v>202.1</v>
      </c>
      <c r="T43" s="217">
        <v>0.01</v>
      </c>
      <c r="U43" s="217">
        <v>9.7718940899447753E-3</v>
      </c>
      <c r="X43" s="217">
        <v>0.03</v>
      </c>
      <c r="Y43" s="217">
        <v>2.9315682269834321E-2</v>
      </c>
      <c r="Z43" s="217">
        <v>4.1999999999999996E-2</v>
      </c>
      <c r="AA43" s="217">
        <v>4.1041955177768048E-2</v>
      </c>
      <c r="AB43" s="217">
        <v>1.08</v>
      </c>
      <c r="AC43" s="217">
        <v>1.0553645617140357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35.169199999999996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4.62</v>
      </c>
      <c r="Q44" s="102"/>
      <c r="R44" s="102"/>
      <c r="S44" s="58">
        <v>201.6</v>
      </c>
      <c r="T44" s="217">
        <v>0</v>
      </c>
      <c r="U44" s="217">
        <v>0</v>
      </c>
      <c r="X44" s="217">
        <v>0.01</v>
      </c>
      <c r="Y44" s="217">
        <v>9.7718940899447736E-3</v>
      </c>
      <c r="Z44" s="217">
        <v>0.04</v>
      </c>
      <c r="AA44" s="217">
        <v>3.9087576359779087E-2</v>
      </c>
      <c r="AB44" s="217">
        <v>1.08</v>
      </c>
      <c r="AC44" s="217">
        <v>1.0553645617140357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35.171500000000002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4.6059999999999999</v>
      </c>
      <c r="Q45" s="102"/>
      <c r="R45" s="102"/>
      <c r="S45" s="58">
        <v>201</v>
      </c>
      <c r="T45" s="217">
        <v>1.2E-2</v>
      </c>
      <c r="U45" s="217">
        <v>1.1726272907933729E-2</v>
      </c>
      <c r="X45" s="217">
        <v>4.8000000000000001E-2</v>
      </c>
      <c r="Y45" s="217">
        <v>4.6905091631734917E-2</v>
      </c>
      <c r="Z45" s="217">
        <v>3.7999999999999992E-2</v>
      </c>
      <c r="AA45" s="217">
        <v>3.7133197541790133E-2</v>
      </c>
      <c r="AB45" s="217">
        <v>1.01</v>
      </c>
      <c r="AC45" s="217">
        <v>0.9869613030844222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10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37869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59.91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-0°59,91</v>
      </c>
      <c r="P9" s="39" t="s">
        <v>53</v>
      </c>
      <c r="Q9" s="201">
        <f>IF(ISBLANK(I9),"",IF(ISBLANK(J9),"",IF(J9&gt;60,"ERREUR !!",O11*(I9+(J9/60)))))</f>
        <v>-0.99849999999999994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5</v>
      </c>
      <c r="J10" s="39">
        <v>59.84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5°59,84</v>
      </c>
      <c r="P10" s="39" t="s">
        <v>54</v>
      </c>
      <c r="Q10" s="201">
        <f>IF(ISBLANK(I10),"",IF(ISBLANK(J10),"",IF(J10&gt;60,"ERREUR !!",O12*(I10+(J10/60)))))</f>
        <v>5.9973333333333336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37868</v>
      </c>
      <c r="K11" s="72"/>
      <c r="L11" s="72"/>
      <c r="M11" s="72"/>
      <c r="N11" s="73" t="str">
        <f>I9&amp;"°"&amp;J9</f>
        <v>0°59,91</v>
      </c>
      <c r="O11" s="74">
        <f>IF(P9=M10,-1,1)</f>
        <v>-1</v>
      </c>
      <c r="P11" s="185" t="str">
        <f>TEXT(J11,"aaaa-mm-jj")&amp;"T"&amp;TEXT(J12,"hh:mm:ss")&amp;"z"</f>
        <v>2007-09-05T19:00:00z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0.79166666666666663</v>
      </c>
      <c r="K12" s="75"/>
      <c r="L12" s="75"/>
      <c r="M12" s="75"/>
      <c r="N12" s="76" t="str">
        <f>I10&amp;"°"&amp;J10</f>
        <v>5°59,84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34.963000000000001</v>
      </c>
      <c r="H35" s="126">
        <v>2000</v>
      </c>
      <c r="I35" s="155">
        <v>2002</v>
      </c>
      <c r="J35" s="127"/>
      <c r="K35" s="128"/>
      <c r="L35" s="128"/>
      <c r="M35" s="128"/>
      <c r="N35" s="129"/>
      <c r="O35" s="128"/>
      <c r="P35" s="127">
        <v>5.3970000000000002</v>
      </c>
      <c r="Q35" s="127"/>
      <c r="R35" s="127"/>
      <c r="S35" s="156">
        <v>234.6</v>
      </c>
      <c r="T35" s="217">
        <v>0</v>
      </c>
      <c r="U35" s="217">
        <v>0</v>
      </c>
      <c r="X35" s="217">
        <v>20.76</v>
      </c>
      <c r="Y35" s="217">
        <v>20.286452130725351</v>
      </c>
      <c r="Z35" s="217">
        <v>1.383</v>
      </c>
      <c r="AA35" s="217">
        <v>1.3514529526393622</v>
      </c>
      <c r="AB35" s="217">
        <v>23.67</v>
      </c>
      <c r="AC35" s="217">
        <v>23.130073310899281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34.644799999999996</v>
      </c>
      <c r="H36" s="118">
        <v>1000</v>
      </c>
      <c r="I36" s="155">
        <v>1000</v>
      </c>
      <c r="J36" s="102"/>
      <c r="K36" s="55"/>
      <c r="L36" s="55"/>
      <c r="M36" s="55"/>
      <c r="N36" s="56"/>
      <c r="O36" s="55"/>
      <c r="P36" s="102">
        <v>3.5249999999999999</v>
      </c>
      <c r="Q36" s="102"/>
      <c r="R36" s="102"/>
      <c r="S36" s="58">
        <v>153.30000000000001</v>
      </c>
      <c r="T36" s="217">
        <v>0</v>
      </c>
      <c r="U36" s="217">
        <v>0</v>
      </c>
      <c r="X36" s="217">
        <v>32.72</v>
      </c>
      <c r="Y36" s="217">
        <v>31.973637462299301</v>
      </c>
      <c r="Z36" s="217">
        <v>2.1949999999999998</v>
      </c>
      <c r="AA36" s="217">
        <v>2.1449307527428778</v>
      </c>
      <c r="AB36" s="217">
        <v>32.18</v>
      </c>
      <c r="AC36" s="217">
        <v>31.445955181442283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34.604599999999998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>
        <v>2.5880000000000001</v>
      </c>
      <c r="Q37" s="102"/>
      <c r="R37" s="102"/>
      <c r="S37" s="58">
        <v>112.6</v>
      </c>
      <c r="T37" s="217">
        <v>0</v>
      </c>
      <c r="U37" s="217">
        <v>0</v>
      </c>
      <c r="X37" s="217">
        <v>34.369999999999997</v>
      </c>
      <c r="Y37" s="217">
        <v>33.585999987140184</v>
      </c>
      <c r="Z37" s="217">
        <v>2.2079999999999997</v>
      </c>
      <c r="AA37" s="217">
        <v>2.1576342150598058</v>
      </c>
      <c r="AB37" s="217">
        <v>21.62</v>
      </c>
      <c r="AC37" s="217">
        <v>21.126835022460604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35.715800000000002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3.282</v>
      </c>
      <c r="Q38" s="102"/>
      <c r="R38" s="102"/>
      <c r="S38" s="58">
        <v>142.80000000000001</v>
      </c>
      <c r="T38" s="217">
        <v>0.11900000000000001</v>
      </c>
      <c r="U38" s="217">
        <v>0.11628553967034282</v>
      </c>
      <c r="X38" s="217">
        <v>13.891</v>
      </c>
      <c r="Y38" s="217">
        <v>13.574138080342285</v>
      </c>
      <c r="Z38" s="217">
        <v>0.99400000000000011</v>
      </c>
      <c r="AA38" s="217">
        <v>0.97132627254051063</v>
      </c>
      <c r="AB38" s="217">
        <v>5.38</v>
      </c>
      <c r="AC38" s="217">
        <v>5.2572790203902882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35.750799999999998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3.1419999999999999</v>
      </c>
      <c r="Q39" s="102"/>
      <c r="R39" s="102"/>
      <c r="S39" s="58">
        <v>136.80000000000001</v>
      </c>
      <c r="T39" s="217">
        <v>0.21</v>
      </c>
      <c r="U39" s="217">
        <v>0.20520977588884026</v>
      </c>
      <c r="X39" s="217">
        <v>13.69</v>
      </c>
      <c r="Y39" s="217">
        <v>13.377723009134396</v>
      </c>
      <c r="Z39" s="217">
        <v>0.98099999999999998</v>
      </c>
      <c r="AA39" s="217">
        <v>0.95862281022358231</v>
      </c>
      <c r="AB39" s="217">
        <v>5.52</v>
      </c>
      <c r="AC39" s="217">
        <v>5.3940855376495147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35.814799999999998</v>
      </c>
      <c r="H40" s="118">
        <v>60</v>
      </c>
      <c r="I40" s="155">
        <v>60.1</v>
      </c>
      <c r="J40" s="102"/>
      <c r="K40" s="55"/>
      <c r="L40" s="55"/>
      <c r="M40" s="55"/>
      <c r="N40" s="56"/>
      <c r="O40" s="55"/>
      <c r="P40" s="102">
        <v>3.3170000000000002</v>
      </c>
      <c r="Q40" s="102"/>
      <c r="R40" s="102"/>
      <c r="S40" s="58">
        <v>144.4</v>
      </c>
      <c r="T40" s="217">
        <v>0.46899999999999997</v>
      </c>
      <c r="U40" s="217">
        <v>0.45830183281840986</v>
      </c>
      <c r="X40" s="217">
        <v>12.241000000000001</v>
      </c>
      <c r="Y40" s="217">
        <v>11.961775555501399</v>
      </c>
      <c r="Z40" s="217">
        <v>0.91400000000000003</v>
      </c>
      <c r="AA40" s="217">
        <v>0.89315111982095241</v>
      </c>
      <c r="AB40" s="217">
        <v>4.7</v>
      </c>
      <c r="AC40" s="217">
        <v>4.5927902222740435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35.3992</v>
      </c>
      <c r="H41" s="118">
        <v>40</v>
      </c>
      <c r="I41" s="155">
        <v>41.3</v>
      </c>
      <c r="J41" s="102"/>
      <c r="K41" s="55"/>
      <c r="L41" s="55"/>
      <c r="M41" s="55"/>
      <c r="N41" s="56"/>
      <c r="O41" s="55"/>
      <c r="P41" s="102">
        <v>4.5060000000000002</v>
      </c>
      <c r="Q41" s="102"/>
      <c r="R41" s="102"/>
      <c r="S41" s="58">
        <v>196.6</v>
      </c>
      <c r="T41" s="217">
        <v>3.5000000000000003E-2</v>
      </c>
      <c r="U41" s="217">
        <v>3.4201629314806713E-2</v>
      </c>
      <c r="X41" s="217">
        <v>1.0249999999999999</v>
      </c>
      <c r="Y41" s="217">
        <v>1.0016191442193394</v>
      </c>
      <c r="Z41" s="217">
        <v>0.12</v>
      </c>
      <c r="AA41" s="217">
        <v>0.1172627290793373</v>
      </c>
      <c r="AB41" s="217">
        <v>1.67</v>
      </c>
      <c r="AC41" s="217">
        <v>1.6319063130207772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35.335000000000001</v>
      </c>
      <c r="H42" s="118">
        <v>20</v>
      </c>
      <c r="I42" s="155">
        <v>19.100000000000001</v>
      </c>
      <c r="J42" s="102"/>
      <c r="K42" s="55"/>
      <c r="L42" s="55"/>
      <c r="M42" s="55"/>
      <c r="N42" s="56"/>
      <c r="O42" s="55"/>
      <c r="P42" s="102">
        <v>4.7160000000000002</v>
      </c>
      <c r="Q42" s="102"/>
      <c r="R42" s="102"/>
      <c r="S42" s="58">
        <v>205.8</v>
      </c>
      <c r="T42" s="217">
        <v>0</v>
      </c>
      <c r="U42" s="217">
        <v>0</v>
      </c>
      <c r="X42" s="217">
        <v>0</v>
      </c>
      <c r="Y42" s="217">
        <v>0</v>
      </c>
      <c r="Z42" s="217">
        <v>4.7E-2</v>
      </c>
      <c r="AA42" s="217">
        <v>4.5927902222740437E-2</v>
      </c>
      <c r="AB42" s="217">
        <v>0.88</v>
      </c>
      <c r="AC42" s="217">
        <v>0.85992667991514016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35.3322</v>
      </c>
      <c r="H43" s="118">
        <v>10</v>
      </c>
      <c r="I43" s="155">
        <v>10</v>
      </c>
      <c r="J43" s="102"/>
      <c r="K43" s="55"/>
      <c r="L43" s="55"/>
      <c r="M43" s="55"/>
      <c r="N43" s="56"/>
      <c r="O43" s="55"/>
      <c r="P43" s="102">
        <v>4.6719999999999997</v>
      </c>
      <c r="Q43" s="102"/>
      <c r="R43" s="102"/>
      <c r="S43" s="58">
        <v>203.9</v>
      </c>
      <c r="T43" s="217">
        <v>0</v>
      </c>
      <c r="U43" s="217">
        <v>0</v>
      </c>
      <c r="X43" s="217">
        <v>0.02</v>
      </c>
      <c r="Y43" s="217">
        <v>1.9543788179889547E-2</v>
      </c>
      <c r="Z43" s="217">
        <v>5.800000000000001E-2</v>
      </c>
      <c r="AA43" s="217">
        <v>5.6676985721679701E-2</v>
      </c>
      <c r="AB43" s="217">
        <v>1</v>
      </c>
      <c r="AC43" s="217">
        <v>0.97718940899447737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35.330399999999997</v>
      </c>
      <c r="H44" s="118">
        <v>0</v>
      </c>
      <c r="I44" s="155">
        <v>1.5</v>
      </c>
      <c r="J44" s="102"/>
      <c r="K44" s="55"/>
      <c r="L44" s="55"/>
      <c r="M44" s="55"/>
      <c r="N44" s="56"/>
      <c r="O44" s="55"/>
      <c r="P44" s="102">
        <v>4.5629999999999997</v>
      </c>
      <c r="Q44" s="102"/>
      <c r="R44" s="102"/>
      <c r="S44" s="58">
        <v>199.1</v>
      </c>
      <c r="T44" s="217">
        <v>0</v>
      </c>
      <c r="U44" s="217">
        <v>0</v>
      </c>
      <c r="X44" s="217">
        <v>0.05</v>
      </c>
      <c r="Y44" s="217">
        <v>4.8859470449723871E-2</v>
      </c>
      <c r="Z44" s="217">
        <v>4.8000000000000001E-2</v>
      </c>
      <c r="AA44" s="217">
        <v>4.6905091631734917E-2</v>
      </c>
      <c r="AB44" s="217">
        <v>0.98</v>
      </c>
      <c r="AC44" s="217">
        <v>0.95764562081458782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>
        <v>35.330399999999997</v>
      </c>
      <c r="H45" s="118">
        <v>0</v>
      </c>
      <c r="I45" s="155">
        <v>1.5</v>
      </c>
      <c r="J45" s="102"/>
      <c r="K45" s="55"/>
      <c r="L45" s="55"/>
      <c r="M45" s="55"/>
      <c r="N45" s="56"/>
      <c r="O45" s="55"/>
      <c r="P45" s="102">
        <v>4.7009999999999996</v>
      </c>
      <c r="Q45" s="102"/>
      <c r="R45" s="102"/>
      <c r="S45" s="58">
        <v>205.1</v>
      </c>
      <c r="T45" s="217">
        <v>0</v>
      </c>
      <c r="U45" s="217">
        <v>0</v>
      </c>
      <c r="X45" s="217">
        <v>0</v>
      </c>
      <c r="Y45" s="217">
        <v>0</v>
      </c>
      <c r="Z45" s="217">
        <v>0.06</v>
      </c>
      <c r="AA45" s="217">
        <v>5.8631364539668655E-2</v>
      </c>
      <c r="AB45" s="217">
        <v>1.07</v>
      </c>
      <c r="AC45" s="217">
        <v>1.045592667624091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F7" sqref="F7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11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37869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30.17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-1°30,17</v>
      </c>
      <c r="P9" s="39" t="s">
        <v>53</v>
      </c>
      <c r="Q9" s="201">
        <f>IF(ISBLANK(I9),"",IF(ISBLANK(J9),"",IF(J9&gt;60,"ERREUR !!",O11*(I9+(J9/60)))))</f>
        <v>-1.5028333333333332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5</v>
      </c>
      <c r="J10" s="39">
        <v>59.85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5°59,85</v>
      </c>
      <c r="P10" s="39" t="s">
        <v>54</v>
      </c>
      <c r="Q10" s="201">
        <f>IF(ISBLANK(I10),"",IF(ISBLANK(J10),"",IF(J10&gt;60,"ERREUR !!",O12*(I10+(J10/60)))))</f>
        <v>5.9975000000000005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37869</v>
      </c>
      <c r="K11" s="72"/>
      <c r="L11" s="72"/>
      <c r="M11" s="72"/>
      <c r="N11" s="73" t="str">
        <f>I9&amp;"°"&amp;J9</f>
        <v>1°30,17</v>
      </c>
      <c r="O11" s="74">
        <f>IF(P9=M10,-1,1)</f>
        <v>-1</v>
      </c>
      <c r="P11" s="185" t="str">
        <f>TEXT(J11,"aaaa-mm-jj")&amp;"T"&amp;TEXT(J12,"hh:mm:ss")&amp;"z"</f>
        <v>2007-09-06T00:30:00z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2.0833333333333332E-2</v>
      </c>
      <c r="K12" s="75"/>
      <c r="L12" s="75"/>
      <c r="M12" s="75"/>
      <c r="N12" s="76" t="str">
        <f>I10&amp;"°"&amp;J10</f>
        <v>5°59,85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34.957900000000002</v>
      </c>
      <c r="H35" s="126">
        <v>2000</v>
      </c>
      <c r="I35" s="155">
        <v>2004</v>
      </c>
      <c r="J35" s="127"/>
      <c r="K35" s="128"/>
      <c r="L35" s="128"/>
      <c r="M35" s="128"/>
      <c r="N35" s="129"/>
      <c r="O35" s="128"/>
      <c r="P35" s="127">
        <v>5.4080000000000004</v>
      </c>
      <c r="Q35" s="127"/>
      <c r="R35" s="127"/>
      <c r="S35" s="156">
        <v>235</v>
      </c>
      <c r="T35" s="217">
        <v>6.0000000000000019E-3</v>
      </c>
      <c r="U35" s="217">
        <v>5.8631364539668664E-3</v>
      </c>
      <c r="X35" s="217">
        <v>21.173999999999999</v>
      </c>
      <c r="Y35" s="217">
        <v>20.691008546049066</v>
      </c>
      <c r="Z35" s="217">
        <v>1.417</v>
      </c>
      <c r="AA35" s="217">
        <v>1.3846773925451745</v>
      </c>
      <c r="AB35" s="217">
        <v>24.45</v>
      </c>
      <c r="AC35" s="217">
        <v>23.89228104991497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34.957000000000001</v>
      </c>
      <c r="H36" s="126">
        <v>2000</v>
      </c>
      <c r="I36" s="155">
        <v>2004</v>
      </c>
      <c r="J36" s="102"/>
      <c r="K36" s="55"/>
      <c r="L36" s="55"/>
      <c r="M36" s="55"/>
      <c r="N36" s="56"/>
      <c r="O36" s="55"/>
      <c r="P36" s="102">
        <v>5.5919999999999996</v>
      </c>
      <c r="Q36" s="102"/>
      <c r="R36" s="102"/>
      <c r="S36" s="58">
        <v>243.1</v>
      </c>
      <c r="T36" s="217">
        <v>6.9999999999999993E-3</v>
      </c>
      <c r="U36" s="217">
        <v>6.8403258629613408E-3</v>
      </c>
      <c r="X36" s="217">
        <v>21.152999999999999</v>
      </c>
      <c r="Y36" s="217">
        <v>20.670487568460178</v>
      </c>
      <c r="Z36" s="217">
        <v>1.413</v>
      </c>
      <c r="AA36" s="217">
        <v>1.3807686349091965</v>
      </c>
      <c r="AB36" s="217">
        <v>23.43</v>
      </c>
      <c r="AC36" s="217">
        <v>22.895547852740606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34.646900000000002</v>
      </c>
      <c r="H37" s="118">
        <v>1000</v>
      </c>
      <c r="I37" s="155">
        <v>998</v>
      </c>
      <c r="J37" s="102"/>
      <c r="K37" s="55"/>
      <c r="L37" s="55"/>
      <c r="M37" s="55"/>
      <c r="N37" s="56"/>
      <c r="O37" s="55"/>
      <c r="P37" s="102">
        <v>5.6619999999999999</v>
      </c>
      <c r="Q37" s="102"/>
      <c r="R37" s="102"/>
      <c r="S37" s="58">
        <v>246.2</v>
      </c>
      <c r="T37" s="217">
        <v>5.0000000000000001E-3</v>
      </c>
      <c r="U37" s="217">
        <v>4.8859470449723877E-3</v>
      </c>
      <c r="X37" s="217">
        <v>32.984999999999999</v>
      </c>
      <c r="Y37" s="217">
        <v>32.232592655682836</v>
      </c>
      <c r="Z37" s="217">
        <v>2.1959999999999997</v>
      </c>
      <c r="AA37" s="217">
        <v>2.1459079421518723</v>
      </c>
      <c r="AB37" s="217">
        <v>31.44</v>
      </c>
      <c r="AC37" s="217">
        <v>30.72283501878637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34.621699999999997</v>
      </c>
      <c r="H38" s="118">
        <v>600</v>
      </c>
      <c r="I38" s="155">
        <v>599</v>
      </c>
      <c r="J38" s="102"/>
      <c r="K38" s="55"/>
      <c r="L38" s="55"/>
      <c r="M38" s="55"/>
      <c r="N38" s="56"/>
      <c r="O38" s="55"/>
      <c r="P38" s="102">
        <v>5.3739999999999997</v>
      </c>
      <c r="Q38" s="102"/>
      <c r="R38" s="102"/>
      <c r="S38" s="58">
        <v>234.1</v>
      </c>
      <c r="T38" s="217">
        <v>5.0000000000000001E-3</v>
      </c>
      <c r="U38" s="217">
        <v>4.8859470449723877E-3</v>
      </c>
      <c r="X38" s="217">
        <v>35.185000000000002</v>
      </c>
      <c r="Y38" s="217">
        <v>34.382409355470685</v>
      </c>
      <c r="Z38" s="217">
        <v>2.2319999999999998</v>
      </c>
      <c r="AA38" s="217">
        <v>2.1810867608756732</v>
      </c>
      <c r="AB38" s="217">
        <v>21.86</v>
      </c>
      <c r="AC38" s="217">
        <v>21.361360480619275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35.711799999999997</v>
      </c>
      <c r="H39" s="118">
        <v>100</v>
      </c>
      <c r="I39" s="155">
        <v>98</v>
      </c>
      <c r="J39" s="102"/>
      <c r="K39" s="55"/>
      <c r="L39" s="55"/>
      <c r="M39" s="55"/>
      <c r="N39" s="56"/>
      <c r="O39" s="55"/>
      <c r="P39" s="102">
        <v>5.1840000000000002</v>
      </c>
      <c r="Q39" s="102"/>
      <c r="R39" s="102"/>
      <c r="S39" s="58">
        <v>225.6</v>
      </c>
      <c r="T39" s="217">
        <v>7.1999999999999995E-2</v>
      </c>
      <c r="U39" s="217">
        <v>7.0357637447602372E-2</v>
      </c>
      <c r="X39" s="217">
        <v>14.328000000000001</v>
      </c>
      <c r="Y39" s="217">
        <v>14.001169852072874</v>
      </c>
      <c r="Z39" s="217">
        <v>1.016</v>
      </c>
      <c r="AA39" s="217">
        <v>0.99282443953838906</v>
      </c>
      <c r="AB39" s="217">
        <v>5.57</v>
      </c>
      <c r="AC39" s="217">
        <v>5.4429450080992394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35.778700000000001</v>
      </c>
      <c r="H40" s="118">
        <v>80</v>
      </c>
      <c r="I40" s="155">
        <v>79</v>
      </c>
      <c r="J40" s="102"/>
      <c r="K40" s="55"/>
      <c r="L40" s="55"/>
      <c r="M40" s="55"/>
      <c r="N40" s="56"/>
      <c r="O40" s="55"/>
      <c r="P40" s="102">
        <v>5.0780000000000003</v>
      </c>
      <c r="Q40" s="102"/>
      <c r="R40" s="102"/>
      <c r="S40" s="58">
        <v>221.1</v>
      </c>
      <c r="T40" s="217">
        <v>6.8000000000000005E-2</v>
      </c>
      <c r="U40" s="217">
        <v>6.6448879811624464E-2</v>
      </c>
      <c r="X40" s="217">
        <v>13.542</v>
      </c>
      <c r="Y40" s="217">
        <v>13.233098976603213</v>
      </c>
      <c r="Z40" s="217">
        <v>0.96</v>
      </c>
      <c r="AA40" s="217">
        <v>0.93810183263469837</v>
      </c>
      <c r="AB40" s="217">
        <v>4.8600000000000003</v>
      </c>
      <c r="AC40" s="217">
        <v>4.7491405277131609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35.850099999999998</v>
      </c>
      <c r="H41" s="118">
        <v>60</v>
      </c>
      <c r="I41" s="155">
        <v>59</v>
      </c>
      <c r="J41" s="102"/>
      <c r="K41" s="55"/>
      <c r="L41" s="55"/>
      <c r="M41" s="55"/>
      <c r="N41" s="56"/>
      <c r="O41" s="55"/>
      <c r="P41" s="102">
        <v>4.9850000000000003</v>
      </c>
      <c r="Q41" s="102"/>
      <c r="R41" s="102"/>
      <c r="S41" s="58">
        <v>217.1</v>
      </c>
      <c r="T41" s="217">
        <v>0.13400000000000001</v>
      </c>
      <c r="U41" s="217">
        <v>0.13094338080525997</v>
      </c>
      <c r="X41" s="217">
        <v>12.936</v>
      </c>
      <c r="Y41" s="217">
        <v>12.640922194752559</v>
      </c>
      <c r="Z41" s="217">
        <v>0.93299999999999994</v>
      </c>
      <c r="AA41" s="217">
        <v>0.91171771859184736</v>
      </c>
      <c r="AB41" s="217">
        <v>4.7</v>
      </c>
      <c r="AC41" s="217">
        <v>4.5927902222740435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35.914700000000003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4.7930000000000001</v>
      </c>
      <c r="Q42" s="102"/>
      <c r="R42" s="102"/>
      <c r="S42" s="58">
        <v>209</v>
      </c>
      <c r="T42" s="217">
        <v>0.25700000000000001</v>
      </c>
      <c r="U42" s="217">
        <v>0.25113767811158072</v>
      </c>
      <c r="X42" s="217">
        <v>8.1129999999999995</v>
      </c>
      <c r="Y42" s="217">
        <v>7.9279376751721946</v>
      </c>
      <c r="Z42" s="217">
        <v>0.66500000000000004</v>
      </c>
      <c r="AA42" s="217">
        <v>0.64983095698132753</v>
      </c>
      <c r="AB42" s="217">
        <v>3.48</v>
      </c>
      <c r="AC42" s="217">
        <v>3.4006191433007813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35.429600000000001</v>
      </c>
      <c r="H43" s="118">
        <v>20</v>
      </c>
      <c r="I43" s="155">
        <v>19</v>
      </c>
      <c r="J43" s="102"/>
      <c r="K43" s="55"/>
      <c r="L43" s="55"/>
      <c r="M43" s="55"/>
      <c r="N43" s="56"/>
      <c r="O43" s="55"/>
      <c r="P43" s="102">
        <v>5.2510000000000003</v>
      </c>
      <c r="Q43" s="102"/>
      <c r="R43" s="102"/>
      <c r="S43" s="58">
        <v>229.1</v>
      </c>
      <c r="T43" s="217">
        <v>1.2E-2</v>
      </c>
      <c r="U43" s="217">
        <v>1.1726272907933729E-2</v>
      </c>
      <c r="X43" s="217">
        <v>5.800000000000001E-2</v>
      </c>
      <c r="Y43" s="217">
        <v>5.6676985721679701E-2</v>
      </c>
      <c r="Z43" s="217">
        <v>6.8999999999999992E-2</v>
      </c>
      <c r="AA43" s="217">
        <v>6.7426069220618931E-2</v>
      </c>
      <c r="AB43" s="217">
        <v>1.02</v>
      </c>
      <c r="AC43" s="217">
        <v>0.99673319717436692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35.432899999999997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3.4420000000000002</v>
      </c>
      <c r="Q44" s="102"/>
      <c r="R44" s="102"/>
      <c r="S44" s="58">
        <v>150.1</v>
      </c>
      <c r="T44" s="217">
        <v>6.0000000000000019E-3</v>
      </c>
      <c r="U44" s="217">
        <v>5.8631364539668664E-3</v>
      </c>
      <c r="X44" s="217">
        <v>4.3999999999999997E-2</v>
      </c>
      <c r="Y44" s="217">
        <v>4.2996333995757002E-2</v>
      </c>
      <c r="Z44" s="217">
        <v>6.699999999999999E-2</v>
      </c>
      <c r="AA44" s="217">
        <v>6.547169040262997E-2</v>
      </c>
      <c r="AB44" s="217">
        <v>1.1200000000000001</v>
      </c>
      <c r="AC44" s="217">
        <v>1.0944521380738148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35.424700000000001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02">
        <v>3.3439999999999999</v>
      </c>
      <c r="Q45" s="102"/>
      <c r="R45" s="102"/>
      <c r="S45" s="58">
        <v>145.9</v>
      </c>
      <c r="T45" s="217">
        <v>5.0000000000000001E-3</v>
      </c>
      <c r="U45" s="217">
        <v>4.8859470449723877E-3</v>
      </c>
      <c r="X45" s="217">
        <v>1.4999999999999999E-2</v>
      </c>
      <c r="Y45" s="217">
        <v>1.465784113491716E-2</v>
      </c>
      <c r="Z45" s="217">
        <v>6.7999999999999991E-2</v>
      </c>
      <c r="AA45" s="217">
        <v>6.6448879811624451E-2</v>
      </c>
      <c r="AB45" s="217">
        <v>1.07</v>
      </c>
      <c r="AC45" s="217">
        <v>1.045592667624091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12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29.9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1°29,9</v>
      </c>
      <c r="P9" s="39" t="s">
        <v>3</v>
      </c>
      <c r="Q9" s="201">
        <f>IF(ISBLANK(I9),"",IF(ISBLANK(J9),"",IF(J9&gt;60,"ERREUR !!",O11*(I9+(J9/60)))))</f>
        <v>1.4983333333333333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30.12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2°30,12</v>
      </c>
      <c r="P10" s="39" t="s">
        <v>54</v>
      </c>
      <c r="Q10" s="201">
        <f>IF(ISBLANK(I10),"",IF(ISBLANK(J10),"",IF(J10&gt;60,"ERREUR !!",O12*(I10+(J10/60)))))</f>
        <v>2.5019999999999998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37870</v>
      </c>
      <c r="K11" s="72"/>
      <c r="L11" s="72"/>
      <c r="M11" s="72"/>
      <c r="N11" s="73" t="str">
        <f>I9&amp;"°"&amp;J9</f>
        <v>1°29,9</v>
      </c>
      <c r="O11" s="74">
        <f>IF(P9=M10,-1,1)</f>
        <v>1</v>
      </c>
      <c r="P11" s="185" t="str">
        <f>TEXT(J11,"aaaa-mm-jj")&amp;"T"&amp;TEXT(J12,"hh:mm:ss")&amp;"z"</f>
        <v>2007-09-07T08:30:00z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0.35416666666666669</v>
      </c>
      <c r="K12" s="75"/>
      <c r="L12" s="75"/>
      <c r="M12" s="75"/>
      <c r="N12" s="76" t="str">
        <f>I10&amp;"°"&amp;J10</f>
        <v>2°30,12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34.962400000000002</v>
      </c>
      <c r="H35" s="126">
        <v>2000</v>
      </c>
      <c r="I35" s="155">
        <v>2005</v>
      </c>
      <c r="J35" s="127"/>
      <c r="K35" s="128"/>
      <c r="L35" s="128"/>
      <c r="M35" s="128"/>
      <c r="N35" s="129"/>
      <c r="O35" s="128"/>
      <c r="P35" s="127">
        <v>5.4089999999999998</v>
      </c>
      <c r="Q35" s="127"/>
      <c r="R35" s="127"/>
      <c r="S35" s="156">
        <v>235.1</v>
      </c>
      <c r="T35" s="217">
        <v>8.0000000000000002E-3</v>
      </c>
      <c r="U35" s="217">
        <v>7.8175152719558196E-3</v>
      </c>
      <c r="X35" s="217">
        <v>20.862000000000002</v>
      </c>
      <c r="Y35" s="217">
        <v>20.38612545044279</v>
      </c>
      <c r="Z35" s="217">
        <v>1.397</v>
      </c>
      <c r="AA35" s="217">
        <v>1.3651336043652849</v>
      </c>
      <c r="AB35" s="217">
        <v>24.56</v>
      </c>
      <c r="AC35" s="217">
        <v>23.999771884904362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34.619100000000003</v>
      </c>
      <c r="H36" s="118">
        <v>1000</v>
      </c>
      <c r="I36" s="155">
        <v>999</v>
      </c>
      <c r="J36" s="102"/>
      <c r="K36" s="55"/>
      <c r="L36" s="55"/>
      <c r="M36" s="55"/>
      <c r="N36" s="56"/>
      <c r="O36" s="55"/>
      <c r="P36" s="102">
        <v>3.343</v>
      </c>
      <c r="Q36" s="102"/>
      <c r="R36" s="102"/>
      <c r="S36" s="58">
        <v>145.4</v>
      </c>
      <c r="T36" s="217">
        <v>0.01</v>
      </c>
      <c r="U36" s="217">
        <v>9.7718940899447753E-3</v>
      </c>
      <c r="X36" s="217">
        <v>34.06</v>
      </c>
      <c r="Y36" s="217">
        <v>33.283071270351904</v>
      </c>
      <c r="Z36" s="217">
        <v>2.2589999999999999</v>
      </c>
      <c r="AA36" s="217">
        <v>2.2074708749185246</v>
      </c>
      <c r="AB36" s="217">
        <v>31.97</v>
      </c>
      <c r="AC36" s="217">
        <v>31.24074540555344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34.619100000000003</v>
      </c>
      <c r="H37" s="118">
        <v>1000</v>
      </c>
      <c r="I37" s="155">
        <v>998</v>
      </c>
      <c r="J37" s="102"/>
      <c r="K37" s="55"/>
      <c r="L37" s="55"/>
      <c r="M37" s="55"/>
      <c r="N37" s="56"/>
      <c r="O37" s="55"/>
      <c r="P37" s="102">
        <v>3.3479999999999999</v>
      </c>
      <c r="Q37" s="102"/>
      <c r="R37" s="102"/>
      <c r="S37" s="58">
        <v>145.6</v>
      </c>
      <c r="T37" s="217">
        <v>0.01</v>
      </c>
      <c r="U37" s="217">
        <v>9.7718940899447753E-3</v>
      </c>
      <c r="X37" s="217">
        <v>33.86</v>
      </c>
      <c r="Y37" s="217">
        <v>33.087633388553002</v>
      </c>
      <c r="Z37" s="217">
        <v>2.254</v>
      </c>
      <c r="AA37" s="217">
        <v>2.2025849278735521</v>
      </c>
      <c r="AB37" s="217">
        <v>31.94</v>
      </c>
      <c r="AC37" s="217">
        <v>31.211429723283608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34.582999999999998</v>
      </c>
      <c r="H38" s="118">
        <v>600</v>
      </c>
      <c r="I38" s="155">
        <v>600</v>
      </c>
      <c r="J38" s="102"/>
      <c r="K38" s="55"/>
      <c r="L38" s="55"/>
      <c r="M38" s="55"/>
      <c r="N38" s="56"/>
      <c r="O38" s="55"/>
      <c r="P38" s="102">
        <v>2.7469999999999999</v>
      </c>
      <c r="Q38" s="102"/>
      <c r="R38" s="102"/>
      <c r="S38" s="58">
        <v>119.5</v>
      </c>
      <c r="T38" s="217">
        <v>0.01</v>
      </c>
      <c r="U38" s="217">
        <v>9.7718940899447753E-3</v>
      </c>
      <c r="X38" s="217">
        <v>34.5</v>
      </c>
      <c r="Y38" s="217">
        <v>33.713034610309471</v>
      </c>
      <c r="Z38" s="217">
        <v>2.2159999999999997</v>
      </c>
      <c r="AA38" s="217">
        <v>2.1654517303317617</v>
      </c>
      <c r="AB38" s="217">
        <v>23.23</v>
      </c>
      <c r="AC38" s="217">
        <v>22.70010997094171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35.681400000000004</v>
      </c>
      <c r="H39" s="118">
        <v>100</v>
      </c>
      <c r="I39" s="155">
        <v>100</v>
      </c>
      <c r="J39" s="102"/>
      <c r="K39" s="55"/>
      <c r="L39" s="55"/>
      <c r="M39" s="55"/>
      <c r="N39" s="56"/>
      <c r="O39" s="55"/>
      <c r="P39" s="102">
        <v>3.222</v>
      </c>
      <c r="Q39" s="102"/>
      <c r="R39" s="102"/>
      <c r="S39" s="58">
        <v>140.19999999999999</v>
      </c>
      <c r="T39" s="217">
        <v>2.7000000000000003E-2</v>
      </c>
      <c r="U39" s="217">
        <v>2.6384114042850893E-2</v>
      </c>
      <c r="X39" s="217">
        <v>14.693000000000001</v>
      </c>
      <c r="Y39" s="217">
        <v>14.357843986355858</v>
      </c>
      <c r="Z39" s="217">
        <v>1.0249999999999999</v>
      </c>
      <c r="AA39" s="217">
        <v>1.0016191442193392</v>
      </c>
      <c r="AB39" s="217">
        <v>5.48</v>
      </c>
      <c r="AC39" s="217">
        <v>5.3549979612897367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35.758800000000001</v>
      </c>
      <c r="H40" s="118">
        <v>80</v>
      </c>
      <c r="I40" s="155">
        <v>81</v>
      </c>
      <c r="J40" s="102"/>
      <c r="K40" s="55"/>
      <c r="L40" s="55"/>
      <c r="M40" s="55"/>
      <c r="N40" s="56"/>
      <c r="O40" s="55"/>
      <c r="P40" s="102">
        <v>3.242</v>
      </c>
      <c r="Q40" s="102"/>
      <c r="R40" s="102"/>
      <c r="S40" s="58">
        <v>141.1</v>
      </c>
      <c r="T40" s="217">
        <v>4.2000000000000003E-2</v>
      </c>
      <c r="U40" s="217">
        <v>4.1041955177768055E-2</v>
      </c>
      <c r="X40" s="217">
        <v>13.958</v>
      </c>
      <c r="Y40" s="217">
        <v>13.639609770744915</v>
      </c>
      <c r="Z40" s="217">
        <v>0.96699999999999997</v>
      </c>
      <c r="AA40" s="217">
        <v>0.94494215849765961</v>
      </c>
      <c r="AB40" s="217">
        <v>4.96</v>
      </c>
      <c r="AC40" s="217">
        <v>4.8468594686126076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35.941000000000003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3.2480000000000002</v>
      </c>
      <c r="Q41" s="102"/>
      <c r="R41" s="102"/>
      <c r="S41" s="58">
        <v>141.4</v>
      </c>
      <c r="T41" s="217">
        <v>0.36599999999999999</v>
      </c>
      <c r="U41" s="217">
        <v>0.35765132369197872</v>
      </c>
      <c r="X41" s="217">
        <v>11.624000000000001</v>
      </c>
      <c r="Y41" s="217">
        <v>11.358849690151805</v>
      </c>
      <c r="Z41" s="217">
        <v>0.84499999999999997</v>
      </c>
      <c r="AA41" s="217">
        <v>0.82572505060033352</v>
      </c>
      <c r="AB41" s="217">
        <v>4.3099999999999996</v>
      </c>
      <c r="AC41" s="217">
        <v>4.211686352766197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35.4313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4.5579999999999998</v>
      </c>
      <c r="Q42" s="102"/>
      <c r="R42" s="102"/>
      <c r="S42" s="58">
        <v>198.9</v>
      </c>
      <c r="T42" s="217">
        <v>1.2E-2</v>
      </c>
      <c r="U42" s="217">
        <v>1.1726272907933729E-2</v>
      </c>
      <c r="X42" s="217">
        <v>5.800000000000001E-2</v>
      </c>
      <c r="Y42" s="217">
        <v>5.6676985721679701E-2</v>
      </c>
      <c r="Z42" s="217">
        <v>1.7000000000000001E-2</v>
      </c>
      <c r="AA42" s="217">
        <v>1.6612219952906116E-2</v>
      </c>
      <c r="AB42" s="217">
        <v>0.83</v>
      </c>
      <c r="AC42" s="217">
        <v>0.81106720946541622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35.430100000000003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4.5599999999999996</v>
      </c>
      <c r="Q43" s="102"/>
      <c r="R43" s="102"/>
      <c r="S43" s="58">
        <v>199</v>
      </c>
      <c r="T43" s="217">
        <v>1.0999999999999999E-2</v>
      </c>
      <c r="U43" s="217">
        <v>1.0749083498939251E-2</v>
      </c>
      <c r="X43" s="217">
        <v>2.9000000000000001E-2</v>
      </c>
      <c r="Y43" s="217">
        <v>2.8338492860839847E-2</v>
      </c>
      <c r="Z43" s="217">
        <v>1.7000000000000001E-2</v>
      </c>
      <c r="AA43" s="217">
        <v>1.6612219952906116E-2</v>
      </c>
      <c r="AB43" s="217">
        <v>0.87</v>
      </c>
      <c r="AC43" s="217">
        <v>0.85015478582519532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35.430199999999999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4.5339999999999998</v>
      </c>
      <c r="Q44" s="102"/>
      <c r="R44" s="102"/>
      <c r="S44" s="58">
        <v>197.9</v>
      </c>
      <c r="T44" s="217">
        <v>1.2E-2</v>
      </c>
      <c r="U44" s="217">
        <v>1.1726272907933729E-2</v>
      </c>
      <c r="X44" s="217">
        <v>4.8000000000000001E-2</v>
      </c>
      <c r="Y44" s="217">
        <v>4.6905091631734917E-2</v>
      </c>
      <c r="Z44" s="217">
        <v>2.1000000000000005E-2</v>
      </c>
      <c r="AA44" s="217">
        <v>2.0520977588884031E-2</v>
      </c>
      <c r="AB44" s="217">
        <v>0.74</v>
      </c>
      <c r="AC44" s="217">
        <v>0.72312016265591328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35.4298</v>
      </c>
      <c r="H45" s="118">
        <v>0</v>
      </c>
      <c r="I45" s="155">
        <v>1.3</v>
      </c>
      <c r="J45" s="102"/>
      <c r="K45" s="55"/>
      <c r="L45" s="55"/>
      <c r="M45" s="55"/>
      <c r="N45" s="56"/>
      <c r="O45" s="55"/>
      <c r="P45" s="102">
        <v>4.593</v>
      </c>
      <c r="Q45" s="102"/>
      <c r="R45" s="102"/>
      <c r="S45" s="58">
        <v>200.5</v>
      </c>
      <c r="T45" s="217">
        <v>4.0000000000000001E-3</v>
      </c>
      <c r="U45" s="217">
        <v>3.9087576359779098E-3</v>
      </c>
      <c r="X45" s="217">
        <v>5.5999999999999994E-2</v>
      </c>
      <c r="Y45" s="217">
        <v>5.4722606903690726E-2</v>
      </c>
      <c r="Z45" s="217">
        <v>2.3999999999999994E-2</v>
      </c>
      <c r="AA45" s="217">
        <v>2.3452545815867452E-2</v>
      </c>
      <c r="AB45" s="217">
        <v>0.73</v>
      </c>
      <c r="AC45" s="217">
        <v>0.71334826856596845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I10" sqref="I10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13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59.91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0°59,91</v>
      </c>
      <c r="P9" s="39" t="s">
        <v>3</v>
      </c>
      <c r="Q9" s="201">
        <f>IF(ISBLANK(I9),"",IF(ISBLANK(J9),"",IF(J9&gt;60,"ERREUR !!",O11*(I9+(J9/60)))))</f>
        <v>0.99849999999999994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30.17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2°30,17</v>
      </c>
      <c r="P10" s="39" t="s">
        <v>54</v>
      </c>
      <c r="Q10" s="201">
        <f>IF(ISBLANK(I10),"",IF(ISBLANK(J10),"",IF(J10&gt;60,"ERREUR !!",O12*(I10+(J10/60)))))</f>
        <v>2.5028333333333332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37870</v>
      </c>
      <c r="K11" s="72"/>
      <c r="L11" s="72"/>
      <c r="M11" s="72"/>
      <c r="N11" s="73" t="str">
        <f>I9&amp;"°"&amp;J9</f>
        <v>0°59,91</v>
      </c>
      <c r="O11" s="74">
        <f>IF(P9=M10,-1,1)</f>
        <v>1</v>
      </c>
      <c r="P11" s="185" t="str">
        <f>TEXT(J11,"aaaa-mm-jj")&amp;"T"&amp;TEXT(J12,"hh:mm:ss")&amp;"z"</f>
        <v>2007-09-07T13:45:00z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0.57291666666666663</v>
      </c>
      <c r="K12" s="75"/>
      <c r="L12" s="75"/>
      <c r="M12" s="75"/>
      <c r="N12" s="76" t="str">
        <f>I10&amp;"°"&amp;J10</f>
        <v>2°30,17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34.964799999999997</v>
      </c>
      <c r="H35" s="126">
        <v>2000</v>
      </c>
      <c r="I35" s="155">
        <v>2003</v>
      </c>
      <c r="J35" s="127"/>
      <c r="K35" s="128"/>
      <c r="L35" s="128"/>
      <c r="M35" s="128"/>
      <c r="N35" s="129"/>
      <c r="O35" s="128"/>
      <c r="P35" s="127">
        <v>5.492</v>
      </c>
      <c r="Q35" s="127"/>
      <c r="R35" s="127"/>
      <c r="S35" s="156">
        <v>238.7</v>
      </c>
      <c r="T35" s="217">
        <v>1.0999999999999999E-2</v>
      </c>
      <c r="U35" s="217">
        <v>1.0749083498939251E-2</v>
      </c>
      <c r="X35" s="217">
        <v>20.879000000000001</v>
      </c>
      <c r="Y35" s="217">
        <v>20.402737670395695</v>
      </c>
      <c r="Z35" s="217">
        <v>1.3679999999999999</v>
      </c>
      <c r="AA35" s="217">
        <v>1.336795111504445</v>
      </c>
      <c r="AB35" s="217">
        <v>22.57</v>
      </c>
      <c r="AC35" s="217">
        <v>22.055164961005357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34.619500000000002</v>
      </c>
      <c r="H36" s="118">
        <v>1000</v>
      </c>
      <c r="I36" s="155">
        <v>999</v>
      </c>
      <c r="J36" s="102"/>
      <c r="K36" s="55"/>
      <c r="L36" s="55"/>
      <c r="M36" s="55"/>
      <c r="N36" s="56"/>
      <c r="O36" s="55"/>
      <c r="P36" s="102"/>
      <c r="Q36" s="102"/>
      <c r="R36" s="102"/>
      <c r="S36" s="58"/>
      <c r="T36" s="217">
        <v>8.0000000000000002E-3</v>
      </c>
      <c r="U36" s="217">
        <v>7.8175152719558196E-3</v>
      </c>
      <c r="X36" s="217">
        <v>33.861999999999995</v>
      </c>
      <c r="Y36" s="217">
        <v>33.089587767370986</v>
      </c>
      <c r="Z36" s="217">
        <v>2.2439999999999998</v>
      </c>
      <c r="AA36" s="217">
        <v>2.1928130337836071</v>
      </c>
      <c r="AB36" s="217">
        <v>31.82</v>
      </c>
      <c r="AC36" s="217">
        <v>31.094166994204272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34.584200000000003</v>
      </c>
      <c r="H37" s="118">
        <v>600</v>
      </c>
      <c r="I37" s="155">
        <v>598.6</v>
      </c>
      <c r="J37" s="102"/>
      <c r="K37" s="55"/>
      <c r="L37" s="55"/>
      <c r="M37" s="55"/>
      <c r="N37" s="56"/>
      <c r="O37" s="55"/>
      <c r="P37" s="102"/>
      <c r="Q37" s="102"/>
      <c r="R37" s="102"/>
      <c r="S37" s="58"/>
      <c r="T37" s="217">
        <v>1.0999999999999999E-2</v>
      </c>
      <c r="U37" s="217">
        <v>1.0749083498939251E-2</v>
      </c>
      <c r="X37" s="217">
        <v>35.058999999999997</v>
      </c>
      <c r="Y37" s="217">
        <v>34.259283489937381</v>
      </c>
      <c r="Z37" s="217">
        <v>2.2519999999999998</v>
      </c>
      <c r="AA37" s="217">
        <v>2.2006305490555631</v>
      </c>
      <c r="AB37" s="217">
        <v>23.39</v>
      </c>
      <c r="AC37" s="217">
        <v>22.856460276380826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34.584000000000003</v>
      </c>
      <c r="H38" s="118">
        <v>600</v>
      </c>
      <c r="I38" s="155">
        <v>599.6</v>
      </c>
      <c r="J38" s="102"/>
      <c r="K38" s="55"/>
      <c r="L38" s="55"/>
      <c r="M38" s="55"/>
      <c r="N38" s="56"/>
      <c r="O38" s="55"/>
      <c r="P38" s="102">
        <v>2.7410000000000001</v>
      </c>
      <c r="Q38" s="102"/>
      <c r="R38" s="102"/>
      <c r="S38" s="58">
        <v>119.2</v>
      </c>
      <c r="T38" s="217">
        <v>6.9999999999999993E-3</v>
      </c>
      <c r="U38" s="217">
        <v>6.8403258629613408E-3</v>
      </c>
      <c r="X38" s="217">
        <v>34.443000000000005</v>
      </c>
      <c r="Y38" s="217">
        <v>33.657334813996791</v>
      </c>
      <c r="Z38" s="217">
        <v>2.2149999999999999</v>
      </c>
      <c r="AA38" s="217">
        <v>2.1644745409227673</v>
      </c>
      <c r="AB38" s="217">
        <v>22.17</v>
      </c>
      <c r="AC38" s="217">
        <v>21.664289197407566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35.6434</v>
      </c>
      <c r="H39" s="118">
        <v>100</v>
      </c>
      <c r="I39" s="155">
        <v>98.9</v>
      </c>
      <c r="J39" s="102"/>
      <c r="K39" s="55"/>
      <c r="L39" s="55"/>
      <c r="M39" s="55"/>
      <c r="N39" s="56"/>
      <c r="O39" s="55"/>
      <c r="P39" s="102"/>
      <c r="Q39" s="102"/>
      <c r="R39" s="102"/>
      <c r="S39" s="58"/>
      <c r="T39" s="217">
        <v>0.14300000000000002</v>
      </c>
      <c r="U39" s="217">
        <v>0.13973808548621028</v>
      </c>
      <c r="X39" s="217">
        <v>15.487</v>
      </c>
      <c r="Y39" s="217">
        <v>15.133732377097472</v>
      </c>
      <c r="Z39" s="217">
        <v>1.0719999999999998</v>
      </c>
      <c r="AA39" s="217">
        <v>1.0475470464420795</v>
      </c>
      <c r="AB39" s="217">
        <v>5.59</v>
      </c>
      <c r="AC39" s="217">
        <v>5.4624887962791284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35.743000000000002</v>
      </c>
      <c r="H40" s="118">
        <v>80</v>
      </c>
      <c r="I40" s="155">
        <v>75</v>
      </c>
      <c r="J40" s="102"/>
      <c r="K40" s="55"/>
      <c r="L40" s="55"/>
      <c r="M40" s="55"/>
      <c r="N40" s="56"/>
      <c r="O40" s="55"/>
      <c r="P40" s="102">
        <v>3.339</v>
      </c>
      <c r="Q40" s="102"/>
      <c r="R40" s="102"/>
      <c r="S40" s="58">
        <v>145.30000000000001</v>
      </c>
      <c r="T40" s="217">
        <v>0.56199999999999994</v>
      </c>
      <c r="U40" s="217">
        <v>0.54918044785489628</v>
      </c>
      <c r="X40" s="217">
        <v>12.548</v>
      </c>
      <c r="Y40" s="217">
        <v>12.261772704062702</v>
      </c>
      <c r="Z40" s="217">
        <v>0.94600000000000006</v>
      </c>
      <c r="AA40" s="217">
        <v>0.92442118090877567</v>
      </c>
      <c r="AB40" s="217">
        <v>4.9400000000000004</v>
      </c>
      <c r="AC40" s="217">
        <v>4.8273156804327186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35.830300000000001</v>
      </c>
      <c r="H41" s="118">
        <v>60</v>
      </c>
      <c r="I41" s="155">
        <v>61</v>
      </c>
      <c r="J41" s="102"/>
      <c r="K41" s="55"/>
      <c r="L41" s="55"/>
      <c r="M41" s="55"/>
      <c r="N41" s="56"/>
      <c r="O41" s="55"/>
      <c r="P41" s="102">
        <v>3.7</v>
      </c>
      <c r="Q41" s="102"/>
      <c r="R41" s="102"/>
      <c r="S41" s="58">
        <v>161.1</v>
      </c>
      <c r="T41" s="217">
        <v>0.12183333333333331</v>
      </c>
      <c r="U41" s="217">
        <v>0.11905424299582713</v>
      </c>
      <c r="X41" s="217">
        <v>14.237333333333332</v>
      </c>
      <c r="Y41" s="217">
        <v>13.912571345657375</v>
      </c>
      <c r="Z41" s="217">
        <v>0.97191666666666654</v>
      </c>
      <c r="AA41" s="217">
        <v>0.94974667309188243</v>
      </c>
      <c r="AB41" s="217">
        <v>10.078333333333333</v>
      </c>
      <c r="AC41" s="217">
        <v>9.8484405936493413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35.447299999999998</v>
      </c>
      <c r="H42" s="118">
        <v>40</v>
      </c>
      <c r="I42" s="155">
        <v>37.200000000000003</v>
      </c>
      <c r="J42" s="102"/>
      <c r="K42" s="55"/>
      <c r="L42" s="55"/>
      <c r="M42" s="55"/>
      <c r="N42" s="56"/>
      <c r="O42" s="55"/>
      <c r="P42" s="102">
        <v>5.093</v>
      </c>
      <c r="Q42" s="102"/>
      <c r="R42" s="102"/>
      <c r="S42" s="58">
        <v>222.3</v>
      </c>
      <c r="T42" s="217">
        <v>1.6E-2</v>
      </c>
      <c r="U42" s="217">
        <v>1.5635030543911639E-2</v>
      </c>
      <c r="X42" s="217">
        <v>3.4000000000000002E-2</v>
      </c>
      <c r="Y42" s="217">
        <v>3.3224439905812232E-2</v>
      </c>
      <c r="Z42" s="217">
        <v>2.5000000000000001E-2</v>
      </c>
      <c r="AA42" s="217">
        <v>2.4429735224861929E-2</v>
      </c>
      <c r="AB42" s="217">
        <v>0.76</v>
      </c>
      <c r="AC42" s="217">
        <v>0.74266395083580283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35.445999999999998</v>
      </c>
      <c r="H43" s="118">
        <v>20</v>
      </c>
      <c r="I43" s="155">
        <v>19.399999999999999</v>
      </c>
      <c r="J43" s="102"/>
      <c r="K43" s="55"/>
      <c r="L43" s="55"/>
      <c r="M43" s="55"/>
      <c r="N43" s="56"/>
      <c r="O43" s="55"/>
      <c r="P43" s="102">
        <v>4.6269999999999998</v>
      </c>
      <c r="Q43" s="102"/>
      <c r="R43" s="102"/>
      <c r="S43" s="58">
        <v>201.9</v>
      </c>
      <c r="T43" s="217">
        <v>2.9999999999999992E-3</v>
      </c>
      <c r="U43" s="217">
        <v>2.9315682269834315E-3</v>
      </c>
      <c r="X43" s="217">
        <v>3.7000000000000005E-2</v>
      </c>
      <c r="Y43" s="217">
        <v>3.6156008132795667E-2</v>
      </c>
      <c r="Z43" s="217">
        <v>2.8999999999999998E-2</v>
      </c>
      <c r="AA43" s="217">
        <v>2.8338492860839844E-2</v>
      </c>
      <c r="AB43" s="217">
        <v>0.71</v>
      </c>
      <c r="AC43" s="217">
        <v>0.69380448038607889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35.445700000000002</v>
      </c>
      <c r="H44" s="118">
        <v>10</v>
      </c>
      <c r="I44" s="155">
        <v>10.199999999999999</v>
      </c>
      <c r="J44" s="102"/>
      <c r="K44" s="55"/>
      <c r="L44" s="55"/>
      <c r="M44" s="55"/>
      <c r="N44" s="56"/>
      <c r="O44" s="55"/>
      <c r="P44" s="102">
        <v>4.5730000000000004</v>
      </c>
      <c r="Q44" s="102"/>
      <c r="R44" s="102"/>
      <c r="S44" s="58">
        <v>199.6</v>
      </c>
      <c r="T44" s="217">
        <v>6.0000000000000019E-3</v>
      </c>
      <c r="U44" s="217">
        <v>5.8631364539668664E-3</v>
      </c>
      <c r="X44" s="217">
        <v>2.3999999999999997E-2</v>
      </c>
      <c r="Y44" s="217">
        <v>2.3452545815867455E-2</v>
      </c>
      <c r="Z44" s="217">
        <v>2.7999999999999997E-2</v>
      </c>
      <c r="AA44" s="217">
        <v>2.7361303451845363E-2</v>
      </c>
      <c r="AB44" s="217">
        <v>0.77</v>
      </c>
      <c r="AC44" s="217">
        <v>0.75243584492574767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35.447000000000003</v>
      </c>
      <c r="H45" s="118">
        <v>0</v>
      </c>
      <c r="I45" s="155">
        <v>1.4</v>
      </c>
      <c r="J45" s="102"/>
      <c r="K45" s="55"/>
      <c r="L45" s="55"/>
      <c r="M45" s="55"/>
      <c r="N45" s="56"/>
      <c r="O45" s="55"/>
      <c r="P45" s="102">
        <v>4.6029999999999998</v>
      </c>
      <c r="Q45" s="102"/>
      <c r="R45" s="102"/>
      <c r="S45" s="58">
        <v>200.9</v>
      </c>
      <c r="T45" s="217">
        <v>8.0000000000000002E-3</v>
      </c>
      <c r="U45" s="217">
        <v>7.8175152719558196E-3</v>
      </c>
      <c r="X45" s="217">
        <v>6.2000000000000006E-2</v>
      </c>
      <c r="Y45" s="217">
        <v>6.0585743357657602E-2</v>
      </c>
      <c r="Z45" s="217">
        <v>4.3999999999999997E-2</v>
      </c>
      <c r="AA45" s="217">
        <v>4.2996333995757002E-2</v>
      </c>
      <c r="AB45" s="217">
        <v>0.74</v>
      </c>
      <c r="AC45" s="217">
        <v>0.72312016265591328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14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29.85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0°29,85</v>
      </c>
      <c r="P9" s="39" t="s">
        <v>3</v>
      </c>
      <c r="Q9" s="201">
        <f>IF(ISBLANK(I9),"",IF(ISBLANK(J9),"",IF(J9&gt;60,"ERREUR !!",O11*(I9+(J9/60)))))</f>
        <v>0.4975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30.18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2°30,18</v>
      </c>
      <c r="P10" s="39" t="s">
        <v>54</v>
      </c>
      <c r="Q10" s="201">
        <f>IF(ISBLANK(I10),"",IF(ISBLANK(J10),"",IF(J10&gt;60,"ERREUR !!",O12*(I10+(J10/60)))))</f>
        <v>2.5030000000000001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37870</v>
      </c>
      <c r="K11" s="72"/>
      <c r="L11" s="72"/>
      <c r="M11" s="72"/>
      <c r="N11" s="73" t="str">
        <f>I9&amp;"°"&amp;J9</f>
        <v>0°29,85</v>
      </c>
      <c r="O11" s="74">
        <f>IF(P9=M10,-1,1)</f>
        <v>1</v>
      </c>
      <c r="P11" s="185" t="str">
        <f>TEXT(J11,"aaaa-mm-jj")&amp;"T"&amp;TEXT(J12,"hh:mm:ss")&amp;"z"</f>
        <v>2007-09-07T18:45:00z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0.78125</v>
      </c>
      <c r="K12" s="75"/>
      <c r="L12" s="75"/>
      <c r="M12" s="75"/>
      <c r="N12" s="76" t="str">
        <f>I10&amp;"°"&amp;J10</f>
        <v>2°30,18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34.966900000000003</v>
      </c>
      <c r="H35" s="126">
        <v>2000</v>
      </c>
      <c r="I35" s="155">
        <v>2003</v>
      </c>
      <c r="J35" s="127"/>
      <c r="K35" s="128"/>
      <c r="L35" s="128"/>
      <c r="M35" s="128"/>
      <c r="N35" s="129"/>
      <c r="O35" s="128"/>
      <c r="P35" s="152">
        <v>5.4390000000000001</v>
      </c>
      <c r="Q35" s="127"/>
      <c r="R35" s="127"/>
      <c r="S35" s="153">
        <v>236.4</v>
      </c>
      <c r="T35" s="217">
        <v>0</v>
      </c>
      <c r="U35" s="217">
        <v>0</v>
      </c>
      <c r="X35" s="217">
        <v>20.55</v>
      </c>
      <c r="Y35" s="217">
        <v>20.081242354836512</v>
      </c>
      <c r="Z35" s="217">
        <v>1.365</v>
      </c>
      <c r="AA35" s="217">
        <v>1.3338635432774617</v>
      </c>
      <c r="AB35" s="217">
        <v>22.14</v>
      </c>
      <c r="AC35" s="217">
        <v>21.63497351513773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34.618299999999998</v>
      </c>
      <c r="H36" s="118">
        <v>1000</v>
      </c>
      <c r="I36" s="155">
        <v>1001</v>
      </c>
      <c r="J36" s="102"/>
      <c r="K36" s="55"/>
      <c r="L36" s="55"/>
      <c r="M36" s="55"/>
      <c r="N36" s="56"/>
      <c r="O36" s="55"/>
      <c r="P36" s="152">
        <v>3.4140000000000001</v>
      </c>
      <c r="Q36" s="102"/>
      <c r="R36" s="102"/>
      <c r="S36" s="153">
        <v>148.4</v>
      </c>
      <c r="T36" s="217">
        <v>0</v>
      </c>
      <c r="U36" s="217">
        <v>0</v>
      </c>
      <c r="X36" s="217">
        <v>33.39</v>
      </c>
      <c r="Y36" s="217">
        <v>32.628354366325603</v>
      </c>
      <c r="Z36" s="217">
        <v>2.2370000000000001</v>
      </c>
      <c r="AA36" s="217">
        <v>2.1859727079206461</v>
      </c>
      <c r="AB36" s="217">
        <v>31.44</v>
      </c>
      <c r="AC36" s="217">
        <v>30.72283501878637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34.589599999999997</v>
      </c>
      <c r="H37" s="118">
        <v>600</v>
      </c>
      <c r="I37" s="155">
        <v>601.5</v>
      </c>
      <c r="J37" s="102"/>
      <c r="K37" s="55"/>
      <c r="L37" s="55"/>
      <c r="M37" s="55"/>
      <c r="N37" s="56"/>
      <c r="O37" s="55"/>
      <c r="P37" s="152">
        <v>2.6139999999999999</v>
      </c>
      <c r="Q37" s="102"/>
      <c r="R37" s="102"/>
      <c r="S37" s="153">
        <v>113.7</v>
      </c>
      <c r="T37" s="217">
        <v>5.0000000000000001E-3</v>
      </c>
      <c r="U37" s="217">
        <v>4.8859470449723868E-3</v>
      </c>
      <c r="X37" s="217">
        <v>35.064999999999998</v>
      </c>
      <c r="Y37" s="217">
        <v>34.265146626391349</v>
      </c>
      <c r="Z37" s="217">
        <v>2.2570000000000001</v>
      </c>
      <c r="AA37" s="217">
        <v>2.2055164961005356</v>
      </c>
      <c r="AB37" s="217">
        <v>22.83</v>
      </c>
      <c r="AC37" s="217">
        <v>22.309234207343916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35.605899999999998</v>
      </c>
      <c r="H38" s="118">
        <v>100</v>
      </c>
      <c r="I38" s="155">
        <v>100.4</v>
      </c>
      <c r="J38" s="102"/>
      <c r="K38" s="55"/>
      <c r="L38" s="55"/>
      <c r="M38" s="55"/>
      <c r="N38" s="56"/>
      <c r="O38" s="55"/>
      <c r="P38" s="152">
        <v>3.198</v>
      </c>
      <c r="Q38" s="102"/>
      <c r="R38" s="102"/>
      <c r="S38" s="220">
        <v>139.19999999999999</v>
      </c>
      <c r="T38" s="217">
        <v>5.0999999999999997E-2</v>
      </c>
      <c r="U38" s="217">
        <v>4.9836659858718345E-2</v>
      </c>
      <c r="X38" s="217">
        <v>15.308999999999999</v>
      </c>
      <c r="Y38" s="217">
        <v>14.959792662296454</v>
      </c>
      <c r="Z38" s="217">
        <v>1.079</v>
      </c>
      <c r="AA38" s="217">
        <v>1.054387372305041</v>
      </c>
      <c r="AB38" s="217">
        <v>5.86</v>
      </c>
      <c r="AC38" s="217">
        <v>5.7263299367076375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35.606099999999998</v>
      </c>
      <c r="H39" s="118">
        <v>100</v>
      </c>
      <c r="I39" s="155">
        <v>100.4</v>
      </c>
      <c r="J39" s="102"/>
      <c r="K39" s="55"/>
      <c r="L39" s="55"/>
      <c r="M39" s="55"/>
      <c r="N39" s="56"/>
      <c r="O39" s="55"/>
      <c r="P39" s="152">
        <v>3.206</v>
      </c>
      <c r="Q39" s="102"/>
      <c r="R39" s="102"/>
      <c r="S39" s="220">
        <v>139.5</v>
      </c>
      <c r="T39" s="217">
        <v>5.6000000000000001E-2</v>
      </c>
      <c r="U39" s="217">
        <v>5.4722606903690733E-2</v>
      </c>
      <c r="X39" s="217">
        <v>15.184000000000001</v>
      </c>
      <c r="Y39" s="217">
        <v>14.837643986172147</v>
      </c>
      <c r="Z39" s="217">
        <v>1.0759999999999998</v>
      </c>
      <c r="AA39" s="217">
        <v>1.0514558040780575</v>
      </c>
      <c r="AB39" s="217">
        <v>5.56</v>
      </c>
      <c r="AC39" s="217">
        <v>5.4331731140092936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35.656300000000002</v>
      </c>
      <c r="H40" s="118">
        <v>80</v>
      </c>
      <c r="I40" s="155">
        <v>78</v>
      </c>
      <c r="J40" s="102"/>
      <c r="K40" s="55"/>
      <c r="L40" s="55"/>
      <c r="M40" s="55"/>
      <c r="N40" s="56"/>
      <c r="O40" s="55"/>
      <c r="P40" s="152">
        <v>3.0579999999999998</v>
      </c>
      <c r="Q40" s="102"/>
      <c r="R40" s="102"/>
      <c r="S40" s="153">
        <v>133.1</v>
      </c>
      <c r="T40" s="217">
        <v>0.44400000000000001</v>
      </c>
      <c r="U40" s="217">
        <v>0.43387209759354795</v>
      </c>
      <c r="X40" s="217">
        <v>14.985999999999999</v>
      </c>
      <c r="Y40" s="217">
        <v>14.644160483191238</v>
      </c>
      <c r="Z40" s="217">
        <v>1.05</v>
      </c>
      <c r="AA40" s="217">
        <v>1.0260488794442011</v>
      </c>
      <c r="AB40" s="217">
        <v>5.39</v>
      </c>
      <c r="AC40" s="217">
        <v>5.2670509144802331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35.714500000000001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52">
        <v>3.6659999999999999</v>
      </c>
      <c r="Q41" s="102"/>
      <c r="R41" s="102"/>
      <c r="S41" s="153">
        <v>159.6</v>
      </c>
      <c r="T41" s="217">
        <v>0.36099999999999999</v>
      </c>
      <c r="U41" s="217">
        <v>0.35276537664700636</v>
      </c>
      <c r="X41" s="217">
        <v>10.548999999999999</v>
      </c>
      <c r="Y41" s="217">
        <v>10.308371075482741</v>
      </c>
      <c r="Z41" s="217">
        <v>0.80200000000000005</v>
      </c>
      <c r="AA41" s="217">
        <v>0.78370590601357093</v>
      </c>
      <c r="AB41" s="217">
        <v>4.05</v>
      </c>
      <c r="AC41" s="217">
        <v>3.9576171064276333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35.5413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52">
        <v>4.38</v>
      </c>
      <c r="Q42" s="102"/>
      <c r="R42" s="102"/>
      <c r="S42" s="153">
        <v>191</v>
      </c>
      <c r="T42" s="217">
        <v>8.2000000000000003E-2</v>
      </c>
      <c r="U42" s="217">
        <v>8.012953153754715E-2</v>
      </c>
      <c r="X42" s="217">
        <v>2.4279999999999999</v>
      </c>
      <c r="Y42" s="217">
        <v>2.372615885038591</v>
      </c>
      <c r="Z42" s="217">
        <v>0.24299999999999999</v>
      </c>
      <c r="AA42" s="217">
        <v>0.23745702638565799</v>
      </c>
      <c r="AB42" s="217">
        <v>1.61</v>
      </c>
      <c r="AC42" s="217">
        <v>1.5732749484811086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35.443600000000004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52">
        <v>4.5540000000000003</v>
      </c>
      <c r="Q43" s="102"/>
      <c r="R43" s="102"/>
      <c r="S43" s="153">
        <v>198.7</v>
      </c>
      <c r="T43" s="217">
        <v>1.7999999999999999E-2</v>
      </c>
      <c r="U43" s="217">
        <v>1.7589409361900593E-2</v>
      </c>
      <c r="X43" s="217">
        <v>2.2000000000000002E-2</v>
      </c>
      <c r="Y43" s="217">
        <v>2.1498166997878505E-2</v>
      </c>
      <c r="Z43" s="217">
        <v>3.3000000000000002E-2</v>
      </c>
      <c r="AA43" s="217">
        <v>3.2247250496817759E-2</v>
      </c>
      <c r="AB43" s="217">
        <v>0.79</v>
      </c>
      <c r="AC43" s="217">
        <v>0.77197963310563722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35.443399999999997</v>
      </c>
      <c r="H44" s="118">
        <v>10</v>
      </c>
      <c r="I44" s="155">
        <v>10.6</v>
      </c>
      <c r="J44" s="102"/>
      <c r="K44" s="55"/>
      <c r="L44" s="55"/>
      <c r="M44" s="55"/>
      <c r="N44" s="56"/>
      <c r="O44" s="55"/>
      <c r="P44" s="152">
        <v>4.5369999999999999</v>
      </c>
      <c r="Q44" s="102"/>
      <c r="R44" s="102"/>
      <c r="S44" s="153">
        <v>198</v>
      </c>
      <c r="T44" s="217">
        <v>1.6E-2</v>
      </c>
      <c r="U44" s="217">
        <v>1.5635030543911639E-2</v>
      </c>
      <c r="X44" s="217">
        <v>3.4000000000000002E-2</v>
      </c>
      <c r="Y44" s="217">
        <v>3.3224439905812232E-2</v>
      </c>
      <c r="Z44" s="217">
        <v>3.7000000000000005E-2</v>
      </c>
      <c r="AA44" s="217">
        <v>3.6156008132795667E-2</v>
      </c>
      <c r="AB44" s="217">
        <v>0.77</v>
      </c>
      <c r="AC44" s="217">
        <v>0.75243584492574767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35.448999999999998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52">
        <v>4.54</v>
      </c>
      <c r="Q45" s="102"/>
      <c r="R45" s="102"/>
      <c r="S45" s="153">
        <v>198.1</v>
      </c>
      <c r="T45" s="217">
        <v>0</v>
      </c>
      <c r="U45" s="217">
        <v>0</v>
      </c>
      <c r="X45" s="217">
        <v>0.03</v>
      </c>
      <c r="Y45" s="217">
        <v>2.9315682269834321E-2</v>
      </c>
      <c r="Z45" s="217">
        <v>3.5000000000000003E-2</v>
      </c>
      <c r="AA45" s="217">
        <v>3.4201629314806713E-2</v>
      </c>
      <c r="AB45" s="217">
        <v>0.73</v>
      </c>
      <c r="AC45" s="217">
        <v>0.71334826856596845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15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0.04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-0°0,04</v>
      </c>
      <c r="P9" s="39" t="s">
        <v>53</v>
      </c>
      <c r="Q9" s="201">
        <f>IF(ISBLANK(I9),"",IF(ISBLANK(J9),"",IF(J9&gt;60,"ERREUR !!",O11*(I9+(J9/60)))))</f>
        <v>-6.6666666666666664E-4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30.01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2°30,01</v>
      </c>
      <c r="P10" s="39" t="s">
        <v>54</v>
      </c>
      <c r="Q10" s="201">
        <f>IF(ISBLANK(I10),"",IF(ISBLANK(J10),"",IF(J10&gt;60,"ERREUR !!",O12*(I10+(J10/60)))))</f>
        <v>2.5001666666666669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37870</v>
      </c>
      <c r="K11" s="72"/>
      <c r="L11" s="72"/>
      <c r="M11" s="72"/>
      <c r="N11" s="73" t="str">
        <f>I9&amp;"°"&amp;J9</f>
        <v>0°0,04</v>
      </c>
      <c r="O11" s="74">
        <f>IF(P9=M10,-1,1)</f>
        <v>-1</v>
      </c>
      <c r="P11" s="185" t="str">
        <f>TEXT(J11,"aaaa-mm-jj")&amp;"T"&amp;TEXT(J12,"hh:mm:ss")&amp;"z"</f>
        <v>2007-09-07T23:30:00z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0.97916666666666663</v>
      </c>
      <c r="K12" s="75"/>
      <c r="L12" s="75"/>
      <c r="M12" s="75"/>
      <c r="N12" s="76" t="str">
        <f>I10&amp;"°"&amp;J10</f>
        <v>2°30,01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34.9666</v>
      </c>
      <c r="H35" s="126">
        <v>2000</v>
      </c>
      <c r="I35" s="155">
        <v>2002</v>
      </c>
      <c r="J35" s="127"/>
      <c r="K35" s="128"/>
      <c r="L35" s="128"/>
      <c r="M35" s="128"/>
      <c r="N35" s="129"/>
      <c r="O35" s="128"/>
      <c r="P35" s="127">
        <v>5.6859999999999999</v>
      </c>
      <c r="Q35" s="127"/>
      <c r="R35" s="127"/>
      <c r="S35" s="153">
        <v>247.1</v>
      </c>
      <c r="T35" s="217">
        <v>1.0999999999999999E-2</v>
      </c>
      <c r="U35" s="217">
        <v>1.0749083498939251E-2</v>
      </c>
      <c r="X35" s="217">
        <v>20.309000000000001</v>
      </c>
      <c r="Y35" s="217">
        <v>19.845739707268841</v>
      </c>
      <c r="Z35" s="217">
        <v>1.3679999999999999</v>
      </c>
      <c r="AA35" s="217">
        <v>1.336795111504445</v>
      </c>
      <c r="AB35" s="217">
        <v>22.04</v>
      </c>
      <c r="AC35" s="217">
        <v>21.537254574238283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34.619</v>
      </c>
      <c r="H36" s="118">
        <v>1000</v>
      </c>
      <c r="I36" s="155">
        <v>999.9</v>
      </c>
      <c r="J36" s="102"/>
      <c r="K36" s="55"/>
      <c r="L36" s="55"/>
      <c r="M36" s="55"/>
      <c r="N36" s="56"/>
      <c r="O36" s="55"/>
      <c r="P36" s="102">
        <v>3.4969999999999999</v>
      </c>
      <c r="Q36" s="102"/>
      <c r="R36" s="102"/>
      <c r="S36" s="153">
        <v>152</v>
      </c>
      <c r="T36" s="217">
        <v>7.0000000000000001E-3</v>
      </c>
      <c r="U36" s="217">
        <v>6.8403258629613417E-3</v>
      </c>
      <c r="X36" s="217">
        <v>33.083000000000006</v>
      </c>
      <c r="Y36" s="217">
        <v>32.328357217764299</v>
      </c>
      <c r="Z36" s="217">
        <v>2.2490000000000001</v>
      </c>
      <c r="AA36" s="217">
        <v>2.1976989808285796</v>
      </c>
      <c r="AB36" s="217">
        <v>30.16</v>
      </c>
      <c r="AC36" s="217">
        <v>29.472032575273438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34.594000000000001</v>
      </c>
      <c r="H37" s="118">
        <v>600</v>
      </c>
      <c r="I37" s="155">
        <v>599.70000000000005</v>
      </c>
      <c r="J37" s="102"/>
      <c r="K37" s="55"/>
      <c r="L37" s="55"/>
      <c r="M37" s="55"/>
      <c r="N37" s="56"/>
      <c r="O37" s="55"/>
      <c r="P37" s="102"/>
      <c r="Q37" s="102"/>
      <c r="R37" s="102"/>
      <c r="S37" s="153"/>
      <c r="T37" s="217">
        <v>4.0000000000000001E-3</v>
      </c>
      <c r="U37" s="217">
        <v>3.9087576359779098E-3</v>
      </c>
      <c r="X37" s="217">
        <v>34.336000000000006</v>
      </c>
      <c r="Y37" s="217">
        <v>33.552775547234383</v>
      </c>
      <c r="Z37" s="217">
        <v>2.2069999999999999</v>
      </c>
      <c r="AA37" s="217">
        <v>2.1566570256508113</v>
      </c>
      <c r="AB37" s="217">
        <v>22.06</v>
      </c>
      <c r="AC37" s="217">
        <v>21.556798362418171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35.646000000000001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3.6</v>
      </c>
      <c r="Q38" s="102"/>
      <c r="R38" s="102"/>
      <c r="S38" s="220">
        <v>156.69999999999999</v>
      </c>
      <c r="T38" s="217">
        <v>6.8000000000000005E-2</v>
      </c>
      <c r="U38" s="217">
        <v>6.6448879811624464E-2</v>
      </c>
      <c r="X38" s="217">
        <v>12.982000000000001</v>
      </c>
      <c r="Y38" s="217">
        <v>12.685872907566306</v>
      </c>
      <c r="Z38" s="217">
        <v>0.96</v>
      </c>
      <c r="AA38" s="217">
        <v>0.93810183263469837</v>
      </c>
      <c r="AB38" s="217">
        <v>5.16</v>
      </c>
      <c r="AC38" s="217">
        <v>5.0422973504115038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35.682600000000001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/>
      <c r="Q39" s="102"/>
      <c r="R39" s="102"/>
      <c r="S39" s="220"/>
      <c r="T39" s="217">
        <v>7.4999999999999997E-2</v>
      </c>
      <c r="U39" s="217">
        <v>7.32892056745858E-2</v>
      </c>
      <c r="X39" s="217">
        <v>12.515000000000001</v>
      </c>
      <c r="Y39" s="217">
        <v>12.229525453565886</v>
      </c>
      <c r="Z39" s="217">
        <v>0.92099999999999993</v>
      </c>
      <c r="AA39" s="217">
        <v>0.89999144568391365</v>
      </c>
      <c r="AB39" s="217">
        <v>4.8099999999999996</v>
      </c>
      <c r="AC39" s="217">
        <v>4.7002810572634361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35.684399999999997</v>
      </c>
      <c r="H40" s="118">
        <v>80</v>
      </c>
      <c r="I40" s="155">
        <v>80</v>
      </c>
      <c r="J40" s="102"/>
      <c r="K40" s="55"/>
      <c r="L40" s="55"/>
      <c r="M40" s="55"/>
      <c r="N40" s="56"/>
      <c r="O40" s="55"/>
      <c r="P40" s="102">
        <v>3.6389999999999998</v>
      </c>
      <c r="Q40" s="102"/>
      <c r="R40" s="102"/>
      <c r="S40" s="153">
        <v>158.4</v>
      </c>
      <c r="T40" s="217">
        <v>7.6999999999999999E-2</v>
      </c>
      <c r="U40" s="217">
        <v>7.5243584492574761E-2</v>
      </c>
      <c r="X40" s="217">
        <v>12.372999999999999</v>
      </c>
      <c r="Y40" s="217">
        <v>12.090764557488669</v>
      </c>
      <c r="Z40" s="217">
        <v>0.91200000000000003</v>
      </c>
      <c r="AA40" s="217">
        <v>0.89119674100296342</v>
      </c>
      <c r="AB40" s="217">
        <v>4.9800000000000004</v>
      </c>
      <c r="AC40" s="217">
        <v>4.8664032567924975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35.818399999999997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3.5790000000000002</v>
      </c>
      <c r="Q41" s="102"/>
      <c r="R41" s="102"/>
      <c r="S41" s="153">
        <v>155.80000000000001</v>
      </c>
      <c r="T41" s="217">
        <v>0.219</v>
      </c>
      <c r="U41" s="217">
        <v>0.21400448056979055</v>
      </c>
      <c r="X41" s="217">
        <v>11.331000000000001</v>
      </c>
      <c r="Y41" s="217">
        <v>11.072533193316424</v>
      </c>
      <c r="Z41" s="217">
        <v>0.84700000000000009</v>
      </c>
      <c r="AA41" s="217">
        <v>0.8276794294183224</v>
      </c>
      <c r="AB41" s="217">
        <v>3.92</v>
      </c>
      <c r="AC41" s="217">
        <v>3.8305824832583513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35.4373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4.617</v>
      </c>
      <c r="Q42" s="102"/>
      <c r="R42" s="102"/>
      <c r="S42" s="153">
        <v>201.4</v>
      </c>
      <c r="T42" s="217">
        <v>1.0999999999999999E-2</v>
      </c>
      <c r="U42" s="217">
        <v>1.0749083498939251E-2</v>
      </c>
      <c r="X42" s="217">
        <v>0.439</v>
      </c>
      <c r="Y42" s="217">
        <v>0.42898615054857558</v>
      </c>
      <c r="Z42" s="217">
        <v>6.7999999999999991E-2</v>
      </c>
      <c r="AA42" s="217">
        <v>6.6448879811624451E-2</v>
      </c>
      <c r="AB42" s="217">
        <v>0.77</v>
      </c>
      <c r="AC42" s="217">
        <v>0.75243584492574767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35.4251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/>
      <c r="Q43" s="102"/>
      <c r="R43" s="102"/>
      <c r="S43" s="153"/>
      <c r="T43" s="217">
        <v>1E-3</v>
      </c>
      <c r="U43" s="217">
        <v>9.7718940899447744E-4</v>
      </c>
      <c r="X43" s="217">
        <v>5.8999999999999997E-2</v>
      </c>
      <c r="Y43" s="217">
        <v>5.7654175130674161E-2</v>
      </c>
      <c r="Z43" s="217">
        <v>3.4000000000000002E-2</v>
      </c>
      <c r="AA43" s="217">
        <v>3.3224439905812232E-2</v>
      </c>
      <c r="AB43" s="217">
        <v>0.67</v>
      </c>
      <c r="AC43" s="217">
        <v>0.6547169040262999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35.428899999999999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4.5490000000000004</v>
      </c>
      <c r="Q44" s="102"/>
      <c r="R44" s="102"/>
      <c r="S44" s="153">
        <v>198.5</v>
      </c>
      <c r="T44" s="217">
        <v>1E-3</v>
      </c>
      <c r="U44" s="217">
        <v>9.7718940899447744E-4</v>
      </c>
      <c r="X44" s="217">
        <v>6.9000000000000006E-2</v>
      </c>
      <c r="Y44" s="217">
        <v>6.7426069220618945E-2</v>
      </c>
      <c r="Z44" s="217">
        <v>3.7000000000000005E-2</v>
      </c>
      <c r="AA44" s="217">
        <v>3.6156008132795667E-2</v>
      </c>
      <c r="AB44" s="217">
        <v>0.63</v>
      </c>
      <c r="AC44" s="217">
        <v>0.61562932766652079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35.428699999999999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02">
        <v>4.577</v>
      </c>
      <c r="Q45" s="102"/>
      <c r="R45" s="102"/>
      <c r="S45" s="153">
        <v>199.7</v>
      </c>
      <c r="T45" s="217">
        <v>1E-3</v>
      </c>
      <c r="U45" s="217">
        <v>9.7718940899447744E-4</v>
      </c>
      <c r="X45" s="217">
        <v>5.8999999999999997E-2</v>
      </c>
      <c r="Y45" s="217">
        <v>5.7654175130674161E-2</v>
      </c>
      <c r="Z45" s="217">
        <v>2.8999999999999998E-2</v>
      </c>
      <c r="AA45" s="217">
        <v>2.8338492860839844E-2</v>
      </c>
      <c r="AB45" s="217">
        <v>0.56999999999999995</v>
      </c>
      <c r="AC45" s="217">
        <v>0.55699796312685212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16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30.01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-0°30,01</v>
      </c>
      <c r="P9" s="39" t="s">
        <v>53</v>
      </c>
      <c r="Q9" s="201">
        <f>IF(ISBLANK(I9),"",IF(ISBLANK(J9),"",IF(J9&gt;60,"ERREUR !!",O11*(I9+(J9/60)))))</f>
        <v>-0.50016666666666665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30.03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2°30,03</v>
      </c>
      <c r="P10" s="39" t="s">
        <v>54</v>
      </c>
      <c r="Q10" s="201">
        <f>IF(ISBLANK(I10),"",IF(ISBLANK(J10),"",IF(J10&gt;60,"ERREUR !!",O12*(I10+(J10/60)))))</f>
        <v>2.5005000000000002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37871</v>
      </c>
      <c r="K11" s="72"/>
      <c r="L11" s="72"/>
      <c r="M11" s="72"/>
      <c r="N11" s="73" t="str">
        <f>I9&amp;"°"&amp;J9</f>
        <v>0°30,01</v>
      </c>
      <c r="O11" s="74">
        <f>IF(P9=M10,-1,1)</f>
        <v>-1</v>
      </c>
      <c r="P11" s="185" t="str">
        <f>TEXT(J11,"aaaa-mm-jj")&amp;"T"&amp;TEXT(J12,"hh:mm:ss")&amp;"z"</f>
        <v>2007-09-08T04:45:00z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0.19791666666666666</v>
      </c>
      <c r="K12" s="75"/>
      <c r="L12" s="75"/>
      <c r="M12" s="75"/>
      <c r="N12" s="76" t="str">
        <f>I10&amp;"°"&amp;J10</f>
        <v>2°30,03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34.966700000000003</v>
      </c>
      <c r="H35" s="126">
        <v>2000</v>
      </c>
      <c r="I35" s="155">
        <v>2004</v>
      </c>
      <c r="J35" s="127"/>
      <c r="K35" s="128"/>
      <c r="L35" s="128"/>
      <c r="M35" s="128"/>
      <c r="N35" s="129"/>
      <c r="O35" s="128"/>
      <c r="P35" s="127">
        <v>5.468</v>
      </c>
      <c r="Q35" s="127"/>
      <c r="R35" s="127"/>
      <c r="S35" s="153">
        <v>237.7</v>
      </c>
      <c r="T35" s="217">
        <v>1.0999999999999999E-2</v>
      </c>
      <c r="U35" s="217">
        <v>1.0749083498939251E-2</v>
      </c>
      <c r="X35" s="217">
        <v>19.959</v>
      </c>
      <c r="Y35" s="217">
        <v>19.503723414120774</v>
      </c>
      <c r="Z35" s="217">
        <v>1.3819999999999999</v>
      </c>
      <c r="AA35" s="217">
        <v>1.3504757632303677</v>
      </c>
      <c r="AB35" s="217">
        <v>22.06</v>
      </c>
      <c r="AC35" s="217">
        <v>21.556798362418171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34.626800000000003</v>
      </c>
      <c r="H36" s="118">
        <v>1000</v>
      </c>
      <c r="I36" s="155">
        <v>1000.2</v>
      </c>
      <c r="J36" s="102"/>
      <c r="K36" s="55"/>
      <c r="L36" s="55"/>
      <c r="M36" s="55"/>
      <c r="N36" s="56"/>
      <c r="O36" s="55"/>
      <c r="P36" s="102">
        <v>5.3840000000000003</v>
      </c>
      <c r="Q36" s="102"/>
      <c r="R36" s="102"/>
      <c r="S36" s="153">
        <v>234.1</v>
      </c>
      <c r="T36" s="217">
        <v>1.2E-2</v>
      </c>
      <c r="U36" s="217">
        <v>1.1726272907933729E-2</v>
      </c>
      <c r="X36" s="217">
        <v>32.457999999999998</v>
      </c>
      <c r="Y36" s="217">
        <v>31.717613837142746</v>
      </c>
      <c r="Z36" s="217">
        <v>2.2239999999999998</v>
      </c>
      <c r="AA36" s="217">
        <v>2.1732692456037177</v>
      </c>
      <c r="AB36" s="217">
        <v>31.2</v>
      </c>
      <c r="AC36" s="217">
        <v>30.488309560627695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34.604599999999998</v>
      </c>
      <c r="H37" s="118">
        <v>600</v>
      </c>
      <c r="I37" s="155">
        <v>599.79999999999995</v>
      </c>
      <c r="J37" s="102"/>
      <c r="K37" s="55"/>
      <c r="L37" s="55"/>
      <c r="M37" s="55"/>
      <c r="N37" s="56"/>
      <c r="O37" s="55"/>
      <c r="P37" s="102">
        <v>2.532</v>
      </c>
      <c r="Q37" s="102"/>
      <c r="R37" s="102"/>
      <c r="S37" s="153">
        <v>110.1</v>
      </c>
      <c r="T37" s="217">
        <v>8.0000000000000002E-3</v>
      </c>
      <c r="U37" s="217">
        <v>7.8175152719558196E-3</v>
      </c>
      <c r="X37" s="217">
        <v>34.161999999999999</v>
      </c>
      <c r="Y37" s="217">
        <v>33.382744590069336</v>
      </c>
      <c r="Z37" s="217">
        <v>2.2439999999999998</v>
      </c>
      <c r="AA37" s="217">
        <v>2.1928130337836071</v>
      </c>
      <c r="AB37" s="217">
        <v>21.95</v>
      </c>
      <c r="AC37" s="217">
        <v>21.449307527428779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35.608499999999999</v>
      </c>
      <c r="H38" s="118">
        <v>100</v>
      </c>
      <c r="I38" s="155">
        <v>99</v>
      </c>
      <c r="J38" s="102"/>
      <c r="K38" s="55"/>
      <c r="L38" s="55"/>
      <c r="M38" s="55"/>
      <c r="N38" s="56"/>
      <c r="O38" s="55"/>
      <c r="P38" s="102">
        <v>3.1989999999999998</v>
      </c>
      <c r="Q38" s="102"/>
      <c r="R38" s="102"/>
      <c r="S38" s="220">
        <v>139.19999999999999</v>
      </c>
      <c r="T38" s="217">
        <v>9.1999999999999998E-2</v>
      </c>
      <c r="U38" s="217">
        <v>8.9901425627491913E-2</v>
      </c>
      <c r="X38" s="217">
        <v>14.937999999999999</v>
      </c>
      <c r="Y38" s="217">
        <v>14.597255391559502</v>
      </c>
      <c r="Z38" s="217">
        <v>1.081</v>
      </c>
      <c r="AA38" s="217">
        <v>1.05634175112303</v>
      </c>
      <c r="AB38" s="217">
        <v>5.93</v>
      </c>
      <c r="AC38" s="217">
        <v>5.7947331953372503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35.653100000000002</v>
      </c>
      <c r="H39" s="118">
        <v>80</v>
      </c>
      <c r="I39" s="155">
        <v>79.3</v>
      </c>
      <c r="J39" s="102"/>
      <c r="K39" s="55"/>
      <c r="L39" s="55"/>
      <c r="M39" s="55"/>
      <c r="N39" s="56"/>
      <c r="O39" s="55"/>
      <c r="P39" s="102">
        <v>3.0880000000000001</v>
      </c>
      <c r="Q39" s="102"/>
      <c r="R39" s="102"/>
      <c r="S39" s="220">
        <v>134.4</v>
      </c>
      <c r="T39" s="217">
        <v>0.35199999999999998</v>
      </c>
      <c r="U39" s="217">
        <v>0.34397067196605602</v>
      </c>
      <c r="X39" s="217">
        <v>14.218</v>
      </c>
      <c r="Y39" s="217">
        <v>13.89367901708348</v>
      </c>
      <c r="Z39" s="217">
        <v>1.0549999999999999</v>
      </c>
      <c r="AA39" s="217">
        <v>1.0309348264891736</v>
      </c>
      <c r="AB39" s="217">
        <v>5.29</v>
      </c>
      <c r="AC39" s="217">
        <v>5.1693319735807854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35.777900000000002</v>
      </c>
      <c r="H40" s="118">
        <v>60</v>
      </c>
      <c r="I40" s="155">
        <v>59.8</v>
      </c>
      <c r="J40" s="102"/>
      <c r="K40" s="55"/>
      <c r="L40" s="55"/>
      <c r="M40" s="55"/>
      <c r="N40" s="56"/>
      <c r="O40" s="55"/>
      <c r="P40" s="102">
        <v>3.4</v>
      </c>
      <c r="Q40" s="102"/>
      <c r="R40" s="102"/>
      <c r="S40" s="153">
        <v>148</v>
      </c>
      <c r="T40" s="217">
        <v>0.34199999999999997</v>
      </c>
      <c r="U40" s="217">
        <v>0.33419877787611124</v>
      </c>
      <c r="X40" s="217">
        <v>11.818</v>
      </c>
      <c r="Y40" s="217">
        <v>11.548424435496733</v>
      </c>
      <c r="Z40" s="217">
        <v>0.89600000000000002</v>
      </c>
      <c r="AA40" s="217">
        <v>0.87556171045905173</v>
      </c>
      <c r="AB40" s="217">
        <v>4.4400000000000004</v>
      </c>
      <c r="AC40" s="217">
        <v>4.3387209759354803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35.778399999999998</v>
      </c>
      <c r="H41" s="118">
        <v>60</v>
      </c>
      <c r="I41" s="155">
        <v>59.8</v>
      </c>
      <c r="J41" s="102"/>
      <c r="K41" s="55"/>
      <c r="L41" s="55"/>
      <c r="M41" s="55"/>
      <c r="N41" s="56"/>
      <c r="O41" s="55"/>
      <c r="P41" s="102">
        <v>3.3730000000000002</v>
      </c>
      <c r="Q41" s="102"/>
      <c r="R41" s="102"/>
      <c r="S41" s="153">
        <v>146.80000000000001</v>
      </c>
      <c r="T41" s="217">
        <v>0.34599999999999997</v>
      </c>
      <c r="U41" s="217">
        <v>0.33810753551208916</v>
      </c>
      <c r="X41" s="217">
        <v>11.834</v>
      </c>
      <c r="Y41" s="217">
        <v>11.564059466040645</v>
      </c>
      <c r="Z41" s="217">
        <v>0.89400000000000002</v>
      </c>
      <c r="AA41" s="217">
        <v>0.87360733164106286</v>
      </c>
      <c r="AB41" s="217">
        <v>4.66</v>
      </c>
      <c r="AC41" s="217">
        <v>4.5537026459142647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35.375999999999998</v>
      </c>
      <c r="H42" s="118">
        <v>40</v>
      </c>
      <c r="I42" s="155">
        <v>19.7</v>
      </c>
      <c r="J42" s="102"/>
      <c r="K42" s="55"/>
      <c r="L42" s="55"/>
      <c r="M42" s="55"/>
      <c r="N42" s="56"/>
      <c r="O42" s="55"/>
      <c r="P42" s="102">
        <v>4.58</v>
      </c>
      <c r="Q42" s="102"/>
      <c r="R42" s="102"/>
      <c r="S42" s="153">
        <v>199.8</v>
      </c>
      <c r="T42" s="217">
        <v>4.0000000000000001E-3</v>
      </c>
      <c r="U42" s="217">
        <v>3.9087576359779098E-3</v>
      </c>
      <c r="X42" s="217">
        <v>2.5999999999999999E-2</v>
      </c>
      <c r="Y42" s="217">
        <v>2.5406924633856413E-2</v>
      </c>
      <c r="Z42" s="217">
        <v>2.8999999999999998E-2</v>
      </c>
      <c r="AA42" s="217">
        <v>2.8338492860839844E-2</v>
      </c>
      <c r="AB42" s="217">
        <v>0.92</v>
      </c>
      <c r="AC42" s="217">
        <v>0.89901425627491927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35.3752</v>
      </c>
      <c r="H43" s="118">
        <v>20</v>
      </c>
      <c r="I43" s="155">
        <v>10.4</v>
      </c>
      <c r="J43" s="102"/>
      <c r="K43" s="55"/>
      <c r="L43" s="55"/>
      <c r="M43" s="55"/>
      <c r="N43" s="56"/>
      <c r="O43" s="55"/>
      <c r="P43" s="102">
        <v>4.5739999999999998</v>
      </c>
      <c r="Q43" s="102"/>
      <c r="R43" s="102"/>
      <c r="S43" s="153">
        <v>199.6</v>
      </c>
      <c r="T43" s="217">
        <v>4.0000000000000001E-3</v>
      </c>
      <c r="U43" s="217">
        <v>3.9087576359779098E-3</v>
      </c>
      <c r="X43" s="217">
        <v>3.6000000000000004E-2</v>
      </c>
      <c r="Y43" s="217">
        <v>3.5178818723801193E-2</v>
      </c>
      <c r="Z43" s="217">
        <v>4.9000000000000002E-2</v>
      </c>
      <c r="AA43" s="217">
        <v>4.7882281040729398E-2</v>
      </c>
      <c r="AB43" s="217">
        <v>0.88</v>
      </c>
      <c r="AC43" s="217">
        <v>0.85992667991514016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35.375599999999999</v>
      </c>
      <c r="H44" s="118">
        <v>10</v>
      </c>
      <c r="I44" s="155">
        <v>1.8</v>
      </c>
      <c r="J44" s="102"/>
      <c r="K44" s="55"/>
      <c r="L44" s="55"/>
      <c r="M44" s="55"/>
      <c r="N44" s="56"/>
      <c r="O44" s="55"/>
      <c r="P44" s="102">
        <v>4.4539999999999997</v>
      </c>
      <c r="Q44" s="102"/>
      <c r="R44" s="102"/>
      <c r="S44" s="153">
        <v>194.4</v>
      </c>
      <c r="T44" s="217">
        <v>0</v>
      </c>
      <c r="U44" s="217">
        <v>0</v>
      </c>
      <c r="X44" s="217">
        <v>0.03</v>
      </c>
      <c r="Y44" s="217">
        <v>2.9315682269834321E-2</v>
      </c>
      <c r="Z44" s="217">
        <v>3.1E-2</v>
      </c>
      <c r="AA44" s="217">
        <v>3.0292871678828798E-2</v>
      </c>
      <c r="AB44" s="217">
        <v>0.94</v>
      </c>
      <c r="AC44" s="217">
        <v>0.91855804445480871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35.375300000000003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02">
        <v>4.593</v>
      </c>
      <c r="Q45" s="102"/>
      <c r="R45" s="102"/>
      <c r="S45" s="153">
        <v>200.4</v>
      </c>
      <c r="T45" s="217">
        <v>0</v>
      </c>
      <c r="U45" s="217">
        <v>0</v>
      </c>
      <c r="X45" s="217">
        <v>0.03</v>
      </c>
      <c r="Y45" s="217">
        <v>2.9315682269834321E-2</v>
      </c>
      <c r="Z45" s="217">
        <v>3.2000000000000001E-2</v>
      </c>
      <c r="AA45" s="217">
        <v>3.1270061087823278E-2</v>
      </c>
      <c r="AB45" s="217">
        <v>0.92</v>
      </c>
      <c r="AC45" s="217">
        <v>0.89901425627491927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F10" sqref="F10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17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0.13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-1°0,13</v>
      </c>
      <c r="P9" s="39" t="s">
        <v>53</v>
      </c>
      <c r="Q9" s="201">
        <f>IF(ISBLANK(I9),"",IF(ISBLANK(J9),"",IF(J9&gt;60,"ERREUR !!",O11*(I9+(J9/60)))))</f>
        <v>-1.0021666666666667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2°30,1</v>
      </c>
      <c r="P10" s="39" t="s">
        <v>54</v>
      </c>
      <c r="Q10" s="201">
        <f>IF(ISBLANK(I10),"",IF(ISBLANK(J10),"",IF(J10&gt;60,"ERREUR !!",O12*(I10+(J10/60)))))</f>
        <v>2.5016666666666669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37871</v>
      </c>
      <c r="K11" s="72"/>
      <c r="L11" s="72"/>
      <c r="M11" s="72"/>
      <c r="N11" s="73" t="str">
        <f>I9&amp;"°"&amp;J9</f>
        <v>1°0,13</v>
      </c>
      <c r="O11" s="74">
        <f>IF(P9=M10,-1,1)</f>
        <v>-1</v>
      </c>
      <c r="P11" s="185" t="str">
        <f>TEXT(J11,"aaaa-mm-jj")&amp;"T"&amp;TEXT(J12,"hh:mm:ss")&amp;"z"</f>
        <v>2007-09-08T09:45:00z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0.40625</v>
      </c>
      <c r="K12" s="75"/>
      <c r="L12" s="75"/>
      <c r="M12" s="75"/>
      <c r="N12" s="76" t="str">
        <f>I10&amp;"°"&amp;J10</f>
        <v>2°30,1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34.960999999999999</v>
      </c>
      <c r="H35" s="126">
        <v>2000</v>
      </c>
      <c r="I35" s="155">
        <v>2003</v>
      </c>
      <c r="J35" s="127"/>
      <c r="K35" s="128"/>
      <c r="L35" s="128"/>
      <c r="M35" s="128"/>
      <c r="N35" s="129"/>
      <c r="O35" s="128"/>
      <c r="P35" s="127">
        <v>5.39</v>
      </c>
      <c r="Q35" s="127"/>
      <c r="R35" s="127"/>
      <c r="S35" s="153">
        <v>234.3</v>
      </c>
      <c r="T35" s="217">
        <v>0</v>
      </c>
      <c r="U35" s="217">
        <v>0</v>
      </c>
      <c r="X35" s="217">
        <v>20.46</v>
      </c>
      <c r="Y35" s="217">
        <v>19.993295308027008</v>
      </c>
      <c r="Z35" s="217">
        <v>1.403</v>
      </c>
      <c r="AA35" s="217">
        <v>1.3709967408192518</v>
      </c>
      <c r="AB35" s="217">
        <v>23.9</v>
      </c>
      <c r="AC35" s="217">
        <v>23.354826874968008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34.633400000000002</v>
      </c>
      <c r="H36" s="118">
        <v>1000</v>
      </c>
      <c r="I36" s="155">
        <v>1000</v>
      </c>
      <c r="J36" s="102"/>
      <c r="K36" s="55"/>
      <c r="L36" s="55"/>
      <c r="M36" s="55"/>
      <c r="N36" s="56"/>
      <c r="O36" s="55"/>
      <c r="P36" s="102">
        <v>3.4630000000000001</v>
      </c>
      <c r="Q36" s="102"/>
      <c r="R36" s="102"/>
      <c r="S36" s="153">
        <v>150.6</v>
      </c>
      <c r="T36" s="217">
        <v>0</v>
      </c>
      <c r="U36" s="217">
        <v>0</v>
      </c>
      <c r="X36" s="217">
        <v>32.26</v>
      </c>
      <c r="Y36" s="217">
        <v>31.524130334161839</v>
      </c>
      <c r="Z36" s="217">
        <v>2.2079999999999997</v>
      </c>
      <c r="AA36" s="217">
        <v>2.1576342150598058</v>
      </c>
      <c r="AB36" s="217">
        <v>31.19</v>
      </c>
      <c r="AC36" s="217">
        <v>30.478537666537751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34.596899999999998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>
        <v>2.8140000000000001</v>
      </c>
      <c r="Q37" s="102"/>
      <c r="R37" s="102"/>
      <c r="S37" s="153">
        <v>122.4</v>
      </c>
      <c r="T37" s="217">
        <v>2.9999999999999992E-3</v>
      </c>
      <c r="U37" s="217">
        <v>2.9315682269834315E-3</v>
      </c>
      <c r="X37" s="217">
        <v>32.677</v>
      </c>
      <c r="Y37" s="217">
        <v>31.931618317712537</v>
      </c>
      <c r="Z37" s="217">
        <v>2.1280000000000001</v>
      </c>
      <c r="AA37" s="217">
        <v>2.079459062340248</v>
      </c>
      <c r="AB37" s="217">
        <v>20.68</v>
      </c>
      <c r="AC37" s="217">
        <v>20.208276978005792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35.649700000000003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3.0649999999999999</v>
      </c>
      <c r="Q38" s="102"/>
      <c r="R38" s="102"/>
      <c r="S38" s="220">
        <v>133.4</v>
      </c>
      <c r="T38" s="217">
        <v>0.06</v>
      </c>
      <c r="U38" s="217">
        <v>5.8631364539668641E-2</v>
      </c>
      <c r="X38" s="217">
        <v>15.06</v>
      </c>
      <c r="Y38" s="217">
        <v>14.716472499456829</v>
      </c>
      <c r="Z38" s="217">
        <v>1.0919999999999999</v>
      </c>
      <c r="AA38" s="217">
        <v>1.0670908346219692</v>
      </c>
      <c r="AB38" s="217">
        <v>5.63</v>
      </c>
      <c r="AC38" s="217">
        <v>5.5015763726389073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35.726500000000001</v>
      </c>
      <c r="H39" s="118">
        <v>80</v>
      </c>
      <c r="I39" s="155">
        <v>81</v>
      </c>
      <c r="J39" s="102"/>
      <c r="K39" s="55"/>
      <c r="L39" s="55"/>
      <c r="M39" s="55"/>
      <c r="N39" s="56"/>
      <c r="O39" s="55"/>
      <c r="P39" s="102">
        <v>3.1850000000000001</v>
      </c>
      <c r="Q39" s="102"/>
      <c r="R39" s="102"/>
      <c r="S39" s="220">
        <v>138.6</v>
      </c>
      <c r="T39" s="217">
        <v>0.60399999999999998</v>
      </c>
      <c r="U39" s="217">
        <v>0.59022240303266438</v>
      </c>
      <c r="X39" s="217">
        <v>13.536000000000001</v>
      </c>
      <c r="Y39" s="217">
        <v>13.227235840149248</v>
      </c>
      <c r="Z39" s="217">
        <v>1.0089999999999999</v>
      </c>
      <c r="AA39" s="217">
        <v>0.9859841136754276</v>
      </c>
      <c r="AB39" s="217">
        <v>4.9400000000000004</v>
      </c>
      <c r="AC39" s="217">
        <v>4.8273156804327186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35.722099999999998</v>
      </c>
      <c r="H40" s="118">
        <v>60</v>
      </c>
      <c r="I40" s="155">
        <v>59</v>
      </c>
      <c r="J40" s="102"/>
      <c r="K40" s="55"/>
      <c r="L40" s="55"/>
      <c r="M40" s="55"/>
      <c r="N40" s="56"/>
      <c r="O40" s="55"/>
      <c r="P40" s="102">
        <v>3.5459999999999998</v>
      </c>
      <c r="Q40" s="102"/>
      <c r="R40" s="102"/>
      <c r="S40" s="153">
        <v>154.4</v>
      </c>
      <c r="T40" s="217">
        <v>0.38400000000000001</v>
      </c>
      <c r="U40" s="217">
        <v>0.37524073305387934</v>
      </c>
      <c r="X40" s="217">
        <v>10.645999999999999</v>
      </c>
      <c r="Y40" s="217">
        <v>10.403158448155205</v>
      </c>
      <c r="Z40" s="217">
        <v>0.83600000000000008</v>
      </c>
      <c r="AA40" s="217">
        <v>0.81693034591938318</v>
      </c>
      <c r="AB40" s="217">
        <v>4.21</v>
      </c>
      <c r="AC40" s="217">
        <v>4.1139674118667502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35.403799999999997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4.5380000000000003</v>
      </c>
      <c r="Q41" s="102"/>
      <c r="R41" s="102"/>
      <c r="S41" s="153">
        <v>198</v>
      </c>
      <c r="T41" s="217">
        <v>4.0000000000000001E-3</v>
      </c>
      <c r="U41" s="217">
        <v>3.9087576359779098E-3</v>
      </c>
      <c r="X41" s="217">
        <v>0.22600000000000001</v>
      </c>
      <c r="Y41" s="217">
        <v>0.22084480643275189</v>
      </c>
      <c r="Z41" s="217">
        <v>3.7000000000000005E-2</v>
      </c>
      <c r="AA41" s="217">
        <v>3.6156008132795667E-2</v>
      </c>
      <c r="AB41" s="217">
        <v>0.84</v>
      </c>
      <c r="AC41" s="217">
        <v>0.82083910355536094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35.403599999999997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4.5460000000000003</v>
      </c>
      <c r="Q42" s="102"/>
      <c r="R42" s="102"/>
      <c r="S42" s="153">
        <v>198.4</v>
      </c>
      <c r="T42" s="217">
        <v>2.9999999999999992E-3</v>
      </c>
      <c r="U42" s="217">
        <v>2.9315682269834315E-3</v>
      </c>
      <c r="X42" s="217">
        <v>0.247</v>
      </c>
      <c r="Y42" s="217">
        <v>0.24136578402163592</v>
      </c>
      <c r="Z42" s="217">
        <v>4.2999999999999997E-2</v>
      </c>
      <c r="AA42" s="217">
        <v>4.2019144586762522E-2</v>
      </c>
      <c r="AB42" s="217">
        <v>0.87</v>
      </c>
      <c r="AC42" s="217">
        <v>0.85015478582519532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35.3752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4.5620000000000003</v>
      </c>
      <c r="Q43" s="102"/>
      <c r="R43" s="102"/>
      <c r="S43" s="153">
        <v>199.1</v>
      </c>
      <c r="T43" s="217">
        <v>0</v>
      </c>
      <c r="U43" s="217">
        <v>0</v>
      </c>
      <c r="X43" s="217">
        <v>0.05</v>
      </c>
      <c r="Y43" s="217">
        <v>4.8859470449723871E-2</v>
      </c>
      <c r="Z43" s="217">
        <v>8.4000000000000005E-2</v>
      </c>
      <c r="AA43" s="217">
        <v>8.208391035553611E-2</v>
      </c>
      <c r="AB43" s="217">
        <v>0.8</v>
      </c>
      <c r="AC43" s="217">
        <v>0.78175152719558194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35.375300000000003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4.5620000000000003</v>
      </c>
      <c r="Q44" s="102"/>
      <c r="R44" s="102"/>
      <c r="S44" s="153">
        <v>199.1</v>
      </c>
      <c r="T44" s="217">
        <v>0</v>
      </c>
      <c r="U44" s="217">
        <v>0</v>
      </c>
      <c r="X44" s="217">
        <v>0.04</v>
      </c>
      <c r="Y44" s="217">
        <v>3.9087576359779094E-2</v>
      </c>
      <c r="Z44" s="217">
        <v>2.5000000000000001E-2</v>
      </c>
      <c r="AA44" s="217">
        <v>2.4429735224861929E-2</v>
      </c>
      <c r="AB44" s="217">
        <v>0.77</v>
      </c>
      <c r="AC44" s="217">
        <v>0.75243584492574767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35.375799999999998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4.5640000000000001</v>
      </c>
      <c r="Q45" s="102"/>
      <c r="R45" s="102"/>
      <c r="S45" s="153">
        <v>199.2</v>
      </c>
      <c r="T45" s="217">
        <v>0</v>
      </c>
      <c r="U45" s="217">
        <v>0</v>
      </c>
      <c r="X45" s="217">
        <v>0.04</v>
      </c>
      <c r="Y45" s="217">
        <v>3.9087576359779094E-2</v>
      </c>
      <c r="Z45" s="217">
        <v>2.7999999999999997E-2</v>
      </c>
      <c r="AA45" s="217">
        <v>2.7361303451845363E-2</v>
      </c>
      <c r="AB45" s="217">
        <v>0.67</v>
      </c>
      <c r="AC45" s="217">
        <v>0.6547169040262999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18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37871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29.99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-1°29,99</v>
      </c>
      <c r="P9" s="39" t="s">
        <v>53</v>
      </c>
      <c r="Q9" s="201">
        <f>IF(ISBLANK(I9),"",IF(ISBLANK(J9),"",IF(J9&gt;60,"ERREUR !!",O11*(I9+(J9/60)))))</f>
        <v>-1.4998333333333334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2</v>
      </c>
      <c r="J10" s="39">
        <v>30.11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2°30,11</v>
      </c>
      <c r="P10" s="39" t="s">
        <v>54</v>
      </c>
      <c r="Q10" s="201">
        <f>IF(ISBLANK(I10),"",IF(ISBLANK(J10),"",IF(J10&gt;60,"ERREUR !!",O12*(I10+(J10/60)))))</f>
        <v>2.5018333333333334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37871</v>
      </c>
      <c r="K11" s="72"/>
      <c r="L11" s="72"/>
      <c r="M11" s="72"/>
      <c r="N11" s="73" t="str">
        <f>I9&amp;"°"&amp;J9</f>
        <v>1°29,99</v>
      </c>
      <c r="O11" s="74">
        <f>IF(P9=M10,-1,1)</f>
        <v>-1</v>
      </c>
      <c r="P11" s="185" t="str">
        <f>TEXT(J11,"aaaa-mm-jj")&amp;"T"&amp;TEXT(J12,"hh:mm:ss")&amp;"z"</f>
        <v>2007-09-08T14:45:00z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0.61458333333333337</v>
      </c>
      <c r="K12" s="75"/>
      <c r="L12" s="75"/>
      <c r="M12" s="75"/>
      <c r="N12" s="76" t="str">
        <f>I10&amp;"°"&amp;J10</f>
        <v>2°30,11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34.956499999999998</v>
      </c>
      <c r="H35" s="126">
        <v>2000</v>
      </c>
      <c r="I35" s="155">
        <v>2204</v>
      </c>
      <c r="J35" s="127"/>
      <c r="K35" s="128"/>
      <c r="L35" s="128"/>
      <c r="M35" s="128"/>
      <c r="N35" s="129"/>
      <c r="O35" s="128"/>
      <c r="P35" s="127"/>
      <c r="Q35" s="127"/>
      <c r="R35" s="127"/>
      <c r="S35" s="153"/>
      <c r="T35" s="217">
        <v>1.0000000000000009E-3</v>
      </c>
      <c r="U35" s="217">
        <v>9.7718940899447831E-4</v>
      </c>
      <c r="X35" s="217">
        <v>20.378999999999998</v>
      </c>
      <c r="Y35" s="217">
        <v>19.914142965898453</v>
      </c>
      <c r="Z35" s="217">
        <v>1.403</v>
      </c>
      <c r="AA35" s="217">
        <v>1.3709967408192518</v>
      </c>
      <c r="AB35" s="217">
        <v>24.38</v>
      </c>
      <c r="AC35" s="217">
        <v>23.823877791285359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34.605800000000002</v>
      </c>
      <c r="H36" s="118">
        <v>1000</v>
      </c>
      <c r="I36" s="155">
        <v>998</v>
      </c>
      <c r="J36" s="102"/>
      <c r="K36" s="55"/>
      <c r="L36" s="55"/>
      <c r="M36" s="55"/>
      <c r="N36" s="56"/>
      <c r="O36" s="55"/>
      <c r="P36" s="102">
        <v>3.415</v>
      </c>
      <c r="Q36" s="102"/>
      <c r="R36" s="102"/>
      <c r="S36" s="153">
        <v>148.5</v>
      </c>
      <c r="T36" s="217">
        <v>0</v>
      </c>
      <c r="U36" s="217">
        <v>0</v>
      </c>
      <c r="X36" s="217">
        <v>32.44</v>
      </c>
      <c r="Y36" s="217">
        <v>31.700024427780846</v>
      </c>
      <c r="Z36" s="217">
        <v>2.2450000000000001</v>
      </c>
      <c r="AA36" s="217">
        <v>2.1937902231926021</v>
      </c>
      <c r="AB36" s="217">
        <v>31.7</v>
      </c>
      <c r="AC36" s="217">
        <v>30.976904265124933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34.615699999999997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/>
      <c r="Q37" s="102"/>
      <c r="R37" s="102"/>
      <c r="S37" s="153"/>
      <c r="T37" s="217">
        <v>2.9999999999999992E-3</v>
      </c>
      <c r="U37" s="217">
        <v>2.9315682269834315E-3</v>
      </c>
      <c r="X37" s="217">
        <v>31.007000000000001</v>
      </c>
      <c r="Y37" s="217">
        <v>30.299712004691763</v>
      </c>
      <c r="Z37" s="217">
        <v>2.0640000000000001</v>
      </c>
      <c r="AA37" s="217">
        <v>2.0169189401646013</v>
      </c>
      <c r="AB37" s="217">
        <v>19.100000000000001</v>
      </c>
      <c r="AC37" s="217">
        <v>18.664317711794521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35.644199999999998</v>
      </c>
      <c r="H38" s="118">
        <v>100</v>
      </c>
      <c r="I38" s="155">
        <v>98</v>
      </c>
      <c r="J38" s="102"/>
      <c r="K38" s="55"/>
      <c r="L38" s="55"/>
      <c r="M38" s="55"/>
      <c r="N38" s="56"/>
      <c r="O38" s="55"/>
      <c r="P38" s="102">
        <v>2.589</v>
      </c>
      <c r="Q38" s="102"/>
      <c r="R38" s="102"/>
      <c r="S38" s="220">
        <v>112.7</v>
      </c>
      <c r="T38" s="217">
        <v>1.3000000000000001E-2</v>
      </c>
      <c r="U38" s="217">
        <v>1.2703462316928208E-2</v>
      </c>
      <c r="X38" s="217">
        <v>17.476999999999997</v>
      </c>
      <c r="Y38" s="217">
        <v>17.078339300996479</v>
      </c>
      <c r="Z38" s="217">
        <v>1.2029999999999998</v>
      </c>
      <c r="AA38" s="217">
        <v>1.1755588590203561</v>
      </c>
      <c r="AB38" s="217">
        <v>6</v>
      </c>
      <c r="AC38" s="217">
        <v>5.863136453966864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35.754300000000001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2.92</v>
      </c>
      <c r="Q39" s="102"/>
      <c r="R39" s="102"/>
      <c r="S39" s="220">
        <v>127.1</v>
      </c>
      <c r="T39" s="217">
        <v>4.5999999999999999E-2</v>
      </c>
      <c r="U39" s="217">
        <v>4.4950712813745956E-2</v>
      </c>
      <c r="X39" s="217">
        <v>14.804</v>
      </c>
      <c r="Y39" s="217">
        <v>14.466312010754244</v>
      </c>
      <c r="Z39" s="217">
        <v>1.0569999999999999</v>
      </c>
      <c r="AA39" s="217">
        <v>1.0328892053071626</v>
      </c>
      <c r="AB39" s="217">
        <v>5.33</v>
      </c>
      <c r="AC39" s="217">
        <v>5.2084195499405643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35.847799999999999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3.3109999999999999</v>
      </c>
      <c r="Q40" s="102"/>
      <c r="R40" s="102"/>
      <c r="S40" s="153">
        <v>144.1</v>
      </c>
      <c r="T40" s="217">
        <v>0.47399999999999998</v>
      </c>
      <c r="U40" s="217">
        <v>0.46318777986338228</v>
      </c>
      <c r="X40" s="217">
        <v>11.486000000000001</v>
      </c>
      <c r="Y40" s="217">
        <v>11.223997551710568</v>
      </c>
      <c r="Z40" s="217">
        <v>0.90700000000000003</v>
      </c>
      <c r="AA40" s="217">
        <v>0.88631079395799106</v>
      </c>
      <c r="AB40" s="217">
        <v>4.0199999999999996</v>
      </c>
      <c r="AC40" s="217">
        <v>3.9283014241577989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35.443199999999997</v>
      </c>
      <c r="H41" s="118">
        <v>40</v>
      </c>
      <c r="I41" s="155">
        <v>39</v>
      </c>
      <c r="J41" s="102"/>
      <c r="K41" s="55"/>
      <c r="L41" s="55"/>
      <c r="M41" s="55"/>
      <c r="N41" s="56"/>
      <c r="O41" s="55"/>
      <c r="P41" s="102">
        <v>4.641</v>
      </c>
      <c r="Q41" s="102"/>
      <c r="R41" s="102"/>
      <c r="S41" s="153">
        <v>202.5</v>
      </c>
      <c r="T41" s="217">
        <v>2.3E-2</v>
      </c>
      <c r="U41" s="217">
        <v>2.2475356406872978E-2</v>
      </c>
      <c r="X41" s="217">
        <v>0.307</v>
      </c>
      <c r="Y41" s="217">
        <v>0.29999714856130455</v>
      </c>
      <c r="Z41" s="217">
        <v>0.06</v>
      </c>
      <c r="AA41" s="217">
        <v>5.8631364539668655E-2</v>
      </c>
      <c r="AB41" s="217">
        <v>0.97</v>
      </c>
      <c r="AC41" s="217">
        <v>0.9478737267246431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35.407899999999998</v>
      </c>
      <c r="H42" s="118">
        <v>20</v>
      </c>
      <c r="I42" s="155">
        <v>20</v>
      </c>
      <c r="J42" s="102"/>
      <c r="K42" s="55"/>
      <c r="L42" s="55"/>
      <c r="M42" s="55"/>
      <c r="N42" s="56"/>
      <c r="O42" s="55"/>
      <c r="P42" s="102">
        <v>4.6210000000000004</v>
      </c>
      <c r="Q42" s="102"/>
      <c r="R42" s="102"/>
      <c r="S42" s="153">
        <v>201.6</v>
      </c>
      <c r="T42" s="217">
        <v>2.0000000000000018E-3</v>
      </c>
      <c r="U42" s="217">
        <v>1.9543788179889566E-3</v>
      </c>
      <c r="X42" s="217">
        <v>2.7999999999999997E-2</v>
      </c>
      <c r="Y42" s="217">
        <v>2.7361303451845363E-2</v>
      </c>
      <c r="Z42" s="217">
        <v>2.5999999999999995E-2</v>
      </c>
      <c r="AA42" s="217">
        <v>2.5406924633856409E-2</v>
      </c>
      <c r="AB42" s="217">
        <v>0.79</v>
      </c>
      <c r="AC42" s="217">
        <v>0.77197963310563722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35.406399999999998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4.5940000000000003</v>
      </c>
      <c r="Q43" s="102"/>
      <c r="R43" s="102"/>
      <c r="S43" s="153">
        <v>200.5</v>
      </c>
      <c r="T43" s="217">
        <v>1.7000000000000001E-2</v>
      </c>
      <c r="U43" s="217">
        <v>1.6612219952906116E-2</v>
      </c>
      <c r="X43" s="217">
        <v>4.2999999999999997E-2</v>
      </c>
      <c r="Y43" s="217">
        <v>4.2019144586762522E-2</v>
      </c>
      <c r="Z43" s="217">
        <v>2.5000000000000001E-2</v>
      </c>
      <c r="AA43" s="217">
        <v>2.4429735224861929E-2</v>
      </c>
      <c r="AB43" s="217">
        <v>0.77</v>
      </c>
      <c r="AC43" s="217">
        <v>0.75243584492574767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35.400300000000001</v>
      </c>
      <c r="H44" s="118">
        <v>10</v>
      </c>
      <c r="I44" s="155">
        <v>11</v>
      </c>
      <c r="J44" s="102"/>
      <c r="K44" s="55"/>
      <c r="L44" s="55"/>
      <c r="M44" s="55"/>
      <c r="N44" s="56"/>
      <c r="O44" s="55"/>
      <c r="P44" s="102"/>
      <c r="Q44" s="102"/>
      <c r="R44" s="102"/>
      <c r="S44" s="153"/>
      <c r="T44" s="217">
        <v>1.6E-2</v>
      </c>
      <c r="U44" s="217">
        <v>1.5635030543911639E-2</v>
      </c>
      <c r="X44" s="217">
        <v>4.3999999999999997E-2</v>
      </c>
      <c r="Y44" s="217">
        <v>4.2996333995757002E-2</v>
      </c>
      <c r="Z44" s="217">
        <v>3.1E-2</v>
      </c>
      <c r="AA44" s="217">
        <v>3.0292871678828798E-2</v>
      </c>
      <c r="AB44" s="217">
        <v>0.75</v>
      </c>
      <c r="AC44" s="217">
        <v>0.732892056745858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35.402200000000001</v>
      </c>
      <c r="H45" s="118">
        <v>0</v>
      </c>
      <c r="I45" s="155">
        <v>1.8</v>
      </c>
      <c r="J45" s="102"/>
      <c r="K45" s="55"/>
      <c r="L45" s="55"/>
      <c r="M45" s="55"/>
      <c r="N45" s="56"/>
      <c r="O45" s="55"/>
      <c r="P45" s="102">
        <v>4.5759999999999996</v>
      </c>
      <c r="Q45" s="102"/>
      <c r="R45" s="102"/>
      <c r="S45" s="153">
        <v>199.7</v>
      </c>
      <c r="T45" s="217">
        <v>2.0000000000000018E-3</v>
      </c>
      <c r="U45" s="217">
        <v>1.9543788179889566E-3</v>
      </c>
      <c r="X45" s="217">
        <v>2.7999999999999997E-2</v>
      </c>
      <c r="Y45" s="217">
        <v>2.7361303451845363E-2</v>
      </c>
      <c r="Z45" s="217">
        <v>2.5000000000000001E-2</v>
      </c>
      <c r="AA45" s="217">
        <v>2.4429735224861929E-2</v>
      </c>
      <c r="AB45" s="217">
        <v>0.7</v>
      </c>
      <c r="AC45" s="217">
        <v>0.68403258629613417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V16" sqref="V16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19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37873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5</v>
      </c>
      <c r="J9" s="39">
        <v>0.15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-5°0,15</v>
      </c>
      <c r="P9" s="39" t="s">
        <v>53</v>
      </c>
      <c r="Q9" s="201">
        <f>IF(ISBLANK(I9),"",IF(ISBLANK(J9),"",IF(J9&gt;60,"ERREUR !!",O11*(I9+(J9/60)))))</f>
        <v>-5.0025000000000004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-0°0,03</v>
      </c>
      <c r="P10" s="39" t="s">
        <v>55</v>
      </c>
      <c r="Q10" s="201">
        <f>IF(ISBLANK(I10),"",IF(ISBLANK(J10),"",IF(J10&gt;60,"ERREUR !!",O12*(I10+(J10/60)))))</f>
        <v>-5.0000000000000001E-4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37872</v>
      </c>
      <c r="K11" s="72"/>
      <c r="L11" s="72"/>
      <c r="M11" s="72"/>
      <c r="N11" s="73" t="str">
        <f>I9&amp;"°"&amp;J9</f>
        <v>5°0,15</v>
      </c>
      <c r="O11" s="74">
        <f>IF(P9=M10,-1,1)</f>
        <v>-1</v>
      </c>
      <c r="P11" s="185" t="str">
        <f>TEXT(J11,"aaaa-mm-jj")&amp;"T"&amp;TEXT(J12,"hh:mm:ss")&amp;"z"</f>
        <v>2007-09-09T20:00:00z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0.83333333333333337</v>
      </c>
      <c r="K12" s="75"/>
      <c r="L12" s="75"/>
      <c r="M12" s="75"/>
      <c r="N12" s="76" t="str">
        <f>I10&amp;"°"&amp;J10</f>
        <v>0°0,03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34.956499999999998</v>
      </c>
      <c r="H35" s="126">
        <v>500</v>
      </c>
      <c r="I35" s="155">
        <v>500</v>
      </c>
      <c r="J35" s="127"/>
      <c r="K35" s="128"/>
      <c r="L35" s="128"/>
      <c r="M35" s="128"/>
      <c r="N35" s="129"/>
      <c r="O35" s="128"/>
      <c r="P35" s="127">
        <v>1.617</v>
      </c>
      <c r="Q35" s="127"/>
      <c r="R35" s="127"/>
      <c r="S35" s="153">
        <v>70.3</v>
      </c>
      <c r="T35" s="217">
        <v>0</v>
      </c>
      <c r="U35" s="217">
        <v>0</v>
      </c>
      <c r="X35" s="217">
        <v>36.33</v>
      </c>
      <c r="Y35" s="217">
        <v>35.501291228769361</v>
      </c>
      <c r="Z35" s="217">
        <v>2.3780000000000001</v>
      </c>
      <c r="AA35" s="217">
        <v>2.3237564145888672</v>
      </c>
      <c r="AB35" s="218">
        <v>21.12</v>
      </c>
      <c r="AC35" s="217">
        <v>20.638240317963362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34.605800000000002</v>
      </c>
      <c r="H36" s="118">
        <v>300</v>
      </c>
      <c r="I36" s="155">
        <v>299.89999999999998</v>
      </c>
      <c r="J36" s="102"/>
      <c r="K36" s="55"/>
      <c r="L36" s="55"/>
      <c r="M36" s="55"/>
      <c r="N36" s="56"/>
      <c r="O36" s="55"/>
      <c r="P36" s="102">
        <v>1.6</v>
      </c>
      <c r="Q36" s="102"/>
      <c r="R36" s="102"/>
      <c r="S36" s="153">
        <v>69.599999999999994</v>
      </c>
      <c r="T36" s="217">
        <v>0</v>
      </c>
      <c r="U36" s="217">
        <v>0</v>
      </c>
      <c r="X36" s="217">
        <v>30.03</v>
      </c>
      <c r="Y36" s="217">
        <v>29.344997952104158</v>
      </c>
      <c r="Z36" s="217">
        <v>1.905</v>
      </c>
      <c r="AA36" s="217">
        <v>1.8615458241344796</v>
      </c>
      <c r="AB36" s="218">
        <v>13.1</v>
      </c>
      <c r="AC36" s="217">
        <v>12.801181257827654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34.615699999999997</v>
      </c>
      <c r="H37" s="118">
        <v>100</v>
      </c>
      <c r="I37" s="155">
        <v>101.3</v>
      </c>
      <c r="J37" s="102"/>
      <c r="K37" s="55"/>
      <c r="L37" s="55"/>
      <c r="M37" s="55"/>
      <c r="N37" s="56"/>
      <c r="O37" s="55"/>
      <c r="P37" s="102">
        <v>2.452</v>
      </c>
      <c r="Q37" s="102"/>
      <c r="R37" s="102"/>
      <c r="S37" s="153">
        <v>106.7</v>
      </c>
      <c r="T37" s="217">
        <v>2.0000000000000018E-3</v>
      </c>
      <c r="U37" s="217">
        <v>1.9543788179889566E-3</v>
      </c>
      <c r="X37" s="217">
        <v>20.258000000000003</v>
      </c>
      <c r="Y37" s="217">
        <v>19.795903047410125</v>
      </c>
      <c r="Z37" s="217">
        <v>1.381</v>
      </c>
      <c r="AA37" s="217">
        <v>1.3494985738213734</v>
      </c>
      <c r="AB37" s="218">
        <v>7</v>
      </c>
      <c r="AC37" s="217">
        <v>6.8403258629613415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35.644199999999998</v>
      </c>
      <c r="H38" s="118">
        <v>80</v>
      </c>
      <c r="I38" s="155">
        <v>80.2</v>
      </c>
      <c r="J38" s="102"/>
      <c r="K38" s="55"/>
      <c r="L38" s="55"/>
      <c r="M38" s="55"/>
      <c r="N38" s="56"/>
      <c r="O38" s="55"/>
      <c r="P38" s="102">
        <v>1.9410000000000001</v>
      </c>
      <c r="Q38" s="102"/>
      <c r="R38" s="102"/>
      <c r="S38" s="220">
        <v>84.5</v>
      </c>
      <c r="T38" s="217">
        <v>6.0000000000000019E-3</v>
      </c>
      <c r="U38" s="217">
        <v>5.8631364539668664E-3</v>
      </c>
      <c r="X38" s="217">
        <v>21.834</v>
      </c>
      <c r="Y38" s="217">
        <v>21.335953555985419</v>
      </c>
      <c r="Z38" s="217">
        <v>1.448</v>
      </c>
      <c r="AA38" s="217">
        <v>1.4149702642240032</v>
      </c>
      <c r="AB38" s="218">
        <v>7.18</v>
      </c>
      <c r="AC38" s="217">
        <v>7.0162199565803478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35.754300000000001</v>
      </c>
      <c r="H39" s="118">
        <v>60</v>
      </c>
      <c r="I39" s="155">
        <v>60.7</v>
      </c>
      <c r="J39" s="102"/>
      <c r="K39" s="55"/>
      <c r="L39" s="55"/>
      <c r="M39" s="55"/>
      <c r="N39" s="56"/>
      <c r="O39" s="55"/>
      <c r="P39" s="102">
        <v>2.2599999999999998</v>
      </c>
      <c r="Q39" s="102"/>
      <c r="R39" s="102"/>
      <c r="S39" s="220">
        <v>98.3</v>
      </c>
      <c r="T39" s="217">
        <v>2.0999999999999998E-2</v>
      </c>
      <c r="U39" s="217">
        <v>2.0520977588884024E-2</v>
      </c>
      <c r="X39" s="217">
        <v>18.759</v>
      </c>
      <c r="Y39" s="217">
        <v>18.331096123327402</v>
      </c>
      <c r="Z39" s="217">
        <v>1.28</v>
      </c>
      <c r="AA39" s="217">
        <v>1.250802443512931</v>
      </c>
      <c r="AB39" s="218">
        <v>5.61</v>
      </c>
      <c r="AC39" s="217">
        <v>5.4820325844590183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35.847799999999999</v>
      </c>
      <c r="H40" s="118">
        <v>40</v>
      </c>
      <c r="I40" s="155">
        <v>41.5</v>
      </c>
      <c r="J40" s="102"/>
      <c r="K40" s="55"/>
      <c r="L40" s="55"/>
      <c r="M40" s="55"/>
      <c r="N40" s="56"/>
      <c r="O40" s="55"/>
      <c r="P40" s="102">
        <v>2.7250000000000001</v>
      </c>
      <c r="Q40" s="102"/>
      <c r="R40" s="102"/>
      <c r="S40" s="153">
        <v>118.7</v>
      </c>
      <c r="T40" s="217">
        <v>0.439</v>
      </c>
      <c r="U40" s="217">
        <v>0.42898615054857558</v>
      </c>
      <c r="X40" s="217">
        <v>13.821</v>
      </c>
      <c r="Y40" s="217">
        <v>13.505734821712672</v>
      </c>
      <c r="Z40" s="217">
        <v>1.0229999999999999</v>
      </c>
      <c r="AA40" s="217">
        <v>0.9996647654013503</v>
      </c>
      <c r="AB40" s="218">
        <v>4.08</v>
      </c>
      <c r="AC40" s="217">
        <v>3.9869327886974677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35.443199999999997</v>
      </c>
      <c r="H41" s="118">
        <v>20</v>
      </c>
      <c r="I41" s="155">
        <v>21.2</v>
      </c>
      <c r="J41" s="102"/>
      <c r="K41" s="55"/>
      <c r="L41" s="55"/>
      <c r="M41" s="55"/>
      <c r="N41" s="56"/>
      <c r="O41" s="55"/>
      <c r="P41" s="102">
        <v>4.7640000000000002</v>
      </c>
      <c r="Q41" s="102"/>
      <c r="R41" s="102"/>
      <c r="S41" s="153">
        <v>207.7</v>
      </c>
      <c r="T41" s="217">
        <v>5.1000000000000004E-2</v>
      </c>
      <c r="U41" s="217">
        <v>4.9836659858718352E-2</v>
      </c>
      <c r="X41" s="217">
        <v>0.46900000000000003</v>
      </c>
      <c r="Y41" s="217">
        <v>0.45830183281840992</v>
      </c>
      <c r="Z41" s="217">
        <v>0.23699999999999999</v>
      </c>
      <c r="AA41" s="217">
        <v>0.23159388993169114</v>
      </c>
      <c r="AB41" s="218">
        <v>1.74</v>
      </c>
      <c r="AC41" s="217">
        <v>1.7003095716503906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35.407899999999998</v>
      </c>
      <c r="H42" s="118">
        <v>10</v>
      </c>
      <c r="I42" s="155">
        <v>10.8</v>
      </c>
      <c r="J42" s="102"/>
      <c r="K42" s="55"/>
      <c r="L42" s="55"/>
      <c r="M42" s="55"/>
      <c r="N42" s="56"/>
      <c r="O42" s="55"/>
      <c r="P42" s="102">
        <v>4.8159999999999998</v>
      </c>
      <c r="Q42" s="102"/>
      <c r="R42" s="102"/>
      <c r="S42" s="153">
        <v>210</v>
      </c>
      <c r="T42" s="217">
        <v>0</v>
      </c>
      <c r="U42" s="217">
        <v>0</v>
      </c>
      <c r="X42" s="217">
        <v>0.13</v>
      </c>
      <c r="Y42" s="217">
        <v>0.12703462316928207</v>
      </c>
      <c r="Z42" s="217">
        <v>0.20399999999999996</v>
      </c>
      <c r="AA42" s="217">
        <v>0.19934663943487335</v>
      </c>
      <c r="AB42" s="218">
        <v>1.76</v>
      </c>
      <c r="AC42" s="217">
        <v>1.7198533598302803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35.406399999999998</v>
      </c>
      <c r="H43" s="118">
        <v>10</v>
      </c>
      <c r="I43" s="155">
        <v>10.3</v>
      </c>
      <c r="J43" s="102"/>
      <c r="K43" s="55"/>
      <c r="L43" s="55"/>
      <c r="M43" s="55"/>
      <c r="N43" s="56"/>
      <c r="O43" s="55"/>
      <c r="P43" s="102">
        <v>4.798</v>
      </c>
      <c r="Q43" s="102"/>
      <c r="R43" s="102"/>
      <c r="S43" s="153">
        <v>209.2</v>
      </c>
      <c r="T43" s="217">
        <v>0</v>
      </c>
      <c r="U43" s="217">
        <v>0</v>
      </c>
      <c r="X43" s="217">
        <v>0.1</v>
      </c>
      <c r="Y43" s="217">
        <v>9.7718940899447743E-2</v>
      </c>
      <c r="Z43" s="217">
        <v>0.20399999999999996</v>
      </c>
      <c r="AA43" s="217">
        <v>0.19934663943487335</v>
      </c>
      <c r="AB43" s="218">
        <v>1.61</v>
      </c>
      <c r="AC43" s="217">
        <v>1.5732749484811086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35.400300000000001</v>
      </c>
      <c r="H44" s="118">
        <v>0</v>
      </c>
      <c r="I44" s="155">
        <v>2.1</v>
      </c>
      <c r="J44" s="102"/>
      <c r="K44" s="55"/>
      <c r="L44" s="55"/>
      <c r="M44" s="55"/>
      <c r="N44" s="56"/>
      <c r="O44" s="55"/>
      <c r="P44" s="102">
        <v>4.8120000000000003</v>
      </c>
      <c r="Q44" s="102"/>
      <c r="R44" s="102"/>
      <c r="S44" s="153">
        <v>209.8</v>
      </c>
      <c r="T44" s="217">
        <v>0</v>
      </c>
      <c r="U44" s="217">
        <v>0</v>
      </c>
      <c r="X44" s="217">
        <v>0.08</v>
      </c>
      <c r="Y44" s="217">
        <v>7.8175152719558189E-2</v>
      </c>
      <c r="Z44" s="217">
        <v>0.20299999999999996</v>
      </c>
      <c r="AA44" s="217">
        <v>0.19836945002587889</v>
      </c>
      <c r="AB44" s="218">
        <v>1.56</v>
      </c>
      <c r="AC44" s="217">
        <v>1.5244154780313848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F7" sqref="F7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20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37873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4</v>
      </c>
      <c r="J9" s="39">
        <v>29.98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-4°29,98</v>
      </c>
      <c r="P9" s="39" t="s">
        <v>53</v>
      </c>
      <c r="Q9" s="201">
        <f>IF(ISBLANK(I9),"",IF(ISBLANK(J9),"",IF(J9&gt;60,"ERREUR !!",O11*(I9+(J9/60)))))</f>
        <v>-4.4996666666666663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-0°0,05</v>
      </c>
      <c r="P10" s="39" t="s">
        <v>55</v>
      </c>
      <c r="Q10" s="201">
        <f>IF(ISBLANK(I10),"",IF(ISBLANK(J10),"",IF(J10&gt;60,"ERREUR !!",O12*(I10+(J10/60)))))</f>
        <v>-8.3333333333333339E-4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37873</v>
      </c>
      <c r="K11" s="72"/>
      <c r="L11" s="72"/>
      <c r="M11" s="72"/>
      <c r="N11" s="73" t="str">
        <f>I9&amp;"°"&amp;J9</f>
        <v>4°29,98</v>
      </c>
      <c r="O11" s="74">
        <f>IF(P9=M10,-1,1)</f>
        <v>-1</v>
      </c>
      <c r="P11" s="185" t="str">
        <f>TEXT(J11,"aaaa-mm-jj")&amp;"T"&amp;TEXT(J12,"hh:mm:ss")&amp;"z"</f>
        <v>2007-09-10T00:30:00z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2.0833333333333332E-2</v>
      </c>
      <c r="K12" s="75"/>
      <c r="L12" s="75"/>
      <c r="M12" s="75"/>
      <c r="N12" s="76" t="str">
        <f>I10&amp;"°"&amp;J10</f>
        <v>0°0,05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5.75" x14ac:dyDescent="0.25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34.667700000000004</v>
      </c>
      <c r="H35" s="126">
        <v>500</v>
      </c>
      <c r="I35" s="155">
        <v>500</v>
      </c>
      <c r="J35" s="127"/>
      <c r="K35" s="128"/>
      <c r="L35" s="128"/>
      <c r="M35" s="128"/>
      <c r="N35" s="129"/>
      <c r="O35" s="128"/>
      <c r="P35" s="127">
        <v>1.7310000000000001</v>
      </c>
      <c r="Q35" s="127"/>
      <c r="R35" s="127"/>
      <c r="S35" s="153">
        <v>75.3</v>
      </c>
      <c r="T35" s="217">
        <v>1.0000000000000009E-3</v>
      </c>
      <c r="U35" s="217">
        <v>9.7718940899447831E-4</v>
      </c>
      <c r="X35" s="217">
        <v>35.529000000000003</v>
      </c>
      <c r="Y35" s="217">
        <v>34.718562512164794</v>
      </c>
      <c r="Z35" s="217">
        <v>2.3639999999999999</v>
      </c>
      <c r="AA35" s="217">
        <v>2.3100757628629442</v>
      </c>
      <c r="AB35" s="217">
        <v>21.34</v>
      </c>
      <c r="AC35" s="217">
        <v>20.853221987942149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35.009099999999997</v>
      </c>
      <c r="H36" s="118">
        <v>300</v>
      </c>
      <c r="I36" s="155">
        <v>300</v>
      </c>
      <c r="J36" s="102"/>
      <c r="K36" s="55"/>
      <c r="L36" s="55"/>
      <c r="M36" s="55"/>
      <c r="N36" s="56"/>
      <c r="O36" s="55"/>
      <c r="P36" s="102">
        <v>1.72</v>
      </c>
      <c r="Q36" s="102"/>
      <c r="R36" s="102"/>
      <c r="S36" s="153">
        <v>74.8</v>
      </c>
      <c r="T36" s="217">
        <v>0</v>
      </c>
      <c r="U36" s="217">
        <v>0</v>
      </c>
      <c r="X36" s="217">
        <v>28.8</v>
      </c>
      <c r="Y36" s="217">
        <v>28.143054979040951</v>
      </c>
      <c r="Z36" s="217">
        <v>1.8959999999999999</v>
      </c>
      <c r="AA36" s="217">
        <v>1.8527511194535291</v>
      </c>
      <c r="AB36" s="217">
        <v>12.67</v>
      </c>
      <c r="AC36" s="217">
        <v>12.380989811960029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35.645000000000003</v>
      </c>
      <c r="H37" s="118">
        <v>100</v>
      </c>
      <c r="I37" s="155">
        <v>99</v>
      </c>
      <c r="J37" s="102"/>
      <c r="K37" s="55"/>
      <c r="L37" s="55"/>
      <c r="M37" s="55"/>
      <c r="N37" s="56"/>
      <c r="O37" s="55"/>
      <c r="P37" s="102">
        <v>2.6349999999999998</v>
      </c>
      <c r="Q37" s="102"/>
      <c r="R37" s="102"/>
      <c r="S37" s="153">
        <v>114.7</v>
      </c>
      <c r="T37" s="217">
        <v>1.2E-2</v>
      </c>
      <c r="U37" s="217">
        <v>1.1726272907933729E-2</v>
      </c>
      <c r="X37" s="217">
        <v>16.977999999999998</v>
      </c>
      <c r="Y37" s="217">
        <v>16.590721785908237</v>
      </c>
      <c r="Z37" s="217">
        <v>1.202</v>
      </c>
      <c r="AA37" s="217">
        <v>1.1745816696113618</v>
      </c>
      <c r="AB37" s="217">
        <v>5.74</v>
      </c>
      <c r="AC37" s="217">
        <v>5.6090672076283008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35.681800000000003</v>
      </c>
      <c r="H38" s="118">
        <v>80</v>
      </c>
      <c r="I38" s="155">
        <v>79</v>
      </c>
      <c r="J38" s="102"/>
      <c r="K38" s="55"/>
      <c r="L38" s="55"/>
      <c r="M38" s="55"/>
      <c r="N38" s="56"/>
      <c r="O38" s="55"/>
      <c r="P38" s="102">
        <v>2.593</v>
      </c>
      <c r="Q38" s="102"/>
      <c r="R38" s="102"/>
      <c r="S38" s="220">
        <v>112.8</v>
      </c>
      <c r="T38" s="217">
        <v>9.4E-2</v>
      </c>
      <c r="U38" s="217">
        <v>9.1855804445480874E-2</v>
      </c>
      <c r="X38" s="217">
        <v>16.776</v>
      </c>
      <c r="Y38" s="217">
        <v>16.393329525291353</v>
      </c>
      <c r="Z38" s="217">
        <v>1.19</v>
      </c>
      <c r="AA38" s="217">
        <v>1.1628553967034281</v>
      </c>
      <c r="AB38" s="217">
        <v>5.7</v>
      </c>
      <c r="AC38" s="217">
        <v>5.569979631268521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35.718800000000002</v>
      </c>
      <c r="H39" s="118">
        <v>60</v>
      </c>
      <c r="I39" s="155">
        <v>59</v>
      </c>
      <c r="J39" s="102"/>
      <c r="K39" s="55"/>
      <c r="L39" s="55"/>
      <c r="M39" s="55"/>
      <c r="N39" s="56"/>
      <c r="O39" s="55"/>
      <c r="P39" s="102">
        <v>2.6280000000000001</v>
      </c>
      <c r="Q39" s="102"/>
      <c r="R39" s="102"/>
      <c r="S39" s="220">
        <v>114.4</v>
      </c>
      <c r="T39" s="217">
        <v>0.16099999999999998</v>
      </c>
      <c r="U39" s="217">
        <v>0.15732749484811084</v>
      </c>
      <c r="X39" s="217">
        <v>16.189</v>
      </c>
      <c r="Y39" s="217">
        <v>15.819719342211595</v>
      </c>
      <c r="Z39" s="217">
        <v>1.167</v>
      </c>
      <c r="AA39" s="217">
        <v>1.1403800402965552</v>
      </c>
      <c r="AB39" s="217">
        <v>5.3</v>
      </c>
      <c r="AC39" s="217">
        <v>5.1791038676707304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35.819299999999998</v>
      </c>
      <c r="H40" s="118">
        <v>40</v>
      </c>
      <c r="I40" s="155">
        <v>40</v>
      </c>
      <c r="J40" s="102"/>
      <c r="K40" s="55"/>
      <c r="L40" s="55"/>
      <c r="M40" s="55"/>
      <c r="N40" s="56"/>
      <c r="O40" s="55"/>
      <c r="P40" s="102">
        <v>2.6760000000000002</v>
      </c>
      <c r="Q40" s="102"/>
      <c r="R40" s="102"/>
      <c r="S40" s="153">
        <v>116.5</v>
      </c>
      <c r="T40" s="217">
        <v>0.26300000000000001</v>
      </c>
      <c r="U40" s="217">
        <v>0.25700081456554758</v>
      </c>
      <c r="X40" s="217">
        <v>14.657</v>
      </c>
      <c r="Y40" s="217">
        <v>14.322665167632055</v>
      </c>
      <c r="Z40" s="217">
        <v>1.075</v>
      </c>
      <c r="AA40" s="217">
        <v>1.0504786146690632</v>
      </c>
      <c r="AB40" s="217">
        <v>4.42</v>
      </c>
      <c r="AC40" s="217">
        <v>4.3191771877555905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35.731299999999997</v>
      </c>
      <c r="H41" s="118">
        <v>20</v>
      </c>
      <c r="I41" s="155">
        <v>19</v>
      </c>
      <c r="J41" s="102"/>
      <c r="K41" s="55"/>
      <c r="L41" s="55"/>
      <c r="M41" s="55"/>
      <c r="N41" s="56"/>
      <c r="O41" s="55"/>
      <c r="P41" s="102">
        <v>4.7229999999999999</v>
      </c>
      <c r="Q41" s="102"/>
      <c r="R41" s="102"/>
      <c r="S41" s="153">
        <v>205.9</v>
      </c>
      <c r="T41" s="217">
        <v>4.3999999999999997E-2</v>
      </c>
      <c r="U41" s="217">
        <v>4.2996333995757002E-2</v>
      </c>
      <c r="X41" s="217">
        <v>0.42599999999999999</v>
      </c>
      <c r="Y41" s="217">
        <v>0.41628268823164738</v>
      </c>
      <c r="Z41" s="217">
        <v>0.23299999999999998</v>
      </c>
      <c r="AA41" s="217">
        <v>0.22768513229571322</v>
      </c>
      <c r="AB41" s="217">
        <v>1.53</v>
      </c>
      <c r="AC41" s="217">
        <v>1.4950997957615504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35.701500000000003</v>
      </c>
      <c r="H42" s="118">
        <v>10</v>
      </c>
      <c r="I42" s="155">
        <v>10</v>
      </c>
      <c r="J42" s="102"/>
      <c r="K42" s="55"/>
      <c r="L42" s="55"/>
      <c r="M42" s="55"/>
      <c r="N42" s="56"/>
      <c r="O42" s="55"/>
      <c r="P42" s="102">
        <v>4.7359999999999998</v>
      </c>
      <c r="Q42" s="102"/>
      <c r="R42" s="102"/>
      <c r="S42" s="153">
        <v>206.5</v>
      </c>
      <c r="T42" s="217">
        <v>1.0000000000000009E-3</v>
      </c>
      <c r="U42" s="217">
        <v>9.7718940899447831E-4</v>
      </c>
      <c r="X42" s="217">
        <v>0.109</v>
      </c>
      <c r="Y42" s="217">
        <v>0.10651364558039804</v>
      </c>
      <c r="Z42" s="217">
        <v>0.19800000000000001</v>
      </c>
      <c r="AA42" s="217">
        <v>0.19348350298090652</v>
      </c>
      <c r="AB42" s="217">
        <v>1.44</v>
      </c>
      <c r="AC42" s="217">
        <v>1.4071527489520474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35.700400000000002</v>
      </c>
      <c r="H43" s="118">
        <v>0</v>
      </c>
      <c r="I43" s="155">
        <v>1.7</v>
      </c>
      <c r="J43" s="102"/>
      <c r="K43" s="55"/>
      <c r="L43" s="55"/>
      <c r="M43" s="55"/>
      <c r="N43" s="56"/>
      <c r="O43" s="55"/>
      <c r="P43" s="102">
        <v>4.7809999999999997</v>
      </c>
      <c r="Q43" s="102"/>
      <c r="R43" s="102"/>
      <c r="S43" s="153">
        <v>208.4</v>
      </c>
      <c r="T43" s="217">
        <v>1.0000000000000009E-3</v>
      </c>
      <c r="U43" s="217">
        <v>9.7718940899447831E-4</v>
      </c>
      <c r="X43" s="217">
        <v>6.9000000000000006E-2</v>
      </c>
      <c r="Y43" s="217">
        <v>6.7426069220618945E-2</v>
      </c>
      <c r="Z43" s="217">
        <v>0.19900000000000001</v>
      </c>
      <c r="AA43" s="217">
        <v>0.19446069238990102</v>
      </c>
      <c r="AB43" s="217">
        <v>1.36</v>
      </c>
      <c r="AC43" s="217">
        <v>1.3289775962324895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35.700400000000002</v>
      </c>
      <c r="H44" s="118">
        <v>0</v>
      </c>
      <c r="I44" s="155">
        <v>1.7</v>
      </c>
      <c r="J44" s="102"/>
      <c r="K44" s="55"/>
      <c r="L44" s="55"/>
      <c r="M44" s="55"/>
      <c r="N44" s="56"/>
      <c r="O44" s="55"/>
      <c r="P44" s="102">
        <v>4.7889999999999997</v>
      </c>
      <c r="Q44" s="102"/>
      <c r="R44" s="102"/>
      <c r="S44" s="153">
        <v>208.8</v>
      </c>
      <c r="T44" s="217">
        <v>0</v>
      </c>
      <c r="U44" s="217">
        <v>0</v>
      </c>
      <c r="X44" s="217">
        <v>0.06</v>
      </c>
      <c r="Y44" s="217">
        <v>5.8631364539668641E-2</v>
      </c>
      <c r="Z44" s="217">
        <v>0.19600000000000001</v>
      </c>
      <c r="AA44" s="217">
        <v>0.19152912416291759</v>
      </c>
      <c r="AB44" s="217">
        <v>1.34</v>
      </c>
      <c r="AC44" s="217">
        <v>1.3094338080525998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 t="s">
        <v>4</v>
      </c>
      <c r="H45" s="118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4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21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37873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3</v>
      </c>
      <c r="J9" s="39">
        <v>59.95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-3°59,95</v>
      </c>
      <c r="P9" s="39" t="s">
        <v>53</v>
      </c>
      <c r="Q9" s="201">
        <f>IF(ISBLANK(I9),"",IF(ISBLANK(J9),"",IF(J9&gt;60,"ERREUR !!",O11*(I9+(J9/60)))))</f>
        <v>-3.9991666666666665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0°0,05</v>
      </c>
      <c r="P10" s="39" t="s">
        <v>54</v>
      </c>
      <c r="Q10" s="201">
        <f>IF(ISBLANK(I10),"",IF(ISBLANK(J10),"",IF(J10&gt;60,"ERREUR !!",O12*(I10+(J10/60)))))</f>
        <v>8.3333333333333339E-4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37873</v>
      </c>
      <c r="K11" s="72"/>
      <c r="L11" s="72"/>
      <c r="M11" s="72"/>
      <c r="N11" s="73" t="str">
        <f>I9&amp;"°"&amp;J9</f>
        <v>3°59,95</v>
      </c>
      <c r="O11" s="74">
        <f>IF(P9=M10,-1,1)</f>
        <v>-1</v>
      </c>
      <c r="P11" s="185" t="str">
        <f>TEXT(J11,"aaaa-mm-jj")&amp;"T"&amp;TEXT(J12,"hh:mm:ss")&amp;"z"</f>
        <v>2007-09-10T04:30:00z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0.1875</v>
      </c>
      <c r="K12" s="75"/>
      <c r="L12" s="75"/>
      <c r="M12" s="75"/>
      <c r="N12" s="76" t="str">
        <f>I10&amp;"°"&amp;J10</f>
        <v>0°0,05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34.646599999999999</v>
      </c>
      <c r="H35" s="126">
        <v>500</v>
      </c>
      <c r="I35" s="155">
        <v>503</v>
      </c>
      <c r="J35" s="127"/>
      <c r="K35" s="128"/>
      <c r="L35" s="128"/>
      <c r="M35" s="128"/>
      <c r="N35" s="129"/>
      <c r="O35" s="128"/>
      <c r="P35" s="127">
        <v>1.8560000000000001</v>
      </c>
      <c r="Q35" s="127"/>
      <c r="R35" s="127"/>
      <c r="S35" s="153">
        <v>80.7</v>
      </c>
      <c r="T35" s="217">
        <v>0</v>
      </c>
      <c r="U35" s="217">
        <v>0</v>
      </c>
      <c r="X35" s="217">
        <v>34.89</v>
      </c>
      <c r="Y35" s="217">
        <v>34.094138479817317</v>
      </c>
      <c r="Z35" s="217">
        <v>2.3660000000000001</v>
      </c>
      <c r="AA35" s="217">
        <v>2.3120301416809337</v>
      </c>
      <c r="AB35" s="217">
        <v>21.81</v>
      </c>
      <c r="AC35" s="217">
        <v>21.312501010169552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34.646599999999999</v>
      </c>
      <c r="H36" s="126">
        <v>500</v>
      </c>
      <c r="I36" s="155">
        <v>503</v>
      </c>
      <c r="J36" s="102"/>
      <c r="K36" s="55"/>
      <c r="L36" s="55"/>
      <c r="M36" s="55"/>
      <c r="N36" s="56"/>
      <c r="O36" s="55"/>
      <c r="P36" s="102">
        <v>1.851</v>
      </c>
      <c r="Q36" s="102"/>
      <c r="R36" s="102"/>
      <c r="S36" s="153">
        <v>80.5</v>
      </c>
      <c r="T36" s="217">
        <v>0</v>
      </c>
      <c r="U36" s="217">
        <v>0</v>
      </c>
      <c r="X36" s="217">
        <v>34.83</v>
      </c>
      <c r="Y36" s="217">
        <v>34.035507115277646</v>
      </c>
      <c r="Z36" s="217">
        <v>2.3420000000000001</v>
      </c>
      <c r="AA36" s="217">
        <v>2.2885775958650663</v>
      </c>
      <c r="AB36" s="217">
        <v>20.9</v>
      </c>
      <c r="AC36" s="217">
        <v>20.423258647984575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34.958599999999997</v>
      </c>
      <c r="H37" s="118">
        <v>300</v>
      </c>
      <c r="I37" s="155">
        <v>299</v>
      </c>
      <c r="J37" s="102"/>
      <c r="K37" s="55"/>
      <c r="L37" s="55"/>
      <c r="M37" s="55"/>
      <c r="N37" s="56"/>
      <c r="O37" s="55"/>
      <c r="P37" s="102">
        <v>1.4750000000000001</v>
      </c>
      <c r="Q37" s="102"/>
      <c r="R37" s="102"/>
      <c r="S37" s="153">
        <v>64.099999999999994</v>
      </c>
      <c r="T37" s="217">
        <v>0</v>
      </c>
      <c r="U37" s="217">
        <v>0</v>
      </c>
      <c r="X37" s="217">
        <v>30.2</v>
      </c>
      <c r="Y37" s="217">
        <v>29.511120151633218</v>
      </c>
      <c r="Z37" s="217">
        <v>1.9750000000000001</v>
      </c>
      <c r="AA37" s="217">
        <v>1.929949082764093</v>
      </c>
      <c r="AB37" s="217">
        <v>13.32</v>
      </c>
      <c r="AC37" s="217">
        <v>13.016162927806439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35.677900000000001</v>
      </c>
      <c r="H38" s="118">
        <v>100</v>
      </c>
      <c r="I38" s="155">
        <v>97.4</v>
      </c>
      <c r="J38" s="102"/>
      <c r="K38" s="55"/>
      <c r="L38" s="55"/>
      <c r="M38" s="55"/>
      <c r="N38" s="56"/>
      <c r="O38" s="55"/>
      <c r="P38" s="102">
        <v>2.64</v>
      </c>
      <c r="Q38" s="102"/>
      <c r="R38" s="102"/>
      <c r="S38" s="220">
        <v>114.9</v>
      </c>
      <c r="T38" s="217">
        <v>8.0000000000000002E-3</v>
      </c>
      <c r="U38" s="217">
        <v>7.8175152719558196E-3</v>
      </c>
      <c r="X38" s="217">
        <v>16.422000000000001</v>
      </c>
      <c r="Y38" s="217">
        <v>16.04740447450731</v>
      </c>
      <c r="Z38" s="217">
        <v>1.1739999999999999</v>
      </c>
      <c r="AA38" s="217">
        <v>1.1472203661595164</v>
      </c>
      <c r="AB38" s="217">
        <v>5.91</v>
      </c>
      <c r="AC38" s="217">
        <v>5.7751894071573613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35.695799999999998</v>
      </c>
      <c r="H39" s="118">
        <v>80</v>
      </c>
      <c r="I39" s="155">
        <v>79.3</v>
      </c>
      <c r="J39" s="102"/>
      <c r="K39" s="55"/>
      <c r="L39" s="55"/>
      <c r="M39" s="55"/>
      <c r="N39" s="56"/>
      <c r="O39" s="55"/>
      <c r="P39" s="102">
        <v>2.5910000000000002</v>
      </c>
      <c r="Q39" s="102"/>
      <c r="R39" s="102"/>
      <c r="S39" s="220">
        <v>112.8</v>
      </c>
      <c r="T39" s="217">
        <v>1.6E-2</v>
      </c>
      <c r="U39" s="217">
        <v>1.5635030543911639E-2</v>
      </c>
      <c r="X39" s="217">
        <v>16.444000000000003</v>
      </c>
      <c r="Y39" s="217">
        <v>16.06890264150519</v>
      </c>
      <c r="Z39" s="217">
        <v>1.1950000000000001</v>
      </c>
      <c r="AA39" s="217">
        <v>1.1677413437484003</v>
      </c>
      <c r="AB39" s="217">
        <v>5.79</v>
      </c>
      <c r="AC39" s="217">
        <v>5.6579266780780246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35.777299999999997</v>
      </c>
      <c r="H40" s="118">
        <v>60</v>
      </c>
      <c r="I40" s="155">
        <v>61.3</v>
      </c>
      <c r="J40" s="102"/>
      <c r="K40" s="55"/>
      <c r="L40" s="55"/>
      <c r="M40" s="55"/>
      <c r="N40" s="56"/>
      <c r="O40" s="55"/>
      <c r="P40" s="102">
        <v>2.6880000000000002</v>
      </c>
      <c r="Q40" s="102"/>
      <c r="R40" s="102"/>
      <c r="S40" s="153">
        <v>117</v>
      </c>
      <c r="T40" s="217">
        <v>2.8999999999999998E-2</v>
      </c>
      <c r="U40" s="217">
        <v>2.8338492860839844E-2</v>
      </c>
      <c r="X40" s="217">
        <v>15.231</v>
      </c>
      <c r="Y40" s="217">
        <v>14.883571888394885</v>
      </c>
      <c r="Z40" s="217">
        <v>1.0919999999999999</v>
      </c>
      <c r="AA40" s="217">
        <v>1.0670908346219692</v>
      </c>
      <c r="AB40" s="217">
        <v>5.05</v>
      </c>
      <c r="AC40" s="217">
        <v>4.9348065154221104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35.859000000000002</v>
      </c>
      <c r="H41" s="118">
        <v>40</v>
      </c>
      <c r="I41" s="155">
        <v>40.5</v>
      </c>
      <c r="J41" s="102"/>
      <c r="K41" s="55"/>
      <c r="L41" s="55"/>
      <c r="M41" s="55"/>
      <c r="N41" s="56"/>
      <c r="O41" s="55"/>
      <c r="P41" s="102">
        <v>2.95</v>
      </c>
      <c r="Q41" s="102"/>
      <c r="R41" s="102"/>
      <c r="S41" s="153">
        <v>128.4</v>
      </c>
      <c r="T41" s="217">
        <v>7.1999999999999995E-2</v>
      </c>
      <c r="U41" s="217">
        <v>7.0357637447602372E-2</v>
      </c>
      <c r="X41" s="217">
        <v>13.208</v>
      </c>
      <c r="Y41" s="217">
        <v>12.906717713999058</v>
      </c>
      <c r="Z41" s="217">
        <v>0.96899999999999997</v>
      </c>
      <c r="AA41" s="217">
        <v>0.9468965373156486</v>
      </c>
      <c r="AB41" s="217">
        <v>4.1900000000000004</v>
      </c>
      <c r="AC41" s="217">
        <v>4.0944236236868603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35.831899999999997</v>
      </c>
      <c r="H42" s="118">
        <v>20</v>
      </c>
      <c r="I42" s="155">
        <v>19.3</v>
      </c>
      <c r="J42" s="102"/>
      <c r="K42" s="55"/>
      <c r="L42" s="55"/>
      <c r="M42" s="55"/>
      <c r="N42" s="56"/>
      <c r="O42" s="55"/>
      <c r="P42" s="102">
        <v>4.1639999999999997</v>
      </c>
      <c r="Q42" s="102"/>
      <c r="R42" s="102"/>
      <c r="S42" s="153">
        <v>181.4</v>
      </c>
      <c r="T42" s="217">
        <v>0.31900000000000001</v>
      </c>
      <c r="U42" s="217">
        <v>0.31172342146923832</v>
      </c>
      <c r="X42" s="217">
        <v>4.6310000000000002</v>
      </c>
      <c r="Y42" s="217">
        <v>4.5253641530534248</v>
      </c>
      <c r="Z42" s="217">
        <v>0.50800000000000001</v>
      </c>
      <c r="AA42" s="217">
        <v>0.49641221976919453</v>
      </c>
      <c r="AB42" s="217">
        <v>2.5299999999999998</v>
      </c>
      <c r="AC42" s="217">
        <v>2.4722892047560276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35.693399999999997</v>
      </c>
      <c r="H43" s="118">
        <v>10</v>
      </c>
      <c r="I43" s="155">
        <v>10.199999999999999</v>
      </c>
      <c r="J43" s="102"/>
      <c r="K43" s="55"/>
      <c r="L43" s="55"/>
      <c r="M43" s="55"/>
      <c r="N43" s="56"/>
      <c r="O43" s="55"/>
      <c r="P43" s="102">
        <v>4.7450000000000001</v>
      </c>
      <c r="Q43" s="102"/>
      <c r="R43" s="102"/>
      <c r="S43" s="153">
        <v>206.9</v>
      </c>
      <c r="T43" s="217">
        <v>0</v>
      </c>
      <c r="U43" s="217">
        <v>0</v>
      </c>
      <c r="X43" s="217">
        <v>0.11</v>
      </c>
      <c r="Y43" s="217">
        <v>0.10749083498939252</v>
      </c>
      <c r="Z43" s="217">
        <v>0.20199999999999996</v>
      </c>
      <c r="AA43" s="217">
        <v>0.19739226061688439</v>
      </c>
      <c r="AB43" s="217">
        <v>1.45</v>
      </c>
      <c r="AC43" s="217">
        <v>1.4169246430419922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35.687399999999997</v>
      </c>
      <c r="H44" s="118">
        <v>0</v>
      </c>
      <c r="I44" s="155">
        <v>2</v>
      </c>
      <c r="J44" s="102"/>
      <c r="K44" s="55"/>
      <c r="L44" s="55"/>
      <c r="M44" s="55"/>
      <c r="N44" s="56"/>
      <c r="O44" s="55"/>
      <c r="P44" s="102">
        <v>4.7679999999999998</v>
      </c>
      <c r="Q44" s="102"/>
      <c r="R44" s="102"/>
      <c r="S44" s="153">
        <v>207.9</v>
      </c>
      <c r="T44" s="217">
        <v>0</v>
      </c>
      <c r="U44" s="217">
        <v>0</v>
      </c>
      <c r="X44" s="217">
        <v>0.05</v>
      </c>
      <c r="Y44" s="217">
        <v>4.8859470449723871E-2</v>
      </c>
      <c r="Z44" s="217">
        <v>0.19500000000000001</v>
      </c>
      <c r="AA44" s="217">
        <v>0.1905519347539231</v>
      </c>
      <c r="AB44" s="217">
        <v>1.41</v>
      </c>
      <c r="AC44" s="217">
        <v>1.3778370666822131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 t="s">
        <v>4</v>
      </c>
      <c r="H45" s="118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4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22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37874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59.9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-2°59,9</v>
      </c>
      <c r="P9" s="39" t="s">
        <v>53</v>
      </c>
      <c r="Q9" s="201">
        <f>IF(ISBLANK(I9),"",IF(ISBLANK(J9),"",IF(J9&gt;60,"ERREUR !!",O11*(I9+(J9/60)))))</f>
        <v>-2.9983333333333331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0.12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0°0,12</v>
      </c>
      <c r="P10" s="39" t="s">
        <v>54</v>
      </c>
      <c r="Q10" s="201">
        <f>IF(ISBLANK(I10),"",IF(ISBLANK(J10),"",IF(J10&gt;60,"ERREUR !!",O12*(I10+(J10/60)))))</f>
        <v>2E-3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37873</v>
      </c>
      <c r="K11" s="72"/>
      <c r="L11" s="72"/>
      <c r="M11" s="72"/>
      <c r="N11" s="73" t="str">
        <f>I9&amp;"°"&amp;J9</f>
        <v>2°59,9</v>
      </c>
      <c r="O11" s="74">
        <f>IF(P9=M10,-1,1)</f>
        <v>-1</v>
      </c>
      <c r="P11" s="185" t="str">
        <f>TEXT(J11,"aaaa-mm-jj")&amp;"T"&amp;TEXT(J12,"hh:mm:ss")&amp;"z"</f>
        <v>2007-09-10T12:00:00z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</v>
      </c>
      <c r="K12" s="75"/>
      <c r="L12" s="75"/>
      <c r="M12" s="75"/>
      <c r="N12" s="76" t="str">
        <f>I10&amp;"°"&amp;J10</f>
        <v>0°0,12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34.648400000000002</v>
      </c>
      <c r="H35" s="126">
        <v>500</v>
      </c>
      <c r="I35" s="155">
        <v>500</v>
      </c>
      <c r="J35" s="127"/>
      <c r="K35" s="128"/>
      <c r="L35" s="128"/>
      <c r="M35" s="128"/>
      <c r="N35" s="129"/>
      <c r="O35" s="128"/>
      <c r="P35" s="127">
        <v>1.8620000000000001</v>
      </c>
      <c r="Q35" s="127"/>
      <c r="R35" s="127"/>
      <c r="S35" s="153">
        <v>81</v>
      </c>
      <c r="T35" s="217">
        <v>9.0000000000000011E-3</v>
      </c>
      <c r="U35" s="217">
        <v>8.7947046809502983E-3</v>
      </c>
      <c r="X35" s="217">
        <v>35.731000000000002</v>
      </c>
      <c r="Y35" s="217">
        <v>34.915954772781674</v>
      </c>
      <c r="Z35" s="217">
        <v>2.4289999999999998</v>
      </c>
      <c r="AA35" s="217">
        <v>2.3735930744475855</v>
      </c>
      <c r="AB35" s="217">
        <v>22.12</v>
      </c>
      <c r="AC35" s="217">
        <v>21.615429726957842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35.158200000000001</v>
      </c>
      <c r="H36" s="126">
        <v>300</v>
      </c>
      <c r="I36" s="155">
        <v>300</v>
      </c>
      <c r="J36" s="102"/>
      <c r="K36" s="55"/>
      <c r="L36" s="55"/>
      <c r="M36" s="55"/>
      <c r="N36" s="56"/>
      <c r="O36" s="55"/>
      <c r="P36" s="102">
        <v>1.81</v>
      </c>
      <c r="Q36" s="102"/>
      <c r="R36" s="102"/>
      <c r="S36" s="153">
        <v>78.7</v>
      </c>
      <c r="T36" s="217">
        <v>2.4E-2</v>
      </c>
      <c r="U36" s="217">
        <v>2.3452545815867459E-2</v>
      </c>
      <c r="X36" s="217">
        <v>25.916</v>
      </c>
      <c r="Y36" s="217">
        <v>25.324840723500877</v>
      </c>
      <c r="Z36" s="217">
        <v>1.7569999999999999</v>
      </c>
      <c r="AA36" s="217">
        <v>1.7169217916032966</v>
      </c>
      <c r="AB36" s="217">
        <v>10.34</v>
      </c>
      <c r="AC36" s="217">
        <v>10.104138489002896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35.579500000000003</v>
      </c>
      <c r="H37" s="118">
        <v>100</v>
      </c>
      <c r="I37" s="155">
        <v>100</v>
      </c>
      <c r="J37" s="102"/>
      <c r="K37" s="55"/>
      <c r="L37" s="55"/>
      <c r="M37" s="55"/>
      <c r="N37" s="56"/>
      <c r="O37" s="55"/>
      <c r="P37" s="102"/>
      <c r="Q37" s="102"/>
      <c r="R37" s="102"/>
      <c r="S37" s="153"/>
      <c r="T37" s="217">
        <v>7.0999999999999994E-2</v>
      </c>
      <c r="U37" s="217">
        <v>6.9380448038607892E-2</v>
      </c>
      <c r="X37" s="217">
        <v>15.629</v>
      </c>
      <c r="Y37" s="217">
        <v>15.272493273174687</v>
      </c>
      <c r="Z37" s="217">
        <v>1.165</v>
      </c>
      <c r="AA37" s="217">
        <v>1.1384256614785662</v>
      </c>
      <c r="AB37" s="217">
        <v>6.28</v>
      </c>
      <c r="AC37" s="217">
        <v>6.136749488485318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35.579599999999999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3.125</v>
      </c>
      <c r="Q38" s="102"/>
      <c r="R38" s="102"/>
      <c r="S38" s="220">
        <v>136</v>
      </c>
      <c r="T38" s="217">
        <v>7.8E-2</v>
      </c>
      <c r="U38" s="217">
        <v>7.6220773901569241E-2</v>
      </c>
      <c r="X38" s="217">
        <v>15.822000000000001</v>
      </c>
      <c r="Y38" s="217">
        <v>15.461090829110622</v>
      </c>
      <c r="Z38" s="217">
        <v>1.1789999999999998</v>
      </c>
      <c r="AA38" s="217">
        <v>1.1521063132044886</v>
      </c>
      <c r="AB38" s="217">
        <v>6.35</v>
      </c>
      <c r="AC38" s="217">
        <v>6.2051527471149308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35.590800000000002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3.0409999999999999</v>
      </c>
      <c r="Q39" s="102"/>
      <c r="R39" s="102"/>
      <c r="S39" s="220">
        <v>132.30000000000001</v>
      </c>
      <c r="T39" s="217">
        <v>0.115</v>
      </c>
      <c r="U39" s="217">
        <v>0.11237678203436491</v>
      </c>
      <c r="X39" s="217">
        <v>15.654999999999999</v>
      </c>
      <c r="Y39" s="217">
        <v>15.297900197808543</v>
      </c>
      <c r="Z39" s="217">
        <v>1.129</v>
      </c>
      <c r="AA39" s="217">
        <v>1.103246842754765</v>
      </c>
      <c r="AB39" s="217">
        <v>5.99</v>
      </c>
      <c r="AC39" s="217">
        <v>5.8533645598769199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35.6646</v>
      </c>
      <c r="H40" s="118">
        <v>60</v>
      </c>
      <c r="I40" s="155">
        <v>59</v>
      </c>
      <c r="J40" s="102"/>
      <c r="K40" s="55"/>
      <c r="L40" s="55"/>
      <c r="M40" s="55"/>
      <c r="N40" s="56"/>
      <c r="O40" s="55"/>
      <c r="P40" s="102">
        <v>3.1150000000000002</v>
      </c>
      <c r="Q40" s="102"/>
      <c r="R40" s="102"/>
      <c r="S40" s="153">
        <v>135.6</v>
      </c>
      <c r="T40" s="217">
        <v>0.45500000000000002</v>
      </c>
      <c r="U40" s="217">
        <v>0.44462118109248716</v>
      </c>
      <c r="X40" s="217">
        <v>14.365</v>
      </c>
      <c r="Y40" s="217">
        <v>14.037325860205668</v>
      </c>
      <c r="Z40" s="217">
        <v>1.0979999999999999</v>
      </c>
      <c r="AA40" s="217">
        <v>1.0729539710759362</v>
      </c>
      <c r="AB40" s="217">
        <v>5.27</v>
      </c>
      <c r="AC40" s="217">
        <v>5.1497881854008956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35.698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3.2469999999999999</v>
      </c>
      <c r="Q41" s="102"/>
      <c r="R41" s="102"/>
      <c r="S41" s="153">
        <v>141.30000000000001</v>
      </c>
      <c r="T41" s="217">
        <v>0.27500000000000002</v>
      </c>
      <c r="U41" s="217">
        <v>0.26872708747348123</v>
      </c>
      <c r="X41" s="217">
        <v>12.315</v>
      </c>
      <c r="Y41" s="217">
        <v>12.034087571766989</v>
      </c>
      <c r="Z41" s="217">
        <v>0.94499999999999995</v>
      </c>
      <c r="AA41" s="217">
        <v>0.92344399149978107</v>
      </c>
      <c r="AB41" s="217">
        <v>4.72</v>
      </c>
      <c r="AC41" s="217">
        <v>4.6123340104539334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35.725099999999998</v>
      </c>
      <c r="H42" s="118">
        <v>20</v>
      </c>
      <c r="I42" s="155">
        <v>20</v>
      </c>
      <c r="J42" s="102"/>
      <c r="K42" s="55"/>
      <c r="L42" s="55"/>
      <c r="M42" s="55"/>
      <c r="N42" s="56"/>
      <c r="O42" s="55"/>
      <c r="P42" s="102">
        <v>4.7089999999999996</v>
      </c>
      <c r="Q42" s="102"/>
      <c r="R42" s="102"/>
      <c r="S42" s="153">
        <v>205.2</v>
      </c>
      <c r="T42" s="217">
        <v>6.8000000000000005E-2</v>
      </c>
      <c r="U42" s="217">
        <v>6.6448879811624464E-2</v>
      </c>
      <c r="X42" s="217">
        <v>1.8319999999999999</v>
      </c>
      <c r="Y42" s="217">
        <v>1.7902109972778824</v>
      </c>
      <c r="Z42" s="217">
        <v>0.29599999999999999</v>
      </c>
      <c r="AA42" s="217">
        <v>0.28924806506236528</v>
      </c>
      <c r="AB42" s="217">
        <v>2.14</v>
      </c>
      <c r="AC42" s="217">
        <v>2.091185335248182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35.755800000000001</v>
      </c>
      <c r="H43" s="118">
        <v>10</v>
      </c>
      <c r="I43" s="155">
        <v>9.6999999999999993</v>
      </c>
      <c r="J43" s="102"/>
      <c r="K43" s="55"/>
      <c r="L43" s="55"/>
      <c r="M43" s="55"/>
      <c r="N43" s="56"/>
      <c r="O43" s="55"/>
      <c r="P43" s="102">
        <v>4.7939999999999996</v>
      </c>
      <c r="Q43" s="102"/>
      <c r="R43" s="102"/>
      <c r="S43" s="153">
        <v>209</v>
      </c>
      <c r="T43" s="217">
        <v>5.4000000000000006E-2</v>
      </c>
      <c r="U43" s="217">
        <v>5.2768228085701786E-2</v>
      </c>
      <c r="X43" s="217">
        <v>0.82599999999999996</v>
      </c>
      <c r="Y43" s="217">
        <v>0.80715845182943824</v>
      </c>
      <c r="Z43" s="217">
        <v>0.251</v>
      </c>
      <c r="AA43" s="217">
        <v>0.24527454165761384</v>
      </c>
      <c r="AB43" s="217">
        <v>1.94</v>
      </c>
      <c r="AC43" s="217">
        <v>1.8957474534492862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35.762700000000002</v>
      </c>
      <c r="H44" s="118">
        <v>0</v>
      </c>
      <c r="I44" s="155">
        <v>1.6</v>
      </c>
      <c r="J44" s="102"/>
      <c r="K44" s="55"/>
      <c r="L44" s="55"/>
      <c r="M44" s="55"/>
      <c r="N44" s="56"/>
      <c r="O44" s="55"/>
      <c r="P44" s="102">
        <v>4.8140000000000001</v>
      </c>
      <c r="Q44" s="102"/>
      <c r="R44" s="102"/>
      <c r="S44" s="153">
        <v>209.9</v>
      </c>
      <c r="T44" s="217">
        <v>3.5000000000000003E-2</v>
      </c>
      <c r="U44" s="217">
        <v>3.4201629314806713E-2</v>
      </c>
      <c r="X44" s="217">
        <v>0.60499999999999998</v>
      </c>
      <c r="Y44" s="217">
        <v>0.59119959244165876</v>
      </c>
      <c r="Z44" s="217">
        <v>0.23399999999999999</v>
      </c>
      <c r="AA44" s="217">
        <v>0.22866232170470771</v>
      </c>
      <c r="AB44" s="217">
        <v>1.88</v>
      </c>
      <c r="AC44" s="217">
        <v>1.8371160889096174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 t="s">
        <v>4</v>
      </c>
      <c r="H45" s="118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23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37874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0.09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-2°0,09</v>
      </c>
      <c r="P9" s="39" t="s">
        <v>53</v>
      </c>
      <c r="Q9" s="201">
        <f>IF(ISBLANK(I9),"",IF(ISBLANK(J9),"",IF(J9&gt;60,"ERREUR !!",O11*(I9+(J9/60)))))</f>
        <v>-2.0015000000000001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-0°0,1</v>
      </c>
      <c r="P10" s="39" t="s">
        <v>55</v>
      </c>
      <c r="Q10" s="201">
        <f>IF(ISBLANK(I10),"",IF(ISBLANK(J10),"",IF(J10&gt;60,"ERREUR !!",O12*(I10+(J10/60)))))</f>
        <v>-1.6666666666666668E-3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37873</v>
      </c>
      <c r="K11" s="72"/>
      <c r="L11" s="72"/>
      <c r="M11" s="72"/>
      <c r="N11" s="73" t="str">
        <f>I9&amp;"°"&amp;J9</f>
        <v>2°0,09</v>
      </c>
      <c r="O11" s="74">
        <f>IF(P9=M10,-1,1)</f>
        <v>-1</v>
      </c>
      <c r="P11" s="185" t="str">
        <f>TEXT(J11,"aaaa-mm-jj")&amp;"T"&amp;TEXT(J12,"hh:mm:ss")&amp;"z"</f>
        <v>2007-09-10T19:45:00z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0.82291666666666663</v>
      </c>
      <c r="K12" s="75"/>
      <c r="L12" s="75"/>
      <c r="M12" s="75"/>
      <c r="N12" s="76" t="str">
        <f>I10&amp;"°"&amp;J10</f>
        <v>0°0,1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34.6158</v>
      </c>
      <c r="H35" s="126">
        <v>1000</v>
      </c>
      <c r="I35" s="155">
        <v>1001.3</v>
      </c>
      <c r="J35" s="127"/>
      <c r="K35" s="128"/>
      <c r="L35" s="128"/>
      <c r="M35" s="128"/>
      <c r="N35" s="129"/>
      <c r="O35" s="128"/>
      <c r="P35" s="127">
        <v>3.4540000000000002</v>
      </c>
      <c r="Q35" s="127"/>
      <c r="R35" s="127"/>
      <c r="S35" s="153">
        <v>150.19999999999999</v>
      </c>
      <c r="T35" s="217">
        <v>2.9999999999999992E-3</v>
      </c>
      <c r="U35" s="217">
        <v>2.9315682269834315E-3</v>
      </c>
      <c r="X35" s="217">
        <v>30.446999999999999</v>
      </c>
      <c r="Y35" s="217">
        <v>29.752485935654853</v>
      </c>
      <c r="Z35" s="217">
        <v>2.2919999999999998</v>
      </c>
      <c r="AA35" s="217">
        <v>2.239718125415342</v>
      </c>
      <c r="AB35" s="217">
        <v>32.18</v>
      </c>
      <c r="AC35" s="217">
        <v>31.445955181442283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34.564100000000003</v>
      </c>
      <c r="H36" s="126">
        <v>500</v>
      </c>
      <c r="I36" s="155">
        <v>599.9</v>
      </c>
      <c r="J36" s="102"/>
      <c r="K36" s="55"/>
      <c r="L36" s="55"/>
      <c r="M36" s="55"/>
      <c r="N36" s="56"/>
      <c r="O36" s="55"/>
      <c r="P36" s="102">
        <v>2.6110000000000002</v>
      </c>
      <c r="Q36" s="102"/>
      <c r="R36" s="102"/>
      <c r="S36" s="153">
        <v>113.5</v>
      </c>
      <c r="T36" s="217">
        <v>8.0000000000000002E-3</v>
      </c>
      <c r="U36" s="217">
        <v>7.8175152719558196E-3</v>
      </c>
      <c r="X36" s="217">
        <v>32.591999999999999</v>
      </c>
      <c r="Y36" s="217">
        <v>31.848557217948006</v>
      </c>
      <c r="Z36" s="217">
        <v>2.3340000000000001</v>
      </c>
      <c r="AA36" s="217">
        <v>2.2807600805931103</v>
      </c>
      <c r="AB36" s="217">
        <v>23.03</v>
      </c>
      <c r="AC36" s="217">
        <v>22.504672089142815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35.067</v>
      </c>
      <c r="H37" s="126">
        <v>300</v>
      </c>
      <c r="I37" s="155">
        <v>302.10000000000002</v>
      </c>
      <c r="J37" s="102"/>
      <c r="K37" s="55"/>
      <c r="L37" s="55"/>
      <c r="M37" s="55"/>
      <c r="N37" s="56"/>
      <c r="O37" s="55"/>
      <c r="P37" s="102">
        <v>1.915</v>
      </c>
      <c r="Q37" s="102"/>
      <c r="R37" s="102"/>
      <c r="S37" s="153">
        <v>83.3</v>
      </c>
      <c r="T37" s="217">
        <v>4.0000000000000001E-3</v>
      </c>
      <c r="U37" s="217">
        <v>3.9087576359779098E-3</v>
      </c>
      <c r="X37" s="217">
        <v>25.706</v>
      </c>
      <c r="Y37" s="217">
        <v>25.119630947612034</v>
      </c>
      <c r="Z37" s="217">
        <v>1.8069999999999999</v>
      </c>
      <c r="AA37" s="217">
        <v>1.7657812620530207</v>
      </c>
      <c r="AB37" s="217">
        <v>11.51</v>
      </c>
      <c r="AC37" s="217">
        <v>11.247450097526436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35.544800000000002</v>
      </c>
      <c r="H38" s="118">
        <v>100</v>
      </c>
      <c r="I38" s="155">
        <v>99.1</v>
      </c>
      <c r="J38" s="102"/>
      <c r="K38" s="55"/>
      <c r="L38" s="55"/>
      <c r="M38" s="55"/>
      <c r="N38" s="56"/>
      <c r="O38" s="55"/>
      <c r="P38" s="102">
        <v>3.1110000000000002</v>
      </c>
      <c r="Q38" s="102"/>
      <c r="R38" s="102"/>
      <c r="S38" s="220">
        <v>135.4</v>
      </c>
      <c r="T38" s="217">
        <v>2.4E-2</v>
      </c>
      <c r="U38" s="217">
        <v>2.3452545815867459E-2</v>
      </c>
      <c r="X38" s="217">
        <v>14.676</v>
      </c>
      <c r="Y38" s="217">
        <v>14.34123176640295</v>
      </c>
      <c r="Z38" s="217">
        <v>1.1499999999999999</v>
      </c>
      <c r="AA38" s="217">
        <v>1.123767820343649</v>
      </c>
      <c r="AB38" s="217">
        <v>6.09</v>
      </c>
      <c r="AC38" s="217">
        <v>5.9510835007763676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35.561</v>
      </c>
      <c r="H39" s="118">
        <v>80</v>
      </c>
      <c r="I39" s="155">
        <v>80.3</v>
      </c>
      <c r="J39" s="102"/>
      <c r="K39" s="55"/>
      <c r="L39" s="55"/>
      <c r="M39" s="55"/>
      <c r="N39" s="56"/>
      <c r="O39" s="55"/>
      <c r="P39" s="102">
        <v>3.1040000000000001</v>
      </c>
      <c r="Q39" s="102"/>
      <c r="R39" s="102"/>
      <c r="S39" s="220">
        <v>135.1</v>
      </c>
      <c r="T39" s="217">
        <v>3.4000000000000002E-2</v>
      </c>
      <c r="U39" s="217">
        <v>3.3224439905812232E-2</v>
      </c>
      <c r="X39" s="217">
        <v>14.366</v>
      </c>
      <c r="Y39" s="217">
        <v>14.038303049614662</v>
      </c>
      <c r="Z39" s="217">
        <v>1.151</v>
      </c>
      <c r="AA39" s="217">
        <v>1.1247450097526435</v>
      </c>
      <c r="AB39" s="217">
        <v>6.05</v>
      </c>
      <c r="AC39" s="217">
        <v>5.9119959244165878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35.563699999999997</v>
      </c>
      <c r="H40" s="118">
        <v>80</v>
      </c>
      <c r="I40" s="155">
        <v>80.8</v>
      </c>
      <c r="J40" s="102"/>
      <c r="K40" s="55"/>
      <c r="L40" s="55"/>
      <c r="M40" s="55"/>
      <c r="N40" s="56"/>
      <c r="O40" s="55"/>
      <c r="P40" s="102">
        <v>3.0880000000000001</v>
      </c>
      <c r="Q40" s="102"/>
      <c r="R40" s="102"/>
      <c r="S40" s="153">
        <v>134.4</v>
      </c>
      <c r="T40" s="217">
        <v>3.7999999999999999E-2</v>
      </c>
      <c r="U40" s="217">
        <v>3.713319754179014E-2</v>
      </c>
      <c r="X40" s="217">
        <v>14.821999999999999</v>
      </c>
      <c r="Y40" s="217">
        <v>14.483901420116144</v>
      </c>
      <c r="Z40" s="217">
        <v>1.147</v>
      </c>
      <c r="AA40" s="217">
        <v>1.1208362521166657</v>
      </c>
      <c r="AB40" s="217">
        <v>6.01</v>
      </c>
      <c r="AC40" s="217">
        <v>5.8729083480568089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35.633699999999997</v>
      </c>
      <c r="H41" s="118">
        <v>60</v>
      </c>
      <c r="I41" s="155">
        <v>60.5</v>
      </c>
      <c r="J41" s="102"/>
      <c r="K41" s="55"/>
      <c r="L41" s="55"/>
      <c r="M41" s="55"/>
      <c r="N41" s="56"/>
      <c r="O41" s="55"/>
      <c r="P41" s="102">
        <v>3.0609999999999999</v>
      </c>
      <c r="Q41" s="102"/>
      <c r="R41" s="102"/>
      <c r="S41" s="153">
        <v>133.19999999999999</v>
      </c>
      <c r="T41" s="217">
        <v>0.30099999999999999</v>
      </c>
      <c r="U41" s="217">
        <v>0.29413401210733769</v>
      </c>
      <c r="X41" s="217">
        <v>14.138999999999999</v>
      </c>
      <c r="Y41" s="217">
        <v>13.816481053772915</v>
      </c>
      <c r="Z41" s="217">
        <v>1.111</v>
      </c>
      <c r="AA41" s="217">
        <v>1.0856574333928644</v>
      </c>
      <c r="AB41" s="217">
        <v>5.46</v>
      </c>
      <c r="AC41" s="217">
        <v>5.3354541731098468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35.674900000000001</v>
      </c>
      <c r="H42" s="118">
        <v>40</v>
      </c>
      <c r="I42" s="155">
        <v>41.1</v>
      </c>
      <c r="J42" s="102"/>
      <c r="K42" s="55"/>
      <c r="L42" s="55"/>
      <c r="M42" s="55"/>
      <c r="N42" s="56"/>
      <c r="O42" s="55"/>
      <c r="P42" s="102">
        <v>3.8029999999999999</v>
      </c>
      <c r="Q42" s="102"/>
      <c r="R42" s="102"/>
      <c r="S42" s="153">
        <v>165.7</v>
      </c>
      <c r="T42" s="217">
        <v>0.29099999999999998</v>
      </c>
      <c r="U42" s="217">
        <v>0.28436211801739292</v>
      </c>
      <c r="X42" s="217">
        <v>6.8489999999999993</v>
      </c>
      <c r="Y42" s="217">
        <v>6.6927702622031751</v>
      </c>
      <c r="Z42" s="217">
        <v>0.66900000000000004</v>
      </c>
      <c r="AA42" s="217">
        <v>0.6537397146173054</v>
      </c>
      <c r="AB42" s="217">
        <v>3.08</v>
      </c>
      <c r="AC42" s="217">
        <v>3.0097433797029907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35.655700000000003</v>
      </c>
      <c r="H43" s="118">
        <v>20</v>
      </c>
      <c r="I43" s="155">
        <v>20.8</v>
      </c>
      <c r="J43" s="102"/>
      <c r="K43" s="55"/>
      <c r="L43" s="55"/>
      <c r="M43" s="55"/>
      <c r="N43" s="56"/>
      <c r="O43" s="55"/>
      <c r="P43" s="102">
        <v>4.7729999999999997</v>
      </c>
      <c r="Q43" s="102"/>
      <c r="R43" s="102"/>
      <c r="S43" s="153">
        <v>208.1</v>
      </c>
      <c r="T43" s="217">
        <v>2.7000000000000003E-2</v>
      </c>
      <c r="U43" s="217">
        <v>2.6384114042850893E-2</v>
      </c>
      <c r="X43" s="217">
        <v>0.373</v>
      </c>
      <c r="Y43" s="217">
        <v>0.36449164955494007</v>
      </c>
      <c r="Z43" s="217">
        <v>0.20399999999999996</v>
      </c>
      <c r="AA43" s="217">
        <v>0.19934663943487335</v>
      </c>
      <c r="AB43" s="217">
        <v>1.4</v>
      </c>
      <c r="AC43" s="217">
        <v>1.3680651725922683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35.645699999999998</v>
      </c>
      <c r="H44" s="118">
        <v>10</v>
      </c>
      <c r="I44" s="155">
        <v>11.5</v>
      </c>
      <c r="J44" s="102"/>
      <c r="K44" s="55"/>
      <c r="L44" s="55"/>
      <c r="M44" s="55"/>
      <c r="N44" s="56"/>
      <c r="O44" s="55"/>
      <c r="P44" s="102">
        <v>4.7859999999999996</v>
      </c>
      <c r="Q44" s="102"/>
      <c r="R44" s="102"/>
      <c r="S44" s="153">
        <v>208.7</v>
      </c>
      <c r="T44" s="217">
        <v>9.0000000000000011E-3</v>
      </c>
      <c r="U44" s="217">
        <v>8.7947046809502983E-3</v>
      </c>
      <c r="X44" s="217">
        <v>6.1000000000000006E-2</v>
      </c>
      <c r="Y44" s="217">
        <v>5.9608553948663129E-2</v>
      </c>
      <c r="Z44" s="217">
        <v>0.16399999999999998</v>
      </c>
      <c r="AA44" s="217">
        <v>0.16025906307509427</v>
      </c>
      <c r="AB44" s="217">
        <v>1.26</v>
      </c>
      <c r="AC44" s="217">
        <v>1.2312586553330416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35.646999999999998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4.7949999999999999</v>
      </c>
      <c r="Q45" s="102"/>
      <c r="R45" s="102"/>
      <c r="S45" s="153">
        <v>209.1</v>
      </c>
      <c r="T45" s="217">
        <v>2.1999999999999999E-2</v>
      </c>
      <c r="U45" s="217">
        <v>2.1498166997878501E-2</v>
      </c>
      <c r="X45" s="217">
        <v>5.8000000000000003E-2</v>
      </c>
      <c r="Y45" s="217">
        <v>5.6676985721679694E-2</v>
      </c>
      <c r="Z45" s="217">
        <v>0.16299999999999998</v>
      </c>
      <c r="AA45" s="217">
        <v>0.1592818736660998</v>
      </c>
      <c r="AB45" s="217">
        <v>1.22</v>
      </c>
      <c r="AC45" s="217">
        <v>1.1921710789732625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24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37874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30.06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-1°30,06</v>
      </c>
      <c r="P9" s="39" t="s">
        <v>53</v>
      </c>
      <c r="Q9" s="201">
        <f>IF(ISBLANK(I9),"",IF(ISBLANK(J9),"",IF(J9&gt;60,"ERREUR !!",O11*(I9+(J9/60)))))</f>
        <v>-1.5009999999999999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7.0000000000000007E-2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0°0,07</v>
      </c>
      <c r="P10" s="39" t="s">
        <v>54</v>
      </c>
      <c r="Q10" s="201">
        <f>IF(ISBLANK(I10),"",IF(ISBLANK(J10),"",IF(J10&gt;60,"ERREUR !!",O12*(I10+(J10/60)))))</f>
        <v>1.1666666666666668E-3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37874</v>
      </c>
      <c r="K11" s="72"/>
      <c r="L11" s="72"/>
      <c r="M11" s="72"/>
      <c r="N11" s="73" t="str">
        <f>I9&amp;"°"&amp;J9</f>
        <v>1°30,06</v>
      </c>
      <c r="O11" s="74">
        <f>IF(P9=M10,-1,1)</f>
        <v>-1</v>
      </c>
      <c r="P11" s="185" t="str">
        <f>TEXT(J11,"aaaa-mm-jj")&amp;"T"&amp;TEXT(J12,"hh:mm:ss")&amp;"z"</f>
        <v>2007-09-11T00:30:00z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2.0833333333333332E-2</v>
      </c>
      <c r="K12" s="75"/>
      <c r="L12" s="75"/>
      <c r="M12" s="75"/>
      <c r="N12" s="76" t="str">
        <f>I10&amp;"°"&amp;J10</f>
        <v>0°0,07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34.592700000000001</v>
      </c>
      <c r="H35" s="126">
        <v>1000</v>
      </c>
      <c r="I35" s="155">
        <v>1002</v>
      </c>
      <c r="J35" s="127"/>
      <c r="K35" s="128"/>
      <c r="L35" s="128"/>
      <c r="M35" s="128"/>
      <c r="N35" s="129"/>
      <c r="O35" s="128"/>
      <c r="P35" s="127">
        <v>3.472</v>
      </c>
      <c r="Q35" s="127"/>
      <c r="R35" s="127"/>
      <c r="S35" s="153">
        <v>151</v>
      </c>
      <c r="T35" s="217">
        <v>2.0000000000000018E-3</v>
      </c>
      <c r="U35" s="217">
        <v>1.9543788179889566E-3</v>
      </c>
      <c r="X35" s="217">
        <v>30.878</v>
      </c>
      <c r="Y35" s="217">
        <v>30.173654570931472</v>
      </c>
      <c r="Z35" s="217">
        <v>2.31</v>
      </c>
      <c r="AA35" s="217">
        <v>2.2573075347772429</v>
      </c>
      <c r="AB35" s="217">
        <v>32.17</v>
      </c>
      <c r="AC35" s="217">
        <v>31.436183287352339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34.566499999999998</v>
      </c>
      <c r="H36" s="126">
        <v>500</v>
      </c>
      <c r="I36" s="155">
        <v>600</v>
      </c>
      <c r="J36" s="102"/>
      <c r="K36" s="55"/>
      <c r="L36" s="55"/>
      <c r="M36" s="55"/>
      <c r="N36" s="56"/>
      <c r="O36" s="55"/>
      <c r="P36" s="102">
        <v>2.9089999999999998</v>
      </c>
      <c r="Q36" s="102"/>
      <c r="R36" s="102"/>
      <c r="S36" s="153">
        <v>126.5</v>
      </c>
      <c r="T36" s="217">
        <v>0</v>
      </c>
      <c r="U36" s="217">
        <v>0</v>
      </c>
      <c r="X36" s="217">
        <v>31.04</v>
      </c>
      <c r="Y36" s="217">
        <v>30.331959255188579</v>
      </c>
      <c r="Z36" s="217">
        <v>2.173</v>
      </c>
      <c r="AA36" s="217">
        <v>2.1234325857449994</v>
      </c>
      <c r="AB36" s="217">
        <v>21.55</v>
      </c>
      <c r="AC36" s="217">
        <v>21.058431763830988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34.982999999999997</v>
      </c>
      <c r="H37" s="126">
        <v>300</v>
      </c>
      <c r="I37" s="155">
        <v>300</v>
      </c>
      <c r="J37" s="102"/>
      <c r="K37" s="55"/>
      <c r="L37" s="55"/>
      <c r="M37" s="55"/>
      <c r="N37" s="56"/>
      <c r="O37" s="55"/>
      <c r="P37" s="102">
        <v>1.5649999999999999</v>
      </c>
      <c r="Q37" s="102"/>
      <c r="R37" s="102"/>
      <c r="S37" s="153">
        <v>68.099999999999994</v>
      </c>
      <c r="T37" s="217">
        <v>2.0000000000000018E-3</v>
      </c>
      <c r="U37" s="217">
        <v>1.9543788179889566E-3</v>
      </c>
      <c r="X37" s="217">
        <v>29.448</v>
      </c>
      <c r="Y37" s="217">
        <v>28.776273716069372</v>
      </c>
      <c r="Z37" s="217">
        <v>2.0190000000000001</v>
      </c>
      <c r="AA37" s="217">
        <v>1.9729454167598499</v>
      </c>
      <c r="AB37" s="217">
        <v>13.81</v>
      </c>
      <c r="AC37" s="217">
        <v>13.494985738213733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35.567700000000002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3.23</v>
      </c>
      <c r="Q38" s="102"/>
      <c r="R38" s="102"/>
      <c r="S38" s="220">
        <v>140.6</v>
      </c>
      <c r="T38" s="217">
        <v>3.6999999999999998E-2</v>
      </c>
      <c r="U38" s="217">
        <v>3.615600813279566E-2</v>
      </c>
      <c r="X38" s="217">
        <v>14.423</v>
      </c>
      <c r="Y38" s="217">
        <v>14.094002845927347</v>
      </c>
      <c r="Z38" s="217">
        <v>1.121</v>
      </c>
      <c r="AA38" s="217">
        <v>1.0954293274828091</v>
      </c>
      <c r="AB38" s="217">
        <v>6.18</v>
      </c>
      <c r="AC38" s="217">
        <v>6.0390305475858703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35.573599999999999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3.0880000000000001</v>
      </c>
      <c r="Q39" s="102"/>
      <c r="R39" s="102"/>
      <c r="S39" s="220">
        <v>134.4</v>
      </c>
      <c r="T39" s="217">
        <v>0.05</v>
      </c>
      <c r="U39" s="217">
        <v>4.8859470449723871E-2</v>
      </c>
      <c r="X39" s="217">
        <v>14.84</v>
      </c>
      <c r="Y39" s="217">
        <v>14.501490829478044</v>
      </c>
      <c r="Z39" s="217">
        <v>1.1419999999999999</v>
      </c>
      <c r="AA39" s="217">
        <v>1.115950305071693</v>
      </c>
      <c r="AB39" s="217">
        <v>6.03</v>
      </c>
      <c r="AC39" s="217">
        <v>5.8924521362366988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35.631799999999998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2.956</v>
      </c>
      <c r="Q40" s="102"/>
      <c r="R40" s="102"/>
      <c r="S40" s="153">
        <v>128.69999999999999</v>
      </c>
      <c r="T40" s="217">
        <v>9.7000000000000003E-2</v>
      </c>
      <c r="U40" s="217">
        <v>9.4787372672464315E-2</v>
      </c>
      <c r="X40" s="217">
        <v>14.883000000000001</v>
      </c>
      <c r="Y40" s="217">
        <v>14.543509974064808</v>
      </c>
      <c r="Z40" s="217">
        <v>1.1379999999999999</v>
      </c>
      <c r="AA40" s="217">
        <v>1.1120415474357153</v>
      </c>
      <c r="AB40" s="217">
        <v>5.71</v>
      </c>
      <c r="AC40" s="217">
        <v>5.579751525358466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35.6355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2.9289999999999998</v>
      </c>
      <c r="Q41" s="102"/>
      <c r="R41" s="102"/>
      <c r="S41" s="153">
        <v>127.5</v>
      </c>
      <c r="T41" s="217">
        <v>0.10299999999999999</v>
      </c>
      <c r="U41" s="217">
        <v>0.10065050912643117</v>
      </c>
      <c r="X41" s="217">
        <v>14.947000000000001</v>
      </c>
      <c r="Y41" s="217">
        <v>14.606050096240455</v>
      </c>
      <c r="Z41" s="217">
        <v>1.153</v>
      </c>
      <c r="AA41" s="217">
        <v>1.1266993885706325</v>
      </c>
      <c r="AB41" s="217">
        <v>5.7</v>
      </c>
      <c r="AC41" s="217">
        <v>5.569979631268521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35.679699999999997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3.294</v>
      </c>
      <c r="Q42" s="102"/>
      <c r="R42" s="102"/>
      <c r="S42" s="153">
        <v>143.4</v>
      </c>
      <c r="T42" s="217">
        <v>0.53100000000000003</v>
      </c>
      <c r="U42" s="217">
        <v>0.51888757617606751</v>
      </c>
      <c r="X42" s="217">
        <v>10.558999999999999</v>
      </c>
      <c r="Y42" s="217">
        <v>10.318142969572687</v>
      </c>
      <c r="Z42" s="217">
        <v>0.90200000000000002</v>
      </c>
      <c r="AA42" s="217">
        <v>0.88142484691301859</v>
      </c>
      <c r="AB42" s="217">
        <v>3.95</v>
      </c>
      <c r="AC42" s="217">
        <v>3.8598981655281861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35.522799999999997</v>
      </c>
      <c r="H43" s="118">
        <v>20</v>
      </c>
      <c r="I43" s="155">
        <v>21</v>
      </c>
      <c r="J43" s="102"/>
      <c r="K43" s="55"/>
      <c r="L43" s="55"/>
      <c r="M43" s="55"/>
      <c r="N43" s="56"/>
      <c r="O43" s="55"/>
      <c r="P43" s="102">
        <v>4.7</v>
      </c>
      <c r="Q43" s="102"/>
      <c r="R43" s="102"/>
      <c r="S43" s="153">
        <v>205</v>
      </c>
      <c r="T43" s="217">
        <v>0.01</v>
      </c>
      <c r="U43" s="217">
        <v>9.7718940899447753E-3</v>
      </c>
      <c r="X43" s="217">
        <v>0.44</v>
      </c>
      <c r="Y43" s="217">
        <v>0.42996333995757008</v>
      </c>
      <c r="Z43" s="217">
        <v>8.3000000000000004E-2</v>
      </c>
      <c r="AA43" s="217">
        <v>8.110672094654163E-2</v>
      </c>
      <c r="AB43" s="217">
        <v>1.2</v>
      </c>
      <c r="AC43" s="217">
        <v>1.1726272907933728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35.446899999999999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4.508</v>
      </c>
      <c r="Q44" s="102"/>
      <c r="R44" s="102"/>
      <c r="S44" s="153">
        <v>196.7</v>
      </c>
      <c r="T44" s="217">
        <v>0</v>
      </c>
      <c r="U44" s="217">
        <v>0</v>
      </c>
      <c r="X44" s="217">
        <v>0.26</v>
      </c>
      <c r="Y44" s="217">
        <v>0.25406924633856415</v>
      </c>
      <c r="Z44" s="217">
        <v>3.2000000000000001E-2</v>
      </c>
      <c r="AA44" s="217">
        <v>3.1270061087823278E-2</v>
      </c>
      <c r="AB44" s="217">
        <v>0.86</v>
      </c>
      <c r="AC44" s="217">
        <v>0.8403828917352506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35.4435</v>
      </c>
      <c r="H45" s="118">
        <v>0</v>
      </c>
      <c r="I45" s="155">
        <v>1</v>
      </c>
      <c r="J45" s="102"/>
      <c r="K45" s="55"/>
      <c r="L45" s="55"/>
      <c r="M45" s="55"/>
      <c r="N45" s="56"/>
      <c r="O45" s="55"/>
      <c r="P45" s="102">
        <v>4.6239999999999997</v>
      </c>
      <c r="Q45" s="102"/>
      <c r="R45" s="102"/>
      <c r="S45" s="153">
        <v>201.7</v>
      </c>
      <c r="T45" s="217">
        <v>0</v>
      </c>
      <c r="U45" s="217">
        <v>0</v>
      </c>
      <c r="X45" s="217">
        <v>0.2</v>
      </c>
      <c r="Y45" s="217">
        <v>0.19543788179889549</v>
      </c>
      <c r="Z45" s="217">
        <v>2.5999999999999995E-2</v>
      </c>
      <c r="AA45" s="217">
        <v>2.5406924633856409E-2</v>
      </c>
      <c r="AB45" s="217">
        <v>0.77</v>
      </c>
      <c r="AC45" s="217">
        <v>0.75243584492574767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25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37874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59.91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-0°59,91</v>
      </c>
      <c r="P9" s="39" t="s">
        <v>53</v>
      </c>
      <c r="Q9" s="201">
        <f>IF(ISBLANK(I9),"",IF(ISBLANK(J9),"",IF(J9&gt;60,"ERREUR !!",O11*(I9+(J9/60)))))</f>
        <v>-0.99849999999999994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0.05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-0°0,05</v>
      </c>
      <c r="P10" s="39" t="s">
        <v>55</v>
      </c>
      <c r="Q10" s="201">
        <f>IF(ISBLANK(I10),"",IF(ISBLANK(J10),"",IF(J10&gt;60,"ERREUR !!",O12*(I10+(J10/60)))))</f>
        <v>-8.3333333333333339E-4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37874</v>
      </c>
      <c r="K11" s="72"/>
      <c r="L11" s="72"/>
      <c r="M11" s="72"/>
      <c r="N11" s="73" t="str">
        <f>I9&amp;"°"&amp;J9</f>
        <v>0°59,91</v>
      </c>
      <c r="O11" s="74">
        <f>IF(P9=M10,-1,1)</f>
        <v>-1</v>
      </c>
      <c r="P11" s="185" t="str">
        <f>TEXT(J11,"aaaa-mm-jj")&amp;"T"&amp;TEXT(J12,"hh:mm:ss")&amp;"z"</f>
        <v>2007-09-11T05:30:00z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0.22916666666666666</v>
      </c>
      <c r="K12" s="75"/>
      <c r="L12" s="75"/>
      <c r="M12" s="75"/>
      <c r="N12" s="76" t="str">
        <f>I10&amp;"°"&amp;J10</f>
        <v>0°0,05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34.959800000000001</v>
      </c>
      <c r="H35" s="126">
        <v>1000</v>
      </c>
      <c r="I35" s="155">
        <v>2002.8</v>
      </c>
      <c r="J35" s="127"/>
      <c r="K35" s="128"/>
      <c r="L35" s="128"/>
      <c r="M35" s="128"/>
      <c r="N35" s="129"/>
      <c r="O35" s="128"/>
      <c r="P35" s="127">
        <v>5.4240000000000004</v>
      </c>
      <c r="Q35" s="127"/>
      <c r="R35" s="127"/>
      <c r="S35" s="153">
        <v>235.7</v>
      </c>
      <c r="T35" s="217">
        <v>0</v>
      </c>
      <c r="U35" s="217">
        <v>0</v>
      </c>
      <c r="X35" s="217">
        <v>21.74</v>
      </c>
      <c r="Y35" s="217">
        <v>21.244097751539936</v>
      </c>
      <c r="Z35" s="217">
        <v>1.3979999999999999</v>
      </c>
      <c r="AA35" s="217">
        <v>1.3661107937742794</v>
      </c>
      <c r="AB35" s="217">
        <v>23.73</v>
      </c>
      <c r="AC35" s="217">
        <v>23.188704675438949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34.608800000000002</v>
      </c>
      <c r="H36" s="126">
        <v>500</v>
      </c>
      <c r="I36" s="155">
        <v>1000.7</v>
      </c>
      <c r="J36" s="102"/>
      <c r="K36" s="55"/>
      <c r="L36" s="55"/>
      <c r="M36" s="55"/>
      <c r="N36" s="56"/>
      <c r="O36" s="55"/>
      <c r="P36" s="102">
        <v>3.4350000000000001</v>
      </c>
      <c r="Q36" s="102"/>
      <c r="R36" s="102"/>
      <c r="S36" s="153">
        <v>149.4</v>
      </c>
      <c r="T36" s="217">
        <v>0</v>
      </c>
      <c r="U36" s="217">
        <v>0</v>
      </c>
      <c r="X36" s="217">
        <v>34.44</v>
      </c>
      <c r="Y36" s="217">
        <v>33.654403245769799</v>
      </c>
      <c r="Z36" s="217">
        <v>2.2229999999999999</v>
      </c>
      <c r="AA36" s="217">
        <v>2.1722920561947232</v>
      </c>
      <c r="AB36" s="217">
        <v>30.82</v>
      </c>
      <c r="AC36" s="217">
        <v>30.116977585209792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34.580599999999997</v>
      </c>
      <c r="H37" s="126">
        <v>300</v>
      </c>
      <c r="I37" s="155">
        <v>600.70000000000005</v>
      </c>
      <c r="J37" s="102"/>
      <c r="K37" s="55"/>
      <c r="L37" s="55"/>
      <c r="M37" s="55"/>
      <c r="N37" s="56"/>
      <c r="O37" s="55"/>
      <c r="P37" s="102">
        <v>2.819</v>
      </c>
      <c r="Q37" s="102"/>
      <c r="R37" s="102"/>
      <c r="S37" s="153">
        <v>122.6</v>
      </c>
      <c r="T37" s="217">
        <v>0</v>
      </c>
      <c r="U37" s="217">
        <v>0</v>
      </c>
      <c r="X37" s="217">
        <v>35.409999999999997</v>
      </c>
      <c r="Y37" s="217">
        <v>34.602276972494444</v>
      </c>
      <c r="Z37" s="217">
        <v>2.1909999999999998</v>
      </c>
      <c r="AA37" s="217">
        <v>2.1410219951068998</v>
      </c>
      <c r="AB37" s="217">
        <v>22.23</v>
      </c>
      <c r="AC37" s="217">
        <v>21.722920561947234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35.561599999999999</v>
      </c>
      <c r="H38" s="118">
        <v>100</v>
      </c>
      <c r="I38" s="155">
        <v>100.6</v>
      </c>
      <c r="J38" s="102"/>
      <c r="K38" s="55"/>
      <c r="L38" s="55"/>
      <c r="M38" s="55"/>
      <c r="N38" s="56"/>
      <c r="O38" s="55"/>
      <c r="P38" s="102">
        <v>3.335</v>
      </c>
      <c r="Q38" s="102"/>
      <c r="R38" s="102"/>
      <c r="S38" s="220">
        <v>145.1</v>
      </c>
      <c r="T38" s="217">
        <v>1.8000000000000002E-2</v>
      </c>
      <c r="U38" s="217">
        <v>1.7589409361900597E-2</v>
      </c>
      <c r="X38" s="217">
        <v>15.571999999999999</v>
      </c>
      <c r="Y38" s="217">
        <v>15.216793476862001</v>
      </c>
      <c r="Z38" s="217">
        <v>1.0609999999999999</v>
      </c>
      <c r="AA38" s="217">
        <v>1.0367979629431405</v>
      </c>
      <c r="AB38" s="217">
        <v>6.13</v>
      </c>
      <c r="AC38" s="217">
        <v>5.9901710771361465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35.575000000000003</v>
      </c>
      <c r="H39" s="118">
        <v>80</v>
      </c>
      <c r="I39" s="155">
        <v>80.900000000000006</v>
      </c>
      <c r="J39" s="102"/>
      <c r="K39" s="55"/>
      <c r="L39" s="55"/>
      <c r="M39" s="55"/>
      <c r="N39" s="56"/>
      <c r="O39" s="55"/>
      <c r="P39" s="102">
        <v>3.4340000000000002</v>
      </c>
      <c r="Q39" s="102"/>
      <c r="R39" s="102"/>
      <c r="S39" s="220">
        <v>149.5</v>
      </c>
      <c r="T39" s="217">
        <v>2.4E-2</v>
      </c>
      <c r="U39" s="217">
        <v>2.3452545815867459E-2</v>
      </c>
      <c r="X39" s="217">
        <v>14.966000000000001</v>
      </c>
      <c r="Y39" s="217">
        <v>14.624616695011349</v>
      </c>
      <c r="Z39" s="217">
        <v>1.0269999999999999</v>
      </c>
      <c r="AA39" s="217">
        <v>1.0035735230373282</v>
      </c>
      <c r="AB39" s="217">
        <v>5.88</v>
      </c>
      <c r="AC39" s="217">
        <v>5.7458737248875273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35.744799999999998</v>
      </c>
      <c r="H40" s="118">
        <v>60</v>
      </c>
      <c r="I40" s="155">
        <v>60.3</v>
      </c>
      <c r="J40" s="102"/>
      <c r="K40" s="55"/>
      <c r="L40" s="55"/>
      <c r="M40" s="55"/>
      <c r="N40" s="56"/>
      <c r="O40" s="55"/>
      <c r="P40" s="102">
        <v>2.8780000000000001</v>
      </c>
      <c r="Q40" s="102"/>
      <c r="R40" s="102"/>
      <c r="S40" s="153">
        <v>125.3</v>
      </c>
      <c r="T40" s="217">
        <v>0.38600000000000001</v>
      </c>
      <c r="U40" s="217">
        <v>0.37719511187186827</v>
      </c>
      <c r="X40" s="217">
        <v>14.554</v>
      </c>
      <c r="Y40" s="217">
        <v>14.222014658505625</v>
      </c>
      <c r="Z40" s="217">
        <v>1.0249999999999999</v>
      </c>
      <c r="AA40" s="217">
        <v>1.0016191442193392</v>
      </c>
      <c r="AB40" s="217">
        <v>4.6500000000000004</v>
      </c>
      <c r="AC40" s="217">
        <v>4.5439307518243206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35.779400000000003</v>
      </c>
      <c r="H41" s="118">
        <v>40</v>
      </c>
      <c r="I41" s="155">
        <v>40.299999999999997</v>
      </c>
      <c r="J41" s="102"/>
      <c r="K41" s="55"/>
      <c r="L41" s="55"/>
      <c r="M41" s="55"/>
      <c r="N41" s="56"/>
      <c r="O41" s="55"/>
      <c r="P41" s="102">
        <v>3.9009999999999998</v>
      </c>
      <c r="Q41" s="102"/>
      <c r="R41" s="102"/>
      <c r="S41" s="153">
        <v>169.9</v>
      </c>
      <c r="T41" s="217">
        <v>0.47399999999999998</v>
      </c>
      <c r="U41" s="217">
        <v>0.46318777986338228</v>
      </c>
      <c r="X41" s="217">
        <v>6.6760000000000002</v>
      </c>
      <c r="Y41" s="217">
        <v>6.5237164944471315</v>
      </c>
      <c r="Z41" s="217">
        <v>0.55600000000000005</v>
      </c>
      <c r="AA41" s="217">
        <v>0.54331731140092954</v>
      </c>
      <c r="AB41" s="217">
        <v>2.99</v>
      </c>
      <c r="AC41" s="217">
        <v>2.9217963328934875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35.771599999999999</v>
      </c>
      <c r="H42" s="118">
        <v>40</v>
      </c>
      <c r="I42" s="155">
        <v>40.4</v>
      </c>
      <c r="J42" s="102"/>
      <c r="K42" s="55"/>
      <c r="L42" s="55"/>
      <c r="M42" s="55"/>
      <c r="N42" s="56"/>
      <c r="O42" s="55"/>
      <c r="P42" s="102">
        <v>3.9079999999999999</v>
      </c>
      <c r="Q42" s="102"/>
      <c r="R42" s="102"/>
      <c r="S42" s="153">
        <v>170.2</v>
      </c>
      <c r="T42" s="217">
        <v>0.46699999999999997</v>
      </c>
      <c r="U42" s="217">
        <v>0.45634745400042093</v>
      </c>
      <c r="X42" s="217">
        <v>6.5529999999999999</v>
      </c>
      <c r="Y42" s="217">
        <v>6.4035221971408101</v>
      </c>
      <c r="Z42" s="217">
        <v>0.53800000000000003</v>
      </c>
      <c r="AA42" s="217">
        <v>0.52572790203902886</v>
      </c>
      <c r="AB42" s="217">
        <v>2.88</v>
      </c>
      <c r="AC42" s="217">
        <v>2.8143054979040949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35.4026</v>
      </c>
      <c r="H43" s="118">
        <v>20</v>
      </c>
      <c r="I43" s="155">
        <v>20.2</v>
      </c>
      <c r="J43" s="102"/>
      <c r="K43" s="55"/>
      <c r="L43" s="55"/>
      <c r="M43" s="55"/>
      <c r="N43" s="56"/>
      <c r="O43" s="55"/>
      <c r="P43" s="102">
        <v>4.5469999999999997</v>
      </c>
      <c r="Q43" s="102"/>
      <c r="R43" s="102"/>
      <c r="S43" s="153">
        <v>198.4</v>
      </c>
      <c r="T43" s="217">
        <v>1.0000000000000009E-3</v>
      </c>
      <c r="U43" s="217">
        <v>9.7718940899447831E-4</v>
      </c>
      <c r="X43" s="217">
        <v>0.25900000000000001</v>
      </c>
      <c r="Y43" s="217">
        <v>0.25309205692956965</v>
      </c>
      <c r="Z43" s="217">
        <v>3.7000000000000005E-2</v>
      </c>
      <c r="AA43" s="217">
        <v>3.6156008132795667E-2</v>
      </c>
      <c r="AB43" s="217">
        <v>0.9</v>
      </c>
      <c r="AC43" s="217">
        <v>0.87947046809502971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35.398000000000003</v>
      </c>
      <c r="H44" s="118">
        <v>10</v>
      </c>
      <c r="I44" s="155">
        <v>11.6</v>
      </c>
      <c r="J44" s="102"/>
      <c r="K44" s="55"/>
      <c r="L44" s="55"/>
      <c r="M44" s="55"/>
      <c r="N44" s="56"/>
      <c r="O44" s="55"/>
      <c r="P44" s="102">
        <v>4.5469999999999997</v>
      </c>
      <c r="Q44" s="102"/>
      <c r="R44" s="102"/>
      <c r="S44" s="153">
        <v>198.4</v>
      </c>
      <c r="T44" s="217">
        <v>0</v>
      </c>
      <c r="U44" s="217">
        <v>0</v>
      </c>
      <c r="X44" s="217">
        <v>0.22</v>
      </c>
      <c r="Y44" s="217">
        <v>0.21498166997878504</v>
      </c>
      <c r="Z44" s="217">
        <v>2.7999999999999997E-2</v>
      </c>
      <c r="AA44" s="217">
        <v>2.7361303451845363E-2</v>
      </c>
      <c r="AB44" s="217">
        <v>0.87</v>
      </c>
      <c r="AC44" s="217">
        <v>0.85015478582519532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35.399099999999997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4.625</v>
      </c>
      <c r="Q45" s="102"/>
      <c r="R45" s="102"/>
      <c r="S45" s="153">
        <v>201.8</v>
      </c>
      <c r="T45" s="217">
        <v>0</v>
      </c>
      <c r="U45" s="217">
        <v>0</v>
      </c>
      <c r="X45" s="217">
        <v>0.23</v>
      </c>
      <c r="Y45" s="217">
        <v>0.22475356406872982</v>
      </c>
      <c r="Z45" s="217">
        <v>3.2000000000000001E-2</v>
      </c>
      <c r="AA45" s="217">
        <v>3.1270061087823278E-2</v>
      </c>
      <c r="AB45" s="217">
        <v>0.92</v>
      </c>
      <c r="AC45" s="217">
        <v>0.89901425627491927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26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29.93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-0°29,93</v>
      </c>
      <c r="P9" s="39" t="s">
        <v>53</v>
      </c>
      <c r="Q9" s="201">
        <f>IF(ISBLANK(I9),"",IF(ISBLANK(J9),"",IF(J9&gt;60,"ERREUR !!",O11*(I9+(J9/60)))))</f>
        <v>-0.49883333333333335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0.01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0°0,01</v>
      </c>
      <c r="P10" s="39" t="s">
        <v>54</v>
      </c>
      <c r="Q10" s="201">
        <f>IF(ISBLANK(I10),"",IF(ISBLANK(J10),"",IF(J10&gt;60,"ERREUR !!",O12*(I10+(J10/60)))))</f>
        <v>1.6666666666666666E-4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37874</v>
      </c>
      <c r="K11" s="72"/>
      <c r="L11" s="72"/>
      <c r="M11" s="72"/>
      <c r="N11" s="73" t="str">
        <f>I9&amp;"°"&amp;J9</f>
        <v>0°29,93</v>
      </c>
      <c r="O11" s="74">
        <f>IF(P9=M10,-1,1)</f>
        <v>-1</v>
      </c>
      <c r="P11" s="185" t="str">
        <f>TEXT(J11,"aaaa-mm-jj")&amp;"T"&amp;TEXT(J12,"hh:mm:ss")&amp;"z"</f>
        <v>2007-09-11T12:00:00z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</v>
      </c>
      <c r="K12" s="75"/>
      <c r="L12" s="75"/>
      <c r="M12" s="75"/>
      <c r="N12" s="76" t="str">
        <f>I10&amp;"°"&amp;J10</f>
        <v>0°0,01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34.931899999999999</v>
      </c>
      <c r="H35" s="126">
        <v>1000</v>
      </c>
      <c r="I35" s="155">
        <v>2001</v>
      </c>
      <c r="J35" s="127"/>
      <c r="K35" s="128"/>
      <c r="L35" s="128"/>
      <c r="M35" s="128"/>
      <c r="N35" s="129"/>
      <c r="O35" s="128"/>
      <c r="P35" s="127">
        <v>5.4740000000000002</v>
      </c>
      <c r="Q35" s="127"/>
      <c r="R35" s="127"/>
      <c r="S35" s="153">
        <v>237.9</v>
      </c>
      <c r="T35" s="217">
        <v>0</v>
      </c>
      <c r="U35" s="217">
        <v>0</v>
      </c>
      <c r="X35" s="217">
        <v>21.62</v>
      </c>
      <c r="Y35" s="217">
        <v>21.126835022460604</v>
      </c>
      <c r="Z35" s="217">
        <v>1.39</v>
      </c>
      <c r="AA35" s="217">
        <v>1.3582932785023234</v>
      </c>
      <c r="AB35" s="217">
        <v>23.86</v>
      </c>
      <c r="AC35" s="217">
        <v>23.315739298608229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34.606999999999999</v>
      </c>
      <c r="H36" s="126">
        <v>500</v>
      </c>
      <c r="I36" s="155">
        <v>1000</v>
      </c>
      <c r="J36" s="102"/>
      <c r="K36" s="55"/>
      <c r="L36" s="55"/>
      <c r="M36" s="55"/>
      <c r="N36" s="56"/>
      <c r="O36" s="55"/>
      <c r="P36" s="102">
        <v>3.4039999999999999</v>
      </c>
      <c r="Q36" s="102"/>
      <c r="R36" s="102"/>
      <c r="S36" s="153">
        <v>148</v>
      </c>
      <c r="T36" s="217">
        <v>0</v>
      </c>
      <c r="U36" s="217">
        <v>0</v>
      </c>
      <c r="X36" s="217">
        <v>35.15</v>
      </c>
      <c r="Y36" s="217">
        <v>34.348207726155877</v>
      </c>
      <c r="Z36" s="217">
        <v>2.266</v>
      </c>
      <c r="AA36" s="217">
        <v>2.214311200781486</v>
      </c>
      <c r="AB36" s="217">
        <v>31.05</v>
      </c>
      <c r="AC36" s="217">
        <v>30.341731149278523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34.687399999999997</v>
      </c>
      <c r="H37" s="126">
        <v>300</v>
      </c>
      <c r="I37" s="155">
        <v>600</v>
      </c>
      <c r="J37" s="102"/>
      <c r="K37" s="55"/>
      <c r="L37" s="55"/>
      <c r="M37" s="55"/>
      <c r="N37" s="56"/>
      <c r="O37" s="55"/>
      <c r="P37" s="102">
        <v>2.9329999999999998</v>
      </c>
      <c r="Q37" s="102"/>
      <c r="R37" s="102"/>
      <c r="S37" s="153">
        <v>127.5</v>
      </c>
      <c r="T37" s="217">
        <v>0</v>
      </c>
      <c r="U37" s="217">
        <v>0</v>
      </c>
      <c r="X37" s="217">
        <v>34.78</v>
      </c>
      <c r="Y37" s="217">
        <v>33.986647644827926</v>
      </c>
      <c r="Z37" s="217">
        <v>2.141</v>
      </c>
      <c r="AA37" s="217">
        <v>2.092162524657176</v>
      </c>
      <c r="AB37" s="217">
        <v>21.09</v>
      </c>
      <c r="AC37" s="217">
        <v>20.60892463569353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35.590600000000002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3.53</v>
      </c>
      <c r="Q38" s="102"/>
      <c r="R38" s="102"/>
      <c r="S38" s="220">
        <v>153.6</v>
      </c>
      <c r="T38" s="217">
        <v>2.7000000000000003E-2</v>
      </c>
      <c r="U38" s="217">
        <v>2.6384114042850893E-2</v>
      </c>
      <c r="X38" s="217">
        <v>14.813000000000001</v>
      </c>
      <c r="Y38" s="217">
        <v>14.475106715435194</v>
      </c>
      <c r="Z38" s="217">
        <v>1.014</v>
      </c>
      <c r="AA38" s="217">
        <v>0.99087006072040007</v>
      </c>
      <c r="AB38" s="217">
        <v>5.75</v>
      </c>
      <c r="AC38" s="217">
        <v>5.6188391017182449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35.712899999999998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3.359</v>
      </c>
      <c r="Q39" s="102"/>
      <c r="R39" s="102"/>
      <c r="S39" s="220">
        <v>146.19999999999999</v>
      </c>
      <c r="T39" s="217">
        <v>8.7999999999999995E-2</v>
      </c>
      <c r="U39" s="217">
        <v>8.5992667991514005E-2</v>
      </c>
      <c r="X39" s="217">
        <v>15.022</v>
      </c>
      <c r="Y39" s="217">
        <v>14.679339301915039</v>
      </c>
      <c r="Z39" s="217">
        <v>1.01</v>
      </c>
      <c r="AA39" s="217">
        <v>0.9869613030844222</v>
      </c>
      <c r="AB39" s="217">
        <v>5.05</v>
      </c>
      <c r="AC39" s="217">
        <v>4.9348065154221104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35.872999999999998</v>
      </c>
      <c r="H40" s="118">
        <v>60</v>
      </c>
      <c r="I40" s="155">
        <v>61</v>
      </c>
      <c r="J40" s="102"/>
      <c r="K40" s="55"/>
      <c r="L40" s="55"/>
      <c r="M40" s="55"/>
      <c r="N40" s="56"/>
      <c r="O40" s="55"/>
      <c r="P40" s="102">
        <v>3.4940000000000002</v>
      </c>
      <c r="Q40" s="102"/>
      <c r="R40" s="102"/>
      <c r="S40" s="153">
        <v>152.1</v>
      </c>
      <c r="T40" s="217">
        <v>0.32200000000000001</v>
      </c>
      <c r="U40" s="217">
        <v>0.31465498969622174</v>
      </c>
      <c r="X40" s="217">
        <v>11.118</v>
      </c>
      <c r="Y40" s="217">
        <v>10.864391849200601</v>
      </c>
      <c r="Z40" s="217">
        <v>0.81400000000000006</v>
      </c>
      <c r="AA40" s="217">
        <v>0.79543217892150464</v>
      </c>
      <c r="AB40" s="217">
        <v>4.07</v>
      </c>
      <c r="AC40" s="217">
        <v>3.9771608946075232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35.781199999999998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3.7490000000000001</v>
      </c>
      <c r="Q41" s="102"/>
      <c r="R41" s="102"/>
      <c r="S41" s="153">
        <v>163.30000000000001</v>
      </c>
      <c r="T41" s="217">
        <v>0.29799999999999999</v>
      </c>
      <c r="U41" s="217">
        <v>0.29120244388035427</v>
      </c>
      <c r="X41" s="217">
        <v>9.6219999999999999</v>
      </c>
      <c r="Y41" s="217">
        <v>9.4025164933448622</v>
      </c>
      <c r="Z41" s="217">
        <v>0.69700000000000006</v>
      </c>
      <c r="AA41" s="217">
        <v>0.6811010180691508</v>
      </c>
      <c r="AB41" s="217">
        <v>3.68</v>
      </c>
      <c r="AC41" s="217">
        <v>3.5960570250996771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35.418100000000003</v>
      </c>
      <c r="H42" s="118">
        <v>20</v>
      </c>
      <c r="I42" s="155">
        <v>21</v>
      </c>
      <c r="J42" s="102"/>
      <c r="K42" s="55"/>
      <c r="L42" s="55"/>
      <c r="M42" s="55"/>
      <c r="N42" s="56"/>
      <c r="O42" s="55"/>
      <c r="P42" s="102">
        <v>4.5369999999999999</v>
      </c>
      <c r="Q42" s="102"/>
      <c r="R42" s="102"/>
      <c r="S42" s="153">
        <v>198</v>
      </c>
      <c r="T42" s="217">
        <v>6.0000000000000019E-3</v>
      </c>
      <c r="U42" s="217">
        <v>5.8631364539668664E-3</v>
      </c>
      <c r="X42" s="217">
        <v>0.24399999999999999</v>
      </c>
      <c r="Y42" s="217">
        <v>0.23843421579465249</v>
      </c>
      <c r="Z42" s="217">
        <v>4.1999999999999996E-2</v>
      </c>
      <c r="AA42" s="217">
        <v>4.1041955177768048E-2</v>
      </c>
      <c r="AB42" s="217">
        <v>0.75</v>
      </c>
      <c r="AC42" s="217">
        <v>0.732892056745858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35.417700000000004</v>
      </c>
      <c r="H43" s="118">
        <v>20</v>
      </c>
      <c r="I43" s="155">
        <v>21</v>
      </c>
      <c r="J43" s="102"/>
      <c r="K43" s="55"/>
      <c r="L43" s="55"/>
      <c r="M43" s="55"/>
      <c r="N43" s="56"/>
      <c r="O43" s="55"/>
      <c r="P43" s="102">
        <v>4.5650000000000004</v>
      </c>
      <c r="Q43" s="102"/>
      <c r="R43" s="102"/>
      <c r="S43" s="153">
        <v>199.2</v>
      </c>
      <c r="T43" s="217">
        <v>1.0000000000000009E-3</v>
      </c>
      <c r="U43" s="217">
        <v>9.7718940899447831E-4</v>
      </c>
      <c r="X43" s="217">
        <v>0.249</v>
      </c>
      <c r="Y43" s="217">
        <v>0.24332016283962488</v>
      </c>
      <c r="Z43" s="217">
        <v>4.2999999999999997E-2</v>
      </c>
      <c r="AA43" s="217">
        <v>4.2019144586762522E-2</v>
      </c>
      <c r="AB43" s="217">
        <v>0.81</v>
      </c>
      <c r="AC43" s="217">
        <v>0.79152342128552677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35.417999999999999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4.6109999999999998</v>
      </c>
      <c r="Q44" s="102"/>
      <c r="R44" s="102"/>
      <c r="S44" s="153">
        <v>201.2</v>
      </c>
      <c r="T44" s="217">
        <v>0</v>
      </c>
      <c r="U44" s="217">
        <v>0</v>
      </c>
      <c r="X44" s="217">
        <v>0.22</v>
      </c>
      <c r="Y44" s="217">
        <v>0.21498166997878504</v>
      </c>
      <c r="Z44" s="217">
        <v>8.8000000000000009E-2</v>
      </c>
      <c r="AA44" s="217">
        <v>8.5992667991514019E-2</v>
      </c>
      <c r="AB44" s="217">
        <v>0.78</v>
      </c>
      <c r="AC44" s="217">
        <v>0.76220773901569239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35.421500000000002</v>
      </c>
      <c r="H45" s="118">
        <v>0</v>
      </c>
      <c r="I45" s="155">
        <v>1.5</v>
      </c>
      <c r="J45" s="102"/>
      <c r="K45" s="55"/>
      <c r="L45" s="55"/>
      <c r="M45" s="55"/>
      <c r="N45" s="56"/>
      <c r="O45" s="55"/>
      <c r="P45" s="102">
        <v>4.5419999999999998</v>
      </c>
      <c r="Q45" s="102"/>
      <c r="R45" s="102"/>
      <c r="S45" s="153">
        <v>198.2</v>
      </c>
      <c r="T45" s="217">
        <v>0</v>
      </c>
      <c r="U45" s="217">
        <v>0</v>
      </c>
      <c r="X45" s="217">
        <v>0.19</v>
      </c>
      <c r="Y45" s="217">
        <v>0.18566598770895071</v>
      </c>
      <c r="Z45" s="217">
        <v>3.7999999999999992E-2</v>
      </c>
      <c r="AA45" s="217">
        <v>3.7133197541790133E-2</v>
      </c>
      <c r="AB45" s="217">
        <v>0.75</v>
      </c>
      <c r="AC45" s="217">
        <v>0.732892056745858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27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0.1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-0°0,1</v>
      </c>
      <c r="P9" s="39" t="s">
        <v>53</v>
      </c>
      <c r="Q9" s="201">
        <f>IF(ISBLANK(I9),"",IF(ISBLANK(J9),"",IF(J9&gt;60,"ERREUR !!",O11*(I9+(J9/60)))))</f>
        <v>-1.6666666666666668E-3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-0°0,02</v>
      </c>
      <c r="P10" s="39" t="s">
        <v>55</v>
      </c>
      <c r="Q10" s="201">
        <f>IF(ISBLANK(I10),"",IF(ISBLANK(J10),"",IF(J10&gt;60,"ERREUR !!",O12*(I10+(J10/60)))))</f>
        <v>-3.3333333333333332E-4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37874</v>
      </c>
      <c r="K11" s="72"/>
      <c r="L11" s="72"/>
      <c r="M11" s="72"/>
      <c r="N11" s="73" t="str">
        <f>I9&amp;"°"&amp;J9</f>
        <v>0°0,1</v>
      </c>
      <c r="O11" s="74">
        <f>IF(P9=M10,-1,1)</f>
        <v>-1</v>
      </c>
      <c r="P11" s="185" t="str">
        <f>TEXT(J11,"aaaa-mm-jj")&amp;"T"&amp;TEXT(J12,"hh:mm:ss")&amp;"z"</f>
        <v>2007-09-11T18:15:00z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0.76041666666666663</v>
      </c>
      <c r="K12" s="75"/>
      <c r="L12" s="75"/>
      <c r="M12" s="75"/>
      <c r="N12" s="76" t="str">
        <f>I10&amp;"°"&amp;J10</f>
        <v>0°0,02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34.967300000000002</v>
      </c>
      <c r="H35" s="126">
        <v>1000</v>
      </c>
      <c r="I35" s="155">
        <v>2002</v>
      </c>
      <c r="J35" s="127"/>
      <c r="K35" s="128"/>
      <c r="L35" s="128"/>
      <c r="M35" s="128"/>
      <c r="N35" s="129"/>
      <c r="O35" s="128"/>
      <c r="P35" s="127">
        <v>5.4740000000000002</v>
      </c>
      <c r="Q35" s="127"/>
      <c r="R35" s="127"/>
      <c r="S35" s="153">
        <v>237.9</v>
      </c>
      <c r="T35" s="217">
        <v>0</v>
      </c>
      <c r="U35" s="217">
        <v>0</v>
      </c>
      <c r="X35" s="217">
        <v>20.64</v>
      </c>
      <c r="Y35" s="217">
        <v>20.169189401646015</v>
      </c>
      <c r="Z35" s="217">
        <v>1.377</v>
      </c>
      <c r="AA35" s="217">
        <v>1.3455898161853954</v>
      </c>
      <c r="AB35" s="217">
        <v>21.72</v>
      </c>
      <c r="AC35" s="217">
        <v>21.224553963360048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34.6128</v>
      </c>
      <c r="H36" s="126">
        <v>500</v>
      </c>
      <c r="I36" s="155">
        <v>1000</v>
      </c>
      <c r="J36" s="102"/>
      <c r="K36" s="55"/>
      <c r="L36" s="55"/>
      <c r="M36" s="55"/>
      <c r="N36" s="56"/>
      <c r="O36" s="55"/>
      <c r="P36" s="102">
        <v>3.395</v>
      </c>
      <c r="Q36" s="102"/>
      <c r="R36" s="102"/>
      <c r="S36" s="153">
        <v>147.6</v>
      </c>
      <c r="T36" s="217">
        <v>0</v>
      </c>
      <c r="U36" s="217">
        <v>0</v>
      </c>
      <c r="X36" s="217">
        <v>33.99</v>
      </c>
      <c r="Y36" s="217">
        <v>33.214668011722289</v>
      </c>
      <c r="Z36" s="217">
        <v>2.2429999999999999</v>
      </c>
      <c r="AA36" s="217">
        <v>2.1918358443746127</v>
      </c>
      <c r="AB36" s="217">
        <v>31.54</v>
      </c>
      <c r="AC36" s="217">
        <v>30.820553959685817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34.578699999999998</v>
      </c>
      <c r="H37" s="126">
        <v>300</v>
      </c>
      <c r="I37" s="155">
        <v>299.2</v>
      </c>
      <c r="J37" s="102"/>
      <c r="K37" s="55"/>
      <c r="L37" s="55"/>
      <c r="M37" s="55"/>
      <c r="N37" s="56"/>
      <c r="O37" s="55"/>
      <c r="P37" s="102">
        <v>2.9529999999999998</v>
      </c>
      <c r="Q37" s="102"/>
      <c r="R37" s="102"/>
      <c r="S37" s="153">
        <v>128.4</v>
      </c>
      <c r="T37" s="217">
        <v>0</v>
      </c>
      <c r="U37" s="217">
        <v>0</v>
      </c>
      <c r="X37" s="217">
        <v>33.46</v>
      </c>
      <c r="Y37" s="217">
        <v>32.696757624955218</v>
      </c>
      <c r="Z37" s="217">
        <v>2.169</v>
      </c>
      <c r="AA37" s="217">
        <v>2.1195238281090214</v>
      </c>
      <c r="AB37" s="217">
        <v>22.05</v>
      </c>
      <c r="AC37" s="217">
        <v>21.547026468328227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35.643000000000001</v>
      </c>
      <c r="H38" s="118">
        <v>100</v>
      </c>
      <c r="I38" s="155">
        <v>99.9</v>
      </c>
      <c r="J38" s="102"/>
      <c r="K38" s="55"/>
      <c r="L38" s="55"/>
      <c r="M38" s="55"/>
      <c r="N38" s="56"/>
      <c r="O38" s="55"/>
      <c r="P38" s="102">
        <v>3.5880000000000001</v>
      </c>
      <c r="Q38" s="102"/>
      <c r="R38" s="102"/>
      <c r="S38" s="220">
        <v>156.1</v>
      </c>
      <c r="T38" s="217">
        <v>1.7000000000000001E-2</v>
      </c>
      <c r="U38" s="217">
        <v>1.6612219952906116E-2</v>
      </c>
      <c r="X38" s="217">
        <v>13.183</v>
      </c>
      <c r="Y38" s="217">
        <v>12.882287978774196</v>
      </c>
      <c r="Z38" s="217">
        <v>0.95200000000000007</v>
      </c>
      <c r="AA38" s="217">
        <v>0.93028431736274253</v>
      </c>
      <c r="AB38" s="217">
        <v>5.14</v>
      </c>
      <c r="AC38" s="217">
        <v>5.022753562231614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35.707099999999997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3.5790000000000002</v>
      </c>
      <c r="Q39" s="102"/>
      <c r="R39" s="102"/>
      <c r="S39" s="220">
        <v>155.80000000000001</v>
      </c>
      <c r="T39" s="217">
        <v>3.2000000000000001E-2</v>
      </c>
      <c r="U39" s="217">
        <v>3.1270061087823278E-2</v>
      </c>
      <c r="X39" s="217">
        <v>12.667999999999999</v>
      </c>
      <c r="Y39" s="217">
        <v>12.37903543314204</v>
      </c>
      <c r="Z39" s="217">
        <v>0.93200000000000005</v>
      </c>
      <c r="AA39" s="217">
        <v>0.91074052918285298</v>
      </c>
      <c r="AB39" s="217">
        <v>5.1100000000000003</v>
      </c>
      <c r="AC39" s="217">
        <v>4.99343787996178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35.784199999999998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3.53</v>
      </c>
      <c r="Q40" s="102"/>
      <c r="R40" s="102"/>
      <c r="S40" s="153">
        <v>153.6</v>
      </c>
      <c r="T40" s="217">
        <v>0.14600000000000002</v>
      </c>
      <c r="U40" s="217">
        <v>0.14266965371319371</v>
      </c>
      <c r="X40" s="217">
        <v>11.973999999999998</v>
      </c>
      <c r="Y40" s="217">
        <v>11.70086598329987</v>
      </c>
      <c r="Z40" s="217">
        <v>0.88500000000000001</v>
      </c>
      <c r="AA40" s="217">
        <v>0.86481262696011252</v>
      </c>
      <c r="AB40" s="217">
        <v>4.6100000000000003</v>
      </c>
      <c r="AC40" s="217">
        <v>4.5048431754645408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35.7956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3.6589999999999998</v>
      </c>
      <c r="Q41" s="102"/>
      <c r="R41" s="102"/>
      <c r="S41" s="153">
        <v>159.30000000000001</v>
      </c>
      <c r="T41" s="217">
        <v>0.23099999999999998</v>
      </c>
      <c r="U41" s="217">
        <v>0.22573075347772426</v>
      </c>
      <c r="X41" s="217">
        <v>10.259</v>
      </c>
      <c r="Y41" s="217">
        <v>10.024986146874344</v>
      </c>
      <c r="Z41" s="217">
        <v>0.76700000000000002</v>
      </c>
      <c r="AA41" s="217">
        <v>0.74950427669876418</v>
      </c>
      <c r="AB41" s="217">
        <v>4.12</v>
      </c>
      <c r="AC41" s="217">
        <v>4.0260203650572466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35.4602</v>
      </c>
      <c r="H42" s="118">
        <v>20</v>
      </c>
      <c r="I42" s="155">
        <v>20</v>
      </c>
      <c r="J42" s="102"/>
      <c r="K42" s="55"/>
      <c r="L42" s="55"/>
      <c r="M42" s="55"/>
      <c r="N42" s="56"/>
      <c r="O42" s="55"/>
      <c r="P42" s="102">
        <v>4.5670000000000002</v>
      </c>
      <c r="Q42" s="102"/>
      <c r="R42" s="102"/>
      <c r="S42" s="153">
        <v>199.2</v>
      </c>
      <c r="T42" s="217">
        <v>1.0000000000000009E-3</v>
      </c>
      <c r="U42" s="217">
        <v>9.7718940899447831E-4</v>
      </c>
      <c r="X42" s="217">
        <v>5.8999999999999997E-2</v>
      </c>
      <c r="Y42" s="217">
        <v>5.7654175130674161E-2</v>
      </c>
      <c r="Z42" s="217">
        <v>0.03</v>
      </c>
      <c r="AA42" s="217">
        <v>2.9315682269834321E-2</v>
      </c>
      <c r="AB42" s="217">
        <v>0.87</v>
      </c>
      <c r="AC42" s="217">
        <v>0.85015478582519532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35.457700000000003</v>
      </c>
      <c r="H43" s="118">
        <v>10</v>
      </c>
      <c r="I43" s="155">
        <v>10</v>
      </c>
      <c r="J43" s="102"/>
      <c r="K43" s="55"/>
      <c r="L43" s="55"/>
      <c r="M43" s="55"/>
      <c r="N43" s="56"/>
      <c r="O43" s="55"/>
      <c r="P43" s="102">
        <v>4.62</v>
      </c>
      <c r="Q43" s="102"/>
      <c r="R43" s="102"/>
      <c r="S43" s="153">
        <v>201.6</v>
      </c>
      <c r="T43" s="217">
        <v>0</v>
      </c>
      <c r="U43" s="217">
        <v>0</v>
      </c>
      <c r="X43" s="217">
        <v>0</v>
      </c>
      <c r="Y43" s="217">
        <v>0</v>
      </c>
      <c r="Z43" s="217">
        <v>2.6999999999999996E-2</v>
      </c>
      <c r="AA43" s="217">
        <v>2.6384114042850886E-2</v>
      </c>
      <c r="AB43" s="217">
        <v>0.86</v>
      </c>
      <c r="AC43" s="217">
        <v>0.8403828917352506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35.458300000000001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/>
      <c r="Q44" s="102"/>
      <c r="R44" s="102"/>
      <c r="S44" s="153"/>
      <c r="T44" s="217">
        <v>4.0000000000000001E-3</v>
      </c>
      <c r="U44" s="217">
        <v>3.9087576359779098E-3</v>
      </c>
      <c r="X44" s="217">
        <v>0</v>
      </c>
      <c r="Y44" s="217">
        <v>0</v>
      </c>
      <c r="Z44" s="217">
        <v>3.5000000000000003E-2</v>
      </c>
      <c r="AA44" s="217">
        <v>3.4201629314806713E-2</v>
      </c>
      <c r="AB44" s="217">
        <v>0.89</v>
      </c>
      <c r="AC44" s="217">
        <v>0.86969857400508488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35.464500000000001</v>
      </c>
      <c r="H45" s="118">
        <v>0</v>
      </c>
      <c r="I45" s="155">
        <v>1.4</v>
      </c>
      <c r="J45" s="102"/>
      <c r="K45" s="55"/>
      <c r="L45" s="55"/>
      <c r="M45" s="55"/>
      <c r="N45" s="56"/>
      <c r="O45" s="55"/>
      <c r="P45" s="102">
        <v>4.5739999999999998</v>
      </c>
      <c r="Q45" s="102"/>
      <c r="R45" s="102"/>
      <c r="S45" s="153">
        <v>199.6</v>
      </c>
      <c r="T45" s="217">
        <v>5.0000000000000001E-3</v>
      </c>
      <c r="U45" s="217">
        <v>4.8859470449723877E-3</v>
      </c>
      <c r="X45" s="217">
        <v>3.5000000000000003E-2</v>
      </c>
      <c r="Y45" s="217">
        <v>3.4201629314806713E-2</v>
      </c>
      <c r="Z45" s="217">
        <v>3.7000000000000005E-2</v>
      </c>
      <c r="AA45" s="217">
        <v>3.6156008132795667E-2</v>
      </c>
      <c r="AB45" s="217">
        <v>0.89</v>
      </c>
      <c r="AC45" s="217">
        <v>0.86969857400508488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28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30.14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0°30,14</v>
      </c>
      <c r="P9" s="39" t="s">
        <v>3</v>
      </c>
      <c r="Q9" s="201">
        <f>IF(ISBLANK(I9),"",IF(ISBLANK(J9),"",IF(J9&gt;60,"ERREUR !!",O11*(I9+(J9/60)))))</f>
        <v>0.5023333333333333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-0°0</v>
      </c>
      <c r="P10" s="39" t="s">
        <v>55</v>
      </c>
      <c r="Q10" s="201">
        <f>IF(ISBLANK(I10),"",IF(ISBLANK(J10),"",IF(J10&gt;60,"ERREUR !!",O12*(I10+(J10/60)))))</f>
        <v>0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37875</v>
      </c>
      <c r="K11" s="72"/>
      <c r="L11" s="72"/>
      <c r="M11" s="72"/>
      <c r="N11" s="73" t="str">
        <f>I9&amp;"°"&amp;J9</f>
        <v>0°30,14</v>
      </c>
      <c r="O11" s="74">
        <f>IF(P9=M10,-1,1)</f>
        <v>1</v>
      </c>
      <c r="P11" s="185" t="str">
        <f>TEXT(J11,"aaaa-mm-jj")&amp;"T"&amp;TEXT(J12,"hh:mm:ss")&amp;"z"</f>
        <v>2007-09-12T03:00:00z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0.125</v>
      </c>
      <c r="K12" s="75"/>
      <c r="L12" s="75"/>
      <c r="M12" s="75"/>
      <c r="N12" s="76" t="str">
        <f>I10&amp;"°"&amp;J10</f>
        <v>0°0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34.965400000000002</v>
      </c>
      <c r="H35" s="126">
        <v>1000</v>
      </c>
      <c r="I35" s="155">
        <v>2004</v>
      </c>
      <c r="J35" s="127"/>
      <c r="K35" s="128"/>
      <c r="L35" s="128"/>
      <c r="M35" s="128"/>
      <c r="N35" s="129"/>
      <c r="O35" s="128"/>
      <c r="P35" s="127">
        <v>5.4359999999999999</v>
      </c>
      <c r="Q35" s="127"/>
      <c r="R35" s="127"/>
      <c r="S35" s="153">
        <v>236.3</v>
      </c>
      <c r="T35" s="217">
        <v>6.9999999999999993E-3</v>
      </c>
      <c r="U35" s="217">
        <v>6.8403258629613408E-3</v>
      </c>
      <c r="X35" s="217">
        <v>20.782999999999998</v>
      </c>
      <c r="Y35" s="217">
        <v>20.308927487132223</v>
      </c>
      <c r="Z35" s="217">
        <v>1.371</v>
      </c>
      <c r="AA35" s="217">
        <v>1.3397266797314284</v>
      </c>
      <c r="AB35" s="217">
        <v>22.61</v>
      </c>
      <c r="AC35" s="217">
        <v>22.094252537365133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34.613900000000001</v>
      </c>
      <c r="H36" s="126">
        <v>500</v>
      </c>
      <c r="I36" s="155">
        <v>1000</v>
      </c>
      <c r="J36" s="102"/>
      <c r="K36" s="55"/>
      <c r="L36" s="55"/>
      <c r="M36" s="55"/>
      <c r="N36" s="56"/>
      <c r="O36" s="55"/>
      <c r="P36" s="102">
        <v>3.427</v>
      </c>
      <c r="Q36" s="102"/>
      <c r="R36" s="102"/>
      <c r="S36" s="153">
        <v>149</v>
      </c>
      <c r="T36" s="217">
        <v>2.9999999999999992E-3</v>
      </c>
      <c r="U36" s="217">
        <v>2.9315682269834315E-3</v>
      </c>
      <c r="X36" s="217">
        <v>34.006999999999998</v>
      </c>
      <c r="Y36" s="217">
        <v>33.231280231675193</v>
      </c>
      <c r="Z36" s="217">
        <v>2.2269999999999999</v>
      </c>
      <c r="AA36" s="217">
        <v>2.1762008138307012</v>
      </c>
      <c r="AB36" s="217">
        <v>30.69</v>
      </c>
      <c r="AC36" s="217">
        <v>29.989942962040512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34.594999999999999</v>
      </c>
      <c r="H37" s="126">
        <v>300</v>
      </c>
      <c r="I37" s="155">
        <v>599</v>
      </c>
      <c r="J37" s="102"/>
      <c r="K37" s="55"/>
      <c r="L37" s="55"/>
      <c r="M37" s="55"/>
      <c r="N37" s="56"/>
      <c r="O37" s="55"/>
      <c r="P37" s="102">
        <v>2.9369999999999998</v>
      </c>
      <c r="Q37" s="102"/>
      <c r="R37" s="102"/>
      <c r="S37" s="153">
        <v>127.7</v>
      </c>
      <c r="T37" s="217">
        <v>6.0000000000000019E-3</v>
      </c>
      <c r="U37" s="217">
        <v>5.8631364539668664E-3</v>
      </c>
      <c r="X37" s="217">
        <v>33.863999999999997</v>
      </c>
      <c r="Y37" s="217">
        <v>33.091542146188978</v>
      </c>
      <c r="Z37" s="217">
        <v>2.1459999999999999</v>
      </c>
      <c r="AA37" s="217">
        <v>2.0970484717021485</v>
      </c>
      <c r="AB37" s="217">
        <v>21.57</v>
      </c>
      <c r="AC37" s="217">
        <v>21.077975552010876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35.6145</v>
      </c>
      <c r="H38" s="118">
        <v>100</v>
      </c>
      <c r="I38" s="155">
        <v>100</v>
      </c>
      <c r="J38" s="102"/>
      <c r="K38" s="55"/>
      <c r="L38" s="55"/>
      <c r="M38" s="55"/>
      <c r="N38" s="56"/>
      <c r="O38" s="55"/>
      <c r="P38" s="102">
        <v>3.1589999999999998</v>
      </c>
      <c r="Q38" s="102"/>
      <c r="R38" s="102"/>
      <c r="S38" s="220">
        <v>137.5</v>
      </c>
      <c r="T38" s="217">
        <v>0.06</v>
      </c>
      <c r="U38" s="217">
        <v>5.8631364539668641E-2</v>
      </c>
      <c r="X38" s="217">
        <v>15.84</v>
      </c>
      <c r="Y38" s="217">
        <v>15.478680238472522</v>
      </c>
      <c r="Z38" s="217">
        <v>1.093</v>
      </c>
      <c r="AA38" s="217">
        <v>1.0680680240309637</v>
      </c>
      <c r="AB38" s="217">
        <v>5.89</v>
      </c>
      <c r="AC38" s="217">
        <v>5.7556456189774714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35.656500000000001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3.3410000000000002</v>
      </c>
      <c r="Q39" s="102"/>
      <c r="R39" s="102"/>
      <c r="S39" s="220">
        <v>145.4</v>
      </c>
      <c r="T39" s="217">
        <v>5.8999999999999997E-2</v>
      </c>
      <c r="U39" s="217">
        <v>5.7654175130674161E-2</v>
      </c>
      <c r="X39" s="217">
        <v>14.651000000000002</v>
      </c>
      <c r="Y39" s="217">
        <v>14.31680203117809</v>
      </c>
      <c r="Z39" s="217">
        <v>1.0049999999999999</v>
      </c>
      <c r="AA39" s="217">
        <v>0.98207535603944973</v>
      </c>
      <c r="AB39" s="217">
        <v>5.55</v>
      </c>
      <c r="AC39" s="217">
        <v>5.4234012199193495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35.731999999999999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3.4670000000000001</v>
      </c>
      <c r="Q40" s="102"/>
      <c r="R40" s="102"/>
      <c r="S40" s="153">
        <v>150.9</v>
      </c>
      <c r="T40" s="217">
        <v>9.5000000000000001E-2</v>
      </c>
      <c r="U40" s="217">
        <v>9.2832993854475354E-2</v>
      </c>
      <c r="X40" s="217">
        <v>13.125</v>
      </c>
      <c r="Y40" s="217">
        <v>12.825610993052516</v>
      </c>
      <c r="Z40" s="217">
        <v>0.92200000000000004</v>
      </c>
      <c r="AA40" s="217">
        <v>0.90096863509290825</v>
      </c>
      <c r="AB40" s="217">
        <v>4.8499999999999996</v>
      </c>
      <c r="AC40" s="217">
        <v>4.739368633623215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35.688200000000002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3.9790000000000001</v>
      </c>
      <c r="Q41" s="102"/>
      <c r="R41" s="102"/>
      <c r="S41" s="153">
        <v>173.3</v>
      </c>
      <c r="T41" s="217">
        <v>0.15899999999999997</v>
      </c>
      <c r="U41" s="217">
        <v>0.15537311603012188</v>
      </c>
      <c r="X41" s="217">
        <v>6.0810000000000004</v>
      </c>
      <c r="Y41" s="217">
        <v>5.9422887960954176</v>
      </c>
      <c r="Z41" s="217">
        <v>0.502</v>
      </c>
      <c r="AA41" s="217">
        <v>0.49054908331522767</v>
      </c>
      <c r="AB41" s="217">
        <v>2.75</v>
      </c>
      <c r="AC41" s="217">
        <v>2.6872708747348129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35.421100000000003</v>
      </c>
      <c r="H42" s="118">
        <v>20</v>
      </c>
      <c r="I42" s="155">
        <v>21</v>
      </c>
      <c r="J42" s="102"/>
      <c r="K42" s="55"/>
      <c r="L42" s="55"/>
      <c r="M42" s="55"/>
      <c r="N42" s="56"/>
      <c r="O42" s="55"/>
      <c r="P42" s="102">
        <v>4.5599999999999996</v>
      </c>
      <c r="Q42" s="102"/>
      <c r="R42" s="102"/>
      <c r="S42" s="153">
        <v>199</v>
      </c>
      <c r="T42" s="217">
        <v>0.01</v>
      </c>
      <c r="U42" s="217">
        <v>9.7718940899447753E-3</v>
      </c>
      <c r="X42" s="217">
        <v>0.01</v>
      </c>
      <c r="Y42" s="217">
        <v>9.7718940899447718E-3</v>
      </c>
      <c r="Z42" s="217">
        <v>2.1000000000000005E-2</v>
      </c>
      <c r="AA42" s="217">
        <v>2.0520977588884031E-2</v>
      </c>
      <c r="AB42" s="217">
        <v>0.49</v>
      </c>
      <c r="AC42" s="217">
        <v>0.47882281040729391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35.423999999999999</v>
      </c>
      <c r="H43" s="118">
        <v>10</v>
      </c>
      <c r="I43" s="155">
        <v>10</v>
      </c>
      <c r="J43" s="102"/>
      <c r="K43" s="55"/>
      <c r="L43" s="55"/>
      <c r="M43" s="55"/>
      <c r="N43" s="56"/>
      <c r="O43" s="55"/>
      <c r="P43" s="102">
        <v>4.577</v>
      </c>
      <c r="Q43" s="102"/>
      <c r="R43" s="102"/>
      <c r="S43" s="153">
        <v>199.7</v>
      </c>
      <c r="T43" s="217">
        <v>6.9999999999999993E-3</v>
      </c>
      <c r="U43" s="217">
        <v>6.8403258629613408E-3</v>
      </c>
      <c r="X43" s="217">
        <v>3.0000000000000009E-3</v>
      </c>
      <c r="Y43" s="217">
        <v>2.9315682269834332E-3</v>
      </c>
      <c r="Z43" s="217">
        <v>1.8000000000000002E-2</v>
      </c>
      <c r="AA43" s="217">
        <v>1.7589409361900597E-2</v>
      </c>
      <c r="AB43" s="217">
        <v>0.46</v>
      </c>
      <c r="AC43" s="217">
        <v>0.44950712813745963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35.424799999999998</v>
      </c>
      <c r="H44" s="118">
        <v>0</v>
      </c>
      <c r="I44" s="155">
        <v>1.8</v>
      </c>
      <c r="J44" s="102"/>
      <c r="K44" s="55"/>
      <c r="L44" s="55"/>
      <c r="M44" s="55"/>
      <c r="N44" s="56"/>
      <c r="O44" s="55"/>
      <c r="P44" s="102">
        <v>4.5540000000000003</v>
      </c>
      <c r="Q44" s="102"/>
      <c r="R44" s="102"/>
      <c r="S44" s="153">
        <v>198.7</v>
      </c>
      <c r="T44" s="217">
        <v>9.0000000000000011E-3</v>
      </c>
      <c r="U44" s="217">
        <v>8.7947046809502983E-3</v>
      </c>
      <c r="X44" s="217">
        <v>1.0999999999999999E-2</v>
      </c>
      <c r="Y44" s="217">
        <v>1.0749083498939251E-2</v>
      </c>
      <c r="Z44" s="217">
        <v>1.7000000000000001E-2</v>
      </c>
      <c r="AA44" s="217">
        <v>1.6612219952906116E-2</v>
      </c>
      <c r="AB44" s="217">
        <v>0.43</v>
      </c>
      <c r="AC44" s="217">
        <v>0.4201914458676253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>
        <v>35.424300000000002</v>
      </c>
      <c r="H45" s="118">
        <v>0</v>
      </c>
      <c r="I45" s="155">
        <v>1.8</v>
      </c>
      <c r="J45" s="102"/>
      <c r="K45" s="55"/>
      <c r="L45" s="55"/>
      <c r="M45" s="55"/>
      <c r="N45" s="56"/>
      <c r="O45" s="55"/>
      <c r="P45" s="102">
        <v>4.62</v>
      </c>
      <c r="Q45" s="102"/>
      <c r="R45" s="102"/>
      <c r="S45" s="153">
        <v>201.6</v>
      </c>
      <c r="T45" s="217">
        <v>5.0000000000000001E-3</v>
      </c>
      <c r="U45" s="217">
        <v>4.8859470449723877E-3</v>
      </c>
      <c r="X45" s="217">
        <v>2.5000000000000001E-2</v>
      </c>
      <c r="Y45" s="217">
        <v>2.4429735224861932E-2</v>
      </c>
      <c r="Z45" s="217">
        <v>2.6999999999999996E-2</v>
      </c>
      <c r="AA45" s="217">
        <v>2.6384114042850886E-2</v>
      </c>
      <c r="AB45" s="217">
        <v>0.48</v>
      </c>
      <c r="AC45" s="217">
        <v>0.46905091631734913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29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59.99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0°59,99</v>
      </c>
      <c r="P9" s="39" t="s">
        <v>3</v>
      </c>
      <c r="Q9" s="201">
        <f>IF(ISBLANK(I9),"",IF(ISBLANK(J9),"",IF(J9&gt;60,"ERREUR !!",O11*(I9+(J9/60)))))</f>
        <v>0.99983333333333335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0.06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0°0,06</v>
      </c>
      <c r="P10" s="39" t="s">
        <v>54</v>
      </c>
      <c r="Q10" s="201">
        <f>IF(ISBLANK(I10),"",IF(ISBLANK(J10),"",IF(J10&gt;60,"ERREUR !!",O12*(I10+(J10/60)))))</f>
        <v>1E-3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37875</v>
      </c>
      <c r="K11" s="72"/>
      <c r="L11" s="72"/>
      <c r="M11" s="72"/>
      <c r="N11" s="73" t="str">
        <f>I9&amp;"°"&amp;J9</f>
        <v>0°59,99</v>
      </c>
      <c r="O11" s="74">
        <f>IF(P9=M10,-1,1)</f>
        <v>1</v>
      </c>
      <c r="P11" s="185" t="str">
        <f>TEXT(J11,"aaaa-mm-jj")&amp;"T"&amp;TEXT(J12,"hh:mm:ss")&amp;"z"</f>
        <v>2007-09-12T08:00:00z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0.33333333333333331</v>
      </c>
      <c r="K12" s="75"/>
      <c r="L12" s="75"/>
      <c r="M12" s="75"/>
      <c r="N12" s="76" t="str">
        <f>I10&amp;"°"&amp;J10</f>
        <v>0°0,06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34.963500000000003</v>
      </c>
      <c r="H35" s="126">
        <v>2000</v>
      </c>
      <c r="I35" s="155">
        <v>2002</v>
      </c>
      <c r="J35" s="127"/>
      <c r="K35" s="128"/>
      <c r="L35" s="128"/>
      <c r="M35" s="128"/>
      <c r="N35" s="129"/>
      <c r="O35" s="128"/>
      <c r="P35" s="127">
        <v>5.4</v>
      </c>
      <c r="Q35" s="127"/>
      <c r="R35" s="127"/>
      <c r="S35" s="153">
        <v>234.7</v>
      </c>
      <c r="T35" s="217">
        <v>4.0000000000000001E-3</v>
      </c>
      <c r="U35" s="217">
        <v>3.9087576359779098E-3</v>
      </c>
      <c r="X35" s="217">
        <v>21.235999999999997</v>
      </c>
      <c r="Y35" s="217">
        <v>20.751594289406718</v>
      </c>
      <c r="Z35" s="217">
        <v>1.405</v>
      </c>
      <c r="AA35" s="217">
        <v>1.3729511196372408</v>
      </c>
      <c r="AB35" s="217">
        <v>23.17</v>
      </c>
      <c r="AC35" s="217">
        <v>22.641478606402043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34.963000000000001</v>
      </c>
      <c r="H36" s="126">
        <v>2000</v>
      </c>
      <c r="I36" s="155">
        <v>2002</v>
      </c>
      <c r="J36" s="102"/>
      <c r="K36" s="55"/>
      <c r="L36" s="55"/>
      <c r="M36" s="55"/>
      <c r="N36" s="56"/>
      <c r="O36" s="55"/>
      <c r="P36" s="102">
        <v>5.3739999999999997</v>
      </c>
      <c r="Q36" s="102"/>
      <c r="R36" s="102"/>
      <c r="S36" s="153">
        <v>233.6</v>
      </c>
      <c r="T36" s="217">
        <v>2.9999999999999992E-3</v>
      </c>
      <c r="U36" s="217">
        <v>2.9315682269834315E-3</v>
      </c>
      <c r="X36" s="217">
        <v>21.117000000000001</v>
      </c>
      <c r="Y36" s="217">
        <v>20.635308749736382</v>
      </c>
      <c r="Z36" s="217">
        <v>1.4</v>
      </c>
      <c r="AA36" s="217">
        <v>1.3680651725922683</v>
      </c>
      <c r="AB36" s="217">
        <v>23.09</v>
      </c>
      <c r="AC36" s="217">
        <v>22.563303453682483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6.5" thickBot="1" x14ac:dyDescent="0.3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34.627200000000002</v>
      </c>
      <c r="H37" s="126">
        <v>1000</v>
      </c>
      <c r="I37" s="155">
        <v>1000</v>
      </c>
      <c r="J37" s="102"/>
      <c r="K37" s="55"/>
      <c r="L37" s="55"/>
      <c r="M37" s="55"/>
      <c r="N37" s="56"/>
      <c r="O37" s="55"/>
      <c r="P37" s="102">
        <v>2.9689999999999999</v>
      </c>
      <c r="Q37" s="102"/>
      <c r="R37" s="102"/>
      <c r="S37" s="153">
        <v>129.1</v>
      </c>
      <c r="T37" s="217">
        <v>2.0000000000000018E-3</v>
      </c>
      <c r="U37" s="217">
        <v>1.9543788179889566E-3</v>
      </c>
      <c r="X37" s="217">
        <v>33.927999999999997</v>
      </c>
      <c r="Y37" s="217">
        <v>33.154082268364625</v>
      </c>
      <c r="Z37" s="217">
        <v>2.2319999999999998</v>
      </c>
      <c r="AA37" s="217">
        <v>2.1810867608756732</v>
      </c>
      <c r="AB37" s="217">
        <v>31.19</v>
      </c>
      <c r="AC37" s="217">
        <v>30.478537666537751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34.577300000000001</v>
      </c>
      <c r="H38" s="126">
        <v>600</v>
      </c>
      <c r="I38" s="155">
        <v>601</v>
      </c>
      <c r="J38" s="102"/>
      <c r="K38" s="55"/>
      <c r="L38" s="55"/>
      <c r="M38" s="55"/>
      <c r="N38" s="56"/>
      <c r="O38" s="55"/>
      <c r="P38" s="102">
        <v>2.8839999999999999</v>
      </c>
      <c r="Q38" s="102"/>
      <c r="R38" s="102"/>
      <c r="S38" s="220">
        <v>125.4</v>
      </c>
      <c r="T38" s="217">
        <v>6.9999999999999993E-3</v>
      </c>
      <c r="U38" s="217">
        <v>6.8403258629613408E-3</v>
      </c>
      <c r="X38" s="217">
        <v>34.843000000000004</v>
      </c>
      <c r="Y38" s="217">
        <v>34.048210577594581</v>
      </c>
      <c r="Z38" s="217">
        <v>2.2269999999999999</v>
      </c>
      <c r="AA38" s="217">
        <v>2.1762008138307012</v>
      </c>
      <c r="AB38" s="217">
        <v>22.89</v>
      </c>
      <c r="AC38" s="217">
        <v>22.367865571883588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35.573700000000002</v>
      </c>
      <c r="H39" s="118">
        <v>100</v>
      </c>
      <c r="I39" s="155">
        <v>100</v>
      </c>
      <c r="J39" s="102"/>
      <c r="K39" s="55"/>
      <c r="L39" s="55"/>
      <c r="M39" s="55"/>
      <c r="N39" s="56"/>
      <c r="O39" s="55"/>
      <c r="P39" s="102">
        <v>3.0219999999999998</v>
      </c>
      <c r="Q39" s="102"/>
      <c r="R39" s="102"/>
      <c r="S39" s="220">
        <v>131.5</v>
      </c>
      <c r="T39" s="217">
        <v>1.9000000000000003E-2</v>
      </c>
      <c r="U39" s="217">
        <v>1.8566598770895074E-2</v>
      </c>
      <c r="X39" s="217">
        <v>16.871000000000002</v>
      </c>
      <c r="Y39" s="217">
        <v>16.486162519145829</v>
      </c>
      <c r="Z39" s="217">
        <v>1.151</v>
      </c>
      <c r="AA39" s="217">
        <v>1.1247450097526435</v>
      </c>
      <c r="AB39" s="217">
        <v>6.18</v>
      </c>
      <c r="AC39" s="217">
        <v>6.0390305475858703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35.622999999999998</v>
      </c>
      <c r="H40" s="118">
        <v>80</v>
      </c>
      <c r="I40" s="155">
        <v>80</v>
      </c>
      <c r="J40" s="102"/>
      <c r="K40" s="55"/>
      <c r="L40" s="55"/>
      <c r="M40" s="55"/>
      <c r="N40" s="56"/>
      <c r="O40" s="55"/>
      <c r="P40" s="102">
        <v>3.1589999999999998</v>
      </c>
      <c r="Q40" s="102"/>
      <c r="R40" s="102"/>
      <c r="S40" s="153">
        <v>137.5</v>
      </c>
      <c r="T40" s="217">
        <v>5.4000000000000006E-2</v>
      </c>
      <c r="U40" s="217">
        <v>5.2768228085701786E-2</v>
      </c>
      <c r="X40" s="217">
        <v>15.616</v>
      </c>
      <c r="Y40" s="217">
        <v>15.259789810857759</v>
      </c>
      <c r="Z40" s="217">
        <v>1.032</v>
      </c>
      <c r="AA40" s="217">
        <v>1.0084594700823006</v>
      </c>
      <c r="AB40" s="217">
        <v>5.57</v>
      </c>
      <c r="AC40" s="217">
        <v>5.4429450080992394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35.657899999999998</v>
      </c>
      <c r="H41" s="118">
        <v>60</v>
      </c>
      <c r="I41" s="155">
        <v>61</v>
      </c>
      <c r="J41" s="102"/>
      <c r="K41" s="55"/>
      <c r="L41" s="55"/>
      <c r="M41" s="55"/>
      <c r="N41" s="56"/>
      <c r="O41" s="55"/>
      <c r="P41" s="102">
        <v>2.9790000000000001</v>
      </c>
      <c r="Q41" s="102"/>
      <c r="R41" s="102"/>
      <c r="S41" s="153">
        <v>129.69999999999999</v>
      </c>
      <c r="T41" s="217">
        <v>0.32899999999999996</v>
      </c>
      <c r="U41" s="217">
        <v>0.32149531555918304</v>
      </c>
      <c r="X41" s="217">
        <v>15.791</v>
      </c>
      <c r="Y41" s="217">
        <v>15.430797957431793</v>
      </c>
      <c r="Z41" s="217">
        <v>1.085</v>
      </c>
      <c r="AA41" s="217">
        <v>1.0602505087590079</v>
      </c>
      <c r="AB41" s="217">
        <v>5.47</v>
      </c>
      <c r="AC41" s="217">
        <v>5.3452260671997909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35.496499999999997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4.37</v>
      </c>
      <c r="Q42" s="102"/>
      <c r="R42" s="102"/>
      <c r="S42" s="153">
        <v>190.6</v>
      </c>
      <c r="T42" s="217">
        <v>3.7999999999999999E-2</v>
      </c>
      <c r="U42" s="217">
        <v>3.713319754179014E-2</v>
      </c>
      <c r="X42" s="217">
        <v>1.3419999999999999</v>
      </c>
      <c r="Y42" s="217">
        <v>1.3113881868705886</v>
      </c>
      <c r="Z42" s="217">
        <v>0.13500000000000001</v>
      </c>
      <c r="AA42" s="217">
        <v>0.13192057021425446</v>
      </c>
      <c r="AB42" s="217">
        <v>1.0900000000000001</v>
      </c>
      <c r="AC42" s="217">
        <v>1.0651364558039804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35.344200000000001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4.5599999999999996</v>
      </c>
      <c r="Q43" s="102"/>
      <c r="R43" s="102"/>
      <c r="S43" s="153">
        <v>199</v>
      </c>
      <c r="T43" s="217">
        <v>8.0000000000000002E-3</v>
      </c>
      <c r="U43" s="217">
        <v>7.8175152719558196E-3</v>
      </c>
      <c r="X43" s="217">
        <v>1.2E-2</v>
      </c>
      <c r="Y43" s="217">
        <v>1.1726272907933729E-2</v>
      </c>
      <c r="Z43" s="217">
        <v>1.7000000000000001E-2</v>
      </c>
      <c r="AA43" s="217">
        <v>1.6612219952906116E-2</v>
      </c>
      <c r="AB43" s="217">
        <v>0.54</v>
      </c>
      <c r="AC43" s="217">
        <v>0.52768228085701785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35.346899999999998</v>
      </c>
      <c r="H44" s="118">
        <v>10</v>
      </c>
      <c r="I44" s="155">
        <v>11.8</v>
      </c>
      <c r="J44" s="102"/>
      <c r="K44" s="55"/>
      <c r="L44" s="55"/>
      <c r="M44" s="55"/>
      <c r="N44" s="56"/>
      <c r="O44" s="55"/>
      <c r="P44" s="102">
        <v>4.5350000000000001</v>
      </c>
      <c r="Q44" s="102"/>
      <c r="R44" s="102"/>
      <c r="S44" s="153">
        <v>197.9</v>
      </c>
      <c r="T44" s="217">
        <v>6.0000000000000019E-3</v>
      </c>
      <c r="U44" s="217">
        <v>5.8631364539668664E-3</v>
      </c>
      <c r="X44" s="217">
        <v>1.3999999999999999E-2</v>
      </c>
      <c r="Y44" s="217">
        <v>1.3680651725922682E-2</v>
      </c>
      <c r="Z44" s="217">
        <v>1.6E-2</v>
      </c>
      <c r="AA44" s="217">
        <v>1.5635030543911639E-2</v>
      </c>
      <c r="AB44" s="217">
        <v>0.5</v>
      </c>
      <c r="AC44" s="217">
        <v>0.48859470449723869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35.3474</v>
      </c>
      <c r="H45" s="118">
        <v>0</v>
      </c>
      <c r="I45" s="155">
        <v>1.3</v>
      </c>
      <c r="J45" s="102"/>
      <c r="K45" s="55"/>
      <c r="L45" s="55"/>
      <c r="M45" s="55"/>
      <c r="N45" s="56"/>
      <c r="O45" s="55"/>
      <c r="P45" s="102">
        <v>4.55</v>
      </c>
      <c r="Q45" s="102"/>
      <c r="R45" s="102"/>
      <c r="S45" s="153">
        <v>198.6</v>
      </c>
      <c r="T45" s="217">
        <v>8.0000000000000002E-3</v>
      </c>
      <c r="U45" s="217">
        <v>7.8175152719558196E-3</v>
      </c>
      <c r="X45" s="217">
        <v>1.2E-2</v>
      </c>
      <c r="Y45" s="217">
        <v>1.1726272907933729E-2</v>
      </c>
      <c r="Z45" s="217">
        <v>1.9000000000000003E-2</v>
      </c>
      <c r="AA45" s="217">
        <v>1.8566598770895074E-2</v>
      </c>
      <c r="AB45" s="217">
        <v>0.55000000000000004</v>
      </c>
      <c r="AC45" s="217">
        <v>0.53745417494696257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30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37875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30.15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1°30,15</v>
      </c>
      <c r="P9" s="39" t="s">
        <v>3</v>
      </c>
      <c r="Q9" s="201">
        <f>IF(ISBLANK(I9),"",IF(ISBLANK(J9),"",IF(J9&gt;60,"ERREUR !!",O11*(I9+(J9/60)))))</f>
        <v>1.5024999999999999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0</v>
      </c>
      <c r="J10" s="39">
        <v>0.15</v>
      </c>
      <c r="K10" s="42" t="s">
        <v>51</v>
      </c>
      <c r="L10" s="43" t="str">
        <f>IF(P10=N9,"+","-")</f>
        <v>+</v>
      </c>
      <c r="M10" s="42" t="s">
        <v>53</v>
      </c>
      <c r="N10" s="42" t="s">
        <v>55</v>
      </c>
      <c r="O10" s="11" t="str">
        <f>IF(ISBLANK(I10),"",IF(ISBLANK(J10),"",IF(P10=N10,L10&amp;N12,N12)))</f>
        <v>0°0,15</v>
      </c>
      <c r="P10" s="39" t="s">
        <v>54</v>
      </c>
      <c r="Q10" s="201">
        <f>IF(ISBLANK(I10),"",IF(ISBLANK(J10),"",IF(J10&gt;60,"ERREUR !!",O12*(I10+(J10/60)))))</f>
        <v>2.5000000000000001E-3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37875</v>
      </c>
      <c r="K11" s="72"/>
      <c r="L11" s="72"/>
      <c r="M11" s="72"/>
      <c r="N11" s="73" t="str">
        <f>I9&amp;"°"&amp;J9</f>
        <v>1°30,15</v>
      </c>
      <c r="O11" s="74">
        <f>IF(P9=M10,-1,1)</f>
        <v>1</v>
      </c>
      <c r="P11" s="185" t="str">
        <f>TEXT(J11,"aaaa-mm-jj")&amp;"T"&amp;TEXT(J12,"hh:mm:ss")&amp;"z"</f>
        <v>2007-09-12T13:30:00z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0.5625</v>
      </c>
      <c r="K12" s="75"/>
      <c r="L12" s="75"/>
      <c r="M12" s="75"/>
      <c r="N12" s="76" t="str">
        <f>I10&amp;"°"&amp;J10</f>
        <v>0°0,15</v>
      </c>
      <c r="O12" s="74">
        <f>IF(P10=N10,-1,1)</f>
        <v>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34.962499999999999</v>
      </c>
      <c r="H35" s="126">
        <v>2000</v>
      </c>
      <c r="I35" s="155">
        <v>2000</v>
      </c>
      <c r="J35" s="127"/>
      <c r="K35" s="128"/>
      <c r="L35" s="128"/>
      <c r="M35" s="128"/>
      <c r="N35" s="129"/>
      <c r="O35" s="128"/>
      <c r="P35" s="127">
        <v>5.4470000000000001</v>
      </c>
      <c r="Q35" s="127"/>
      <c r="R35" s="127"/>
      <c r="S35" s="153">
        <v>236.7</v>
      </c>
      <c r="T35" s="217">
        <v>1.2E-2</v>
      </c>
      <c r="U35" s="217">
        <v>1.1726272907933729E-2</v>
      </c>
      <c r="X35" s="217">
        <v>20.908000000000001</v>
      </c>
      <c r="Y35" s="217">
        <v>20.431076163256535</v>
      </c>
      <c r="Z35" s="217">
        <v>1.395</v>
      </c>
      <c r="AA35" s="217">
        <v>1.3631792255472961</v>
      </c>
      <c r="AB35" s="217">
        <v>23.27</v>
      </c>
      <c r="AC35" s="217">
        <v>22.73919754730149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34.617800000000003</v>
      </c>
      <c r="H36" s="126">
        <v>1000</v>
      </c>
      <c r="I36" s="155">
        <v>998</v>
      </c>
      <c r="J36" s="102"/>
      <c r="K36" s="55"/>
      <c r="L36" s="55"/>
      <c r="M36" s="55"/>
      <c r="N36" s="56"/>
      <c r="O36" s="55"/>
      <c r="P36" s="102">
        <v>3.3319999999999999</v>
      </c>
      <c r="Q36" s="102"/>
      <c r="R36" s="102"/>
      <c r="S36" s="153">
        <v>144.9</v>
      </c>
      <c r="T36" s="217">
        <v>1.6E-2</v>
      </c>
      <c r="U36" s="217">
        <v>1.5635030543911639E-2</v>
      </c>
      <c r="X36" s="217">
        <v>34.074000000000005</v>
      </c>
      <c r="Y36" s="217">
        <v>33.296751922077831</v>
      </c>
      <c r="Z36" s="217">
        <v>2.2730000000000001</v>
      </c>
      <c r="AA36" s="217">
        <v>2.2211515266444475</v>
      </c>
      <c r="AB36" s="217">
        <v>30.94</v>
      </c>
      <c r="AC36" s="217">
        <v>30.234240314289131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6.5" thickBot="1" x14ac:dyDescent="0.3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34.617600000000003</v>
      </c>
      <c r="H37" s="126">
        <v>1000</v>
      </c>
      <c r="I37" s="155">
        <v>998</v>
      </c>
      <c r="J37" s="102"/>
      <c r="K37" s="55"/>
      <c r="L37" s="55"/>
      <c r="M37" s="55"/>
      <c r="N37" s="56"/>
      <c r="O37" s="55"/>
      <c r="P37" s="102">
        <v>3.3029999999999999</v>
      </c>
      <c r="Q37" s="102"/>
      <c r="R37" s="102"/>
      <c r="S37" s="153">
        <v>143.6</v>
      </c>
      <c r="T37" s="217">
        <v>1.7000000000000001E-2</v>
      </c>
      <c r="U37" s="217">
        <v>1.6612219952906116E-2</v>
      </c>
      <c r="X37" s="217">
        <v>33.863</v>
      </c>
      <c r="Y37" s="217">
        <v>33.090564956779986</v>
      </c>
      <c r="Z37" s="217">
        <v>2.17</v>
      </c>
      <c r="AA37" s="217">
        <v>2.1205010175180159</v>
      </c>
      <c r="AB37" s="217">
        <v>30.87</v>
      </c>
      <c r="AC37" s="217">
        <v>30.165837055659519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34.613999999999997</v>
      </c>
      <c r="H38" s="126">
        <v>600</v>
      </c>
      <c r="I38" s="155">
        <v>600</v>
      </c>
      <c r="J38" s="102"/>
      <c r="K38" s="55"/>
      <c r="L38" s="55"/>
      <c r="M38" s="55"/>
      <c r="N38" s="56"/>
      <c r="O38" s="55"/>
      <c r="P38" s="102">
        <v>2.4049999999999998</v>
      </c>
      <c r="Q38" s="102"/>
      <c r="R38" s="102"/>
      <c r="S38" s="220">
        <v>104.6</v>
      </c>
      <c r="T38" s="217">
        <v>1.4999999999999999E-2</v>
      </c>
      <c r="U38" s="217">
        <v>1.465784113491716E-2</v>
      </c>
      <c r="X38" s="217">
        <v>35.774999999999999</v>
      </c>
      <c r="Y38" s="217">
        <v>34.958951106777427</v>
      </c>
      <c r="Z38" s="217">
        <v>2.2919999999999998</v>
      </c>
      <c r="AA38" s="217">
        <v>2.239718125415342</v>
      </c>
      <c r="AB38" s="217">
        <v>22.61</v>
      </c>
      <c r="AC38" s="217">
        <v>22.094252537365133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35.645400000000002</v>
      </c>
      <c r="H39" s="118">
        <v>100</v>
      </c>
      <c r="I39" s="155">
        <v>100</v>
      </c>
      <c r="J39" s="102"/>
      <c r="K39" s="55"/>
      <c r="L39" s="55"/>
      <c r="M39" s="55"/>
      <c r="N39" s="56"/>
      <c r="O39" s="55"/>
      <c r="P39" s="102">
        <v>3.1339999999999999</v>
      </c>
      <c r="Q39" s="102"/>
      <c r="R39" s="102"/>
      <c r="S39" s="220">
        <v>136.4</v>
      </c>
      <c r="T39" s="217">
        <v>4.4999999999999998E-2</v>
      </c>
      <c r="U39" s="217">
        <v>4.3973523404751483E-2</v>
      </c>
      <c r="X39" s="217">
        <v>15.355</v>
      </c>
      <c r="Y39" s="217">
        <v>15.0047433751102</v>
      </c>
      <c r="Z39" s="217">
        <v>1.0669999999999999</v>
      </c>
      <c r="AA39" s="217">
        <v>1.0426610993971073</v>
      </c>
      <c r="AB39" s="217">
        <v>5.65</v>
      </c>
      <c r="AC39" s="217">
        <v>5.5211201608187981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35.688200000000002</v>
      </c>
      <c r="H40" s="118">
        <v>80</v>
      </c>
      <c r="I40" s="155">
        <v>80</v>
      </c>
      <c r="J40" s="102"/>
      <c r="K40" s="55"/>
      <c r="L40" s="55"/>
      <c r="M40" s="55"/>
      <c r="N40" s="56"/>
      <c r="O40" s="55"/>
      <c r="P40" s="102">
        <v>3.15</v>
      </c>
      <c r="Q40" s="102"/>
      <c r="R40" s="102"/>
      <c r="S40" s="153">
        <v>137.1</v>
      </c>
      <c r="T40" s="217">
        <v>0.11600000000000001</v>
      </c>
      <c r="U40" s="217">
        <v>0.11335397144335939</v>
      </c>
      <c r="X40" s="217">
        <v>14.904</v>
      </c>
      <c r="Y40" s="217">
        <v>14.564030951653692</v>
      </c>
      <c r="Z40" s="217">
        <v>1.028</v>
      </c>
      <c r="AA40" s="217">
        <v>1.0045507124463229</v>
      </c>
      <c r="AB40" s="217">
        <v>5.43</v>
      </c>
      <c r="AC40" s="217">
        <v>5.306138490840012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35.806899999999999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2.9350000000000001</v>
      </c>
      <c r="Q41" s="102"/>
      <c r="R41" s="102"/>
      <c r="S41" s="153">
        <v>127.8</v>
      </c>
      <c r="T41" s="217">
        <v>0.16</v>
      </c>
      <c r="U41" s="217">
        <v>0.15635030543911638</v>
      </c>
      <c r="X41" s="217">
        <v>14.54</v>
      </c>
      <c r="Y41" s="217">
        <v>14.208334006779701</v>
      </c>
      <c r="Z41" s="217">
        <v>1</v>
      </c>
      <c r="AA41" s="217">
        <v>0.97718940899447737</v>
      </c>
      <c r="AB41" s="217">
        <v>4.79</v>
      </c>
      <c r="AC41" s="217">
        <v>4.6807372690835471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35.4876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4.3550000000000004</v>
      </c>
      <c r="Q42" s="102"/>
      <c r="R42" s="102"/>
      <c r="S42" s="153">
        <v>190</v>
      </c>
      <c r="T42" s="217">
        <v>4.1000000000000002E-2</v>
      </c>
      <c r="U42" s="217">
        <v>4.0064765768773575E-2</v>
      </c>
      <c r="X42" s="217">
        <v>1.119</v>
      </c>
      <c r="Y42" s="217">
        <v>1.0934749486648203</v>
      </c>
      <c r="Z42" s="217">
        <v>0.12300000000000001</v>
      </c>
      <c r="AA42" s="217">
        <v>0.12019429730632074</v>
      </c>
      <c r="AB42" s="217">
        <v>1.1299999999999999</v>
      </c>
      <c r="AC42" s="217">
        <v>1.1042240321637593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35.324599999999997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4.5430000000000001</v>
      </c>
      <c r="Q43" s="102"/>
      <c r="R43" s="102"/>
      <c r="S43" s="153">
        <v>198.3</v>
      </c>
      <c r="T43" s="217">
        <v>1.7000000000000001E-2</v>
      </c>
      <c r="U43" s="217">
        <v>1.6612219952906116E-2</v>
      </c>
      <c r="X43" s="217">
        <v>1.2999999999999998E-2</v>
      </c>
      <c r="Y43" s="217">
        <v>1.2703462316928205E-2</v>
      </c>
      <c r="Z43" s="217">
        <v>5.0000000000000001E-3</v>
      </c>
      <c r="AA43" s="217">
        <v>4.8859470449723911E-3</v>
      </c>
      <c r="AB43" s="217">
        <v>0.79</v>
      </c>
      <c r="AC43" s="217">
        <v>0.77197963310563722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35.320300000000003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4.5439999999999996</v>
      </c>
      <c r="Q44" s="102"/>
      <c r="R44" s="102"/>
      <c r="S44" s="153">
        <v>198.3</v>
      </c>
      <c r="T44" s="217">
        <v>1.6E-2</v>
      </c>
      <c r="U44" s="217">
        <v>1.5635030543911639E-2</v>
      </c>
      <c r="X44" s="217">
        <v>0</v>
      </c>
      <c r="Y44" s="217">
        <v>0</v>
      </c>
      <c r="Z44" s="217">
        <v>2.0000000000000018E-3</v>
      </c>
      <c r="AA44" s="217">
        <v>1.9543788179889566E-3</v>
      </c>
      <c r="AB44" s="217">
        <v>0.8</v>
      </c>
      <c r="AC44" s="217">
        <v>0.78175152719558194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35.326300000000003</v>
      </c>
      <c r="H45" s="118">
        <v>0</v>
      </c>
      <c r="I45" s="155">
        <v>1.3</v>
      </c>
      <c r="J45" s="102"/>
      <c r="K45" s="55"/>
      <c r="L45" s="55"/>
      <c r="M45" s="55"/>
      <c r="N45" s="56"/>
      <c r="O45" s="55"/>
      <c r="P45" s="102">
        <v>4.5140000000000002</v>
      </c>
      <c r="Q45" s="102"/>
      <c r="R45" s="102"/>
      <c r="S45" s="153">
        <v>197.1</v>
      </c>
      <c r="T45" s="217">
        <v>2.1000000000000001E-2</v>
      </c>
      <c r="U45" s="217">
        <v>2.0520977588884028E-2</v>
      </c>
      <c r="X45" s="217">
        <v>8.9999999999999976E-3</v>
      </c>
      <c r="Y45" s="217">
        <v>8.7947046809502948E-3</v>
      </c>
      <c r="Z45" s="217">
        <v>1.2999999999999998E-2</v>
      </c>
      <c r="AA45" s="217">
        <v>1.2703462316928205E-2</v>
      </c>
      <c r="AB45" s="217">
        <v>0.73</v>
      </c>
      <c r="AC45" s="217">
        <v>0.71334826856596845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tabSelected="1"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31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59.78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-2°59,78</v>
      </c>
      <c r="P9" s="39" t="s">
        <v>53</v>
      </c>
      <c r="Q9" s="201">
        <f>IF(ISBLANK(I9),"",IF(ISBLANK(J9),"",IF(J9&gt;60,"ERREUR !!",O11*(I9+(J9/60)))))</f>
        <v>-2.9963333333333333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10</v>
      </c>
      <c r="J10" s="39">
        <v>0.16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-10°0,16</v>
      </c>
      <c r="P10" s="39" t="s">
        <v>55</v>
      </c>
      <c r="Q10" s="201">
        <f>IF(ISBLANK(I10),"",IF(ISBLANK(J10),"",IF(J10&gt;60,"ERREUR !!",O12*(I10+(J10/60)))))</f>
        <v>-10.002666666666666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37884</v>
      </c>
      <c r="K11" s="72"/>
      <c r="L11" s="72"/>
      <c r="M11" s="72"/>
      <c r="N11" s="73" t="str">
        <f>I9&amp;"°"&amp;J9</f>
        <v>2°59,78</v>
      </c>
      <c r="O11" s="74">
        <f>IF(P9=M10,-1,1)</f>
        <v>-1</v>
      </c>
      <c r="P11" s="185" t="str">
        <f>TEXT(J11,"aaaa-mm-jj")&amp;"T"&amp;TEXT(J12,"hh:mm:ss")&amp;"z"</f>
        <v>2007-09-21T14:30:00z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0.60416666666666663</v>
      </c>
      <c r="K12" s="75"/>
      <c r="L12" s="75"/>
      <c r="M12" s="75"/>
      <c r="N12" s="76" t="str">
        <f>I10&amp;"°"&amp;J10</f>
        <v>10°0,16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34.606900000000003</v>
      </c>
      <c r="H35" s="126">
        <v>500</v>
      </c>
      <c r="I35" s="155">
        <v>514.29999999999995</v>
      </c>
      <c r="J35" s="127"/>
      <c r="K35" s="128"/>
      <c r="L35" s="128"/>
      <c r="M35" s="128"/>
      <c r="N35" s="129"/>
      <c r="O35" s="128"/>
      <c r="P35" s="127">
        <v>2.7189999999999999</v>
      </c>
      <c r="Q35" s="127"/>
      <c r="R35" s="127"/>
      <c r="S35" s="153">
        <v>118.2</v>
      </c>
      <c r="T35" s="217">
        <v>2.4E-2</v>
      </c>
      <c r="U35" s="217">
        <v>2.3452545815867459E-2</v>
      </c>
      <c r="X35" s="217">
        <v>33.955999999999996</v>
      </c>
      <c r="Y35" s="217">
        <v>33.181443571816473</v>
      </c>
      <c r="Z35" s="217">
        <v>2.17</v>
      </c>
      <c r="AA35" s="217">
        <v>2.1205010175180159</v>
      </c>
      <c r="AB35" s="217">
        <v>20.41</v>
      </c>
      <c r="AC35" s="217">
        <v>19.944435837577284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34.605499999999999</v>
      </c>
      <c r="H36" s="126">
        <v>500</v>
      </c>
      <c r="I36" s="155">
        <v>513</v>
      </c>
      <c r="J36" s="102"/>
      <c r="K36" s="55"/>
      <c r="L36" s="55"/>
      <c r="M36" s="55"/>
      <c r="N36" s="56"/>
      <c r="O36" s="55"/>
      <c r="P36" s="102">
        <v>2.6949999999999998</v>
      </c>
      <c r="Q36" s="102"/>
      <c r="R36" s="102"/>
      <c r="S36" s="153">
        <v>117.2</v>
      </c>
      <c r="T36" s="217">
        <v>0.03</v>
      </c>
      <c r="U36" s="217">
        <v>2.9315682269834321E-2</v>
      </c>
      <c r="X36" s="217">
        <v>34.06</v>
      </c>
      <c r="Y36" s="217">
        <v>33.283071270351904</v>
      </c>
      <c r="Z36" s="217">
        <v>2.1549999999999998</v>
      </c>
      <c r="AA36" s="217">
        <v>2.1058431763830985</v>
      </c>
      <c r="AB36" s="217">
        <v>19.72</v>
      </c>
      <c r="AC36" s="217">
        <v>19.270175145371095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35.149000000000001</v>
      </c>
      <c r="H37" s="126">
        <v>300</v>
      </c>
      <c r="I37" s="155">
        <v>291</v>
      </c>
      <c r="J37" s="102"/>
      <c r="K37" s="55"/>
      <c r="L37" s="55"/>
      <c r="M37" s="55"/>
      <c r="N37" s="56"/>
      <c r="O37" s="55"/>
      <c r="P37" s="102">
        <v>2.367</v>
      </c>
      <c r="Q37" s="102"/>
      <c r="R37" s="102"/>
      <c r="S37" s="153">
        <v>103</v>
      </c>
      <c r="T37" s="217">
        <v>3.1E-2</v>
      </c>
      <c r="U37" s="217">
        <v>3.0292871678828798E-2</v>
      </c>
      <c r="X37" s="217">
        <v>24.709</v>
      </c>
      <c r="Y37" s="217">
        <v>24.145373106844541</v>
      </c>
      <c r="Z37" s="217">
        <v>1.58</v>
      </c>
      <c r="AA37" s="217">
        <v>1.5439592662112742</v>
      </c>
      <c r="AB37" s="217">
        <v>9.66</v>
      </c>
      <c r="AC37" s="217">
        <v>9.4396496908866521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35.570500000000003</v>
      </c>
      <c r="H38" s="118">
        <v>100</v>
      </c>
      <c r="I38" s="155">
        <v>98.7</v>
      </c>
      <c r="J38" s="102"/>
      <c r="K38" s="55"/>
      <c r="L38" s="55"/>
      <c r="M38" s="55"/>
      <c r="N38" s="56"/>
      <c r="O38" s="55"/>
      <c r="P38" s="102">
        <v>2.3980000000000001</v>
      </c>
      <c r="Q38" s="102"/>
      <c r="R38" s="102"/>
      <c r="S38" s="220">
        <v>104.4</v>
      </c>
      <c r="T38" s="217">
        <v>4.3999999999999997E-2</v>
      </c>
      <c r="U38" s="217">
        <v>4.2996333995757002E-2</v>
      </c>
      <c r="X38" s="217">
        <v>19.486000000000001</v>
      </c>
      <c r="Y38" s="217">
        <v>19.041512823666388</v>
      </c>
      <c r="Z38" s="217">
        <v>1.284</v>
      </c>
      <c r="AA38" s="217">
        <v>1.254711201148909</v>
      </c>
      <c r="AB38" s="217">
        <v>6.3</v>
      </c>
      <c r="AC38" s="217">
        <v>6.1562932766652079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35.627200000000002</v>
      </c>
      <c r="H39" s="118">
        <v>80</v>
      </c>
      <c r="I39" s="155">
        <v>78.400000000000006</v>
      </c>
      <c r="J39" s="102"/>
      <c r="K39" s="55"/>
      <c r="L39" s="55"/>
      <c r="M39" s="55"/>
      <c r="N39" s="56"/>
      <c r="O39" s="55"/>
      <c r="P39" s="102">
        <v>2.516</v>
      </c>
      <c r="Q39" s="102"/>
      <c r="R39" s="102"/>
      <c r="S39" s="220">
        <v>109.5</v>
      </c>
      <c r="T39" s="217">
        <v>6.8000000000000005E-2</v>
      </c>
      <c r="U39" s="217">
        <v>6.6448879811624464E-2</v>
      </c>
      <c r="X39" s="217">
        <v>18.411999999999999</v>
      </c>
      <c r="Y39" s="217">
        <v>17.992011398406316</v>
      </c>
      <c r="Z39" s="217">
        <v>1.222</v>
      </c>
      <c r="AA39" s="217">
        <v>1.1941254577912515</v>
      </c>
      <c r="AB39" s="217">
        <v>6.01</v>
      </c>
      <c r="AC39" s="217">
        <v>5.8729083480568089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35.665799999999997</v>
      </c>
      <c r="H40" s="118">
        <v>60</v>
      </c>
      <c r="I40" s="155">
        <v>57.2</v>
      </c>
      <c r="J40" s="102"/>
      <c r="K40" s="55"/>
      <c r="L40" s="55"/>
      <c r="M40" s="55"/>
      <c r="N40" s="56"/>
      <c r="O40" s="55"/>
      <c r="P40" s="102">
        <v>2.4950000000000001</v>
      </c>
      <c r="Q40" s="102"/>
      <c r="R40" s="102"/>
      <c r="S40" s="153">
        <v>108.6</v>
      </c>
      <c r="T40" s="217">
        <v>0.187</v>
      </c>
      <c r="U40" s="217">
        <v>0.18273441948196728</v>
      </c>
      <c r="X40" s="217">
        <v>17.773</v>
      </c>
      <c r="Y40" s="217">
        <v>17.367587366058846</v>
      </c>
      <c r="Z40" s="217">
        <v>1.1869999999999998</v>
      </c>
      <c r="AA40" s="217">
        <v>1.1599238284764446</v>
      </c>
      <c r="AB40" s="217">
        <v>5.42</v>
      </c>
      <c r="AC40" s="217">
        <v>5.296366596750067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35.703499999999998</v>
      </c>
      <c r="H41" s="118">
        <v>40</v>
      </c>
      <c r="I41" s="155">
        <v>43.6</v>
      </c>
      <c r="J41" s="102"/>
      <c r="K41" s="55"/>
      <c r="L41" s="55"/>
      <c r="M41" s="55"/>
      <c r="N41" s="56"/>
      <c r="O41" s="55"/>
      <c r="P41" s="102">
        <v>2.907</v>
      </c>
      <c r="Q41" s="102"/>
      <c r="R41" s="102"/>
      <c r="S41" s="153">
        <v>126.6</v>
      </c>
      <c r="T41" s="217">
        <v>0.66600000000000004</v>
      </c>
      <c r="U41" s="217">
        <v>0.65080814639032203</v>
      </c>
      <c r="X41" s="217">
        <v>13.703999999999999</v>
      </c>
      <c r="Y41" s="217">
        <v>13.391403660860318</v>
      </c>
      <c r="Z41" s="217">
        <v>1.0029999999999999</v>
      </c>
      <c r="AA41" s="217">
        <v>0.98012097722146074</v>
      </c>
      <c r="AB41" s="217">
        <v>4.32</v>
      </c>
      <c r="AC41" s="217">
        <v>4.2214582468561428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35.706699999999998</v>
      </c>
      <c r="H42" s="118">
        <v>20</v>
      </c>
      <c r="I42" s="155">
        <v>22.4</v>
      </c>
      <c r="J42" s="102"/>
      <c r="K42" s="55"/>
      <c r="L42" s="55"/>
      <c r="M42" s="55"/>
      <c r="N42" s="56"/>
      <c r="O42" s="55"/>
      <c r="P42" s="102">
        <v>4.7880000000000003</v>
      </c>
      <c r="Q42" s="102"/>
      <c r="R42" s="102"/>
      <c r="S42" s="153">
        <v>208.8</v>
      </c>
      <c r="T42" s="217">
        <v>0.108</v>
      </c>
      <c r="U42" s="217">
        <v>0.10553645617140356</v>
      </c>
      <c r="X42" s="217">
        <v>1.1519999999999999</v>
      </c>
      <c r="Y42" s="217">
        <v>1.125722199161638</v>
      </c>
      <c r="Z42" s="217">
        <v>0.20299999999999996</v>
      </c>
      <c r="AA42" s="217">
        <v>0.19836945002587889</v>
      </c>
      <c r="AB42" s="217">
        <v>1.56</v>
      </c>
      <c r="AC42" s="217">
        <v>1.5244154780313848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35.686599999999999</v>
      </c>
      <c r="H43" s="118">
        <v>10</v>
      </c>
      <c r="I43" s="155">
        <v>5.2</v>
      </c>
      <c r="J43" s="102"/>
      <c r="K43" s="55"/>
      <c r="L43" s="55"/>
      <c r="M43" s="55"/>
      <c r="N43" s="56"/>
      <c r="O43" s="55"/>
      <c r="P43" s="102">
        <v>5.2610000000000001</v>
      </c>
      <c r="Q43" s="102"/>
      <c r="R43" s="102"/>
      <c r="S43" s="153">
        <v>229.5</v>
      </c>
      <c r="T43" s="217">
        <v>6.0999999999999999E-2</v>
      </c>
      <c r="U43" s="217">
        <v>5.9608553948663122E-2</v>
      </c>
      <c r="X43" s="217">
        <v>0.11899999999999999</v>
      </c>
      <c r="Y43" s="217">
        <v>0.1162855396703428</v>
      </c>
      <c r="Z43" s="217">
        <v>0.126</v>
      </c>
      <c r="AA43" s="217">
        <v>0.12312586553330415</v>
      </c>
      <c r="AB43" s="217">
        <v>1.41</v>
      </c>
      <c r="AC43" s="217">
        <v>1.3778370666822131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35.686199999999999</v>
      </c>
      <c r="H44" s="118">
        <v>0</v>
      </c>
      <c r="I44" s="155">
        <v>1.3</v>
      </c>
      <c r="J44" s="102"/>
      <c r="K44" s="55"/>
      <c r="L44" s="55"/>
      <c r="M44" s="55"/>
      <c r="N44" s="56"/>
      <c r="O44" s="55"/>
      <c r="P44" s="102">
        <v>4.9640000000000004</v>
      </c>
      <c r="Q44" s="102"/>
      <c r="R44" s="102"/>
      <c r="S44" s="153">
        <v>216.5</v>
      </c>
      <c r="T44" s="217">
        <v>5.3999999999999999E-2</v>
      </c>
      <c r="U44" s="217">
        <v>5.2768228085701779E-2</v>
      </c>
      <c r="X44" s="217">
        <v>0.10600000000000001</v>
      </c>
      <c r="Y44" s="217">
        <v>0.10358207735341461</v>
      </c>
      <c r="Z44" s="217">
        <v>0.12200000000000001</v>
      </c>
      <c r="AA44" s="217">
        <v>0.11921710789732626</v>
      </c>
      <c r="AB44" s="217">
        <v>1.39</v>
      </c>
      <c r="AC44" s="217">
        <v>1.3582932785023234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>
        <v>35.685699999999997</v>
      </c>
      <c r="H45" s="118">
        <v>0</v>
      </c>
      <c r="I45" s="155">
        <v>1.5</v>
      </c>
      <c r="J45" s="102"/>
      <c r="K45" s="55"/>
      <c r="L45" s="55"/>
      <c r="M45" s="55"/>
      <c r="N45" s="56"/>
      <c r="O45" s="55"/>
      <c r="P45" s="102">
        <v>4.8559999999999999</v>
      </c>
      <c r="Q45" s="102"/>
      <c r="R45" s="102"/>
      <c r="S45" s="153">
        <v>211.8</v>
      </c>
      <c r="T45" s="217">
        <v>5.1999999999999998E-2</v>
      </c>
      <c r="U45" s="217">
        <v>5.0813849267712825E-2</v>
      </c>
      <c r="X45" s="217">
        <v>0.11800000000000002</v>
      </c>
      <c r="Y45" s="217">
        <v>0.11530835026134835</v>
      </c>
      <c r="Z45" s="217">
        <v>0.12200000000000001</v>
      </c>
      <c r="AA45" s="217">
        <v>0.11921710789732626</v>
      </c>
      <c r="AB45" s="217">
        <v>1.42</v>
      </c>
      <c r="AC45" s="217">
        <v>1.3876089607721578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disablePrompts="1"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32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29.76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-2°29,76</v>
      </c>
      <c r="P9" s="39" t="s">
        <v>53</v>
      </c>
      <c r="Q9" s="201">
        <f>IF(ISBLANK(I9),"",IF(ISBLANK(J9),"",IF(J9&gt;60,"ERREUR !!",O11*(I9+(J9/60)))))</f>
        <v>-2.496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10</v>
      </c>
      <c r="J10" s="39">
        <v>0.08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-10°0,08</v>
      </c>
      <c r="P10" s="39" t="s">
        <v>55</v>
      </c>
      <c r="Q10" s="201">
        <f>IF(ISBLANK(I10),"",IF(ISBLANK(J10),"",IF(J10&gt;60,"ERREUR !!",O12*(I10+(J10/60)))))</f>
        <v>-10.001333333333333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37884</v>
      </c>
      <c r="K11" s="72"/>
      <c r="L11" s="72"/>
      <c r="M11" s="72"/>
      <c r="N11" s="73" t="str">
        <f>I9&amp;"°"&amp;J9</f>
        <v>2°29,76</v>
      </c>
      <c r="O11" s="74">
        <f>IF(P9=M10,-1,1)</f>
        <v>-1</v>
      </c>
      <c r="P11" s="185" t="str">
        <f>TEXT(J11,"aaaa-mm-jj")&amp;"T"&amp;TEXT(J12,"hh:mm:ss")&amp;"z"</f>
        <v>2007-09-21T19:00:00z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0.79166666666666663</v>
      </c>
      <c r="K12" s="75"/>
      <c r="L12" s="75"/>
      <c r="M12" s="75"/>
      <c r="N12" s="76" t="str">
        <f>I10&amp;"°"&amp;J10</f>
        <v>10°0,08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34.591200000000001</v>
      </c>
      <c r="H35" s="126">
        <v>500</v>
      </c>
      <c r="I35" s="155">
        <v>502.4</v>
      </c>
      <c r="J35" s="127"/>
      <c r="K35" s="128"/>
      <c r="L35" s="128"/>
      <c r="M35" s="128"/>
      <c r="N35" s="129"/>
      <c r="O35" s="128"/>
      <c r="P35" s="127">
        <v>2.7949999999999999</v>
      </c>
      <c r="Q35" s="127"/>
      <c r="R35" s="127"/>
      <c r="S35" s="153">
        <v>121.6</v>
      </c>
      <c r="T35" s="217">
        <v>2.9000000000000001E-2</v>
      </c>
      <c r="U35" s="217">
        <v>2.8338492860839847E-2</v>
      </c>
      <c r="X35" s="217">
        <v>33.870999999999995</v>
      </c>
      <c r="Y35" s="217">
        <v>33.098382472051938</v>
      </c>
      <c r="Z35" s="217">
        <v>2.1829999999999998</v>
      </c>
      <c r="AA35" s="217">
        <v>2.1332044798349439</v>
      </c>
      <c r="AB35" s="217">
        <v>21</v>
      </c>
      <c r="AC35" s="217">
        <v>20.520977588884026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35.122900000000001</v>
      </c>
      <c r="H36" s="126">
        <v>300</v>
      </c>
      <c r="I36" s="155">
        <v>300.5</v>
      </c>
      <c r="J36" s="102"/>
      <c r="K36" s="55"/>
      <c r="L36" s="55"/>
      <c r="M36" s="55"/>
      <c r="N36" s="56"/>
      <c r="O36" s="55"/>
      <c r="P36" s="102">
        <v>2.343</v>
      </c>
      <c r="Q36" s="102"/>
      <c r="R36" s="102"/>
      <c r="S36" s="153">
        <v>101.9</v>
      </c>
      <c r="T36" s="217">
        <v>0.04</v>
      </c>
      <c r="U36" s="217">
        <v>3.9087576359779094E-2</v>
      </c>
      <c r="X36" s="217">
        <v>25.33</v>
      </c>
      <c r="Y36" s="217">
        <v>24.752207729830115</v>
      </c>
      <c r="Z36" s="217">
        <v>1.641</v>
      </c>
      <c r="AA36" s="217">
        <v>1.6035678201599375</v>
      </c>
      <c r="AB36" s="217">
        <v>10.17</v>
      </c>
      <c r="AC36" s="217">
        <v>9.9380162894738344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35.124000000000002</v>
      </c>
      <c r="H37" s="126">
        <v>300</v>
      </c>
      <c r="I37" s="155">
        <v>300.3</v>
      </c>
      <c r="J37" s="102"/>
      <c r="K37" s="55"/>
      <c r="L37" s="55"/>
      <c r="M37" s="55"/>
      <c r="N37" s="56"/>
      <c r="O37" s="55"/>
      <c r="P37" s="102">
        <v>2.339</v>
      </c>
      <c r="Q37" s="102"/>
      <c r="R37" s="102"/>
      <c r="S37" s="153">
        <v>101.8</v>
      </c>
      <c r="T37" s="217">
        <v>3.4000000000000002E-2</v>
      </c>
      <c r="U37" s="217">
        <v>3.3224439905812232E-2</v>
      </c>
      <c r="X37" s="217">
        <v>25.206</v>
      </c>
      <c r="Y37" s="217">
        <v>24.631036243114796</v>
      </c>
      <c r="Z37" s="217">
        <v>1.621</v>
      </c>
      <c r="AA37" s="217">
        <v>1.5840240319800478</v>
      </c>
      <c r="AB37" s="217">
        <v>10.14</v>
      </c>
      <c r="AC37" s="217">
        <v>9.9087006072040023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35.530200000000001</v>
      </c>
      <c r="H38" s="118">
        <v>100</v>
      </c>
      <c r="I38" s="155">
        <v>100.5</v>
      </c>
      <c r="J38" s="102"/>
      <c r="K38" s="55"/>
      <c r="L38" s="55"/>
      <c r="M38" s="55"/>
      <c r="N38" s="56"/>
      <c r="O38" s="55"/>
      <c r="P38" s="102">
        <v>2.371</v>
      </c>
      <c r="Q38" s="102"/>
      <c r="R38" s="102"/>
      <c r="S38" s="220">
        <v>103.2</v>
      </c>
      <c r="T38" s="217">
        <v>4.5999999999999999E-2</v>
      </c>
      <c r="U38" s="217">
        <v>4.4950712813745956E-2</v>
      </c>
      <c r="X38" s="217">
        <v>19.984000000000002</v>
      </c>
      <c r="Y38" s="217">
        <v>19.528153149345638</v>
      </c>
      <c r="Z38" s="217">
        <v>1.3079999999999998</v>
      </c>
      <c r="AA38" s="217">
        <v>1.2781637469647762</v>
      </c>
      <c r="AB38" s="217">
        <v>6.66</v>
      </c>
      <c r="AC38" s="217">
        <v>6.5080814639032196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35.574300000000001</v>
      </c>
      <c r="H39" s="118">
        <v>80</v>
      </c>
      <c r="I39" s="155">
        <v>80.5</v>
      </c>
      <c r="J39" s="102"/>
      <c r="K39" s="55"/>
      <c r="L39" s="55"/>
      <c r="M39" s="55"/>
      <c r="N39" s="56"/>
      <c r="O39" s="55"/>
      <c r="P39" s="102">
        <v>2.4129999999999998</v>
      </c>
      <c r="Q39" s="102"/>
      <c r="R39" s="102"/>
      <c r="S39" s="220">
        <v>105</v>
      </c>
      <c r="T39" s="217">
        <v>5.8999999999999997E-2</v>
      </c>
      <c r="U39" s="217">
        <v>5.7654175130674161E-2</v>
      </c>
      <c r="X39" s="217">
        <v>19.460999999999999</v>
      </c>
      <c r="Y39" s="217">
        <v>19.017083088441524</v>
      </c>
      <c r="Z39" s="217">
        <v>1.288</v>
      </c>
      <c r="AA39" s="217">
        <v>1.258619958784887</v>
      </c>
      <c r="AB39" s="217">
        <v>6.42</v>
      </c>
      <c r="AC39" s="217">
        <v>6.2735560057445445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35.653199999999998</v>
      </c>
      <c r="H40" s="118">
        <v>60</v>
      </c>
      <c r="I40" s="155">
        <v>59.4</v>
      </c>
      <c r="J40" s="102"/>
      <c r="K40" s="55"/>
      <c r="L40" s="55"/>
      <c r="M40" s="55"/>
      <c r="N40" s="56"/>
      <c r="O40" s="55"/>
      <c r="P40" s="102">
        <v>2.67</v>
      </c>
      <c r="Q40" s="102"/>
      <c r="R40" s="102"/>
      <c r="S40" s="153">
        <v>116.2</v>
      </c>
      <c r="T40" s="217">
        <v>0.68100000000000005</v>
      </c>
      <c r="U40" s="217">
        <v>0.66546598752523911</v>
      </c>
      <c r="X40" s="217">
        <v>15.989000000000001</v>
      </c>
      <c r="Y40" s="217">
        <v>15.6242814604127</v>
      </c>
      <c r="Z40" s="217">
        <v>1.1359999999999999</v>
      </c>
      <c r="AA40" s="217">
        <v>1.1100871686177263</v>
      </c>
      <c r="AB40" s="217">
        <v>5.22</v>
      </c>
      <c r="AC40" s="217">
        <v>5.1009287149511717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35.780999999999999</v>
      </c>
      <c r="H41" s="118">
        <v>40</v>
      </c>
      <c r="I41" s="155">
        <v>39.9</v>
      </c>
      <c r="J41" s="102"/>
      <c r="K41" s="55"/>
      <c r="L41" s="55"/>
      <c r="M41" s="55"/>
      <c r="N41" s="56"/>
      <c r="O41" s="55"/>
      <c r="P41" s="102">
        <v>4.3280000000000003</v>
      </c>
      <c r="Q41" s="102"/>
      <c r="R41" s="102"/>
      <c r="S41" s="153">
        <v>188.6</v>
      </c>
      <c r="T41" s="217">
        <v>0.25600000000000001</v>
      </c>
      <c r="U41" s="217">
        <v>0.25016048870258623</v>
      </c>
      <c r="X41" s="217">
        <v>3.2539999999999996</v>
      </c>
      <c r="Y41" s="217">
        <v>3.1797743368680291</v>
      </c>
      <c r="Z41" s="217">
        <v>0.38500000000000001</v>
      </c>
      <c r="AA41" s="217">
        <v>0.37621792246287383</v>
      </c>
      <c r="AB41" s="217">
        <v>2.11</v>
      </c>
      <c r="AC41" s="217">
        <v>2.0618696529783471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35.800600000000003</v>
      </c>
      <c r="H42" s="118">
        <v>20</v>
      </c>
      <c r="I42" s="155">
        <v>20.100000000000001</v>
      </c>
      <c r="J42" s="102"/>
      <c r="K42" s="55"/>
      <c r="L42" s="55"/>
      <c r="M42" s="55"/>
      <c r="N42" s="56"/>
      <c r="O42" s="55"/>
      <c r="P42" s="102">
        <v>4.7409999999999997</v>
      </c>
      <c r="Q42" s="102"/>
      <c r="R42" s="102"/>
      <c r="S42" s="153">
        <v>206.7</v>
      </c>
      <c r="T42" s="217">
        <v>0.125</v>
      </c>
      <c r="U42" s="217">
        <v>0.12214867612430967</v>
      </c>
      <c r="X42" s="217">
        <v>0.71499999999999997</v>
      </c>
      <c r="Y42" s="217">
        <v>0.69869042743105136</v>
      </c>
      <c r="Z42" s="217">
        <v>0.16699999999999998</v>
      </c>
      <c r="AA42" s="217">
        <v>0.1631906313020777</v>
      </c>
      <c r="AB42" s="217">
        <v>1.69</v>
      </c>
      <c r="AC42" s="217">
        <v>1.6514501012006668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35.735900000000001</v>
      </c>
      <c r="H43" s="118">
        <v>10</v>
      </c>
      <c r="I43" s="155">
        <v>9.9</v>
      </c>
      <c r="J43" s="102"/>
      <c r="K43" s="55"/>
      <c r="L43" s="55"/>
      <c r="M43" s="55"/>
      <c r="N43" s="56"/>
      <c r="O43" s="55"/>
      <c r="P43" s="102">
        <v>4.8310000000000004</v>
      </c>
      <c r="Q43" s="102"/>
      <c r="R43" s="102"/>
      <c r="S43" s="153">
        <v>210.7</v>
      </c>
      <c r="T43" s="217">
        <v>6.9000000000000006E-2</v>
      </c>
      <c r="U43" s="217">
        <v>6.7426069220618945E-2</v>
      </c>
      <c r="X43" s="217">
        <v>0.30099999999999999</v>
      </c>
      <c r="Y43" s="217">
        <v>0.29413401210733769</v>
      </c>
      <c r="Z43" s="217">
        <v>0.128</v>
      </c>
      <c r="AA43" s="217">
        <v>0.12508024435129311</v>
      </c>
      <c r="AB43" s="217">
        <v>1.69</v>
      </c>
      <c r="AC43" s="217">
        <v>1.6514501012006668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35.726799999999997</v>
      </c>
      <c r="H44" s="118">
        <v>0</v>
      </c>
      <c r="I44" s="155">
        <v>1.7</v>
      </c>
      <c r="J44" s="102"/>
      <c r="K44" s="55"/>
      <c r="L44" s="55"/>
      <c r="M44" s="55"/>
      <c r="N44" s="56"/>
      <c r="O44" s="55"/>
      <c r="P44" s="102">
        <v>4.8239999999999998</v>
      </c>
      <c r="Q44" s="102"/>
      <c r="R44" s="102"/>
      <c r="S44" s="153">
        <v>210.4</v>
      </c>
      <c r="T44" s="217">
        <v>6.2E-2</v>
      </c>
      <c r="U44" s="217">
        <v>6.0585743357657595E-2</v>
      </c>
      <c r="X44" s="217">
        <v>0.25800000000000001</v>
      </c>
      <c r="Y44" s="217">
        <v>0.25211486752057516</v>
      </c>
      <c r="Z44" s="217">
        <v>0.128</v>
      </c>
      <c r="AA44" s="217">
        <v>0.12508024435129311</v>
      </c>
      <c r="AB44" s="217">
        <v>1.82</v>
      </c>
      <c r="AC44" s="217">
        <v>1.7784847243699489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>
        <v>35.726999999999997</v>
      </c>
      <c r="H45" s="118">
        <v>0</v>
      </c>
      <c r="I45" s="155">
        <v>1.8</v>
      </c>
      <c r="J45" s="102"/>
      <c r="K45" s="55"/>
      <c r="L45" s="55"/>
      <c r="M45" s="55"/>
      <c r="N45" s="56"/>
      <c r="O45" s="55"/>
      <c r="P45" s="102">
        <v>4.8849999999999998</v>
      </c>
      <c r="Q45" s="102"/>
      <c r="R45" s="102"/>
      <c r="S45" s="153">
        <v>213.1</v>
      </c>
      <c r="T45" s="217">
        <v>6.3E-2</v>
      </c>
      <c r="U45" s="217">
        <v>6.1562932766652076E-2</v>
      </c>
      <c r="X45" s="217">
        <v>0.19700000000000001</v>
      </c>
      <c r="Y45" s="217">
        <v>0.19250631357191206</v>
      </c>
      <c r="Z45" s="217">
        <v>0.13</v>
      </c>
      <c r="AA45" s="217">
        <v>0.12703462316928207</v>
      </c>
      <c r="AB45" s="217">
        <v>1.74</v>
      </c>
      <c r="AC45" s="217">
        <v>1.7003095716503906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J13" sqref="J13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33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37885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2</v>
      </c>
      <c r="J9" s="39">
        <v>0.12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-2°0,12</v>
      </c>
      <c r="P9" s="39" t="s">
        <v>53</v>
      </c>
      <c r="Q9" s="201">
        <f>IF(ISBLANK(I9),"",IF(ISBLANK(J9),"",IF(J9&gt;60,"ERREUR !!",O11*(I9+(J9/60)))))</f>
        <v>-2.0019999999999998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10</v>
      </c>
      <c r="J10" s="39">
        <v>0.09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-10°0,09</v>
      </c>
      <c r="P10" s="39" t="s">
        <v>55</v>
      </c>
      <c r="Q10" s="201">
        <f>IF(ISBLANK(I10),"",IF(ISBLANK(J10),"",IF(J10&gt;60,"ERREUR !!",O12*(I10+(J10/60)))))</f>
        <v>-10.0015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37884</v>
      </c>
      <c r="K11" s="72"/>
      <c r="L11" s="72"/>
      <c r="M11" s="72"/>
      <c r="N11" s="73" t="str">
        <f>I9&amp;"°"&amp;J9</f>
        <v>2°0,12</v>
      </c>
      <c r="O11" s="74">
        <f>IF(P9=M10,-1,1)</f>
        <v>-1</v>
      </c>
      <c r="P11" s="185" t="str">
        <f>TEXT(J11,"aaaa-mm-jj")&amp;"T"&amp;TEXT(J12,"hh:mm:ss")&amp;"z"</f>
        <v>2007-09-21T23:00:00z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0.95833333333333337</v>
      </c>
      <c r="K12" s="75"/>
      <c r="L12" s="75"/>
      <c r="M12" s="75"/>
      <c r="N12" s="76" t="str">
        <f>I10&amp;"°"&amp;J10</f>
        <v>10°0,09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34.569299999999998</v>
      </c>
      <c r="H35" s="126">
        <v>500</v>
      </c>
      <c r="I35" s="155">
        <v>499.15</v>
      </c>
      <c r="J35" s="127"/>
      <c r="K35" s="128"/>
      <c r="L35" s="128"/>
      <c r="M35" s="128"/>
      <c r="N35" s="129"/>
      <c r="O35" s="128"/>
      <c r="P35" s="127">
        <v>2.9529999999999998</v>
      </c>
      <c r="Q35" s="127"/>
      <c r="R35" s="127"/>
      <c r="S35" s="153">
        <v>128.4</v>
      </c>
      <c r="T35" s="217">
        <v>1.4E-2</v>
      </c>
      <c r="U35" s="217">
        <v>1.3680651725922683E-2</v>
      </c>
      <c r="X35" s="217">
        <v>33.756</v>
      </c>
      <c r="Y35" s="217">
        <v>32.986005690017578</v>
      </c>
      <c r="Z35" s="217">
        <v>2.173</v>
      </c>
      <c r="AA35" s="217">
        <v>2.1234325857449994</v>
      </c>
      <c r="AB35" s="217">
        <v>21.42</v>
      </c>
      <c r="AC35" s="217">
        <v>20.931397140661709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35.107100000000003</v>
      </c>
      <c r="H36" s="126">
        <v>300</v>
      </c>
      <c r="I36" s="155">
        <v>299.3</v>
      </c>
      <c r="J36" s="102"/>
      <c r="K36" s="55"/>
      <c r="L36" s="55"/>
      <c r="M36" s="55"/>
      <c r="N36" s="56"/>
      <c r="O36" s="55"/>
      <c r="P36" s="102">
        <v>2.3119999999999998</v>
      </c>
      <c r="Q36" s="102"/>
      <c r="R36" s="102"/>
      <c r="S36" s="153">
        <v>100.6</v>
      </c>
      <c r="T36" s="217">
        <v>2.1999999999999999E-2</v>
      </c>
      <c r="U36" s="217">
        <v>2.1498166997878501E-2</v>
      </c>
      <c r="X36" s="217">
        <v>26.048000000000002</v>
      </c>
      <c r="Y36" s="217">
        <v>25.453829725488148</v>
      </c>
      <c r="Z36" s="217">
        <v>1.67</v>
      </c>
      <c r="AA36" s="217">
        <v>1.6319063130207772</v>
      </c>
      <c r="AB36" s="217">
        <v>10.38</v>
      </c>
      <c r="AC36" s="217">
        <v>10.143226065362676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35.549900000000001</v>
      </c>
      <c r="H37" s="118">
        <v>100</v>
      </c>
      <c r="I37" s="155">
        <v>99.01</v>
      </c>
      <c r="J37" s="102"/>
      <c r="K37" s="55"/>
      <c r="L37" s="55"/>
      <c r="M37" s="55"/>
      <c r="N37" s="56"/>
      <c r="O37" s="55"/>
      <c r="P37" s="102">
        <v>2.3029999999999999</v>
      </c>
      <c r="Q37" s="102"/>
      <c r="R37" s="102"/>
      <c r="S37" s="153">
        <v>100.2</v>
      </c>
      <c r="T37" s="217">
        <v>3.7999999999999999E-2</v>
      </c>
      <c r="U37" s="217">
        <v>3.713319754179014E-2</v>
      </c>
      <c r="X37" s="217">
        <v>20.271999999999998</v>
      </c>
      <c r="Y37" s="217">
        <v>19.809583699136045</v>
      </c>
      <c r="Z37" s="217">
        <v>1.34</v>
      </c>
      <c r="AA37" s="217">
        <v>1.3094338080525996</v>
      </c>
      <c r="AB37" s="217">
        <v>6.73</v>
      </c>
      <c r="AC37" s="217">
        <v>6.5764847225328333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35.547699999999999</v>
      </c>
      <c r="H38" s="118">
        <v>100</v>
      </c>
      <c r="I38" s="155">
        <v>99.01</v>
      </c>
      <c r="J38" s="102"/>
      <c r="K38" s="55"/>
      <c r="L38" s="55"/>
      <c r="M38" s="55"/>
      <c r="N38" s="56"/>
      <c r="O38" s="55"/>
      <c r="P38" s="102">
        <v>2.3359999999999999</v>
      </c>
      <c r="Q38" s="102"/>
      <c r="R38" s="102"/>
      <c r="S38" s="220">
        <v>101.7</v>
      </c>
      <c r="T38" s="217">
        <v>4.2000000000000003E-2</v>
      </c>
      <c r="U38" s="217">
        <v>4.1041955177768055E-2</v>
      </c>
      <c r="X38" s="217">
        <v>20.257999999999999</v>
      </c>
      <c r="Y38" s="217">
        <v>19.795903047410121</v>
      </c>
      <c r="Z38" s="217">
        <v>1.343</v>
      </c>
      <c r="AA38" s="217">
        <v>1.3123653762795831</v>
      </c>
      <c r="AB38" s="217">
        <v>6.71</v>
      </c>
      <c r="AC38" s="217">
        <v>6.5569409343529435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35.594999999999999</v>
      </c>
      <c r="H39" s="118">
        <v>80</v>
      </c>
      <c r="I39" s="155">
        <v>79.010000000000005</v>
      </c>
      <c r="J39" s="102"/>
      <c r="K39" s="55"/>
      <c r="L39" s="55"/>
      <c r="M39" s="55"/>
      <c r="N39" s="56"/>
      <c r="O39" s="55"/>
      <c r="P39" s="102">
        <v>2.3319999999999999</v>
      </c>
      <c r="Q39" s="102"/>
      <c r="R39" s="102"/>
      <c r="S39" s="220">
        <v>101.5</v>
      </c>
      <c r="T39" s="217">
        <v>8.5999999999999993E-2</v>
      </c>
      <c r="U39" s="217">
        <v>8.4038289173525044E-2</v>
      </c>
      <c r="X39" s="217">
        <v>19.474</v>
      </c>
      <c r="Y39" s="217">
        <v>19.029786550758452</v>
      </c>
      <c r="Z39" s="217">
        <v>1.3029999999999999</v>
      </c>
      <c r="AA39" s="217">
        <v>1.2732777999198039</v>
      </c>
      <c r="AB39" s="217">
        <v>6.12</v>
      </c>
      <c r="AC39" s="217">
        <v>5.9803991830462015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35.723300000000002</v>
      </c>
      <c r="H40" s="118">
        <v>60</v>
      </c>
      <c r="I40" s="155">
        <v>59.34</v>
      </c>
      <c r="J40" s="102"/>
      <c r="K40" s="55"/>
      <c r="L40" s="55"/>
      <c r="M40" s="55"/>
      <c r="N40" s="56"/>
      <c r="O40" s="55"/>
      <c r="P40" s="102">
        <v>3.1640000000000001</v>
      </c>
      <c r="Q40" s="102"/>
      <c r="R40" s="102"/>
      <c r="S40" s="153">
        <v>137.80000000000001</v>
      </c>
      <c r="T40" s="217">
        <v>0.751</v>
      </c>
      <c r="U40" s="217">
        <v>0.73386924615485249</v>
      </c>
      <c r="X40" s="217">
        <v>11.309000000000001</v>
      </c>
      <c r="Y40" s="217">
        <v>11.051035026318546</v>
      </c>
      <c r="Z40" s="217">
        <v>0.90900000000000003</v>
      </c>
      <c r="AA40" s="217">
        <v>0.88826517277597994</v>
      </c>
      <c r="AB40" s="217">
        <v>3.87</v>
      </c>
      <c r="AC40" s="217">
        <v>3.7817230128086274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35.859400000000001</v>
      </c>
      <c r="H41" s="118">
        <v>40</v>
      </c>
      <c r="I41" s="155">
        <v>40.92</v>
      </c>
      <c r="J41" s="102"/>
      <c r="K41" s="55"/>
      <c r="L41" s="55"/>
      <c r="M41" s="55"/>
      <c r="N41" s="56"/>
      <c r="O41" s="55"/>
      <c r="P41" s="102">
        <v>4.0890000000000004</v>
      </c>
      <c r="Q41" s="102"/>
      <c r="R41" s="102"/>
      <c r="S41" s="153">
        <v>178.2</v>
      </c>
      <c r="T41" s="217">
        <v>0.83299999999999996</v>
      </c>
      <c r="U41" s="217">
        <v>0.81399877769239959</v>
      </c>
      <c r="X41" s="217">
        <v>3.6269999999999998</v>
      </c>
      <c r="Y41" s="217">
        <v>3.5442659864229693</v>
      </c>
      <c r="Z41" s="217">
        <v>0.433</v>
      </c>
      <c r="AA41" s="217">
        <v>0.42312301409460873</v>
      </c>
      <c r="AB41" s="217">
        <v>1.96</v>
      </c>
      <c r="AC41" s="217">
        <v>1.9152912416291756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35.756500000000003</v>
      </c>
      <c r="H42" s="118">
        <v>20</v>
      </c>
      <c r="I42" s="155">
        <v>19.41</v>
      </c>
      <c r="J42" s="102"/>
      <c r="K42" s="55"/>
      <c r="L42" s="55"/>
      <c r="M42" s="55"/>
      <c r="N42" s="56"/>
      <c r="O42" s="55"/>
      <c r="P42" s="102">
        <v>4.7279999999999998</v>
      </c>
      <c r="Q42" s="102"/>
      <c r="R42" s="102"/>
      <c r="S42" s="153">
        <v>206.2</v>
      </c>
      <c r="T42" s="217">
        <v>9.1999999999999998E-2</v>
      </c>
      <c r="U42" s="217">
        <v>8.9901425627491913E-2</v>
      </c>
      <c r="X42" s="217">
        <v>0.60799999999999998</v>
      </c>
      <c r="Y42" s="217">
        <v>0.59413116066864224</v>
      </c>
      <c r="Z42" s="217">
        <v>0.16399999999999998</v>
      </c>
      <c r="AA42" s="217">
        <v>0.16025906307509427</v>
      </c>
      <c r="AB42" s="217">
        <v>1.57</v>
      </c>
      <c r="AC42" s="217">
        <v>1.5341873721213295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35.746000000000002</v>
      </c>
      <c r="H43" s="118">
        <v>10</v>
      </c>
      <c r="I43" s="155">
        <v>10.02</v>
      </c>
      <c r="J43" s="102"/>
      <c r="K43" s="55"/>
      <c r="L43" s="55"/>
      <c r="M43" s="55"/>
      <c r="N43" s="56"/>
      <c r="O43" s="55"/>
      <c r="P43" s="102">
        <v>4.7229999999999999</v>
      </c>
      <c r="Q43" s="102"/>
      <c r="R43" s="102"/>
      <c r="S43" s="153">
        <v>206</v>
      </c>
      <c r="T43" s="217">
        <v>0.09</v>
      </c>
      <c r="U43" s="217">
        <v>8.7947046809502966E-2</v>
      </c>
      <c r="X43" s="217">
        <v>0.6</v>
      </c>
      <c r="Y43" s="217">
        <v>0.5863136453966864</v>
      </c>
      <c r="Z43" s="217">
        <v>0.17099999999999999</v>
      </c>
      <c r="AA43" s="217">
        <v>0.16709938893805562</v>
      </c>
      <c r="AB43" s="217">
        <v>1.45</v>
      </c>
      <c r="AC43" s="217">
        <v>1.4169246430419922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35.745600000000003</v>
      </c>
      <c r="H44" s="118">
        <v>0</v>
      </c>
      <c r="I44" s="155">
        <v>1.67</v>
      </c>
      <c r="J44" s="102"/>
      <c r="K44" s="55"/>
      <c r="L44" s="55"/>
      <c r="M44" s="55"/>
      <c r="N44" s="56"/>
      <c r="O44" s="55"/>
      <c r="P44" s="102">
        <v>4.7249999999999996</v>
      </c>
      <c r="Q44" s="102"/>
      <c r="R44" s="102"/>
      <c r="S44" s="153">
        <v>206.1</v>
      </c>
      <c r="T44" s="217">
        <v>8.6999999999999994E-2</v>
      </c>
      <c r="U44" s="217">
        <v>8.5015478582519524E-2</v>
      </c>
      <c r="X44" s="217">
        <v>0.60299999999999998</v>
      </c>
      <c r="Y44" s="217">
        <v>0.58924521362366988</v>
      </c>
      <c r="Z44" s="217">
        <v>0.16199999999999998</v>
      </c>
      <c r="AA44" s="217">
        <v>0.15830468425710531</v>
      </c>
      <c r="AB44" s="217">
        <v>1.53</v>
      </c>
      <c r="AC44" s="217">
        <v>1.4950997957615504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 t="s">
        <v>4</v>
      </c>
      <c r="H45" s="118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4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34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37886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29.98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-1°29,98</v>
      </c>
      <c r="P9" s="39" t="s">
        <v>53</v>
      </c>
      <c r="Q9" s="201">
        <f>IF(ISBLANK(I9),"",IF(ISBLANK(J9),"",IF(J9&gt;60,"ERREUR !!",O11*(I9+(J9/60)))))</f>
        <v>-1.4996666666666667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10</v>
      </c>
      <c r="J10" s="39">
        <v>0.06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-10°0,06</v>
      </c>
      <c r="P10" s="39" t="s">
        <v>55</v>
      </c>
      <c r="Q10" s="201">
        <f>IF(ISBLANK(I10),"",IF(ISBLANK(J10),"",IF(J10&gt;60,"ERREUR !!",O12*(I10+(J10/60)))))</f>
        <v>-10.000999999999999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37885</v>
      </c>
      <c r="K11" s="72"/>
      <c r="L11" s="72"/>
      <c r="M11" s="72"/>
      <c r="N11" s="73" t="str">
        <f>I9&amp;"°"&amp;J9</f>
        <v>1°29,98</v>
      </c>
      <c r="O11" s="74">
        <f>IF(P9=M10,-1,1)</f>
        <v>-1</v>
      </c>
      <c r="P11" s="185" t="str">
        <f>TEXT(J11,"aaaa-mm-jj")&amp;"T"&amp;TEXT(J12,"hh:mm:ss")&amp;"z"</f>
        <v>2007-09-22T03:20:00z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0.1388888888888889</v>
      </c>
      <c r="K12" s="75"/>
      <c r="L12" s="75"/>
      <c r="M12" s="75"/>
      <c r="N12" s="76" t="str">
        <f>I10&amp;"°"&amp;J10</f>
        <v>10°0,06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34.5745</v>
      </c>
      <c r="H35" s="126">
        <v>500</v>
      </c>
      <c r="I35" s="155">
        <v>500.9</v>
      </c>
      <c r="J35" s="127"/>
      <c r="K35" s="128"/>
      <c r="L35" s="128"/>
      <c r="M35" s="128"/>
      <c r="N35" s="129"/>
      <c r="O35" s="128"/>
      <c r="P35" s="127">
        <v>2.952</v>
      </c>
      <c r="Q35" s="127"/>
      <c r="R35" s="127"/>
      <c r="S35" s="153">
        <v>128.4</v>
      </c>
      <c r="T35" s="217">
        <v>2.5999999999999999E-2</v>
      </c>
      <c r="U35" s="217">
        <v>2.5406924633856413E-2</v>
      </c>
      <c r="X35" s="217">
        <v>33.453999999999994</v>
      </c>
      <c r="Y35" s="217">
        <v>32.690894488501243</v>
      </c>
      <c r="Z35" s="217">
        <v>2.1560000000000001</v>
      </c>
      <c r="AA35" s="217">
        <v>2.1068203657920934</v>
      </c>
      <c r="AB35" s="217">
        <v>21.04</v>
      </c>
      <c r="AC35" s="217">
        <v>20.560065165243802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35.052500000000002</v>
      </c>
      <c r="H36" s="126">
        <v>300</v>
      </c>
      <c r="I36" s="155">
        <v>303.39999999999998</v>
      </c>
      <c r="J36" s="102"/>
      <c r="K36" s="55"/>
      <c r="L36" s="55"/>
      <c r="M36" s="55"/>
      <c r="N36" s="56"/>
      <c r="O36" s="55"/>
      <c r="P36" s="102">
        <v>2.2599999999999998</v>
      </c>
      <c r="Q36" s="102"/>
      <c r="R36" s="102"/>
      <c r="S36" s="153">
        <v>98.3</v>
      </c>
      <c r="T36" s="217">
        <v>3.1E-2</v>
      </c>
      <c r="U36" s="217">
        <v>3.0292871678828798E-2</v>
      </c>
      <c r="X36" s="217">
        <v>26.939</v>
      </c>
      <c r="Y36" s="217">
        <v>26.324505488902226</v>
      </c>
      <c r="Z36" s="217">
        <v>1.7050000000000001</v>
      </c>
      <c r="AA36" s="217">
        <v>1.6661079423355838</v>
      </c>
      <c r="AB36" s="217">
        <v>11.11</v>
      </c>
      <c r="AC36" s="217">
        <v>10.856574333928643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35.621099999999998</v>
      </c>
      <c r="H37" s="118">
        <v>100</v>
      </c>
      <c r="I37" s="155">
        <v>98.5</v>
      </c>
      <c r="J37" s="102"/>
      <c r="K37" s="55"/>
      <c r="L37" s="55"/>
      <c r="M37" s="55"/>
      <c r="N37" s="56"/>
      <c r="O37" s="55"/>
      <c r="P37" s="102">
        <v>2.39</v>
      </c>
      <c r="Q37" s="102"/>
      <c r="R37" s="102"/>
      <c r="S37" s="153">
        <v>104</v>
      </c>
      <c r="T37" s="217">
        <v>8.4000000000000005E-2</v>
      </c>
      <c r="U37" s="217">
        <v>8.208391035553611E-2</v>
      </c>
      <c r="X37" s="217">
        <v>18.846</v>
      </c>
      <c r="Y37" s="217">
        <v>18.416111601909922</v>
      </c>
      <c r="Z37" s="217">
        <v>1.266</v>
      </c>
      <c r="AA37" s="217">
        <v>1.2371217917870083</v>
      </c>
      <c r="AB37" s="217">
        <v>5.81</v>
      </c>
      <c r="AC37" s="217">
        <v>5.6774704662579136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35.781599999999997</v>
      </c>
      <c r="H38" s="118">
        <v>80</v>
      </c>
      <c r="I38" s="155">
        <v>79.8</v>
      </c>
      <c r="J38" s="102"/>
      <c r="K38" s="55"/>
      <c r="L38" s="55"/>
      <c r="M38" s="55"/>
      <c r="N38" s="56"/>
      <c r="O38" s="55"/>
      <c r="P38" s="102">
        <v>3.0019999999999998</v>
      </c>
      <c r="Q38" s="102"/>
      <c r="R38" s="102"/>
      <c r="S38" s="220">
        <v>130.69999999999999</v>
      </c>
      <c r="T38" s="217">
        <v>1.2230000000000001</v>
      </c>
      <c r="U38" s="217">
        <v>1.1951026472002459</v>
      </c>
      <c r="X38" s="217">
        <v>11.806999999999999</v>
      </c>
      <c r="Y38" s="217">
        <v>11.537675351997793</v>
      </c>
      <c r="Z38" s="217">
        <v>0.92600000000000005</v>
      </c>
      <c r="AA38" s="217">
        <v>0.90487739272888612</v>
      </c>
      <c r="AB38" s="217">
        <v>3.59</v>
      </c>
      <c r="AC38" s="217">
        <v>3.5081099782901739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35.781700000000001</v>
      </c>
      <c r="H39" s="118">
        <v>80</v>
      </c>
      <c r="I39" s="155">
        <v>79.2</v>
      </c>
      <c r="J39" s="102"/>
      <c r="K39" s="55"/>
      <c r="L39" s="55"/>
      <c r="M39" s="55"/>
      <c r="N39" s="56"/>
      <c r="O39" s="55"/>
      <c r="P39" s="102">
        <v>3.0259999999999998</v>
      </c>
      <c r="Q39" s="102"/>
      <c r="R39" s="102"/>
      <c r="S39" s="220">
        <v>131.80000000000001</v>
      </c>
      <c r="T39" s="217">
        <v>1.22</v>
      </c>
      <c r="U39" s="217">
        <v>1.1921710789732625</v>
      </c>
      <c r="X39" s="217">
        <v>11.81</v>
      </c>
      <c r="Y39" s="217">
        <v>11.540606920224777</v>
      </c>
      <c r="Z39" s="217">
        <v>0.92899999999999994</v>
      </c>
      <c r="AA39" s="217">
        <v>0.90780896095586949</v>
      </c>
      <c r="AB39" s="217">
        <v>3.87</v>
      </c>
      <c r="AC39" s="217">
        <v>3.7817230128086274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35.887099999999997</v>
      </c>
      <c r="H40" s="118">
        <v>60</v>
      </c>
      <c r="I40" s="155">
        <v>49</v>
      </c>
      <c r="J40" s="102"/>
      <c r="K40" s="55"/>
      <c r="L40" s="55"/>
      <c r="M40" s="55"/>
      <c r="N40" s="56"/>
      <c r="O40" s="55"/>
      <c r="P40" s="102">
        <v>4.4480000000000004</v>
      </c>
      <c r="Q40" s="102"/>
      <c r="R40" s="102"/>
      <c r="S40" s="153">
        <v>193.9</v>
      </c>
      <c r="T40" s="217">
        <v>0.34300000000000003</v>
      </c>
      <c r="U40" s="217">
        <v>0.33517596728510579</v>
      </c>
      <c r="X40" s="217">
        <v>1.2770000000000001</v>
      </c>
      <c r="Y40" s="217">
        <v>1.2478708752859478</v>
      </c>
      <c r="Z40" s="217">
        <v>0.24099999999999999</v>
      </c>
      <c r="AA40" s="217">
        <v>0.23550264756766906</v>
      </c>
      <c r="AB40" s="217">
        <v>1.65</v>
      </c>
      <c r="AC40" s="217">
        <v>1.6123625248408877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35.852600000000002</v>
      </c>
      <c r="H41" s="118">
        <v>40</v>
      </c>
      <c r="I41" s="155">
        <v>39.700000000000003</v>
      </c>
      <c r="J41" s="102"/>
      <c r="K41" s="55"/>
      <c r="L41" s="55"/>
      <c r="M41" s="55"/>
      <c r="N41" s="56"/>
      <c r="O41" s="55"/>
      <c r="P41" s="102">
        <v>4.601</v>
      </c>
      <c r="Q41" s="102"/>
      <c r="R41" s="102"/>
      <c r="S41" s="153">
        <v>200.6</v>
      </c>
      <c r="T41" s="217">
        <v>0.20499999999999999</v>
      </c>
      <c r="U41" s="217">
        <v>0.20032382884386785</v>
      </c>
      <c r="X41" s="217">
        <v>0.89500000000000002</v>
      </c>
      <c r="Y41" s="217">
        <v>0.87458452105005735</v>
      </c>
      <c r="Z41" s="217">
        <v>0.20199999999999996</v>
      </c>
      <c r="AA41" s="217">
        <v>0.19739226061688439</v>
      </c>
      <c r="AB41" s="217">
        <v>1.64</v>
      </c>
      <c r="AC41" s="217">
        <v>1.6025906307509428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35.738399999999999</v>
      </c>
      <c r="H42" s="118">
        <v>20</v>
      </c>
      <c r="I42" s="155">
        <v>19.8</v>
      </c>
      <c r="J42" s="102"/>
      <c r="K42" s="55"/>
      <c r="L42" s="55"/>
      <c r="M42" s="55"/>
      <c r="N42" s="56"/>
      <c r="O42" s="55"/>
      <c r="P42" s="102">
        <v>4.7439999999999998</v>
      </c>
      <c r="Q42" s="102"/>
      <c r="R42" s="102"/>
      <c r="S42" s="153">
        <v>206.9</v>
      </c>
      <c r="T42" s="217">
        <v>9.8000000000000004E-2</v>
      </c>
      <c r="U42" s="217">
        <v>9.5764562081458796E-2</v>
      </c>
      <c r="X42" s="217">
        <v>0.52200000000000002</v>
      </c>
      <c r="Y42" s="217">
        <v>0.51009287149511717</v>
      </c>
      <c r="Z42" s="217">
        <v>0.15799999999999997</v>
      </c>
      <c r="AA42" s="217">
        <v>0.15439592662112742</v>
      </c>
      <c r="AB42" s="217">
        <v>1.62</v>
      </c>
      <c r="AC42" s="217">
        <v>1.5830468425710535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35.719000000000001</v>
      </c>
      <c r="H43" s="118">
        <v>10</v>
      </c>
      <c r="I43" s="155">
        <v>10.1</v>
      </c>
      <c r="J43" s="102"/>
      <c r="K43" s="55"/>
      <c r="L43" s="55"/>
      <c r="M43" s="55"/>
      <c r="N43" s="56"/>
      <c r="O43" s="55"/>
      <c r="P43" s="102">
        <v>4.7439999999999998</v>
      </c>
      <c r="Q43" s="102"/>
      <c r="R43" s="102"/>
      <c r="S43" s="153">
        <v>206.9</v>
      </c>
      <c r="T43" s="217">
        <v>7.8E-2</v>
      </c>
      <c r="U43" s="217">
        <v>7.6220773901569241E-2</v>
      </c>
      <c r="X43" s="217">
        <v>0.47200000000000003</v>
      </c>
      <c r="Y43" s="217">
        <v>0.46123340104539334</v>
      </c>
      <c r="Z43" s="217">
        <v>0.14900000000000002</v>
      </c>
      <c r="AA43" s="217">
        <v>0.14560122194017716</v>
      </c>
      <c r="AB43" s="217">
        <v>1.65</v>
      </c>
      <c r="AC43" s="217">
        <v>1.6123625248408877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35.717300000000002</v>
      </c>
      <c r="H44" s="118">
        <v>0</v>
      </c>
      <c r="I44" s="155">
        <v>1.6</v>
      </c>
      <c r="J44" s="102"/>
      <c r="K44" s="55"/>
      <c r="L44" s="55"/>
      <c r="M44" s="55"/>
      <c r="N44" s="56"/>
      <c r="O44" s="55"/>
      <c r="P44" s="102">
        <v>4.7690000000000001</v>
      </c>
      <c r="Q44" s="102"/>
      <c r="R44" s="102"/>
      <c r="S44" s="153">
        <v>208</v>
      </c>
      <c r="T44" s="217">
        <v>7.6999999999999999E-2</v>
      </c>
      <c r="U44" s="217">
        <v>7.5243584492574761E-2</v>
      </c>
      <c r="X44" s="217">
        <v>0.46300000000000002</v>
      </c>
      <c r="Y44" s="217">
        <v>0.45243869636444306</v>
      </c>
      <c r="Z44" s="217">
        <v>0.15100000000000002</v>
      </c>
      <c r="AA44" s="217">
        <v>0.14755560075816612</v>
      </c>
      <c r="AB44" s="217">
        <v>1.57</v>
      </c>
      <c r="AC44" s="217">
        <v>1.5341873721213295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 t="s">
        <v>4</v>
      </c>
      <c r="H45" s="118" t="s">
        <v>4</v>
      </c>
      <c r="I45" s="155" t="s">
        <v>4</v>
      </c>
      <c r="J45" s="102"/>
      <c r="K45" s="55"/>
      <c r="L45" s="55"/>
      <c r="M45" s="55"/>
      <c r="N45" s="56"/>
      <c r="O45" s="55"/>
      <c r="P45" s="102" t="s">
        <v>4</v>
      </c>
      <c r="Q45" s="102"/>
      <c r="R45" s="102"/>
      <c r="S45" s="153" t="s">
        <v>4</v>
      </c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35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37886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59.77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-0°59,77</v>
      </c>
      <c r="P9" s="39" t="s">
        <v>53</v>
      </c>
      <c r="Q9" s="201">
        <f>IF(ISBLANK(I9),"",IF(ISBLANK(J9),"",IF(J9&gt;60,"ERREUR !!",O11*(I9+(J9/60)))))</f>
        <v>-0.99616666666666676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59.99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-9°59,99</v>
      </c>
      <c r="P10" s="39" t="s">
        <v>55</v>
      </c>
      <c r="Q10" s="201">
        <f>IF(ISBLANK(I10),"",IF(ISBLANK(J10),"",IF(J10&gt;60,"ERREUR !!",O12*(I10+(J10/60)))))</f>
        <v>-9.9998333333333331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37885</v>
      </c>
      <c r="K11" s="72"/>
      <c r="L11" s="72"/>
      <c r="M11" s="72"/>
      <c r="N11" s="73" t="str">
        <f>I9&amp;"°"&amp;J9</f>
        <v>0°59,77</v>
      </c>
      <c r="O11" s="74">
        <f>IF(P9=M10,-1,1)</f>
        <v>-1</v>
      </c>
      <c r="P11" s="185" t="str">
        <f>TEXT(J11,"aaaa-mm-jj")&amp;"T"&amp;TEXT(J12,"hh:mm:ss")&amp;"z"</f>
        <v>2007-09-22T07:50:00z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0.3263888888888889</v>
      </c>
      <c r="K12" s="75"/>
      <c r="L12" s="75"/>
      <c r="M12" s="75"/>
      <c r="N12" s="76" t="str">
        <f>I10&amp;"°"&amp;J10</f>
        <v>9°59,99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34.965499999999999</v>
      </c>
      <c r="H35" s="126">
        <v>2000</v>
      </c>
      <c r="I35" s="155">
        <v>2001</v>
      </c>
      <c r="J35" s="127"/>
      <c r="K35" s="128"/>
      <c r="L35" s="128"/>
      <c r="M35" s="128"/>
      <c r="N35" s="129"/>
      <c r="O35" s="128"/>
      <c r="P35" s="127">
        <v>5.4980000000000002</v>
      </c>
      <c r="Q35" s="127"/>
      <c r="R35" s="127"/>
      <c r="S35" s="153">
        <v>238.9</v>
      </c>
      <c r="T35" s="217">
        <v>4.2000000000000003E-2</v>
      </c>
      <c r="U35" s="217">
        <v>4.1041955177768055E-2</v>
      </c>
      <c r="X35" s="217">
        <v>20.517999999999997</v>
      </c>
      <c r="Y35" s="217">
        <v>20.049972293748684</v>
      </c>
      <c r="Z35" s="217">
        <v>1.3619999999999999</v>
      </c>
      <c r="AA35" s="217">
        <v>1.330931975050478</v>
      </c>
      <c r="AB35" s="217">
        <v>21.99</v>
      </c>
      <c r="AC35" s="217">
        <v>21.488395103788555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34.573120000000003</v>
      </c>
      <c r="H36" s="126">
        <v>1000</v>
      </c>
      <c r="I36" s="155">
        <v>998.6</v>
      </c>
      <c r="J36" s="102"/>
      <c r="K36" s="55"/>
      <c r="L36" s="55"/>
      <c r="M36" s="55"/>
      <c r="N36" s="56"/>
      <c r="O36" s="55"/>
      <c r="P36" s="102">
        <v>3.391</v>
      </c>
      <c r="Q36" s="102"/>
      <c r="R36" s="102"/>
      <c r="S36" s="153">
        <v>147.4</v>
      </c>
      <c r="T36" s="217">
        <v>4.5999999999999999E-2</v>
      </c>
      <c r="U36" s="217">
        <v>4.4950712813745956E-2</v>
      </c>
      <c r="X36" s="217">
        <v>34.564</v>
      </c>
      <c r="Y36" s="217">
        <v>33.775574732485119</v>
      </c>
      <c r="Z36" s="217">
        <v>2.3180000000000001</v>
      </c>
      <c r="AA36" s="217">
        <v>2.2651250500491988</v>
      </c>
      <c r="AB36" s="217">
        <v>31.84</v>
      </c>
      <c r="AC36" s="217">
        <v>31.11371078238416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34.5259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>
        <v>3.1869999999999998</v>
      </c>
      <c r="Q37" s="102"/>
      <c r="R37" s="102"/>
      <c r="S37" s="153">
        <v>138.6</v>
      </c>
      <c r="T37" s="217">
        <v>0.05</v>
      </c>
      <c r="U37" s="217">
        <v>4.8859470449723871E-2</v>
      </c>
      <c r="X37" s="217">
        <v>34.06</v>
      </c>
      <c r="Y37" s="217">
        <v>33.283071270351904</v>
      </c>
      <c r="Z37" s="217">
        <v>2.1949999999999998</v>
      </c>
      <c r="AA37" s="217">
        <v>2.1449307527428778</v>
      </c>
      <c r="AB37" s="217">
        <v>23.71</v>
      </c>
      <c r="AC37" s="217">
        <v>23.169160887259061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35.835700000000003</v>
      </c>
      <c r="H38" s="118">
        <v>100</v>
      </c>
      <c r="I38" s="155">
        <v>99.3</v>
      </c>
      <c r="J38" s="102"/>
      <c r="K38" s="55"/>
      <c r="L38" s="55"/>
      <c r="M38" s="55"/>
      <c r="N38" s="56"/>
      <c r="O38" s="55"/>
      <c r="P38" s="102">
        <v>3.661</v>
      </c>
      <c r="Q38" s="102"/>
      <c r="R38" s="102"/>
      <c r="S38" s="220">
        <v>159.4</v>
      </c>
      <c r="T38" s="217">
        <v>9.1999999999999998E-2</v>
      </c>
      <c r="U38" s="217">
        <v>8.9901425627491913E-2</v>
      </c>
      <c r="X38" s="217">
        <v>10.927999999999999</v>
      </c>
      <c r="Y38" s="217">
        <v>10.678725861491648</v>
      </c>
      <c r="Z38" s="217">
        <v>0.82900000000000007</v>
      </c>
      <c r="AA38" s="217">
        <v>0.81009002005642183</v>
      </c>
      <c r="AB38" s="217">
        <v>4.3600000000000003</v>
      </c>
      <c r="AC38" s="217">
        <v>4.2605458232159217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35.9026</v>
      </c>
      <c r="H39" s="118">
        <v>80</v>
      </c>
      <c r="I39" s="155">
        <v>80.2</v>
      </c>
      <c r="J39" s="102"/>
      <c r="K39" s="55"/>
      <c r="L39" s="55"/>
      <c r="M39" s="55"/>
      <c r="N39" s="56"/>
      <c r="O39" s="55"/>
      <c r="P39" s="102">
        <v>3.0579999999999998</v>
      </c>
      <c r="Q39" s="102"/>
      <c r="R39" s="102"/>
      <c r="S39" s="220">
        <v>133.1</v>
      </c>
      <c r="T39" s="217">
        <v>0.129</v>
      </c>
      <c r="U39" s="217">
        <v>0.12605743376028758</v>
      </c>
      <c r="X39" s="217">
        <v>12.651</v>
      </c>
      <c r="Y39" s="217">
        <v>12.362423213189134</v>
      </c>
      <c r="Z39" s="217">
        <v>0.93500000000000005</v>
      </c>
      <c r="AA39" s="217">
        <v>0.91367209740983635</v>
      </c>
      <c r="AB39" s="217">
        <v>4.2300000000000004</v>
      </c>
      <c r="AC39" s="217">
        <v>4.1335112000466401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35.9422</v>
      </c>
      <c r="H40" s="118">
        <v>80</v>
      </c>
      <c r="I40" s="155">
        <v>59.6</v>
      </c>
      <c r="J40" s="102"/>
      <c r="K40" s="55"/>
      <c r="L40" s="55"/>
      <c r="M40" s="55"/>
      <c r="N40" s="56"/>
      <c r="O40" s="55"/>
      <c r="P40" s="102">
        <v>4.1349999999999998</v>
      </c>
      <c r="Q40" s="102"/>
      <c r="R40" s="102"/>
      <c r="S40" s="153">
        <v>180.2</v>
      </c>
      <c r="T40" s="217">
        <v>0.91</v>
      </c>
      <c r="U40" s="217">
        <v>0.88924236218497443</v>
      </c>
      <c r="X40" s="217">
        <v>2.33</v>
      </c>
      <c r="Y40" s="217">
        <v>2.2768513229571323</v>
      </c>
      <c r="Z40" s="217">
        <v>0.35399999999999998</v>
      </c>
      <c r="AA40" s="217">
        <v>0.34592505078404501</v>
      </c>
      <c r="AB40" s="217">
        <v>1.63</v>
      </c>
      <c r="AC40" s="217">
        <v>1.592818736660998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35.938600000000001</v>
      </c>
      <c r="H41" s="118">
        <v>60</v>
      </c>
      <c r="I41" s="155">
        <v>59.5</v>
      </c>
      <c r="J41" s="102"/>
      <c r="K41" s="55"/>
      <c r="L41" s="55"/>
      <c r="M41" s="55"/>
      <c r="N41" s="56"/>
      <c r="O41" s="55"/>
      <c r="P41" s="102">
        <v>4.1619999999999999</v>
      </c>
      <c r="Q41" s="102"/>
      <c r="R41" s="102"/>
      <c r="S41" s="153">
        <v>181.5</v>
      </c>
      <c r="T41" s="217">
        <v>0.878</v>
      </c>
      <c r="U41" s="217">
        <v>0.85797230109715117</v>
      </c>
      <c r="X41" s="217">
        <v>2.222</v>
      </c>
      <c r="Y41" s="217">
        <v>2.1713148667857287</v>
      </c>
      <c r="Z41" s="217">
        <v>0.34099999999999997</v>
      </c>
      <c r="AA41" s="217">
        <v>0.33322158846711675</v>
      </c>
      <c r="AB41" s="217">
        <v>1.75</v>
      </c>
      <c r="AC41" s="217">
        <v>1.7100814657403354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35.889899999999997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4.4729999999999999</v>
      </c>
      <c r="Q42" s="102"/>
      <c r="R42" s="102"/>
      <c r="S42" s="153">
        <v>195</v>
      </c>
      <c r="T42" s="217">
        <v>0.35699999999999998</v>
      </c>
      <c r="U42" s="217">
        <v>0.34885661901102843</v>
      </c>
      <c r="X42" s="217">
        <v>1.2330000000000001</v>
      </c>
      <c r="Y42" s="217">
        <v>1.2048745412901907</v>
      </c>
      <c r="Z42" s="217">
        <v>0.23399999999999999</v>
      </c>
      <c r="AA42" s="217">
        <v>0.22866232170470771</v>
      </c>
      <c r="AB42" s="217">
        <v>1.62</v>
      </c>
      <c r="AC42" s="217">
        <v>1.5830468425710535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35.771299999999997</v>
      </c>
      <c r="H43" s="118">
        <v>20</v>
      </c>
      <c r="I43" s="155">
        <v>20.399999999999999</v>
      </c>
      <c r="J43" s="102"/>
      <c r="K43" s="55"/>
      <c r="L43" s="55"/>
      <c r="M43" s="55"/>
      <c r="N43" s="56"/>
      <c r="O43" s="55"/>
      <c r="P43" s="102">
        <v>4.7210000000000001</v>
      </c>
      <c r="Q43" s="102"/>
      <c r="R43" s="102"/>
      <c r="S43" s="153">
        <v>205.9</v>
      </c>
      <c r="T43" s="217">
        <v>0.14299999999999999</v>
      </c>
      <c r="U43" s="217">
        <v>0.13973808548621025</v>
      </c>
      <c r="X43" s="217">
        <v>0.63700000000000001</v>
      </c>
      <c r="Y43" s="217">
        <v>0.62246965352948214</v>
      </c>
      <c r="Z43" s="217">
        <v>0.16399999999999998</v>
      </c>
      <c r="AA43" s="217">
        <v>0.16025906307509427</v>
      </c>
      <c r="AB43" s="217">
        <v>1.57</v>
      </c>
      <c r="AC43" s="217">
        <v>1.5341873721213295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35.758200000000002</v>
      </c>
      <c r="H44" s="118">
        <v>10</v>
      </c>
      <c r="I44" s="155">
        <v>10.199999999999999</v>
      </c>
      <c r="J44" s="102"/>
      <c r="K44" s="55"/>
      <c r="L44" s="55"/>
      <c r="M44" s="55"/>
      <c r="N44" s="56"/>
      <c r="O44" s="55"/>
      <c r="P44" s="102">
        <v>4.7300000000000004</v>
      </c>
      <c r="Q44" s="102"/>
      <c r="R44" s="102"/>
      <c r="S44" s="153">
        <v>206.3</v>
      </c>
      <c r="T44" s="217">
        <v>0.13100000000000001</v>
      </c>
      <c r="U44" s="217">
        <v>0.12801181257827654</v>
      </c>
      <c r="X44" s="217">
        <v>0.57899999999999996</v>
      </c>
      <c r="Y44" s="217">
        <v>0.56579266780780235</v>
      </c>
      <c r="Z44" s="217">
        <v>0.15699999999999997</v>
      </c>
      <c r="AA44" s="217">
        <v>0.15341873721213292</v>
      </c>
      <c r="AB44" s="217">
        <v>1.58</v>
      </c>
      <c r="AC44" s="217">
        <v>1.5439592662112744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35.750999999999998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4.7409999999999997</v>
      </c>
      <c r="Q45" s="102"/>
      <c r="R45" s="102"/>
      <c r="S45" s="153">
        <v>206.8</v>
      </c>
      <c r="T45" s="217">
        <v>0.114</v>
      </c>
      <c r="U45" s="217">
        <v>0.11139959262537043</v>
      </c>
      <c r="X45" s="217">
        <v>0.53600000000000003</v>
      </c>
      <c r="Y45" s="217">
        <v>0.52377352322103987</v>
      </c>
      <c r="Z45" s="217">
        <v>0.15</v>
      </c>
      <c r="AA45" s="217">
        <v>0.14657841134917163</v>
      </c>
      <c r="AB45" s="217">
        <v>1.57</v>
      </c>
      <c r="AC45" s="217">
        <v>1.5341873721213295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U43" sqref="U43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36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37886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30.04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-0°30,04</v>
      </c>
      <c r="P9" s="39" t="s">
        <v>53</v>
      </c>
      <c r="Q9" s="201">
        <f>IF(ISBLANK(I9),"",IF(ISBLANK(J9),"",IF(J9&gt;60,"ERREUR !!",O11*(I9+(J9/60)))))</f>
        <v>-0.5006666666666667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10</v>
      </c>
      <c r="J10" s="39">
        <v>7.0000000000000007E-2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-10°0,07</v>
      </c>
      <c r="P10" s="39" t="s">
        <v>55</v>
      </c>
      <c r="Q10" s="201">
        <f>IF(ISBLANK(I10),"",IF(ISBLANK(J10),"",IF(J10&gt;60,"ERREUR !!",O12*(I10+(J10/60)))))</f>
        <v>-10.001166666666666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37886</v>
      </c>
      <c r="K11" s="72"/>
      <c r="L11" s="72"/>
      <c r="M11" s="72"/>
      <c r="N11" s="73" t="str">
        <f>I9&amp;"°"&amp;J9</f>
        <v>0°30,04</v>
      </c>
      <c r="O11" s="74">
        <f>IF(P9=M10,-1,1)</f>
        <v>-1</v>
      </c>
      <c r="P11" s="185" t="str">
        <f>TEXT(J11,"aaaa-mm-jj")&amp;"T"&amp;TEXT(J12,"hh:mm:ss")&amp;"z"</f>
        <v>2007-09-23T00:30:00z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2.0833333333333332E-2</v>
      </c>
      <c r="K12" s="75"/>
      <c r="L12" s="75"/>
      <c r="M12" s="75"/>
      <c r="N12" s="76" t="str">
        <f>I10&amp;"°"&amp;J10</f>
        <v>10°0,07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 t="s">
        <v>4</v>
      </c>
      <c r="H35" s="126">
        <v>2000</v>
      </c>
      <c r="I35" s="155">
        <v>2013</v>
      </c>
      <c r="J35" s="127"/>
      <c r="K35" s="128"/>
      <c r="L35" s="128"/>
      <c r="M35" s="128"/>
      <c r="N35" s="129"/>
      <c r="O35" s="128"/>
      <c r="P35" s="127"/>
      <c r="Q35" s="127"/>
      <c r="R35" s="127"/>
      <c r="S35" s="153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34.600700000000003</v>
      </c>
      <c r="H36" s="126">
        <v>1000</v>
      </c>
      <c r="I36" s="155">
        <v>1004</v>
      </c>
      <c r="J36" s="102"/>
      <c r="K36" s="55"/>
      <c r="L36" s="55"/>
      <c r="M36" s="55"/>
      <c r="N36" s="56"/>
      <c r="O36" s="55"/>
      <c r="P36" s="102">
        <v>3.492</v>
      </c>
      <c r="Q36" s="102"/>
      <c r="R36" s="102"/>
      <c r="S36" s="153">
        <v>151.80000000000001</v>
      </c>
      <c r="T36" s="217">
        <v>1.2999999999999999E-2</v>
      </c>
      <c r="U36" s="217">
        <v>1.2703462316928206E-2</v>
      </c>
      <c r="X36" s="217">
        <v>33.786999999999999</v>
      </c>
      <c r="Y36" s="217">
        <v>33.016298561696409</v>
      </c>
      <c r="Z36" s="217">
        <v>2.23</v>
      </c>
      <c r="AA36" s="217">
        <v>2.1791323820576847</v>
      </c>
      <c r="AB36" s="217">
        <v>32.03</v>
      </c>
      <c r="AC36" s="217">
        <v>31.299376770093112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34.565600000000003</v>
      </c>
      <c r="H37" s="118">
        <v>600</v>
      </c>
      <c r="I37" s="155">
        <v>595</v>
      </c>
      <c r="J37" s="102"/>
      <c r="K37" s="55"/>
      <c r="L37" s="55"/>
      <c r="M37" s="55"/>
      <c r="N37" s="56"/>
      <c r="O37" s="55"/>
      <c r="P37" s="102">
        <v>3.0739999999999998</v>
      </c>
      <c r="Q37" s="102"/>
      <c r="R37" s="102"/>
      <c r="S37" s="153">
        <v>133.69999999999999</v>
      </c>
      <c r="T37" s="217">
        <v>8.9999999999999993E-3</v>
      </c>
      <c r="U37" s="217">
        <v>8.7947046809502966E-3</v>
      </c>
      <c r="X37" s="217">
        <v>33.600999999999999</v>
      </c>
      <c r="Y37" s="217">
        <v>32.834541331623434</v>
      </c>
      <c r="Z37" s="217">
        <v>2.153</v>
      </c>
      <c r="AA37" s="217">
        <v>2.1038887975651099</v>
      </c>
      <c r="AB37" s="217">
        <v>22.66</v>
      </c>
      <c r="AC37" s="217">
        <v>22.143112007814857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36.092199999999998</v>
      </c>
      <c r="H38" s="118">
        <v>100</v>
      </c>
      <c r="I38" s="155">
        <v>98</v>
      </c>
      <c r="J38" s="102"/>
      <c r="K38" s="55"/>
      <c r="L38" s="55"/>
      <c r="M38" s="55"/>
      <c r="N38" s="56"/>
      <c r="O38" s="55"/>
      <c r="P38" s="102">
        <v>3.6819999999999999</v>
      </c>
      <c r="Q38" s="102"/>
      <c r="R38" s="102"/>
      <c r="S38" s="220">
        <v>160.30000000000001</v>
      </c>
      <c r="T38" s="217">
        <v>0.10299999999999999</v>
      </c>
      <c r="U38" s="217">
        <v>0.10065050912643117</v>
      </c>
      <c r="X38" s="217">
        <v>8.3970000000000002</v>
      </c>
      <c r="Y38" s="217">
        <v>8.2054594673266266</v>
      </c>
      <c r="Z38" s="217">
        <v>0.67</v>
      </c>
      <c r="AA38" s="217">
        <v>0.6547169040262999</v>
      </c>
      <c r="AB38" s="217">
        <v>3.38</v>
      </c>
      <c r="AC38" s="217">
        <v>3.3029002024013336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36.325099999999999</v>
      </c>
      <c r="H39" s="118">
        <v>80</v>
      </c>
      <c r="I39" s="155">
        <v>76</v>
      </c>
      <c r="J39" s="102"/>
      <c r="K39" s="55"/>
      <c r="L39" s="55"/>
      <c r="M39" s="55"/>
      <c r="N39" s="56"/>
      <c r="O39" s="55"/>
      <c r="P39" s="102">
        <v>3.8130000000000002</v>
      </c>
      <c r="Q39" s="102"/>
      <c r="R39" s="102"/>
      <c r="S39" s="220">
        <v>166.1</v>
      </c>
      <c r="T39" s="217">
        <v>0.19</v>
      </c>
      <c r="U39" s="217">
        <v>0.18566598770895071</v>
      </c>
      <c r="X39" s="217">
        <v>4.57</v>
      </c>
      <c r="Y39" s="217">
        <v>4.4657555991047611</v>
      </c>
      <c r="Z39" s="217">
        <v>0.434</v>
      </c>
      <c r="AA39" s="217">
        <v>0.42410020350360317</v>
      </c>
      <c r="AB39" s="217">
        <v>2.04</v>
      </c>
      <c r="AC39" s="217">
        <v>1.9934663943487338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36.110500000000002</v>
      </c>
      <c r="H40" s="118">
        <v>60</v>
      </c>
      <c r="I40" s="155">
        <v>60</v>
      </c>
      <c r="J40" s="102"/>
      <c r="K40" s="55"/>
      <c r="L40" s="55"/>
      <c r="M40" s="55"/>
      <c r="N40" s="56"/>
      <c r="O40" s="55"/>
      <c r="P40" s="102">
        <v>3.9980000000000002</v>
      </c>
      <c r="Q40" s="102"/>
      <c r="R40" s="102"/>
      <c r="S40" s="153">
        <v>174.2</v>
      </c>
      <c r="T40" s="217">
        <v>0.86799999999999999</v>
      </c>
      <c r="U40" s="217">
        <v>0.84820040700720634</v>
      </c>
      <c r="X40" s="217">
        <v>2.802</v>
      </c>
      <c r="Y40" s="217">
        <v>2.7380847240025257</v>
      </c>
      <c r="Z40" s="217">
        <v>0.371</v>
      </c>
      <c r="AA40" s="217">
        <v>0.36253727073695113</v>
      </c>
      <c r="AB40" s="217">
        <v>1.73</v>
      </c>
      <c r="AC40" s="217">
        <v>1.6905376775604459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35.933500000000002</v>
      </c>
      <c r="H41" s="118">
        <v>40</v>
      </c>
      <c r="I41" s="155">
        <v>40</v>
      </c>
      <c r="J41" s="102"/>
      <c r="K41" s="55"/>
      <c r="L41" s="55"/>
      <c r="M41" s="55"/>
      <c r="N41" s="56"/>
      <c r="O41" s="55"/>
      <c r="P41" s="102">
        <v>4.2300000000000004</v>
      </c>
      <c r="Q41" s="102"/>
      <c r="R41" s="102"/>
      <c r="S41" s="153">
        <v>184.4</v>
      </c>
      <c r="T41" s="217">
        <v>0.58599999999999997</v>
      </c>
      <c r="U41" s="217">
        <v>0.5726329936707637</v>
      </c>
      <c r="X41" s="217">
        <v>2.0340000000000003</v>
      </c>
      <c r="Y41" s="217">
        <v>1.9876032578947673</v>
      </c>
      <c r="Z41" s="217">
        <v>0.29599999999999999</v>
      </c>
      <c r="AA41" s="217">
        <v>0.28924806506236528</v>
      </c>
      <c r="AB41" s="217">
        <v>1.72</v>
      </c>
      <c r="AC41" s="217">
        <v>1.6807657834705012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35.932400000000001</v>
      </c>
      <c r="H42" s="118">
        <v>40</v>
      </c>
      <c r="I42" s="155">
        <v>40</v>
      </c>
      <c r="J42" s="102"/>
      <c r="K42" s="55"/>
      <c r="L42" s="55"/>
      <c r="M42" s="55"/>
      <c r="N42" s="56"/>
      <c r="O42" s="55"/>
      <c r="P42" s="102">
        <v>4.2290000000000001</v>
      </c>
      <c r="Q42" s="102"/>
      <c r="R42" s="102"/>
      <c r="S42" s="153">
        <v>184.4</v>
      </c>
      <c r="T42" s="217">
        <v>0.57999999999999996</v>
      </c>
      <c r="U42" s="217">
        <v>0.56676985721679685</v>
      </c>
      <c r="X42" s="217">
        <v>2.0299999999999998</v>
      </c>
      <c r="Y42" s="217">
        <v>1.9836945002587889</v>
      </c>
      <c r="Z42" s="217">
        <v>0.29399999999999998</v>
      </c>
      <c r="AA42" s="217">
        <v>0.28729368624437635</v>
      </c>
      <c r="AB42" s="217">
        <v>1.63</v>
      </c>
      <c r="AC42" s="217">
        <v>1.592818736660998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35.811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4.609</v>
      </c>
      <c r="Q43" s="102"/>
      <c r="R43" s="102"/>
      <c r="S43" s="153">
        <v>201</v>
      </c>
      <c r="T43" s="217">
        <v>0.254</v>
      </c>
      <c r="U43" s="217">
        <v>0.24820610988459726</v>
      </c>
      <c r="X43" s="217">
        <v>1.1259999999999999</v>
      </c>
      <c r="Y43" s="217">
        <v>1.1003152745277816</v>
      </c>
      <c r="Z43" s="217">
        <v>0.20699999999999996</v>
      </c>
      <c r="AA43" s="217">
        <v>0.20227820766185678</v>
      </c>
      <c r="AB43" s="217">
        <v>1.62</v>
      </c>
      <c r="AC43" s="217">
        <v>1.5830468425710535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35.770000000000003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4.7560000000000002</v>
      </c>
      <c r="Q44" s="102"/>
      <c r="R44" s="102"/>
      <c r="S44" s="153">
        <v>207.4</v>
      </c>
      <c r="T44" s="217">
        <v>0.13500000000000001</v>
      </c>
      <c r="U44" s="217">
        <v>0.13192057021425446</v>
      </c>
      <c r="X44" s="217">
        <v>0.67500000000000004</v>
      </c>
      <c r="Y44" s="217">
        <v>0.65960285107127226</v>
      </c>
      <c r="Z44" s="217">
        <v>0.16399999999999998</v>
      </c>
      <c r="AA44" s="217">
        <v>0.16025906307509427</v>
      </c>
      <c r="AB44" s="217">
        <v>1.68</v>
      </c>
      <c r="AC44" s="217">
        <v>1.6416782071107219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35.753599999999999</v>
      </c>
      <c r="H45" s="118">
        <v>0</v>
      </c>
      <c r="I45" s="155">
        <v>1.8</v>
      </c>
      <c r="J45" s="102"/>
      <c r="K45" s="55"/>
      <c r="L45" s="55"/>
      <c r="M45" s="55"/>
      <c r="N45" s="56"/>
      <c r="O45" s="55"/>
      <c r="P45" s="102">
        <v>4.8150000000000004</v>
      </c>
      <c r="Q45" s="102"/>
      <c r="R45" s="102"/>
      <c r="S45" s="153">
        <v>210</v>
      </c>
      <c r="T45" s="217">
        <v>8.6999999999999994E-2</v>
      </c>
      <c r="U45" s="217">
        <v>8.5015478582519524E-2</v>
      </c>
      <c r="X45" s="217">
        <v>0.46300000000000008</v>
      </c>
      <c r="Y45" s="217">
        <v>0.45243869636444312</v>
      </c>
      <c r="Z45" s="217">
        <v>0.15200000000000002</v>
      </c>
      <c r="AA45" s="217">
        <v>0.14853279016716059</v>
      </c>
      <c r="AB45" s="217">
        <v>1.59</v>
      </c>
      <c r="AC45" s="217">
        <v>1.5537311603012192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I11" sqref="I11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37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37886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0.38</v>
      </c>
      <c r="K9" s="42" t="s">
        <v>51</v>
      </c>
      <c r="L9" s="43" t="str">
        <f>IF(P9=M9,"+","-")</f>
        <v>-</v>
      </c>
      <c r="M9" s="42" t="s">
        <v>3</v>
      </c>
      <c r="N9" s="42" t="s">
        <v>54</v>
      </c>
      <c r="O9" s="16" t="str">
        <f>IF(ISBLANK(I9),"",IF(ISBLANK(J9),"",IF(P9=M10,L9&amp;N11,N11)))</f>
        <v>-0°0,38</v>
      </c>
      <c r="P9" s="39" t="s">
        <v>53</v>
      </c>
      <c r="Q9" s="201">
        <f>IF(ISBLANK(I9),"",IF(ISBLANK(J9),"",IF(J9&gt;60,"ERREUR !!",O11*(I9+(J9/60)))))</f>
        <v>-6.3333333333333332E-3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59.87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-9°59,87</v>
      </c>
      <c r="P10" s="39" t="s">
        <v>55</v>
      </c>
      <c r="Q10" s="201">
        <f>IF(ISBLANK(I10),"",IF(ISBLANK(J10),"",IF(J10&gt;60,"ERREUR !!",O12*(I10+(J10/60)))))</f>
        <v>-9.9978333333333325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37886</v>
      </c>
      <c r="K11" s="72"/>
      <c r="L11" s="72"/>
      <c r="M11" s="72"/>
      <c r="N11" s="73" t="str">
        <f>I9&amp;"°"&amp;J9</f>
        <v>0°0,38</v>
      </c>
      <c r="O11" s="74">
        <f>IF(P9=M10,-1,1)</f>
        <v>-1</v>
      </c>
      <c r="P11" s="185" t="str">
        <f>TEXT(J11,"aaaa-mm-jj")&amp;"T"&amp;TEXT(J12,"hh:mm:ss")&amp;"z"</f>
        <v>2007-09-23T06:00:00z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0.25</v>
      </c>
      <c r="K12" s="75"/>
      <c r="L12" s="75"/>
      <c r="M12" s="75"/>
      <c r="N12" s="76" t="str">
        <f>I10&amp;"°"&amp;J10</f>
        <v>9°59,87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 t="s">
        <v>4</v>
      </c>
      <c r="H35" s="126">
        <v>2000</v>
      </c>
      <c r="I35" s="155">
        <v>2003</v>
      </c>
      <c r="J35" s="127"/>
      <c r="K35" s="128"/>
      <c r="L35" s="128"/>
      <c r="M35" s="128"/>
      <c r="N35" s="129"/>
      <c r="O35" s="128"/>
      <c r="P35" s="127"/>
      <c r="Q35" s="127"/>
      <c r="R35" s="127"/>
      <c r="S35" s="153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34.622900000000001</v>
      </c>
      <c r="H36" s="126">
        <v>1000</v>
      </c>
      <c r="I36" s="155">
        <v>1001</v>
      </c>
      <c r="J36" s="102"/>
      <c r="K36" s="55"/>
      <c r="L36" s="55"/>
      <c r="M36" s="55"/>
      <c r="N36" s="56"/>
      <c r="O36" s="55"/>
      <c r="P36" s="102">
        <v>3.4910000000000001</v>
      </c>
      <c r="Q36" s="102"/>
      <c r="R36" s="102"/>
      <c r="S36" s="153">
        <v>151.80000000000001</v>
      </c>
      <c r="T36" s="217">
        <v>1.7999999999999999E-2</v>
      </c>
      <c r="U36" s="217">
        <v>1.7589409361900593E-2</v>
      </c>
      <c r="X36" s="217">
        <v>33.442</v>
      </c>
      <c r="Y36" s="217">
        <v>32.679168215593315</v>
      </c>
      <c r="Z36" s="217">
        <v>2.23</v>
      </c>
      <c r="AA36" s="217">
        <v>2.1791323820576847</v>
      </c>
      <c r="AB36" s="217">
        <v>31.83</v>
      </c>
      <c r="AC36" s="217">
        <v>31.103938888294213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34.562800000000003</v>
      </c>
      <c r="H37" s="118">
        <v>600</v>
      </c>
      <c r="I37" s="155">
        <v>603</v>
      </c>
      <c r="J37" s="102"/>
      <c r="K37" s="55"/>
      <c r="L37" s="55"/>
      <c r="M37" s="55"/>
      <c r="N37" s="56"/>
      <c r="O37" s="55"/>
      <c r="P37" s="102">
        <v>3.024</v>
      </c>
      <c r="Q37" s="102"/>
      <c r="R37" s="102"/>
      <c r="S37" s="153">
        <v>131.5</v>
      </c>
      <c r="T37" s="217">
        <v>2.5999999999999999E-2</v>
      </c>
      <c r="U37" s="217">
        <v>2.5406924633856413E-2</v>
      </c>
      <c r="X37" s="217">
        <v>33.513999999999996</v>
      </c>
      <c r="Y37" s="217">
        <v>32.749525853040915</v>
      </c>
      <c r="Z37" s="217">
        <v>2.1579999999999999</v>
      </c>
      <c r="AA37" s="217">
        <v>2.108774744610082</v>
      </c>
      <c r="AB37" s="217">
        <v>22.13</v>
      </c>
      <c r="AC37" s="217">
        <v>21.625201621047783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35.888599999999997</v>
      </c>
      <c r="H38" s="118">
        <v>100</v>
      </c>
      <c r="I38" s="155">
        <v>99</v>
      </c>
      <c r="J38" s="102"/>
      <c r="K38" s="55"/>
      <c r="L38" s="55"/>
      <c r="M38" s="55"/>
      <c r="N38" s="56"/>
      <c r="O38" s="55"/>
      <c r="P38" s="102">
        <v>3.2589999999999999</v>
      </c>
      <c r="Q38" s="102"/>
      <c r="R38" s="102"/>
      <c r="S38" s="220">
        <v>141.6</v>
      </c>
      <c r="T38" s="217">
        <v>9.7000000000000003E-2</v>
      </c>
      <c r="U38" s="217">
        <v>9.4787372672464315E-2</v>
      </c>
      <c r="X38" s="217">
        <v>11.553000000000001</v>
      </c>
      <c r="Y38" s="217">
        <v>11.289469242113197</v>
      </c>
      <c r="Z38" s="217">
        <v>0.81499999999999995</v>
      </c>
      <c r="AA38" s="217">
        <v>0.79640936833049913</v>
      </c>
      <c r="AB38" s="217">
        <v>3.91</v>
      </c>
      <c r="AC38" s="217">
        <v>3.8208105891684068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36.108699999999999</v>
      </c>
      <c r="H39" s="118">
        <v>80</v>
      </c>
      <c r="I39" s="155">
        <v>79</v>
      </c>
      <c r="J39" s="102"/>
      <c r="K39" s="55"/>
      <c r="L39" s="55"/>
      <c r="M39" s="55"/>
      <c r="N39" s="56"/>
      <c r="O39" s="55"/>
      <c r="P39" s="102">
        <v>3.956</v>
      </c>
      <c r="Q39" s="102"/>
      <c r="R39" s="102"/>
      <c r="S39" s="220">
        <v>172.4</v>
      </c>
      <c r="T39" s="217">
        <v>0.61299999999999999</v>
      </c>
      <c r="U39" s="217">
        <v>0.5990171077136146</v>
      </c>
      <c r="X39" s="217">
        <v>3.177</v>
      </c>
      <c r="Y39" s="217">
        <v>3.1045307523754548</v>
      </c>
      <c r="Z39" s="217">
        <v>0.36299999999999999</v>
      </c>
      <c r="AA39" s="217">
        <v>0.35471975546499529</v>
      </c>
      <c r="AB39" s="217">
        <v>1.83</v>
      </c>
      <c r="AC39" s="217">
        <v>1.7882566184598938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35.847000000000001</v>
      </c>
      <c r="H40" s="118">
        <v>60</v>
      </c>
      <c r="I40" s="155">
        <v>59</v>
      </c>
      <c r="J40" s="102"/>
      <c r="K40" s="55"/>
      <c r="L40" s="55"/>
      <c r="M40" s="55"/>
      <c r="N40" s="56"/>
      <c r="O40" s="55"/>
      <c r="P40" s="102">
        <v>4.2450000000000001</v>
      </c>
      <c r="Q40" s="102"/>
      <c r="R40" s="102"/>
      <c r="S40" s="153">
        <v>185</v>
      </c>
      <c r="T40" s="217">
        <v>0.442</v>
      </c>
      <c r="U40" s="217">
        <v>0.43191771877555901</v>
      </c>
      <c r="X40" s="217">
        <v>2.5179999999999998</v>
      </c>
      <c r="Y40" s="217">
        <v>2.4605629318480937</v>
      </c>
      <c r="Z40" s="217">
        <v>0.33799999999999997</v>
      </c>
      <c r="AA40" s="217">
        <v>0.33029002024013332</v>
      </c>
      <c r="AB40" s="217">
        <v>1.72</v>
      </c>
      <c r="AC40" s="217">
        <v>1.6807657834705012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35.747300000000003</v>
      </c>
      <c r="H41" s="118">
        <v>40</v>
      </c>
      <c r="I41" s="155">
        <v>39</v>
      </c>
      <c r="J41" s="102"/>
      <c r="K41" s="55"/>
      <c r="L41" s="55"/>
      <c r="M41" s="55"/>
      <c r="N41" s="56"/>
      <c r="O41" s="55"/>
      <c r="P41" s="102">
        <v>4.202</v>
      </c>
      <c r="Q41" s="102"/>
      <c r="R41" s="102"/>
      <c r="S41" s="153">
        <v>183.2</v>
      </c>
      <c r="T41" s="217">
        <v>0.115</v>
      </c>
      <c r="U41" s="217">
        <v>0.11237678203436491</v>
      </c>
      <c r="X41" s="217">
        <v>0.98499999999999999</v>
      </c>
      <c r="Y41" s="217">
        <v>0.96253156785956029</v>
      </c>
      <c r="Z41" s="217">
        <v>0.20399999999999996</v>
      </c>
      <c r="AA41" s="217">
        <v>0.19934663943487335</v>
      </c>
      <c r="AB41" s="217">
        <v>1.56</v>
      </c>
      <c r="AC41" s="217">
        <v>1.5244154780313848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35.750700000000002</v>
      </c>
      <c r="H42" s="118">
        <v>20</v>
      </c>
      <c r="I42" s="155">
        <v>20</v>
      </c>
      <c r="J42" s="102"/>
      <c r="K42" s="55"/>
      <c r="L42" s="55"/>
      <c r="M42" s="55"/>
      <c r="N42" s="56"/>
      <c r="O42" s="55"/>
      <c r="P42" s="102">
        <v>4.7690000000000001</v>
      </c>
      <c r="Q42" s="102"/>
      <c r="R42" s="102"/>
      <c r="S42" s="153">
        <v>208</v>
      </c>
      <c r="T42" s="217">
        <v>8.4000000000000005E-2</v>
      </c>
      <c r="U42" s="217">
        <v>8.208391035553611E-2</v>
      </c>
      <c r="X42" s="217">
        <v>0.60599999999999998</v>
      </c>
      <c r="Y42" s="217">
        <v>0.59217678185065326</v>
      </c>
      <c r="Z42" s="217">
        <v>0.16399999999999998</v>
      </c>
      <c r="AA42" s="217">
        <v>0.16025906307509427</v>
      </c>
      <c r="AB42" s="217">
        <v>1.54</v>
      </c>
      <c r="AC42" s="217">
        <v>1.5048716898514953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35.751199999999997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4.7809999999999997</v>
      </c>
      <c r="Q43" s="102"/>
      <c r="R43" s="102"/>
      <c r="S43" s="153">
        <v>208.5</v>
      </c>
      <c r="T43" s="217">
        <v>7.3999999999999996E-2</v>
      </c>
      <c r="U43" s="217">
        <v>7.231201626559132E-2</v>
      </c>
      <c r="X43" s="217">
        <v>0.57600000000000007</v>
      </c>
      <c r="Y43" s="217">
        <v>0.56286109958081909</v>
      </c>
      <c r="Z43" s="217">
        <v>0.17299999999999999</v>
      </c>
      <c r="AA43" s="217">
        <v>0.16905376775604458</v>
      </c>
      <c r="AB43" s="217">
        <v>1.54</v>
      </c>
      <c r="AC43" s="217">
        <v>1.5048716898514953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35.752200000000002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4.782</v>
      </c>
      <c r="Q44" s="102"/>
      <c r="R44" s="102"/>
      <c r="S44" s="153">
        <v>208.5</v>
      </c>
      <c r="T44" s="217">
        <v>6.7000000000000004E-2</v>
      </c>
      <c r="U44" s="217">
        <v>6.5471690402629984E-2</v>
      </c>
      <c r="X44" s="217">
        <v>0.53299999999999992</v>
      </c>
      <c r="Y44" s="217">
        <v>0.52084195499405639</v>
      </c>
      <c r="Z44" s="217">
        <v>0.15400000000000003</v>
      </c>
      <c r="AA44" s="217">
        <v>0.15048716898514955</v>
      </c>
      <c r="AB44" s="217">
        <v>1.44</v>
      </c>
      <c r="AC44" s="217">
        <v>1.4071527489520474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35.752400000000002</v>
      </c>
      <c r="H45" s="118">
        <v>0</v>
      </c>
      <c r="I45" s="155">
        <v>1.6</v>
      </c>
      <c r="J45" s="102"/>
      <c r="K45" s="55"/>
      <c r="L45" s="55"/>
      <c r="M45" s="55"/>
      <c r="N45" s="56"/>
      <c r="O45" s="55"/>
      <c r="P45" s="102">
        <v>4.7969999999999997</v>
      </c>
      <c r="Q45" s="102"/>
      <c r="R45" s="102"/>
      <c r="S45" s="153">
        <v>209.2</v>
      </c>
      <c r="T45" s="217">
        <v>6.9000000000000006E-2</v>
      </c>
      <c r="U45" s="217">
        <v>6.7426069220618945E-2</v>
      </c>
      <c r="X45" s="217">
        <v>0.53099999999999992</v>
      </c>
      <c r="Y45" s="217">
        <v>0.5188875761760674</v>
      </c>
      <c r="Z45" s="217">
        <v>0.155</v>
      </c>
      <c r="AA45" s="217">
        <v>0.15146435839414396</v>
      </c>
      <c r="AB45" s="217">
        <v>1.5</v>
      </c>
      <c r="AC45" s="217">
        <v>1.465784113491716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38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37887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0</v>
      </c>
      <c r="J9" s="39">
        <v>30.03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0°30,03</v>
      </c>
      <c r="P9" s="39" t="s">
        <v>3</v>
      </c>
      <c r="Q9" s="201">
        <f>IF(ISBLANK(I9),"",IF(ISBLANK(J9),"",IF(J9&gt;60,"ERREUR !!",O11*(I9+(J9/60)))))</f>
        <v>0.50050000000000006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59.83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-9°59,83</v>
      </c>
      <c r="P10" s="39" t="s">
        <v>55</v>
      </c>
      <c r="Q10" s="201">
        <f>IF(ISBLANK(I10),"",IF(ISBLANK(J10),"",IF(J10&gt;60,"ERREUR !!",O12*(I10+(J10/60)))))</f>
        <v>-9.9971666666666668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37886</v>
      </c>
      <c r="K11" s="72"/>
      <c r="L11" s="72"/>
      <c r="M11" s="72"/>
      <c r="N11" s="73" t="str">
        <f>I9&amp;"°"&amp;J9</f>
        <v>0°30,03</v>
      </c>
      <c r="O11" s="74">
        <f>IF(P9=M10,-1,1)</f>
        <v>1</v>
      </c>
      <c r="P11" s="185" t="str">
        <f>TEXT(J11,"aaaa-mm-jj")&amp;"T"&amp;TEXT(J12,"hh:mm:ss")&amp;"z"</f>
        <v>2007-09-23T12:30:00z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0.52083333333333337</v>
      </c>
      <c r="K12" s="75"/>
      <c r="L12" s="75"/>
      <c r="M12" s="75"/>
      <c r="N12" s="76" t="str">
        <f>I10&amp;"°"&amp;J10</f>
        <v>9°59,83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34.962800000000001</v>
      </c>
      <c r="H35" s="126">
        <v>2000</v>
      </c>
      <c r="I35" s="155">
        <v>2012</v>
      </c>
      <c r="J35" s="127"/>
      <c r="K35" s="128"/>
      <c r="L35" s="128"/>
      <c r="M35" s="128"/>
      <c r="N35" s="129"/>
      <c r="O35" s="128"/>
      <c r="P35" s="127">
        <v>5.508</v>
      </c>
      <c r="Q35" s="127"/>
      <c r="R35" s="127"/>
      <c r="S35" s="153">
        <v>239.4</v>
      </c>
      <c r="T35" s="217">
        <v>2.1000000000000001E-2</v>
      </c>
      <c r="U35" s="217">
        <v>2.0520977588884028E-2</v>
      </c>
      <c r="X35" s="217">
        <v>20.728999999999999</v>
      </c>
      <c r="Y35" s="217">
        <v>20.25615925904652</v>
      </c>
      <c r="Z35" s="217">
        <v>1.3679999999999999</v>
      </c>
      <c r="AA35" s="217">
        <v>1.336795111504445</v>
      </c>
      <c r="AB35" s="217">
        <v>22.94</v>
      </c>
      <c r="AC35" s="217">
        <v>22.416725042333312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34.595799999999997</v>
      </c>
      <c r="H36" s="126">
        <v>1000</v>
      </c>
      <c r="I36" s="155">
        <v>987</v>
      </c>
      <c r="J36" s="102"/>
      <c r="K36" s="55"/>
      <c r="L36" s="55"/>
      <c r="M36" s="55"/>
      <c r="N36" s="56"/>
      <c r="O36" s="55"/>
      <c r="P36" s="102">
        <v>3.399</v>
      </c>
      <c r="Q36" s="102"/>
      <c r="R36" s="102"/>
      <c r="S36" s="153">
        <v>147.80000000000001</v>
      </c>
      <c r="T36" s="217">
        <v>1.9E-2</v>
      </c>
      <c r="U36" s="217">
        <v>1.856659877089507E-2</v>
      </c>
      <c r="X36" s="217">
        <v>34.271000000000001</v>
      </c>
      <c r="Y36" s="217">
        <v>33.489258235649736</v>
      </c>
      <c r="Z36" s="217">
        <v>2.2400000000000002</v>
      </c>
      <c r="AA36" s="217">
        <v>2.1889042761476292</v>
      </c>
      <c r="AB36" s="217">
        <v>31.72</v>
      </c>
      <c r="AC36" s="217">
        <v>30.996448053304821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34.5655</v>
      </c>
      <c r="H37" s="118">
        <v>600</v>
      </c>
      <c r="I37" s="155">
        <v>598</v>
      </c>
      <c r="J37" s="102"/>
      <c r="K37" s="55"/>
      <c r="L37" s="55"/>
      <c r="M37" s="55"/>
      <c r="N37" s="56"/>
      <c r="O37" s="55"/>
      <c r="P37" s="102">
        <v>3.0169999999999999</v>
      </c>
      <c r="Q37" s="102"/>
      <c r="R37" s="102"/>
      <c r="S37" s="153">
        <v>131.19999999999999</v>
      </c>
      <c r="T37" s="217">
        <v>1.2999999999999999E-2</v>
      </c>
      <c r="U37" s="217">
        <v>1.2703462316928206E-2</v>
      </c>
      <c r="X37" s="217">
        <v>33.907000000000004</v>
      </c>
      <c r="Y37" s="217">
        <v>33.133561290775752</v>
      </c>
      <c r="Z37" s="217">
        <v>2.181</v>
      </c>
      <c r="AA37" s="217">
        <v>2.1312501010169553</v>
      </c>
      <c r="AB37" s="217">
        <v>22.68</v>
      </c>
      <c r="AC37" s="217">
        <v>22.162655795994748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35.782699999999998</v>
      </c>
      <c r="H38" s="118">
        <v>100</v>
      </c>
      <c r="I38" s="155">
        <v>96</v>
      </c>
      <c r="J38" s="102"/>
      <c r="K38" s="55"/>
      <c r="L38" s="55"/>
      <c r="M38" s="55"/>
      <c r="N38" s="56"/>
      <c r="O38" s="55"/>
      <c r="P38" s="102">
        <v>2.782</v>
      </c>
      <c r="Q38" s="102"/>
      <c r="R38" s="102"/>
      <c r="S38" s="220">
        <v>121.2</v>
      </c>
      <c r="T38" s="217">
        <v>0.125</v>
      </c>
      <c r="U38" s="217">
        <v>0.12214867612430967</v>
      </c>
      <c r="X38" s="217">
        <v>12.675000000000001</v>
      </c>
      <c r="Y38" s="217">
        <v>12.385875759005001</v>
      </c>
      <c r="Z38" s="217">
        <v>0.88600000000000001</v>
      </c>
      <c r="AA38" s="217">
        <v>0.86578981636910701</v>
      </c>
      <c r="AB38" s="217">
        <v>3.77</v>
      </c>
      <c r="AC38" s="217">
        <v>3.6840040719091798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35.967700000000001</v>
      </c>
      <c r="H39" s="118">
        <v>80</v>
      </c>
      <c r="I39" s="155">
        <v>79</v>
      </c>
      <c r="J39" s="102"/>
      <c r="K39" s="55"/>
      <c r="L39" s="55"/>
      <c r="M39" s="55"/>
      <c r="N39" s="56"/>
      <c r="O39" s="55"/>
      <c r="P39" s="102">
        <v>3.6539999999999999</v>
      </c>
      <c r="Q39" s="102"/>
      <c r="R39" s="102"/>
      <c r="S39" s="220">
        <v>159.19999999999999</v>
      </c>
      <c r="T39" s="217">
        <v>0.53700000000000003</v>
      </c>
      <c r="U39" s="217">
        <v>0.52475071263003437</v>
      </c>
      <c r="X39" s="217">
        <v>5.7930000000000001</v>
      </c>
      <c r="Y39" s="217">
        <v>5.6608582463050077</v>
      </c>
      <c r="Z39" s="217">
        <v>0.48100000000000004</v>
      </c>
      <c r="AA39" s="217">
        <v>0.47002810572634368</v>
      </c>
      <c r="AB39" s="217">
        <v>2.2400000000000002</v>
      </c>
      <c r="AC39" s="217">
        <v>2.1889042761476296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35.710700000000003</v>
      </c>
      <c r="H40" s="118">
        <v>60</v>
      </c>
      <c r="I40" s="155">
        <v>52</v>
      </c>
      <c r="J40" s="102"/>
      <c r="K40" s="55"/>
      <c r="L40" s="55"/>
      <c r="M40" s="55"/>
      <c r="N40" s="56"/>
      <c r="O40" s="55"/>
      <c r="P40" s="102">
        <v>4.6980000000000004</v>
      </c>
      <c r="Q40" s="102"/>
      <c r="R40" s="102"/>
      <c r="S40" s="153">
        <v>204.9</v>
      </c>
      <c r="T40" s="217">
        <v>6.3E-2</v>
      </c>
      <c r="U40" s="217">
        <v>6.1562932766652076E-2</v>
      </c>
      <c r="X40" s="217">
        <v>0.63700000000000001</v>
      </c>
      <c r="Y40" s="217">
        <v>0.62246965352948214</v>
      </c>
      <c r="Z40" s="217">
        <v>0.17799999999999999</v>
      </c>
      <c r="AA40" s="217">
        <v>0.17393971480101697</v>
      </c>
      <c r="AB40" s="217">
        <v>1.41</v>
      </c>
      <c r="AC40" s="217">
        <v>1.3778370666822131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35.707700000000003</v>
      </c>
      <c r="H41" s="118">
        <v>40</v>
      </c>
      <c r="I41" s="155">
        <v>39</v>
      </c>
      <c r="J41" s="102"/>
      <c r="K41" s="55"/>
      <c r="L41" s="55"/>
      <c r="M41" s="55"/>
      <c r="N41" s="56"/>
      <c r="O41" s="55"/>
      <c r="P41" s="102">
        <v>4.718</v>
      </c>
      <c r="Q41" s="102"/>
      <c r="R41" s="102"/>
      <c r="S41" s="153">
        <v>205.8</v>
      </c>
      <c r="T41" s="217">
        <v>5.8000000000000003E-2</v>
      </c>
      <c r="U41" s="217">
        <v>5.6676985721679694E-2</v>
      </c>
      <c r="X41" s="217">
        <v>0.60199999999999998</v>
      </c>
      <c r="Y41" s="217">
        <v>0.58826802421467539</v>
      </c>
      <c r="Z41" s="217">
        <v>0.17199999999999999</v>
      </c>
      <c r="AA41" s="217">
        <v>0.16807657834705009</v>
      </c>
      <c r="AB41" s="217">
        <v>1.37</v>
      </c>
      <c r="AC41" s="217">
        <v>1.3387494903224342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35.707999999999998</v>
      </c>
      <c r="H42" s="118">
        <v>20</v>
      </c>
      <c r="I42" s="155">
        <v>21</v>
      </c>
      <c r="J42" s="102"/>
      <c r="K42" s="55"/>
      <c r="L42" s="55"/>
      <c r="M42" s="55"/>
      <c r="N42" s="56"/>
      <c r="O42" s="55"/>
      <c r="P42" s="102">
        <v>4.7359999999999998</v>
      </c>
      <c r="Q42" s="102"/>
      <c r="R42" s="102"/>
      <c r="S42" s="153">
        <v>206.5</v>
      </c>
      <c r="T42" s="217">
        <v>0.06</v>
      </c>
      <c r="U42" s="217">
        <v>5.8631364539668641E-2</v>
      </c>
      <c r="X42" s="217">
        <v>0.6</v>
      </c>
      <c r="Y42" s="217">
        <v>0.58631364539668651</v>
      </c>
      <c r="Z42" s="217">
        <v>0.16799999999999998</v>
      </c>
      <c r="AA42" s="217">
        <v>0.16416782071107219</v>
      </c>
      <c r="AB42" s="217">
        <v>1.39</v>
      </c>
      <c r="AC42" s="217">
        <v>1.3582932785023234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35.708500000000001</v>
      </c>
      <c r="H43" s="118">
        <v>10</v>
      </c>
      <c r="I43" s="155">
        <v>9</v>
      </c>
      <c r="J43" s="102"/>
      <c r="K43" s="55"/>
      <c r="L43" s="55"/>
      <c r="M43" s="55"/>
      <c r="N43" s="56"/>
      <c r="O43" s="55"/>
      <c r="P43" s="102">
        <v>4.7489999999999997</v>
      </c>
      <c r="Q43" s="102"/>
      <c r="R43" s="102"/>
      <c r="S43" s="153">
        <v>207.1</v>
      </c>
      <c r="T43" s="217">
        <v>6.0999999999999999E-2</v>
      </c>
      <c r="U43" s="217">
        <v>5.9608553948663122E-2</v>
      </c>
      <c r="X43" s="217">
        <v>0.57899999999999996</v>
      </c>
      <c r="Y43" s="217">
        <v>0.56579266780780235</v>
      </c>
      <c r="Z43" s="217">
        <v>0.17099999999999999</v>
      </c>
      <c r="AA43" s="217">
        <v>0.16709938893805562</v>
      </c>
      <c r="AB43" s="217">
        <v>1.44</v>
      </c>
      <c r="AC43" s="217">
        <v>1.4071527489520474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35.7087</v>
      </c>
      <c r="H44" s="118">
        <v>10</v>
      </c>
      <c r="I44" s="155">
        <v>9</v>
      </c>
      <c r="J44" s="102"/>
      <c r="K44" s="55"/>
      <c r="L44" s="55"/>
      <c r="M44" s="55"/>
      <c r="N44" s="56"/>
      <c r="O44" s="55"/>
      <c r="P44" s="102">
        <v>4.7409999999999997</v>
      </c>
      <c r="Q44" s="102"/>
      <c r="R44" s="102"/>
      <c r="S44" s="153">
        <v>206.8</v>
      </c>
      <c r="T44" s="217">
        <v>5.8000000000000003E-2</v>
      </c>
      <c r="U44" s="217">
        <v>5.6676985721679694E-2</v>
      </c>
      <c r="X44" s="217">
        <v>0.39200000000000002</v>
      </c>
      <c r="Y44" s="217">
        <v>0.38305824832583518</v>
      </c>
      <c r="Z44" s="217">
        <v>0.17099999999999999</v>
      </c>
      <c r="AA44" s="217">
        <v>0.16709938893805562</v>
      </c>
      <c r="AB44" s="217">
        <v>1.41</v>
      </c>
      <c r="AC44" s="217">
        <v>1.3778370666822131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35.709499999999998</v>
      </c>
      <c r="H45" s="118">
        <v>0</v>
      </c>
      <c r="I45" s="155">
        <v>1.85</v>
      </c>
      <c r="J45" s="102"/>
      <c r="K45" s="55"/>
      <c r="L45" s="55"/>
      <c r="M45" s="55"/>
      <c r="N45" s="56"/>
      <c r="O45" s="55"/>
      <c r="P45" s="102">
        <v>4.5990000000000002</v>
      </c>
      <c r="Q45" s="102"/>
      <c r="R45" s="102"/>
      <c r="S45" s="153">
        <v>200.6</v>
      </c>
      <c r="T45" s="217">
        <v>6.0999999999999999E-2</v>
      </c>
      <c r="U45" s="217">
        <v>5.9608553948663122E-2</v>
      </c>
      <c r="X45" s="217">
        <v>0.56899999999999995</v>
      </c>
      <c r="Y45" s="217">
        <v>0.55602077371785763</v>
      </c>
      <c r="Z45" s="217">
        <v>0.16799999999999998</v>
      </c>
      <c r="AA45" s="217">
        <v>0.16416782071107219</v>
      </c>
      <c r="AB45" s="217">
        <v>1.34</v>
      </c>
      <c r="AC45" s="217">
        <v>1.3094338080525998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39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37887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0.39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1°0,39</v>
      </c>
      <c r="P9" s="39" t="s">
        <v>3</v>
      </c>
      <c r="Q9" s="201">
        <f>IF(ISBLANK(I9),"",IF(ISBLANK(J9),"",IF(J9&gt;60,"ERREUR !!",O11*(I9+(J9/60)))))</f>
        <v>1.0065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59.99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-9°59,99</v>
      </c>
      <c r="P10" s="39" t="s">
        <v>55</v>
      </c>
      <c r="Q10" s="201">
        <f>IF(ISBLANK(I10),"",IF(ISBLANK(J10),"",IF(J10&gt;60,"ERREUR !!",O12*(I10+(J10/60)))))</f>
        <v>-9.9998333333333331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37887</v>
      </c>
      <c r="K11" s="72"/>
      <c r="L11" s="72"/>
      <c r="M11" s="72"/>
      <c r="N11" s="73" t="str">
        <f>I9&amp;"°"&amp;J9</f>
        <v>1°0,39</v>
      </c>
      <c r="O11" s="74">
        <f>IF(P9=M10,-1,1)</f>
        <v>1</v>
      </c>
      <c r="P11" s="185" t="str">
        <f>TEXT(J11,"aaaa-mm-jj")&amp;"T"&amp;TEXT(J12,"hh:mm:ss")&amp;"z"</f>
        <v>2007-09-24T03:30:00z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0.14583333333333334</v>
      </c>
      <c r="K12" s="75"/>
      <c r="L12" s="75"/>
      <c r="M12" s="75"/>
      <c r="N12" s="76" t="str">
        <f>I10&amp;"°"&amp;J10</f>
        <v>9°59,99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34.960099999999997</v>
      </c>
      <c r="H35" s="126">
        <v>2000</v>
      </c>
      <c r="I35" s="155">
        <v>2013</v>
      </c>
      <c r="J35" s="127"/>
      <c r="K35" s="128"/>
      <c r="L35" s="128"/>
      <c r="M35" s="128"/>
      <c r="N35" s="129"/>
      <c r="O35" s="128"/>
      <c r="P35" s="127">
        <v>5.4550000000000001</v>
      </c>
      <c r="Q35" s="127"/>
      <c r="R35" s="127"/>
      <c r="S35" s="153">
        <v>237.1</v>
      </c>
      <c r="T35" s="217">
        <v>1.2999999999999999E-2</v>
      </c>
      <c r="U35" s="217">
        <v>1.2703462316928206E-2</v>
      </c>
      <c r="X35" s="217">
        <v>20.736999999999998</v>
      </c>
      <c r="Y35" s="217">
        <v>20.263976774318476</v>
      </c>
      <c r="Z35" s="217">
        <v>1.3859999999999999</v>
      </c>
      <c r="AA35" s="217">
        <v>1.3543845208663456</v>
      </c>
      <c r="AB35" s="217">
        <v>23.78</v>
      </c>
      <c r="AC35" s="217">
        <v>23.237564145888673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34.9604</v>
      </c>
      <c r="H36" s="126">
        <v>2000</v>
      </c>
      <c r="I36" s="155">
        <v>2012</v>
      </c>
      <c r="J36" s="102"/>
      <c r="K36" s="55"/>
      <c r="L36" s="55"/>
      <c r="M36" s="55"/>
      <c r="N36" s="56"/>
      <c r="O36" s="55"/>
      <c r="P36" s="102">
        <v>5.4509999999999996</v>
      </c>
      <c r="Q36" s="102"/>
      <c r="R36" s="102"/>
      <c r="S36" s="153">
        <v>236.9</v>
      </c>
      <c r="T36" s="217">
        <v>1.2E-2</v>
      </c>
      <c r="U36" s="217">
        <v>1.1726272907933729E-2</v>
      </c>
      <c r="X36" s="217">
        <v>20.637999999999998</v>
      </c>
      <c r="Y36" s="217">
        <v>20.167235022828024</v>
      </c>
      <c r="Z36" s="217">
        <v>1.4319999999999999</v>
      </c>
      <c r="AA36" s="217">
        <v>1.3993352336800915</v>
      </c>
      <c r="AB36" s="217">
        <v>23.69</v>
      </c>
      <c r="AC36" s="217">
        <v>23.149617099079173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34.612000000000002</v>
      </c>
      <c r="H37" s="126">
        <v>1000</v>
      </c>
      <c r="I37" s="155">
        <v>998</v>
      </c>
      <c r="J37" s="102"/>
      <c r="K37" s="55"/>
      <c r="L37" s="55"/>
      <c r="M37" s="55"/>
      <c r="N37" s="56"/>
      <c r="O37" s="55"/>
      <c r="P37" s="102">
        <v>3.3839999999999999</v>
      </c>
      <c r="Q37" s="102"/>
      <c r="R37" s="102"/>
      <c r="S37" s="153">
        <v>147.1</v>
      </c>
      <c r="T37" s="217">
        <v>1.4999999999999999E-2</v>
      </c>
      <c r="U37" s="217">
        <v>1.465784113491716E-2</v>
      </c>
      <c r="X37" s="217">
        <v>33.615000000000002</v>
      </c>
      <c r="Y37" s="217">
        <v>32.848221983349362</v>
      </c>
      <c r="Z37" s="217">
        <v>2.2599999999999998</v>
      </c>
      <c r="AA37" s="217">
        <v>2.2084480643275186</v>
      </c>
      <c r="AB37" s="217">
        <v>29.97</v>
      </c>
      <c r="AC37" s="217">
        <v>29.286366587564487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34.558900000000001</v>
      </c>
      <c r="H38" s="118">
        <v>600</v>
      </c>
      <c r="I38" s="155">
        <v>600</v>
      </c>
      <c r="J38" s="102"/>
      <c r="K38" s="55"/>
      <c r="L38" s="55"/>
      <c r="M38" s="55"/>
      <c r="N38" s="56"/>
      <c r="O38" s="55"/>
      <c r="P38" s="102">
        <v>3.0070000000000001</v>
      </c>
      <c r="Q38" s="102"/>
      <c r="R38" s="102"/>
      <c r="S38" s="220">
        <v>130.80000000000001</v>
      </c>
      <c r="T38" s="217">
        <v>1.4999999999999999E-2</v>
      </c>
      <c r="U38" s="217">
        <v>1.465784113491716E-2</v>
      </c>
      <c r="X38" s="217">
        <v>33.945</v>
      </c>
      <c r="Y38" s="217">
        <v>33.170694488317537</v>
      </c>
      <c r="Z38" s="217">
        <v>2.1930000000000001</v>
      </c>
      <c r="AA38" s="217">
        <v>2.1429763739248888</v>
      </c>
      <c r="AB38" s="217">
        <v>22.29</v>
      </c>
      <c r="AC38" s="217">
        <v>21.781551926486902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35.783299999999997</v>
      </c>
      <c r="H39" s="118">
        <v>100</v>
      </c>
      <c r="I39" s="155">
        <v>100</v>
      </c>
      <c r="J39" s="102"/>
      <c r="K39" s="55"/>
      <c r="L39" s="55"/>
      <c r="M39" s="55"/>
      <c r="N39" s="56"/>
      <c r="O39" s="55"/>
      <c r="P39" s="102">
        <v>2.6219999999999999</v>
      </c>
      <c r="Q39" s="102"/>
      <c r="R39" s="102"/>
      <c r="S39" s="220">
        <v>114.1</v>
      </c>
      <c r="T39" s="217">
        <v>0.108</v>
      </c>
      <c r="U39" s="217">
        <v>0.10553645617140356</v>
      </c>
      <c r="X39" s="217">
        <v>16.122</v>
      </c>
      <c r="Y39" s="217">
        <v>15.754247651808965</v>
      </c>
      <c r="Z39" s="217">
        <v>1.3279999999999998</v>
      </c>
      <c r="AA39" s="217">
        <v>1.2977075351446659</v>
      </c>
      <c r="AB39" s="217">
        <v>5.03</v>
      </c>
      <c r="AC39" s="217">
        <v>4.9152627272422214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151">
        <v>35.769100000000002</v>
      </c>
      <c r="H40" s="118">
        <v>80</v>
      </c>
      <c r="I40" s="155">
        <v>80</v>
      </c>
      <c r="J40" s="102"/>
      <c r="K40" s="55"/>
      <c r="L40" s="55"/>
      <c r="M40" s="55"/>
      <c r="N40" s="56"/>
      <c r="O40" s="55"/>
      <c r="P40" s="102">
        <v>3.0609999999999999</v>
      </c>
      <c r="Q40" s="102"/>
      <c r="R40" s="102"/>
      <c r="S40" s="153">
        <v>133.30000000000001</v>
      </c>
      <c r="T40" s="217">
        <v>0.68200000000000005</v>
      </c>
      <c r="U40" s="217">
        <v>0.66644317693423361</v>
      </c>
      <c r="X40" s="217">
        <v>11.247999999999999</v>
      </c>
      <c r="Y40" s="217">
        <v>10.991426472369881</v>
      </c>
      <c r="Z40" s="217">
        <v>0.86299999999999999</v>
      </c>
      <c r="AA40" s="217">
        <v>0.84331445996223398</v>
      </c>
      <c r="AB40" s="217">
        <v>3.71</v>
      </c>
      <c r="AC40" s="217">
        <v>3.625372707369511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151">
        <v>35.7376</v>
      </c>
      <c r="H41" s="118">
        <v>60</v>
      </c>
      <c r="I41" s="155">
        <v>60</v>
      </c>
      <c r="J41" s="102"/>
      <c r="K41" s="55"/>
      <c r="L41" s="55"/>
      <c r="M41" s="55"/>
      <c r="N41" s="56"/>
      <c r="O41" s="55"/>
      <c r="P41" s="102">
        <v>4.4820000000000002</v>
      </c>
      <c r="Q41" s="102"/>
      <c r="R41" s="102"/>
      <c r="S41" s="153">
        <v>195.4</v>
      </c>
      <c r="T41" s="217">
        <v>0.19600000000000001</v>
      </c>
      <c r="U41" s="217">
        <v>0.19152912416291759</v>
      </c>
      <c r="X41" s="217">
        <v>1.3640000000000001</v>
      </c>
      <c r="Y41" s="217">
        <v>1.3328863538684672</v>
      </c>
      <c r="Z41" s="217">
        <v>0.26399999999999996</v>
      </c>
      <c r="AA41" s="217">
        <v>0.25797800397454201</v>
      </c>
      <c r="AB41" s="217">
        <v>1.82</v>
      </c>
      <c r="AC41" s="217">
        <v>1.7784847243699489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35.735399999999998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4.6890000000000001</v>
      </c>
      <c r="Q42" s="102"/>
      <c r="R42" s="102"/>
      <c r="S42" s="153">
        <v>204.5</v>
      </c>
      <c r="T42" s="217">
        <v>5.3999999999999999E-2</v>
      </c>
      <c r="U42" s="217">
        <v>5.2768228085701779E-2</v>
      </c>
      <c r="X42" s="217">
        <v>0.46600000000000003</v>
      </c>
      <c r="Y42" s="217">
        <v>0.45537026459142649</v>
      </c>
      <c r="Z42" s="217">
        <v>0.17499999999999999</v>
      </c>
      <c r="AA42" s="217">
        <v>0.17100814657403354</v>
      </c>
      <c r="AB42" s="217">
        <v>1.73</v>
      </c>
      <c r="AC42" s="217">
        <v>1.6905376775604459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35.506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4.5970000000000004</v>
      </c>
      <c r="Q43" s="102"/>
      <c r="R43" s="102"/>
      <c r="S43" s="153">
        <v>200.6</v>
      </c>
      <c r="T43" s="217">
        <v>1.2999999999999999E-2</v>
      </c>
      <c r="U43" s="217">
        <v>1.2703462316928206E-2</v>
      </c>
      <c r="X43" s="217">
        <v>2.7000000000000003E-2</v>
      </c>
      <c r="Y43" s="217">
        <v>2.6384114042850893E-2</v>
      </c>
      <c r="Z43" s="217">
        <v>2.5999999999999995E-2</v>
      </c>
      <c r="AA43" s="217">
        <v>2.5406924633856409E-2</v>
      </c>
      <c r="AB43" s="217">
        <v>1.18</v>
      </c>
      <c r="AC43" s="217">
        <v>1.1530835026134834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35.506900000000002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4.5750000000000002</v>
      </c>
      <c r="Q44" s="102"/>
      <c r="R44" s="102"/>
      <c r="S44" s="153">
        <v>199.6</v>
      </c>
      <c r="T44" s="217">
        <v>1.0999999999999999E-2</v>
      </c>
      <c r="U44" s="217">
        <v>1.0749083498939251E-2</v>
      </c>
      <c r="X44" s="217">
        <v>3.9000000000000007E-2</v>
      </c>
      <c r="Y44" s="217">
        <v>3.8110386950784628E-2</v>
      </c>
      <c r="Z44" s="217">
        <v>2.1000000000000005E-2</v>
      </c>
      <c r="AA44" s="217">
        <v>2.0520977588884031E-2</v>
      </c>
      <c r="AB44" s="217">
        <v>1.26</v>
      </c>
      <c r="AC44" s="217">
        <v>1.2312586553330416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35.506700000000002</v>
      </c>
      <c r="H45" s="118">
        <v>0</v>
      </c>
      <c r="I45" s="155">
        <v>1.7</v>
      </c>
      <c r="J45" s="102"/>
      <c r="K45" s="55"/>
      <c r="L45" s="55"/>
      <c r="M45" s="55"/>
      <c r="N45" s="56"/>
      <c r="O45" s="55"/>
      <c r="P45" s="102">
        <v>4.57</v>
      </c>
      <c r="Q45" s="102"/>
      <c r="R45" s="102"/>
      <c r="S45" s="153">
        <v>199.4</v>
      </c>
      <c r="T45" s="217">
        <v>8.0000000000000002E-3</v>
      </c>
      <c r="U45" s="217">
        <v>7.8175152719558196E-3</v>
      </c>
      <c r="X45" s="217">
        <v>4.2000000000000003E-2</v>
      </c>
      <c r="Y45" s="217">
        <v>4.1041955177768055E-2</v>
      </c>
      <c r="Z45" s="217">
        <v>2.8999999999999998E-2</v>
      </c>
      <c r="AA45" s="217">
        <v>2.8338492860839844E-2</v>
      </c>
      <c r="AB45" s="217">
        <v>1.28</v>
      </c>
      <c r="AC45" s="217">
        <v>1.250802443512931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40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37887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30.16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1°30,16</v>
      </c>
      <c r="P9" s="39" t="s">
        <v>3</v>
      </c>
      <c r="Q9" s="201">
        <f>IF(ISBLANK(I9),"",IF(ISBLANK(J9),"",IF(J9&gt;60,"ERREUR !!",O11*(I9+(J9/60)))))</f>
        <v>1.5026666666666668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59.77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-9°59,77</v>
      </c>
      <c r="P10" s="39" t="s">
        <v>55</v>
      </c>
      <c r="Q10" s="201">
        <f>IF(ISBLANK(I10),"",IF(ISBLANK(J10),"",IF(J10&gt;60,"ERREUR !!",O12*(I10+(J10/60)))))</f>
        <v>-9.9961666666666673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37887</v>
      </c>
      <c r="K11" s="72"/>
      <c r="L11" s="72"/>
      <c r="M11" s="72"/>
      <c r="N11" s="73" t="str">
        <f>I9&amp;"°"&amp;J9</f>
        <v>1°30,16</v>
      </c>
      <c r="O11" s="74">
        <f>IF(P9=M10,-1,1)</f>
        <v>1</v>
      </c>
      <c r="P11" s="185" t="str">
        <f>TEXT(J11,"aaaa-mm-jj")&amp;"T"&amp;TEXT(J12,"hh:mm:ss")&amp;"z"</f>
        <v>2007-09-24T08:20:00z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0.34722222222222227</v>
      </c>
      <c r="K12" s="75"/>
      <c r="L12" s="75"/>
      <c r="M12" s="75"/>
      <c r="N12" s="76" t="str">
        <f>I10&amp;"°"&amp;J10</f>
        <v>9°59,77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151">
        <v>34.964399999999998</v>
      </c>
      <c r="H35" s="126">
        <v>2000</v>
      </c>
      <c r="I35" s="155">
        <v>2002</v>
      </c>
      <c r="J35" s="127"/>
      <c r="K35" s="128"/>
      <c r="L35" s="128"/>
      <c r="M35" s="128"/>
      <c r="N35" s="129"/>
      <c r="O35" s="128"/>
      <c r="P35" s="127">
        <v>5.4770000000000003</v>
      </c>
      <c r="Q35" s="127"/>
      <c r="R35" s="127"/>
      <c r="S35" s="153">
        <v>238</v>
      </c>
      <c r="T35" s="217">
        <v>2.3E-2</v>
      </c>
      <c r="U35" s="217">
        <v>2.2475356406872978E-2</v>
      </c>
      <c r="X35" s="217">
        <v>20.747</v>
      </c>
      <c r="Y35" s="217">
        <v>20.273748668408423</v>
      </c>
      <c r="Z35" s="217">
        <v>1.391</v>
      </c>
      <c r="AA35" s="217">
        <v>1.3592704679113181</v>
      </c>
      <c r="AB35" s="217">
        <v>22.96</v>
      </c>
      <c r="AC35" s="217">
        <v>22.436268830513203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5.75" x14ac:dyDescent="0.25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151">
        <v>34.6374</v>
      </c>
      <c r="H36" s="126">
        <v>1000</v>
      </c>
      <c r="I36" s="155">
        <v>999</v>
      </c>
      <c r="J36" s="102"/>
      <c r="K36" s="55"/>
      <c r="L36" s="55"/>
      <c r="M36" s="55"/>
      <c r="N36" s="56"/>
      <c r="O36" s="55"/>
      <c r="P36" s="102">
        <v>3.4140000000000001</v>
      </c>
      <c r="Q36" s="102"/>
      <c r="R36" s="102"/>
      <c r="S36" s="153">
        <v>148.4</v>
      </c>
      <c r="T36" s="217">
        <v>2.1000000000000001E-2</v>
      </c>
      <c r="U36" s="217">
        <v>2.0520977588884028E-2</v>
      </c>
      <c r="X36" s="217">
        <v>33.708999999999996</v>
      </c>
      <c r="Y36" s="217">
        <v>32.940077787794834</v>
      </c>
      <c r="Z36" s="217">
        <v>2.23</v>
      </c>
      <c r="AA36" s="217">
        <v>2.1791323820576847</v>
      </c>
      <c r="AB36" s="217">
        <v>30.06</v>
      </c>
      <c r="AC36" s="217">
        <v>29.374313634373991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5.75" x14ac:dyDescent="0.25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151">
        <v>34.555900000000001</v>
      </c>
      <c r="H37" s="118">
        <v>600</v>
      </c>
      <c r="I37" s="155">
        <v>600</v>
      </c>
      <c r="J37" s="102"/>
      <c r="K37" s="55"/>
      <c r="L37" s="55"/>
      <c r="M37" s="55"/>
      <c r="N37" s="56"/>
      <c r="O37" s="55"/>
      <c r="P37" s="102">
        <v>3.0070000000000001</v>
      </c>
      <c r="Q37" s="102"/>
      <c r="R37" s="102"/>
      <c r="S37" s="153">
        <v>130.80000000000001</v>
      </c>
      <c r="T37" s="217">
        <v>2.3E-2</v>
      </c>
      <c r="U37" s="217">
        <v>2.2475356406872978E-2</v>
      </c>
      <c r="X37" s="217">
        <v>34.206999999999994</v>
      </c>
      <c r="Y37" s="217">
        <v>33.426718113474081</v>
      </c>
      <c r="Z37" s="217">
        <v>2.21</v>
      </c>
      <c r="AA37" s="217">
        <v>2.1595885938777952</v>
      </c>
      <c r="AB37" s="217">
        <v>22.79</v>
      </c>
      <c r="AC37" s="217">
        <v>22.27014663098414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5.75" x14ac:dyDescent="0.25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151">
        <v>35.758000000000003</v>
      </c>
      <c r="H38" s="118">
        <v>100</v>
      </c>
      <c r="I38" s="155">
        <v>99</v>
      </c>
      <c r="J38" s="102"/>
      <c r="K38" s="55"/>
      <c r="L38" s="55"/>
      <c r="M38" s="55"/>
      <c r="N38" s="56"/>
      <c r="O38" s="55"/>
      <c r="P38" s="102">
        <v>2.9750000000000001</v>
      </c>
      <c r="Q38" s="102"/>
      <c r="R38" s="102"/>
      <c r="S38" s="220">
        <v>129.5</v>
      </c>
      <c r="T38" s="217">
        <v>0.09</v>
      </c>
      <c r="U38" s="217">
        <v>8.7947046809502966E-2</v>
      </c>
      <c r="X38" s="217">
        <v>15.15</v>
      </c>
      <c r="Y38" s="217">
        <v>14.804419546266333</v>
      </c>
      <c r="Z38" s="217">
        <v>1.0389999999999999</v>
      </c>
      <c r="AA38" s="217">
        <v>1.0152997959452619</v>
      </c>
      <c r="AB38" s="217">
        <v>4.84</v>
      </c>
      <c r="AC38" s="217">
        <v>4.7295967395332701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5.75" x14ac:dyDescent="0.25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151">
        <v>35.776299999999999</v>
      </c>
      <c r="H39" s="118">
        <v>80</v>
      </c>
      <c r="I39" s="155">
        <v>80</v>
      </c>
      <c r="J39" s="102"/>
      <c r="K39" s="55"/>
      <c r="L39" s="55"/>
      <c r="M39" s="55"/>
      <c r="N39" s="56"/>
      <c r="O39" s="55"/>
      <c r="P39" s="102">
        <v>2.8380000000000001</v>
      </c>
      <c r="Q39" s="102"/>
      <c r="R39" s="102"/>
      <c r="S39" s="220">
        <v>123.6</v>
      </c>
      <c r="T39" s="217">
        <v>0.55100000000000005</v>
      </c>
      <c r="U39" s="217">
        <v>0.53843136435595707</v>
      </c>
      <c r="X39" s="217">
        <v>12.379</v>
      </c>
      <c r="Y39" s="217">
        <v>12.096627693942635</v>
      </c>
      <c r="Z39" s="217">
        <v>0.89800000000000002</v>
      </c>
      <c r="AA39" s="217">
        <v>0.87751608927704072</v>
      </c>
      <c r="AB39" s="217">
        <v>4.03</v>
      </c>
      <c r="AC39" s="217">
        <v>3.9380733182477443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5.75" x14ac:dyDescent="0.25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35.653799999999997</v>
      </c>
      <c r="H40" s="118">
        <v>60</v>
      </c>
      <c r="I40" s="155">
        <v>58</v>
      </c>
      <c r="J40" s="102"/>
      <c r="K40" s="55"/>
      <c r="L40" s="55"/>
      <c r="M40" s="55"/>
      <c r="N40" s="56"/>
      <c r="O40" s="55"/>
      <c r="P40" s="102">
        <v>4.49</v>
      </c>
      <c r="Q40" s="102"/>
      <c r="R40" s="102"/>
      <c r="S40" s="153">
        <v>195.7</v>
      </c>
      <c r="T40" s="217">
        <v>9.2999999999999999E-2</v>
      </c>
      <c r="U40" s="217">
        <v>9.0878615036486393E-2</v>
      </c>
      <c r="X40" s="217">
        <v>2.2170000000000001</v>
      </c>
      <c r="Y40" s="217">
        <v>2.1664289197407567</v>
      </c>
      <c r="Z40" s="217">
        <v>0.29099999999999998</v>
      </c>
      <c r="AA40" s="217">
        <v>0.28436211801739292</v>
      </c>
      <c r="AB40" s="217">
        <v>1.95</v>
      </c>
      <c r="AC40" s="217">
        <v>1.9055193475392309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5.75" x14ac:dyDescent="0.25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35.653199999999998</v>
      </c>
      <c r="H41" s="118">
        <v>60</v>
      </c>
      <c r="I41" s="155">
        <v>58</v>
      </c>
      <c r="J41" s="102"/>
      <c r="K41" s="55"/>
      <c r="L41" s="55"/>
      <c r="M41" s="55"/>
      <c r="N41" s="56"/>
      <c r="O41" s="55"/>
      <c r="P41" s="102">
        <v>4.4669999999999996</v>
      </c>
      <c r="Q41" s="102"/>
      <c r="R41" s="102"/>
      <c r="S41" s="153">
        <v>194.8</v>
      </c>
      <c r="T41" s="217">
        <v>9.8000000000000004E-2</v>
      </c>
      <c r="U41" s="217">
        <v>9.5764562081458796E-2</v>
      </c>
      <c r="X41" s="217">
        <v>2.2120000000000002</v>
      </c>
      <c r="Y41" s="217">
        <v>2.1615429726957842</v>
      </c>
      <c r="Z41" s="217">
        <v>0.28999999999999998</v>
      </c>
      <c r="AA41" s="217">
        <v>0.28338492860839842</v>
      </c>
      <c r="AB41" s="217">
        <v>2.02</v>
      </c>
      <c r="AC41" s="217">
        <v>1.9739226061688444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5.75" x14ac:dyDescent="0.25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151">
        <v>35.6524</v>
      </c>
      <c r="H42" s="118">
        <v>40</v>
      </c>
      <c r="I42" s="155">
        <v>39</v>
      </c>
      <c r="J42" s="102"/>
      <c r="K42" s="55"/>
      <c r="L42" s="55"/>
      <c r="M42" s="55"/>
      <c r="N42" s="56"/>
      <c r="O42" s="55"/>
      <c r="P42" s="102">
        <v>4.7160000000000002</v>
      </c>
      <c r="Q42" s="102"/>
      <c r="R42" s="102"/>
      <c r="S42" s="153">
        <v>205.7</v>
      </c>
      <c r="T42" s="217">
        <v>2.8000000000000001E-2</v>
      </c>
      <c r="U42" s="217">
        <v>2.7361303451845367E-2</v>
      </c>
      <c r="X42" s="217">
        <v>6.2E-2</v>
      </c>
      <c r="Y42" s="217">
        <v>6.0585743357657595E-2</v>
      </c>
      <c r="Z42" s="217">
        <v>0.12300000000000001</v>
      </c>
      <c r="AA42" s="217">
        <v>0.12019429730632074</v>
      </c>
      <c r="AB42" s="217">
        <v>1.55</v>
      </c>
      <c r="AC42" s="217">
        <v>1.5146435839414401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5.75" x14ac:dyDescent="0.25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151">
        <v>35.4998</v>
      </c>
      <c r="H43" s="118">
        <v>20</v>
      </c>
      <c r="I43" s="155">
        <v>20</v>
      </c>
      <c r="J43" s="102"/>
      <c r="K43" s="55"/>
      <c r="L43" s="55"/>
      <c r="M43" s="55"/>
      <c r="N43" s="56"/>
      <c r="O43" s="55"/>
      <c r="P43" s="102">
        <v>4.6360000000000001</v>
      </c>
      <c r="Q43" s="102"/>
      <c r="R43" s="102"/>
      <c r="S43" s="153">
        <v>202.3</v>
      </c>
      <c r="T43" s="217">
        <v>0.02</v>
      </c>
      <c r="U43" s="217">
        <v>1.9543788179889547E-2</v>
      </c>
      <c r="X43" s="217">
        <v>0.03</v>
      </c>
      <c r="Y43" s="217">
        <v>2.9315682269834324E-2</v>
      </c>
      <c r="Z43" s="217">
        <v>1.9000000000000003E-2</v>
      </c>
      <c r="AA43" s="217">
        <v>1.8566598770895074E-2</v>
      </c>
      <c r="AB43" s="217">
        <v>1.06</v>
      </c>
      <c r="AC43" s="217">
        <v>1.035820773534146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5.75" x14ac:dyDescent="0.25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151">
        <v>35.5</v>
      </c>
      <c r="H44" s="118">
        <v>10</v>
      </c>
      <c r="I44" s="155">
        <v>10</v>
      </c>
      <c r="J44" s="102"/>
      <c r="K44" s="55"/>
      <c r="L44" s="55"/>
      <c r="M44" s="55"/>
      <c r="N44" s="56"/>
      <c r="O44" s="55"/>
      <c r="P44" s="102">
        <v>4.4340000000000002</v>
      </c>
      <c r="Q44" s="102"/>
      <c r="R44" s="102"/>
      <c r="S44" s="153">
        <v>193.5</v>
      </c>
      <c r="T44" s="217">
        <v>1.9E-2</v>
      </c>
      <c r="U44" s="217">
        <v>1.856659877089507E-2</v>
      </c>
      <c r="X44" s="217">
        <v>3.1000000000000003E-2</v>
      </c>
      <c r="Y44" s="217">
        <v>3.0292871678828801E-2</v>
      </c>
      <c r="Z44" s="217">
        <v>1.6E-2</v>
      </c>
      <c r="AA44" s="217">
        <v>1.5635030543911639E-2</v>
      </c>
      <c r="AB44" s="217">
        <v>1.1000000000000001</v>
      </c>
      <c r="AC44" s="217">
        <v>1.0749083498939251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151">
        <v>35.499499999999998</v>
      </c>
      <c r="H45" s="118">
        <v>0</v>
      </c>
      <c r="I45" s="155">
        <v>1.2</v>
      </c>
      <c r="J45" s="102"/>
      <c r="K45" s="55"/>
      <c r="L45" s="55"/>
      <c r="M45" s="55"/>
      <c r="N45" s="56"/>
      <c r="O45" s="55"/>
      <c r="P45" s="102">
        <v>4.6139999999999999</v>
      </c>
      <c r="Q45" s="102"/>
      <c r="R45" s="102"/>
      <c r="S45" s="153">
        <v>201.3</v>
      </c>
      <c r="T45" s="217">
        <v>1.4999999999999999E-2</v>
      </c>
      <c r="U45" s="217">
        <v>1.465784113491716E-2</v>
      </c>
      <c r="X45" s="217">
        <v>4.4999999999999998E-2</v>
      </c>
      <c r="Y45" s="217">
        <v>4.3973523404751483E-2</v>
      </c>
      <c r="Z45" s="217">
        <v>1.3999999999999999E-2</v>
      </c>
      <c r="AA45" s="217">
        <v>1.3680651725922682E-2</v>
      </c>
      <c r="AB45" s="217">
        <v>1.01</v>
      </c>
      <c r="AC45" s="217">
        <v>0.9869613030844222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allowBlank="1" showErrorMessage="1" sqref="I29">
      <formula1>$O$28:$O$30</formula1>
    </dataValidation>
    <dataValidation allowBlank="1" showErrorMessage="1" sqref="J30"/>
    <dataValidation type="list" showInputMessage="1" showErrorMessage="1" promptTitle="Choix Cardinal" sqref="P10">
      <formula1>$N$8:$N$10</formula1>
    </dataValidation>
    <dataValidation type="list" showInputMessage="1" showErrorMessage="1" promptTitle="Choix Cardinal" sqref="P9">
      <formula1>$M$8:$M$10</formula1>
    </dataValidation>
  </dataValidations>
  <pageMargins left="0.7" right="0.7" top="0.75" bottom="0.75" header="0.3" footer="0.3"/>
  <pageSetup paperSize="9" orientation="portrait" horizontalDpi="4294967293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8"/>
  <sheetViews>
    <sheetView zoomScaleNormal="100" workbookViewId="0">
      <selection activeCell="T35" sqref="T35:U45"/>
    </sheetView>
  </sheetViews>
  <sheetFormatPr baseColWidth="10" defaultColWidth="11.42578125" defaultRowHeight="15" x14ac:dyDescent="0.25"/>
  <cols>
    <col min="1" max="2" width="0.85546875" style="67" customWidth="1"/>
    <col min="3" max="3" width="3.7109375" style="67" customWidth="1"/>
    <col min="4" max="9" width="10.28515625" style="67" customWidth="1"/>
    <col min="10" max="10" width="13.5703125" style="67" customWidth="1"/>
    <col min="11" max="11" width="0.5703125" style="67" hidden="1" customWidth="1"/>
    <col min="12" max="12" width="2.140625" style="67" hidden="1" customWidth="1"/>
    <col min="13" max="13" width="21.85546875" style="67" hidden="1" customWidth="1"/>
    <col min="14" max="14" width="23" style="67" hidden="1" customWidth="1"/>
    <col min="15" max="15" width="19.5703125" style="67" hidden="1" customWidth="1"/>
    <col min="16" max="16" width="8.28515625" style="67" bestFit="1" customWidth="1"/>
    <col min="17" max="29" width="10.28515625" style="67" customWidth="1"/>
    <col min="30" max="30" width="13.5703125" style="67" bestFit="1" customWidth="1"/>
    <col min="31" max="31" width="16.5703125" style="67" bestFit="1" customWidth="1"/>
    <col min="32" max="32" width="9.140625" style="67" bestFit="1" customWidth="1"/>
    <col min="33" max="33" width="26.140625" style="67" bestFit="1" customWidth="1"/>
    <col min="34" max="34" width="12.7109375" style="67" bestFit="1" customWidth="1"/>
    <col min="35" max="35" width="11.140625" style="67" bestFit="1" customWidth="1"/>
    <col min="36" max="36" width="14.28515625" style="67" bestFit="1" customWidth="1"/>
    <col min="37" max="37" width="12" style="67" bestFit="1" customWidth="1"/>
    <col min="38" max="38" width="26.5703125" style="67" bestFit="1" customWidth="1"/>
    <col min="39" max="39" width="14.42578125" style="67" bestFit="1" customWidth="1"/>
    <col min="40" max="40" width="11.28515625" style="67" bestFit="1" customWidth="1"/>
    <col min="41" max="41" width="12.28515625" style="67" bestFit="1" customWidth="1"/>
    <col min="42" max="42" width="10.7109375" style="67" bestFit="1" customWidth="1"/>
    <col min="43" max="43" width="6.28515625" style="67" bestFit="1" customWidth="1"/>
    <col min="44" max="44" width="19.42578125" style="67" bestFit="1" customWidth="1"/>
    <col min="45" max="45" width="12.85546875" style="67" bestFit="1" customWidth="1"/>
    <col min="46" max="46" width="17.5703125" style="67" bestFit="1" customWidth="1"/>
    <col min="47" max="47" width="14.42578125" style="67" bestFit="1" customWidth="1"/>
    <col min="48" max="48" width="13.5703125" style="67" bestFit="1" customWidth="1"/>
    <col min="49" max="49" width="13.7109375" style="67" bestFit="1" customWidth="1"/>
    <col min="50" max="50" width="19.7109375" style="67" bestFit="1" customWidth="1"/>
    <col min="51" max="51" width="13.140625" style="67" bestFit="1" customWidth="1"/>
    <col min="52" max="52" width="17.42578125" style="67" bestFit="1" customWidth="1"/>
    <col min="53" max="53" width="13.28515625" style="67" bestFit="1" customWidth="1"/>
    <col min="54" max="54" width="12.42578125" style="67" bestFit="1" customWidth="1"/>
    <col min="55" max="16384" width="11.42578125" style="67"/>
  </cols>
  <sheetData>
    <row r="1" spans="3:23" ht="3" customHeight="1" thickBot="1" x14ac:dyDescent="0.3"/>
    <row r="2" spans="3:23" ht="21" x14ac:dyDescent="0.35">
      <c r="C2" s="203" t="s">
        <v>19</v>
      </c>
      <c r="D2" s="204"/>
      <c r="E2" s="204"/>
      <c r="F2" s="205" t="s">
        <v>145</v>
      </c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1"/>
    </row>
    <row r="3" spans="3:23" x14ac:dyDescent="0.25">
      <c r="C3" s="3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"/>
    </row>
    <row r="4" spans="3:23" ht="21.75" thickBot="1" x14ac:dyDescent="0.4">
      <c r="C4" s="206" t="s">
        <v>75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8"/>
    </row>
    <row r="5" spans="3:23" ht="15.75" customHeight="1" thickBot="1" x14ac:dyDescent="0.4">
      <c r="C5" s="7"/>
      <c r="D5" s="7"/>
      <c r="E5" s="7"/>
      <c r="F5" s="7"/>
      <c r="G5" s="7"/>
      <c r="J5" s="7"/>
      <c r="K5" s="7"/>
      <c r="L5" s="7"/>
      <c r="M5" s="7"/>
      <c r="N5" s="7"/>
      <c r="O5" s="7"/>
      <c r="P5" s="7"/>
      <c r="Q5" s="7"/>
      <c r="R5" s="7"/>
    </row>
    <row r="6" spans="3:23" ht="16.5" customHeight="1" thickBot="1" x14ac:dyDescent="0.3">
      <c r="C6" s="209" t="s">
        <v>38</v>
      </c>
      <c r="D6" s="210"/>
      <c r="E6" s="210"/>
      <c r="F6" s="211">
        <v>41</v>
      </c>
      <c r="G6" s="211"/>
      <c r="H6" s="210" t="s">
        <v>37</v>
      </c>
      <c r="I6" s="210"/>
      <c r="J6" s="210"/>
      <c r="K6" s="50"/>
      <c r="L6" s="50"/>
      <c r="M6" s="50"/>
      <c r="N6" s="49"/>
      <c r="O6" s="50"/>
      <c r="P6" s="212">
        <v>1</v>
      </c>
      <c r="Q6" s="212"/>
      <c r="R6" s="213" t="s">
        <v>78</v>
      </c>
      <c r="S6" s="213"/>
      <c r="T6" s="214">
        <v>37887</v>
      </c>
      <c r="U6" s="215"/>
    </row>
    <row r="7" spans="3:23" ht="16.5" customHeight="1" thickBot="1" x14ac:dyDescent="0.4">
      <c r="C7" s="34"/>
      <c r="D7" s="34"/>
      <c r="E7" s="33"/>
      <c r="F7" s="35"/>
      <c r="G7" s="33"/>
      <c r="H7" s="33"/>
      <c r="I7" s="33"/>
      <c r="J7" s="33"/>
      <c r="K7" s="33"/>
      <c r="L7" s="33"/>
      <c r="M7" s="33"/>
      <c r="N7" s="33"/>
      <c r="O7" s="37"/>
      <c r="P7" s="33"/>
      <c r="Q7" s="36"/>
    </row>
    <row r="8" spans="3:23" ht="15" customHeight="1" x14ac:dyDescent="0.25">
      <c r="C8" s="46"/>
      <c r="D8" s="33"/>
      <c r="G8" s="195" t="s">
        <v>57</v>
      </c>
      <c r="H8" s="196"/>
      <c r="I8" s="158" t="s">
        <v>50</v>
      </c>
      <c r="J8" s="158" t="s">
        <v>46</v>
      </c>
      <c r="K8" s="44"/>
      <c r="L8" s="44"/>
      <c r="M8" s="44"/>
      <c r="N8" s="44"/>
      <c r="O8" s="47"/>
      <c r="P8" s="45" t="s">
        <v>52</v>
      </c>
      <c r="Q8" s="197" t="s">
        <v>47</v>
      </c>
      <c r="R8" s="198"/>
    </row>
    <row r="9" spans="3:23" ht="14.25" customHeight="1" x14ac:dyDescent="0.25">
      <c r="C9" s="46"/>
      <c r="D9" s="33"/>
      <c r="G9" s="199" t="s">
        <v>48</v>
      </c>
      <c r="H9" s="200"/>
      <c r="I9" s="38">
        <v>1</v>
      </c>
      <c r="J9" s="39">
        <v>31.84</v>
      </c>
      <c r="K9" s="42" t="s">
        <v>51</v>
      </c>
      <c r="L9" s="43" t="str">
        <f>IF(P9=M9,"+","-")</f>
        <v>+</v>
      </c>
      <c r="M9" s="42" t="s">
        <v>3</v>
      </c>
      <c r="N9" s="42" t="s">
        <v>54</v>
      </c>
      <c r="O9" s="16" t="str">
        <f>IF(ISBLANK(I9),"",IF(ISBLANK(J9),"",IF(P9=M10,L9&amp;N11,N11)))</f>
        <v>1°31,84</v>
      </c>
      <c r="P9" s="39" t="s">
        <v>3</v>
      </c>
      <c r="Q9" s="201">
        <f>IF(ISBLANK(I9),"",IF(ISBLANK(J9),"",IF(J9&gt;60,"ERREUR !!",O11*(I9+(J9/60)))))</f>
        <v>1.5306666666666666</v>
      </c>
      <c r="R9" s="202"/>
    </row>
    <row r="10" spans="3:23" ht="15" customHeight="1" x14ac:dyDescent="0.25">
      <c r="C10" s="46"/>
      <c r="D10" s="33"/>
      <c r="G10" s="199" t="s">
        <v>49</v>
      </c>
      <c r="H10" s="200"/>
      <c r="I10" s="38">
        <v>9</v>
      </c>
      <c r="J10" s="39">
        <v>59.1</v>
      </c>
      <c r="K10" s="42" t="s">
        <v>51</v>
      </c>
      <c r="L10" s="43" t="str">
        <f>IF(P10=N9,"+","-")</f>
        <v>-</v>
      </c>
      <c r="M10" s="42" t="s">
        <v>53</v>
      </c>
      <c r="N10" s="42" t="s">
        <v>55</v>
      </c>
      <c r="O10" s="11" t="str">
        <f>IF(ISBLANK(I10),"",IF(ISBLANK(J10),"",IF(P10=N10,L10&amp;N12,N12)))</f>
        <v>-9°59,1</v>
      </c>
      <c r="P10" s="39" t="s">
        <v>55</v>
      </c>
      <c r="Q10" s="201">
        <f>IF(ISBLANK(I10),"",IF(ISBLANK(J10),"",IF(J10&gt;60,"ERREUR !!",O12*(I10+(J10/60)))))</f>
        <v>-9.9849999999999994</v>
      </c>
      <c r="R10" s="202"/>
      <c r="S10" s="31"/>
      <c r="T10" s="31"/>
    </row>
    <row r="11" spans="3:23" x14ac:dyDescent="0.25">
      <c r="G11" s="181" t="s">
        <v>72</v>
      </c>
      <c r="H11" s="182"/>
      <c r="I11" s="70" t="s">
        <v>33</v>
      </c>
      <c r="J11" s="72">
        <v>37887</v>
      </c>
      <c r="K11" s="72"/>
      <c r="L11" s="72"/>
      <c r="M11" s="72"/>
      <c r="N11" s="73" t="str">
        <f>I9&amp;"°"&amp;J9</f>
        <v>1°31,84</v>
      </c>
      <c r="O11" s="74">
        <f>IF(P9=M10,-1,1)</f>
        <v>1</v>
      </c>
      <c r="P11" s="185" t="str">
        <f>TEXT(J11,"aaaa-mm-jj")&amp;"T"&amp;TEXT(J12,"hh:mm:ss")&amp;"z"</f>
        <v>2007-09-24T10:30:00z</v>
      </c>
      <c r="Q11" s="185"/>
      <c r="R11" s="186"/>
      <c r="T11" s="30"/>
      <c r="U11" s="30"/>
      <c r="V11" s="32"/>
      <c r="W11" s="32"/>
    </row>
    <row r="12" spans="3:23" ht="15.75" thickBot="1" x14ac:dyDescent="0.3">
      <c r="G12" s="183"/>
      <c r="H12" s="184"/>
      <c r="I12" s="71" t="s">
        <v>73</v>
      </c>
      <c r="J12" s="157">
        <v>0.4375</v>
      </c>
      <c r="K12" s="75"/>
      <c r="L12" s="75"/>
      <c r="M12" s="75"/>
      <c r="N12" s="76" t="str">
        <f>I10&amp;"°"&amp;J10</f>
        <v>9°59,1</v>
      </c>
      <c r="O12" s="74">
        <f>IF(P10=N10,-1,1)</f>
        <v>-1</v>
      </c>
      <c r="P12" s="187"/>
      <c r="Q12" s="187"/>
      <c r="R12" s="188"/>
      <c r="T12" s="30"/>
      <c r="U12" s="30"/>
      <c r="V12" s="32"/>
      <c r="W12" s="32"/>
    </row>
    <row r="13" spans="3:23" ht="15.75" thickBot="1" x14ac:dyDescent="0.3">
      <c r="C13" s="5" t="s">
        <v>1</v>
      </c>
      <c r="D13" s="5"/>
      <c r="E13" s="6"/>
      <c r="K13" s="68"/>
      <c r="L13" s="68"/>
      <c r="M13" s="68"/>
      <c r="N13" s="68"/>
      <c r="O13" s="68"/>
      <c r="P13" s="68"/>
      <c r="Q13" s="69"/>
    </row>
    <row r="14" spans="3:23" ht="15" customHeight="1" x14ac:dyDescent="0.25">
      <c r="C14" s="84" t="s">
        <v>7</v>
      </c>
      <c r="D14" s="77"/>
      <c r="E14" s="77"/>
      <c r="F14" s="77"/>
      <c r="G14" s="77"/>
      <c r="H14" s="78"/>
      <c r="I14" s="78"/>
      <c r="J14" s="78"/>
      <c r="K14" s="77"/>
      <c r="L14" s="77"/>
      <c r="M14" s="77"/>
      <c r="N14" s="78"/>
      <c r="O14" s="12"/>
      <c r="P14" s="78"/>
      <c r="Q14" s="12" t="s">
        <v>17</v>
      </c>
      <c r="R14" s="17"/>
      <c r="S14" s="79" t="s">
        <v>2</v>
      </c>
    </row>
    <row r="15" spans="3:23" ht="14.25" customHeight="1" x14ac:dyDescent="0.25">
      <c r="C15" s="85" t="s">
        <v>32</v>
      </c>
      <c r="D15" s="80"/>
      <c r="E15" s="80"/>
      <c r="F15" s="80"/>
      <c r="G15" s="80"/>
      <c r="H15" s="23"/>
      <c r="I15" s="23"/>
      <c r="J15" s="23"/>
      <c r="K15" s="80"/>
      <c r="L15" s="80"/>
      <c r="M15" s="80"/>
      <c r="N15" s="23"/>
      <c r="O15" s="13"/>
      <c r="P15" s="23"/>
      <c r="Q15" s="13" t="s">
        <v>34</v>
      </c>
      <c r="R15" s="18"/>
      <c r="S15" s="81" t="s">
        <v>2</v>
      </c>
    </row>
    <row r="16" spans="3:23" x14ac:dyDescent="0.25">
      <c r="C16" s="85" t="s">
        <v>11</v>
      </c>
      <c r="D16" s="80"/>
      <c r="E16" s="80"/>
      <c r="F16" s="80"/>
      <c r="G16" s="80"/>
      <c r="H16" s="23"/>
      <c r="I16" s="23"/>
      <c r="J16" s="23"/>
      <c r="K16" s="80"/>
      <c r="L16" s="80"/>
      <c r="M16" s="80"/>
      <c r="N16" s="23"/>
      <c r="O16" s="14"/>
      <c r="P16" s="23"/>
      <c r="Q16" s="14" t="s">
        <v>35</v>
      </c>
      <c r="R16" s="20"/>
      <c r="S16" s="81" t="s">
        <v>6</v>
      </c>
    </row>
    <row r="17" spans="3:54" ht="15.75" thickBot="1" x14ac:dyDescent="0.3">
      <c r="C17" s="86" t="s">
        <v>12</v>
      </c>
      <c r="D17" s="82"/>
      <c r="E17" s="82"/>
      <c r="F17" s="82"/>
      <c r="G17" s="82"/>
      <c r="H17" s="24"/>
      <c r="I17" s="24"/>
      <c r="J17" s="24"/>
      <c r="K17" s="82"/>
      <c r="L17" s="82"/>
      <c r="M17" s="82"/>
      <c r="N17" s="24"/>
      <c r="O17" s="15"/>
      <c r="P17" s="24"/>
      <c r="Q17" s="15" t="s">
        <v>36</v>
      </c>
      <c r="R17" s="21"/>
      <c r="S17" s="83" t="s">
        <v>6</v>
      </c>
    </row>
    <row r="18" spans="3:54" hidden="1" x14ac:dyDescent="0.25">
      <c r="C18" s="8" t="s">
        <v>8</v>
      </c>
      <c r="D18" s="9"/>
      <c r="E18" s="9"/>
      <c r="F18" s="9"/>
      <c r="G18" s="9"/>
      <c r="H18" s="9"/>
      <c r="I18" s="9"/>
      <c r="J18" s="9"/>
      <c r="K18" s="10"/>
      <c r="L18" s="10"/>
      <c r="M18" s="10"/>
      <c r="N18" s="10"/>
      <c r="O18" s="25" t="s">
        <v>0</v>
      </c>
      <c r="P18" s="19">
        <f>(0.999842594+(0.00006793952*$R$14)-(0.00000909529*$R$14^2)+(0.0000001001685*$R$14^3)-(0.000000001120083*$R$14^4)+(0.000000000006536332*$R$14^5))</f>
        <v>0.99984259399999997</v>
      </c>
      <c r="Q18" s="10"/>
      <c r="R18" s="2"/>
    </row>
    <row r="19" spans="3:54" hidden="1" x14ac:dyDescent="0.25">
      <c r="C19" s="8" t="s">
        <v>9</v>
      </c>
      <c r="D19" s="9"/>
      <c r="E19" s="9"/>
      <c r="F19" s="9"/>
      <c r="G19" s="9"/>
      <c r="H19" s="9"/>
      <c r="I19" s="9"/>
      <c r="J19" s="9"/>
      <c r="K19" s="10"/>
      <c r="L19" s="10"/>
      <c r="M19" s="10"/>
      <c r="N19" s="10"/>
      <c r="O19" s="25" t="s">
        <v>43</v>
      </c>
      <c r="P19" s="19" t="e">
        <f>$P$24*($P$18/#REF!)</f>
        <v>#REF!</v>
      </c>
      <c r="Q19" s="10" t="s">
        <v>3</v>
      </c>
      <c r="R19" s="2"/>
    </row>
    <row r="20" spans="3:54" hidden="1" x14ac:dyDescent="0.25">
      <c r="C20" s="8" t="s">
        <v>18</v>
      </c>
      <c r="D20" s="9"/>
      <c r="E20" s="9"/>
      <c r="F20" s="9"/>
      <c r="G20" s="9"/>
      <c r="H20" s="9"/>
      <c r="I20" s="9"/>
      <c r="J20" s="9"/>
      <c r="K20" s="10"/>
      <c r="L20" s="10"/>
      <c r="M20" s="10"/>
      <c r="N20" s="10"/>
      <c r="O20" s="25" t="s">
        <v>44</v>
      </c>
      <c r="P20" s="19" t="e">
        <f>5+#REF!</f>
        <v>#REF!</v>
      </c>
      <c r="Q20" s="10" t="s">
        <v>6</v>
      </c>
      <c r="R20" s="2"/>
    </row>
    <row r="21" spans="3:54" hidden="1" x14ac:dyDescent="0.25">
      <c r="C21" s="8" t="s">
        <v>10</v>
      </c>
      <c r="D21" s="9"/>
      <c r="E21" s="9"/>
      <c r="F21" s="9"/>
      <c r="G21" s="9"/>
      <c r="H21" s="9"/>
      <c r="I21" s="9"/>
      <c r="J21" s="9"/>
      <c r="K21" s="10"/>
      <c r="L21" s="10"/>
      <c r="M21" s="10"/>
      <c r="N21" s="10"/>
      <c r="O21" s="25" t="s">
        <v>45</v>
      </c>
      <c r="P21" s="19" t="e">
        <f>P20*(1+0.00001*(R14-20))</f>
        <v>#REF!</v>
      </c>
      <c r="Q21" s="10" t="s">
        <v>6</v>
      </c>
      <c r="R21" s="2"/>
    </row>
    <row r="22" spans="3:54" hidden="1" x14ac:dyDescent="0.25">
      <c r="C22" s="8" t="s">
        <v>13</v>
      </c>
      <c r="D22" s="9"/>
      <c r="E22" s="9"/>
      <c r="F22" s="9"/>
      <c r="G22" s="9"/>
      <c r="H22" s="9"/>
      <c r="I22" s="9"/>
      <c r="J22" s="9"/>
      <c r="K22" s="10"/>
      <c r="L22" s="10"/>
      <c r="M22" s="10"/>
      <c r="N22" s="10"/>
      <c r="O22" s="25" t="s">
        <v>39</v>
      </c>
      <c r="P22" s="22">
        <f>$R$16*(1+0.00001*(20-$R$14))</f>
        <v>0</v>
      </c>
      <c r="Q22" s="10" t="s">
        <v>6</v>
      </c>
      <c r="R22" s="2"/>
    </row>
    <row r="23" spans="3:54" hidden="1" x14ac:dyDescent="0.25">
      <c r="C23" s="8" t="s">
        <v>14</v>
      </c>
      <c r="D23" s="9"/>
      <c r="E23" s="9"/>
      <c r="F23" s="9"/>
      <c r="G23" s="9"/>
      <c r="H23" s="9"/>
      <c r="I23" s="9"/>
      <c r="J23" s="9"/>
      <c r="K23" s="10"/>
      <c r="L23" s="10"/>
      <c r="M23" s="10"/>
      <c r="N23" s="10"/>
      <c r="O23" s="25" t="s">
        <v>40</v>
      </c>
      <c r="P23" s="22">
        <f>$R$17*(1+0.00001*(20-$R$14))</f>
        <v>0</v>
      </c>
      <c r="Q23" s="10" t="s">
        <v>6</v>
      </c>
      <c r="R23" s="2"/>
    </row>
    <row r="24" spans="3:54" hidden="1" x14ac:dyDescent="0.25">
      <c r="C24" s="8" t="s">
        <v>15</v>
      </c>
      <c r="D24" s="9"/>
      <c r="E24" s="9"/>
      <c r="F24" s="9"/>
      <c r="G24" s="9"/>
      <c r="H24" s="9"/>
      <c r="I24" s="9"/>
      <c r="J24" s="9"/>
      <c r="K24" s="10"/>
      <c r="L24" s="10"/>
      <c r="M24" s="10"/>
      <c r="N24" s="10"/>
      <c r="O24" s="25" t="s">
        <v>41</v>
      </c>
      <c r="P24" s="23" t="e">
        <f>MAX(#REF!)</f>
        <v>#REF!</v>
      </c>
      <c r="Q24" s="10" t="s">
        <v>3</v>
      </c>
      <c r="R24" s="2"/>
    </row>
    <row r="25" spans="3:54" hidden="1" x14ac:dyDescent="0.25">
      <c r="C25" s="8" t="s">
        <v>16</v>
      </c>
      <c r="D25" s="9"/>
      <c r="E25" s="9"/>
      <c r="F25" s="9"/>
      <c r="G25" s="9"/>
      <c r="H25" s="9"/>
      <c r="I25" s="9"/>
      <c r="J25" s="9"/>
      <c r="K25" s="10"/>
      <c r="L25" s="10"/>
      <c r="M25" s="10"/>
      <c r="N25" s="10"/>
      <c r="O25" s="25" t="s">
        <v>42</v>
      </c>
      <c r="P25" s="23" t="str">
        <f>IF(ISBLANK(R14),"",IF(ISBLANK(P21),"",IF(ISBLANK(R17),"",(($P$24*$P$18)/($P$22-$P$23)))))</f>
        <v/>
      </c>
      <c r="Q25" s="10" t="s">
        <v>3</v>
      </c>
      <c r="R25" s="2"/>
    </row>
    <row r="26" spans="3:54" hidden="1" x14ac:dyDescent="0.25">
      <c r="C26" s="40" t="s">
        <v>31</v>
      </c>
      <c r="D26" s="41"/>
      <c r="E26" s="41"/>
      <c r="F26" s="41"/>
      <c r="G26" s="41"/>
      <c r="H26" s="41"/>
      <c r="I26" s="41"/>
      <c r="J26" s="41"/>
      <c r="K26" s="10"/>
      <c r="L26" s="10"/>
      <c r="M26" s="10"/>
      <c r="N26" s="10"/>
      <c r="O26" s="25" t="s">
        <v>30</v>
      </c>
      <c r="P26" s="23" t="e">
        <f>2+(#REF!+#REF!)</f>
        <v>#REF!</v>
      </c>
      <c r="Q26" s="10" t="s">
        <v>6</v>
      </c>
      <c r="R26" s="2"/>
    </row>
    <row r="27" spans="3:54" ht="15.75" hidden="1" thickBot="1" x14ac:dyDescent="0.3">
      <c r="C27" s="26"/>
      <c r="D27" s="27"/>
      <c r="E27" s="27"/>
      <c r="F27" s="27"/>
      <c r="G27" s="27"/>
      <c r="H27" s="27"/>
      <c r="I27" s="27"/>
      <c r="J27" s="27"/>
      <c r="K27" s="28"/>
      <c r="L27" s="28"/>
      <c r="M27" s="28"/>
      <c r="N27" s="28"/>
      <c r="O27" s="29" t="s">
        <v>29</v>
      </c>
      <c r="P27" s="24">
        <v>1.6999999999999999E-3</v>
      </c>
      <c r="Q27" s="28"/>
      <c r="R27" s="4"/>
    </row>
    <row r="29" spans="3:54" ht="15.75" x14ac:dyDescent="0.25">
      <c r="E29" s="189" t="s">
        <v>60</v>
      </c>
      <c r="F29" s="189"/>
      <c r="G29" s="189"/>
      <c r="H29" s="189"/>
      <c r="I29" s="59" t="s">
        <v>66</v>
      </c>
      <c r="K29" s="60"/>
      <c r="L29" s="60"/>
      <c r="M29" s="60"/>
      <c r="N29" s="61"/>
      <c r="O29" s="60" t="s">
        <v>66</v>
      </c>
    </row>
    <row r="30" spans="3:54" ht="16.5" thickBot="1" x14ac:dyDescent="0.3">
      <c r="E30" s="159"/>
      <c r="F30" s="159"/>
      <c r="G30" s="159"/>
      <c r="H30" s="159"/>
      <c r="I30" s="159"/>
      <c r="J30" s="63"/>
      <c r="K30" s="62"/>
      <c r="L30" s="62"/>
      <c r="M30" s="62"/>
      <c r="N30" s="61"/>
      <c r="O30" s="61" t="s">
        <v>65</v>
      </c>
      <c r="P30" s="61"/>
    </row>
    <row r="31" spans="3:54" ht="15.75" customHeight="1" x14ac:dyDescent="0.25">
      <c r="C31" s="190" t="s">
        <v>5</v>
      </c>
      <c r="D31" s="179" t="s">
        <v>24</v>
      </c>
      <c r="E31" s="179" t="s">
        <v>58</v>
      </c>
      <c r="F31" s="179" t="s">
        <v>56</v>
      </c>
      <c r="G31" s="179" t="s">
        <v>20</v>
      </c>
      <c r="H31" s="179" t="s">
        <v>76</v>
      </c>
      <c r="I31" s="192" t="s">
        <v>77</v>
      </c>
      <c r="J31" s="192" t="s">
        <v>64</v>
      </c>
      <c r="K31" s="179" t="s">
        <v>21</v>
      </c>
      <c r="L31" s="179" t="s">
        <v>22</v>
      </c>
      <c r="M31" s="179" t="s">
        <v>26</v>
      </c>
      <c r="N31" s="179" t="s">
        <v>25</v>
      </c>
      <c r="O31" s="179" t="s">
        <v>23</v>
      </c>
      <c r="P31" s="173" t="s">
        <v>74</v>
      </c>
      <c r="Q31" s="173"/>
      <c r="R31" s="173"/>
      <c r="S31" s="173"/>
      <c r="T31" s="175" t="s">
        <v>69</v>
      </c>
      <c r="U31" s="175"/>
      <c r="V31" s="175" t="s">
        <v>70</v>
      </c>
      <c r="W31" s="175"/>
      <c r="X31" s="175" t="s">
        <v>71</v>
      </c>
      <c r="Y31" s="175"/>
      <c r="Z31" s="175" t="s">
        <v>67</v>
      </c>
      <c r="AA31" s="175"/>
      <c r="AB31" s="175" t="s">
        <v>68</v>
      </c>
      <c r="AC31" s="177"/>
      <c r="AD31" s="170" t="s">
        <v>80</v>
      </c>
      <c r="AE31" s="170" t="s">
        <v>81</v>
      </c>
      <c r="AF31" s="170" t="s">
        <v>82</v>
      </c>
      <c r="AG31" s="172" t="s">
        <v>83</v>
      </c>
      <c r="AH31" s="170" t="s">
        <v>84</v>
      </c>
      <c r="AI31" s="170" t="s">
        <v>85</v>
      </c>
      <c r="AJ31" s="170" t="s">
        <v>86</v>
      </c>
      <c r="AK31" s="170" t="s">
        <v>87</v>
      </c>
      <c r="AL31" s="172" t="s">
        <v>88</v>
      </c>
      <c r="AM31" s="170" t="s">
        <v>89</v>
      </c>
      <c r="AN31" s="170" t="s">
        <v>90</v>
      </c>
      <c r="AO31" s="170" t="s">
        <v>91</v>
      </c>
      <c r="AP31" s="170" t="s">
        <v>92</v>
      </c>
      <c r="AQ31" s="170" t="s">
        <v>93</v>
      </c>
      <c r="AR31" s="172" t="s">
        <v>94</v>
      </c>
      <c r="AS31" s="172" t="s">
        <v>95</v>
      </c>
      <c r="AT31" s="172" t="s">
        <v>96</v>
      </c>
      <c r="AU31" s="170" t="s">
        <v>97</v>
      </c>
      <c r="AV31" s="170" t="s">
        <v>98</v>
      </c>
      <c r="AW31" s="171" t="s">
        <v>99</v>
      </c>
      <c r="AX31" s="170" t="s">
        <v>100</v>
      </c>
      <c r="AY31" s="170" t="s">
        <v>101</v>
      </c>
      <c r="AZ31" s="172" t="s">
        <v>102</v>
      </c>
      <c r="BA31" s="170" t="s">
        <v>103</v>
      </c>
      <c r="BB31" s="161" t="s">
        <v>104</v>
      </c>
    </row>
    <row r="32" spans="3:54" ht="15.75" customHeight="1" x14ac:dyDescent="0.25">
      <c r="C32" s="191"/>
      <c r="D32" s="180"/>
      <c r="E32" s="180"/>
      <c r="F32" s="180"/>
      <c r="G32" s="180"/>
      <c r="H32" s="180"/>
      <c r="I32" s="193"/>
      <c r="J32" s="194"/>
      <c r="K32" s="180"/>
      <c r="L32" s="180"/>
      <c r="M32" s="180"/>
      <c r="N32" s="180"/>
      <c r="O32" s="180"/>
      <c r="P32" s="174"/>
      <c r="Q32" s="174"/>
      <c r="R32" s="174"/>
      <c r="S32" s="174"/>
      <c r="T32" s="176"/>
      <c r="U32" s="176"/>
      <c r="V32" s="176"/>
      <c r="W32" s="176"/>
      <c r="X32" s="176"/>
      <c r="Y32" s="176"/>
      <c r="Z32" s="176"/>
      <c r="AA32" s="176"/>
      <c r="AB32" s="176"/>
      <c r="AC32" s="178"/>
      <c r="AD32" s="170"/>
      <c r="AE32" s="170"/>
      <c r="AF32" s="170"/>
      <c r="AG32" s="172"/>
      <c r="AH32" s="170"/>
      <c r="AI32" s="170"/>
      <c r="AJ32" s="170"/>
      <c r="AK32" s="170"/>
      <c r="AL32" s="172"/>
      <c r="AM32" s="170"/>
      <c r="AN32" s="170"/>
      <c r="AO32" s="170"/>
      <c r="AP32" s="170"/>
      <c r="AQ32" s="170"/>
      <c r="AR32" s="172"/>
      <c r="AS32" s="172"/>
      <c r="AT32" s="172"/>
      <c r="AU32" s="170"/>
      <c r="AV32" s="170"/>
      <c r="AW32" s="171"/>
      <c r="AX32" s="170"/>
      <c r="AY32" s="170"/>
      <c r="AZ32" s="172"/>
      <c r="BA32" s="170"/>
      <c r="BB32" s="161"/>
    </row>
    <row r="33" spans="1:54" ht="15.75" customHeight="1" x14ac:dyDescent="0.25">
      <c r="C33" s="162" t="s">
        <v>59</v>
      </c>
      <c r="D33" s="164" t="s">
        <v>4</v>
      </c>
      <c r="E33" s="164" t="s">
        <v>2</v>
      </c>
      <c r="F33" s="166" t="s">
        <v>62</v>
      </c>
      <c r="G33" s="168"/>
      <c r="H33" s="166" t="s">
        <v>27</v>
      </c>
      <c r="I33" s="166" t="s">
        <v>27</v>
      </c>
      <c r="J33" s="166" t="s">
        <v>62</v>
      </c>
      <c r="K33" s="160"/>
      <c r="L33" s="160"/>
      <c r="M33" s="160"/>
      <c r="N33" s="160"/>
      <c r="O33" s="160"/>
      <c r="P33" s="105" t="s">
        <v>105</v>
      </c>
      <c r="Q33" s="105"/>
      <c r="R33" s="105" t="s">
        <v>106</v>
      </c>
      <c r="S33" s="105" t="s">
        <v>107</v>
      </c>
      <c r="T33" s="106" t="s">
        <v>108</v>
      </c>
      <c r="U33" s="106" t="s">
        <v>109</v>
      </c>
      <c r="V33" s="106" t="s">
        <v>110</v>
      </c>
      <c r="W33" s="106" t="s">
        <v>111</v>
      </c>
      <c r="X33" s="106" t="s">
        <v>112</v>
      </c>
      <c r="Y33" s="106" t="s">
        <v>113</v>
      </c>
      <c r="Z33" s="106" t="s">
        <v>114</v>
      </c>
      <c r="AA33" s="106" t="s">
        <v>115</v>
      </c>
      <c r="AB33" s="106" t="s">
        <v>116</v>
      </c>
      <c r="AC33" s="107" t="s">
        <v>117</v>
      </c>
      <c r="AD33" s="108" t="s">
        <v>118</v>
      </c>
      <c r="AE33" s="108" t="s">
        <v>119</v>
      </c>
      <c r="AF33" s="108" t="s">
        <v>120</v>
      </c>
      <c r="AG33" s="109" t="s">
        <v>121</v>
      </c>
      <c r="AH33" s="108" t="s">
        <v>122</v>
      </c>
      <c r="AI33" s="110" t="s">
        <v>123</v>
      </c>
      <c r="AJ33" s="108" t="s">
        <v>124</v>
      </c>
      <c r="AK33" s="110" t="s">
        <v>125</v>
      </c>
      <c r="AL33" s="108" t="s">
        <v>126</v>
      </c>
      <c r="AM33" s="108" t="s">
        <v>127</v>
      </c>
      <c r="AN33" s="108" t="s">
        <v>128</v>
      </c>
      <c r="AO33" s="108" t="s">
        <v>129</v>
      </c>
      <c r="AP33" s="108" t="s">
        <v>130</v>
      </c>
      <c r="AQ33" s="110" t="s">
        <v>131</v>
      </c>
      <c r="AR33" s="108" t="s">
        <v>132</v>
      </c>
      <c r="AS33" s="108" t="s">
        <v>133</v>
      </c>
      <c r="AT33" s="111" t="s">
        <v>134</v>
      </c>
      <c r="AU33" s="110" t="s">
        <v>135</v>
      </c>
      <c r="AV33" s="110" t="s">
        <v>136</v>
      </c>
      <c r="AW33" s="110" t="s">
        <v>137</v>
      </c>
      <c r="AX33" s="108" t="s">
        <v>138</v>
      </c>
      <c r="AY33" s="108" t="s">
        <v>139</v>
      </c>
      <c r="AZ33" s="109" t="s">
        <v>140</v>
      </c>
      <c r="BA33" s="108" t="s">
        <v>141</v>
      </c>
      <c r="BB33" s="112" t="s">
        <v>142</v>
      </c>
    </row>
    <row r="34" spans="1:54" ht="14.25" customHeight="1" thickBot="1" x14ac:dyDescent="0.3">
      <c r="C34" s="163"/>
      <c r="D34" s="165"/>
      <c r="E34" s="165"/>
      <c r="F34" s="167"/>
      <c r="G34" s="169"/>
      <c r="H34" s="167"/>
      <c r="I34" s="167"/>
      <c r="J34" s="167"/>
      <c r="K34" s="100"/>
      <c r="L34" s="100"/>
      <c r="M34" s="100"/>
      <c r="N34" s="101" t="s">
        <v>6</v>
      </c>
      <c r="O34" s="100"/>
      <c r="P34" s="101" t="s">
        <v>61</v>
      </c>
      <c r="Q34" s="101" t="s">
        <v>79</v>
      </c>
      <c r="R34" s="101" t="s">
        <v>63</v>
      </c>
      <c r="S34" s="101" t="s">
        <v>28</v>
      </c>
      <c r="T34" s="87" t="s">
        <v>63</v>
      </c>
      <c r="U34" s="87" t="s">
        <v>28</v>
      </c>
      <c r="V34" s="87" t="s">
        <v>63</v>
      </c>
      <c r="W34" s="87" t="s">
        <v>28</v>
      </c>
      <c r="X34" s="87" t="s">
        <v>63</v>
      </c>
      <c r="Y34" s="87" t="s">
        <v>28</v>
      </c>
      <c r="Z34" s="87" t="s">
        <v>63</v>
      </c>
      <c r="AA34" s="87" t="s">
        <v>28</v>
      </c>
      <c r="AB34" s="87" t="s">
        <v>63</v>
      </c>
      <c r="AC34" s="113" t="s">
        <v>28</v>
      </c>
      <c r="AD34" s="114" t="s">
        <v>143</v>
      </c>
      <c r="AE34" s="114" t="s">
        <v>143</v>
      </c>
      <c r="AF34" s="114" t="s">
        <v>143</v>
      </c>
      <c r="AG34" s="115" t="s">
        <v>144</v>
      </c>
      <c r="AH34" s="114" t="s">
        <v>144</v>
      </c>
      <c r="AI34" s="114" t="s">
        <v>144</v>
      </c>
      <c r="AJ34" s="114" t="s">
        <v>144</v>
      </c>
      <c r="AK34" s="114" t="s">
        <v>144</v>
      </c>
      <c r="AL34" s="114" t="s">
        <v>144</v>
      </c>
      <c r="AM34" s="114" t="s">
        <v>144</v>
      </c>
      <c r="AN34" s="114" t="s">
        <v>144</v>
      </c>
      <c r="AO34" s="114" t="s">
        <v>144</v>
      </c>
      <c r="AP34" s="114" t="s">
        <v>144</v>
      </c>
      <c r="AQ34" s="114" t="s">
        <v>144</v>
      </c>
      <c r="AR34" s="114" t="s">
        <v>144</v>
      </c>
      <c r="AS34" s="114" t="s">
        <v>144</v>
      </c>
      <c r="AT34" s="114" t="s">
        <v>144</v>
      </c>
      <c r="AU34" s="114" t="s">
        <v>144</v>
      </c>
      <c r="AV34" s="114" t="s">
        <v>144</v>
      </c>
      <c r="AW34" s="114" t="s">
        <v>144</v>
      </c>
      <c r="AX34" s="114" t="s">
        <v>144</v>
      </c>
      <c r="AY34" s="114" t="s">
        <v>144</v>
      </c>
      <c r="AZ34" s="114" t="s">
        <v>144</v>
      </c>
      <c r="BA34" s="114" t="s">
        <v>144</v>
      </c>
      <c r="BB34" s="114" t="s">
        <v>144</v>
      </c>
    </row>
    <row r="35" spans="1:54" ht="16.5" thickBot="1" x14ac:dyDescent="0.3">
      <c r="A35" s="65">
        <f>IF(ISBLANK(VLOOKUP(D35,#REF!,3)),0,1)</f>
        <v>1</v>
      </c>
      <c r="B35" s="64">
        <f>IF(ISBLANK(D35),0,IF(ISBLANK(E35),0,IF(ISBLANK(F35),0,1)))</f>
        <v>0</v>
      </c>
      <c r="C35" s="122">
        <v>1</v>
      </c>
      <c r="D35" s="123"/>
      <c r="E35" s="124"/>
      <c r="F35" s="125"/>
      <c r="G35" s="216">
        <v>34.621400000000001</v>
      </c>
      <c r="H35" s="126">
        <v>1000</v>
      </c>
      <c r="I35" s="155">
        <v>1003</v>
      </c>
      <c r="J35" s="127"/>
      <c r="K35" s="128"/>
      <c r="L35" s="128"/>
      <c r="M35" s="128"/>
      <c r="N35" s="129"/>
      <c r="O35" s="128"/>
      <c r="P35" s="127">
        <v>3.3679999999999999</v>
      </c>
      <c r="Q35" s="127"/>
      <c r="R35" s="127"/>
      <c r="S35" s="153">
        <v>146.4</v>
      </c>
      <c r="T35" s="221">
        <v>2.5999999999999999E-2</v>
      </c>
      <c r="U35" s="221">
        <v>2.5406924633856413E-2</v>
      </c>
      <c r="X35" s="221">
        <v>34.223999999999997</v>
      </c>
      <c r="Y35" s="221">
        <v>33.443330333426992</v>
      </c>
      <c r="Z35" s="221">
        <v>2.2759999999999998</v>
      </c>
      <c r="AA35" s="221">
        <v>2.2240830948714305</v>
      </c>
      <c r="AB35" s="221">
        <v>31.39</v>
      </c>
      <c r="AC35" s="221">
        <v>30.673975548336646</v>
      </c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1"/>
    </row>
    <row r="36" spans="1:54" ht="16.5" thickBot="1" x14ac:dyDescent="0.3">
      <c r="A36" s="65">
        <f>IF(ISBLANK(VLOOKUP(D36,#REF!,3)),0,1)</f>
        <v>1</v>
      </c>
      <c r="B36" s="64">
        <f t="shared" ref="B36:B58" si="0">IF(ISBLANK(D36),0,IF(ISBLANK(E36),0,IF(ISBLANK(F36),0,1)))</f>
        <v>0</v>
      </c>
      <c r="C36" s="132">
        <v>2</v>
      </c>
      <c r="D36" s="116"/>
      <c r="E36" s="116"/>
      <c r="F36" s="117"/>
      <c r="G36" s="216">
        <v>34.621400000000001</v>
      </c>
      <c r="H36" s="126">
        <v>1000</v>
      </c>
      <c r="I36" s="155">
        <v>1003</v>
      </c>
      <c r="J36" s="102"/>
      <c r="K36" s="55"/>
      <c r="L36" s="55"/>
      <c r="M36" s="55"/>
      <c r="N36" s="56"/>
      <c r="O36" s="55"/>
      <c r="P36" s="102">
        <v>3.359</v>
      </c>
      <c r="Q36" s="102"/>
      <c r="R36" s="102"/>
      <c r="S36" s="153">
        <v>146</v>
      </c>
      <c r="T36" s="221">
        <v>1.4999999999999999E-2</v>
      </c>
      <c r="U36" s="221">
        <v>1.465784113491716E-2</v>
      </c>
      <c r="X36" s="221">
        <v>33.954999999999998</v>
      </c>
      <c r="Y36" s="221">
        <v>33.180466382407481</v>
      </c>
      <c r="Z36" s="221">
        <v>2.2789999999999999</v>
      </c>
      <c r="AA36" s="221">
        <v>2.227014663098414</v>
      </c>
      <c r="AB36" s="221">
        <v>30.83</v>
      </c>
      <c r="AC36" s="221">
        <v>30.126749479299736</v>
      </c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  <c r="AZ36" s="66"/>
      <c r="BA36" s="66"/>
      <c r="BB36" s="133"/>
    </row>
    <row r="37" spans="1:54" ht="16.5" thickBot="1" x14ac:dyDescent="0.3">
      <c r="A37" s="65">
        <f>IF(ISBLANK(VLOOKUP(D37,#REF!,3)),0,1)</f>
        <v>1</v>
      </c>
      <c r="B37" s="64">
        <f t="shared" si="0"/>
        <v>0</v>
      </c>
      <c r="C37" s="132">
        <v>3</v>
      </c>
      <c r="D37" s="116"/>
      <c r="E37" s="116"/>
      <c r="F37" s="119"/>
      <c r="G37" s="216">
        <v>35</v>
      </c>
      <c r="H37" s="126">
        <v>1000</v>
      </c>
      <c r="I37" s="155">
        <v>1004</v>
      </c>
      <c r="J37" s="102"/>
      <c r="K37" s="55"/>
      <c r="L37" s="55"/>
      <c r="M37" s="55"/>
      <c r="N37" s="56"/>
      <c r="O37" s="55"/>
      <c r="P37" s="102">
        <v>3.36</v>
      </c>
      <c r="Q37" s="102"/>
      <c r="R37" s="102"/>
      <c r="S37" s="153">
        <v>146</v>
      </c>
      <c r="T37" s="221">
        <v>2.4E-2</v>
      </c>
      <c r="U37" s="221">
        <v>2.3452545815867459E-2</v>
      </c>
      <c r="X37" s="221">
        <v>34.045999999999999</v>
      </c>
      <c r="Y37" s="221">
        <v>33.269390618625977</v>
      </c>
      <c r="Z37" s="221">
        <v>2.2890000000000001</v>
      </c>
      <c r="AA37" s="221">
        <v>2.2367865571883589</v>
      </c>
      <c r="AB37" s="221">
        <v>31.39</v>
      </c>
      <c r="AC37" s="221">
        <v>30.673975548336646</v>
      </c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133"/>
    </row>
    <row r="38" spans="1:54" ht="16.5" thickBot="1" x14ac:dyDescent="0.3">
      <c r="A38" s="65">
        <f>IF(ISBLANK(VLOOKUP(D38,#REF!,3)),0,1)</f>
        <v>1</v>
      </c>
      <c r="B38" s="64">
        <f t="shared" si="0"/>
        <v>0</v>
      </c>
      <c r="C38" s="132">
        <v>4</v>
      </c>
      <c r="D38" s="120"/>
      <c r="E38" s="120"/>
      <c r="F38" s="121"/>
      <c r="G38" s="216">
        <v>34.622900000000001</v>
      </c>
      <c r="H38" s="126">
        <v>1000</v>
      </c>
      <c r="I38" s="155">
        <v>1004</v>
      </c>
      <c r="J38" s="102"/>
      <c r="K38" s="55"/>
      <c r="L38" s="55"/>
      <c r="M38" s="55"/>
      <c r="N38" s="56"/>
      <c r="O38" s="55"/>
      <c r="P38" s="102">
        <v>3.355</v>
      </c>
      <c r="Q38" s="102"/>
      <c r="R38" s="102"/>
      <c r="S38" s="220">
        <v>145.80000000000001</v>
      </c>
      <c r="T38" s="221">
        <v>2.4E-2</v>
      </c>
      <c r="U38" s="221">
        <v>2.3452545815867459E-2</v>
      </c>
      <c r="X38" s="221">
        <v>33.856000000000002</v>
      </c>
      <c r="Y38" s="221">
        <v>33.083724630917025</v>
      </c>
      <c r="Z38" s="221">
        <v>2.2650000000000001</v>
      </c>
      <c r="AA38" s="221">
        <v>2.2133340113724915</v>
      </c>
      <c r="AB38" s="221">
        <v>31.32</v>
      </c>
      <c r="AC38" s="221">
        <v>30.605572289707034</v>
      </c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133"/>
    </row>
    <row r="39" spans="1:54" ht="16.5" thickBot="1" x14ac:dyDescent="0.3">
      <c r="A39" s="65">
        <f>IF(ISBLANK(VLOOKUP(D39,#REF!,3)),0,1)</f>
        <v>1</v>
      </c>
      <c r="B39" s="64">
        <f t="shared" si="0"/>
        <v>0</v>
      </c>
      <c r="C39" s="132">
        <v>5</v>
      </c>
      <c r="D39" s="116"/>
      <c r="E39" s="116"/>
      <c r="F39" s="119"/>
      <c r="G39" s="216">
        <v>34.619199999999999</v>
      </c>
      <c r="H39" s="126">
        <v>1000</v>
      </c>
      <c r="I39" s="155">
        <v>1005</v>
      </c>
      <c r="J39" s="102"/>
      <c r="K39" s="55"/>
      <c r="L39" s="55"/>
      <c r="M39" s="55"/>
      <c r="N39" s="56"/>
      <c r="O39" s="55"/>
      <c r="P39" s="102">
        <v>3.3620000000000001</v>
      </c>
      <c r="Q39" s="102"/>
      <c r="R39" s="102"/>
      <c r="S39" s="220">
        <v>146.19999999999999</v>
      </c>
      <c r="T39" s="221">
        <v>2.4E-2</v>
      </c>
      <c r="U39" s="221">
        <v>2.3452545815867459E-2</v>
      </c>
      <c r="X39" s="221">
        <v>33.765999999999998</v>
      </c>
      <c r="Y39" s="221">
        <v>32.995777584107522</v>
      </c>
      <c r="Z39" s="221">
        <v>2.266</v>
      </c>
      <c r="AA39" s="221">
        <v>2.214311200781486</v>
      </c>
      <c r="AB39" s="221">
        <v>31.38</v>
      </c>
      <c r="AC39" s="221">
        <v>30.664203654246698</v>
      </c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48"/>
    </row>
    <row r="40" spans="1:54" ht="16.5" thickBot="1" x14ac:dyDescent="0.3">
      <c r="A40" s="65">
        <f>IF(ISBLANK(VLOOKUP(D40,#REF!,3)),0,1)</f>
        <v>1</v>
      </c>
      <c r="B40" s="64">
        <f t="shared" si="0"/>
        <v>0</v>
      </c>
      <c r="C40" s="132">
        <v>6</v>
      </c>
      <c r="D40" s="116"/>
      <c r="E40" s="116"/>
      <c r="F40" s="119"/>
      <c r="G40" s="216">
        <v>34.621200000000002</v>
      </c>
      <c r="H40" s="126">
        <v>1000</v>
      </c>
      <c r="I40" s="155">
        <v>1006</v>
      </c>
      <c r="J40" s="102"/>
      <c r="K40" s="55"/>
      <c r="L40" s="55"/>
      <c r="M40" s="55"/>
      <c r="N40" s="56"/>
      <c r="O40" s="55"/>
      <c r="P40" s="102">
        <v>3.3570000000000002</v>
      </c>
      <c r="Q40" s="102"/>
      <c r="R40" s="102"/>
      <c r="S40" s="153">
        <v>146</v>
      </c>
      <c r="T40" s="221">
        <v>2.3E-2</v>
      </c>
      <c r="U40" s="221">
        <v>2.2475356406872978E-2</v>
      </c>
      <c r="X40" s="221">
        <v>33.956999999999994</v>
      </c>
      <c r="Y40" s="221">
        <v>33.182420761225465</v>
      </c>
      <c r="Z40" s="221">
        <v>2.2559999999999998</v>
      </c>
      <c r="AA40" s="221">
        <v>2.2045393066915406</v>
      </c>
      <c r="AB40" s="221">
        <v>30.42</v>
      </c>
      <c r="AC40" s="221">
        <v>29.726101821612005</v>
      </c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S40" s="147"/>
      <c r="AT40" s="147"/>
      <c r="AU40" s="147"/>
      <c r="AV40" s="147"/>
      <c r="AW40" s="147"/>
      <c r="AX40" s="147"/>
      <c r="AY40" s="147"/>
      <c r="AZ40" s="147"/>
      <c r="BA40" s="147"/>
      <c r="BB40" s="48"/>
    </row>
    <row r="41" spans="1:54" ht="16.5" thickBot="1" x14ac:dyDescent="0.3">
      <c r="A41" s="65">
        <f>IF(ISBLANK(VLOOKUP(D41,#REF!,3)),0,1)</f>
        <v>1</v>
      </c>
      <c r="B41" s="64">
        <f t="shared" si="0"/>
        <v>0</v>
      </c>
      <c r="C41" s="132">
        <v>7</v>
      </c>
      <c r="D41" s="116"/>
      <c r="E41" s="116"/>
      <c r="F41" s="119"/>
      <c r="G41" s="216">
        <v>34.622799999999998</v>
      </c>
      <c r="H41" s="126">
        <v>1000</v>
      </c>
      <c r="I41" s="155">
        <v>1006</v>
      </c>
      <c r="J41" s="102"/>
      <c r="K41" s="55"/>
      <c r="L41" s="55"/>
      <c r="M41" s="55"/>
      <c r="N41" s="56"/>
      <c r="O41" s="55"/>
      <c r="P41" s="102">
        <v>3.375</v>
      </c>
      <c r="Q41" s="102"/>
      <c r="R41" s="102"/>
      <c r="S41" s="153">
        <v>146.80000000000001</v>
      </c>
      <c r="T41" s="221">
        <v>2.1999999999999999E-2</v>
      </c>
      <c r="U41" s="221">
        <v>2.1498166997878501E-2</v>
      </c>
      <c r="X41" s="221">
        <v>33.858000000000004</v>
      </c>
      <c r="Y41" s="221">
        <v>33.085679009735017</v>
      </c>
      <c r="Z41" s="221">
        <v>2.2730000000000001</v>
      </c>
      <c r="AA41" s="221">
        <v>2.2211515266444475</v>
      </c>
      <c r="AB41" s="221">
        <v>31.54</v>
      </c>
      <c r="AC41" s="221">
        <v>30.820553959685817</v>
      </c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7"/>
      <c r="AT41" s="147"/>
      <c r="AU41" s="147"/>
      <c r="AV41" s="147"/>
      <c r="AW41" s="147"/>
      <c r="AX41" s="147"/>
      <c r="AY41" s="147"/>
      <c r="AZ41" s="147"/>
      <c r="BA41" s="147"/>
      <c r="BB41" s="48"/>
    </row>
    <row r="42" spans="1:54" ht="16.5" thickBot="1" x14ac:dyDescent="0.3">
      <c r="A42" s="65">
        <f>IF(ISBLANK(VLOOKUP(D42,#REF!,3)),0,1)</f>
        <v>1</v>
      </c>
      <c r="B42" s="64">
        <f t="shared" si="0"/>
        <v>0</v>
      </c>
      <c r="C42" s="132">
        <v>8</v>
      </c>
      <c r="D42" s="116"/>
      <c r="E42" s="116"/>
      <c r="F42" s="119"/>
      <c r="G42" s="216">
        <v>34.623600000000003</v>
      </c>
      <c r="H42" s="126">
        <v>1000</v>
      </c>
      <c r="I42" s="155">
        <v>1006</v>
      </c>
      <c r="J42" s="102"/>
      <c r="K42" s="55"/>
      <c r="L42" s="55"/>
      <c r="M42" s="55"/>
      <c r="N42" s="56"/>
      <c r="O42" s="55"/>
      <c r="P42" s="102">
        <v>3.363</v>
      </c>
      <c r="Q42" s="102"/>
      <c r="R42" s="102"/>
      <c r="S42" s="153">
        <v>146.19999999999999</v>
      </c>
      <c r="T42" s="221">
        <v>2.4E-2</v>
      </c>
      <c r="U42" s="221">
        <v>2.3452545815867459E-2</v>
      </c>
      <c r="X42" s="221">
        <v>33.676000000000002</v>
      </c>
      <c r="Y42" s="221">
        <v>32.907830537298025</v>
      </c>
      <c r="Z42" s="221">
        <v>2.2469999999999999</v>
      </c>
      <c r="AA42" s="221">
        <v>2.1957446020105906</v>
      </c>
      <c r="AB42" s="221">
        <v>30.54</v>
      </c>
      <c r="AC42" s="221">
        <v>29.843364550691341</v>
      </c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48"/>
    </row>
    <row r="43" spans="1:54" ht="16.5" thickBot="1" x14ac:dyDescent="0.3">
      <c r="A43" s="65">
        <f>IF(ISBLANK(VLOOKUP(D43,#REF!,3)),0,1)</f>
        <v>1</v>
      </c>
      <c r="B43" s="64">
        <f t="shared" si="0"/>
        <v>0</v>
      </c>
      <c r="C43" s="132">
        <v>9</v>
      </c>
      <c r="D43" s="116"/>
      <c r="E43" s="116"/>
      <c r="F43" s="119"/>
      <c r="G43" s="216">
        <v>34.624000000000002</v>
      </c>
      <c r="H43" s="126">
        <v>1000</v>
      </c>
      <c r="I43" s="155">
        <v>1006</v>
      </c>
      <c r="J43" s="102"/>
      <c r="K43" s="55"/>
      <c r="L43" s="55"/>
      <c r="M43" s="55"/>
      <c r="N43" s="56"/>
      <c r="O43" s="55"/>
      <c r="P43" s="102">
        <v>3.359</v>
      </c>
      <c r="Q43" s="102"/>
      <c r="R43" s="102"/>
      <c r="S43" s="153">
        <v>146.1</v>
      </c>
      <c r="T43" s="221">
        <v>2.5000000000000001E-2</v>
      </c>
      <c r="U43" s="221">
        <v>2.4429735224861936E-2</v>
      </c>
      <c r="X43" s="221">
        <v>33.984999999999999</v>
      </c>
      <c r="Y43" s="221">
        <v>33.209782064677313</v>
      </c>
      <c r="Z43" s="221">
        <v>2.2429999999999999</v>
      </c>
      <c r="AA43" s="221">
        <v>2.1918358443746127</v>
      </c>
      <c r="AB43" s="221">
        <v>31.06</v>
      </c>
      <c r="AC43" s="221">
        <v>30.351503043368467</v>
      </c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48"/>
    </row>
    <row r="44" spans="1:54" ht="16.5" thickBot="1" x14ac:dyDescent="0.3">
      <c r="A44" s="65">
        <f>IF(ISBLANK(VLOOKUP(D44,#REF!,3)),0,1)</f>
        <v>1</v>
      </c>
      <c r="B44" s="64">
        <f t="shared" si="0"/>
        <v>0</v>
      </c>
      <c r="C44" s="132">
        <v>10</v>
      </c>
      <c r="D44" s="116"/>
      <c r="E44" s="116"/>
      <c r="F44" s="119"/>
      <c r="G44" s="216">
        <v>34.624600000000001</v>
      </c>
      <c r="H44" s="126">
        <v>1000</v>
      </c>
      <c r="I44" s="155">
        <v>1006</v>
      </c>
      <c r="J44" s="102"/>
      <c r="K44" s="55"/>
      <c r="L44" s="55"/>
      <c r="M44" s="55"/>
      <c r="N44" s="56"/>
      <c r="O44" s="55"/>
      <c r="P44" s="102">
        <v>3.363</v>
      </c>
      <c r="Q44" s="102"/>
      <c r="R44" s="102"/>
      <c r="S44" s="153">
        <v>146.19999999999999</v>
      </c>
      <c r="T44" s="221">
        <v>2.7E-2</v>
      </c>
      <c r="U44" s="221">
        <v>2.638411404285089E-2</v>
      </c>
      <c r="X44" s="221">
        <v>33.632999999999996</v>
      </c>
      <c r="Y44" s="221">
        <v>32.865811392711251</v>
      </c>
      <c r="Z44" s="221">
        <v>2.2629999999999999</v>
      </c>
      <c r="AA44" s="221">
        <v>2.2113796325545021</v>
      </c>
      <c r="AB44" s="221">
        <v>31.59</v>
      </c>
      <c r="AC44" s="221">
        <v>30.869413430135541</v>
      </c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133"/>
    </row>
    <row r="45" spans="1:54" ht="15.75" x14ac:dyDescent="0.25">
      <c r="A45" s="65">
        <f>IF(ISBLANK(VLOOKUP(D45,#REF!,3)),0,1)</f>
        <v>1</v>
      </c>
      <c r="B45" s="64">
        <f t="shared" si="0"/>
        <v>0</v>
      </c>
      <c r="C45" s="132">
        <v>11</v>
      </c>
      <c r="D45" s="116"/>
      <c r="E45" s="116"/>
      <c r="F45" s="119"/>
      <c r="G45" s="216">
        <v>34.624099999999999</v>
      </c>
      <c r="H45" s="126">
        <v>1000</v>
      </c>
      <c r="I45" s="155">
        <v>1006</v>
      </c>
      <c r="J45" s="102"/>
      <c r="K45" s="55"/>
      <c r="L45" s="55"/>
      <c r="M45" s="55"/>
      <c r="N45" s="56"/>
      <c r="O45" s="55"/>
      <c r="P45" s="102">
        <v>3.375</v>
      </c>
      <c r="Q45" s="102"/>
      <c r="R45" s="102"/>
      <c r="S45" s="153">
        <v>146.80000000000001</v>
      </c>
      <c r="T45" s="221">
        <v>2.5999999999999999E-2</v>
      </c>
      <c r="U45" s="221">
        <v>2.5406924633856413E-2</v>
      </c>
      <c r="X45" s="221">
        <v>33.723999999999997</v>
      </c>
      <c r="Y45" s="221">
        <v>32.954735628929754</v>
      </c>
      <c r="Z45" s="221">
        <v>2.2149999999999999</v>
      </c>
      <c r="AA45" s="221">
        <v>2.1644745409227673</v>
      </c>
      <c r="AB45" s="221">
        <v>31.13</v>
      </c>
      <c r="AC45" s="221">
        <v>30.419906301998079</v>
      </c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</row>
    <row r="46" spans="1:54" ht="15.75" x14ac:dyDescent="0.25">
      <c r="A46" s="65">
        <f>IF(ISBLANK(VLOOKUP(D46,#REF!,3)),0,1)</f>
        <v>1</v>
      </c>
      <c r="B46" s="64">
        <f t="shared" si="0"/>
        <v>0</v>
      </c>
      <c r="C46" s="132">
        <v>12</v>
      </c>
      <c r="D46" s="88"/>
      <c r="E46" s="89"/>
      <c r="F46" s="90"/>
      <c r="G46" s="91"/>
      <c r="H46" s="88"/>
      <c r="I46" s="104"/>
      <c r="J46" s="102" t="str">
        <f>IF(ISBLANK(D46),"",IF(VLOOKUP(D46,#REF!,2)=0,"",IF(D46&gt;#REF!,"Mauvais numéro",IF(D46&lt;#REF!,"Mauvais numéro",(VLOOKUP(D46,#REF!,3))))))</f>
        <v/>
      </c>
      <c r="K46" s="92" t="str">
        <f t="shared" ref="K46:K57" si="1">IF(ISBLANK(E46),"",(0.000824493-(0.0000040899*E46)+(0.000000076438*E46^2)-(0.00000000082467*E46^3)+(0.0000000000053875*E46^4)))</f>
        <v/>
      </c>
      <c r="L46" s="92" t="str">
        <f t="shared" ref="L46:L58" si="2">IF(ISBLANK(E46),"",(-0.00000572466+(0.00000010227*E46)-(0.0000000016546*E46^2)))</f>
        <v/>
      </c>
      <c r="M46" s="92" t="str">
        <f t="shared" ref="M46:M58" si="3">IF(ISBLANK(E46),"",IF(ISBLANK(G46),(O46+(K46*35)+(L46*35^1.5)+(0.00000048314*35^2)),(O46+(K46*G46)+(L46*G46^1.5)+(0.00000048314*G46^2))))</f>
        <v/>
      </c>
      <c r="N46" s="93" t="str">
        <f t="shared" ref="N46:N58" si="4">IF(ISBLANK(D46),"",IF(ISBLANK(G46),J46*(1+0.00001*(35-20)),J46*(1+0.00001*(G46-20))))</f>
        <v/>
      </c>
      <c r="O46" s="92" t="str">
        <f t="shared" ref="O46:O58" si="5">IF(ISBLANK(E46),"",(0.999842594+(0.00006793952*E46)-(0.00000909529*E46^2)+(0.0000001001685*E46^3)-(0.000000001120083*E46^4)+(0.000000000006536332*E46^5)))</f>
        <v/>
      </c>
      <c r="P46" s="94" t="str">
        <f>IF(ISBLANK($R$16),"",IF(A46=0,"",IF(ISBLANK($R$17),"",IF(B46=0,"",IF($O$28=$I$29,"",IF(AND($I$29=$O$29,D46&lt;1000),"N° Flac.",IF(AND($I$29=$O$30,D46&gt;1000),"N° Flac.",IF(AND(D46&gt;1202,D46&lt;2001),"Err. N°",IF(AND(D46&gt;499,D46&lt;1141),"Err.N°",(((((F46)+#REF!)*(($P$21)*($P$19)*5598)/(($R$16)-($R$17)))-(($P$27)*1000))/((N46)-($P$26))))))))))))</f>
        <v/>
      </c>
      <c r="Q46" s="103" t="str">
        <f t="shared" ref="Q46:Q58" si="6">IF(ISBLANK($R$16),"",IF(A46=0,"",IF(ISBLANK($R$17),"",IF(AND(D46&gt;1202,D46&lt;2001),"Err. N°",IF(AND(D46&gt;499,D46&lt;1141),"Err.N°",IF(B46=0,"",IF($O$28=$I$29,"",IF(AND($I$29=$O$29,D46&lt;1000),"N° Flac.",IF(AND($I$29=$O$30,D46&gt;1000),"N° Flac.",P46/M46)))))))))</f>
        <v/>
      </c>
      <c r="R46" s="95" t="str">
        <f t="shared" ref="R46:R58" si="7"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Flac.",((44.66*P46))))))))))))</f>
        <v/>
      </c>
      <c r="S46" s="95" t="str">
        <f>IF(ISBLANK($R$16),"",IF(A46=0,"",IF(ISBLANK($R$17),"",IF(B46=0,"",IF(ISBLANK(J46),"",IF(AND(D46&gt;1202,D46&lt;2001),"Err. N°",IF(AND(D46&gt;499,D46&lt;1141),"Err.N°",IF($I$29=$O$28,"",IF(AND($I$29=$O$29,D46&lt;1000),"N° Flac.",IF(AND($I$29=$O$30,D46&gt;1000),"N° Flac.",((44.66*P46)/M46)))))))))))</f>
        <v/>
      </c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  <c r="AV46" s="66"/>
      <c r="AW46" s="66"/>
      <c r="AX46" s="66"/>
      <c r="AY46" s="66"/>
      <c r="AZ46" s="66"/>
      <c r="BA46" s="66"/>
      <c r="BB46" s="133"/>
    </row>
    <row r="47" spans="1:54" ht="15.75" x14ac:dyDescent="0.25">
      <c r="A47" s="65">
        <f>IF(ISBLANK(VLOOKUP(D47,#REF!,3)),0,1)</f>
        <v>1</v>
      </c>
      <c r="B47" s="64">
        <f t="shared" si="0"/>
        <v>0</v>
      </c>
      <c r="C47" s="132">
        <v>13</v>
      </c>
      <c r="D47" s="51"/>
      <c r="E47" s="52"/>
      <c r="F47" s="53"/>
      <c r="G47" s="96"/>
      <c r="H47" s="51"/>
      <c r="I47" s="51"/>
      <c r="J47" s="102" t="str">
        <f>IF(ISBLANK(D47),"",IF(VLOOKUP(D47,#REF!,2)=0,"",IF(D47&gt;#REF!,"Mauvais numéro",IF(D47&lt;#REF!,"Mauvais numéro",(VLOOKUP(D47,#REF!,3))))))</f>
        <v/>
      </c>
      <c r="K47" s="55" t="str">
        <f t="shared" si="1"/>
        <v/>
      </c>
      <c r="L47" s="55" t="str">
        <f t="shared" si="2"/>
        <v/>
      </c>
      <c r="M47" s="55" t="str">
        <f t="shared" si="3"/>
        <v/>
      </c>
      <c r="N47" s="56" t="str">
        <f t="shared" si="4"/>
        <v/>
      </c>
      <c r="O47" s="55" t="str">
        <f t="shared" si="5"/>
        <v/>
      </c>
      <c r="P47" s="99"/>
      <c r="Q47" s="103" t="str">
        <f t="shared" si="6"/>
        <v/>
      </c>
      <c r="R47" s="58" t="str">
        <f t="shared" si="7"/>
        <v/>
      </c>
      <c r="S47" s="99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133"/>
    </row>
    <row r="48" spans="1:54" ht="15.75" x14ac:dyDescent="0.25">
      <c r="A48" s="65">
        <f>IF(ISBLANK(VLOOKUP(D48,#REF!,3)),0,1)</f>
        <v>1</v>
      </c>
      <c r="B48" s="64">
        <f t="shared" si="0"/>
        <v>0</v>
      </c>
      <c r="C48" s="132">
        <v>14</v>
      </c>
      <c r="D48" s="51"/>
      <c r="E48" s="52"/>
      <c r="F48" s="53"/>
      <c r="G48" s="96"/>
      <c r="H48" s="51"/>
      <c r="I48" s="51"/>
      <c r="J48" s="102" t="str">
        <f>IF(ISBLANK(D48),"",IF(VLOOKUP(D48,#REF!,2)=0,"",IF(D48&gt;#REF!,"Mauvais numéro",IF(D48&lt;#REF!,"Mauvais numéro",(VLOOKUP(D48,#REF!,3))))))</f>
        <v/>
      </c>
      <c r="K48" s="55" t="str">
        <f t="shared" si="1"/>
        <v/>
      </c>
      <c r="L48" s="55" t="str">
        <f t="shared" si="2"/>
        <v/>
      </c>
      <c r="M48" s="55" t="str">
        <f t="shared" si="3"/>
        <v/>
      </c>
      <c r="N48" s="56" t="str">
        <f t="shared" si="4"/>
        <v/>
      </c>
      <c r="O48" s="55" t="str">
        <f t="shared" si="5"/>
        <v/>
      </c>
      <c r="P48" s="99"/>
      <c r="Q48" s="103" t="str">
        <f t="shared" si="6"/>
        <v/>
      </c>
      <c r="R48" s="58" t="str">
        <f t="shared" si="7"/>
        <v/>
      </c>
      <c r="S48" s="99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6"/>
      <c r="AW48" s="66"/>
      <c r="AX48" s="66"/>
      <c r="AY48" s="66"/>
      <c r="AZ48" s="66"/>
      <c r="BA48" s="66"/>
      <c r="BB48" s="133"/>
    </row>
    <row r="49" spans="1:54" ht="15.75" x14ac:dyDescent="0.25">
      <c r="A49" s="65">
        <f>IF(ISBLANK(VLOOKUP(D49,#REF!,3)),0,1)</f>
        <v>1</v>
      </c>
      <c r="B49" s="64">
        <f t="shared" si="0"/>
        <v>0</v>
      </c>
      <c r="C49" s="132">
        <v>15</v>
      </c>
      <c r="D49" s="51"/>
      <c r="E49" s="52"/>
      <c r="F49" s="53"/>
      <c r="G49" s="54"/>
      <c r="H49" s="51"/>
      <c r="I49" s="51"/>
      <c r="J49" s="102" t="str">
        <f>IF(ISBLANK(D49),"",IF(VLOOKUP(D49,#REF!,2)=0,"",IF(D49&gt;#REF!,"Mauvais numéro",IF(D49&lt;#REF!,"Mauvais numéro",(VLOOKUP(D49,#REF!,3))))))</f>
        <v/>
      </c>
      <c r="K49" s="55" t="str">
        <f t="shared" si="1"/>
        <v/>
      </c>
      <c r="L49" s="55" t="str">
        <f t="shared" si="2"/>
        <v/>
      </c>
      <c r="M49" s="55" t="str">
        <f t="shared" si="3"/>
        <v/>
      </c>
      <c r="N49" s="56" t="str">
        <f t="shared" si="4"/>
        <v/>
      </c>
      <c r="O49" s="55" t="str">
        <f t="shared" si="5"/>
        <v/>
      </c>
      <c r="P49" s="57" t="str">
        <f>IF(ISBLANK($R$16),"",IF(A49=0,"",IF(ISBLANK($R$17),"",IF(B49=0,"",IF($O$28=$I$29,"",IF(AND($I$29=$O$29,D49&lt;1000),"N° Flac.",IF(AND($I$29=$O$30,D49&gt;1000),"N° Flac.",IF(AND(D49&gt;1202,D49&lt;2001),"Err. N°",IF(AND(D49&gt;499,D49&lt;1141),"Err.N°",(((((F49)+#REF!)*(($P$21)*($P$19)*5598)/(($R$16)-($R$17)))-(($P$27)*1000))/((N49)-($P$26))))))))))))</f>
        <v/>
      </c>
      <c r="Q49" s="103" t="str">
        <f t="shared" si="6"/>
        <v/>
      </c>
      <c r="R49" s="58" t="str">
        <f t="shared" si="7"/>
        <v/>
      </c>
      <c r="S49" s="58" t="str">
        <f t="shared" ref="S49:S58" si="8">IF(ISBLANK($R$16),"",IF(A49=0,"",IF(ISBLANK($R$17),"",IF(B49=0,"",IF(ISBLANK(J49),"",IF(AND(D49&gt;1202,D49&lt;2001),"Err. N°",IF(AND(D49&gt;499,D49&lt;1141),"Err.N°",IF($I$29=$O$28,"",IF(AND($I$29=$O$29,D49&lt;1000),"N° Flac.",IF(AND($I$29=$O$30,D49&gt;1000),"N° Flac.",((44.66*P49)/M49)))))))))))</f>
        <v/>
      </c>
      <c r="T49" s="16"/>
      <c r="U49" s="16"/>
      <c r="V49" s="98"/>
      <c r="W49" s="98"/>
      <c r="X49" s="98"/>
      <c r="Y49" s="98"/>
      <c r="Z49" s="16"/>
      <c r="AA49" s="16"/>
      <c r="AB49" s="98"/>
      <c r="AC49" s="98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6"/>
      <c r="AV49" s="66"/>
      <c r="AW49" s="66"/>
      <c r="AX49" s="66"/>
      <c r="AY49" s="66"/>
      <c r="AZ49" s="66"/>
      <c r="BA49" s="66"/>
      <c r="BB49" s="133"/>
    </row>
    <row r="50" spans="1:54" ht="15.75" x14ac:dyDescent="0.25">
      <c r="A50" s="65">
        <f>IF(ISBLANK(VLOOKUP(D50,#REF!,3)),0,1)</f>
        <v>1</v>
      </c>
      <c r="B50" s="64">
        <f t="shared" si="0"/>
        <v>0</v>
      </c>
      <c r="C50" s="132">
        <v>16</v>
      </c>
      <c r="D50" s="51"/>
      <c r="E50" s="52"/>
      <c r="F50" s="53"/>
      <c r="G50" s="54"/>
      <c r="H50" s="51"/>
      <c r="I50" s="51"/>
      <c r="J50" s="102" t="str">
        <f>IF(ISBLANK(D50),"",IF(VLOOKUP(D50,#REF!,2)=0,"",IF(D50&gt;#REF!,"Mauvais numéro",IF(D50&lt;#REF!,"Mauvais numéro",(VLOOKUP(D50,#REF!,3))))))</f>
        <v/>
      </c>
      <c r="K50" s="55" t="str">
        <f t="shared" si="1"/>
        <v/>
      </c>
      <c r="L50" s="55" t="str">
        <f t="shared" si="2"/>
        <v/>
      </c>
      <c r="M50" s="55" t="str">
        <f t="shared" si="3"/>
        <v/>
      </c>
      <c r="N50" s="56" t="str">
        <f t="shared" si="4"/>
        <v/>
      </c>
      <c r="O50" s="55" t="str">
        <f t="shared" si="5"/>
        <v/>
      </c>
      <c r="P50" s="57" t="str">
        <f>IF(ISBLANK($R$16),"",IF(A50=0,"",IF(ISBLANK($R$17),"",IF(B50=0,"",IF($O$28=$I$29,"",IF(AND($I$29=$O$29,D50&lt;1000),"N° Flac.",IF(AND($I$29=$O$30,D50&gt;1000),"N° Flac.",IF(AND(D50&gt;1202,D50&lt;2001),"Err. N°",IF(AND(D50&gt;499,D50&lt;1141),"Err.N°",(((((F50)+#REF!)*(($P$21)*($P$19)*5598)/(($R$16)-($R$17)))-(($P$27)*1000))/((N50)-($P$26))))))))))))</f>
        <v/>
      </c>
      <c r="Q50" s="103" t="str">
        <f t="shared" si="6"/>
        <v/>
      </c>
      <c r="R50" s="58" t="str">
        <f t="shared" si="7"/>
        <v/>
      </c>
      <c r="S50" s="58" t="str">
        <f t="shared" si="8"/>
        <v/>
      </c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133"/>
    </row>
    <row r="51" spans="1:54" ht="15.75" x14ac:dyDescent="0.25">
      <c r="A51" s="65">
        <f>IF(ISBLANK(VLOOKUP(D51,#REF!,3)),0,1)</f>
        <v>1</v>
      </c>
      <c r="B51" s="64">
        <f t="shared" si="0"/>
        <v>0</v>
      </c>
      <c r="C51" s="132">
        <v>17</v>
      </c>
      <c r="D51" s="51"/>
      <c r="E51" s="52"/>
      <c r="F51" s="53"/>
      <c r="G51" s="54"/>
      <c r="H51" s="51"/>
      <c r="I51" s="51"/>
      <c r="J51" s="102" t="str">
        <f>IF(ISBLANK(D51),"",IF(VLOOKUP(D51,#REF!,2)=0,"",IF(D51&gt;#REF!,"Mauvais numéro",IF(D51&lt;#REF!,"Mauvais numéro",(VLOOKUP(D51,#REF!,3))))))</f>
        <v/>
      </c>
      <c r="K51" s="55" t="str">
        <f t="shared" si="1"/>
        <v/>
      </c>
      <c r="L51" s="55" t="str">
        <f t="shared" si="2"/>
        <v/>
      </c>
      <c r="M51" s="55" t="str">
        <f t="shared" si="3"/>
        <v/>
      </c>
      <c r="N51" s="56" t="str">
        <f t="shared" si="4"/>
        <v/>
      </c>
      <c r="O51" s="55" t="str">
        <f t="shared" si="5"/>
        <v/>
      </c>
      <c r="P51" s="57" t="str">
        <f>IF(ISBLANK($R$16),"",IF(A51=0,"",IF(ISBLANK($R$17),"",IF(B51=0,"",IF($O$28=$I$29,"",IF(AND($I$29=$O$29,D51&lt;1000),"N° Flac.",IF(AND($I$29=$O$30,D51&gt;1000),"N° Flac.",IF(AND(D51&gt;1202,D51&lt;2001),"Err. N°",IF(AND(D51&gt;499,D51&lt;1141),"Err.N°",(((((F51)+#REF!)*(($P$21)*($P$19)*5598)/(($R$16)-($R$17)))-(($P$27)*1000))/((N51)-($P$26))))))))))))</f>
        <v/>
      </c>
      <c r="Q51" s="103" t="str">
        <f t="shared" si="6"/>
        <v/>
      </c>
      <c r="R51" s="58" t="str">
        <f t="shared" si="7"/>
        <v/>
      </c>
      <c r="S51" s="58" t="str">
        <f t="shared" si="8"/>
        <v/>
      </c>
      <c r="T51" s="16"/>
      <c r="U51" s="16"/>
      <c r="V51" s="98"/>
      <c r="W51" s="98"/>
      <c r="X51" s="98"/>
      <c r="Y51" s="98"/>
      <c r="Z51" s="16"/>
      <c r="AA51" s="16"/>
      <c r="AB51" s="98"/>
      <c r="AC51" s="98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6"/>
      <c r="AV51" s="66"/>
      <c r="AW51" s="66"/>
      <c r="AX51" s="66"/>
      <c r="AY51" s="66"/>
      <c r="AZ51" s="66"/>
      <c r="BA51" s="66"/>
      <c r="BB51" s="133"/>
    </row>
    <row r="52" spans="1:54" ht="15.75" x14ac:dyDescent="0.25">
      <c r="A52" s="65">
        <f>IF(ISBLANK(VLOOKUP(D52,#REF!,3)),0,1)</f>
        <v>1</v>
      </c>
      <c r="B52" s="64">
        <f t="shared" si="0"/>
        <v>0</v>
      </c>
      <c r="C52" s="132">
        <v>18</v>
      </c>
      <c r="D52" s="51"/>
      <c r="E52" s="52"/>
      <c r="F52" s="53"/>
      <c r="G52" s="54"/>
      <c r="H52" s="51"/>
      <c r="I52" s="51"/>
      <c r="J52" s="102" t="str">
        <f>IF(ISBLANK(D52),"",IF(VLOOKUP(D52,#REF!,2)=0,"",IF(D52&gt;#REF!,"Mauvais numéro",IF(D52&lt;#REF!,"Mauvais numéro",(VLOOKUP(D52,#REF!,3))))))</f>
        <v/>
      </c>
      <c r="K52" s="55" t="str">
        <f t="shared" si="1"/>
        <v/>
      </c>
      <c r="L52" s="55" t="str">
        <f t="shared" si="2"/>
        <v/>
      </c>
      <c r="M52" s="55" t="str">
        <f t="shared" si="3"/>
        <v/>
      </c>
      <c r="N52" s="56" t="str">
        <f t="shared" si="4"/>
        <v/>
      </c>
      <c r="O52" s="55" t="str">
        <f t="shared" si="5"/>
        <v/>
      </c>
      <c r="P52" s="57" t="str">
        <f>IF(ISBLANK($R$16),"",IF(A52=0,"",IF(ISBLANK($R$17),"",IF(B52=0,"",IF($O$28=$I$29,"",IF(AND($I$29=$O$29,D52&lt;1000),"N° Flac.",IF(AND($I$29=$O$30,D52&gt;1000),"N° Flac.",IF(AND(D52&gt;1202,D52&lt;2001),"Err. N°",IF(AND(D52&gt;499,D52&lt;1141),"Err.N°",(((((F52)+#REF!)*(($P$21)*($P$19)*5598)/(($R$16)-($R$17)))-(($P$27)*1000))/((N52)-($P$26))))))))))))</f>
        <v/>
      </c>
      <c r="Q52" s="103" t="str">
        <f t="shared" si="6"/>
        <v/>
      </c>
      <c r="R52" s="58" t="str">
        <f t="shared" si="7"/>
        <v/>
      </c>
      <c r="S52" s="58" t="str">
        <f t="shared" si="8"/>
        <v/>
      </c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133"/>
    </row>
    <row r="53" spans="1:54" ht="15.75" x14ac:dyDescent="0.25">
      <c r="A53" s="65">
        <f>IF(ISBLANK(VLOOKUP(D53,#REF!,3)),0,1)</f>
        <v>1</v>
      </c>
      <c r="B53" s="64">
        <f t="shared" si="0"/>
        <v>0</v>
      </c>
      <c r="C53" s="132">
        <v>19</v>
      </c>
      <c r="D53" s="51"/>
      <c r="E53" s="52"/>
      <c r="F53" s="53"/>
      <c r="G53" s="54"/>
      <c r="H53" s="51"/>
      <c r="I53" s="51"/>
      <c r="J53" s="102" t="str">
        <f>IF(ISBLANK(D53),"",IF(VLOOKUP(D53,#REF!,2)=0,"",IF(D53&gt;#REF!,"Mauvais numéro",IF(D53&lt;#REF!,"Mauvais numéro",(VLOOKUP(D53,#REF!,3))))))</f>
        <v/>
      </c>
      <c r="K53" s="55" t="str">
        <f t="shared" si="1"/>
        <v/>
      </c>
      <c r="L53" s="55" t="str">
        <f t="shared" si="2"/>
        <v/>
      </c>
      <c r="M53" s="55" t="str">
        <f t="shared" si="3"/>
        <v/>
      </c>
      <c r="N53" s="56" t="str">
        <f t="shared" si="4"/>
        <v/>
      </c>
      <c r="O53" s="55" t="str">
        <f t="shared" si="5"/>
        <v/>
      </c>
      <c r="P53" s="57" t="str">
        <f>IF(ISBLANK($R$16),"",IF(A53=0,"",IF(ISBLANK($R$17),"",IF(B53=0,"",IF($O$28=$I$29,"",IF(AND($I$29=$O$29,D53&lt;1000),"N° Flac.",IF(AND($I$29=$O$30,D53&gt;1000),"N° Flac.",IF(AND(D53&gt;1202,D53&lt;2001),"Err. N°",IF(AND(D53&gt;499,D53&lt;1141),"Err.N°",(((((F53)+#REF!)*(($P$21)*($P$19)*5598)/(($R$16)-($R$17)))-(($P$27)*1000))/((N53)-($P$26))))))))))))</f>
        <v/>
      </c>
      <c r="Q53" s="103" t="str">
        <f t="shared" si="6"/>
        <v/>
      </c>
      <c r="R53" s="58" t="str">
        <f t="shared" si="7"/>
        <v/>
      </c>
      <c r="S53" s="58" t="str">
        <f t="shared" si="8"/>
        <v/>
      </c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133"/>
    </row>
    <row r="54" spans="1:54" ht="15.75" x14ac:dyDescent="0.25">
      <c r="A54" s="65">
        <f>IF(ISBLANK(VLOOKUP(D54,#REF!,3)),0,1)</f>
        <v>1</v>
      </c>
      <c r="B54" s="64">
        <f t="shared" si="0"/>
        <v>0</v>
      </c>
      <c r="C54" s="132">
        <v>20</v>
      </c>
      <c r="D54" s="51"/>
      <c r="E54" s="52"/>
      <c r="F54" s="53"/>
      <c r="G54" s="54"/>
      <c r="H54" s="51"/>
      <c r="I54" s="51"/>
      <c r="J54" s="102" t="str">
        <f>IF(ISBLANK(D54),"",IF(VLOOKUP(D54,#REF!,2)=0,"",IF(D54&gt;#REF!,"Mauvais numéro",IF(D54&lt;#REF!,"Mauvais numéro",(VLOOKUP(D54,#REF!,3))))))</f>
        <v/>
      </c>
      <c r="K54" s="55" t="str">
        <f t="shared" si="1"/>
        <v/>
      </c>
      <c r="L54" s="55" t="str">
        <f t="shared" si="2"/>
        <v/>
      </c>
      <c r="M54" s="55" t="str">
        <f t="shared" si="3"/>
        <v/>
      </c>
      <c r="N54" s="56" t="str">
        <f t="shared" si="4"/>
        <v/>
      </c>
      <c r="O54" s="55" t="str">
        <f t="shared" si="5"/>
        <v/>
      </c>
      <c r="P54" s="57" t="str">
        <f>IF(ISBLANK($R$16),"",IF(A54=0,"",IF(ISBLANK($R$17),"",IF(B54=0,"",IF($O$28=$I$29,"",IF(AND($I$29=$O$29,D54&lt;1000),"N° Flac.",IF(AND($I$29=$O$30,D54&gt;1000),"N° Flac.",IF(AND(D54&gt;1202,D54&lt;2001),"Err. N°",IF(AND(D54&gt;499,D54&lt;1141),"Err.N°",(((((F54)+#REF!)*(($P$21)*($P$19)*5598)/(($R$16)-($R$17)))-(($P$27)*1000))/((N54)-($P$26))))))))))))</f>
        <v/>
      </c>
      <c r="Q54" s="103" t="str">
        <f t="shared" si="6"/>
        <v/>
      </c>
      <c r="R54" s="58" t="str">
        <f t="shared" si="7"/>
        <v/>
      </c>
      <c r="S54" s="58" t="str">
        <f t="shared" si="8"/>
        <v/>
      </c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133"/>
    </row>
    <row r="55" spans="1:54" ht="15.75" x14ac:dyDescent="0.25">
      <c r="A55" s="65">
        <f>IF(ISBLANK(VLOOKUP(D55,#REF!,3)),0,1)</f>
        <v>1</v>
      </c>
      <c r="B55" s="64">
        <f t="shared" si="0"/>
        <v>0</v>
      </c>
      <c r="C55" s="132">
        <v>21</v>
      </c>
      <c r="D55" s="51"/>
      <c r="E55" s="52"/>
      <c r="F55" s="53"/>
      <c r="G55" s="54"/>
      <c r="H55" s="51"/>
      <c r="I55" s="51"/>
      <c r="J55" s="102" t="str">
        <f>IF(ISBLANK(D55),"",IF(VLOOKUP(D55,#REF!,2)=0,"",IF(D55&gt;#REF!,"Mauvais numéro",IF(D55&lt;#REF!,"Mauvais numéro",(VLOOKUP(D55,#REF!,3))))))</f>
        <v/>
      </c>
      <c r="K55" s="55" t="str">
        <f t="shared" si="1"/>
        <v/>
      </c>
      <c r="L55" s="55" t="str">
        <f t="shared" si="2"/>
        <v/>
      </c>
      <c r="M55" s="55" t="str">
        <f t="shared" si="3"/>
        <v/>
      </c>
      <c r="N55" s="56" t="str">
        <f t="shared" si="4"/>
        <v/>
      </c>
      <c r="O55" s="55" t="str">
        <f t="shared" si="5"/>
        <v/>
      </c>
      <c r="P55" s="57" t="str">
        <f>IF(ISBLANK($R$16),"",IF(A55=0,"",IF(ISBLANK($R$17),"",IF(B55=0,"",IF($O$28=$I$29,"",IF(AND($I$29=$O$29,D55&lt;1000),"N° Flac.",IF(AND($I$29=$O$30,D55&gt;1000),"N° Flac.",IF(AND(D55&gt;1202,D55&lt;2001),"Err. N°",IF(AND(D55&gt;499,D55&lt;1141),"Err.N°",(((((F55)+#REF!)*(($P$21)*($P$19)*5598)/(($R$16)-($R$17)))-(($P$27)*1000))/((N55)-($P$26))))))))))))</f>
        <v/>
      </c>
      <c r="Q55" s="103" t="str">
        <f t="shared" si="6"/>
        <v/>
      </c>
      <c r="R55" s="58" t="str">
        <f t="shared" si="7"/>
        <v/>
      </c>
      <c r="S55" s="58" t="str">
        <f t="shared" si="8"/>
        <v/>
      </c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  <c r="AV55" s="66"/>
      <c r="AW55" s="66"/>
      <c r="AX55" s="66"/>
      <c r="AY55" s="66"/>
      <c r="AZ55" s="66"/>
      <c r="BA55" s="66"/>
      <c r="BB55" s="133"/>
    </row>
    <row r="56" spans="1:54" ht="15.75" x14ac:dyDescent="0.25">
      <c r="A56" s="65">
        <f>IF(ISBLANK(VLOOKUP(D56,#REF!,3)),0,1)</f>
        <v>1</v>
      </c>
      <c r="B56" s="64">
        <f t="shared" si="0"/>
        <v>0</v>
      </c>
      <c r="C56" s="132">
        <v>22</v>
      </c>
      <c r="D56" s="51"/>
      <c r="E56" s="52"/>
      <c r="F56" s="53"/>
      <c r="G56" s="54"/>
      <c r="H56" s="51"/>
      <c r="I56" s="51"/>
      <c r="J56" s="102" t="str">
        <f>IF(ISBLANK(D56),"",IF(VLOOKUP(D56,#REF!,2)=0,"",IF(D56&gt;#REF!,"Mauvais numéro",IF(D56&lt;#REF!,"Mauvais numéro",(VLOOKUP(D56,#REF!,3))))))</f>
        <v/>
      </c>
      <c r="K56" s="55" t="str">
        <f t="shared" si="1"/>
        <v/>
      </c>
      <c r="L56" s="55" t="str">
        <f t="shared" si="2"/>
        <v/>
      </c>
      <c r="M56" s="55" t="str">
        <f t="shared" si="3"/>
        <v/>
      </c>
      <c r="N56" s="56" t="str">
        <f t="shared" si="4"/>
        <v/>
      </c>
      <c r="O56" s="55" t="str">
        <f t="shared" si="5"/>
        <v/>
      </c>
      <c r="P56" s="57" t="str">
        <f>IF(ISBLANK($R$16),"",IF(A56=0,"",IF(ISBLANK($R$17),"",IF(B56=0,"",IF($O$28=$I$29,"",IF(AND($I$29=$O$29,D56&lt;1000),"N° Flac.",IF(AND($I$29=$O$30,D56&gt;1000),"N° Flac.",IF(AND(D56&gt;1202,D56&lt;2001),"Err. N°",IF(AND(D56&gt;499,D56&lt;1141),"Err.N°",(((((F56)+#REF!)*(($P$21)*($P$19)*5598)/(($R$16)-($R$17)))-(($P$27)*1000))/((N56)-($P$26))))))))))))</f>
        <v/>
      </c>
      <c r="Q56" s="103" t="str">
        <f t="shared" si="6"/>
        <v/>
      </c>
      <c r="R56" s="58" t="str">
        <f t="shared" si="7"/>
        <v/>
      </c>
      <c r="S56" s="58" t="str">
        <f t="shared" si="8"/>
        <v/>
      </c>
      <c r="T56" s="16"/>
      <c r="U56" s="16"/>
      <c r="V56" s="98"/>
      <c r="W56" s="98"/>
      <c r="X56" s="98"/>
      <c r="Y56" s="98"/>
      <c r="Z56" s="16"/>
      <c r="AA56" s="16"/>
      <c r="AB56" s="98"/>
      <c r="AC56" s="98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133"/>
    </row>
    <row r="57" spans="1:54" ht="15.75" x14ac:dyDescent="0.25">
      <c r="A57" s="65">
        <f>IF(ISBLANK(VLOOKUP(D57,#REF!,3)),0,1)</f>
        <v>1</v>
      </c>
      <c r="B57" s="64">
        <f t="shared" si="0"/>
        <v>0</v>
      </c>
      <c r="C57" s="132">
        <v>23</v>
      </c>
      <c r="D57" s="51"/>
      <c r="E57" s="52"/>
      <c r="F57" s="53"/>
      <c r="G57" s="54"/>
      <c r="H57" s="51"/>
      <c r="I57" s="51"/>
      <c r="J57" s="102" t="str">
        <f>IF(ISBLANK(D57),"",IF(VLOOKUP(D57,#REF!,2)=0,"",IF(D57&gt;#REF!,"Mauvais numéro",IF(D57&lt;#REF!,"Mauvais numéro",(VLOOKUP(D57,#REF!,3))))))</f>
        <v/>
      </c>
      <c r="K57" s="55" t="str">
        <f t="shared" si="1"/>
        <v/>
      </c>
      <c r="L57" s="55" t="str">
        <f t="shared" si="2"/>
        <v/>
      </c>
      <c r="M57" s="55" t="str">
        <f t="shared" si="3"/>
        <v/>
      </c>
      <c r="N57" s="56" t="str">
        <f t="shared" si="4"/>
        <v/>
      </c>
      <c r="O57" s="55" t="str">
        <f t="shared" si="5"/>
        <v/>
      </c>
      <c r="P57" s="57" t="str">
        <f>IF(ISBLANK($R$16),"",IF(A57=0,"",IF(ISBLANK($R$17),"",IF(B57=0,"",IF($O$28=$I$29,"",IF(AND($I$29=$O$29,D57&lt;1000),"N° Flac.",IF(AND($I$29=$O$30,D57&gt;1000),"N° Flac.",IF(AND(D57&gt;1202,D57&lt;2001),"Err. N°",IF(AND(D57&gt;499,D57&lt;1141),"Err.N°",(((((F57)+#REF!)*(($P$21)*($P$19)*5598)/(($R$16)-($R$17)))-(($P$27)*1000))/((N57)-($P$26))))))))))))</f>
        <v/>
      </c>
      <c r="Q57" s="103" t="str">
        <f t="shared" si="6"/>
        <v/>
      </c>
      <c r="R57" s="58" t="str">
        <f t="shared" si="7"/>
        <v/>
      </c>
      <c r="S57" s="58" t="str">
        <f t="shared" si="8"/>
        <v/>
      </c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6"/>
      <c r="AV57" s="66"/>
      <c r="AW57" s="66"/>
      <c r="AX57" s="66"/>
      <c r="AY57" s="66"/>
      <c r="AZ57" s="66"/>
      <c r="BA57" s="66"/>
      <c r="BB57" s="133"/>
    </row>
    <row r="58" spans="1:54" ht="16.5" thickBot="1" x14ac:dyDescent="0.3">
      <c r="A58" s="65">
        <f>IF(ISBLANK(VLOOKUP(D58,#REF!,3)),0,1)</f>
        <v>1</v>
      </c>
      <c r="B58" s="64">
        <f t="shared" si="0"/>
        <v>0</v>
      </c>
      <c r="C58" s="134">
        <v>24</v>
      </c>
      <c r="D58" s="135"/>
      <c r="E58" s="136"/>
      <c r="F58" s="137"/>
      <c r="G58" s="138"/>
      <c r="H58" s="135"/>
      <c r="I58" s="135"/>
      <c r="J58" s="139" t="str">
        <f>IF(ISBLANK(D58),"",IF(VLOOKUP(D58,#REF!,2)=0,"",IF(D58&gt;#REF!,"Mauvais numéro",IF(D58&lt;#REF!,"Mauvais numéro",(VLOOKUP(D58,#REF!,3))))))</f>
        <v/>
      </c>
      <c r="K58" s="140" t="str">
        <f>IF(ISBLANK(E58),"",(0.000824493-(0.0000040899*E58)+(0.000000076438*E58^2)-(0.00000000082467*E58^3)+(0.0000000000053875*E58^4)))</f>
        <v/>
      </c>
      <c r="L58" s="140" t="str">
        <f t="shared" si="2"/>
        <v/>
      </c>
      <c r="M58" s="140" t="str">
        <f t="shared" si="3"/>
        <v/>
      </c>
      <c r="N58" s="141" t="str">
        <f t="shared" si="4"/>
        <v/>
      </c>
      <c r="O58" s="140" t="str">
        <f t="shared" si="5"/>
        <v/>
      </c>
      <c r="P58" s="142" t="str">
        <f>IF(ISBLANK($R$16),"",IF(A58=0,"",IF(ISBLANK($R$17),"",IF(B58=0,"",IF($O$28=$I$29,"",IF(AND($I$29=$O$29,D58&lt;1000),"N° Flac.",IF(AND($I$29=$O$30,D58&gt;1000),"N° Flac.",IF(AND(D58&gt;1202,D58&lt;2001),"Err. N°",IF(AND(D58&gt;499,D58&lt;1141),"Err.N°",(((((F58)+#REF!)*(($P$21)*($P$19)*5598)/(($R$16)-($R$17)))-(($P$27)*1000))/((N58)-($P$26))))))))))))</f>
        <v/>
      </c>
      <c r="Q58" s="143" t="str">
        <f t="shared" si="6"/>
        <v/>
      </c>
      <c r="R58" s="144" t="str">
        <f t="shared" si="7"/>
        <v/>
      </c>
      <c r="S58" s="144" t="str">
        <f t="shared" si="8"/>
        <v/>
      </c>
      <c r="T58" s="145"/>
      <c r="U58" s="145"/>
      <c r="V58" s="145"/>
      <c r="W58" s="145"/>
      <c r="X58" s="145"/>
      <c r="Y58" s="145"/>
      <c r="Z58" s="145"/>
      <c r="AA58" s="145"/>
      <c r="AB58" s="145"/>
      <c r="AC58" s="145"/>
      <c r="AD58" s="145"/>
      <c r="AE58" s="145"/>
      <c r="AF58" s="145"/>
      <c r="AG58" s="145"/>
      <c r="AH58" s="145"/>
      <c r="AI58" s="145"/>
      <c r="AJ58" s="145"/>
      <c r="AK58" s="145"/>
      <c r="AL58" s="145"/>
      <c r="AM58" s="145"/>
      <c r="AN58" s="145"/>
      <c r="AO58" s="145"/>
      <c r="AP58" s="145"/>
      <c r="AQ58" s="145"/>
      <c r="AR58" s="145"/>
      <c r="AS58" s="145"/>
      <c r="AT58" s="145"/>
      <c r="AU58" s="145"/>
      <c r="AV58" s="145"/>
      <c r="AW58" s="145"/>
      <c r="AX58" s="145"/>
      <c r="AY58" s="145"/>
      <c r="AZ58" s="145"/>
      <c r="BA58" s="145"/>
      <c r="BB58" s="146"/>
    </row>
  </sheetData>
  <dataConsolidate/>
  <mergeCells count="70">
    <mergeCell ref="BB31:BB32"/>
    <mergeCell ref="C33:C34"/>
    <mergeCell ref="D33:D34"/>
    <mergeCell ref="E33:E34"/>
    <mergeCell ref="F33:F34"/>
    <mergeCell ref="G33:G34"/>
    <mergeCell ref="H33:H34"/>
    <mergeCell ref="I33:I34"/>
    <mergeCell ref="J33:J34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P31:S32"/>
    <mergeCell ref="T31:U32"/>
    <mergeCell ref="V31:W32"/>
    <mergeCell ref="X31:Y32"/>
    <mergeCell ref="Z31:AA32"/>
    <mergeCell ref="AB31:AC32"/>
    <mergeCell ref="J31:J32"/>
    <mergeCell ref="K31:K32"/>
    <mergeCell ref="L31:L32"/>
    <mergeCell ref="M31:M32"/>
    <mergeCell ref="N31:N32"/>
    <mergeCell ref="O31:O32"/>
    <mergeCell ref="G11:H12"/>
    <mergeCell ref="P11:R12"/>
    <mergeCell ref="E29:H29"/>
    <mergeCell ref="C31:C32"/>
    <mergeCell ref="D31:D32"/>
    <mergeCell ref="E31:E32"/>
    <mergeCell ref="F31:F32"/>
    <mergeCell ref="G31:G32"/>
    <mergeCell ref="H31:H32"/>
    <mergeCell ref="I31:I32"/>
    <mergeCell ref="G8:H8"/>
    <mergeCell ref="Q8:R8"/>
    <mergeCell ref="G9:H9"/>
    <mergeCell ref="Q9:R9"/>
    <mergeCell ref="G10:H10"/>
    <mergeCell ref="Q10:R10"/>
    <mergeCell ref="C2:E2"/>
    <mergeCell ref="F2:T2"/>
    <mergeCell ref="C4:U4"/>
    <mergeCell ref="C6:E6"/>
    <mergeCell ref="F6:G6"/>
    <mergeCell ref="H6:J6"/>
    <mergeCell ref="P6:Q6"/>
    <mergeCell ref="R6:S6"/>
    <mergeCell ref="T6:U6"/>
  </mergeCells>
  <dataValidations count="4">
    <dataValidation type="list" showInputMessage="1" showErrorMessage="1" promptTitle="Choix Cardinal" sqref="P9">
      <formula1>$M$8:$M$10</formula1>
    </dataValidation>
    <dataValidation type="list" showInputMessage="1" showErrorMessage="1" promptTitle="Choix Cardinal" sqref="P10">
      <formula1>$N$8:$N$10</formula1>
    </dataValidation>
    <dataValidation allowBlank="1" showErrorMessage="1" sqref="J30"/>
    <dataValidation type="list" allowBlank="1" showErrorMessage="1" sqref="I29">
      <formula1>$O$28:$O$30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41</vt:i4>
      </vt:variant>
      <vt:variant>
        <vt:lpstr>Plages nommées</vt:lpstr>
      </vt:variant>
      <vt:variant>
        <vt:i4>140</vt:i4>
      </vt:variant>
    </vt:vector>
  </HeadingPairs>
  <TitlesOfParts>
    <vt:vector size="181" baseType="lpstr">
      <vt:lpstr>001_01</vt:lpstr>
      <vt:lpstr>002_01</vt:lpstr>
      <vt:lpstr>003_01</vt:lpstr>
      <vt:lpstr>004_01</vt:lpstr>
      <vt:lpstr>005_01</vt:lpstr>
      <vt:lpstr>006_01</vt:lpstr>
      <vt:lpstr>007_01</vt:lpstr>
      <vt:lpstr>008_01</vt:lpstr>
      <vt:lpstr>009_01</vt:lpstr>
      <vt:lpstr>010_01</vt:lpstr>
      <vt:lpstr>011_01</vt:lpstr>
      <vt:lpstr>012_01</vt:lpstr>
      <vt:lpstr>013_01</vt:lpstr>
      <vt:lpstr>014_01</vt:lpstr>
      <vt:lpstr>015_01</vt:lpstr>
      <vt:lpstr>016_01</vt:lpstr>
      <vt:lpstr>017_01</vt:lpstr>
      <vt:lpstr>018_01</vt:lpstr>
      <vt:lpstr>019_01</vt:lpstr>
      <vt:lpstr>020_01</vt:lpstr>
      <vt:lpstr>021_01</vt:lpstr>
      <vt:lpstr>022_01</vt:lpstr>
      <vt:lpstr>023_01</vt:lpstr>
      <vt:lpstr>024_01</vt:lpstr>
      <vt:lpstr>025_01</vt:lpstr>
      <vt:lpstr>026_01</vt:lpstr>
      <vt:lpstr>027_01</vt:lpstr>
      <vt:lpstr>028_01</vt:lpstr>
      <vt:lpstr>029_01</vt:lpstr>
      <vt:lpstr>030_01</vt:lpstr>
      <vt:lpstr>031_01</vt:lpstr>
      <vt:lpstr>032_01</vt:lpstr>
      <vt:lpstr>033_01</vt:lpstr>
      <vt:lpstr>034_01</vt:lpstr>
      <vt:lpstr>035_01</vt:lpstr>
      <vt:lpstr>036_01</vt:lpstr>
      <vt:lpstr>037_01</vt:lpstr>
      <vt:lpstr>038_01</vt:lpstr>
      <vt:lpstr>039_01</vt:lpstr>
      <vt:lpstr>040_01</vt:lpstr>
      <vt:lpstr>041_01</vt:lpstr>
      <vt:lpstr>'015_01'!Blanc___24_27</vt:lpstr>
      <vt:lpstr>'016_01'!Blanc___24_27</vt:lpstr>
      <vt:lpstr>'017_01'!Blanc___24_27</vt:lpstr>
      <vt:lpstr>'018_01'!Blanc___24_27</vt:lpstr>
      <vt:lpstr>'019_01'!Blanc___24_27</vt:lpstr>
      <vt:lpstr>'020_01'!Blanc___24_27</vt:lpstr>
      <vt:lpstr>'021_01'!Blanc___24_27</vt:lpstr>
      <vt:lpstr>'022_01'!Blanc___24_27</vt:lpstr>
      <vt:lpstr>'023_01'!Blanc___24_27</vt:lpstr>
      <vt:lpstr>'024_01'!Blanc___24_27</vt:lpstr>
      <vt:lpstr>'025_01'!Blanc___24_27</vt:lpstr>
      <vt:lpstr>'026_01'!Blanc___24_27</vt:lpstr>
      <vt:lpstr>'027_01'!Blanc___24_27</vt:lpstr>
      <vt:lpstr>'028_01'!Blanc___24_27</vt:lpstr>
      <vt:lpstr>'029_01'!Blanc___24_27</vt:lpstr>
      <vt:lpstr>'030_01'!Blanc___24_27</vt:lpstr>
      <vt:lpstr>'031_01'!Blanc___24_27</vt:lpstr>
      <vt:lpstr>'032_01'!Blanc___24_27</vt:lpstr>
      <vt:lpstr>'033_01'!Blanc___24_27</vt:lpstr>
      <vt:lpstr>'034_01'!Blanc___24_27</vt:lpstr>
      <vt:lpstr>'035_01'!Blanc___24_27</vt:lpstr>
      <vt:lpstr>'036_01'!Blanc___24_27</vt:lpstr>
      <vt:lpstr>'037_01'!Blanc___24_27</vt:lpstr>
      <vt:lpstr>'038_01'!Blanc___24_27</vt:lpstr>
      <vt:lpstr>'039_01'!Blanc___24_27</vt:lpstr>
      <vt:lpstr>'040_01'!Blanc___24_27</vt:lpstr>
      <vt:lpstr>'041_01'!Blanc___24_27</vt:lpstr>
      <vt:lpstr>Blanc___24_27</vt:lpstr>
      <vt:lpstr>'015_01'!NORMALITE___24_27</vt:lpstr>
      <vt:lpstr>'016_01'!NORMALITE___24_27</vt:lpstr>
      <vt:lpstr>'017_01'!NORMALITE___24_27</vt:lpstr>
      <vt:lpstr>'018_01'!NORMALITE___24_27</vt:lpstr>
      <vt:lpstr>'019_01'!NORMALITE___24_27</vt:lpstr>
      <vt:lpstr>'020_01'!NORMALITE___24_27</vt:lpstr>
      <vt:lpstr>'021_01'!NORMALITE___24_27</vt:lpstr>
      <vt:lpstr>'022_01'!NORMALITE___24_27</vt:lpstr>
      <vt:lpstr>'023_01'!NORMALITE___24_27</vt:lpstr>
      <vt:lpstr>'024_01'!NORMALITE___24_27</vt:lpstr>
      <vt:lpstr>'025_01'!NORMALITE___24_27</vt:lpstr>
      <vt:lpstr>'026_01'!NORMALITE___24_27</vt:lpstr>
      <vt:lpstr>'027_01'!NORMALITE___24_27</vt:lpstr>
      <vt:lpstr>'028_01'!NORMALITE___24_27</vt:lpstr>
      <vt:lpstr>'029_01'!NORMALITE___24_27</vt:lpstr>
      <vt:lpstr>'030_01'!NORMALITE___24_27</vt:lpstr>
      <vt:lpstr>'031_01'!NORMALITE___24_27</vt:lpstr>
      <vt:lpstr>'032_01'!NORMALITE___24_27</vt:lpstr>
      <vt:lpstr>'033_01'!NORMALITE___24_27</vt:lpstr>
      <vt:lpstr>'034_01'!NORMALITE___24_27</vt:lpstr>
      <vt:lpstr>'035_01'!NORMALITE___24_27</vt:lpstr>
      <vt:lpstr>'036_01'!NORMALITE___24_27</vt:lpstr>
      <vt:lpstr>'037_01'!NORMALITE___24_27</vt:lpstr>
      <vt:lpstr>'038_01'!NORMALITE___24_27</vt:lpstr>
      <vt:lpstr>'039_01'!NORMALITE___24_27</vt:lpstr>
      <vt:lpstr>'040_01'!NORMALITE___24_27</vt:lpstr>
      <vt:lpstr>'041_01'!NORMALITE___24_27</vt:lpstr>
      <vt:lpstr>NORMALITE___24_27</vt:lpstr>
      <vt:lpstr>'015_01'!vol_iodate_tc___24_27</vt:lpstr>
      <vt:lpstr>'016_01'!vol_iodate_tc___24_27</vt:lpstr>
      <vt:lpstr>'017_01'!vol_iodate_tc___24_27</vt:lpstr>
      <vt:lpstr>'018_01'!vol_iodate_tc___24_27</vt:lpstr>
      <vt:lpstr>'019_01'!vol_iodate_tc___24_27</vt:lpstr>
      <vt:lpstr>'020_01'!vol_iodate_tc___24_27</vt:lpstr>
      <vt:lpstr>'021_01'!vol_iodate_tc___24_27</vt:lpstr>
      <vt:lpstr>'022_01'!vol_iodate_tc___24_27</vt:lpstr>
      <vt:lpstr>'023_01'!vol_iodate_tc___24_27</vt:lpstr>
      <vt:lpstr>'024_01'!vol_iodate_tc___24_27</vt:lpstr>
      <vt:lpstr>'025_01'!vol_iodate_tc___24_27</vt:lpstr>
      <vt:lpstr>'026_01'!vol_iodate_tc___24_27</vt:lpstr>
      <vt:lpstr>'027_01'!vol_iodate_tc___24_27</vt:lpstr>
      <vt:lpstr>'028_01'!vol_iodate_tc___24_27</vt:lpstr>
      <vt:lpstr>'029_01'!vol_iodate_tc___24_27</vt:lpstr>
      <vt:lpstr>'030_01'!vol_iodate_tc___24_27</vt:lpstr>
      <vt:lpstr>'031_01'!vol_iodate_tc___24_27</vt:lpstr>
      <vt:lpstr>'032_01'!vol_iodate_tc___24_27</vt:lpstr>
      <vt:lpstr>'033_01'!vol_iodate_tc___24_27</vt:lpstr>
      <vt:lpstr>'034_01'!vol_iodate_tc___24_27</vt:lpstr>
      <vt:lpstr>'035_01'!vol_iodate_tc___24_27</vt:lpstr>
      <vt:lpstr>'036_01'!vol_iodate_tc___24_27</vt:lpstr>
      <vt:lpstr>'037_01'!vol_iodate_tc___24_27</vt:lpstr>
      <vt:lpstr>'038_01'!vol_iodate_tc___24_27</vt:lpstr>
      <vt:lpstr>'039_01'!vol_iodate_tc___24_27</vt:lpstr>
      <vt:lpstr>'040_01'!vol_iodate_tc___24_27</vt:lpstr>
      <vt:lpstr>'041_01'!vol_iodate_tc___24_27</vt:lpstr>
      <vt:lpstr>vol_iodate_tc___24_27</vt:lpstr>
      <vt:lpstr>'015_01'!Vol_reactif___24_27</vt:lpstr>
      <vt:lpstr>'016_01'!Vol_reactif___24_27</vt:lpstr>
      <vt:lpstr>'017_01'!Vol_reactif___24_27</vt:lpstr>
      <vt:lpstr>'018_01'!Vol_reactif___24_27</vt:lpstr>
      <vt:lpstr>'019_01'!Vol_reactif___24_27</vt:lpstr>
      <vt:lpstr>'020_01'!Vol_reactif___24_27</vt:lpstr>
      <vt:lpstr>'021_01'!Vol_reactif___24_27</vt:lpstr>
      <vt:lpstr>'022_01'!Vol_reactif___24_27</vt:lpstr>
      <vt:lpstr>'023_01'!Vol_reactif___24_27</vt:lpstr>
      <vt:lpstr>'024_01'!Vol_reactif___24_27</vt:lpstr>
      <vt:lpstr>'025_01'!Vol_reactif___24_27</vt:lpstr>
      <vt:lpstr>'026_01'!Vol_reactif___24_27</vt:lpstr>
      <vt:lpstr>'027_01'!Vol_reactif___24_27</vt:lpstr>
      <vt:lpstr>'028_01'!Vol_reactif___24_27</vt:lpstr>
      <vt:lpstr>'029_01'!Vol_reactif___24_27</vt:lpstr>
      <vt:lpstr>'030_01'!Vol_reactif___24_27</vt:lpstr>
      <vt:lpstr>'031_01'!Vol_reactif___24_27</vt:lpstr>
      <vt:lpstr>'032_01'!Vol_reactif___24_27</vt:lpstr>
      <vt:lpstr>'033_01'!Vol_reactif___24_27</vt:lpstr>
      <vt:lpstr>'034_01'!Vol_reactif___24_27</vt:lpstr>
      <vt:lpstr>'035_01'!Vol_reactif___24_27</vt:lpstr>
      <vt:lpstr>'036_01'!Vol_reactif___24_27</vt:lpstr>
      <vt:lpstr>'037_01'!Vol_reactif___24_27</vt:lpstr>
      <vt:lpstr>'038_01'!Vol_reactif___24_27</vt:lpstr>
      <vt:lpstr>'039_01'!Vol_reactif___24_27</vt:lpstr>
      <vt:lpstr>'040_01'!Vol_reactif___24_27</vt:lpstr>
      <vt:lpstr>'041_01'!Vol_reactif___24_27</vt:lpstr>
      <vt:lpstr>Vol_reactif___24_27</vt:lpstr>
      <vt:lpstr>'015_01'!Vol_thio_iodate___24_27</vt:lpstr>
      <vt:lpstr>'016_01'!Vol_thio_iodate___24_27</vt:lpstr>
      <vt:lpstr>'017_01'!Vol_thio_iodate___24_27</vt:lpstr>
      <vt:lpstr>'018_01'!Vol_thio_iodate___24_27</vt:lpstr>
      <vt:lpstr>'019_01'!Vol_thio_iodate___24_27</vt:lpstr>
      <vt:lpstr>'020_01'!Vol_thio_iodate___24_27</vt:lpstr>
      <vt:lpstr>'021_01'!Vol_thio_iodate___24_27</vt:lpstr>
      <vt:lpstr>'022_01'!Vol_thio_iodate___24_27</vt:lpstr>
      <vt:lpstr>'023_01'!Vol_thio_iodate___24_27</vt:lpstr>
      <vt:lpstr>'024_01'!Vol_thio_iodate___24_27</vt:lpstr>
      <vt:lpstr>'025_01'!Vol_thio_iodate___24_27</vt:lpstr>
      <vt:lpstr>'026_01'!Vol_thio_iodate___24_27</vt:lpstr>
      <vt:lpstr>'027_01'!Vol_thio_iodate___24_27</vt:lpstr>
      <vt:lpstr>'028_01'!Vol_thio_iodate___24_27</vt:lpstr>
      <vt:lpstr>'029_01'!Vol_thio_iodate___24_27</vt:lpstr>
      <vt:lpstr>'030_01'!Vol_thio_iodate___24_27</vt:lpstr>
      <vt:lpstr>'031_01'!Vol_thio_iodate___24_27</vt:lpstr>
      <vt:lpstr>'032_01'!Vol_thio_iodate___24_27</vt:lpstr>
      <vt:lpstr>'033_01'!Vol_thio_iodate___24_27</vt:lpstr>
      <vt:lpstr>'034_01'!Vol_thio_iodate___24_27</vt:lpstr>
      <vt:lpstr>'035_01'!Vol_thio_iodate___24_27</vt:lpstr>
      <vt:lpstr>'036_01'!Vol_thio_iodate___24_27</vt:lpstr>
      <vt:lpstr>'037_01'!Vol_thio_iodate___24_27</vt:lpstr>
      <vt:lpstr>'038_01'!Vol_thio_iodate___24_27</vt:lpstr>
      <vt:lpstr>'039_01'!Vol_thio_iodate___24_27</vt:lpstr>
      <vt:lpstr>'040_01'!Vol_thio_iodate___24_27</vt:lpstr>
      <vt:lpstr>'041_01'!Vol_thio_iodate___24_27</vt:lpstr>
      <vt:lpstr>Vol_thio_iodate___24_27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Jean-Philippe</dc:creator>
  <cp:lastModifiedBy>bbourles</cp:lastModifiedBy>
  <cp:lastPrinted>2015-02-05T12:58:17Z</cp:lastPrinted>
  <dcterms:created xsi:type="dcterms:W3CDTF">2015-01-20T10:06:39Z</dcterms:created>
  <dcterms:modified xsi:type="dcterms:W3CDTF">2018-02-13T15:08:02Z</dcterms:modified>
</cp:coreProperties>
</file>