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<sst xmlns="http://schemas.openxmlformats.org/spreadsheetml/2006/main" count="313" uniqueCount="242">
  <si>
    <t xml:space="preserve">CAMPAGNE PIRATA FR 17 - EGEE 5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</si>
  <si>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</si>
  <si>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</si>
  <si>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</si>
  <si>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</si>
  <si>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</si>
  <si>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</si>
  <si>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</si>
  <si>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</si>
  <si>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</si>
  <si>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</si>
  <si>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</si>
  <si>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</si>
  <si>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</si>
  <si>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</si>
  <si>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</si>
  <si>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</si>
  <si>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</si>
  <si>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</si>
  <si>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</si>
  <si>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</si>
  <si>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</si>
  <si>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</si>
  <si>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</si>
  <si>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</si>
  <si>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</si>
  <si>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</si>
  <si>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</si>
  <si>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</si>
  <si>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</si>
  <si>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</si>
  <si>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</si>
  <si>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</si>
  <si>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</si>
  <si>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</si>
  <si>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</si>
  <si>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</si>
  <si>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</si>
  <si>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</si>
  <si>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</si>
  <si>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</si>
  <si>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</si>
  <si>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</si>
  <si>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</si>
  <si>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</si>
  <si>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</si>
  <si>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</si>
  <si>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</si>
  <si>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</si>
  <si>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</si>
  <si>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</si>
  <si>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</si>
  <si>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</si>
  <si>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</si>
  <si>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</si>
  <si>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</si>
  <si>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</si>
  <si>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</si>
  <si>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</si>
  <si>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</si>
  <si>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</si>
  <si>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</si>
  <si>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</si>
  <si>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</si>
  <si>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</si>
  <si>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</si>
  <si>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</si>
  <si>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</si>
  <si>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</si>
  <si>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</si>
  <si>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</si>
  <si>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</si>
  <si>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</si>
  <si>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</si>
  <si>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</si>
  <si>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</si>
  <si>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</si>
  <si>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</si>
  <si>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</si>
  <si>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</si>
  <si>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19h59</t>
  </si>
  <si>
    <t xml:space="preserve">5°49.1N</t>
  </si>
  <si>
    <t xml:space="preserve">3°10.3E</t>
  </si>
  <si>
    <t xml:space="preserve">S1</t>
  </si>
  <si>
    <t xml:space="preserve">06h06</t>
  </si>
  <si>
    <t xml:space="preserve">4°48.7N</t>
  </si>
  <si>
    <t xml:space="preserve">4°32.6E</t>
  </si>
  <si>
    <t xml:space="preserve">S2</t>
  </si>
  <si>
    <t xml:space="preserve">10h47</t>
  </si>
  <si>
    <t xml:space="preserve">4°21.1N</t>
  </si>
  <si>
    <t xml:space="preserve">5°10.1E</t>
  </si>
  <si>
    <t xml:space="preserve">S3</t>
  </si>
  <si>
    <t xml:space="preserve">19h17</t>
  </si>
  <si>
    <t xml:space="preserve">3°22.0N</t>
  </si>
  <si>
    <t xml:space="preserve">6°00.0E</t>
  </si>
  <si>
    <t xml:space="preserve">S4</t>
  </si>
  <si>
    <t xml:space="preserve">21h41</t>
  </si>
  <si>
    <t xml:space="preserve">3°00.0N</t>
  </si>
  <si>
    <t xml:space="preserve">S5</t>
  </si>
  <si>
    <t xml:space="preserve">06h00</t>
  </si>
  <si>
    <t xml:space="preserve">2°14.4N</t>
  </si>
  <si>
    <t xml:space="preserve">S6</t>
  </si>
  <si>
    <t xml:space="preserve"> </t>
  </si>
  <si>
    <t xml:space="preserve">18h13</t>
  </si>
  <si>
    <t xml:space="preserve">1°29.8S</t>
  </si>
  <si>
    <t xml:space="preserve">F1</t>
  </si>
  <si>
    <t xml:space="preserve">S7</t>
  </si>
  <si>
    <t xml:space="preserve">01h08</t>
  </si>
  <si>
    <t xml:space="preserve">1°29.9S</t>
  </si>
  <si>
    <t xml:space="preserve">7°02.1E</t>
  </si>
  <si>
    <t xml:space="preserve">F2</t>
  </si>
  <si>
    <t xml:space="preserve">S8</t>
  </si>
  <si>
    <t xml:space="preserve">07h28</t>
  </si>
  <si>
    <t xml:space="preserve">1°30.0S</t>
  </si>
  <si>
    <t xml:space="preserve">7°59.9E</t>
  </si>
  <si>
    <t xml:space="preserve">F3</t>
  </si>
  <si>
    <t xml:space="preserve">S9</t>
  </si>
  <si>
    <t xml:space="preserve">11h00</t>
  </si>
  <si>
    <t xml:space="preserve">2°02.2S</t>
  </si>
  <si>
    <t xml:space="preserve">8°00.0E</t>
  </si>
  <si>
    <t xml:space="preserve">F4</t>
  </si>
  <si>
    <t xml:space="preserve">S10</t>
  </si>
  <si>
    <t xml:space="preserve">17h12</t>
  </si>
  <si>
    <t xml:space="preserve">3°00.4S</t>
  </si>
  <si>
    <t xml:space="preserve">F5</t>
  </si>
  <si>
    <t xml:space="preserve">S11</t>
  </si>
  <si>
    <t xml:space="preserve">23h33</t>
  </si>
  <si>
    <t xml:space="preserve">4°04.2S</t>
  </si>
  <si>
    <t xml:space="preserve">8°00.1E</t>
  </si>
  <si>
    <t xml:space="preserve">F6</t>
  </si>
  <si>
    <t xml:space="preserve">S12</t>
  </si>
  <si>
    <t xml:space="preserve">05h12</t>
  </si>
  <si>
    <t xml:space="preserve">5°02.2S</t>
  </si>
  <si>
    <t xml:space="preserve">F7</t>
  </si>
  <si>
    <t xml:space="preserve">S13</t>
  </si>
  <si>
    <t xml:space="preserve">04h25</t>
  </si>
  <si>
    <t xml:space="preserve">5°45.6S</t>
  </si>
  <si>
    <t xml:space="preserve">6°45.0E</t>
  </si>
  <si>
    <t xml:space="preserve">S14</t>
  </si>
  <si>
    <t xml:space="preserve">10h00</t>
  </si>
  <si>
    <t xml:space="preserve">5°36.6S</t>
  </si>
  <si>
    <t xml:space="preserve">5°48.0E</t>
  </si>
  <si>
    <t xml:space="preserve">S15</t>
  </si>
  <si>
    <t xml:space="preserve">17h00</t>
  </si>
  <si>
    <t xml:space="preserve">5°23.0S</t>
  </si>
  <si>
    <t xml:space="preserve">4°31.2E</t>
  </si>
  <si>
    <t xml:space="preserve">S16</t>
  </si>
  <si>
    <t xml:space="preserve">22h45</t>
  </si>
  <si>
    <t xml:space="preserve">5°12.8S</t>
  </si>
  <si>
    <t xml:space="preserve">3°28.2E</t>
  </si>
  <si>
    <t xml:space="preserve">S17</t>
  </si>
  <si>
    <t xml:space="preserve">18h40</t>
  </si>
  <si>
    <t xml:space="preserve">5°42.93N</t>
  </si>
  <si>
    <t xml:space="preserve">2°12.66E</t>
  </si>
  <si>
    <t xml:space="preserve">S18</t>
  </si>
  <si>
    <t xml:space="preserve">23h41</t>
  </si>
  <si>
    <t xml:space="preserve">4°56.88N</t>
  </si>
  <si>
    <t xml:space="preserve">1°54.98E</t>
  </si>
  <si>
    <t xml:space="preserve">S19</t>
  </si>
  <si>
    <t xml:space="preserve">06h17</t>
  </si>
  <si>
    <t xml:space="preserve">3°57.16N</t>
  </si>
  <si>
    <t xml:space="preserve">1°31.54E</t>
  </si>
  <si>
    <t xml:space="preserve">S20</t>
  </si>
  <si>
    <t xml:space="preserve">12h40</t>
  </si>
  <si>
    <t xml:space="preserve">2°58.72N</t>
  </si>
  <si>
    <t xml:space="preserve">1°09.19E</t>
  </si>
  <si>
    <t xml:space="preserve">S21</t>
  </si>
  <si>
    <t xml:space="preserve">1°58.15N</t>
  </si>
  <si>
    <t xml:space="preserve">0°46.37E</t>
  </si>
  <si>
    <t xml:space="preserve">S22</t>
  </si>
  <si>
    <t xml:space="preserve">01h44</t>
  </si>
  <si>
    <t xml:space="preserve">0°57.12N</t>
  </si>
  <si>
    <t xml:space="preserve">0°21.95E</t>
  </si>
  <si>
    <t xml:space="preserve">S23</t>
  </si>
  <si>
    <t xml:space="preserve">07h54</t>
  </si>
  <si>
    <t xml:space="preserve">1°01.77S</t>
  </si>
  <si>
    <t xml:space="preserve">1°01.52W</t>
  </si>
  <si>
    <t xml:space="preserve">S24</t>
  </si>
  <si>
    <t xml:space="preserve">15h38</t>
  </si>
  <si>
    <t xml:space="preserve">2°03.41S</t>
  </si>
  <si>
    <t xml:space="preserve">2°02.78W</t>
  </si>
  <si>
    <t xml:space="preserve">S25</t>
  </si>
  <si>
    <t xml:space="preserve">23h13</t>
  </si>
  <si>
    <t xml:space="preserve">3°00.52S</t>
  </si>
  <si>
    <t xml:space="preserve">2°59.57W</t>
  </si>
  <si>
    <t xml:space="preserve">S26</t>
  </si>
  <si>
    <t xml:space="preserve">07h25</t>
  </si>
  <si>
    <t xml:space="preserve">4°01.46S</t>
  </si>
  <si>
    <t xml:space="preserve">4°00.47W</t>
  </si>
  <si>
    <t xml:space="preserve">S27</t>
  </si>
  <si>
    <t xml:space="preserve">15h44</t>
  </si>
  <si>
    <t xml:space="preserve">5°02.29S</t>
  </si>
  <si>
    <t xml:space="preserve">5°01.19W</t>
  </si>
  <si>
    <t xml:space="preserve">S28</t>
  </si>
  <si>
    <t xml:space="preserve">00h53</t>
  </si>
  <si>
    <t xml:space="preserve">6°02.62S</t>
  </si>
  <si>
    <t xml:space="preserve">6°01.58W</t>
  </si>
  <si>
    <t xml:space="preserve">S29</t>
  </si>
  <si>
    <t xml:space="preserve">09h05</t>
  </si>
  <si>
    <t xml:space="preserve">7°00.06S</t>
  </si>
  <si>
    <t xml:space="preserve">6°59.02W</t>
  </si>
  <si>
    <t xml:space="preserve">S30</t>
  </si>
  <si>
    <t xml:space="preserve">17h30</t>
  </si>
  <si>
    <t xml:space="preserve">8°00.42S</t>
  </si>
  <si>
    <t xml:space="preserve">7°59.81W</t>
  </si>
  <si>
    <t xml:space="preserve">S31</t>
  </si>
  <si>
    <t xml:space="preserve">02h56</t>
  </si>
  <si>
    <t xml:space="preserve">9°00.73S</t>
  </si>
  <si>
    <t xml:space="preserve">9°00.18W</t>
  </si>
  <si>
    <t xml:space="preserve">S32</t>
  </si>
  <si>
    <t xml:space="preserve">20h21</t>
  </si>
  <si>
    <t xml:space="preserve">2°01.11N</t>
  </si>
  <si>
    <t xml:space="preserve">8°27.44W</t>
  </si>
  <si>
    <t xml:space="preserve">S33</t>
  </si>
  <si>
    <t xml:space="preserve">05h43</t>
  </si>
  <si>
    <t xml:space="preserve">2°30.43N</t>
  </si>
  <si>
    <t xml:space="preserve">7°00.15W</t>
  </si>
  <si>
    <t xml:space="preserve">S34</t>
  </si>
  <si>
    <t xml:space="preserve">14h29</t>
  </si>
  <si>
    <t xml:space="preserve">3°00.01N</t>
  </si>
  <si>
    <t xml:space="preserve">5°32.47W</t>
  </si>
  <si>
    <t xml:space="preserve">S35</t>
  </si>
  <si>
    <t xml:space="preserve">23h10</t>
  </si>
  <si>
    <t xml:space="preserve">3°30.31N</t>
  </si>
  <si>
    <t xml:space="preserve">4°02.27W</t>
  </si>
  <si>
    <t xml:space="preserve">S36</t>
  </si>
  <si>
    <t xml:space="preserve">07h51</t>
  </si>
  <si>
    <t xml:space="preserve">4°00.78N</t>
  </si>
  <si>
    <t xml:space="preserve">2°31.51W</t>
  </si>
  <si>
    <t xml:space="preserve">S37</t>
  </si>
  <si>
    <t xml:space="preserve">14h51</t>
  </si>
  <si>
    <t xml:space="preserve">4°30.45N</t>
  </si>
  <si>
    <t xml:space="preserve">1°14.73W</t>
  </si>
  <si>
    <t xml:space="preserve">S38</t>
  </si>
  <si>
    <t xml:space="preserve">21h06</t>
  </si>
  <si>
    <t xml:space="preserve">5°01.28N</t>
  </si>
  <si>
    <t xml:space="preserve">0°12.92W</t>
  </si>
  <si>
    <t xml:space="preserve">S39</t>
  </si>
  <si>
    <t xml:space="preserve">5°50.64N</t>
  </si>
  <si>
    <t xml:space="preserve">1°27.42W</t>
  </si>
  <si>
    <t xml:space="preserve">F8</t>
  </si>
  <si>
    <t xml:space="preserve">S40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</si>
</sst>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  <numFmt numFmtId="172" formatCode="0000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2" width="10.12"/>
    <col collapsed="false" customWidth="true" hidden="false" outlineLevel="0" max="3" min="3" style="2" width="9.71"/>
    <col collapsed="false" customWidth="true" hidden="false" outlineLevel="0" max="4" min="4" style="2" width="11.99"/>
    <col collapsed="false" customWidth="true" hidden="false" outlineLevel="0" max="5" min="5" style="3" width="7.57"/>
    <col collapsed="false" customWidth="true" hidden="false" outlineLevel="0" max="6" min="6" style="3" width="11.71"/>
    <col collapsed="false" customWidth="true" hidden="false" outlineLevel="0" max="7" min="7" style="3" width="13.02"/>
    <col collapsed="false" customWidth="true" hidden="false" outlineLevel="0" max="8" min="8" style="1" width="7.29"/>
    <col collapsed="false" customWidth="true" hidden="false" outlineLevel="0" max="9" min="9" style="1" width="7.71"/>
    <col collapsed="false" customWidth="true" hidden="false" outlineLevel="0" max="10" min="10" style="4" width="8.86"/>
    <col collapsed="false" customWidth="true" hidden="false" outlineLevel="0" max="11" min="11" style="4" width="8.57"/>
    <col collapsed="false" customWidth="true" hidden="false" outlineLevel="0" max="12" min="12" style="4" width="8.29"/>
    <col collapsed="false" customWidth="true" hidden="false" outlineLevel="0" max="13" min="13" style="5" width="9.71"/>
    <col collapsed="false" customWidth="true" hidden="false" outlineLevel="0" max="14" min="14" style="1" width="18.71"/>
    <col collapsed="false" customWidth="false" hidden="false" outlineLevel="0" max="17" min="15" style="1" width="10.99"/>
    <col collapsed="false" customWidth="true" hidden="false" outlineLevel="0" max="18" min="18" style="1" width="10.71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7"/>
    <col collapsed="false" customWidth="true" hidden="false" outlineLevel="0" max="27" min="27" style="1" width="16.57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71"/>
    <col collapsed="false" customWidth="true" hidden="false" outlineLevel="0" max="31" min="31" style="1" width="11.14"/>
    <col collapsed="false" customWidth="true" hidden="false" outlineLevel="0" max="32" min="32" style="1" width="14.28"/>
    <col collapsed="false" customWidth="true" hidden="false" outlineLevel="0" max="33" min="33" style="1" width="11.99"/>
    <col collapsed="false" customWidth="true" hidden="false" outlineLevel="0" max="34" min="34" style="1" width="26.59"/>
    <col collapsed="false" customWidth="true" hidden="false" outlineLevel="0" max="35" min="35" style="1" width="14.43"/>
    <col collapsed="false" customWidth="true" hidden="false" outlineLevel="0" max="36" min="36" style="1" width="11.14"/>
    <col collapsed="false" customWidth="true" hidden="false" outlineLevel="0" max="37" min="37" style="1" width="12.29"/>
    <col collapsed="false" customWidth="true" hidden="false" outlineLevel="0" max="38" min="38" style="1" width="11.14"/>
    <col collapsed="false" customWidth="true" hidden="false" outlineLevel="0" max="39" min="39" style="1" width="6.28"/>
    <col collapsed="false" customWidth="true" hidden="false" outlineLevel="0" max="40" min="40" style="1" width="19.42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43"/>
    <col collapsed="false" customWidth="true" hidden="false" outlineLevel="0" max="44" min="44" style="1" width="13.57"/>
    <col collapsed="false" customWidth="true" hidden="false" outlineLevel="0" max="45" min="45" style="1" width="13.7"/>
    <col collapsed="false" customWidth="true" hidden="false" outlineLevel="0" max="46" min="46" style="1" width="19.71"/>
    <col collapsed="false" customWidth="true" hidden="false" outlineLevel="0" max="47" min="47" style="1" width="13.14"/>
    <col collapsed="false" customWidth="true" hidden="false" outlineLevel="0" max="48" min="48" style="1" width="17.4"/>
    <col collapsed="false" customWidth="true" hidden="false" outlineLevel="0" max="49" min="49" style="1" width="13.29"/>
    <col collapsed="false" customWidth="true" hidden="false" outlineLevel="0" max="50" min="50" style="1" width="12.42"/>
    <col collapsed="false" customWidth="false" hidden="false" outlineLevel="0" max="1023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4"/>
      <c r="U5" s="24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5" t="s">
        <v>34</v>
      </c>
      <c r="AF5" s="12" t="s">
        <v>35</v>
      </c>
      <c r="AG5" s="25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6" t="s">
        <v>42</v>
      </c>
      <c r="AN5" s="12" t="s">
        <v>43</v>
      </c>
      <c r="AO5" s="12" t="s">
        <v>44</v>
      </c>
      <c r="AP5" s="27" t="s">
        <v>45</v>
      </c>
      <c r="AQ5" s="25" t="s">
        <v>46</v>
      </c>
      <c r="AR5" s="25" t="s">
        <v>47</v>
      </c>
      <c r="AS5" s="28" t="s">
        <v>48</v>
      </c>
      <c r="AT5" s="12" t="s">
        <v>49</v>
      </c>
      <c r="AU5" s="12" t="s">
        <v>50</v>
      </c>
      <c r="AV5" s="29" t="s">
        <v>51</v>
      </c>
      <c r="AW5" s="12" t="s">
        <v>52</v>
      </c>
      <c r="AX5" s="30" t="s">
        <v>53</v>
      </c>
      <c r="AMJ5" s="0"/>
    </row>
    <row r="6" customFormat="false" ht="45.75" hidden="false" customHeight="true" outlineLevel="0" collapsed="false">
      <c r="A6" s="31" t="s">
        <v>54</v>
      </c>
      <c r="B6" s="31" t="s">
        <v>55</v>
      </c>
      <c r="C6" s="31" t="s">
        <v>56</v>
      </c>
      <c r="D6" s="32" t="s">
        <v>57</v>
      </c>
      <c r="E6" s="33" t="s">
        <v>58</v>
      </c>
      <c r="F6" s="31" t="s">
        <v>59</v>
      </c>
      <c r="G6" s="31" t="s">
        <v>60</v>
      </c>
      <c r="H6" s="31" t="s">
        <v>61</v>
      </c>
      <c r="I6" s="31" t="s">
        <v>62</v>
      </c>
      <c r="J6" s="31" t="s">
        <v>63</v>
      </c>
      <c r="K6" s="31" t="s">
        <v>64</v>
      </c>
      <c r="L6" s="31" t="s">
        <v>65</v>
      </c>
      <c r="M6" s="31" t="s">
        <v>66</v>
      </c>
      <c r="N6" s="31" t="s">
        <v>67</v>
      </c>
      <c r="O6" s="31" t="s">
        <v>68</v>
      </c>
      <c r="P6" s="34" t="s">
        <v>69</v>
      </c>
      <c r="Q6" s="34" t="s">
        <v>70</v>
      </c>
      <c r="R6" s="34" t="s">
        <v>71</v>
      </c>
      <c r="S6" s="34" t="s">
        <v>72</v>
      </c>
      <c r="T6" s="34" t="s">
        <v>73</v>
      </c>
      <c r="U6" s="34" t="s">
        <v>74</v>
      </c>
      <c r="V6" s="34" t="s">
        <v>75</v>
      </c>
      <c r="W6" s="34" t="s">
        <v>76</v>
      </c>
      <c r="X6" s="34" t="s">
        <v>77</v>
      </c>
      <c r="Y6" s="34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4.15" hidden="false" customHeight="false" outlineLevel="0" collapsed="false">
      <c r="A7" s="35" t="n">
        <v>1</v>
      </c>
      <c r="B7" s="36"/>
      <c r="C7" s="36"/>
      <c r="D7" s="37" t="n">
        <v>39238</v>
      </c>
      <c r="E7" s="38" t="s">
        <v>80</v>
      </c>
      <c r="F7" s="39" t="s">
        <v>81</v>
      </c>
      <c r="G7" s="40" t="s">
        <v>82</v>
      </c>
      <c r="H7" s="41" t="n">
        <v>34.47</v>
      </c>
      <c r="I7" s="42" t="n">
        <v>28.85</v>
      </c>
      <c r="J7" s="39" t="n">
        <v>170</v>
      </c>
      <c r="K7" s="40" t="s">
        <v>83</v>
      </c>
      <c r="L7" s="43"/>
      <c r="M7" s="36"/>
      <c r="N7" s="43"/>
      <c r="O7" s="43" t="n">
        <v>34.4893</v>
      </c>
      <c r="P7" s="44" t="n">
        <v>0.046</v>
      </c>
      <c r="Q7" s="44" t="n">
        <v>0.044950712813746</v>
      </c>
      <c r="R7" s="44" t="n">
        <v>0</v>
      </c>
      <c r="S7" s="44" t="n">
        <v>0</v>
      </c>
      <c r="T7" s="44" t="n">
        <f aca="false">SUM(P7,R7)</f>
        <v>0.046</v>
      </c>
      <c r="U7" s="44" t="n">
        <f aca="false">SUM(Q7,S7)</f>
        <v>0.044950712813746</v>
      </c>
      <c r="V7" s="44" t="n">
        <v>0.042</v>
      </c>
      <c r="W7" s="44" t="n">
        <v>0.041041955177768</v>
      </c>
      <c r="X7" s="44" t="n">
        <v>0.67</v>
      </c>
      <c r="Y7" s="44" t="n">
        <v>0.6547169040263</v>
      </c>
      <c r="Z7" s="45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</row>
    <row r="8" customFormat="false" ht="14.15" hidden="false" customHeight="false" outlineLevel="0" collapsed="false">
      <c r="A8" s="35" t="n">
        <f aca="false">A7+1</f>
        <v>2</v>
      </c>
      <c r="B8" s="36"/>
      <c r="C8" s="36"/>
      <c r="D8" s="37" t="n">
        <v>39239</v>
      </c>
      <c r="E8" s="38" t="s">
        <v>84</v>
      </c>
      <c r="F8" s="39" t="s">
        <v>85</v>
      </c>
      <c r="G8" s="40" t="s">
        <v>86</v>
      </c>
      <c r="H8" s="41" t="n">
        <v>34.66</v>
      </c>
      <c r="I8" s="42" t="n">
        <v>28.79</v>
      </c>
      <c r="J8" s="39" t="n">
        <v>171</v>
      </c>
      <c r="K8" s="40" t="s">
        <v>87</v>
      </c>
      <c r="L8" s="43"/>
      <c r="M8" s="36"/>
      <c r="N8" s="43"/>
      <c r="O8" s="43" t="n">
        <v>34.6627</v>
      </c>
      <c r="P8" s="44" t="n">
        <v>0.061</v>
      </c>
      <c r="Q8" s="44" t="n">
        <v>0.0596085539486631</v>
      </c>
      <c r="R8" s="44" t="n">
        <v>0.029</v>
      </c>
      <c r="S8" s="44" t="n">
        <v>0.0283384928608398</v>
      </c>
      <c r="T8" s="44" t="n">
        <f aca="false">SUM(P8,R8)</f>
        <v>0.09</v>
      </c>
      <c r="U8" s="44" t="n">
        <f aca="false">SUM(Q8,S8)</f>
        <v>0.087947046809503</v>
      </c>
      <c r="V8" s="44" t="n">
        <v>0.052</v>
      </c>
      <c r="W8" s="44" t="n">
        <v>0.0508138492677128</v>
      </c>
      <c r="X8" s="44" t="n">
        <v>0.76</v>
      </c>
      <c r="Y8" s="44" t="n">
        <v>0.742663950835803</v>
      </c>
      <c r="Z8" s="45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</row>
    <row r="9" customFormat="false" ht="14.15" hidden="false" customHeight="false" outlineLevel="0" collapsed="false">
      <c r="A9" s="35" t="n">
        <f aca="false">A8+1</f>
        <v>3</v>
      </c>
      <c r="B9" s="36"/>
      <c r="C9" s="36"/>
      <c r="D9" s="37" t="n">
        <v>39239</v>
      </c>
      <c r="E9" s="38" t="s">
        <v>88</v>
      </c>
      <c r="F9" s="39" t="s">
        <v>89</v>
      </c>
      <c r="G9" s="40" t="s">
        <v>90</v>
      </c>
      <c r="H9" s="41" t="n">
        <v>34.62</v>
      </c>
      <c r="I9" s="42" t="n">
        <v>28.91</v>
      </c>
      <c r="J9" s="39" t="n">
        <v>172</v>
      </c>
      <c r="K9" s="40" t="s">
        <v>91</v>
      </c>
      <c r="L9" s="43"/>
      <c r="M9" s="36"/>
      <c r="N9" s="43"/>
      <c r="O9" s="43" t="n">
        <v>34.7119</v>
      </c>
      <c r="P9" s="44" t="n">
        <v>0.061</v>
      </c>
      <c r="Q9" s="44" t="n">
        <v>0.0596085539486631</v>
      </c>
      <c r="R9" s="44" t="n">
        <v>0.109</v>
      </c>
      <c r="S9" s="44" t="n">
        <v>0.106513645580398</v>
      </c>
      <c r="T9" s="44" t="n">
        <f aca="false">SUM(P9,R9)</f>
        <v>0.17</v>
      </c>
      <c r="U9" s="44" t="n">
        <f aca="false">SUM(Q9,S9)</f>
        <v>0.166122199529061</v>
      </c>
      <c r="V9" s="44" t="n">
        <v>0.041</v>
      </c>
      <c r="W9" s="44" t="n">
        <v>0.0400647657687736</v>
      </c>
      <c r="X9" s="44" t="n">
        <v>0.71</v>
      </c>
      <c r="Y9" s="44" t="n">
        <v>0.693804480386079</v>
      </c>
      <c r="Z9" s="45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</row>
    <row r="10" customFormat="false" ht="14.15" hidden="false" customHeight="false" outlineLevel="0" collapsed="false">
      <c r="A10" s="35" t="n">
        <f aca="false">A9+1</f>
        <v>4</v>
      </c>
      <c r="B10" s="36"/>
      <c r="C10" s="36"/>
      <c r="D10" s="37" t="n">
        <v>39239</v>
      </c>
      <c r="E10" s="38" t="s">
        <v>92</v>
      </c>
      <c r="F10" s="39" t="s">
        <v>93</v>
      </c>
      <c r="G10" s="40" t="s">
        <v>94</v>
      </c>
      <c r="H10" s="41" t="n">
        <v>33.52</v>
      </c>
      <c r="I10" s="42" t="n">
        <v>28.34</v>
      </c>
      <c r="J10" s="39" t="n">
        <v>173</v>
      </c>
      <c r="K10" s="40" t="s">
        <v>95</v>
      </c>
      <c r="L10" s="43"/>
      <c r="M10" s="36"/>
      <c r="N10" s="43"/>
      <c r="O10" s="43" t="n">
        <v>33.6878</v>
      </c>
      <c r="P10" s="44" t="n">
        <v>0.057</v>
      </c>
      <c r="Q10" s="44" t="n">
        <v>0.0556997963126852</v>
      </c>
      <c r="R10" s="44" t="n">
        <v>0.003</v>
      </c>
      <c r="S10" s="44" t="n">
        <v>0.00293156822698343</v>
      </c>
      <c r="T10" s="44" t="n">
        <f aca="false">SUM(P10,R10)</f>
        <v>0.06</v>
      </c>
      <c r="U10" s="44" t="n">
        <f aca="false">SUM(Q10,S10)</f>
        <v>0.0586313645396686</v>
      </c>
      <c r="V10" s="44" t="n">
        <v>0.025</v>
      </c>
      <c r="W10" s="44" t="n">
        <v>0.0244297352248619</v>
      </c>
      <c r="X10" s="44" t="n">
        <v>1.91</v>
      </c>
      <c r="Y10" s="44" t="n">
        <v>1.86643177117945</v>
      </c>
      <c r="Z10" s="45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</row>
    <row r="11" customFormat="false" ht="14.15" hidden="false" customHeight="false" outlineLevel="0" collapsed="false">
      <c r="A11" s="35" t="n">
        <f aca="false">A10+1</f>
        <v>5</v>
      </c>
      <c r="B11" s="36"/>
      <c r="C11" s="36"/>
      <c r="D11" s="37" t="n">
        <v>39239</v>
      </c>
      <c r="E11" s="38" t="s">
        <v>96</v>
      </c>
      <c r="F11" s="39" t="s">
        <v>97</v>
      </c>
      <c r="G11" s="40" t="s">
        <v>94</v>
      </c>
      <c r="H11" s="41" t="n">
        <v>34.2</v>
      </c>
      <c r="I11" s="42" t="n">
        <v>28.54</v>
      </c>
      <c r="J11" s="39" t="n">
        <v>174</v>
      </c>
      <c r="K11" s="40" t="s">
        <v>98</v>
      </c>
      <c r="L11" s="43"/>
      <c r="M11" s="36"/>
      <c r="N11" s="43"/>
      <c r="O11" s="43" t="n">
        <v>34.5813</v>
      </c>
      <c r="P11" s="44" t="n">
        <v>0.055</v>
      </c>
      <c r="Q11" s="44" t="n">
        <v>0.0537454174946963</v>
      </c>
      <c r="R11" s="44" t="n">
        <v>0.035</v>
      </c>
      <c r="S11" s="44" t="n">
        <v>0.0342016293148067</v>
      </c>
      <c r="T11" s="44" t="n">
        <f aca="false">SUM(P11,R11)</f>
        <v>0.09</v>
      </c>
      <c r="U11" s="44" t="n">
        <f aca="false">SUM(Q11,S11)</f>
        <v>0.087947046809503</v>
      </c>
      <c r="V11" s="44" t="n">
        <v>0.047</v>
      </c>
      <c r="W11" s="44" t="n">
        <v>0.0459279022227404</v>
      </c>
      <c r="X11" s="44" t="n">
        <v>0.34</v>
      </c>
      <c r="Y11" s="44" t="n">
        <v>0.332244399058122</v>
      </c>
      <c r="Z11" s="45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</row>
    <row r="12" customFormat="false" ht="14.15" hidden="false" customHeight="false" outlineLevel="0" collapsed="false">
      <c r="A12" s="35" t="n">
        <f aca="false">A11+1</f>
        <v>6</v>
      </c>
      <c r="B12" s="36"/>
      <c r="C12" s="36"/>
      <c r="D12" s="37" t="n">
        <v>39240</v>
      </c>
      <c r="E12" s="38" t="s">
        <v>99</v>
      </c>
      <c r="F12" s="39" t="s">
        <v>100</v>
      </c>
      <c r="G12" s="40" t="s">
        <v>94</v>
      </c>
      <c r="H12" s="41" t="n">
        <v>33.49</v>
      </c>
      <c r="I12" s="42" t="n">
        <v>28.43</v>
      </c>
      <c r="J12" s="39" t="n">
        <v>175</v>
      </c>
      <c r="K12" s="40" t="s">
        <v>101</v>
      </c>
      <c r="L12" s="46" t="n">
        <v>102</v>
      </c>
      <c r="M12" s="36"/>
      <c r="N12" s="47" t="s">
        <v>102</v>
      </c>
      <c r="O12" s="43" t="n">
        <v>33.7048</v>
      </c>
      <c r="P12" s="44" t="n">
        <v>0.079</v>
      </c>
      <c r="Q12" s="44" t="n">
        <v>0.0771979633105637</v>
      </c>
      <c r="R12" s="44" t="n">
        <v>0</v>
      </c>
      <c r="S12" s="44" t="n">
        <v>0</v>
      </c>
      <c r="T12" s="44" t="n">
        <f aca="false">SUM(P12,R12)</f>
        <v>0.079</v>
      </c>
      <c r="U12" s="44" t="n">
        <f aca="false">SUM(Q12,S12)</f>
        <v>0.0771979633105637</v>
      </c>
      <c r="V12" s="44" t="n">
        <v>0.035</v>
      </c>
      <c r="W12" s="44" t="n">
        <v>0.0342016293148067</v>
      </c>
      <c r="X12" s="44" t="n">
        <v>0.44</v>
      </c>
      <c r="Y12" s="44" t="n">
        <v>0.42996333995757</v>
      </c>
      <c r="Z12" s="45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</row>
    <row r="13" customFormat="false" ht="14.15" hidden="false" customHeight="false" outlineLevel="0" collapsed="false">
      <c r="A13" s="35" t="n">
        <f aca="false">A12+1</f>
        <v>7</v>
      </c>
      <c r="B13" s="36"/>
      <c r="C13" s="36"/>
      <c r="D13" s="37" t="n">
        <v>39241</v>
      </c>
      <c r="E13" s="38" t="s">
        <v>103</v>
      </c>
      <c r="F13" s="39" t="s">
        <v>104</v>
      </c>
      <c r="G13" s="40" t="s">
        <v>94</v>
      </c>
      <c r="H13" s="41" t="n">
        <v>35.68</v>
      </c>
      <c r="I13" s="42" t="n">
        <v>25.78</v>
      </c>
      <c r="J13" s="39" t="s">
        <v>105</v>
      </c>
      <c r="K13" s="40" t="s">
        <v>106</v>
      </c>
      <c r="L13" s="43"/>
      <c r="M13" s="36"/>
      <c r="N13" s="47" t="s">
        <v>102</v>
      </c>
      <c r="O13" s="43" t="n">
        <v>35.6764</v>
      </c>
      <c r="P13" s="44" t="n">
        <v>0.072</v>
      </c>
      <c r="Q13" s="44" t="n">
        <v>0.0703576374476024</v>
      </c>
      <c r="R13" s="44" t="n">
        <v>0.00799999999999999</v>
      </c>
      <c r="S13" s="44" t="n">
        <v>0.00781751527195581</v>
      </c>
      <c r="T13" s="44" t="n">
        <f aca="false">SUM(P13,R13)</f>
        <v>0.08</v>
      </c>
      <c r="U13" s="44" t="n">
        <f aca="false">SUM(Q13,S13)</f>
        <v>0.0781751527195582</v>
      </c>
      <c r="V13" s="44" t="n">
        <v>0.143</v>
      </c>
      <c r="W13" s="44" t="n">
        <v>0.13973808548621</v>
      </c>
      <c r="X13" s="44" t="n">
        <v>1.5</v>
      </c>
      <c r="Y13" s="44" t="n">
        <v>1.46578411349172</v>
      </c>
      <c r="Z13" s="45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</row>
    <row r="14" customFormat="false" ht="14.15" hidden="false" customHeight="false" outlineLevel="0" collapsed="false">
      <c r="A14" s="35" t="n">
        <f aca="false">A13+1</f>
        <v>8</v>
      </c>
      <c r="B14" s="36"/>
      <c r="C14" s="36"/>
      <c r="D14" s="37" t="n">
        <v>39242</v>
      </c>
      <c r="E14" s="38" t="s">
        <v>107</v>
      </c>
      <c r="F14" s="39" t="s">
        <v>108</v>
      </c>
      <c r="G14" s="40" t="s">
        <v>109</v>
      </c>
      <c r="H14" s="41" t="n">
        <v>35.91</v>
      </c>
      <c r="I14" s="42" t="n">
        <v>25.46</v>
      </c>
      <c r="J14" s="39" t="s">
        <v>110</v>
      </c>
      <c r="K14" s="40" t="s">
        <v>111</v>
      </c>
      <c r="L14" s="43"/>
      <c r="M14" s="36"/>
      <c r="N14" s="47" t="s">
        <v>102</v>
      </c>
      <c r="O14" s="43" t="n">
        <v>35.9077</v>
      </c>
      <c r="P14" s="44" t="n">
        <v>0.088</v>
      </c>
      <c r="Q14" s="44" t="n">
        <v>0.085992667991514</v>
      </c>
      <c r="R14" s="44" t="n">
        <v>0</v>
      </c>
      <c r="S14" s="44" t="n">
        <v>0</v>
      </c>
      <c r="T14" s="44" t="n">
        <f aca="false">SUM(P14,R14)</f>
        <v>0.088</v>
      </c>
      <c r="U14" s="44" t="n">
        <f aca="false">SUM(Q14,S14)</f>
        <v>0.085992667991514</v>
      </c>
      <c r="V14" s="44" t="n">
        <v>0.205</v>
      </c>
      <c r="W14" s="44" t="n">
        <v>0.200323828843868</v>
      </c>
      <c r="X14" s="44" t="n">
        <v>1.53</v>
      </c>
      <c r="Y14" s="44" t="n">
        <v>1.49509979576155</v>
      </c>
      <c r="Z14" s="45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</row>
    <row r="15" customFormat="false" ht="14.15" hidden="false" customHeight="false" outlineLevel="0" collapsed="false">
      <c r="A15" s="35" t="n">
        <f aca="false">A14+1</f>
        <v>9</v>
      </c>
      <c r="B15" s="36"/>
      <c r="C15" s="36"/>
      <c r="D15" s="37" t="n">
        <v>39242</v>
      </c>
      <c r="E15" s="38" t="s">
        <v>112</v>
      </c>
      <c r="F15" s="39" t="s">
        <v>113</v>
      </c>
      <c r="G15" s="40" t="s">
        <v>114</v>
      </c>
      <c r="H15" s="41" t="n">
        <v>36.07</v>
      </c>
      <c r="I15" s="42" t="n">
        <v>24.8</v>
      </c>
      <c r="J15" s="39" t="s">
        <v>115</v>
      </c>
      <c r="K15" s="40" t="s">
        <v>116</v>
      </c>
      <c r="L15" s="43"/>
      <c r="M15" s="36"/>
      <c r="N15" s="47" t="s">
        <v>102</v>
      </c>
      <c r="O15" s="43" t="n">
        <v>36.1022</v>
      </c>
      <c r="P15" s="44" t="n">
        <v>0.037</v>
      </c>
      <c r="Q15" s="44" t="n">
        <v>0.0361560081327957</v>
      </c>
      <c r="R15" s="44" t="n">
        <v>0.033</v>
      </c>
      <c r="S15" s="44" t="n">
        <v>0.0322472504968178</v>
      </c>
      <c r="T15" s="44" t="n">
        <f aca="false">SUM(P15,R15)</f>
        <v>0.07</v>
      </c>
      <c r="U15" s="44" t="n">
        <f aca="false">SUM(Q15,S15)</f>
        <v>0.0684032586296134</v>
      </c>
      <c r="V15" s="44" t="n">
        <v>0.222</v>
      </c>
      <c r="W15" s="44" t="n">
        <v>0.216936048796774</v>
      </c>
      <c r="X15" s="44" t="n">
        <v>1.45</v>
      </c>
      <c r="Y15" s="44" t="n">
        <v>1.41692464304199</v>
      </c>
      <c r="Z15" s="45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</row>
    <row r="16" customFormat="false" ht="14.15" hidden="false" customHeight="false" outlineLevel="0" collapsed="false">
      <c r="A16" s="35" t="n">
        <f aca="false">A15+1</f>
        <v>10</v>
      </c>
      <c r="B16" s="36"/>
      <c r="C16" s="36"/>
      <c r="D16" s="37" t="n">
        <v>39242</v>
      </c>
      <c r="E16" s="38" t="s">
        <v>117</v>
      </c>
      <c r="F16" s="39" t="s">
        <v>118</v>
      </c>
      <c r="G16" s="40" t="s">
        <v>119</v>
      </c>
      <c r="H16" s="41" t="n">
        <v>35.97</v>
      </c>
      <c r="I16" s="42" t="n">
        <v>25.34</v>
      </c>
      <c r="J16" s="39" t="s">
        <v>120</v>
      </c>
      <c r="K16" s="40" t="s">
        <v>121</v>
      </c>
      <c r="L16" s="43"/>
      <c r="M16" s="36"/>
      <c r="N16" s="47" t="s">
        <v>102</v>
      </c>
      <c r="O16" s="43" t="n">
        <v>35.9889</v>
      </c>
      <c r="P16" s="44" t="n">
        <v>0.028</v>
      </c>
      <c r="Q16" s="44" t="n">
        <v>0.0273613034518454</v>
      </c>
      <c r="R16" s="44" t="n">
        <v>0.032</v>
      </c>
      <c r="S16" s="44" t="n">
        <v>0.0312700610878233</v>
      </c>
      <c r="T16" s="44" t="n">
        <f aca="false">SUM(P16,R16)</f>
        <v>0.06</v>
      </c>
      <c r="U16" s="44" t="n">
        <f aca="false">SUM(Q16,S16)</f>
        <v>0.0586313645396686</v>
      </c>
      <c r="V16" s="44" t="n">
        <v>0.224</v>
      </c>
      <c r="W16" s="44" t="n">
        <v>0.218890427614763</v>
      </c>
      <c r="X16" s="44" t="n">
        <v>1.52</v>
      </c>
      <c r="Y16" s="44" t="n">
        <v>1.48532790167161</v>
      </c>
      <c r="Z16" s="45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</row>
    <row r="17" customFormat="false" ht="14.15" hidden="false" customHeight="false" outlineLevel="0" collapsed="false">
      <c r="A17" s="35" t="n">
        <f aca="false">A16+1</f>
        <v>11</v>
      </c>
      <c r="B17" s="36"/>
      <c r="C17" s="36"/>
      <c r="D17" s="37" t="n">
        <v>39242</v>
      </c>
      <c r="E17" s="48" t="s">
        <v>122</v>
      </c>
      <c r="F17" s="41" t="s">
        <v>123</v>
      </c>
      <c r="G17" s="41" t="s">
        <v>114</v>
      </c>
      <c r="H17" s="41" t="n">
        <v>35.14</v>
      </c>
      <c r="I17" s="49" t="n">
        <v>25.78</v>
      </c>
      <c r="J17" s="50" t="s">
        <v>124</v>
      </c>
      <c r="K17" s="50" t="s">
        <v>125</v>
      </c>
      <c r="L17" s="46" t="n">
        <v>105</v>
      </c>
      <c r="M17" s="36"/>
      <c r="N17" s="47" t="s">
        <v>102</v>
      </c>
      <c r="O17" s="43" t="n">
        <v>35.1785</v>
      </c>
      <c r="P17" s="44" t="n">
        <v>0.037</v>
      </c>
      <c r="Q17" s="44" t="n">
        <v>0.0361560081327957</v>
      </c>
      <c r="R17" s="44" t="n">
        <v>0.033</v>
      </c>
      <c r="S17" s="44" t="n">
        <v>0.0322472504968178</v>
      </c>
      <c r="T17" s="44" t="n">
        <f aca="false">SUM(P17,R17)</f>
        <v>0.07</v>
      </c>
      <c r="U17" s="44" t="n">
        <f aca="false">SUM(Q17,S17)</f>
        <v>0.0684032586296134</v>
      </c>
      <c r="V17" s="44" t="n">
        <v>0.168</v>
      </c>
      <c r="W17" s="44" t="n">
        <v>0.164167820711072</v>
      </c>
      <c r="X17" s="44" t="n">
        <v>2.42</v>
      </c>
      <c r="Y17" s="44" t="n">
        <v>2.36479836976663</v>
      </c>
      <c r="Z17" s="45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</row>
    <row r="18" customFormat="false" ht="14.15" hidden="false" customHeight="false" outlineLevel="0" collapsed="false">
      <c r="A18" s="51" t="n">
        <v>12</v>
      </c>
      <c r="B18" s="36"/>
      <c r="C18" s="36"/>
      <c r="D18" s="37" t="n">
        <v>39242</v>
      </c>
      <c r="E18" s="48" t="s">
        <v>126</v>
      </c>
      <c r="F18" s="41" t="s">
        <v>127</v>
      </c>
      <c r="G18" s="41" t="s">
        <v>128</v>
      </c>
      <c r="H18" s="41" t="n">
        <v>35.06</v>
      </c>
      <c r="I18" s="49" t="n">
        <v>25.43</v>
      </c>
      <c r="J18" s="50" t="s">
        <v>129</v>
      </c>
      <c r="K18" s="50" t="s">
        <v>130</v>
      </c>
      <c r="L18" s="43"/>
      <c r="M18" s="36"/>
      <c r="N18" s="47" t="s">
        <v>102</v>
      </c>
      <c r="O18" s="43" t="n">
        <v>35.1476</v>
      </c>
      <c r="P18" s="44" t="n">
        <v>0.059</v>
      </c>
      <c r="Q18" s="44" t="n">
        <v>0.0576541751306742</v>
      </c>
      <c r="R18" s="44" t="n">
        <v>0.031</v>
      </c>
      <c r="S18" s="44" t="n">
        <v>0.0302928716788288</v>
      </c>
      <c r="T18" s="44" t="n">
        <f aca="false">SUM(P18,R18)</f>
        <v>0.09</v>
      </c>
      <c r="U18" s="44" t="n">
        <f aca="false">SUM(Q18,S18)</f>
        <v>0.087947046809503</v>
      </c>
      <c r="V18" s="44" t="n">
        <v>0.188</v>
      </c>
      <c r="W18" s="44" t="n">
        <v>0.183711608890962</v>
      </c>
      <c r="X18" s="44" t="n">
        <v>2.64</v>
      </c>
      <c r="Y18" s="44" t="n">
        <v>2.57978003974542</v>
      </c>
      <c r="Z18" s="45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</row>
    <row r="19" customFormat="false" ht="13.8" hidden="false" customHeight="false" outlineLevel="0" collapsed="false">
      <c r="A19" s="51" t="n">
        <v>13</v>
      </c>
      <c r="B19" s="36"/>
      <c r="C19" s="36"/>
      <c r="D19" s="37" t="n">
        <v>39243</v>
      </c>
      <c r="E19" s="52" t="s">
        <v>131</v>
      </c>
      <c r="F19" s="53" t="s">
        <v>132</v>
      </c>
      <c r="G19" s="53" t="s">
        <v>119</v>
      </c>
      <c r="H19" s="53" t="n">
        <v>34.43</v>
      </c>
      <c r="I19" s="54" t="n">
        <v>25.42</v>
      </c>
      <c r="J19" s="55" t="s">
        <v>133</v>
      </c>
      <c r="K19" s="55" t="s">
        <v>134</v>
      </c>
      <c r="L19" s="46" t="n">
        <v>111</v>
      </c>
      <c r="M19" s="36"/>
      <c r="N19" s="47" t="s">
        <v>102</v>
      </c>
      <c r="O19" s="43" t="n">
        <v>34.3254</v>
      </c>
      <c r="P19" s="44" t="n">
        <v>0.018</v>
      </c>
      <c r="Q19" s="44" t="n">
        <v>0.0175894093619006</v>
      </c>
      <c r="R19" s="44" t="n">
        <v>0.052</v>
      </c>
      <c r="S19" s="44" t="n">
        <v>0.0508138492677128</v>
      </c>
      <c r="T19" s="44" t="n">
        <f aca="false">SUM(P19,R19)</f>
        <v>0.07</v>
      </c>
      <c r="U19" s="44" t="n">
        <f aca="false">SUM(Q19,S19)</f>
        <v>0.0684032586296134</v>
      </c>
      <c r="V19" s="44" t="n">
        <v>0.172</v>
      </c>
      <c r="W19" s="44" t="n">
        <v>0.16807657834705</v>
      </c>
      <c r="X19" s="44" t="n">
        <v>4.58</v>
      </c>
      <c r="Y19" s="44" t="n">
        <v>4.47552749319471</v>
      </c>
      <c r="Z19" s="45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</row>
    <row r="20" customFormat="false" ht="13.8" hidden="false" customHeight="false" outlineLevel="0" collapsed="false">
      <c r="A20" s="51" t="n">
        <v>14</v>
      </c>
      <c r="B20" s="36"/>
      <c r="C20" s="36"/>
      <c r="D20" s="56" t="n">
        <v>39244</v>
      </c>
      <c r="E20" s="52" t="s">
        <v>135</v>
      </c>
      <c r="F20" s="53" t="s">
        <v>136</v>
      </c>
      <c r="G20" s="53" t="s">
        <v>137</v>
      </c>
      <c r="H20" s="53" t="n">
        <v>33.72</v>
      </c>
      <c r="I20" s="54" t="n">
        <v>26.28</v>
      </c>
      <c r="J20" s="57" t="n">
        <v>181</v>
      </c>
      <c r="K20" s="55" t="s">
        <v>138</v>
      </c>
      <c r="L20" s="46" t="n">
        <v>117</v>
      </c>
      <c r="M20" s="36"/>
      <c r="N20" s="47" t="s">
        <v>102</v>
      </c>
      <c r="O20" s="43" t="n">
        <v>33.7177</v>
      </c>
      <c r="P20" s="44" t="n">
        <v>0.068</v>
      </c>
      <c r="Q20" s="44" t="n">
        <v>0.0664488798116245</v>
      </c>
      <c r="R20" s="44" t="n">
        <v>0.012</v>
      </c>
      <c r="S20" s="44" t="n">
        <v>0.0117262729079337</v>
      </c>
      <c r="T20" s="44" t="n">
        <f aca="false">SUM(P20,R20)</f>
        <v>0.08</v>
      </c>
      <c r="U20" s="44" t="n">
        <f aca="false">SUM(Q20,S20)</f>
        <v>0.0781751527195582</v>
      </c>
      <c r="V20" s="44" t="n">
        <v>0.113</v>
      </c>
      <c r="W20" s="44" t="n">
        <v>0.110422403216376</v>
      </c>
      <c r="X20" s="44" t="n">
        <v>2.8</v>
      </c>
      <c r="Y20" s="44" t="n">
        <v>2.73613034518454</v>
      </c>
      <c r="Z20" s="45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</row>
    <row r="21" customFormat="false" ht="13.8" hidden="false" customHeight="false" outlineLevel="0" collapsed="false">
      <c r="A21" s="51" t="n">
        <v>15</v>
      </c>
      <c r="B21" s="36"/>
      <c r="C21" s="36"/>
      <c r="D21" s="56" t="n">
        <v>39244</v>
      </c>
      <c r="E21" s="52" t="s">
        <v>139</v>
      </c>
      <c r="F21" s="53" t="s">
        <v>140</v>
      </c>
      <c r="G21" s="53" t="s">
        <v>141</v>
      </c>
      <c r="H21" s="53" t="n">
        <v>33.13</v>
      </c>
      <c r="I21" s="54" t="n">
        <v>26.59</v>
      </c>
      <c r="J21" s="57" t="n">
        <v>182</v>
      </c>
      <c r="K21" s="55" t="s">
        <v>142</v>
      </c>
      <c r="L21" s="43"/>
      <c r="M21" s="36"/>
      <c r="N21" s="47" t="s">
        <v>102</v>
      </c>
      <c r="O21" s="43" t="n">
        <v>33.1424</v>
      </c>
      <c r="P21" s="44" t="n">
        <v>0.062</v>
      </c>
      <c r="Q21" s="44" t="n">
        <v>0.0605857433576576</v>
      </c>
      <c r="R21" s="44" t="n">
        <v>0</v>
      </c>
      <c r="S21" s="44" t="n">
        <v>0</v>
      </c>
      <c r="T21" s="44" t="n">
        <f aca="false">SUM(P21,R21)</f>
        <v>0.062</v>
      </c>
      <c r="U21" s="44" t="n">
        <f aca="false">SUM(Q21,S21)</f>
        <v>0.0605857433576576</v>
      </c>
      <c r="V21" s="44" t="n">
        <v>0.08</v>
      </c>
      <c r="W21" s="44" t="n">
        <v>0.0781751527195582</v>
      </c>
      <c r="X21" s="44" t="n">
        <v>3.29</v>
      </c>
      <c r="Y21" s="44" t="n">
        <v>3.21495315559183</v>
      </c>
      <c r="Z21" s="45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</row>
    <row r="22" customFormat="false" ht="13.8" hidden="false" customHeight="false" outlineLevel="0" collapsed="false">
      <c r="A22" s="51" t="n">
        <v>16</v>
      </c>
      <c r="B22" s="36"/>
      <c r="C22" s="36"/>
      <c r="D22" s="56" t="n">
        <v>39244</v>
      </c>
      <c r="E22" s="52" t="s">
        <v>143</v>
      </c>
      <c r="F22" s="53" t="s">
        <v>144</v>
      </c>
      <c r="G22" s="53" t="s">
        <v>145</v>
      </c>
      <c r="H22" s="53" t="n">
        <v>33.75</v>
      </c>
      <c r="I22" s="54" t="n">
        <v>26.56</v>
      </c>
      <c r="J22" s="57" t="n">
        <v>183</v>
      </c>
      <c r="K22" s="55" t="s">
        <v>146</v>
      </c>
      <c r="L22" s="43"/>
      <c r="M22" s="36"/>
      <c r="N22" s="47" t="s">
        <v>102</v>
      </c>
      <c r="O22" s="43" t="n">
        <v>33.722</v>
      </c>
      <c r="P22" s="44" t="n">
        <v>0.064</v>
      </c>
      <c r="Q22" s="44" t="n">
        <v>0.0625401221756466</v>
      </c>
      <c r="R22" s="44" t="n">
        <v>0.026</v>
      </c>
      <c r="S22" s="44" t="n">
        <v>0.0254069246338564</v>
      </c>
      <c r="T22" s="44" t="n">
        <f aca="false">SUM(P22,R22)</f>
        <v>0.09</v>
      </c>
      <c r="U22" s="44" t="n">
        <f aca="false">SUM(Q22,S22)</f>
        <v>0.087947046809503</v>
      </c>
      <c r="V22" s="44" t="n">
        <v>0.079</v>
      </c>
      <c r="W22" s="44" t="n">
        <v>0.0771979633105637</v>
      </c>
      <c r="X22" s="44" t="n">
        <v>3.4</v>
      </c>
      <c r="Y22" s="44" t="n">
        <v>3.32244399058122</v>
      </c>
      <c r="Z22" s="45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</row>
    <row r="23" customFormat="false" ht="13.8" hidden="false" customHeight="false" outlineLevel="0" collapsed="false">
      <c r="A23" s="51" t="n">
        <v>17</v>
      </c>
      <c r="B23" s="36"/>
      <c r="C23" s="36"/>
      <c r="D23" s="56" t="n">
        <v>39244</v>
      </c>
      <c r="E23" s="52" t="s">
        <v>147</v>
      </c>
      <c r="F23" s="53" t="s">
        <v>148</v>
      </c>
      <c r="G23" s="53" t="s">
        <v>149</v>
      </c>
      <c r="H23" s="53" t="n">
        <v>34.36</v>
      </c>
      <c r="I23" s="54" t="n">
        <v>26.39</v>
      </c>
      <c r="J23" s="57" t="n">
        <v>184</v>
      </c>
      <c r="K23" s="55" t="s">
        <v>150</v>
      </c>
      <c r="L23" s="43"/>
      <c r="M23" s="36"/>
      <c r="N23" s="47" t="s">
        <v>102</v>
      </c>
      <c r="O23" s="43" t="n">
        <v>34.4395</v>
      </c>
      <c r="P23" s="44" t="n">
        <v>0.057</v>
      </c>
      <c r="Q23" s="44" t="n">
        <v>0.0556997963126852</v>
      </c>
      <c r="R23" s="44" t="n">
        <v>0</v>
      </c>
      <c r="S23" s="44" t="n">
        <v>0</v>
      </c>
      <c r="T23" s="44" t="n">
        <f aca="false">SUM(P23,R23)</f>
        <v>0.057</v>
      </c>
      <c r="U23" s="44" t="n">
        <f aca="false">SUM(Q23,S23)</f>
        <v>0.0556997963126852</v>
      </c>
      <c r="V23" s="44" t="n">
        <v>0.082</v>
      </c>
      <c r="W23" s="44" t="n">
        <v>0.0801295315375471</v>
      </c>
      <c r="X23" s="44" t="n">
        <v>1.97</v>
      </c>
      <c r="Y23" s="44" t="n">
        <v>1.92506313571912</v>
      </c>
      <c r="Z23" s="45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</row>
    <row r="24" customFormat="false" ht="13.8" hidden="false" customHeight="false" outlineLevel="0" collapsed="false">
      <c r="A24" s="51" t="n">
        <v>18</v>
      </c>
      <c r="B24" s="36"/>
      <c r="C24" s="36"/>
      <c r="D24" s="56" t="n">
        <v>39253</v>
      </c>
      <c r="E24" s="52" t="s">
        <v>151</v>
      </c>
      <c r="F24" s="53" t="s">
        <v>152</v>
      </c>
      <c r="G24" s="53" t="s">
        <v>153</v>
      </c>
      <c r="H24" s="53" t="n">
        <v>34.09</v>
      </c>
      <c r="I24" s="54" t="n">
        <v>27.94</v>
      </c>
      <c r="J24" s="57" t="n">
        <v>169</v>
      </c>
      <c r="K24" s="55" t="s">
        <v>154</v>
      </c>
      <c r="L24" s="43"/>
      <c r="M24" s="36"/>
      <c r="N24" s="47" t="s">
        <v>102</v>
      </c>
      <c r="O24" s="43" t="n">
        <v>34.0764</v>
      </c>
      <c r="P24" s="44" t="n">
        <v>0.014</v>
      </c>
      <c r="Q24" s="44" t="n">
        <v>0.0136806517259227</v>
      </c>
      <c r="R24" s="44" t="n">
        <v>0.006</v>
      </c>
      <c r="S24" s="44" t="n">
        <v>0.00586313645396687</v>
      </c>
      <c r="T24" s="44" t="n">
        <f aca="false">SUM(P24,R24)</f>
        <v>0.02</v>
      </c>
      <c r="U24" s="44" t="n">
        <f aca="false">SUM(Q24,S24)</f>
        <v>0.0195437881798895</v>
      </c>
      <c r="V24" s="44" t="n">
        <v>0.057</v>
      </c>
      <c r="W24" s="44" t="n">
        <v>0.0556997963126852</v>
      </c>
      <c r="X24" s="44" t="n">
        <v>0.7</v>
      </c>
      <c r="Y24" s="44" t="n">
        <v>0.684032586296134</v>
      </c>
      <c r="Z24" s="45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</row>
    <row r="25" customFormat="false" ht="13.8" hidden="false" customHeight="false" outlineLevel="0" collapsed="false">
      <c r="A25" s="51" t="n">
        <v>19</v>
      </c>
      <c r="B25" s="36"/>
      <c r="C25" s="36"/>
      <c r="D25" s="56" t="n">
        <v>39253</v>
      </c>
      <c r="E25" s="52" t="s">
        <v>155</v>
      </c>
      <c r="F25" s="53" t="s">
        <v>156</v>
      </c>
      <c r="G25" s="53" t="s">
        <v>157</v>
      </c>
      <c r="H25" s="53" t="n">
        <v>34.87</v>
      </c>
      <c r="I25" s="54" t="n">
        <v>27.08</v>
      </c>
      <c r="J25" s="57" t="n">
        <v>170</v>
      </c>
      <c r="K25" s="55" t="s">
        <v>158</v>
      </c>
      <c r="L25" s="46" t="n">
        <v>136</v>
      </c>
      <c r="M25" s="36"/>
      <c r="N25" s="47" t="s">
        <v>102</v>
      </c>
      <c r="O25" s="43" t="n">
        <v>34.899</v>
      </c>
      <c r="P25" s="44" t="n">
        <v>0.01</v>
      </c>
      <c r="Q25" s="44" t="n">
        <v>0.00977189408994478</v>
      </c>
      <c r="R25" s="44" t="n">
        <v>0.08</v>
      </c>
      <c r="S25" s="44" t="n">
        <v>0.0781751527195582</v>
      </c>
      <c r="T25" s="44" t="n">
        <f aca="false">SUM(P25,R25)</f>
        <v>0.09</v>
      </c>
      <c r="U25" s="44" t="n">
        <f aca="false">SUM(Q25,S25)</f>
        <v>0.087947046809503</v>
      </c>
      <c r="V25" s="44" t="n">
        <v>0.101</v>
      </c>
      <c r="W25" s="44" t="n">
        <v>0.0986961303084422</v>
      </c>
      <c r="X25" s="44" t="n">
        <v>0.8</v>
      </c>
      <c r="Y25" s="44" t="n">
        <v>0.781751527195582</v>
      </c>
      <c r="Z25" s="45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</row>
    <row r="26" customFormat="false" ht="13.8" hidden="false" customHeight="false" outlineLevel="0" collapsed="false">
      <c r="A26" s="51" t="n">
        <v>20</v>
      </c>
      <c r="B26" s="36"/>
      <c r="C26" s="36"/>
      <c r="D26" s="56" t="n">
        <v>39254</v>
      </c>
      <c r="E26" s="52" t="s">
        <v>159</v>
      </c>
      <c r="F26" s="53" t="s">
        <v>160</v>
      </c>
      <c r="G26" s="53" t="s">
        <v>161</v>
      </c>
      <c r="H26" s="53" t="n">
        <v>34.63</v>
      </c>
      <c r="I26" s="54" t="n">
        <v>27.82</v>
      </c>
      <c r="J26" s="57" t="n">
        <v>171</v>
      </c>
      <c r="K26" s="55" t="s">
        <v>162</v>
      </c>
      <c r="L26" s="43"/>
      <c r="M26" s="36"/>
      <c r="N26" s="47" t="s">
        <v>102</v>
      </c>
      <c r="O26" s="43" t="n">
        <v>34.7618</v>
      </c>
      <c r="P26" s="44" t="n">
        <v>0.027</v>
      </c>
      <c r="Q26" s="44" t="n">
        <v>0.0263841140428509</v>
      </c>
      <c r="R26" s="44" t="n">
        <v>0.073</v>
      </c>
      <c r="S26" s="44" t="n">
        <v>0.0713348268565969</v>
      </c>
      <c r="T26" s="44" t="n">
        <f aca="false">SUM(P26,R26)</f>
        <v>0.1</v>
      </c>
      <c r="U26" s="44" t="n">
        <f aca="false">SUM(Q26,S26)</f>
        <v>0.0977189408994478</v>
      </c>
      <c r="V26" s="44" t="n">
        <v>0.029</v>
      </c>
      <c r="W26" s="44" t="n">
        <v>0.0283384928608398</v>
      </c>
      <c r="X26" s="44" t="n">
        <v>0.32</v>
      </c>
      <c r="Y26" s="44" t="n">
        <v>0.312700610878233</v>
      </c>
      <c r="Z26" s="45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</row>
    <row r="27" customFormat="false" ht="13.8" hidden="false" customHeight="false" outlineLevel="0" collapsed="false">
      <c r="A27" s="58" t="n">
        <v>21</v>
      </c>
      <c r="B27" s="36"/>
      <c r="C27" s="36"/>
      <c r="D27" s="56" t="n">
        <v>39254</v>
      </c>
      <c r="E27" s="52" t="s">
        <v>163</v>
      </c>
      <c r="F27" s="53" t="s">
        <v>164</v>
      </c>
      <c r="G27" s="53" t="s">
        <v>165</v>
      </c>
      <c r="H27" s="53" t="n">
        <v>34.68</v>
      </c>
      <c r="I27" s="54" t="n">
        <v>28.17</v>
      </c>
      <c r="J27" s="57" t="n">
        <v>172</v>
      </c>
      <c r="K27" s="55" t="s">
        <v>166</v>
      </c>
      <c r="L27" s="46" t="n">
        <v>137</v>
      </c>
      <c r="M27" s="36"/>
      <c r="N27" s="47" t="s">
        <v>102</v>
      </c>
      <c r="O27" s="43" t="n">
        <v>34.7134</v>
      </c>
      <c r="P27" s="44" t="n">
        <v>0.01</v>
      </c>
      <c r="Q27" s="44" t="n">
        <v>0.00977189408994478</v>
      </c>
      <c r="R27" s="44" t="n">
        <v>0.06</v>
      </c>
      <c r="S27" s="44" t="n">
        <v>0.0586313645396687</v>
      </c>
      <c r="T27" s="44" t="n">
        <f aca="false">SUM(P27,R27)</f>
        <v>0.07</v>
      </c>
      <c r="U27" s="44" t="n">
        <f aca="false">SUM(Q27,S27)</f>
        <v>0.0684032586296134</v>
      </c>
      <c r="V27" s="44" t="n">
        <v>0.043</v>
      </c>
      <c r="W27" s="44" t="n">
        <v>0.0420191445867625</v>
      </c>
      <c r="X27" s="44" t="n">
        <v>0.17</v>
      </c>
      <c r="Y27" s="44" t="n">
        <v>0.166122199529061</v>
      </c>
      <c r="Z27" s="45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</row>
    <row r="28" customFormat="false" ht="13.8" hidden="false" customHeight="false" outlineLevel="0" collapsed="false">
      <c r="A28" s="51" t="n">
        <v>22</v>
      </c>
      <c r="B28" s="36"/>
      <c r="C28" s="36"/>
      <c r="D28" s="56" t="n">
        <v>39254</v>
      </c>
      <c r="E28" s="52" t="s">
        <v>92</v>
      </c>
      <c r="F28" s="53" t="s">
        <v>167</v>
      </c>
      <c r="G28" s="53" t="s">
        <v>168</v>
      </c>
      <c r="H28" s="53" t="n">
        <v>34.71</v>
      </c>
      <c r="I28" s="54" t="n">
        <v>28.22</v>
      </c>
      <c r="J28" s="57" t="n">
        <v>173</v>
      </c>
      <c r="K28" s="55" t="s">
        <v>169</v>
      </c>
      <c r="L28" s="43"/>
      <c r="M28" s="36"/>
      <c r="N28" s="47" t="s">
        <v>102</v>
      </c>
      <c r="O28" s="43" t="n">
        <v>34.7794</v>
      </c>
      <c r="P28" s="44" t="n">
        <v>0.014</v>
      </c>
      <c r="Q28" s="44" t="n">
        <v>0.0136806517259227</v>
      </c>
      <c r="R28" s="44" t="n">
        <v>0.076</v>
      </c>
      <c r="S28" s="44" t="n">
        <v>0.0742663950835803</v>
      </c>
      <c r="T28" s="44" t="n">
        <f aca="false">SUM(P28,R28)</f>
        <v>0.09</v>
      </c>
      <c r="U28" s="44" t="n">
        <f aca="false">SUM(Q28,S28)</f>
        <v>0.087947046809503</v>
      </c>
      <c r="V28" s="44" t="n">
        <v>0.032</v>
      </c>
      <c r="W28" s="44" t="n">
        <v>0.0312700610878233</v>
      </c>
      <c r="X28" s="44" t="n">
        <v>0.24</v>
      </c>
      <c r="Y28" s="44" t="n">
        <v>0.234525458158675</v>
      </c>
      <c r="Z28" s="45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</row>
    <row r="29" customFormat="false" ht="13.8" hidden="false" customHeight="false" outlineLevel="0" collapsed="false">
      <c r="A29" s="51" t="n">
        <f aca="false">A28+1</f>
        <v>23</v>
      </c>
      <c r="B29" s="36"/>
      <c r="C29" s="36"/>
      <c r="D29" s="56" t="n">
        <v>39255</v>
      </c>
      <c r="E29" s="52" t="s">
        <v>170</v>
      </c>
      <c r="F29" s="53" t="s">
        <v>171</v>
      </c>
      <c r="G29" s="53" t="s">
        <v>172</v>
      </c>
      <c r="H29" s="53" t="n">
        <v>34.85</v>
      </c>
      <c r="I29" s="54" t="n">
        <v>27.89</v>
      </c>
      <c r="J29" s="57" t="n">
        <v>174</v>
      </c>
      <c r="K29" s="55" t="s">
        <v>173</v>
      </c>
      <c r="L29" s="46" t="n">
        <v>138</v>
      </c>
      <c r="M29" s="36"/>
      <c r="N29" s="47" t="s">
        <v>102</v>
      </c>
      <c r="O29" s="43" t="n">
        <v>34.8832</v>
      </c>
      <c r="P29" s="44" t="n">
        <v>0.015</v>
      </c>
      <c r="Q29" s="44" t="n">
        <v>0.0146578411349172</v>
      </c>
      <c r="R29" s="44" t="n">
        <v>0.085</v>
      </c>
      <c r="S29" s="44" t="n">
        <v>0.0830610997645306</v>
      </c>
      <c r="T29" s="44" t="n">
        <f aca="false">SUM(P29,R29)</f>
        <v>0.1</v>
      </c>
      <c r="U29" s="44" t="n">
        <f aca="false">SUM(Q29,S29)</f>
        <v>0.0977189408994478</v>
      </c>
      <c r="V29" s="44" t="n">
        <v>0.067</v>
      </c>
      <c r="W29" s="44" t="n">
        <v>0.06547169040263</v>
      </c>
      <c r="X29" s="44" t="n">
        <v>0.39</v>
      </c>
      <c r="Y29" s="44" t="n">
        <v>0.381103869507846</v>
      </c>
      <c r="Z29" s="45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</row>
    <row r="30" customFormat="false" ht="13.8" hidden="false" customHeight="false" outlineLevel="0" collapsed="false">
      <c r="A30" s="51" t="n">
        <f aca="false">A29+1</f>
        <v>24</v>
      </c>
      <c r="B30" s="36"/>
      <c r="C30" s="36"/>
      <c r="D30" s="56" t="n">
        <v>39256</v>
      </c>
      <c r="E30" s="52" t="s">
        <v>174</v>
      </c>
      <c r="F30" s="53" t="s">
        <v>175</v>
      </c>
      <c r="G30" s="53" t="s">
        <v>176</v>
      </c>
      <c r="H30" s="53" t="n">
        <v>34.83</v>
      </c>
      <c r="I30" s="54" t="n">
        <v>26.63</v>
      </c>
      <c r="J30" s="57" t="n">
        <v>188</v>
      </c>
      <c r="K30" s="55" t="s">
        <v>177</v>
      </c>
      <c r="L30" s="43"/>
      <c r="M30" s="36"/>
      <c r="N30" s="47" t="s">
        <v>102</v>
      </c>
      <c r="O30" s="43" t="n">
        <v>34.8097</v>
      </c>
      <c r="P30" s="44" t="n">
        <v>0.023</v>
      </c>
      <c r="Q30" s="44" t="n">
        <v>0.022475356406873</v>
      </c>
      <c r="R30" s="44" t="n">
        <v>0.117</v>
      </c>
      <c r="S30" s="44" t="n">
        <v>0.114331160852354</v>
      </c>
      <c r="T30" s="44" t="n">
        <f aca="false">SUM(P30,R30)</f>
        <v>0.14</v>
      </c>
      <c r="U30" s="44" t="n">
        <f aca="false">SUM(Q30,S30)</f>
        <v>0.136806517259227</v>
      </c>
      <c r="V30" s="44" t="n">
        <v>0.09</v>
      </c>
      <c r="W30" s="44" t="n">
        <v>0.087947046809503</v>
      </c>
      <c r="X30" s="44" t="n">
        <v>0.72</v>
      </c>
      <c r="Y30" s="44" t="n">
        <v>0.703576374476024</v>
      </c>
      <c r="Z30" s="45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</row>
    <row r="31" customFormat="false" ht="13.8" hidden="false" customHeight="false" outlineLevel="0" collapsed="false">
      <c r="A31" s="51" t="n">
        <f aca="false">A30+1</f>
        <v>25</v>
      </c>
      <c r="B31" s="36"/>
      <c r="C31" s="36"/>
      <c r="D31" s="56" t="n">
        <v>39256</v>
      </c>
      <c r="E31" s="52" t="s">
        <v>178</v>
      </c>
      <c r="F31" s="53" t="s">
        <v>179</v>
      </c>
      <c r="G31" s="53" t="s">
        <v>180</v>
      </c>
      <c r="H31" s="53" t="n">
        <v>35.81</v>
      </c>
      <c r="I31" s="54" t="n">
        <v>25.18</v>
      </c>
      <c r="J31" s="57" t="n">
        <v>189</v>
      </c>
      <c r="K31" s="55" t="s">
        <v>181</v>
      </c>
      <c r="L31" s="43"/>
      <c r="M31" s="36"/>
      <c r="N31" s="47" t="s">
        <v>102</v>
      </c>
      <c r="O31" s="43" t="n">
        <v>35.8342</v>
      </c>
      <c r="P31" s="44" t="n">
        <v>0.014</v>
      </c>
      <c r="Q31" s="44" t="n">
        <v>0.0136806517259227</v>
      </c>
      <c r="R31" s="44" t="n">
        <v>0.136</v>
      </c>
      <c r="S31" s="44" t="n">
        <v>0.132897759623249</v>
      </c>
      <c r="T31" s="44" t="n">
        <f aca="false">SUM(P31,R31)</f>
        <v>0.15</v>
      </c>
      <c r="U31" s="44" t="n">
        <f aca="false">SUM(Q31,S31)</f>
        <v>0.146578411349172</v>
      </c>
      <c r="V31" s="44" t="n">
        <v>0.184</v>
      </c>
      <c r="W31" s="44" t="n">
        <v>0.179802851254984</v>
      </c>
      <c r="X31" s="44" t="n">
        <v>1.09</v>
      </c>
      <c r="Y31" s="44" t="n">
        <v>1.06513645580398</v>
      </c>
      <c r="Z31" s="45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</row>
    <row r="32" customFormat="false" ht="13.8" hidden="false" customHeight="false" outlineLevel="0" collapsed="false">
      <c r="A32" s="51" t="n">
        <f aca="false">A31+1</f>
        <v>26</v>
      </c>
      <c r="B32" s="36"/>
      <c r="C32" s="36"/>
      <c r="D32" s="56" t="n">
        <v>39256</v>
      </c>
      <c r="E32" s="52" t="s">
        <v>182</v>
      </c>
      <c r="F32" s="53" t="s">
        <v>183</v>
      </c>
      <c r="G32" s="53" t="s">
        <v>184</v>
      </c>
      <c r="H32" s="53" t="n">
        <v>35.52</v>
      </c>
      <c r="I32" s="54" t="n">
        <v>25.22</v>
      </c>
      <c r="J32" s="57" t="n">
        <v>190</v>
      </c>
      <c r="K32" s="55" t="s">
        <v>185</v>
      </c>
      <c r="L32" s="46" t="n">
        <v>147</v>
      </c>
      <c r="M32" s="36"/>
      <c r="N32" s="47" t="s">
        <v>102</v>
      </c>
      <c r="O32" s="43" t="n">
        <v>35.5848</v>
      </c>
      <c r="P32" s="44" t="n">
        <v>0.017</v>
      </c>
      <c r="Q32" s="44" t="n">
        <v>0.0166122199529061</v>
      </c>
      <c r="R32" s="44" t="n">
        <v>0.083</v>
      </c>
      <c r="S32" s="44" t="n">
        <v>0.0811067209465416</v>
      </c>
      <c r="T32" s="44" t="n">
        <f aca="false">SUM(P32,R32)</f>
        <v>0.1</v>
      </c>
      <c r="U32" s="44" t="n">
        <f aca="false">SUM(Q32,S32)</f>
        <v>0.0977189408994478</v>
      </c>
      <c r="V32" s="44" t="n">
        <v>0.18</v>
      </c>
      <c r="W32" s="44" t="n">
        <v>0.175894093619006</v>
      </c>
      <c r="X32" s="44" t="n">
        <v>0.89</v>
      </c>
      <c r="Y32" s="44" t="n">
        <v>0.869698574005085</v>
      </c>
      <c r="Z32" s="45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</row>
    <row r="33" customFormat="false" ht="13.8" hidden="false" customHeight="false" outlineLevel="0" collapsed="false">
      <c r="A33" s="51" t="n">
        <f aca="false">A32+1</f>
        <v>27</v>
      </c>
      <c r="B33" s="36"/>
      <c r="C33" s="36"/>
      <c r="D33" s="56" t="n">
        <v>39257</v>
      </c>
      <c r="E33" s="52" t="s">
        <v>186</v>
      </c>
      <c r="F33" s="53" t="s">
        <v>187</v>
      </c>
      <c r="G33" s="53" t="s">
        <v>188</v>
      </c>
      <c r="H33" s="53" t="n">
        <v>35.69</v>
      </c>
      <c r="I33" s="54" t="n">
        <v>25.2</v>
      </c>
      <c r="J33" s="57" t="n">
        <v>191</v>
      </c>
      <c r="K33" s="55" t="s">
        <v>189</v>
      </c>
      <c r="L33" s="43"/>
      <c r="M33" s="36"/>
      <c r="N33" s="47" t="s">
        <v>102</v>
      </c>
      <c r="O33" s="43" t="n">
        <v>35.7236</v>
      </c>
      <c r="P33" s="44" t="n">
        <v>0.016</v>
      </c>
      <c r="Q33" s="44" t="n">
        <v>0.0156350305439116</v>
      </c>
      <c r="R33" s="44" t="n">
        <v>0.064</v>
      </c>
      <c r="S33" s="44" t="n">
        <v>0.0625401221756466</v>
      </c>
      <c r="T33" s="44" t="n">
        <f aca="false">SUM(P33,R33)</f>
        <v>0.08</v>
      </c>
      <c r="U33" s="44" t="n">
        <f aca="false">SUM(Q33,S33)</f>
        <v>0.0781751527195582</v>
      </c>
      <c r="V33" s="44" t="n">
        <v>0.188</v>
      </c>
      <c r="W33" s="44" t="n">
        <v>0.183711608890962</v>
      </c>
      <c r="X33" s="44" t="n">
        <v>1.06</v>
      </c>
      <c r="Y33" s="44" t="n">
        <v>1.03582077353415</v>
      </c>
      <c r="Z33" s="45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</row>
    <row r="34" customFormat="false" ht="13.8" hidden="false" customHeight="false" outlineLevel="0" collapsed="false">
      <c r="A34" s="51" t="n">
        <f aca="false">A33+1</f>
        <v>28</v>
      </c>
      <c r="B34" s="36"/>
      <c r="C34" s="36"/>
      <c r="D34" s="56" t="n">
        <v>39257</v>
      </c>
      <c r="E34" s="52" t="s">
        <v>190</v>
      </c>
      <c r="F34" s="53" t="s">
        <v>191</v>
      </c>
      <c r="G34" s="53" t="s">
        <v>192</v>
      </c>
      <c r="H34" s="53" t="n">
        <v>35.49</v>
      </c>
      <c r="I34" s="54" t="n">
        <v>26.24</v>
      </c>
      <c r="J34" s="57" t="n">
        <v>192</v>
      </c>
      <c r="K34" s="55" t="s">
        <v>193</v>
      </c>
      <c r="L34" s="46" t="n">
        <v>148</v>
      </c>
      <c r="M34" s="36"/>
      <c r="N34" s="47" t="s">
        <v>102</v>
      </c>
      <c r="O34" s="43" t="n">
        <v>35.4796</v>
      </c>
      <c r="P34" s="44" t="n">
        <v>0.039</v>
      </c>
      <c r="Q34" s="44" t="n">
        <v>0.0381103869507846</v>
      </c>
      <c r="R34" s="44" t="n">
        <v>0</v>
      </c>
      <c r="S34" s="44" t="n">
        <v>0</v>
      </c>
      <c r="T34" s="44" t="n">
        <f aca="false">SUM(P34,R34)</f>
        <v>0.039</v>
      </c>
      <c r="U34" s="44" t="n">
        <f aca="false">SUM(Q34,S34)</f>
        <v>0.0381103869507846</v>
      </c>
      <c r="V34" s="44" t="n">
        <v>0.116</v>
      </c>
      <c r="W34" s="44" t="n">
        <v>0.113353971443359</v>
      </c>
      <c r="X34" s="44" t="n">
        <v>0.62</v>
      </c>
      <c r="Y34" s="44" t="n">
        <v>0.605857433576576</v>
      </c>
      <c r="Z34" s="45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</row>
    <row r="35" customFormat="false" ht="13.8" hidden="false" customHeight="false" outlineLevel="0" collapsed="false">
      <c r="A35" s="51" t="n">
        <f aca="false">A34+1</f>
        <v>29</v>
      </c>
      <c r="B35" s="36"/>
      <c r="C35" s="36"/>
      <c r="D35" s="56" t="n">
        <v>39258</v>
      </c>
      <c r="E35" s="52" t="s">
        <v>194</v>
      </c>
      <c r="F35" s="53" t="s">
        <v>195</v>
      </c>
      <c r="G35" s="53" t="s">
        <v>196</v>
      </c>
      <c r="H35" s="53" t="n">
        <v>35.4</v>
      </c>
      <c r="I35" s="54" t="n">
        <v>25.95</v>
      </c>
      <c r="J35" s="57" t="n">
        <v>1</v>
      </c>
      <c r="K35" s="55" t="s">
        <v>197</v>
      </c>
      <c r="L35" s="43"/>
      <c r="M35" s="36"/>
      <c r="N35" s="47" t="s">
        <v>102</v>
      </c>
      <c r="O35" s="43" t="n">
        <v>35.3307</v>
      </c>
      <c r="P35" s="44" t="n">
        <v>0.004</v>
      </c>
      <c r="Q35" s="44" t="n">
        <v>0.00390875763597791</v>
      </c>
      <c r="R35" s="44" t="n">
        <v>0.046</v>
      </c>
      <c r="S35" s="44" t="n">
        <v>0.044950712813746</v>
      </c>
      <c r="T35" s="44" t="n">
        <f aca="false">SUM(P35,R35)</f>
        <v>0.05</v>
      </c>
      <c r="U35" s="44" t="n">
        <f aca="false">SUM(Q35,S35)</f>
        <v>0.0488594704497239</v>
      </c>
      <c r="V35" s="44" t="n">
        <v>0.152</v>
      </c>
      <c r="W35" s="44" t="n">
        <v>0.148532790167161</v>
      </c>
      <c r="X35" s="44" t="n">
        <v>0.49</v>
      </c>
      <c r="Y35" s="44" t="n">
        <v>0.478822810407294</v>
      </c>
      <c r="Z35" s="45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</row>
    <row r="36" customFormat="false" ht="13.8" hidden="false" customHeight="false" outlineLevel="0" collapsed="false">
      <c r="A36" s="51" t="n">
        <f aca="false">A35+1</f>
        <v>30</v>
      </c>
      <c r="B36" s="36"/>
      <c r="C36" s="36"/>
      <c r="D36" s="56" t="n">
        <v>39258</v>
      </c>
      <c r="E36" s="52" t="s">
        <v>198</v>
      </c>
      <c r="F36" s="53" t="s">
        <v>199</v>
      </c>
      <c r="G36" s="53" t="s">
        <v>200</v>
      </c>
      <c r="H36" s="53" t="n">
        <v>35.3</v>
      </c>
      <c r="I36" s="54" t="n">
        <v>26.15</v>
      </c>
      <c r="J36" s="57" t="n">
        <v>2</v>
      </c>
      <c r="K36" s="55" t="s">
        <v>201</v>
      </c>
      <c r="L36" s="46" t="n">
        <v>149</v>
      </c>
      <c r="M36" s="36"/>
      <c r="N36" s="47" t="s">
        <v>102</v>
      </c>
      <c r="O36" s="43" t="n">
        <v>35.8996</v>
      </c>
      <c r="P36" s="44" t="n">
        <v>0.016</v>
      </c>
      <c r="Q36" s="44" t="n">
        <v>0.0156350305439116</v>
      </c>
      <c r="R36" s="44" t="n">
        <v>0.034</v>
      </c>
      <c r="S36" s="44" t="n">
        <v>0.0332244399058122</v>
      </c>
      <c r="T36" s="44" t="n">
        <f aca="false">SUM(P36,R36)</f>
        <v>0.05</v>
      </c>
      <c r="U36" s="44" t="n">
        <f aca="false">SUM(Q36,S36)</f>
        <v>0.0488594704497239</v>
      </c>
      <c r="V36" s="44" t="n">
        <v>0.095</v>
      </c>
      <c r="W36" s="44" t="n">
        <v>0.0928329938544754</v>
      </c>
      <c r="X36" s="44" t="n">
        <v>0.44</v>
      </c>
      <c r="Y36" s="44" t="n">
        <v>0.42996333995757</v>
      </c>
      <c r="Z36" s="45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</row>
    <row r="37" customFormat="false" ht="13.8" hidden="false" customHeight="false" outlineLevel="0" collapsed="false">
      <c r="A37" s="51" t="n">
        <f aca="false">A36+1</f>
        <v>31</v>
      </c>
      <c r="B37" s="36"/>
      <c r="C37" s="36"/>
      <c r="D37" s="56" t="n">
        <v>39258</v>
      </c>
      <c r="E37" s="52" t="s">
        <v>202</v>
      </c>
      <c r="F37" s="53" t="s">
        <v>203</v>
      </c>
      <c r="G37" s="53" t="s">
        <v>204</v>
      </c>
      <c r="H37" s="53" t="n">
        <v>35.88</v>
      </c>
      <c r="I37" s="54" t="n">
        <v>25.87</v>
      </c>
      <c r="J37" s="57" t="n">
        <v>3</v>
      </c>
      <c r="K37" s="55" t="s">
        <v>205</v>
      </c>
      <c r="L37" s="43"/>
      <c r="M37" s="36"/>
      <c r="O37" s="43" t="n">
        <v>36.2702</v>
      </c>
      <c r="P37" s="44" t="n">
        <v>0.016</v>
      </c>
      <c r="Q37" s="44" t="n">
        <v>0.0156350305439116</v>
      </c>
      <c r="R37" s="44" t="n">
        <v>0.024</v>
      </c>
      <c r="S37" s="44" t="n">
        <v>0.0234525458158675</v>
      </c>
      <c r="T37" s="44" t="n">
        <f aca="false">SUM(P37,R37)</f>
        <v>0.04</v>
      </c>
      <c r="U37" s="44" t="n">
        <f aca="false">SUM(Q37,S37)</f>
        <v>0.0390875763597791</v>
      </c>
      <c r="V37" s="44" t="n">
        <v>0.109</v>
      </c>
      <c r="W37" s="44" t="n">
        <v>0.106513645580398</v>
      </c>
      <c r="X37" s="44" t="n">
        <v>0.4</v>
      </c>
      <c r="Y37" s="44" t="n">
        <v>0.390875763597791</v>
      </c>
      <c r="Z37" s="45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</row>
    <row r="38" customFormat="false" ht="13.8" hidden="false" customHeight="false" outlineLevel="0" collapsed="false">
      <c r="A38" s="51" t="n">
        <f aca="false">A37+1</f>
        <v>32</v>
      </c>
      <c r="B38" s="36"/>
      <c r="C38" s="36"/>
      <c r="D38" s="56" t="n">
        <v>39259</v>
      </c>
      <c r="E38" s="52" t="s">
        <v>206</v>
      </c>
      <c r="F38" s="53" t="s">
        <v>207</v>
      </c>
      <c r="G38" s="53" t="s">
        <v>208</v>
      </c>
      <c r="H38" s="53" t="n">
        <v>36.23</v>
      </c>
      <c r="I38" s="54" t="n">
        <v>25.81</v>
      </c>
      <c r="J38" s="57" t="n">
        <v>4</v>
      </c>
      <c r="K38" s="55" t="s">
        <v>209</v>
      </c>
      <c r="L38" s="46" t="n">
        <v>150</v>
      </c>
      <c r="M38" s="36"/>
      <c r="N38" s="47" t="s">
        <v>102</v>
      </c>
      <c r="O38" s="43" t="n">
        <v>35.4224</v>
      </c>
      <c r="P38" s="44" t="n">
        <v>0.015</v>
      </c>
      <c r="Q38" s="44" t="n">
        <v>0.0146578411349172</v>
      </c>
      <c r="R38" s="44" t="n">
        <v>0.025</v>
      </c>
      <c r="S38" s="44" t="n">
        <v>0.0244297352248619</v>
      </c>
      <c r="T38" s="44" t="n">
        <f aca="false">SUM(P38,R38)</f>
        <v>0.04</v>
      </c>
      <c r="U38" s="44" t="n">
        <f aca="false">SUM(Q38,S38)</f>
        <v>0.0390875763597791</v>
      </c>
      <c r="V38" s="44" t="n">
        <v>0.101</v>
      </c>
      <c r="W38" s="44" t="n">
        <v>0.0986961303084422</v>
      </c>
      <c r="X38" s="44" t="n">
        <v>0.46</v>
      </c>
      <c r="Y38" s="44" t="n">
        <v>0.44950712813746</v>
      </c>
      <c r="Z38" s="45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</row>
    <row r="39" customFormat="false" ht="13.8" hidden="false" customHeight="false" outlineLevel="0" collapsed="false">
      <c r="A39" s="51" t="n">
        <f aca="false">A38+1</f>
        <v>33</v>
      </c>
      <c r="B39" s="36"/>
      <c r="C39" s="36"/>
      <c r="D39" s="56" t="n">
        <v>39264</v>
      </c>
      <c r="E39" s="52" t="s">
        <v>210</v>
      </c>
      <c r="F39" s="53" t="s">
        <v>211</v>
      </c>
      <c r="G39" s="53" t="s">
        <v>212</v>
      </c>
      <c r="H39" s="53" t="n">
        <v>34.79</v>
      </c>
      <c r="I39" s="54" t="n">
        <v>27.44</v>
      </c>
      <c r="J39" s="57" t="s">
        <v>105</v>
      </c>
      <c r="K39" s="55" t="s">
        <v>213</v>
      </c>
      <c r="L39" s="43"/>
      <c r="M39" s="36"/>
      <c r="N39" s="47" t="s">
        <v>102</v>
      </c>
      <c r="O39" s="43" t="n">
        <v>34.9122</v>
      </c>
      <c r="P39" s="44" t="n">
        <v>0.008</v>
      </c>
      <c r="Q39" s="44" t="n">
        <v>0.00781751527195582</v>
      </c>
      <c r="R39" s="44" t="n">
        <v>0.032</v>
      </c>
      <c r="S39" s="44" t="n">
        <v>0.0312700610878233</v>
      </c>
      <c r="T39" s="44" t="n">
        <f aca="false">SUM(P39,R39)</f>
        <v>0.04</v>
      </c>
      <c r="U39" s="44" t="n">
        <f aca="false">SUM(Q39,S39)</f>
        <v>0.0390875763597791</v>
      </c>
      <c r="V39" s="44" t="n">
        <v>0.045</v>
      </c>
      <c r="W39" s="44" t="n">
        <v>0.0439735234047515</v>
      </c>
      <c r="X39" s="44" t="n">
        <v>0.3</v>
      </c>
      <c r="Y39" s="44" t="n">
        <v>0.293156822698343</v>
      </c>
      <c r="Z39" s="45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</row>
    <row r="40" customFormat="false" ht="13.8" hidden="false" customHeight="false" outlineLevel="0" collapsed="false">
      <c r="A40" s="51" t="n">
        <f aca="false">A39+1</f>
        <v>34</v>
      </c>
      <c r="B40" s="36"/>
      <c r="C40" s="36"/>
      <c r="D40" s="56" t="n">
        <v>39265</v>
      </c>
      <c r="E40" s="52" t="s">
        <v>214</v>
      </c>
      <c r="F40" s="53" t="s">
        <v>215</v>
      </c>
      <c r="G40" s="53" t="s">
        <v>216</v>
      </c>
      <c r="H40" s="53" t="n">
        <v>34.82</v>
      </c>
      <c r="I40" s="54" t="n">
        <v>27.3</v>
      </c>
      <c r="J40" s="57" t="s">
        <v>110</v>
      </c>
      <c r="K40" s="55" t="s">
        <v>217</v>
      </c>
      <c r="L40" s="46" t="n">
        <v>217</v>
      </c>
      <c r="M40" s="36"/>
      <c r="N40" s="47" t="s">
        <v>102</v>
      </c>
      <c r="O40" s="43" t="n">
        <v>34.9116</v>
      </c>
      <c r="P40" s="44" t="n">
        <v>0.003</v>
      </c>
      <c r="Q40" s="44" t="n">
        <v>0.00293156822698343</v>
      </c>
      <c r="R40" s="44" t="n">
        <v>0.047</v>
      </c>
      <c r="S40" s="44" t="n">
        <v>0.0459279022227404</v>
      </c>
      <c r="T40" s="44" t="n">
        <f aca="false">SUM(P40,R40)</f>
        <v>0.05</v>
      </c>
      <c r="U40" s="44" t="n">
        <f aca="false">SUM(Q40,S40)</f>
        <v>0.0488594704497239</v>
      </c>
      <c r="V40" s="44" t="n">
        <v>0.032</v>
      </c>
      <c r="W40" s="44" t="n">
        <v>0.0312700610878233</v>
      </c>
      <c r="X40" s="44" t="n">
        <v>0.29</v>
      </c>
      <c r="Y40" s="44" t="n">
        <v>0.283384928608398</v>
      </c>
      <c r="Z40" s="45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</row>
    <row r="41" customFormat="false" ht="13.8" hidden="false" customHeight="false" outlineLevel="0" collapsed="false">
      <c r="A41" s="51" t="n">
        <f aca="false">A40+1</f>
        <v>35</v>
      </c>
      <c r="B41" s="36"/>
      <c r="C41" s="36"/>
      <c r="D41" s="56" t="n">
        <v>39265</v>
      </c>
      <c r="E41" s="52" t="s">
        <v>218</v>
      </c>
      <c r="F41" s="53" t="s">
        <v>219</v>
      </c>
      <c r="G41" s="53" t="s">
        <v>220</v>
      </c>
      <c r="H41" s="53" t="n">
        <v>34.9</v>
      </c>
      <c r="I41" s="54" t="n">
        <v>27.58</v>
      </c>
      <c r="J41" s="57" t="s">
        <v>115</v>
      </c>
      <c r="K41" s="55" t="s">
        <v>221</v>
      </c>
      <c r="L41" s="43"/>
      <c r="M41" s="36"/>
      <c r="N41" s="47" t="s">
        <v>102</v>
      </c>
      <c r="O41" s="43" t="n">
        <v>34.9866</v>
      </c>
      <c r="P41" s="44" t="n">
        <v>0.003</v>
      </c>
      <c r="Q41" s="44" t="n">
        <v>0.00293156822698343</v>
      </c>
      <c r="R41" s="44" t="n">
        <v>0.047</v>
      </c>
      <c r="S41" s="44" t="n">
        <v>0.0459279022227404</v>
      </c>
      <c r="T41" s="44" t="n">
        <f aca="false">SUM(P41,R41)</f>
        <v>0.05</v>
      </c>
      <c r="U41" s="44" t="n">
        <f aca="false">SUM(Q41,S41)</f>
        <v>0.0488594704497239</v>
      </c>
      <c r="V41" s="44" t="n">
        <v>0.032</v>
      </c>
      <c r="W41" s="44" t="n">
        <v>0.0312700610878233</v>
      </c>
      <c r="X41" s="44" t="n">
        <v>0.32</v>
      </c>
      <c r="Y41" s="44" t="n">
        <v>0.312700610878233</v>
      </c>
      <c r="Z41" s="45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</row>
    <row r="42" customFormat="false" ht="13.8" hidden="false" customHeight="false" outlineLevel="0" collapsed="false">
      <c r="A42" s="51" t="n">
        <f aca="false">A41+1</f>
        <v>36</v>
      </c>
      <c r="B42" s="36"/>
      <c r="C42" s="36"/>
      <c r="D42" s="56" t="n">
        <v>39265</v>
      </c>
      <c r="E42" s="52" t="s">
        <v>222</v>
      </c>
      <c r="F42" s="53" t="s">
        <v>223</v>
      </c>
      <c r="G42" s="53" t="s">
        <v>224</v>
      </c>
      <c r="H42" s="53" t="n">
        <v>34.94</v>
      </c>
      <c r="I42" s="54" t="n">
        <v>27.43</v>
      </c>
      <c r="J42" s="57" t="s">
        <v>120</v>
      </c>
      <c r="K42" s="55" t="s">
        <v>225</v>
      </c>
      <c r="L42" s="46" t="n">
        <v>218</v>
      </c>
      <c r="M42" s="36"/>
      <c r="N42" s="47" t="s">
        <v>102</v>
      </c>
      <c r="O42" s="43" t="n">
        <v>35.0004</v>
      </c>
      <c r="P42" s="44" t="n">
        <v>0</v>
      </c>
      <c r="Q42" s="44" t="n">
        <v>0</v>
      </c>
      <c r="R42" s="44" t="n">
        <v>0.05</v>
      </c>
      <c r="S42" s="44" t="n">
        <v>0.0488594704497239</v>
      </c>
      <c r="T42" s="44" t="n">
        <f aca="false">SUM(P42,R42)</f>
        <v>0.05</v>
      </c>
      <c r="U42" s="44" t="n">
        <f aca="false">SUM(Q42,S42)</f>
        <v>0.0488594704497239</v>
      </c>
      <c r="V42" s="44" t="n">
        <v>0.05</v>
      </c>
      <c r="W42" s="44" t="n">
        <v>0.0488594704497239</v>
      </c>
      <c r="X42" s="44" t="n">
        <v>0.4</v>
      </c>
      <c r="Y42" s="44" t="n">
        <v>0.390875763597791</v>
      </c>
      <c r="Z42" s="45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</row>
    <row r="43" customFormat="false" ht="13.8" hidden="false" customHeight="false" outlineLevel="0" collapsed="false">
      <c r="A43" s="51" t="n">
        <f aca="false">A42+1</f>
        <v>37</v>
      </c>
      <c r="B43" s="36"/>
      <c r="C43" s="36"/>
      <c r="D43" s="56" t="n">
        <v>39266</v>
      </c>
      <c r="E43" s="52" t="s">
        <v>226</v>
      </c>
      <c r="F43" s="53" t="s">
        <v>227</v>
      </c>
      <c r="G43" s="53" t="s">
        <v>228</v>
      </c>
      <c r="H43" s="53" t="n">
        <v>34.99</v>
      </c>
      <c r="I43" s="54" t="n">
        <v>27.28</v>
      </c>
      <c r="J43" s="57" t="s">
        <v>124</v>
      </c>
      <c r="K43" s="55" t="s">
        <v>229</v>
      </c>
      <c r="L43" s="43"/>
      <c r="M43" s="36"/>
      <c r="N43" s="47" t="s">
        <v>102</v>
      </c>
      <c r="O43" s="43" t="n">
        <v>35.0364</v>
      </c>
      <c r="P43" s="44" t="n">
        <v>0.01</v>
      </c>
      <c r="Q43" s="44" t="n">
        <v>0.00977189408994478</v>
      </c>
      <c r="R43" s="44" t="n">
        <v>0.05</v>
      </c>
      <c r="S43" s="44" t="n">
        <v>0.0488594704497239</v>
      </c>
      <c r="T43" s="44" t="n">
        <f aca="false">SUM(P43,R43)</f>
        <v>0.06</v>
      </c>
      <c r="U43" s="44" t="n">
        <f aca="false">SUM(Q43,S43)</f>
        <v>0.0586313645396686</v>
      </c>
      <c r="V43" s="44" t="n">
        <v>0.05</v>
      </c>
      <c r="W43" s="44" t="n">
        <v>0.0488594704497239</v>
      </c>
      <c r="X43" s="44" t="n">
        <v>0.37</v>
      </c>
      <c r="Y43" s="44" t="n">
        <v>0.361560081327957</v>
      </c>
      <c r="Z43" s="45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</row>
    <row r="44" customFormat="false" ht="13.8" hidden="false" customHeight="false" outlineLevel="0" collapsed="false">
      <c r="A44" s="51" t="n">
        <f aca="false">A43+1</f>
        <v>38</v>
      </c>
      <c r="B44" s="36"/>
      <c r="C44" s="36"/>
      <c r="D44" s="56" t="n">
        <v>39266</v>
      </c>
      <c r="E44" s="52" t="s">
        <v>230</v>
      </c>
      <c r="F44" s="53" t="s">
        <v>231</v>
      </c>
      <c r="G44" s="53" t="s">
        <v>232</v>
      </c>
      <c r="H44" s="53" t="n">
        <v>34.58</v>
      </c>
      <c r="I44" s="54" t="n">
        <v>26.4</v>
      </c>
      <c r="J44" s="57" t="s">
        <v>129</v>
      </c>
      <c r="K44" s="55" t="s">
        <v>233</v>
      </c>
      <c r="L44" s="46" t="n">
        <v>219</v>
      </c>
      <c r="M44" s="36"/>
      <c r="N44" s="47" t="s">
        <v>102</v>
      </c>
      <c r="O44" s="43" t="n">
        <v>34.6527</v>
      </c>
      <c r="P44" s="44" t="n">
        <v>0.009</v>
      </c>
      <c r="Q44" s="44" t="n">
        <v>0.0087947046809503</v>
      </c>
      <c r="R44" s="44" t="n">
        <v>0.091</v>
      </c>
      <c r="S44" s="44" t="n">
        <v>0.0889242362184974</v>
      </c>
      <c r="T44" s="44" t="n">
        <f aca="false">SUM(P44,R44)</f>
        <v>0.1</v>
      </c>
      <c r="U44" s="44" t="n">
        <f aca="false">SUM(Q44,S44)</f>
        <v>0.0977189408994478</v>
      </c>
      <c r="V44" s="44" t="n">
        <v>0.107</v>
      </c>
      <c r="W44" s="44" t="n">
        <v>0.104559266762409</v>
      </c>
      <c r="X44" s="44" t="n">
        <v>0.37</v>
      </c>
      <c r="Y44" s="44" t="n">
        <v>0.361560081327957</v>
      </c>
      <c r="Z44" s="45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</row>
    <row r="45" customFormat="false" ht="13.8" hidden="false" customHeight="false" outlineLevel="0" collapsed="false">
      <c r="A45" s="51" t="n">
        <f aca="false">A44+1</f>
        <v>39</v>
      </c>
      <c r="B45" s="36"/>
      <c r="C45" s="36"/>
      <c r="D45" s="56" t="n">
        <v>39266</v>
      </c>
      <c r="E45" s="52" t="s">
        <v>234</v>
      </c>
      <c r="F45" s="53" t="s">
        <v>235</v>
      </c>
      <c r="G45" s="53" t="s">
        <v>236</v>
      </c>
      <c r="H45" s="53" t="n">
        <v>35.61</v>
      </c>
      <c r="I45" s="54" t="n">
        <v>24.46</v>
      </c>
      <c r="J45" s="57" t="s">
        <v>133</v>
      </c>
      <c r="K45" s="55" t="s">
        <v>237</v>
      </c>
      <c r="L45" s="43"/>
      <c r="M45" s="36"/>
      <c r="N45" s="47" t="s">
        <v>102</v>
      </c>
      <c r="O45" s="43" t="n">
        <v>35.6714</v>
      </c>
      <c r="P45" s="44" t="n">
        <v>0.013</v>
      </c>
      <c r="Q45" s="44" t="n">
        <v>0.0127034623169282</v>
      </c>
      <c r="R45" s="44" t="n">
        <v>0.097</v>
      </c>
      <c r="S45" s="44" t="n">
        <v>0.0947873726724643</v>
      </c>
      <c r="T45" s="44" t="n">
        <f aca="false">SUM(P45,R45)</f>
        <v>0.11</v>
      </c>
      <c r="U45" s="44" t="n">
        <f aca="false">SUM(Q45,S45)</f>
        <v>0.107490834989393</v>
      </c>
      <c r="V45" s="44" t="n">
        <v>0.239</v>
      </c>
      <c r="W45" s="44" t="n">
        <v>0.23354826874968</v>
      </c>
      <c r="X45" s="44" t="n">
        <v>1.65</v>
      </c>
      <c r="Y45" s="44" t="n">
        <v>1.61236252484089</v>
      </c>
      <c r="Z45" s="45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</row>
    <row r="46" customFormat="false" ht="13.8" hidden="false" customHeight="false" outlineLevel="0" collapsed="false">
      <c r="A46" s="51" t="n">
        <f aca="false">A45+1</f>
        <v>40</v>
      </c>
      <c r="B46" s="36"/>
      <c r="C46" s="36"/>
      <c r="D46" s="56" t="n">
        <v>39267</v>
      </c>
      <c r="E46" s="52" t="s">
        <v>112</v>
      </c>
      <c r="F46" s="53" t="s">
        <v>238</v>
      </c>
      <c r="G46" s="53" t="s">
        <v>239</v>
      </c>
      <c r="H46" s="53" t="n">
        <v>35.2</v>
      </c>
      <c r="I46" s="54" t="n">
        <v>26.86</v>
      </c>
      <c r="J46" s="57" t="s">
        <v>240</v>
      </c>
      <c r="K46" s="55" t="s">
        <v>241</v>
      </c>
      <c r="L46" s="46" t="n">
        <v>220</v>
      </c>
      <c r="M46" s="36"/>
      <c r="N46" s="47" t="s">
        <v>102</v>
      </c>
      <c r="O46" s="43" t="n">
        <v>35.2843</v>
      </c>
      <c r="P46" s="44" t="n">
        <v>0.006</v>
      </c>
      <c r="Q46" s="44" t="n">
        <v>0.00586313645396686</v>
      </c>
      <c r="R46" s="44" t="n">
        <v>0.104</v>
      </c>
      <c r="S46" s="44" t="n">
        <v>0.101627698535426</v>
      </c>
      <c r="T46" s="44" t="n">
        <f aca="false">SUM(P46,R46)</f>
        <v>0.11</v>
      </c>
      <c r="U46" s="44" t="n">
        <f aca="false">SUM(Q46,S46)</f>
        <v>0.107490834989393</v>
      </c>
      <c r="V46" s="44" t="n">
        <v>0.102</v>
      </c>
      <c r="W46" s="44" t="n">
        <v>0.0996733197174367</v>
      </c>
      <c r="X46" s="44" t="n">
        <v>0.91</v>
      </c>
      <c r="Y46" s="44" t="n">
        <v>0.889242362184975</v>
      </c>
      <c r="Z46" s="45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2022-09-29T15:21:11Z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