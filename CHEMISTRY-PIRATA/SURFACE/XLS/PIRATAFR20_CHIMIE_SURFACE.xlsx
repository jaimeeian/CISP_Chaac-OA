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<sst xmlns="http://schemas.openxmlformats.org/spreadsheetml/2006/main" count="335" uniqueCount="267">
  <si>
    <t xml:space="preserve">CAMPAGNE PIRATA FR 20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</si>
  <si>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</si>
  <si>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</si>
  <si>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</si>
  <si>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</si>
  <si>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</si>
  <si>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</si>
  <si>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</si>
  <si>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</si>
  <si>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</si>
  <si>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</si>
  <si>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</si>
  <si>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</si>
  <si>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</si>
  <si>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</si>
  <si>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</si>
  <si>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</si>
  <si>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</si>
  <si>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</si>
  <si>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</si>
  <si>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</si>
  <si>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</si>
  <si>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</si>
  <si>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</si>
  <si>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</si>
  <si>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</si>
  <si>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</si>
  <si>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</si>
  <si>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</si>
  <si>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</si>
  <si>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</si>
  <si>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</si>
  <si>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</si>
  <si>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</si>
  <si>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</si>
  <si>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</si>
  <si>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</si>
  <si>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</si>
  <si>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</si>
  <si>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</si>
  <si>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</si>
  <si>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</si>
  <si>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</si>
  <si>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</si>
  <si>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</si>
  <si>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</si>
  <si>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</si>
  <si>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</si>
  <si>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</si>
  <si>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</si>
  <si>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</si>
  <si>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</si>
  <si>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</si>
  <si>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</si>
  <si>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</si>
  <si>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</si>
  <si>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</si>
  <si>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</si>
  <si>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</si>
  <si>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</si>
  <si>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</si>
  <si>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</si>
  <si>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</si>
  <si>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</si>
  <si>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</si>
  <si>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</si>
  <si>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</si>
  <si>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</si>
  <si>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</si>
  <si>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</si>
  <si>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</si>
  <si>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</si>
  <si>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</si>
  <si>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</si>
  <si>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</si>
  <si>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</si>
  <si>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</si>
  <si>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</si>
  <si>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</si>
  <si>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</si>
  <si>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23h00</t>
  </si>
  <si>
    <t xml:space="preserve">6°00,00 N</t>
  </si>
  <si>
    <t xml:space="preserve">2°18,00 E</t>
  </si>
  <si>
    <t xml:space="preserve">J1</t>
  </si>
  <si>
    <t xml:space="preserve">S01</t>
  </si>
  <si>
    <t xml:space="preserve">06h50</t>
  </si>
  <si>
    <t xml:space="preserve">5°00,00 N</t>
  </si>
  <si>
    <t xml:space="preserve">1°54,00 E</t>
  </si>
  <si>
    <t xml:space="preserve">J2</t>
  </si>
  <si>
    <t xml:space="preserve">S02</t>
  </si>
  <si>
    <t xml:space="preserve">14h08</t>
  </si>
  <si>
    <t xml:space="preserve">4°00,00 N</t>
  </si>
  <si>
    <t xml:space="preserve">1°32,00 E</t>
  </si>
  <si>
    <t xml:space="preserve">J3</t>
  </si>
  <si>
    <t xml:space="preserve">S03</t>
  </si>
  <si>
    <t xml:space="preserve">21h22</t>
  </si>
  <si>
    <t xml:space="preserve">3°00,00 N</t>
  </si>
  <si>
    <t xml:space="preserve">1°90,00 E</t>
  </si>
  <si>
    <t xml:space="preserve">J4</t>
  </si>
  <si>
    <t xml:space="preserve">S04</t>
  </si>
  <si>
    <t xml:space="preserve">05h02</t>
  </si>
  <si>
    <t xml:space="preserve">2°00,00 N</t>
  </si>
  <si>
    <t xml:space="preserve">0°45,00 E</t>
  </si>
  <si>
    <t xml:space="preserve">J5</t>
  </si>
  <si>
    <t xml:space="preserve">S05</t>
  </si>
  <si>
    <t xml:space="preserve">12h30</t>
  </si>
  <si>
    <t xml:space="preserve">1°00,00 N</t>
  </si>
  <si>
    <t xml:space="preserve">0°23,00 E</t>
  </si>
  <si>
    <t xml:space="preserve">J6</t>
  </si>
  <si>
    <t xml:space="preserve">S06</t>
  </si>
  <si>
    <t xml:space="preserve">21h20</t>
  </si>
  <si>
    <t xml:space="preserve">0°00,00 N</t>
  </si>
  <si>
    <t xml:space="preserve">0°00,00 E</t>
  </si>
  <si>
    <t xml:space="preserve">J7</t>
  </si>
  <si>
    <t xml:space="preserve">S07</t>
  </si>
  <si>
    <t xml:space="preserve">14h32</t>
  </si>
  <si>
    <t xml:space="preserve">1°00,00 S</t>
  </si>
  <si>
    <t xml:space="preserve">1°00,00 W</t>
  </si>
  <si>
    <t xml:space="preserve">J8</t>
  </si>
  <si>
    <t xml:space="preserve">S08</t>
  </si>
  <si>
    <t xml:space="preserve">00h51</t>
  </si>
  <si>
    <t xml:space="preserve">2°00,00 S</t>
  </si>
  <si>
    <t xml:space="preserve">1°57,00 W</t>
  </si>
  <si>
    <t xml:space="preserve">J9</t>
  </si>
  <si>
    <t xml:space="preserve">S09</t>
  </si>
  <si>
    <t xml:space="preserve">11h45</t>
  </si>
  <si>
    <t xml:space="preserve">3°00,00 S</t>
  </si>
  <si>
    <t xml:space="preserve">2°56,00 W</t>
  </si>
  <si>
    <t xml:space="preserve">J10</t>
  </si>
  <si>
    <t xml:space="preserve">S10</t>
  </si>
  <si>
    <t xml:space="preserve">21h24</t>
  </si>
  <si>
    <t xml:space="preserve">4°00,00 S</t>
  </si>
  <si>
    <t xml:space="preserve">3°55,00 W</t>
  </si>
  <si>
    <t xml:space="preserve">J11</t>
  </si>
  <si>
    <t xml:space="preserve">S11</t>
  </si>
  <si>
    <t xml:space="preserve">05h52</t>
  </si>
  <si>
    <t xml:space="preserve">5°00,00 S</t>
  </si>
  <si>
    <t xml:space="preserve">4°56,00 W</t>
  </si>
  <si>
    <t xml:space="preserve">J12</t>
  </si>
  <si>
    <t xml:space="preserve">S12</t>
  </si>
  <si>
    <t xml:space="preserve">15h29</t>
  </si>
  <si>
    <t xml:space="preserve">6°00,00 S</t>
  </si>
  <si>
    <t xml:space="preserve">5°57,00 W</t>
  </si>
  <si>
    <t xml:space="preserve">J13</t>
  </si>
  <si>
    <t xml:space="preserve">S13</t>
  </si>
  <si>
    <t xml:space="preserve">00h45</t>
  </si>
  <si>
    <t xml:space="preserve">7°00,00 S</t>
  </si>
  <si>
    <t xml:space="preserve">6°56,00 W</t>
  </si>
  <si>
    <t xml:space="preserve">J14</t>
  </si>
  <si>
    <t xml:space="preserve">S14</t>
  </si>
  <si>
    <t xml:space="preserve">10h20</t>
  </si>
  <si>
    <t xml:space="preserve">8°00,00 S</t>
  </si>
  <si>
    <t xml:space="preserve">7°57,00 W</t>
  </si>
  <si>
    <t xml:space="preserve">J15</t>
  </si>
  <si>
    <t xml:space="preserve">S15</t>
  </si>
  <si>
    <t xml:space="preserve">19h39</t>
  </si>
  <si>
    <t xml:space="preserve">9°00,00 S</t>
  </si>
  <si>
    <t xml:space="preserve">8°57,00 W</t>
  </si>
  <si>
    <t xml:space="preserve">J16</t>
  </si>
  <si>
    <t xml:space="preserve">S16</t>
  </si>
  <si>
    <t xml:space="preserve">20h22</t>
  </si>
  <si>
    <t xml:space="preserve">9°45,00 S</t>
  </si>
  <si>
    <t xml:space="preserve">10°00,00 W</t>
  </si>
  <si>
    <t xml:space="preserve">J17</t>
  </si>
  <si>
    <t xml:space="preserve">S17</t>
  </si>
  <si>
    <t xml:space="preserve">?</t>
  </si>
  <si>
    <t xml:space="preserve">14h46</t>
  </si>
  <si>
    <t xml:space="preserve">3°26,00 S</t>
  </si>
  <si>
    <t xml:space="preserve"> </t>
  </si>
  <si>
    <t xml:space="preserve">n° flacon SSS et analyse pas trouvés</t>
  </si>
  <si>
    <t xml:space="preserve">21h50</t>
  </si>
  <si>
    <t xml:space="preserve">1°54,00 N</t>
  </si>
  <si>
    <t xml:space="preserve">9°00,00 W</t>
  </si>
  <si>
    <t xml:space="preserve">ST26-1</t>
  </si>
  <si>
    <t xml:space="preserve">10h50</t>
  </si>
  <si>
    <t xml:space="preserve">2°40,00 N</t>
  </si>
  <si>
    <t xml:space="preserve">6°59,00 W</t>
  </si>
  <si>
    <t xml:space="preserve">S29</t>
  </si>
  <si>
    <t xml:space="preserve">22h55</t>
  </si>
  <si>
    <t xml:space="preserve">3°25,00 N</t>
  </si>
  <si>
    <t xml:space="preserve">5°00,00 W</t>
  </si>
  <si>
    <t xml:space="preserve">S30</t>
  </si>
  <si>
    <t xml:space="preserve">3°23,00 N</t>
  </si>
  <si>
    <t xml:space="preserve">3°00,00 W</t>
  </si>
  <si>
    <t xml:space="preserve">S31</t>
  </si>
  <si>
    <t xml:space="preserve">13h10</t>
  </si>
  <si>
    <t xml:space="preserve">4°22,00 N</t>
  </si>
  <si>
    <t xml:space="preserve">J18</t>
  </si>
  <si>
    <t xml:space="preserve">S32</t>
  </si>
  <si>
    <t xml:space="preserve">16h20</t>
  </si>
  <si>
    <t xml:space="preserve">5°28,00 N</t>
  </si>
  <si>
    <t xml:space="preserve">1°00,00 E</t>
  </si>
  <si>
    <t xml:space="preserve">J19</t>
  </si>
  <si>
    <t xml:space="preserve">S33</t>
  </si>
  <si>
    <t xml:space="preserve">12h10</t>
  </si>
  <si>
    <t xml:space="preserve">0°02,00 N</t>
  </si>
  <si>
    <t xml:space="preserve">0°01,00 W</t>
  </si>
  <si>
    <t xml:space="preserve">J20</t>
  </si>
  <si>
    <t xml:space="preserve">S34</t>
  </si>
  <si>
    <t xml:space="preserve">01h51</t>
  </si>
  <si>
    <t xml:space="preserve">2°00,00 W</t>
  </si>
  <si>
    <t xml:space="preserve">J21</t>
  </si>
  <si>
    <t xml:space="preserve">S35</t>
  </si>
  <si>
    <t xml:space="preserve">15h03</t>
  </si>
  <si>
    <t xml:space="preserve">4°00,00 W</t>
  </si>
  <si>
    <t xml:space="preserve">J22</t>
  </si>
  <si>
    <t xml:space="preserve">S36</t>
  </si>
  <si>
    <t xml:space="preserve">03h57</t>
  </si>
  <si>
    <t xml:space="preserve">6°01,00 W</t>
  </si>
  <si>
    <t xml:space="preserve">J23</t>
  </si>
  <si>
    <t xml:space="preserve">S37</t>
  </si>
  <si>
    <t xml:space="preserve">12h39</t>
  </si>
  <si>
    <t xml:space="preserve">12°00,00 W</t>
  </si>
  <si>
    <t xml:space="preserve">J24</t>
  </si>
  <si>
    <t xml:space="preserve">S38</t>
  </si>
  <si>
    <t xml:space="preserve">04h25</t>
  </si>
  <si>
    <t xml:space="preserve">14°01,00 W</t>
  </si>
  <si>
    <t xml:space="preserve">S39</t>
  </si>
  <si>
    <t xml:space="preserve">18h34</t>
  </si>
  <si>
    <t xml:space="preserve">15°58,00 W</t>
  </si>
  <si>
    <t xml:space="preserve">S40</t>
  </si>
  <si>
    <t xml:space="preserve">23h20</t>
  </si>
  <si>
    <t xml:space="preserve">20°00,00 W</t>
  </si>
  <si>
    <t xml:space="preserve">S41</t>
  </si>
  <si>
    <t xml:space="preserve">13h27</t>
  </si>
  <si>
    <t xml:space="preserve">22°00,00 W</t>
  </si>
  <si>
    <t xml:space="preserve">S42</t>
  </si>
  <si>
    <t xml:space="preserve">22h44</t>
  </si>
  <si>
    <t xml:space="preserve">0°59,00 N</t>
  </si>
  <si>
    <t xml:space="preserve">22°37,00 W</t>
  </si>
  <si>
    <t xml:space="preserve">S43</t>
  </si>
  <si>
    <t xml:space="preserve">05h50</t>
  </si>
  <si>
    <t xml:space="preserve">22°15,00 W</t>
  </si>
  <si>
    <t xml:space="preserve">S44</t>
  </si>
  <si>
    <t xml:space="preserve">12h52</t>
  </si>
  <si>
    <t xml:space="preserve">21°52,00 W</t>
  </si>
  <si>
    <t xml:space="preserve">S45</t>
  </si>
  <si>
    <t xml:space="preserve">19h33</t>
  </si>
  <si>
    <t xml:space="preserve">21°59,00 W</t>
  </si>
  <si>
    <t xml:space="preserve">S46</t>
  </si>
  <si>
    <t xml:space="preserve">02h38</t>
  </si>
  <si>
    <t xml:space="preserve">21°07,00 W</t>
  </si>
  <si>
    <t xml:space="preserve">S47</t>
  </si>
  <si>
    <t xml:space="preserve">20h08</t>
  </si>
  <si>
    <t xml:space="preserve">7°00,00 N</t>
  </si>
  <si>
    <t xml:space="preserve">20°22,00 W</t>
  </si>
  <si>
    <t xml:space="preserve">S48</t>
  </si>
  <si>
    <t xml:space="preserve">03h28</t>
  </si>
  <si>
    <t xml:space="preserve">8°00,00 N</t>
  </si>
  <si>
    <t xml:space="preserve">19°59,00 W</t>
  </si>
  <si>
    <t xml:space="preserve">S49</t>
  </si>
  <si>
    <t xml:space="preserve">10h55</t>
  </si>
  <si>
    <t xml:space="preserve">9°00,00 N</t>
  </si>
  <si>
    <t xml:space="preserve">19°36,00 W</t>
  </si>
  <si>
    <t xml:space="preserve">S50</t>
  </si>
  <si>
    <t xml:space="preserve">18h43</t>
  </si>
  <si>
    <t xml:space="preserve">10°05,00 N</t>
  </si>
  <si>
    <t xml:space="preserve">19°12,00 W</t>
  </si>
  <si>
    <t xml:space="preserve">S51</t>
  </si>
  <si>
    <t xml:space="preserve">01h08</t>
  </si>
  <si>
    <t xml:space="preserve">11°00,00 N</t>
  </si>
  <si>
    <t xml:space="preserve">18°50,00 W</t>
  </si>
  <si>
    <t xml:space="preserve">S52</t>
  </si>
  <si>
    <t xml:space="preserve">07h29</t>
  </si>
  <si>
    <t xml:space="preserve">11°59,00 N</t>
  </si>
  <si>
    <t xml:space="preserve">18°27,00 W</t>
  </si>
  <si>
    <t xml:space="preserve">S53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</si>
</sst>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  <numFmt numFmtId="172" formatCode="0.0"/>
    <numFmt numFmtId="173" formatCode="0.000"/>
  </numFmts>
  <fonts count="1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sz val="11"/>
      <color rgb="FFFF0000"/>
      <name val="Arial"/>
      <family val="2"/>
      <charset val="1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2" width="8.89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6"/>
    <col collapsed="false" customWidth="true" hidden="false" outlineLevel="0" max="6" min="6" style="3" width="16.67"/>
    <col collapsed="false" customWidth="true" hidden="false" outlineLevel="0" max="7" min="7" style="3" width="13.63"/>
    <col collapsed="false" customWidth="true" hidden="false" outlineLevel="0" max="8" min="8" style="1" width="5.89"/>
    <col collapsed="false" customWidth="true" hidden="false" outlineLevel="0" max="9" min="9" style="1" width="7.8"/>
    <col collapsed="false" customWidth="true" hidden="false" outlineLevel="0" max="10" min="10" style="4" width="8.89"/>
    <col collapsed="false" customWidth="true" hidden="false" outlineLevel="0" max="11" min="11" style="4" width="8.56"/>
    <col collapsed="false" customWidth="true" hidden="false" outlineLevel="0" max="12" min="12" style="4" width="8.33"/>
    <col collapsed="false" customWidth="true" hidden="false" outlineLevel="0" max="13" min="13" style="5" width="9.66"/>
    <col collapsed="false" customWidth="true" hidden="false" outlineLevel="0" max="14" min="14" style="1" width="35.89"/>
    <col collapsed="false" customWidth="false" hidden="false" outlineLevel="0" max="17" min="15" style="1" width="10.99"/>
    <col collapsed="false" customWidth="true" hidden="false" outlineLevel="0" max="18" min="18" style="1" width="10.65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5"/>
    <col collapsed="false" customWidth="true" hidden="false" outlineLevel="0" max="27" min="27" style="1" width="16.56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66"/>
    <col collapsed="false" customWidth="true" hidden="false" outlineLevel="0" max="31" min="31" style="1" width="11.11"/>
    <col collapsed="false" customWidth="true" hidden="false" outlineLevel="0" max="32" min="32" style="1" width="14.35"/>
    <col collapsed="false" customWidth="true" hidden="false" outlineLevel="0" max="33" min="33" style="1" width="11.99"/>
    <col collapsed="false" customWidth="true" hidden="false" outlineLevel="0" max="34" min="34" style="1" width="26.56"/>
    <col collapsed="false" customWidth="true" hidden="false" outlineLevel="0" max="35" min="35" style="1" width="14.43"/>
    <col collapsed="false" customWidth="true" hidden="false" outlineLevel="0" max="36" min="36" style="1" width="11.11"/>
    <col collapsed="false" customWidth="true" hidden="false" outlineLevel="0" max="37" min="37" style="1" width="12.33"/>
    <col collapsed="false" customWidth="true" hidden="false" outlineLevel="0" max="38" min="38" style="1" width="11.11"/>
    <col collapsed="false" customWidth="true" hidden="false" outlineLevel="0" max="39" min="39" style="1" width="6.35"/>
    <col collapsed="false" customWidth="true" hidden="false" outlineLevel="0" max="40" min="40" style="1" width="19.45"/>
    <col collapsed="false" customWidth="true" hidden="false" outlineLevel="0" max="41" min="41" style="1" width="12.89"/>
    <col collapsed="false" customWidth="true" hidden="false" outlineLevel="0" max="42" min="42" style="1" width="17.56"/>
    <col collapsed="false" customWidth="true" hidden="false" outlineLevel="0" max="43" min="43" style="1" width="14.43"/>
    <col collapsed="false" customWidth="true" hidden="false" outlineLevel="0" max="44" min="44" style="1" width="13.55"/>
    <col collapsed="false" customWidth="true" hidden="false" outlineLevel="0" max="45" min="45" style="1" width="13.66"/>
    <col collapsed="false" customWidth="true" hidden="false" outlineLevel="0" max="46" min="46" style="1" width="19.65"/>
    <col collapsed="false" customWidth="true" hidden="false" outlineLevel="0" max="47" min="47" style="1" width="13.1"/>
    <col collapsed="false" customWidth="true" hidden="false" outlineLevel="0" max="48" min="48" style="1" width="17.44"/>
    <col collapsed="false" customWidth="true" hidden="false" outlineLevel="0" max="49" min="49" style="1" width="13.33"/>
    <col collapsed="false" customWidth="true" hidden="false" outlineLevel="0" max="50" min="50" style="1" width="12.44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72</v>
      </c>
      <c r="T6" s="33" t="s">
        <v>73</v>
      </c>
      <c r="U6" s="33" t="s">
        <v>74</v>
      </c>
      <c r="V6" s="33" t="s">
        <v>75</v>
      </c>
      <c r="W6" s="33" t="s">
        <v>76</v>
      </c>
      <c r="X6" s="33" t="s">
        <v>77</v>
      </c>
      <c r="Y6" s="33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4.15" hidden="false" customHeight="false" outlineLevel="0" collapsed="false">
      <c r="A7" s="34" t="n">
        <v>1</v>
      </c>
      <c r="B7" s="35"/>
      <c r="C7" s="35"/>
      <c r="D7" s="36" t="n">
        <v>40436</v>
      </c>
      <c r="E7" s="37" t="s">
        <v>80</v>
      </c>
      <c r="F7" s="38" t="s">
        <v>81</v>
      </c>
      <c r="G7" s="38" t="s">
        <v>82</v>
      </c>
      <c r="H7" s="39" t="n">
        <v>34.01</v>
      </c>
      <c r="I7" s="40" t="n">
        <v>26.99</v>
      </c>
      <c r="J7" s="41" t="s">
        <v>83</v>
      </c>
      <c r="K7" s="42" t="s">
        <v>84</v>
      </c>
      <c r="L7" s="41" t="n">
        <v>418</v>
      </c>
      <c r="M7" s="35"/>
      <c r="N7" s="35"/>
      <c r="O7" s="43" t="n">
        <v>34.097</v>
      </c>
      <c r="P7" s="44" t="n">
        <v>0</v>
      </c>
      <c r="Q7" s="44" t="n">
        <v>0</v>
      </c>
      <c r="R7" s="45" t="n">
        <v>0.07</v>
      </c>
      <c r="S7" s="45" t="n">
        <v>0.07</v>
      </c>
      <c r="T7" s="45" t="n">
        <f aca="false">SUM(P7,R7)</f>
        <v>0.07</v>
      </c>
      <c r="U7" s="45" t="n">
        <f aca="false">SUM(Q7,S7)</f>
        <v>0.07</v>
      </c>
      <c r="V7" s="44" t="n">
        <v>0.704</v>
      </c>
      <c r="W7" s="44" t="n">
        <v>0.69</v>
      </c>
      <c r="X7" s="45" t="n">
        <v>2.09</v>
      </c>
      <c r="Y7" s="45" t="n">
        <v>2.04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customFormat="false" ht="14.15" hidden="false" customHeight="false" outlineLevel="0" collapsed="false">
      <c r="A8" s="34" t="n">
        <f aca="false">A7+1</f>
        <v>2</v>
      </c>
      <c r="B8" s="35"/>
      <c r="C8" s="35"/>
      <c r="D8" s="36" t="n">
        <v>40437</v>
      </c>
      <c r="E8" s="37" t="s">
        <v>85</v>
      </c>
      <c r="F8" s="38" t="s">
        <v>86</v>
      </c>
      <c r="G8" s="38" t="s">
        <v>87</v>
      </c>
      <c r="H8" s="39" t="n">
        <v>34.29</v>
      </c>
      <c r="I8" s="40" t="n">
        <v>26.78</v>
      </c>
      <c r="J8" s="41" t="s">
        <v>88</v>
      </c>
      <c r="K8" s="46" t="s">
        <v>89</v>
      </c>
      <c r="L8" s="41" t="n">
        <v>419</v>
      </c>
      <c r="M8" s="35"/>
      <c r="N8" s="35"/>
      <c r="O8" s="43" t="n">
        <v>33.917</v>
      </c>
      <c r="P8" s="44" t="n">
        <v>0.04</v>
      </c>
      <c r="Q8" s="44" t="n">
        <v>0.04</v>
      </c>
      <c r="R8" s="45" t="n">
        <v>2.38</v>
      </c>
      <c r="S8" s="45" t="n">
        <v>2.33</v>
      </c>
      <c r="T8" s="45" t="n">
        <f aca="false">SUM(P8,R8)</f>
        <v>2.42</v>
      </c>
      <c r="U8" s="45" t="n">
        <f aca="false">SUM(Q8,S8)</f>
        <v>2.37</v>
      </c>
      <c r="V8" s="44" t="n">
        <v>1.168</v>
      </c>
      <c r="W8" s="44" t="n">
        <v>1.14</v>
      </c>
      <c r="X8" s="45" t="n">
        <v>2.59</v>
      </c>
      <c r="Y8" s="45" t="n">
        <v>2.53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customFormat="false" ht="14.15" hidden="false" customHeight="false" outlineLevel="0" collapsed="false">
      <c r="A9" s="34" t="n">
        <f aca="false">A8+1</f>
        <v>3</v>
      </c>
      <c r="B9" s="35"/>
      <c r="C9" s="35"/>
      <c r="D9" s="36" t="n">
        <v>40437</v>
      </c>
      <c r="E9" s="37" t="s">
        <v>90</v>
      </c>
      <c r="F9" s="38" t="s">
        <v>91</v>
      </c>
      <c r="G9" s="38" t="s">
        <v>92</v>
      </c>
      <c r="H9" s="39" t="n">
        <v>34.63</v>
      </c>
      <c r="I9" s="40" t="n">
        <v>26.67</v>
      </c>
      <c r="J9" s="41" t="s">
        <v>93</v>
      </c>
      <c r="K9" s="47" t="s">
        <v>94</v>
      </c>
      <c r="L9" s="41" t="n">
        <v>420</v>
      </c>
      <c r="M9" s="35"/>
      <c r="N9" s="35"/>
      <c r="O9" s="43" t="n">
        <v>34.689</v>
      </c>
      <c r="P9" s="44" t="n">
        <v>0</v>
      </c>
      <c r="Q9" s="44" t="n">
        <v>0</v>
      </c>
      <c r="R9" s="45" t="n">
        <v>0.05</v>
      </c>
      <c r="S9" s="45" t="n">
        <v>0.05</v>
      </c>
      <c r="T9" s="45" t="n">
        <f aca="false">SUM(P9,R9)</f>
        <v>0.05</v>
      </c>
      <c r="U9" s="45" t="n">
        <f aca="false">SUM(Q9,S9)</f>
        <v>0.05</v>
      </c>
      <c r="V9" s="44" t="n">
        <v>0.604</v>
      </c>
      <c r="W9" s="44" t="n">
        <v>0.59</v>
      </c>
      <c r="X9" s="45" t="n">
        <v>0.48</v>
      </c>
      <c r="Y9" s="45" t="n">
        <v>0.47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customFormat="false" ht="14.15" hidden="false" customHeight="false" outlineLevel="0" collapsed="false">
      <c r="A10" s="34" t="n">
        <f aca="false">A9+1</f>
        <v>4</v>
      </c>
      <c r="B10" s="35"/>
      <c r="C10" s="35"/>
      <c r="D10" s="36" t="n">
        <v>40437</v>
      </c>
      <c r="E10" s="37" t="s">
        <v>95</v>
      </c>
      <c r="F10" s="38" t="s">
        <v>96</v>
      </c>
      <c r="G10" s="38" t="s">
        <v>97</v>
      </c>
      <c r="H10" s="39" t="n">
        <v>35.21</v>
      </c>
      <c r="I10" s="40" t="n">
        <v>27.01</v>
      </c>
      <c r="J10" s="41" t="s">
        <v>98</v>
      </c>
      <c r="K10" s="47" t="s">
        <v>99</v>
      </c>
      <c r="L10" s="41" t="n">
        <v>421</v>
      </c>
      <c r="M10" s="35"/>
      <c r="N10" s="35"/>
      <c r="O10" s="43" t="n">
        <v>34.836</v>
      </c>
      <c r="P10" s="44" t="n">
        <v>0.03</v>
      </c>
      <c r="Q10" s="44" t="n">
        <v>0.03</v>
      </c>
      <c r="R10" s="45" t="n">
        <v>5.19</v>
      </c>
      <c r="S10" s="45" t="n">
        <v>5.07</v>
      </c>
      <c r="T10" s="45" t="n">
        <f aca="false">SUM(P10,R10)</f>
        <v>5.22</v>
      </c>
      <c r="U10" s="45" t="n">
        <f aca="false">SUM(Q10,S10)</f>
        <v>5.1</v>
      </c>
      <c r="V10" s="44" t="n">
        <v>1.21</v>
      </c>
      <c r="W10" s="44" t="n">
        <v>1.18</v>
      </c>
      <c r="X10" s="45" t="n">
        <v>2.7</v>
      </c>
      <c r="Y10" s="45" t="n">
        <v>2.64</v>
      </c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customFormat="false" ht="14.15" hidden="false" customHeight="false" outlineLevel="0" collapsed="false">
      <c r="A11" s="34" t="n">
        <f aca="false">A10+1</f>
        <v>5</v>
      </c>
      <c r="B11" s="35"/>
      <c r="C11" s="35"/>
      <c r="D11" s="36" t="n">
        <v>40438</v>
      </c>
      <c r="E11" s="37" t="s">
        <v>100</v>
      </c>
      <c r="F11" s="38" t="s">
        <v>101</v>
      </c>
      <c r="G11" s="38" t="s">
        <v>102</v>
      </c>
      <c r="H11" s="39" t="n">
        <v>35.17</v>
      </c>
      <c r="I11" s="40" t="n">
        <v>26.61</v>
      </c>
      <c r="J11" s="41" t="s">
        <v>103</v>
      </c>
      <c r="K11" s="47" t="s">
        <v>104</v>
      </c>
      <c r="L11" s="41" t="n">
        <v>422</v>
      </c>
      <c r="M11" s="35"/>
      <c r="N11" s="35"/>
      <c r="O11" s="43" t="n">
        <v>35.233</v>
      </c>
      <c r="P11" s="44" t="n">
        <v>0</v>
      </c>
      <c r="Q11" s="44" t="n">
        <v>0</v>
      </c>
      <c r="R11" s="45" t="n">
        <v>0.05</v>
      </c>
      <c r="S11" s="45" t="n">
        <v>0.05</v>
      </c>
      <c r="T11" s="45" t="n">
        <f aca="false">SUM(P11,R11)</f>
        <v>0.05</v>
      </c>
      <c r="U11" s="45" t="n">
        <f aca="false">SUM(Q11,S11)</f>
        <v>0.05</v>
      </c>
      <c r="V11" s="44" t="n">
        <v>0.627</v>
      </c>
      <c r="W11" s="44" t="n">
        <v>0.61</v>
      </c>
      <c r="X11" s="45" t="n">
        <v>0.73</v>
      </c>
      <c r="Y11" s="45" t="n">
        <v>0.71</v>
      </c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customFormat="false" ht="14.15" hidden="false" customHeight="false" outlineLevel="0" collapsed="false">
      <c r="A12" s="34" t="n">
        <f aca="false">A11+1</f>
        <v>6</v>
      </c>
      <c r="B12" s="35"/>
      <c r="C12" s="35"/>
      <c r="D12" s="36" t="n">
        <v>40438</v>
      </c>
      <c r="E12" s="37" t="s">
        <v>105</v>
      </c>
      <c r="F12" s="38" t="s">
        <v>106</v>
      </c>
      <c r="G12" s="38" t="s">
        <v>107</v>
      </c>
      <c r="H12" s="39" t="n">
        <v>35.28</v>
      </c>
      <c r="I12" s="40" t="n">
        <v>26.34</v>
      </c>
      <c r="J12" s="41" t="s">
        <v>108</v>
      </c>
      <c r="K12" s="47" t="s">
        <v>109</v>
      </c>
      <c r="L12" s="41" t="n">
        <v>423</v>
      </c>
      <c r="M12" s="35"/>
      <c r="N12" s="35"/>
      <c r="O12" s="43" t="n">
        <v>35.343</v>
      </c>
      <c r="P12" s="44" t="n">
        <v>0</v>
      </c>
      <c r="Q12" s="44" t="n">
        <v>0</v>
      </c>
      <c r="R12" s="45" t="n">
        <v>0.08</v>
      </c>
      <c r="S12" s="45" t="n">
        <v>0.08</v>
      </c>
      <c r="T12" s="45" t="n">
        <f aca="false">SUM(P12,R12)</f>
        <v>0.08</v>
      </c>
      <c r="U12" s="45" t="n">
        <f aca="false">SUM(Q12,S12)</f>
        <v>0.08</v>
      </c>
      <c r="V12" s="44" t="n">
        <v>0.589</v>
      </c>
      <c r="W12" s="44" t="n">
        <v>0.58</v>
      </c>
      <c r="X12" s="45" t="n">
        <v>0.7</v>
      </c>
      <c r="Y12" s="45" t="n">
        <v>0.68</v>
      </c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customFormat="false" ht="14.15" hidden="false" customHeight="false" outlineLevel="0" collapsed="false">
      <c r="A13" s="34" t="n">
        <f aca="false">A12+1</f>
        <v>7</v>
      </c>
      <c r="B13" s="35"/>
      <c r="C13" s="35"/>
      <c r="D13" s="36" t="n">
        <v>40439</v>
      </c>
      <c r="E13" s="37" t="s">
        <v>110</v>
      </c>
      <c r="F13" s="38" t="s">
        <v>111</v>
      </c>
      <c r="G13" s="38" t="s">
        <v>112</v>
      </c>
      <c r="H13" s="39" t="n">
        <v>35.45</v>
      </c>
      <c r="I13" s="40" t="n">
        <v>26.82</v>
      </c>
      <c r="J13" s="41" t="s">
        <v>113</v>
      </c>
      <c r="K13" s="47" t="s">
        <v>114</v>
      </c>
      <c r="L13" s="41" t="n">
        <v>424</v>
      </c>
      <c r="M13" s="35"/>
      <c r="N13" s="35"/>
      <c r="O13" s="43" t="n">
        <v>35.501</v>
      </c>
      <c r="P13" s="44" t="n">
        <v>0</v>
      </c>
      <c r="Q13" s="44" t="n">
        <v>0</v>
      </c>
      <c r="R13" s="45" t="n">
        <v>0.02</v>
      </c>
      <c r="S13" s="45" t="n">
        <v>0.02</v>
      </c>
      <c r="T13" s="45" t="n">
        <f aca="false">SUM(P13,R13)</f>
        <v>0.02</v>
      </c>
      <c r="U13" s="45" t="n">
        <f aca="false">SUM(Q13,S13)</f>
        <v>0.02</v>
      </c>
      <c r="V13" s="44" t="n">
        <v>0.618</v>
      </c>
      <c r="W13" s="44" t="n">
        <v>0.6</v>
      </c>
      <c r="X13" s="45" t="n">
        <v>0.8</v>
      </c>
      <c r="Y13" s="45" t="n">
        <v>0.78</v>
      </c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customFormat="false" ht="14.15" hidden="false" customHeight="false" outlineLevel="0" collapsed="false">
      <c r="A14" s="34" t="n">
        <f aca="false">A13+1</f>
        <v>8</v>
      </c>
      <c r="B14" s="35"/>
      <c r="C14" s="35"/>
      <c r="D14" s="36" t="n">
        <v>40439</v>
      </c>
      <c r="E14" s="37" t="s">
        <v>115</v>
      </c>
      <c r="F14" s="38" t="s">
        <v>116</v>
      </c>
      <c r="G14" s="38" t="s">
        <v>117</v>
      </c>
      <c r="H14" s="39" t="n">
        <v>35.53</v>
      </c>
      <c r="I14" s="40" t="n">
        <v>24.8</v>
      </c>
      <c r="J14" s="41" t="s">
        <v>118</v>
      </c>
      <c r="K14" s="47" t="s">
        <v>119</v>
      </c>
      <c r="L14" s="41" t="n">
        <v>426</v>
      </c>
      <c r="M14" s="35"/>
      <c r="N14" s="35"/>
      <c r="O14" s="43" t="n">
        <v>35.589</v>
      </c>
      <c r="P14" s="44" t="n">
        <v>0</v>
      </c>
      <c r="Q14" s="44" t="n">
        <v>0</v>
      </c>
      <c r="R14" s="45" t="n">
        <v>0</v>
      </c>
      <c r="S14" s="45" t="n">
        <v>0</v>
      </c>
      <c r="T14" s="45" t="n">
        <f aca="false">SUM(P14,R14)</f>
        <v>0</v>
      </c>
      <c r="U14" s="45" t="n">
        <f aca="false">SUM(Q14,S14)</f>
        <v>0</v>
      </c>
      <c r="V14" s="44" t="n">
        <v>0.771</v>
      </c>
      <c r="W14" s="44" t="n">
        <v>0.75</v>
      </c>
      <c r="X14" s="45" t="n">
        <v>1.21</v>
      </c>
      <c r="Y14" s="45" t="n">
        <v>1.18</v>
      </c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customFormat="false" ht="14.15" hidden="false" customHeight="false" outlineLevel="0" collapsed="false">
      <c r="A15" s="34" t="n">
        <f aca="false">A14+1</f>
        <v>9</v>
      </c>
      <c r="B15" s="35"/>
      <c r="C15" s="35"/>
      <c r="D15" s="36" t="n">
        <v>40440</v>
      </c>
      <c r="E15" s="37" t="s">
        <v>120</v>
      </c>
      <c r="F15" s="38" t="s">
        <v>121</v>
      </c>
      <c r="G15" s="38" t="s">
        <v>122</v>
      </c>
      <c r="H15" s="39" t="n">
        <v>35.73</v>
      </c>
      <c r="I15" s="40" t="n">
        <v>24.15</v>
      </c>
      <c r="J15" s="41" t="s">
        <v>123</v>
      </c>
      <c r="K15" s="47" t="s">
        <v>124</v>
      </c>
      <c r="L15" s="41" t="n">
        <v>427</v>
      </c>
      <c r="M15" s="35"/>
      <c r="N15" s="35"/>
      <c r="O15" s="43" t="n">
        <v>35.787</v>
      </c>
      <c r="P15" s="44" t="n">
        <v>0</v>
      </c>
      <c r="Q15" s="44" t="n">
        <v>0</v>
      </c>
      <c r="R15" s="45" t="n">
        <v>0.1</v>
      </c>
      <c r="S15" s="45" t="n">
        <v>0.1</v>
      </c>
      <c r="T15" s="45" t="n">
        <f aca="false">SUM(P15,R15)</f>
        <v>0.1</v>
      </c>
      <c r="U15" s="45" t="n">
        <f aca="false">SUM(Q15,S15)</f>
        <v>0.1</v>
      </c>
      <c r="V15" s="44" t="n">
        <v>0.769</v>
      </c>
      <c r="W15" s="44" t="n">
        <v>0.75</v>
      </c>
      <c r="X15" s="45" t="n">
        <v>1.4</v>
      </c>
      <c r="Y15" s="45" t="n">
        <v>1.37</v>
      </c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customFormat="false" ht="14.15" hidden="false" customHeight="false" outlineLevel="0" collapsed="false">
      <c r="A16" s="34" t="n">
        <f aca="false">A15+1</f>
        <v>10</v>
      </c>
      <c r="B16" s="35"/>
      <c r="C16" s="35"/>
      <c r="D16" s="36" t="n">
        <v>40440</v>
      </c>
      <c r="E16" s="37" t="s">
        <v>125</v>
      </c>
      <c r="F16" s="38" t="s">
        <v>126</v>
      </c>
      <c r="G16" s="38" t="s">
        <v>127</v>
      </c>
      <c r="H16" s="39" t="n">
        <v>35.73</v>
      </c>
      <c r="I16" s="40" t="n">
        <v>24.26</v>
      </c>
      <c r="J16" s="41" t="s">
        <v>128</v>
      </c>
      <c r="K16" s="47" t="s">
        <v>129</v>
      </c>
      <c r="L16" s="41" t="n">
        <v>428</v>
      </c>
      <c r="M16" s="35"/>
      <c r="N16" s="35"/>
      <c r="O16" s="43" t="n">
        <v>35.794</v>
      </c>
      <c r="P16" s="44" t="n">
        <v>0</v>
      </c>
      <c r="Q16" s="44" t="n">
        <v>0</v>
      </c>
      <c r="R16" s="45" t="n">
        <v>0</v>
      </c>
      <c r="S16" s="45" t="n">
        <v>0</v>
      </c>
      <c r="T16" s="45" t="n">
        <f aca="false">SUM(P16,R16)</f>
        <v>0</v>
      </c>
      <c r="U16" s="45" t="n">
        <f aca="false">SUM(Q16,S16)</f>
        <v>0</v>
      </c>
      <c r="V16" s="44" t="n">
        <v>0.756</v>
      </c>
      <c r="W16" s="44" t="n">
        <v>0.74</v>
      </c>
      <c r="X16" s="45" t="n">
        <v>1.14</v>
      </c>
      <c r="Y16" s="45" t="n">
        <v>1.11</v>
      </c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customFormat="false" ht="14.15" hidden="false" customHeight="false" outlineLevel="0" collapsed="false">
      <c r="A17" s="34" t="n">
        <f aca="false">A16+1</f>
        <v>11</v>
      </c>
      <c r="B17" s="35"/>
      <c r="C17" s="35"/>
      <c r="D17" s="36" t="n">
        <v>40440</v>
      </c>
      <c r="E17" s="37" t="s">
        <v>130</v>
      </c>
      <c r="F17" s="38" t="s">
        <v>131</v>
      </c>
      <c r="G17" s="38" t="s">
        <v>132</v>
      </c>
      <c r="H17" s="39" t="n">
        <v>35.74</v>
      </c>
      <c r="I17" s="40" t="n">
        <v>24.25</v>
      </c>
      <c r="J17" s="41" t="s">
        <v>133</v>
      </c>
      <c r="K17" s="47" t="s">
        <v>134</v>
      </c>
      <c r="L17" s="41" t="n">
        <v>429</v>
      </c>
      <c r="M17" s="35"/>
      <c r="N17" s="35"/>
      <c r="O17" s="43" t="n">
        <v>35.807</v>
      </c>
      <c r="P17" s="44" t="n">
        <v>0</v>
      </c>
      <c r="Q17" s="44" t="n">
        <v>0</v>
      </c>
      <c r="R17" s="45" t="n">
        <v>0</v>
      </c>
      <c r="S17" s="45" t="n">
        <v>0</v>
      </c>
      <c r="T17" s="45" t="n">
        <f aca="false">SUM(P17,R17)</f>
        <v>0</v>
      </c>
      <c r="U17" s="45" t="n">
        <f aca="false">SUM(Q17,S17)</f>
        <v>0</v>
      </c>
      <c r="V17" s="44" t="n">
        <v>0.789</v>
      </c>
      <c r="W17" s="44" t="n">
        <v>0.77</v>
      </c>
      <c r="X17" s="45" t="n">
        <v>1.05</v>
      </c>
      <c r="Y17" s="45" t="n">
        <v>1.03</v>
      </c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customFormat="false" ht="14.15" hidden="false" customHeight="false" outlineLevel="0" collapsed="false">
      <c r="A18" s="48" t="n">
        <v>12</v>
      </c>
      <c r="B18" s="35"/>
      <c r="C18" s="35"/>
      <c r="D18" s="36" t="n">
        <v>40441</v>
      </c>
      <c r="E18" s="37" t="s">
        <v>135</v>
      </c>
      <c r="F18" s="38" t="s">
        <v>136</v>
      </c>
      <c r="G18" s="38" t="s">
        <v>137</v>
      </c>
      <c r="H18" s="39" t="n">
        <v>35.75</v>
      </c>
      <c r="I18" s="40" t="n">
        <v>24.27</v>
      </c>
      <c r="J18" s="41" t="s">
        <v>138</v>
      </c>
      <c r="K18" s="49" t="s">
        <v>139</v>
      </c>
      <c r="L18" s="49" t="n">
        <v>433</v>
      </c>
      <c r="M18" s="35"/>
      <c r="N18" s="35"/>
      <c r="O18" s="43" t="n">
        <v>35.83</v>
      </c>
      <c r="P18" s="44" t="n">
        <v>0</v>
      </c>
      <c r="Q18" s="44" t="n">
        <v>0</v>
      </c>
      <c r="R18" s="45" t="n">
        <v>0</v>
      </c>
      <c r="S18" s="45" t="n">
        <v>0</v>
      </c>
      <c r="T18" s="45" t="n">
        <f aca="false">SUM(P18,R18)</f>
        <v>0</v>
      </c>
      <c r="U18" s="45" t="n">
        <f aca="false">SUM(Q18,S18)</f>
        <v>0</v>
      </c>
      <c r="V18" s="44" t="n">
        <v>0.749</v>
      </c>
      <c r="W18" s="44" t="n">
        <v>0.73</v>
      </c>
      <c r="X18" s="45" t="n">
        <v>0.99</v>
      </c>
      <c r="Y18" s="45" t="n">
        <v>0.97</v>
      </c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customFormat="false" ht="14.15" hidden="false" customHeight="false" outlineLevel="0" collapsed="false">
      <c r="A19" s="48" t="n">
        <v>13</v>
      </c>
      <c r="B19" s="35"/>
      <c r="C19" s="35"/>
      <c r="D19" s="36" t="n">
        <v>40441</v>
      </c>
      <c r="E19" s="37" t="s">
        <v>140</v>
      </c>
      <c r="F19" s="38" t="s">
        <v>141</v>
      </c>
      <c r="G19" s="38" t="s">
        <v>142</v>
      </c>
      <c r="H19" s="39" t="n">
        <v>35.82</v>
      </c>
      <c r="I19" s="40" t="n">
        <v>26.63</v>
      </c>
      <c r="J19" s="41" t="s">
        <v>143</v>
      </c>
      <c r="K19" s="49" t="s">
        <v>144</v>
      </c>
      <c r="L19" s="49" t="n">
        <v>430</v>
      </c>
      <c r="M19" s="35"/>
      <c r="N19" s="35"/>
      <c r="O19" s="43" t="n">
        <v>35.9</v>
      </c>
      <c r="P19" s="44" t="n">
        <v>0.02</v>
      </c>
      <c r="Q19" s="44" t="n">
        <v>0.02</v>
      </c>
      <c r="R19" s="45" t="n">
        <v>0</v>
      </c>
      <c r="S19" s="45" t="n">
        <v>0</v>
      </c>
      <c r="T19" s="45" t="n">
        <f aca="false">SUM(P19,R19)</f>
        <v>0.02</v>
      </c>
      <c r="U19" s="45" t="n">
        <f aca="false">SUM(Q19,S19)</f>
        <v>0.02</v>
      </c>
      <c r="V19" s="44" t="n">
        <v>0.781</v>
      </c>
      <c r="W19" s="44" t="n">
        <v>0.76</v>
      </c>
      <c r="X19" s="45" t="n">
        <v>1.11</v>
      </c>
      <c r="Y19" s="45" t="n">
        <v>1.08</v>
      </c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customFormat="false" ht="14.15" hidden="false" customHeight="false" outlineLevel="0" collapsed="false">
      <c r="A20" s="48" t="n">
        <v>14</v>
      </c>
      <c r="B20" s="35"/>
      <c r="C20" s="35"/>
      <c r="D20" s="36" t="n">
        <v>40442</v>
      </c>
      <c r="E20" s="37" t="s">
        <v>145</v>
      </c>
      <c r="F20" s="38" t="s">
        <v>146</v>
      </c>
      <c r="G20" s="50" t="s">
        <v>147</v>
      </c>
      <c r="H20" s="39" t="n">
        <v>35.93</v>
      </c>
      <c r="I20" s="51" t="n">
        <v>23.64</v>
      </c>
      <c r="J20" s="41" t="s">
        <v>148</v>
      </c>
      <c r="K20" s="49" t="s">
        <v>149</v>
      </c>
      <c r="L20" s="49" t="n">
        <v>431</v>
      </c>
      <c r="M20" s="35"/>
      <c r="N20" s="35"/>
      <c r="O20" s="43" t="n">
        <v>36.005</v>
      </c>
      <c r="P20" s="44" t="n">
        <v>0.06</v>
      </c>
      <c r="Q20" s="44" t="n">
        <v>0.06</v>
      </c>
      <c r="R20" s="45" t="n">
        <v>0.31</v>
      </c>
      <c r="S20" s="45" t="n">
        <v>0.3</v>
      </c>
      <c r="T20" s="45" t="n">
        <f aca="false">SUM(P20,R20)</f>
        <v>0.37</v>
      </c>
      <c r="U20" s="45" t="n">
        <f aca="false">SUM(Q20,S20)</f>
        <v>0.36</v>
      </c>
      <c r="V20" s="44" t="n">
        <v>0.801</v>
      </c>
      <c r="W20" s="44" t="n">
        <v>0.78</v>
      </c>
      <c r="X20" s="45" t="n">
        <v>1.09</v>
      </c>
      <c r="Y20" s="45" t="n">
        <v>1.07</v>
      </c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customFormat="false" ht="14.15" hidden="false" customHeight="false" outlineLevel="0" collapsed="false">
      <c r="A21" s="48" t="n">
        <v>15</v>
      </c>
      <c r="B21" s="35"/>
      <c r="C21" s="35"/>
      <c r="D21" s="36" t="n">
        <v>40442</v>
      </c>
      <c r="E21" s="52" t="s">
        <v>150</v>
      </c>
      <c r="F21" s="38" t="s">
        <v>151</v>
      </c>
      <c r="G21" s="53" t="s">
        <v>152</v>
      </c>
      <c r="H21" s="39" t="n">
        <v>35.89</v>
      </c>
      <c r="I21" s="51" t="n">
        <v>23.84</v>
      </c>
      <c r="J21" s="41" t="s">
        <v>153</v>
      </c>
      <c r="K21" s="49" t="s">
        <v>154</v>
      </c>
      <c r="L21" s="49" t="n">
        <v>432</v>
      </c>
      <c r="M21" s="35"/>
      <c r="N21" s="35"/>
      <c r="O21" s="43" t="n">
        <v>35.971</v>
      </c>
      <c r="P21" s="44" t="n">
        <v>0.04</v>
      </c>
      <c r="Q21" s="44" t="n">
        <v>0.04</v>
      </c>
      <c r="R21" s="45" t="n">
        <v>0.04</v>
      </c>
      <c r="S21" s="45" t="n">
        <v>0.04</v>
      </c>
      <c r="T21" s="45" t="n">
        <f aca="false">SUM(P21,R21)</f>
        <v>0.08</v>
      </c>
      <c r="U21" s="45" t="n">
        <f aca="false">SUM(Q21,S21)</f>
        <v>0.08</v>
      </c>
      <c r="V21" s="44" t="n">
        <v>0.767</v>
      </c>
      <c r="W21" s="44" t="n">
        <v>0.75</v>
      </c>
      <c r="X21" s="45" t="n">
        <v>1.36</v>
      </c>
      <c r="Y21" s="45" t="n">
        <v>1.33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customFormat="false" ht="14.15" hidden="false" customHeight="false" outlineLevel="0" collapsed="false">
      <c r="A22" s="48" t="n">
        <v>16</v>
      </c>
      <c r="B22" s="35"/>
      <c r="C22" s="35"/>
      <c r="D22" s="36" t="n">
        <v>40442</v>
      </c>
      <c r="E22" s="52" t="s">
        <v>155</v>
      </c>
      <c r="F22" s="38" t="s">
        <v>156</v>
      </c>
      <c r="G22" s="50" t="s">
        <v>157</v>
      </c>
      <c r="H22" s="39" t="n">
        <v>36.18</v>
      </c>
      <c r="I22" s="51" t="n">
        <v>23.83</v>
      </c>
      <c r="J22" s="41" t="s">
        <v>158</v>
      </c>
      <c r="K22" s="49" t="s">
        <v>159</v>
      </c>
      <c r="L22" s="49" t="n">
        <v>434</v>
      </c>
      <c r="M22" s="35"/>
      <c r="N22" s="35"/>
      <c r="O22" s="43" t="n">
        <v>36.253</v>
      </c>
      <c r="P22" s="44" t="n">
        <v>0</v>
      </c>
      <c r="Q22" s="44" t="n">
        <v>0</v>
      </c>
      <c r="R22" s="45" t="n">
        <v>0</v>
      </c>
      <c r="S22" s="45" t="n">
        <v>0</v>
      </c>
      <c r="T22" s="45" t="n">
        <f aca="false">SUM(P22,R22)</f>
        <v>0</v>
      </c>
      <c r="U22" s="45" t="n">
        <f aca="false">SUM(Q22,S22)</f>
        <v>0</v>
      </c>
      <c r="V22" s="44" t="n">
        <v>0.714</v>
      </c>
      <c r="W22" s="44" t="n">
        <v>0.7</v>
      </c>
      <c r="X22" s="45" t="n">
        <v>0.98</v>
      </c>
      <c r="Y22" s="45" t="n">
        <v>0.96</v>
      </c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customFormat="false" ht="14.15" hidden="false" customHeight="false" outlineLevel="0" collapsed="false">
      <c r="A23" s="48" t="n">
        <v>17</v>
      </c>
      <c r="B23" s="35"/>
      <c r="C23" s="35"/>
      <c r="D23" s="36" t="n">
        <v>40443</v>
      </c>
      <c r="E23" s="52" t="s">
        <v>160</v>
      </c>
      <c r="F23" s="38" t="s">
        <v>161</v>
      </c>
      <c r="G23" s="50" t="s">
        <v>162</v>
      </c>
      <c r="H23" s="39" t="n">
        <v>36.35</v>
      </c>
      <c r="I23" s="51" t="n">
        <v>23.88</v>
      </c>
      <c r="J23" s="41" t="s">
        <v>163</v>
      </c>
      <c r="K23" s="49" t="s">
        <v>164</v>
      </c>
      <c r="L23" s="49" t="s">
        <v>165</v>
      </c>
      <c r="M23" s="35"/>
      <c r="N23" s="35"/>
      <c r="O23" s="43" t="n">
        <v>36.378</v>
      </c>
      <c r="P23" s="44" t="n">
        <v>0</v>
      </c>
      <c r="Q23" s="44" t="n">
        <v>0</v>
      </c>
      <c r="R23" s="45" t="n">
        <v>0</v>
      </c>
      <c r="S23" s="45" t="n">
        <v>0</v>
      </c>
      <c r="T23" s="45" t="n">
        <f aca="false">SUM(P23,R23)</f>
        <v>0</v>
      </c>
      <c r="U23" s="45" t="n">
        <f aca="false">SUM(Q23,S23)</f>
        <v>0</v>
      </c>
      <c r="V23" s="44" t="n">
        <v>0.679</v>
      </c>
      <c r="W23" s="44" t="n">
        <v>0.66</v>
      </c>
      <c r="X23" s="45" t="n">
        <v>0.61</v>
      </c>
      <c r="Y23" s="45" t="n">
        <v>0.6</v>
      </c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customFormat="false" ht="14.15" hidden="false" customHeight="false" outlineLevel="0" collapsed="false">
      <c r="A24" s="48" t="n">
        <v>18</v>
      </c>
      <c r="B24" s="35"/>
      <c r="C24" s="35"/>
      <c r="D24" s="36" t="n">
        <v>40447</v>
      </c>
      <c r="E24" s="52" t="s">
        <v>166</v>
      </c>
      <c r="F24" s="38" t="s">
        <v>167</v>
      </c>
      <c r="G24" s="50" t="s">
        <v>162</v>
      </c>
      <c r="H24" s="39" t="n">
        <v>35.81</v>
      </c>
      <c r="I24" s="51" t="n">
        <v>24.39</v>
      </c>
      <c r="J24" s="49" t="s">
        <v>165</v>
      </c>
      <c r="K24" s="49" t="s">
        <v>168</v>
      </c>
      <c r="L24" s="49" t="n">
        <v>518</v>
      </c>
      <c r="M24" s="35"/>
      <c r="N24" s="35" t="s">
        <v>169</v>
      </c>
      <c r="O24" s="54" t="n">
        <v>35.875</v>
      </c>
      <c r="P24" s="35"/>
      <c r="Q24" s="35"/>
      <c r="R24" s="35"/>
      <c r="S24" s="35"/>
      <c r="T24" s="45" t="n">
        <f aca="false">SUM(P24,R24)</f>
        <v>0</v>
      </c>
      <c r="U24" s="45" t="n">
        <f aca="false">SUM(Q24,S24)</f>
        <v>0</v>
      </c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customFormat="false" ht="14.15" hidden="false" customHeight="false" outlineLevel="0" collapsed="false">
      <c r="A25" s="48" t="n">
        <v>19</v>
      </c>
      <c r="B25" s="35"/>
      <c r="C25" s="35"/>
      <c r="D25" s="36" t="n">
        <v>40449</v>
      </c>
      <c r="E25" s="52" t="s">
        <v>170</v>
      </c>
      <c r="F25" s="38" t="s">
        <v>171</v>
      </c>
      <c r="G25" s="50" t="s">
        <v>172</v>
      </c>
      <c r="H25" s="39" t="n">
        <v>35.43</v>
      </c>
      <c r="I25" s="51" t="n">
        <v>26.84</v>
      </c>
      <c r="J25" s="49" t="s">
        <v>138</v>
      </c>
      <c r="K25" s="49" t="s">
        <v>173</v>
      </c>
      <c r="L25" s="49" t="n">
        <v>519</v>
      </c>
      <c r="M25" s="35"/>
      <c r="N25" s="35"/>
      <c r="O25" s="55" t="n">
        <v>35.479</v>
      </c>
      <c r="P25" s="44" t="n">
        <v>0</v>
      </c>
      <c r="Q25" s="44" t="n">
        <v>0</v>
      </c>
      <c r="R25" s="45" t="n">
        <v>0</v>
      </c>
      <c r="S25" s="45" t="n">
        <v>0</v>
      </c>
      <c r="T25" s="45" t="n">
        <f aca="false">SUM(P25,R25)</f>
        <v>0</v>
      </c>
      <c r="U25" s="45" t="n">
        <f aca="false">SUM(Q25,S25)</f>
        <v>0</v>
      </c>
      <c r="V25" s="44" t="n">
        <v>0.594</v>
      </c>
      <c r="W25" s="44" t="n">
        <v>0.58</v>
      </c>
      <c r="X25" s="45" t="n">
        <v>0.41</v>
      </c>
      <c r="Y25" s="45" t="n">
        <v>0.4</v>
      </c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customFormat="false" ht="14.15" hidden="false" customHeight="false" outlineLevel="0" collapsed="false">
      <c r="A26" s="48" t="n">
        <v>20</v>
      </c>
      <c r="B26" s="35"/>
      <c r="C26" s="35"/>
      <c r="D26" s="36" t="n">
        <v>40450</v>
      </c>
      <c r="E26" s="52" t="s">
        <v>174</v>
      </c>
      <c r="F26" s="38" t="s">
        <v>175</v>
      </c>
      <c r="G26" s="50" t="s">
        <v>176</v>
      </c>
      <c r="H26" s="39" t="n">
        <v>35.27</v>
      </c>
      <c r="I26" s="51" t="n">
        <v>27.12</v>
      </c>
      <c r="J26" s="49" t="s">
        <v>148</v>
      </c>
      <c r="K26" s="49" t="s">
        <v>177</v>
      </c>
      <c r="L26" s="49" t="n">
        <v>520</v>
      </c>
      <c r="M26" s="35"/>
      <c r="N26" s="35"/>
      <c r="O26" s="55" t="n">
        <v>35.3392</v>
      </c>
      <c r="P26" s="44" t="n">
        <v>0</v>
      </c>
      <c r="Q26" s="44" t="n">
        <v>0</v>
      </c>
      <c r="R26" s="45" t="n">
        <v>0</v>
      </c>
      <c r="S26" s="45" t="n">
        <v>0</v>
      </c>
      <c r="T26" s="45" t="n">
        <f aca="false">SUM(P26,R26)</f>
        <v>0</v>
      </c>
      <c r="U26" s="45" t="n">
        <f aca="false">SUM(Q26,S26)</f>
        <v>0</v>
      </c>
      <c r="V26" s="44" t="n">
        <v>0.583</v>
      </c>
      <c r="W26" s="44" t="n">
        <v>0.57</v>
      </c>
      <c r="X26" s="45" t="n">
        <v>0.45</v>
      </c>
      <c r="Y26" s="45" t="n">
        <v>0.44</v>
      </c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customFormat="false" ht="13.8" hidden="false" customHeight="false" outlineLevel="0" collapsed="false">
      <c r="A27" s="56" t="n">
        <v>21</v>
      </c>
      <c r="B27" s="35"/>
      <c r="C27" s="35"/>
      <c r="D27" s="36" t="n">
        <v>40450</v>
      </c>
      <c r="E27" s="52" t="s">
        <v>178</v>
      </c>
      <c r="F27" s="43" t="s">
        <v>179</v>
      </c>
      <c r="G27" s="43" t="s">
        <v>180</v>
      </c>
      <c r="H27" s="39" t="n">
        <v>35</v>
      </c>
      <c r="I27" s="39" t="n">
        <v>27.17</v>
      </c>
      <c r="J27" s="47" t="s">
        <v>158</v>
      </c>
      <c r="K27" s="47" t="s">
        <v>181</v>
      </c>
      <c r="L27" s="49" t="n">
        <v>521</v>
      </c>
      <c r="M27" s="35"/>
      <c r="N27" s="35"/>
      <c r="O27" s="57" t="n">
        <v>35.0911</v>
      </c>
      <c r="P27" s="44" t="n">
        <v>0</v>
      </c>
      <c r="Q27" s="44" t="n">
        <v>0</v>
      </c>
      <c r="R27" s="45" t="n">
        <v>0</v>
      </c>
      <c r="S27" s="45" t="n">
        <v>0</v>
      </c>
      <c r="T27" s="45" t="n">
        <f aca="false">SUM(P27,R27)</f>
        <v>0</v>
      </c>
      <c r="U27" s="45" t="n">
        <f aca="false">SUM(Q27,S27)</f>
        <v>0</v>
      </c>
      <c r="V27" s="44" t="n">
        <v>0.58</v>
      </c>
      <c r="W27" s="44" t="n">
        <v>0.57</v>
      </c>
      <c r="X27" s="45" t="n">
        <v>0.45</v>
      </c>
      <c r="Y27" s="45" t="n">
        <v>0.44</v>
      </c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customFormat="false" ht="13.8" hidden="false" customHeight="false" outlineLevel="0" collapsed="false">
      <c r="A28" s="48" t="n">
        <v>22</v>
      </c>
      <c r="B28" s="35"/>
      <c r="C28" s="35"/>
      <c r="D28" s="58" t="n">
        <v>40451</v>
      </c>
      <c r="E28" s="59" t="s">
        <v>174</v>
      </c>
      <c r="F28" s="43" t="s">
        <v>182</v>
      </c>
      <c r="G28" s="43" t="s">
        <v>183</v>
      </c>
      <c r="H28" s="39" t="n">
        <v>33.28</v>
      </c>
      <c r="I28" s="39" t="n">
        <v>26.79</v>
      </c>
      <c r="J28" s="41" t="s">
        <v>163</v>
      </c>
      <c r="K28" s="49" t="s">
        <v>184</v>
      </c>
      <c r="L28" s="49" t="n">
        <v>522</v>
      </c>
      <c r="M28" s="35"/>
      <c r="N28" s="35"/>
      <c r="O28" s="57" t="n">
        <v>33.2382</v>
      </c>
      <c r="P28" s="44" t="n">
        <v>0</v>
      </c>
      <c r="Q28" s="44" t="n">
        <v>0</v>
      </c>
      <c r="R28" s="45" t="n">
        <v>0</v>
      </c>
      <c r="S28" s="45" t="n">
        <v>0</v>
      </c>
      <c r="T28" s="45" t="n">
        <f aca="false">SUM(P28,R28)</f>
        <v>0</v>
      </c>
      <c r="U28" s="45" t="n">
        <f aca="false">SUM(Q28,S28)</f>
        <v>0</v>
      </c>
      <c r="V28" s="44" t="n">
        <v>0.602</v>
      </c>
      <c r="W28" s="44" t="n">
        <v>0.59</v>
      </c>
      <c r="X28" s="45" t="n">
        <v>0.86</v>
      </c>
      <c r="Y28" s="45" t="n">
        <v>0.84</v>
      </c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customFormat="false" ht="13.8" hidden="false" customHeight="false" outlineLevel="0" collapsed="false">
      <c r="A29" s="48" t="n">
        <f aca="false">A28+1</f>
        <v>23</v>
      </c>
      <c r="B29" s="35"/>
      <c r="C29" s="35"/>
      <c r="D29" s="58" t="n">
        <v>40451</v>
      </c>
      <c r="E29" s="59" t="s">
        <v>185</v>
      </c>
      <c r="F29" s="43" t="s">
        <v>186</v>
      </c>
      <c r="G29" s="43" t="s">
        <v>117</v>
      </c>
      <c r="H29" s="39" t="n">
        <v>33.27</v>
      </c>
      <c r="I29" s="39" t="n">
        <v>26.74</v>
      </c>
      <c r="J29" s="47" t="s">
        <v>187</v>
      </c>
      <c r="K29" s="47" t="s">
        <v>188</v>
      </c>
      <c r="L29" s="49" t="n">
        <v>523</v>
      </c>
      <c r="M29" s="35"/>
      <c r="N29" s="35"/>
      <c r="O29" s="57" t="n">
        <v>33.3373</v>
      </c>
      <c r="P29" s="44" t="n">
        <v>0</v>
      </c>
      <c r="Q29" s="44" t="n">
        <v>0</v>
      </c>
      <c r="R29" s="45" t="n">
        <v>0.04</v>
      </c>
      <c r="S29" s="45" t="n">
        <v>0.04</v>
      </c>
      <c r="T29" s="45" t="n">
        <f aca="false">SUM(P29,R29)</f>
        <v>0.04</v>
      </c>
      <c r="U29" s="45" t="n">
        <f aca="false">SUM(Q29,S29)</f>
        <v>0.04</v>
      </c>
      <c r="V29" s="44" t="n">
        <v>0.64</v>
      </c>
      <c r="W29" s="44" t="n">
        <v>0.63</v>
      </c>
      <c r="X29" s="45" t="n">
        <v>0.77</v>
      </c>
      <c r="Y29" s="45" t="n">
        <v>0.75</v>
      </c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customFormat="false" ht="13.8" hidden="false" customHeight="false" outlineLevel="0" collapsed="false">
      <c r="A30" s="48" t="n">
        <f aca="false">A29+1</f>
        <v>24</v>
      </c>
      <c r="B30" s="35"/>
      <c r="C30" s="35"/>
      <c r="D30" s="58" t="n">
        <v>40452</v>
      </c>
      <c r="E30" s="59" t="s">
        <v>189</v>
      </c>
      <c r="F30" s="43" t="s">
        <v>190</v>
      </c>
      <c r="G30" s="43" t="s">
        <v>191</v>
      </c>
      <c r="H30" s="39" t="n">
        <v>34.62</v>
      </c>
      <c r="I30" s="39" t="n">
        <v>27.2</v>
      </c>
      <c r="J30" s="41" t="s">
        <v>192</v>
      </c>
      <c r="K30" s="49" t="s">
        <v>193</v>
      </c>
      <c r="L30" s="41" t="s">
        <v>168</v>
      </c>
      <c r="M30" s="35"/>
      <c r="N30" s="35"/>
      <c r="O30" s="57" t="n">
        <v>34.173</v>
      </c>
      <c r="P30" s="44" t="n">
        <v>0</v>
      </c>
      <c r="Q30" s="44" t="n">
        <v>0</v>
      </c>
      <c r="R30" s="45" t="n">
        <v>0.04</v>
      </c>
      <c r="S30" s="45" t="n">
        <v>0.04</v>
      </c>
      <c r="T30" s="45" t="n">
        <f aca="false">SUM(P30,R30)</f>
        <v>0.04</v>
      </c>
      <c r="U30" s="45" t="n">
        <f aca="false">SUM(Q30,S30)</f>
        <v>0.04</v>
      </c>
      <c r="V30" s="44" t="n">
        <v>0.641</v>
      </c>
      <c r="W30" s="44" t="n">
        <v>0.63</v>
      </c>
      <c r="X30" s="45" t="n">
        <v>1.27</v>
      </c>
      <c r="Y30" s="45" t="n">
        <v>1.24</v>
      </c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customFormat="false" ht="13.8" hidden="false" customHeight="false" outlineLevel="0" collapsed="false">
      <c r="A31" s="48" t="n">
        <f aca="false">A30+1</f>
        <v>25</v>
      </c>
      <c r="B31" s="35"/>
      <c r="C31" s="35"/>
      <c r="D31" s="58" t="n">
        <v>40458</v>
      </c>
      <c r="E31" s="59" t="s">
        <v>194</v>
      </c>
      <c r="F31" s="43" t="s">
        <v>195</v>
      </c>
      <c r="G31" s="43" t="s">
        <v>196</v>
      </c>
      <c r="H31" s="39" t="n">
        <v>35.39</v>
      </c>
      <c r="I31" s="39" t="n">
        <v>26.87</v>
      </c>
      <c r="J31" s="47" t="s">
        <v>197</v>
      </c>
      <c r="K31" s="47" t="s">
        <v>198</v>
      </c>
      <c r="L31" s="41" t="s">
        <v>168</v>
      </c>
      <c r="M31" s="35"/>
      <c r="N31" s="35"/>
      <c r="O31" s="57" t="n">
        <v>35.432</v>
      </c>
      <c r="P31" s="44" t="n">
        <v>0</v>
      </c>
      <c r="Q31" s="44" t="n">
        <v>0</v>
      </c>
      <c r="R31" s="45" t="n">
        <v>0.01</v>
      </c>
      <c r="S31" s="45" t="n">
        <v>0.01</v>
      </c>
      <c r="T31" s="45" t="n">
        <f aca="false">SUM(P31,R31)</f>
        <v>0.01</v>
      </c>
      <c r="U31" s="45" t="n">
        <f aca="false">SUM(Q31,S31)</f>
        <v>0.01</v>
      </c>
      <c r="V31" s="44" t="n">
        <v>0.595</v>
      </c>
      <c r="W31" s="44" t="n">
        <v>0.58</v>
      </c>
      <c r="X31" s="45" t="n">
        <v>0.36</v>
      </c>
      <c r="Y31" s="45" t="n">
        <v>0.35</v>
      </c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customFormat="false" ht="14.15" hidden="false" customHeight="false" outlineLevel="0" collapsed="false">
      <c r="A32" s="48" t="n">
        <f aca="false">A31+1</f>
        <v>26</v>
      </c>
      <c r="B32" s="35"/>
      <c r="C32" s="35"/>
      <c r="D32" s="58" t="n">
        <v>40459</v>
      </c>
      <c r="E32" s="59" t="s">
        <v>199</v>
      </c>
      <c r="F32" s="38" t="s">
        <v>111</v>
      </c>
      <c r="G32" s="43" t="s">
        <v>200</v>
      </c>
      <c r="H32" s="39" t="n">
        <v>35.34</v>
      </c>
      <c r="I32" s="39" t="n">
        <v>26.95</v>
      </c>
      <c r="J32" s="41" t="s">
        <v>201</v>
      </c>
      <c r="K32" s="49" t="s">
        <v>202</v>
      </c>
      <c r="L32" s="41" t="s">
        <v>168</v>
      </c>
      <c r="M32" s="35"/>
      <c r="N32" s="35"/>
      <c r="O32" s="57" t="n">
        <v>35.413</v>
      </c>
      <c r="P32" s="44" t="n">
        <v>0</v>
      </c>
      <c r="Q32" s="44" t="n">
        <v>0</v>
      </c>
      <c r="R32" s="45" t="n">
        <v>0.03</v>
      </c>
      <c r="S32" s="45" t="n">
        <v>0.03</v>
      </c>
      <c r="T32" s="45" t="n">
        <f aca="false">SUM(P32,R32)</f>
        <v>0.03</v>
      </c>
      <c r="U32" s="45" t="n">
        <f aca="false">SUM(Q32,S32)</f>
        <v>0.03</v>
      </c>
      <c r="V32" s="44" t="n">
        <v>0.572</v>
      </c>
      <c r="W32" s="44" t="n">
        <v>0.56</v>
      </c>
      <c r="X32" s="45" t="n">
        <v>0.43</v>
      </c>
      <c r="Y32" s="45" t="n">
        <v>0.42</v>
      </c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customFormat="false" ht="14.15" hidden="false" customHeight="false" outlineLevel="0" collapsed="false">
      <c r="A33" s="48" t="n">
        <f aca="false">A32+1</f>
        <v>27</v>
      </c>
      <c r="B33" s="35"/>
      <c r="C33" s="35"/>
      <c r="D33" s="58" t="n">
        <v>40459</v>
      </c>
      <c r="E33" s="59" t="s">
        <v>203</v>
      </c>
      <c r="F33" s="38" t="s">
        <v>111</v>
      </c>
      <c r="G33" s="43" t="s">
        <v>204</v>
      </c>
      <c r="H33" s="39" t="n">
        <v>35.58</v>
      </c>
      <c r="I33" s="39" t="n">
        <v>26.8</v>
      </c>
      <c r="J33" s="47" t="s">
        <v>205</v>
      </c>
      <c r="K33" s="47" t="s">
        <v>206</v>
      </c>
      <c r="L33" s="41" t="s">
        <v>168</v>
      </c>
      <c r="M33" s="35"/>
      <c r="N33" s="35"/>
      <c r="O33" s="57" t="n">
        <v>35.628</v>
      </c>
      <c r="P33" s="44" t="n">
        <v>0</v>
      </c>
      <c r="Q33" s="44" t="n">
        <v>0</v>
      </c>
      <c r="R33" s="45" t="n">
        <v>0.05</v>
      </c>
      <c r="S33" s="45" t="n">
        <v>0.05</v>
      </c>
      <c r="T33" s="45" t="n">
        <f aca="false">SUM(P33,R33)</f>
        <v>0.05</v>
      </c>
      <c r="U33" s="45" t="n">
        <f aca="false">SUM(Q33,S33)</f>
        <v>0.05</v>
      </c>
      <c r="V33" s="44" t="n">
        <v>0.37</v>
      </c>
      <c r="W33" s="44" t="n">
        <v>0.36</v>
      </c>
      <c r="X33" s="45" t="n">
        <v>0.51</v>
      </c>
      <c r="Y33" s="45" t="n">
        <v>0.5</v>
      </c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customFormat="false" ht="14.15" hidden="false" customHeight="false" outlineLevel="0" collapsed="false">
      <c r="A34" s="48" t="n">
        <f aca="false">A33+1</f>
        <v>28</v>
      </c>
      <c r="B34" s="35"/>
      <c r="C34" s="35"/>
      <c r="D34" s="58" t="n">
        <v>40460</v>
      </c>
      <c r="E34" s="59" t="s">
        <v>207</v>
      </c>
      <c r="F34" s="38" t="s">
        <v>111</v>
      </c>
      <c r="G34" s="43" t="s">
        <v>208</v>
      </c>
      <c r="H34" s="39" t="n">
        <v>35.52</v>
      </c>
      <c r="I34" s="39" t="n">
        <v>26.44</v>
      </c>
      <c r="J34" s="47" t="s">
        <v>209</v>
      </c>
      <c r="K34" s="49" t="s">
        <v>210</v>
      </c>
      <c r="L34" s="41" t="s">
        <v>168</v>
      </c>
      <c r="M34" s="35"/>
      <c r="N34" s="35"/>
      <c r="O34" s="57" t="n">
        <v>35.628</v>
      </c>
      <c r="P34" s="44" t="n">
        <v>0</v>
      </c>
      <c r="Q34" s="44" t="n">
        <v>0</v>
      </c>
      <c r="R34" s="45" t="n">
        <v>0.02</v>
      </c>
      <c r="S34" s="45" t="n">
        <v>0.02</v>
      </c>
      <c r="T34" s="45" t="n">
        <f aca="false">SUM(P34,R34)</f>
        <v>0.02</v>
      </c>
      <c r="U34" s="45" t="n">
        <f aca="false">SUM(Q34,S34)</f>
        <v>0.02</v>
      </c>
      <c r="V34" s="44" t="n">
        <v>0.365</v>
      </c>
      <c r="W34" s="44" t="n">
        <v>0.36</v>
      </c>
      <c r="X34" s="45" t="n">
        <v>0.55</v>
      </c>
      <c r="Y34" s="45" t="n">
        <v>0.54</v>
      </c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customFormat="false" ht="14.15" hidden="false" customHeight="false" outlineLevel="0" collapsed="false">
      <c r="A35" s="48" t="n">
        <f aca="false">A34+1</f>
        <v>29</v>
      </c>
      <c r="B35" s="35"/>
      <c r="C35" s="35"/>
      <c r="D35" s="58" t="n">
        <v>40463</v>
      </c>
      <c r="E35" s="59" t="s">
        <v>211</v>
      </c>
      <c r="F35" s="38" t="s">
        <v>111</v>
      </c>
      <c r="G35" s="43" t="s">
        <v>212</v>
      </c>
      <c r="H35" s="39" t="n">
        <v>35.77</v>
      </c>
      <c r="I35" s="39" t="n">
        <v>25.9</v>
      </c>
      <c r="J35" s="41" t="s">
        <v>213</v>
      </c>
      <c r="K35" s="47" t="s">
        <v>214</v>
      </c>
      <c r="L35" s="41" t="s">
        <v>168</v>
      </c>
      <c r="M35" s="35"/>
      <c r="N35" s="35"/>
      <c r="O35" s="57" t="n">
        <v>35.834</v>
      </c>
      <c r="P35" s="44" t="n">
        <v>0.02</v>
      </c>
      <c r="Q35" s="44" t="n">
        <v>0.02</v>
      </c>
      <c r="R35" s="45" t="n">
        <v>0.09</v>
      </c>
      <c r="S35" s="45" t="n">
        <v>0.09</v>
      </c>
      <c r="T35" s="45" t="n">
        <f aca="false">SUM(P35,R35)</f>
        <v>0.11</v>
      </c>
      <c r="U35" s="45" t="n">
        <f aca="false">SUM(Q35,S35)</f>
        <v>0.11</v>
      </c>
      <c r="V35" s="44" t="n">
        <v>0.404</v>
      </c>
      <c r="W35" s="44" t="n">
        <v>0.39</v>
      </c>
      <c r="X35" s="45" t="n">
        <v>0.65</v>
      </c>
      <c r="Y35" s="45" t="n">
        <v>0.64</v>
      </c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customFormat="false" ht="14.15" hidden="false" customHeight="false" outlineLevel="0" collapsed="false">
      <c r="A36" s="48" t="n">
        <f aca="false">A35+1</f>
        <v>30</v>
      </c>
      <c r="B36" s="35"/>
      <c r="C36" s="35"/>
      <c r="D36" s="58" t="n">
        <v>40464</v>
      </c>
      <c r="E36" s="59" t="s">
        <v>215</v>
      </c>
      <c r="F36" s="38" t="s">
        <v>111</v>
      </c>
      <c r="G36" s="43" t="s">
        <v>216</v>
      </c>
      <c r="H36" s="39" t="n">
        <v>35.65</v>
      </c>
      <c r="I36" s="39" t="n">
        <v>26.43</v>
      </c>
      <c r="J36" s="41" t="s">
        <v>163</v>
      </c>
      <c r="K36" s="49" t="s">
        <v>217</v>
      </c>
      <c r="L36" s="41" t="s">
        <v>168</v>
      </c>
      <c r="M36" s="35"/>
      <c r="N36" s="35"/>
      <c r="O36" s="57" t="n">
        <v>35.758</v>
      </c>
      <c r="P36" s="44" t="n">
        <v>0</v>
      </c>
      <c r="Q36" s="44" t="n">
        <v>0</v>
      </c>
      <c r="R36" s="45" t="n">
        <v>0.02</v>
      </c>
      <c r="S36" s="45" t="n">
        <v>0.02</v>
      </c>
      <c r="T36" s="45" t="n">
        <f aca="false">SUM(P36,R36)</f>
        <v>0.02</v>
      </c>
      <c r="U36" s="45" t="n">
        <f aca="false">SUM(Q36,S36)</f>
        <v>0.02</v>
      </c>
      <c r="V36" s="44" t="n">
        <v>0.335</v>
      </c>
      <c r="W36" s="44" t="n">
        <v>0.33</v>
      </c>
      <c r="X36" s="45" t="n">
        <v>0.49</v>
      </c>
      <c r="Y36" s="45" t="n">
        <v>0.48</v>
      </c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customFormat="false" ht="14.15" hidden="false" customHeight="false" outlineLevel="0" collapsed="false">
      <c r="A37" s="48" t="n">
        <f aca="false">A36+1</f>
        <v>31</v>
      </c>
      <c r="B37" s="35"/>
      <c r="C37" s="35"/>
      <c r="D37" s="58" t="n">
        <v>40464</v>
      </c>
      <c r="E37" s="59" t="s">
        <v>218</v>
      </c>
      <c r="F37" s="38" t="s">
        <v>111</v>
      </c>
      <c r="G37" s="43" t="s">
        <v>219</v>
      </c>
      <c r="H37" s="39" t="n">
        <v>35.66</v>
      </c>
      <c r="I37" s="39" t="n">
        <v>26.84</v>
      </c>
      <c r="J37" s="41" t="s">
        <v>158</v>
      </c>
      <c r="K37" s="47" t="s">
        <v>220</v>
      </c>
      <c r="L37" s="41"/>
      <c r="M37" s="35"/>
      <c r="N37" s="35"/>
      <c r="O37" s="57" t="n">
        <v>35.737</v>
      </c>
      <c r="P37" s="44" t="n">
        <v>0</v>
      </c>
      <c r="Q37" s="44" t="n">
        <v>0</v>
      </c>
      <c r="R37" s="45" t="n">
        <v>0.05</v>
      </c>
      <c r="S37" s="45" t="n">
        <v>0.05</v>
      </c>
      <c r="T37" s="45" t="n">
        <f aca="false">SUM(P37,R37)</f>
        <v>0.05</v>
      </c>
      <c r="U37" s="45" t="n">
        <f aca="false">SUM(Q37,S37)</f>
        <v>0.05</v>
      </c>
      <c r="V37" s="44" t="n">
        <v>0.352</v>
      </c>
      <c r="W37" s="44" t="n">
        <v>0.34</v>
      </c>
      <c r="X37" s="45" t="n">
        <v>0.56</v>
      </c>
      <c r="Y37" s="45" t="n">
        <v>0.55</v>
      </c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customFormat="false" ht="14.15" hidden="false" customHeight="false" outlineLevel="0" collapsed="false">
      <c r="A38" s="48" t="n">
        <f aca="false">A37+1</f>
        <v>32</v>
      </c>
      <c r="B38" s="35"/>
      <c r="C38" s="35"/>
      <c r="D38" s="58" t="n">
        <v>40465</v>
      </c>
      <c r="E38" s="59" t="s">
        <v>221</v>
      </c>
      <c r="F38" s="38" t="s">
        <v>111</v>
      </c>
      <c r="G38" s="43" t="s">
        <v>222</v>
      </c>
      <c r="H38" s="39" t="n">
        <v>35.92</v>
      </c>
      <c r="I38" s="39" t="n">
        <v>26.24</v>
      </c>
      <c r="J38" s="41" t="s">
        <v>201</v>
      </c>
      <c r="K38" s="49" t="s">
        <v>223</v>
      </c>
      <c r="L38" s="41"/>
      <c r="M38" s="35"/>
      <c r="N38" s="35"/>
      <c r="O38" s="57" t="n">
        <v>36.033</v>
      </c>
      <c r="P38" s="44" t="n">
        <v>0</v>
      </c>
      <c r="Q38" s="44" t="n">
        <v>0</v>
      </c>
      <c r="R38" s="45" t="n">
        <v>0.12</v>
      </c>
      <c r="S38" s="45" t="n">
        <v>0.12</v>
      </c>
      <c r="T38" s="45" t="n">
        <f aca="false">SUM(P38,R38)</f>
        <v>0.12</v>
      </c>
      <c r="U38" s="45" t="n">
        <f aca="false">SUM(Q38,S38)</f>
        <v>0.12</v>
      </c>
      <c r="V38" s="44" t="n">
        <v>0.367</v>
      </c>
      <c r="W38" s="44" t="n">
        <v>0.36</v>
      </c>
      <c r="X38" s="45" t="n">
        <v>0.64</v>
      </c>
      <c r="Y38" s="45" t="n">
        <v>0.63</v>
      </c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customFormat="false" ht="14.15" hidden="false" customHeight="false" outlineLevel="0" collapsed="false">
      <c r="A39" s="48" t="n">
        <f aca="false">A38+1</f>
        <v>33</v>
      </c>
      <c r="B39" s="35"/>
      <c r="C39" s="35"/>
      <c r="D39" s="58" t="n">
        <v>40466</v>
      </c>
      <c r="E39" s="59" t="s">
        <v>224</v>
      </c>
      <c r="F39" s="38" t="s">
        <v>111</v>
      </c>
      <c r="G39" s="43" t="s">
        <v>225</v>
      </c>
      <c r="H39" s="39" t="n">
        <v>35.83</v>
      </c>
      <c r="I39" s="39" t="n">
        <v>26.76</v>
      </c>
      <c r="J39" s="41" t="s">
        <v>187</v>
      </c>
      <c r="K39" s="47" t="s">
        <v>226</v>
      </c>
      <c r="L39" s="41"/>
      <c r="M39" s="35"/>
      <c r="N39" s="35"/>
      <c r="O39" s="57" t="n">
        <v>35.894</v>
      </c>
      <c r="P39" s="44" t="n">
        <v>0</v>
      </c>
      <c r="Q39" s="44" t="n">
        <v>0</v>
      </c>
      <c r="R39" s="45" t="n">
        <v>0.03</v>
      </c>
      <c r="S39" s="45" t="n">
        <v>0.03</v>
      </c>
      <c r="T39" s="45" t="n">
        <f aca="false">SUM(P39,R39)</f>
        <v>0.03</v>
      </c>
      <c r="U39" s="45" t="n">
        <f aca="false">SUM(Q39,S39)</f>
        <v>0.03</v>
      </c>
      <c r="V39" s="44" t="n">
        <v>0.347</v>
      </c>
      <c r="W39" s="44" t="n">
        <v>0.34</v>
      </c>
      <c r="X39" s="45" t="n">
        <v>0.57</v>
      </c>
      <c r="Y39" s="45" t="n">
        <v>0.56</v>
      </c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customFormat="false" ht="13.8" hidden="false" customHeight="false" outlineLevel="0" collapsed="false">
      <c r="A40" s="48" t="n">
        <f aca="false">A39+1</f>
        <v>34</v>
      </c>
      <c r="B40" s="35"/>
      <c r="C40" s="35"/>
      <c r="D40" s="58" t="n">
        <v>40467</v>
      </c>
      <c r="E40" s="59" t="s">
        <v>227</v>
      </c>
      <c r="F40" s="43" t="s">
        <v>228</v>
      </c>
      <c r="G40" s="43" t="s">
        <v>229</v>
      </c>
      <c r="H40" s="39" t="n">
        <v>35.7</v>
      </c>
      <c r="I40" s="39" t="n">
        <v>27.13</v>
      </c>
      <c r="J40" s="41" t="s">
        <v>153</v>
      </c>
      <c r="K40" s="49" t="s">
        <v>230</v>
      </c>
      <c r="L40" s="41"/>
      <c r="M40" s="35"/>
      <c r="N40" s="35"/>
      <c r="O40" s="57" t="n">
        <v>35.772</v>
      </c>
      <c r="P40" s="44" t="n">
        <v>0</v>
      </c>
      <c r="Q40" s="44" t="n">
        <v>0</v>
      </c>
      <c r="R40" s="45" t="n">
        <v>0.05</v>
      </c>
      <c r="S40" s="45" t="n">
        <v>0.05</v>
      </c>
      <c r="T40" s="45" t="n">
        <f aca="false">SUM(P40,R40)</f>
        <v>0.05</v>
      </c>
      <c r="U40" s="45" t="n">
        <f aca="false">SUM(Q40,S40)</f>
        <v>0.05</v>
      </c>
      <c r="V40" s="44" t="n">
        <v>0.33</v>
      </c>
      <c r="W40" s="44" t="n">
        <v>0.32</v>
      </c>
      <c r="X40" s="45" t="n">
        <v>0.51</v>
      </c>
      <c r="Y40" s="45" t="n">
        <v>0.5</v>
      </c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customFormat="false" ht="13.8" hidden="false" customHeight="false" outlineLevel="0" collapsed="false">
      <c r="A41" s="48" t="n">
        <f aca="false">A40+1</f>
        <v>35</v>
      </c>
      <c r="B41" s="35"/>
      <c r="C41" s="35"/>
      <c r="D41" s="58" t="n">
        <v>40468</v>
      </c>
      <c r="E41" s="59" t="s">
        <v>231</v>
      </c>
      <c r="F41" s="43" t="s">
        <v>101</v>
      </c>
      <c r="G41" s="43" t="s">
        <v>232</v>
      </c>
      <c r="H41" s="39" t="n">
        <v>35.23</v>
      </c>
      <c r="I41" s="39" t="n">
        <v>27.82</v>
      </c>
      <c r="J41" s="41" t="s">
        <v>148</v>
      </c>
      <c r="K41" s="47" t="s">
        <v>233</v>
      </c>
      <c r="L41" s="41"/>
      <c r="M41" s="35"/>
      <c r="N41" s="35"/>
      <c r="O41" s="57" t="n">
        <v>35.315</v>
      </c>
      <c r="P41" s="44" t="n">
        <v>0</v>
      </c>
      <c r="Q41" s="44" t="n">
        <v>0</v>
      </c>
      <c r="R41" s="45" t="n">
        <v>0.08</v>
      </c>
      <c r="S41" s="45" t="n">
        <v>0.08</v>
      </c>
      <c r="T41" s="45" t="n">
        <f aca="false">SUM(P41,R41)</f>
        <v>0.08</v>
      </c>
      <c r="U41" s="45" t="n">
        <f aca="false">SUM(Q41,S41)</f>
        <v>0.08</v>
      </c>
      <c r="V41" s="44" t="n">
        <v>0.282</v>
      </c>
      <c r="W41" s="44" t="n">
        <v>0.28</v>
      </c>
      <c r="X41" s="45" t="n">
        <v>0.49</v>
      </c>
      <c r="Y41" s="45" t="n">
        <v>0.48</v>
      </c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customFormat="false" ht="13.8" hidden="false" customHeight="false" outlineLevel="0" collapsed="false">
      <c r="A42" s="48" t="n">
        <f aca="false">A41+1</f>
        <v>36</v>
      </c>
      <c r="B42" s="35"/>
      <c r="C42" s="35"/>
      <c r="D42" s="58" t="n">
        <v>40468</v>
      </c>
      <c r="E42" s="59" t="s">
        <v>234</v>
      </c>
      <c r="F42" s="43" t="s">
        <v>96</v>
      </c>
      <c r="G42" s="43" t="s">
        <v>235</v>
      </c>
      <c r="H42" s="39" t="n">
        <v>34.7</v>
      </c>
      <c r="I42" s="39" t="n">
        <v>28.48</v>
      </c>
      <c r="J42" s="41" t="s">
        <v>143</v>
      </c>
      <c r="K42" s="49" t="s">
        <v>236</v>
      </c>
      <c r="L42" s="41"/>
      <c r="M42" s="35"/>
      <c r="N42" s="35"/>
      <c r="O42" s="57" t="n">
        <v>34.761</v>
      </c>
      <c r="P42" s="44" t="n">
        <v>0</v>
      </c>
      <c r="Q42" s="44" t="n">
        <v>0</v>
      </c>
      <c r="R42" s="45" t="n">
        <v>0.06</v>
      </c>
      <c r="S42" s="45" t="n">
        <v>0.06</v>
      </c>
      <c r="T42" s="45" t="n">
        <f aca="false">SUM(P42,R42)</f>
        <v>0.06</v>
      </c>
      <c r="U42" s="45" t="n">
        <f aca="false">SUM(Q42,S42)</f>
        <v>0.06</v>
      </c>
      <c r="V42" s="44" t="n">
        <v>0.26</v>
      </c>
      <c r="W42" s="44" t="n">
        <v>0.25</v>
      </c>
      <c r="X42" s="45" t="n">
        <v>0.44</v>
      </c>
      <c r="Y42" s="45" t="n">
        <v>0.43</v>
      </c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customFormat="false" ht="13.8" hidden="false" customHeight="false" outlineLevel="0" collapsed="false">
      <c r="A43" s="48" t="n">
        <f aca="false">A42+1</f>
        <v>37</v>
      </c>
      <c r="B43" s="35"/>
      <c r="C43" s="35"/>
      <c r="D43" s="58" t="n">
        <v>40468</v>
      </c>
      <c r="E43" s="59" t="s">
        <v>237</v>
      </c>
      <c r="F43" s="43" t="s">
        <v>91</v>
      </c>
      <c r="G43" s="43" t="s">
        <v>238</v>
      </c>
      <c r="H43" s="39" t="n">
        <v>34.23</v>
      </c>
      <c r="I43" s="39" t="n">
        <v>28.83</v>
      </c>
      <c r="J43" s="41" t="s">
        <v>138</v>
      </c>
      <c r="K43" s="47" t="s">
        <v>239</v>
      </c>
      <c r="L43" s="41"/>
      <c r="M43" s="35"/>
      <c r="N43" s="35"/>
      <c r="O43" s="57" t="n">
        <v>34.308</v>
      </c>
      <c r="P43" s="44" t="n">
        <v>0</v>
      </c>
      <c r="Q43" s="44" t="n">
        <v>0</v>
      </c>
      <c r="R43" s="45" t="n">
        <v>0.09</v>
      </c>
      <c r="S43" s="45" t="n">
        <v>0.09</v>
      </c>
      <c r="T43" s="45" t="n">
        <f aca="false">SUM(P43,R43)</f>
        <v>0.09</v>
      </c>
      <c r="U43" s="45" t="n">
        <f aca="false">SUM(Q43,S43)</f>
        <v>0.09</v>
      </c>
      <c r="V43" s="44" t="n">
        <v>0.298</v>
      </c>
      <c r="W43" s="44" t="n">
        <v>0.29</v>
      </c>
      <c r="X43" s="45" t="n">
        <v>0.58</v>
      </c>
      <c r="Y43" s="45" t="n">
        <v>0.57</v>
      </c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</row>
    <row r="44" customFormat="false" ht="13.8" hidden="false" customHeight="false" outlineLevel="0" collapsed="false">
      <c r="A44" s="48" t="n">
        <v>38</v>
      </c>
      <c r="B44" s="35"/>
      <c r="C44" s="35"/>
      <c r="D44" s="58" t="n">
        <v>40469</v>
      </c>
      <c r="E44" s="59" t="s">
        <v>240</v>
      </c>
      <c r="F44" s="43" t="s">
        <v>86</v>
      </c>
      <c r="G44" s="43" t="s">
        <v>241</v>
      </c>
      <c r="H44" s="39" t="n">
        <v>34.5</v>
      </c>
      <c r="I44" s="39" t="n">
        <v>28.94</v>
      </c>
      <c r="J44" s="41" t="s">
        <v>133</v>
      </c>
      <c r="K44" s="49" t="s">
        <v>242</v>
      </c>
      <c r="L44" s="41"/>
      <c r="M44" s="41"/>
      <c r="N44" s="41"/>
      <c r="O44" s="57" t="n">
        <v>34.588</v>
      </c>
      <c r="P44" s="44" t="n">
        <v>0</v>
      </c>
      <c r="Q44" s="44" t="n">
        <v>0</v>
      </c>
      <c r="R44" s="45" t="n">
        <v>0.15</v>
      </c>
      <c r="S44" s="45" t="n">
        <v>0.15</v>
      </c>
      <c r="T44" s="45" t="n">
        <f aca="false">SUM(P44,R44)</f>
        <v>0.15</v>
      </c>
      <c r="U44" s="45" t="n">
        <f aca="false">SUM(Q44,S44)</f>
        <v>0.15</v>
      </c>
      <c r="V44" s="44" t="n">
        <v>0.327</v>
      </c>
      <c r="W44" s="44" t="n">
        <v>0.32</v>
      </c>
      <c r="X44" s="45" t="n">
        <v>0.55</v>
      </c>
      <c r="Y44" s="45" t="n">
        <v>0.54</v>
      </c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</row>
    <row r="45" customFormat="false" ht="13.8" hidden="false" customHeight="false" outlineLevel="0" collapsed="false">
      <c r="A45" s="48" t="n">
        <v>39</v>
      </c>
      <c r="B45" s="35"/>
      <c r="C45" s="35"/>
      <c r="D45" s="58" t="n">
        <v>40469</v>
      </c>
      <c r="E45" s="59" t="s">
        <v>243</v>
      </c>
      <c r="F45" s="43" t="s">
        <v>244</v>
      </c>
      <c r="G45" s="43" t="s">
        <v>245</v>
      </c>
      <c r="H45" s="39" t="n">
        <v>34.6</v>
      </c>
      <c r="I45" s="39" t="n">
        <v>28.9</v>
      </c>
      <c r="J45" s="41" t="s">
        <v>197</v>
      </c>
      <c r="K45" s="47" t="s">
        <v>246</v>
      </c>
      <c r="L45" s="41"/>
      <c r="M45" s="41"/>
      <c r="N45" s="41"/>
      <c r="O45" s="57" t="n">
        <v>34.725</v>
      </c>
      <c r="P45" s="44" t="n">
        <v>0</v>
      </c>
      <c r="Q45" s="44" t="n">
        <v>0</v>
      </c>
      <c r="R45" s="45" t="n">
        <v>0.09</v>
      </c>
      <c r="S45" s="45" t="n">
        <v>0.09</v>
      </c>
      <c r="T45" s="45" t="n">
        <f aca="false">SUM(P45,R45)</f>
        <v>0.09</v>
      </c>
      <c r="U45" s="45" t="n">
        <f aca="false">SUM(Q45,S45)</f>
        <v>0.09</v>
      </c>
      <c r="V45" s="44" t="n">
        <v>0.376</v>
      </c>
      <c r="W45" s="44" t="n">
        <v>0.37</v>
      </c>
      <c r="X45" s="45" t="n">
        <v>0.45</v>
      </c>
      <c r="Y45" s="45" t="n">
        <v>0.44</v>
      </c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</row>
    <row r="46" customFormat="false" ht="13.8" hidden="false" customHeight="false" outlineLevel="0" collapsed="false">
      <c r="A46" s="48" t="n">
        <v>40</v>
      </c>
      <c r="B46" s="35"/>
      <c r="C46" s="35"/>
      <c r="D46" s="58" t="n">
        <v>40470</v>
      </c>
      <c r="E46" s="59" t="s">
        <v>247</v>
      </c>
      <c r="F46" s="43" t="s">
        <v>248</v>
      </c>
      <c r="G46" s="43" t="s">
        <v>249</v>
      </c>
      <c r="H46" s="39" t="n">
        <v>35.37</v>
      </c>
      <c r="I46" s="39" t="n">
        <v>28.92</v>
      </c>
      <c r="J46" s="41" t="s">
        <v>192</v>
      </c>
      <c r="K46" s="49" t="s">
        <v>250</v>
      </c>
      <c r="L46" s="41"/>
      <c r="M46" s="41"/>
      <c r="N46" s="41"/>
      <c r="O46" s="57" t="n">
        <v>35.49</v>
      </c>
      <c r="P46" s="44" t="n">
        <v>0</v>
      </c>
      <c r="Q46" s="44" t="n">
        <v>0</v>
      </c>
      <c r="R46" s="45" t="n">
        <v>0.07</v>
      </c>
      <c r="S46" s="45" t="n">
        <v>0.07</v>
      </c>
      <c r="T46" s="45" t="n">
        <f aca="false">SUM(P46,R46)</f>
        <v>0.07</v>
      </c>
      <c r="U46" s="45" t="n">
        <f aca="false">SUM(Q46,S46)</f>
        <v>0.07</v>
      </c>
      <c r="V46" s="44" t="n">
        <v>0.348</v>
      </c>
      <c r="W46" s="44" t="n">
        <v>0.34</v>
      </c>
      <c r="X46" s="45" t="n">
        <v>0.42</v>
      </c>
      <c r="Y46" s="45" t="n">
        <v>0.41</v>
      </c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</row>
    <row r="47" customFormat="false" ht="15" hidden="false" customHeight="false" outlineLevel="0" collapsed="false">
      <c r="A47" s="48" t="n">
        <v>41</v>
      </c>
      <c r="B47" s="35"/>
      <c r="C47" s="35"/>
      <c r="D47" s="58" t="n">
        <v>40470</v>
      </c>
      <c r="E47" s="59" t="s">
        <v>251</v>
      </c>
      <c r="F47" s="60" t="s">
        <v>252</v>
      </c>
      <c r="G47" s="43" t="s">
        <v>253</v>
      </c>
      <c r="H47" s="39" t="n">
        <v>35.32</v>
      </c>
      <c r="I47" s="39" t="n">
        <v>28.97</v>
      </c>
      <c r="J47" s="41" t="s">
        <v>205</v>
      </c>
      <c r="K47" s="47" t="s">
        <v>254</v>
      </c>
      <c r="L47" s="41"/>
      <c r="M47" s="41"/>
      <c r="N47" s="41"/>
      <c r="O47" s="57" t="n">
        <v>35.407</v>
      </c>
      <c r="P47" s="44" t="n">
        <v>0</v>
      </c>
      <c r="Q47" s="44" t="n">
        <v>0</v>
      </c>
      <c r="R47" s="45" t="n">
        <v>0.07</v>
      </c>
      <c r="S47" s="45" t="n">
        <v>0.07</v>
      </c>
      <c r="T47" s="45" t="n">
        <f aca="false">SUM(P47,R47)</f>
        <v>0.07</v>
      </c>
      <c r="U47" s="45" t="n">
        <f aca="false">SUM(Q47,S47)</f>
        <v>0.07</v>
      </c>
      <c r="V47" s="44" t="n">
        <v>0.32</v>
      </c>
      <c r="W47" s="44" t="n">
        <v>0.31</v>
      </c>
      <c r="X47" s="45" t="n">
        <v>0.43</v>
      </c>
      <c r="Y47" s="45" t="n">
        <v>0.42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</row>
    <row r="48" customFormat="false" ht="15" hidden="false" customHeight="false" outlineLevel="0" collapsed="false">
      <c r="A48" s="48" t="n">
        <v>42</v>
      </c>
      <c r="B48" s="35"/>
      <c r="C48" s="35"/>
      <c r="D48" s="58" t="n">
        <v>40470</v>
      </c>
      <c r="E48" s="59" t="s">
        <v>255</v>
      </c>
      <c r="F48" s="60" t="s">
        <v>256</v>
      </c>
      <c r="G48" s="43" t="s">
        <v>257</v>
      </c>
      <c r="H48" s="39" t="n">
        <v>34.69</v>
      </c>
      <c r="I48" s="39" t="n">
        <v>29.59</v>
      </c>
      <c r="J48" s="41" t="s">
        <v>168</v>
      </c>
      <c r="K48" s="49" t="s">
        <v>258</v>
      </c>
      <c r="L48" s="41"/>
      <c r="M48" s="41"/>
      <c r="N48" s="41"/>
      <c r="P48" s="44" t="n">
        <v>0</v>
      </c>
      <c r="Q48" s="44" t="n">
        <v>0</v>
      </c>
      <c r="R48" s="45" t="n">
        <v>0.15</v>
      </c>
      <c r="S48" s="45" t="n">
        <v>0.15</v>
      </c>
      <c r="T48" s="45" t="n">
        <f aca="false">SUM(P48,R48)</f>
        <v>0.15</v>
      </c>
      <c r="U48" s="45" t="n">
        <f aca="false">SUM(Q48,S48)</f>
        <v>0.15</v>
      </c>
      <c r="V48" s="44" t="n">
        <v>0.282</v>
      </c>
      <c r="W48" s="44" t="n">
        <v>0.28</v>
      </c>
      <c r="X48" s="45" t="n">
        <v>0.53</v>
      </c>
      <c r="Y48" s="45" t="n">
        <v>0.52</v>
      </c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</row>
    <row r="49" customFormat="false" ht="15" hidden="false" customHeight="false" outlineLevel="0" collapsed="false">
      <c r="A49" s="48" t="n">
        <v>43</v>
      </c>
      <c r="B49" s="35"/>
      <c r="C49" s="35"/>
      <c r="D49" s="58" t="n">
        <v>40471</v>
      </c>
      <c r="E49" s="59" t="s">
        <v>259</v>
      </c>
      <c r="F49" s="60" t="s">
        <v>260</v>
      </c>
      <c r="G49" s="43" t="s">
        <v>261</v>
      </c>
      <c r="H49" s="39" t="n">
        <v>34.59</v>
      </c>
      <c r="I49" s="39" t="n">
        <v>29.35</v>
      </c>
      <c r="J49" s="41" t="s">
        <v>168</v>
      </c>
      <c r="K49" s="47" t="s">
        <v>262</v>
      </c>
      <c r="L49" s="41"/>
      <c r="M49" s="41"/>
      <c r="N49" s="41"/>
      <c r="O49" s="41" t="s">
        <v>168</v>
      </c>
      <c r="P49" s="44" t="n">
        <v>0</v>
      </c>
      <c r="Q49" s="44" t="n">
        <v>0</v>
      </c>
      <c r="R49" s="45" t="n">
        <v>0.08</v>
      </c>
      <c r="S49" s="45" t="n">
        <v>0.08</v>
      </c>
      <c r="T49" s="45" t="n">
        <f aca="false">SUM(P49,R49)</f>
        <v>0.08</v>
      </c>
      <c r="U49" s="45" t="n">
        <f aca="false">SUM(Q49,S49)</f>
        <v>0.08</v>
      </c>
      <c r="V49" s="44" t="n">
        <v>0.288</v>
      </c>
      <c r="W49" s="44" t="n">
        <v>0.28</v>
      </c>
      <c r="X49" s="45" t="n">
        <v>0.54</v>
      </c>
      <c r="Y49" s="45" t="n">
        <v>0.53</v>
      </c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</row>
    <row r="50" customFormat="false" ht="15" hidden="false" customHeight="false" outlineLevel="0" collapsed="false">
      <c r="A50" s="48" t="n">
        <v>44</v>
      </c>
      <c r="B50" s="35"/>
      <c r="C50" s="35"/>
      <c r="D50" s="58" t="n">
        <v>40471</v>
      </c>
      <c r="E50" s="59" t="s">
        <v>263</v>
      </c>
      <c r="F50" s="60" t="s">
        <v>264</v>
      </c>
      <c r="G50" s="43" t="s">
        <v>265</v>
      </c>
      <c r="H50" s="39" t="n">
        <v>34.42</v>
      </c>
      <c r="I50" s="39" t="n">
        <v>29.15</v>
      </c>
      <c r="J50" s="41" t="s">
        <v>168</v>
      </c>
      <c r="K50" s="49" t="s">
        <v>266</v>
      </c>
      <c r="L50" s="41"/>
      <c r="M50" s="41"/>
      <c r="N50" s="41"/>
      <c r="O50" s="41" t="s">
        <v>168</v>
      </c>
      <c r="P50" s="44" t="n">
        <v>0</v>
      </c>
      <c r="Q50" s="44" t="n">
        <v>0</v>
      </c>
      <c r="R50" s="45" t="n">
        <v>0</v>
      </c>
      <c r="S50" s="45" t="n">
        <v>0</v>
      </c>
      <c r="T50" s="45" t="n">
        <f aca="false">SUM(P50,R50)</f>
        <v>0</v>
      </c>
      <c r="U50" s="45" t="n">
        <f aca="false">SUM(Q50,S50)</f>
        <v>0</v>
      </c>
      <c r="V50" s="44" t="n">
        <v>0.244</v>
      </c>
      <c r="W50" s="44" t="n">
        <v>0.24</v>
      </c>
      <c r="X50" s="45" t="n">
        <v>0.54</v>
      </c>
      <c r="Y50" s="45" t="n">
        <v>0.53</v>
      </c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2022-09-29T14:54:04Z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