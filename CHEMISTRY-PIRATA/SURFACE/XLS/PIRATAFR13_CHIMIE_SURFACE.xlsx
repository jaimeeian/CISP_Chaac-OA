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<sst xmlns="http://schemas.openxmlformats.org/spreadsheetml/2006/main" count="164" uniqueCount="129">
  <si>
    <t xml:space="preserve">CAMPAGNE PIRATA FR 13</t>
  </si>
  <si>
    <t xml:space="preserve">ECHANTILLONS DE SURFACE (faits au début au large de Dakar uniquement)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</si>
  <si>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</si>
  <si>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</si>
  <si>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</si>
  <si>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</si>
  <si>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</si>
  <si>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</si>
  <si>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</si>
  <si>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</si>
  <si>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</si>
  <si>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</si>
  <si>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</si>
  <si>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</si>
  <si>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</si>
  <si>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</si>
  <si>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</si>
  <si>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</si>
  <si>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</si>
  <si>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</si>
  <si>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</si>
  <si>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</si>
  <si>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</si>
  <si>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</si>
  <si>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</si>
  <si>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</si>
  <si>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</si>
  <si>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</si>
  <si>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</si>
  <si>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</si>
  <si>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</si>
  <si>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</si>
  <si>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</si>
  <si>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</si>
  <si>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</si>
  <si>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</si>
  <si>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</si>
  <si>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</si>
  <si>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</si>
  <si>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</si>
  <si>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</si>
  <si>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</si>
  <si>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</si>
  <si>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</si>
  <si>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</si>
  <si>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</si>
  <si>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</si>
  <si>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</si>
  <si>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</si>
  <si>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</si>
  <si>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</si>
  <si>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</si>
  <si>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</si>
  <si>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</si>
  <si>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</si>
  <si>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</si>
  <si>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</si>
  <si>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</si>
  <si>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</si>
  <si>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</si>
  <si>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</si>
  <si>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</si>
  <si>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</si>
  <si>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</si>
  <si>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</si>
  <si>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</si>
  <si>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</si>
  <si>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</si>
  <si>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</si>
  <si>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</si>
  <si>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</si>
  <si>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</si>
  <si>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</si>
  <si>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</si>
  <si>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</si>
  <si>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</si>
  <si>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</si>
  <si>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</si>
  <si>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</si>
  <si>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</si>
  <si>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13h30</t>
  </si>
  <si>
    <t xml:space="preserve">14°25,88 N</t>
  </si>
  <si>
    <t xml:space="preserve">17°27,28 W</t>
  </si>
  <si>
    <t xml:space="preserve">Dakar N°01</t>
  </si>
  <si>
    <t xml:space="preserve"> </t>
  </si>
  <si>
    <t xml:space="preserve">14h30</t>
  </si>
  <si>
    <t xml:space="preserve">14°17,07 N</t>
  </si>
  <si>
    <t xml:space="preserve">17°31,37 W</t>
  </si>
  <si>
    <t xml:space="preserve">Dakar N°02</t>
  </si>
  <si>
    <t xml:space="preserve">15h30</t>
  </si>
  <si>
    <t xml:space="preserve">14°08,27 N</t>
  </si>
  <si>
    <t xml:space="preserve">17°34,87 W</t>
  </si>
  <si>
    <t xml:space="preserve">Dakar N°03</t>
  </si>
  <si>
    <t xml:space="preserve">16h32</t>
  </si>
  <si>
    <t xml:space="preserve">13°57,96 N</t>
  </si>
  <si>
    <t xml:space="preserve">17°38,69 W</t>
  </si>
  <si>
    <t xml:space="preserve">Dakar N°04</t>
  </si>
  <si>
    <t xml:space="preserve">17h30</t>
  </si>
  <si>
    <t xml:space="preserve">13°49,77 N</t>
  </si>
  <si>
    <t xml:space="preserve">17°41,91 W</t>
  </si>
  <si>
    <t xml:space="preserve">Dakar N°05</t>
  </si>
  <si>
    <t xml:space="preserve">18h30</t>
  </si>
  <si>
    <t xml:space="preserve">13°40,85 N</t>
  </si>
  <si>
    <t xml:space="preserve">17°44,64 W</t>
  </si>
  <si>
    <t xml:space="preserve">Dakar N°06</t>
  </si>
  <si>
    <t xml:space="preserve">19h30</t>
  </si>
  <si>
    <t xml:space="preserve">13°32,04 N</t>
  </si>
  <si>
    <t xml:space="preserve">17°48,70 W</t>
  </si>
  <si>
    <t xml:space="preserve">Dakar N°07</t>
  </si>
  <si>
    <t xml:space="preserve">20h30</t>
  </si>
  <si>
    <t xml:space="preserve">13°23,74 N</t>
  </si>
  <si>
    <t xml:space="preserve">17°52,08 W</t>
  </si>
  <si>
    <t xml:space="preserve">Dakar N°08</t>
  </si>
  <si>
    <t xml:space="preserve">21h30</t>
  </si>
  <si>
    <t xml:space="preserve">13°15,24 N</t>
  </si>
  <si>
    <t xml:space="preserve">17°55,39 W</t>
  </si>
  <si>
    <t xml:space="preserve">Dakar N°09</t>
  </si>
  <si>
    <t xml:space="preserve">22h30</t>
  </si>
  <si>
    <t xml:space="preserve">13°06,35 N</t>
  </si>
  <si>
    <t xml:space="preserve">17°58,86 W</t>
  </si>
  <si>
    <t xml:space="preserve">Dakar N°10</t>
  </si>
  <si>
    <t xml:space="preserve">23h30</t>
  </si>
  <si>
    <t xml:space="preserve">12°57,65 N</t>
  </si>
  <si>
    <t xml:space="preserve">18°02,25 W</t>
  </si>
  <si>
    <t xml:space="preserve">Dakar N°11</t>
  </si>
  <si>
    <t xml:space="preserve">00h30</t>
  </si>
  <si>
    <t xml:space="preserve">12°49,11 N</t>
  </si>
  <si>
    <t xml:space="preserve">18°05,58 W</t>
  </si>
  <si>
    <t xml:space="preserve">Dakar N°12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</si>
</sst>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:I18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10.12"/>
    <col collapsed="false" customWidth="true" hidden="false" outlineLevel="0" max="5" min="5" style="3" width="7.57"/>
    <col collapsed="false" customWidth="true" hidden="false" outlineLevel="0" max="6" min="6" style="3" width="11.3"/>
    <col collapsed="false" customWidth="true" hidden="false" outlineLevel="0" max="7" min="7" style="3" width="11.86"/>
    <col collapsed="false" customWidth="true" hidden="false" outlineLevel="0" max="8" min="8" style="1" width="6.88"/>
    <col collapsed="false" customWidth="true" hidden="false" outlineLevel="0" max="9" min="9" style="1" width="7.71"/>
    <col collapsed="false" customWidth="true" hidden="false" outlineLevel="0" max="10" min="10" style="4" width="8.86"/>
    <col collapsed="false" customWidth="true" hidden="false" outlineLevel="0" max="11" min="11" style="4" width="12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35.85"/>
    <col collapsed="false" customWidth="false" hidden="false" outlineLevel="0" max="17" min="15" style="1" width="10.99"/>
    <col collapsed="false" customWidth="true" hidden="false" outlineLevel="0" max="18" min="18" style="1" width="10.71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4"/>
      <c r="U5" s="24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5" t="s">
        <v>34</v>
      </c>
      <c r="AF5" s="12" t="s">
        <v>35</v>
      </c>
      <c r="AG5" s="25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6" t="s">
        <v>42</v>
      </c>
      <c r="AN5" s="12" t="s">
        <v>43</v>
      </c>
      <c r="AO5" s="12" t="s">
        <v>44</v>
      </c>
      <c r="AP5" s="27" t="s">
        <v>45</v>
      </c>
      <c r="AQ5" s="25" t="s">
        <v>46</v>
      </c>
      <c r="AR5" s="25" t="s">
        <v>47</v>
      </c>
      <c r="AS5" s="28" t="s">
        <v>48</v>
      </c>
      <c r="AT5" s="12" t="s">
        <v>49</v>
      </c>
      <c r="AU5" s="12" t="s">
        <v>50</v>
      </c>
      <c r="AV5" s="29" t="s">
        <v>51</v>
      </c>
      <c r="AW5" s="12" t="s">
        <v>52</v>
      </c>
      <c r="AX5" s="30" t="s">
        <v>53</v>
      </c>
      <c r="AMJ5" s="0"/>
    </row>
    <row r="6" customFormat="false" ht="45.75" hidden="false" customHeight="true" outlineLevel="0" collapsed="false">
      <c r="A6" s="31" t="s">
        <v>54</v>
      </c>
      <c r="B6" s="31" t="s">
        <v>55</v>
      </c>
      <c r="C6" s="31" t="s">
        <v>56</v>
      </c>
      <c r="D6" s="32" t="s">
        <v>57</v>
      </c>
      <c r="E6" s="33" t="s">
        <v>58</v>
      </c>
      <c r="F6" s="31" t="s">
        <v>59</v>
      </c>
      <c r="G6" s="31" t="s">
        <v>60</v>
      </c>
      <c r="H6" s="31" t="s">
        <v>61</v>
      </c>
      <c r="I6" s="31" t="s">
        <v>62</v>
      </c>
      <c r="J6" s="31" t="s">
        <v>63</v>
      </c>
      <c r="K6" s="31" t="s">
        <v>64</v>
      </c>
      <c r="L6" s="31" t="s">
        <v>65</v>
      </c>
      <c r="M6" s="31" t="s">
        <v>66</v>
      </c>
      <c r="N6" s="31" t="s">
        <v>67</v>
      </c>
      <c r="O6" s="31" t="s">
        <v>68</v>
      </c>
      <c r="P6" s="34" t="s">
        <v>69</v>
      </c>
      <c r="Q6" s="34" t="s">
        <v>70</v>
      </c>
      <c r="R6" s="34" t="s">
        <v>71</v>
      </c>
      <c r="S6" s="34" t="s">
        <v>72</v>
      </c>
      <c r="T6" s="34" t="s">
        <v>73</v>
      </c>
      <c r="U6" s="34" t="s">
        <v>74</v>
      </c>
      <c r="V6" s="34" t="s">
        <v>75</v>
      </c>
      <c r="W6" s="34" t="s">
        <v>76</v>
      </c>
      <c r="X6" s="34" t="s">
        <v>77</v>
      </c>
      <c r="Y6" s="34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3.8" hidden="false" customHeight="false" outlineLevel="0" collapsed="false">
      <c r="A7" s="35" t="n">
        <v>1</v>
      </c>
      <c r="B7" s="36"/>
      <c r="C7" s="36"/>
      <c r="D7" s="37" t="n">
        <v>38496</v>
      </c>
      <c r="E7" s="38" t="s">
        <v>80</v>
      </c>
      <c r="F7" s="39" t="s">
        <v>81</v>
      </c>
      <c r="G7" s="39" t="s">
        <v>82</v>
      </c>
      <c r="H7" s="36" t="n">
        <v>35.837</v>
      </c>
      <c r="I7" s="36" t="n">
        <v>26.822</v>
      </c>
      <c r="J7" s="36"/>
      <c r="K7" s="40" t="s">
        <v>83</v>
      </c>
      <c r="L7" s="36"/>
      <c r="M7" s="36"/>
      <c r="N7" s="36"/>
      <c r="O7" s="41" t="s">
        <v>84</v>
      </c>
      <c r="P7" s="42" t="n">
        <v>0.034</v>
      </c>
      <c r="Q7" s="42" t="n">
        <v>0.0332244399058122</v>
      </c>
      <c r="R7" s="42" t="n">
        <v>0</v>
      </c>
      <c r="S7" s="42" t="n">
        <v>0</v>
      </c>
      <c r="T7" s="42" t="n">
        <f aca="false">SUM(P7,R7)</f>
        <v>0.034</v>
      </c>
      <c r="U7" s="42" t="n">
        <f aca="false">SUM(Q7,S7)</f>
        <v>0.0332244399058122</v>
      </c>
      <c r="V7" s="42" t="n">
        <v>0.099</v>
      </c>
      <c r="W7" s="42" t="n">
        <v>0.0967417514904533</v>
      </c>
      <c r="X7" s="42" t="n">
        <v>0.53</v>
      </c>
      <c r="Y7" s="42" t="n">
        <v>0.517910386767073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customFormat="false" ht="13.8" hidden="false" customHeight="false" outlineLevel="0" collapsed="false">
      <c r="A8" s="35" t="n">
        <f aca="false">A7+1</f>
        <v>2</v>
      </c>
      <c r="B8" s="36"/>
      <c r="C8" s="36"/>
      <c r="D8" s="37" t="n">
        <v>38496</v>
      </c>
      <c r="E8" s="38" t="s">
        <v>85</v>
      </c>
      <c r="F8" s="39" t="s">
        <v>86</v>
      </c>
      <c r="G8" s="39" t="s">
        <v>87</v>
      </c>
      <c r="H8" s="36" t="n">
        <v>35.866</v>
      </c>
      <c r="I8" s="36" t="n">
        <v>27.051</v>
      </c>
      <c r="J8" s="36"/>
      <c r="K8" s="40" t="s">
        <v>88</v>
      </c>
      <c r="L8" s="36"/>
      <c r="M8" s="36"/>
      <c r="N8" s="36"/>
      <c r="O8" s="41" t="s">
        <v>84</v>
      </c>
      <c r="P8" s="42" t="n">
        <v>0.027</v>
      </c>
      <c r="Q8" s="42" t="n">
        <v>0.0263841140428509</v>
      </c>
      <c r="R8" s="42" t="n">
        <v>0</v>
      </c>
      <c r="S8" s="42" t="n">
        <v>0</v>
      </c>
      <c r="T8" s="42" t="n">
        <f aca="false">SUM(P8,R8)</f>
        <v>0.027</v>
      </c>
      <c r="U8" s="42" t="n">
        <f aca="false">SUM(Q8,S8)</f>
        <v>0.0263841140428509</v>
      </c>
      <c r="V8" s="42" t="n">
        <v>0.09</v>
      </c>
      <c r="W8" s="42" t="n">
        <v>0.087947046809503</v>
      </c>
      <c r="X8" s="42" t="n">
        <v>0.3</v>
      </c>
      <c r="Y8" s="42" t="n">
        <v>0.293156822698343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customFormat="false" ht="13.8" hidden="false" customHeight="false" outlineLevel="0" collapsed="false">
      <c r="A9" s="35" t="n">
        <f aca="false">A8+1</f>
        <v>3</v>
      </c>
      <c r="B9" s="36"/>
      <c r="C9" s="36"/>
      <c r="D9" s="37" t="n">
        <v>38496</v>
      </c>
      <c r="E9" s="38" t="s">
        <v>89</v>
      </c>
      <c r="F9" s="39" t="s">
        <v>90</v>
      </c>
      <c r="G9" s="39" t="s">
        <v>91</v>
      </c>
      <c r="H9" s="36" t="n">
        <v>35.865</v>
      </c>
      <c r="I9" s="36" t="n">
        <v>27.161</v>
      </c>
      <c r="J9" s="36"/>
      <c r="K9" s="40" t="s">
        <v>92</v>
      </c>
      <c r="L9" s="36"/>
      <c r="M9" s="36"/>
      <c r="N9" s="36"/>
      <c r="O9" s="41" t="s">
        <v>84</v>
      </c>
      <c r="P9" s="42" t="n">
        <v>0.038</v>
      </c>
      <c r="Q9" s="42" t="n">
        <v>0.0371331975417901</v>
      </c>
      <c r="R9" s="42" t="n">
        <v>0</v>
      </c>
      <c r="S9" s="42" t="n">
        <v>0</v>
      </c>
      <c r="T9" s="42" t="n">
        <f aca="false">SUM(P9,R9)</f>
        <v>0.038</v>
      </c>
      <c r="U9" s="42" t="n">
        <f aca="false">SUM(Q9,S9)</f>
        <v>0.0371331975417901</v>
      </c>
      <c r="V9" s="42" t="n">
        <v>0.171</v>
      </c>
      <c r="W9" s="42" t="n">
        <v>0.167099388938056</v>
      </c>
      <c r="X9" s="42" t="n">
        <v>0.35</v>
      </c>
      <c r="Y9" s="42" t="n">
        <v>0.342016293148067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customFormat="false" ht="13.8" hidden="false" customHeight="false" outlineLevel="0" collapsed="false">
      <c r="A10" s="35" t="n">
        <f aca="false">A9+1</f>
        <v>4</v>
      </c>
      <c r="B10" s="36"/>
      <c r="C10" s="36"/>
      <c r="D10" s="37" t="n">
        <v>38496</v>
      </c>
      <c r="E10" s="38" t="s">
        <v>93</v>
      </c>
      <c r="F10" s="39" t="s">
        <v>94</v>
      </c>
      <c r="G10" s="39" t="s">
        <v>95</v>
      </c>
      <c r="H10" s="36" t="n">
        <v>35.859</v>
      </c>
      <c r="I10" s="36" t="n">
        <v>27.188</v>
      </c>
      <c r="J10" s="36"/>
      <c r="K10" s="40" t="s">
        <v>96</v>
      </c>
      <c r="L10" s="36"/>
      <c r="M10" s="36"/>
      <c r="N10" s="36"/>
      <c r="O10" s="41" t="s">
        <v>84</v>
      </c>
      <c r="P10" s="42" t="n">
        <v>0.026</v>
      </c>
      <c r="Q10" s="42" t="n">
        <v>0.0254069246338564</v>
      </c>
      <c r="R10" s="42" t="n">
        <v>0</v>
      </c>
      <c r="S10" s="42" t="n">
        <v>0</v>
      </c>
      <c r="T10" s="42" t="n">
        <f aca="false">SUM(P10,R10)</f>
        <v>0.026</v>
      </c>
      <c r="U10" s="42" t="n">
        <f aca="false">SUM(Q10,S10)</f>
        <v>0.0254069246338564</v>
      </c>
      <c r="V10" s="42" t="n">
        <v>0.1</v>
      </c>
      <c r="W10" s="42" t="n">
        <v>0.0977189408994477</v>
      </c>
      <c r="X10" s="42" t="n">
        <v>0.29</v>
      </c>
      <c r="Y10" s="42" t="n">
        <v>0.283384928608398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customFormat="false" ht="13.8" hidden="false" customHeight="false" outlineLevel="0" collapsed="false">
      <c r="A11" s="35" t="n">
        <f aca="false">A10+1</f>
        <v>5</v>
      </c>
      <c r="B11" s="36"/>
      <c r="C11" s="36"/>
      <c r="D11" s="37" t="n">
        <v>38496</v>
      </c>
      <c r="E11" s="38" t="s">
        <v>97</v>
      </c>
      <c r="F11" s="39" t="s">
        <v>98</v>
      </c>
      <c r="G11" s="39" t="s">
        <v>99</v>
      </c>
      <c r="H11" s="36" t="n">
        <v>35.862</v>
      </c>
      <c r="I11" s="36" t="n">
        <v>27.162</v>
      </c>
      <c r="J11" s="36"/>
      <c r="K11" s="40" t="s">
        <v>100</v>
      </c>
      <c r="L11" s="36"/>
      <c r="M11" s="36"/>
      <c r="N11" s="36"/>
      <c r="O11" s="41" t="s">
        <v>84</v>
      </c>
      <c r="P11" s="42" t="n">
        <v>0.03</v>
      </c>
      <c r="Q11" s="42" t="n">
        <v>0.0293156822698343</v>
      </c>
      <c r="R11" s="42" t="n">
        <v>0</v>
      </c>
      <c r="S11" s="42" t="n">
        <v>0</v>
      </c>
      <c r="T11" s="42" t="n">
        <f aca="false">SUM(P11,R11)</f>
        <v>0.03</v>
      </c>
      <c r="U11" s="42" t="n">
        <f aca="false">SUM(Q11,S11)</f>
        <v>0.0293156822698343</v>
      </c>
      <c r="V11" s="42" t="n">
        <v>0.088</v>
      </c>
      <c r="W11" s="42" t="n">
        <v>0.085992667991514</v>
      </c>
      <c r="X11" s="42" t="n">
        <v>0.37</v>
      </c>
      <c r="Y11" s="42" t="n">
        <v>0.361560081327957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customFormat="false" ht="13.8" hidden="false" customHeight="false" outlineLevel="0" collapsed="false">
      <c r="A12" s="35" t="n">
        <f aca="false">A11+1</f>
        <v>6</v>
      </c>
      <c r="B12" s="36"/>
      <c r="C12" s="36"/>
      <c r="D12" s="37" t="n">
        <v>38496</v>
      </c>
      <c r="E12" s="38" t="s">
        <v>101</v>
      </c>
      <c r="F12" s="39" t="s">
        <v>102</v>
      </c>
      <c r="G12" s="39" t="s">
        <v>103</v>
      </c>
      <c r="H12" s="36" t="n">
        <v>35.864</v>
      </c>
      <c r="I12" s="36" t="n">
        <v>27.197</v>
      </c>
      <c r="J12" s="36"/>
      <c r="K12" s="40" t="s">
        <v>104</v>
      </c>
      <c r="L12" s="36"/>
      <c r="M12" s="36"/>
      <c r="N12" s="36"/>
      <c r="O12" s="41" t="s">
        <v>84</v>
      </c>
      <c r="P12" s="42" t="n">
        <v>0.04</v>
      </c>
      <c r="Q12" s="42" t="n">
        <v>0.0390875763597791</v>
      </c>
      <c r="R12" s="42" t="n">
        <v>0</v>
      </c>
      <c r="S12" s="42" t="n">
        <v>0</v>
      </c>
      <c r="T12" s="42" t="n">
        <f aca="false">SUM(P12,R12)</f>
        <v>0.04</v>
      </c>
      <c r="U12" s="42" t="n">
        <f aca="false">SUM(Q12,S12)</f>
        <v>0.0390875763597791</v>
      </c>
      <c r="V12" s="42" t="n">
        <v>0.089</v>
      </c>
      <c r="W12" s="42" t="n">
        <v>0.0869698574005085</v>
      </c>
      <c r="X12" s="42" t="n">
        <v>0.41</v>
      </c>
      <c r="Y12" s="42" t="n">
        <v>0.400647657687736</v>
      </c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customFormat="false" ht="13.8" hidden="false" customHeight="false" outlineLevel="0" collapsed="false">
      <c r="A13" s="35" t="n">
        <f aca="false">A12+1</f>
        <v>7</v>
      </c>
      <c r="B13" s="36"/>
      <c r="C13" s="36"/>
      <c r="D13" s="37" t="n">
        <v>38496</v>
      </c>
      <c r="E13" s="38" t="s">
        <v>105</v>
      </c>
      <c r="F13" s="39" t="s">
        <v>106</v>
      </c>
      <c r="G13" s="39" t="s">
        <v>107</v>
      </c>
      <c r="H13" s="36" t="n">
        <v>35.878</v>
      </c>
      <c r="I13" s="36" t="n">
        <v>27.07</v>
      </c>
      <c r="J13" s="36"/>
      <c r="K13" s="40" t="s">
        <v>108</v>
      </c>
      <c r="L13" s="36"/>
      <c r="M13" s="36"/>
      <c r="N13" s="36"/>
      <c r="O13" s="41" t="s">
        <v>84</v>
      </c>
      <c r="P13" s="42" t="n">
        <v>0.029</v>
      </c>
      <c r="Q13" s="42" t="n">
        <v>0.0283384928608398</v>
      </c>
      <c r="R13" s="42" t="n">
        <v>0</v>
      </c>
      <c r="S13" s="42" t="n">
        <v>0</v>
      </c>
      <c r="T13" s="42" t="n">
        <f aca="false">SUM(P13,R13)</f>
        <v>0.029</v>
      </c>
      <c r="U13" s="42" t="n">
        <f aca="false">SUM(Q13,S13)</f>
        <v>0.0283384928608398</v>
      </c>
      <c r="V13" s="42" t="n">
        <v>0.095</v>
      </c>
      <c r="W13" s="42" t="n">
        <v>0.0928329938544754</v>
      </c>
      <c r="X13" s="42" t="n">
        <v>0.32</v>
      </c>
      <c r="Y13" s="42" t="n">
        <v>0.312700610878233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customFormat="false" ht="13.8" hidden="false" customHeight="false" outlineLevel="0" collapsed="false">
      <c r="A14" s="35" t="n">
        <f aca="false">A13+1</f>
        <v>8</v>
      </c>
      <c r="B14" s="36"/>
      <c r="C14" s="36"/>
      <c r="D14" s="37" t="n">
        <v>38496</v>
      </c>
      <c r="E14" s="38" t="s">
        <v>109</v>
      </c>
      <c r="F14" s="39" t="s">
        <v>110</v>
      </c>
      <c r="G14" s="39" t="s">
        <v>111</v>
      </c>
      <c r="H14" s="36" t="n">
        <v>35.849</v>
      </c>
      <c r="I14" s="36" t="n">
        <v>27.184</v>
      </c>
      <c r="J14" s="36"/>
      <c r="K14" s="40" t="s">
        <v>112</v>
      </c>
      <c r="L14" s="36"/>
      <c r="M14" s="36"/>
      <c r="N14" s="36"/>
      <c r="O14" s="41" t="s">
        <v>84</v>
      </c>
      <c r="P14" s="42" t="n">
        <v>0.034</v>
      </c>
      <c r="Q14" s="42" t="n">
        <v>0.0332244399058122</v>
      </c>
      <c r="R14" s="42" t="n">
        <v>0</v>
      </c>
      <c r="S14" s="42" t="n">
        <v>0</v>
      </c>
      <c r="T14" s="42" t="n">
        <f aca="false">SUM(P14,R14)</f>
        <v>0.034</v>
      </c>
      <c r="U14" s="42" t="n">
        <f aca="false">SUM(Q14,S14)</f>
        <v>0.0332244399058122</v>
      </c>
      <c r="V14" s="42" t="n">
        <v>0.1</v>
      </c>
      <c r="W14" s="42" t="n">
        <v>0.0977189408994477</v>
      </c>
      <c r="X14" s="42" t="n">
        <v>0.09</v>
      </c>
      <c r="Y14" s="42" t="n">
        <v>0.087947046809503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customFormat="false" ht="13.8" hidden="false" customHeight="false" outlineLevel="0" collapsed="false">
      <c r="A15" s="35" t="n">
        <f aca="false">A14+1</f>
        <v>9</v>
      </c>
      <c r="B15" s="36"/>
      <c r="C15" s="36"/>
      <c r="D15" s="37" t="n">
        <v>38496</v>
      </c>
      <c r="E15" s="38" t="s">
        <v>113</v>
      </c>
      <c r="F15" s="39" t="s">
        <v>114</v>
      </c>
      <c r="G15" s="39" t="s">
        <v>115</v>
      </c>
      <c r="H15" s="36" t="n">
        <v>35.854</v>
      </c>
      <c r="I15" s="36" t="n">
        <v>27.662</v>
      </c>
      <c r="J15" s="36"/>
      <c r="K15" s="40" t="s">
        <v>116</v>
      </c>
      <c r="L15" s="36"/>
      <c r="M15" s="36"/>
      <c r="N15" s="36"/>
      <c r="O15" s="41" t="s">
        <v>84</v>
      </c>
      <c r="P15" s="42" t="n">
        <v>0.026</v>
      </c>
      <c r="Q15" s="42" t="n">
        <v>0.0254069246338564</v>
      </c>
      <c r="R15" s="42" t="n">
        <v>0</v>
      </c>
      <c r="S15" s="42" t="n">
        <v>0</v>
      </c>
      <c r="T15" s="42" t="n">
        <f aca="false">SUM(P15,R15)</f>
        <v>0.026</v>
      </c>
      <c r="U15" s="42" t="n">
        <f aca="false">SUM(Q15,S15)</f>
        <v>0.0254069246338564</v>
      </c>
      <c r="V15" s="42" t="n">
        <v>0.084</v>
      </c>
      <c r="W15" s="42" t="n">
        <v>0.0820839103555361</v>
      </c>
      <c r="X15" s="42" t="n">
        <v>0.34</v>
      </c>
      <c r="Y15" s="42" t="n">
        <v>0.332244399058122</v>
      </c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customFormat="false" ht="13.8" hidden="false" customHeight="false" outlineLevel="0" collapsed="false">
      <c r="A16" s="35" t="n">
        <f aca="false">A15+1</f>
        <v>10</v>
      </c>
      <c r="B16" s="36"/>
      <c r="C16" s="36"/>
      <c r="D16" s="37" t="n">
        <v>38496</v>
      </c>
      <c r="E16" s="38" t="s">
        <v>117</v>
      </c>
      <c r="F16" s="39" t="s">
        <v>118</v>
      </c>
      <c r="G16" s="39" t="s">
        <v>119</v>
      </c>
      <c r="H16" s="36" t="n">
        <v>35.786</v>
      </c>
      <c r="I16" s="36" t="n">
        <v>27.569</v>
      </c>
      <c r="J16" s="36"/>
      <c r="K16" s="40" t="s">
        <v>120</v>
      </c>
      <c r="L16" s="36"/>
      <c r="M16" s="36"/>
      <c r="N16" s="36"/>
      <c r="O16" s="41" t="s">
        <v>84</v>
      </c>
      <c r="P16" s="42" t="n">
        <v>0.024</v>
      </c>
      <c r="Q16" s="42" t="n">
        <v>0.0234525458158675</v>
      </c>
      <c r="R16" s="42" t="n">
        <v>0</v>
      </c>
      <c r="S16" s="42" t="n">
        <v>0</v>
      </c>
      <c r="T16" s="42" t="n">
        <f aca="false">SUM(P16,R16)</f>
        <v>0.024</v>
      </c>
      <c r="U16" s="42" t="n">
        <f aca="false">SUM(Q16,S16)</f>
        <v>0.0234525458158675</v>
      </c>
      <c r="V16" s="42" t="n">
        <v>0.086</v>
      </c>
      <c r="W16" s="42" t="n">
        <v>0.0840382891735251</v>
      </c>
      <c r="X16" s="42" t="n">
        <v>0.41</v>
      </c>
      <c r="Y16" s="42" t="n">
        <v>0.400647657687736</v>
      </c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customFormat="false" ht="13.8" hidden="false" customHeight="false" outlineLevel="0" collapsed="false">
      <c r="A17" s="35" t="n">
        <f aca="false">A16+1</f>
        <v>11</v>
      </c>
      <c r="B17" s="36"/>
      <c r="C17" s="36"/>
      <c r="D17" s="37" t="n">
        <v>38496</v>
      </c>
      <c r="E17" s="38" t="s">
        <v>121</v>
      </c>
      <c r="F17" s="39" t="s">
        <v>122</v>
      </c>
      <c r="G17" s="39" t="s">
        <v>123</v>
      </c>
      <c r="H17" s="36" t="n">
        <v>35.777</v>
      </c>
      <c r="I17" s="36" t="n">
        <v>27.609</v>
      </c>
      <c r="J17" s="36"/>
      <c r="K17" s="40" t="s">
        <v>124</v>
      </c>
      <c r="L17" s="36"/>
      <c r="M17" s="36"/>
      <c r="N17" s="36"/>
      <c r="O17" s="41" t="s">
        <v>84</v>
      </c>
      <c r="P17" s="42" t="n">
        <v>0.04</v>
      </c>
      <c r="Q17" s="42" t="n">
        <v>0.0390875763597791</v>
      </c>
      <c r="R17" s="42" t="n">
        <v>0</v>
      </c>
      <c r="S17" s="42" t="n">
        <v>0</v>
      </c>
      <c r="T17" s="42" t="n">
        <f aca="false">SUM(P17,R17)</f>
        <v>0.04</v>
      </c>
      <c r="U17" s="42" t="n">
        <f aca="false">SUM(Q17,S17)</f>
        <v>0.0390875763597791</v>
      </c>
      <c r="V17" s="42" t="n">
        <v>0.11</v>
      </c>
      <c r="W17" s="42" t="n">
        <v>0.107490834989393</v>
      </c>
      <c r="X17" s="42" t="n">
        <v>0.37</v>
      </c>
      <c r="Y17" s="42" t="n">
        <v>0.361560081327957</v>
      </c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customFormat="false" ht="12.8" hidden="false" customHeight="false" outlineLevel="0" collapsed="false">
      <c r="A18" s="43" t="n">
        <v>12</v>
      </c>
      <c r="B18" s="36"/>
      <c r="C18" s="36"/>
      <c r="D18" s="37" t="n">
        <v>38497</v>
      </c>
      <c r="E18" s="38" t="s">
        <v>125</v>
      </c>
      <c r="F18" s="39" t="s">
        <v>126</v>
      </c>
      <c r="G18" s="39" t="s">
        <v>127</v>
      </c>
      <c r="H18" s="36" t="n">
        <v>35.816</v>
      </c>
      <c r="I18" s="36" t="n">
        <v>28.523</v>
      </c>
      <c r="J18" s="36"/>
      <c r="K18" s="44" t="s">
        <v>128</v>
      </c>
      <c r="L18" s="36"/>
      <c r="M18" s="36"/>
      <c r="N18" s="36"/>
      <c r="O18" s="41" t="s">
        <v>84</v>
      </c>
      <c r="P18" s="42" t="n">
        <v>0.035</v>
      </c>
      <c r="Q18" s="42" t="n">
        <v>0.0342016293148067</v>
      </c>
      <c r="R18" s="42" t="n">
        <v>0</v>
      </c>
      <c r="S18" s="42" t="n">
        <v>0</v>
      </c>
      <c r="T18" s="42" t="n">
        <f aca="false">SUM(P18,R18)</f>
        <v>0.035</v>
      </c>
      <c r="U18" s="42" t="n">
        <f aca="false">SUM(Q18,S18)</f>
        <v>0.0342016293148067</v>
      </c>
      <c r="V18" s="42" t="n">
        <v>0.042</v>
      </c>
      <c r="W18" s="42" t="n">
        <v>0.0410419551777681</v>
      </c>
      <c r="X18" s="42" t="n">
        <v>0.48</v>
      </c>
      <c r="Y18" s="42" t="n">
        <v>0.469050916317349</v>
      </c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2022-09-29T15:03:25Z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