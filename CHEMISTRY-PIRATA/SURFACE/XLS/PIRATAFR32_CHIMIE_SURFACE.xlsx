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<sst xmlns="http://schemas.openxmlformats.org/spreadsheetml/2006/main" count="824" uniqueCount="455">
  <si>
    <t xml:space="preserve">CAMPAGNE PIRATA FR 32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</si>
  <si>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</si>
  <si>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</si>
  <si>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</si>
  <si>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</si>
  <si>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</si>
  <si>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</si>
  <si>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</si>
  <si>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</si>
  <si>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</si>
  <si>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</si>
  <si>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astaxanthine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</si>
  <si>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</si>
  <si>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</si>
  <si>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</si>
  <si>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</si>
  <si>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</si>
  <si>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</si>
  <si>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</si>
  <si>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</si>
  <si>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</si>
  <si>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</si>
  <si>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</si>
  <si>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</si>
  <si>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</si>
  <si>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</si>
  <si>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</si>
  <si>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</si>
  <si>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thermosalinographe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</si>
  <si>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</si>
  <si>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</si>
  <si>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</si>
  <si>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</si>
  <si>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</si>
  <si>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</si>
  <si>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</si>
  <si>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</si>
  <si>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</si>
  <si>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</si>
  <si>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</si>
  <si>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</si>
  <si>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</si>
  <si>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</si>
  <si>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</si>
  <si>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</si>
  <si>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</si>
  <si>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</si>
  <si>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</si>
  <si>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</si>
  <si>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</si>
  <si>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</si>
  <si>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</si>
  <si>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</si>
  <si>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ATXA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</si>
  <si>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</si>
  <si>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</si>
  <si>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</si>
  <si>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</si>
  <si>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</si>
  <si>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</si>
  <si>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</si>
  <si>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</si>
  <si>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</si>
  <si>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</si>
  <si>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</si>
  <si>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</si>
  <si>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</si>
  <si>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</si>
  <si>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</si>
  <si>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</si>
  <si>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</si>
  <si>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Lat° prévue</t>
  </si>
  <si>
    <t xml:space="preserve">Lon°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</si>
  <si>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</si>
  <si>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</si>
  <si>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</si>
  <si>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</si>
  <si>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</si>
  <si>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</si>
  <si>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</si>
  <si>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</si>
  <si>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</si>
  <si>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</si>
  <si>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</si>
  <si>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</si>
  <si>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</si>
  <si>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</si>
  <si>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t xml:space="preserve">µg°l-1</t>
  </si>
  <si>
    <t xml:space="preserve">µg.l-1</t>
  </si>
  <si>
    <t xml:space="preserve">17h23</t>
  </si>
  <si>
    <t xml:space="preserve">35°59N</t>
  </si>
  <si>
    <t xml:space="preserve">12°55W</t>
  </si>
  <si>
    <t xml:space="preserve">NaN</t>
  </si>
  <si>
    <t xml:space="preserve">18h06</t>
  </si>
  <si>
    <t xml:space="preserve">31°00N</t>
  </si>
  <si>
    <t xml:space="preserve">14°28W</t>
  </si>
  <si>
    <t xml:space="preserve">09h40</t>
  </si>
  <si>
    <t xml:space="preserve">24°41N</t>
  </si>
  <si>
    <t xml:space="preserve">16°27W</t>
  </si>
  <si>
    <t xml:space="preserve">08h10</t>
  </si>
  <si>
    <t xml:space="preserve">20°01N</t>
  </si>
  <si>
    <t xml:space="preserve">18°01W</t>
  </si>
  <si>
    <t xml:space="preserve">13h18</t>
  </si>
  <si>
    <t xml:space="preserve">13°59N</t>
  </si>
  <si>
    <t xml:space="preserve">19°58W</t>
  </si>
  <si>
    <t xml:space="preserve">S5</t>
  </si>
  <si>
    <t xml:space="preserve">18h12</t>
  </si>
  <si>
    <t xml:space="preserve">12°58N</t>
  </si>
  <si>
    <t xml:space="preserve">16°17W</t>
  </si>
  <si>
    <t xml:space="preserve">S6</t>
  </si>
  <si>
    <t xml:space="preserve">22h46</t>
  </si>
  <si>
    <t xml:space="preserve">11°59N</t>
  </si>
  <si>
    <t xml:space="preserve">20°14W</t>
  </si>
  <si>
    <t xml:space="preserve">S7</t>
  </si>
  <si>
    <t xml:space="preserve">03h27</t>
  </si>
  <si>
    <t xml:space="preserve">10°56N</t>
  </si>
  <si>
    <t xml:space="preserve">20°10W</t>
  </si>
  <si>
    <t xml:space="preserve">S8</t>
  </si>
  <si>
    <t xml:space="preserve">10h53</t>
  </si>
  <si>
    <t xml:space="preserve">10°11N</t>
  </si>
  <si>
    <t xml:space="preserve">20°06W</t>
  </si>
  <si>
    <t xml:space="preserve">S9</t>
  </si>
  <si>
    <t xml:space="preserve">14h20</t>
  </si>
  <si>
    <t xml:space="preserve">07°00N</t>
  </si>
  <si>
    <t xml:space="preserve">17°37W</t>
  </si>
  <si>
    <t xml:space="preserve">S10</t>
  </si>
  <si>
    <t xml:space="preserve">22h43</t>
  </si>
  <si>
    <t xml:space="preserve">05°58N</t>
  </si>
  <si>
    <t xml:space="preserve">16°24W</t>
  </si>
  <si>
    <t xml:space="preserve">S11</t>
  </si>
  <si>
    <t xml:space="preserve">06h26</t>
  </si>
  <si>
    <t xml:space="preserve">05°00N</t>
  </si>
  <si>
    <t xml:space="preserve">15°13W</t>
  </si>
  <si>
    <t xml:space="preserve">S12</t>
  </si>
  <si>
    <t xml:space="preserve">15h30</t>
  </si>
  <si>
    <t xml:space="preserve">03°59N</t>
  </si>
  <si>
    <t xml:space="preserve">13°45W</t>
  </si>
  <si>
    <t xml:space="preserve">S13</t>
  </si>
  <si>
    <t xml:space="preserve">01h47</t>
  </si>
  <si>
    <t xml:space="preserve">03°00N</t>
  </si>
  <si>
    <t xml:space="preserve">12°15W</t>
  </si>
  <si>
    <t xml:space="preserve">S14</t>
  </si>
  <si>
    <t xml:space="preserve">11h27</t>
  </si>
  <si>
    <t xml:space="preserve">01°59N</t>
  </si>
  <si>
    <t xml:space="preserve">10°43W</t>
  </si>
  <si>
    <t xml:space="preserve">S15</t>
  </si>
  <si>
    <t xml:space="preserve">18h49</t>
  </si>
  <si>
    <t xml:space="preserve">11°00S</t>
  </si>
  <si>
    <t xml:space="preserve">11°00W</t>
  </si>
  <si>
    <t xml:space="preserve">S16</t>
  </si>
  <si>
    <t xml:space="preserve">00h20</t>
  </si>
  <si>
    <t xml:space="preserve">12°01S</t>
  </si>
  <si>
    <t xml:space="preserve">9°59W</t>
  </si>
  <si>
    <t xml:space="preserve">S17</t>
  </si>
  <si>
    <t xml:space="preserve">05h45</t>
  </si>
  <si>
    <t xml:space="preserve">13°00S</t>
  </si>
  <si>
    <t xml:space="preserve">S72</t>
  </si>
  <si>
    <t xml:space="preserve">11h30</t>
  </si>
  <si>
    <t xml:space="preserve">14°01S</t>
  </si>
  <si>
    <t xml:space="preserve">S19</t>
  </si>
  <si>
    <t xml:space="preserve">16h56</t>
  </si>
  <si>
    <t xml:space="preserve">15°04S</t>
  </si>
  <si>
    <t xml:space="preserve">9°58W</t>
  </si>
  <si>
    <t xml:space="preserve">S20</t>
  </si>
  <si>
    <t xml:space="preserve">22h35</t>
  </si>
  <si>
    <t xml:space="preserve">16°01S</t>
  </si>
  <si>
    <t xml:space="preserve">9°57W</t>
  </si>
  <si>
    <t xml:space="preserve">S21</t>
  </si>
  <si>
    <t xml:space="preserve">04h01</t>
  </si>
  <si>
    <t xml:space="preserve">17°01S</t>
  </si>
  <si>
    <t xml:space="preserve">S22</t>
  </si>
  <si>
    <t xml:space="preserve">18°01S</t>
  </si>
  <si>
    <t xml:space="preserve">S23</t>
  </si>
  <si>
    <t xml:space="preserve">15h19</t>
  </si>
  <si>
    <t xml:space="preserve">19°00S</t>
  </si>
  <si>
    <t xml:space="preserve">S24</t>
  </si>
  <si>
    <t xml:space="preserve">09h37</t>
  </si>
  <si>
    <t xml:space="preserve">18°59S</t>
  </si>
  <si>
    <t xml:space="preserve">8°55W</t>
  </si>
  <si>
    <t xml:space="preserve">S25</t>
  </si>
  <si>
    <t xml:space="preserve">17h46</t>
  </si>
  <si>
    <t xml:space="preserve">18°00S</t>
  </si>
  <si>
    <t xml:space="preserve">7°51W</t>
  </si>
  <si>
    <t xml:space="preserve">S26</t>
  </si>
  <si>
    <t xml:space="preserve">02h00</t>
  </si>
  <si>
    <t xml:space="preserve">16°58S</t>
  </si>
  <si>
    <t xml:space="preserve">6°44W</t>
  </si>
  <si>
    <t xml:space="preserve">S27</t>
  </si>
  <si>
    <t xml:space="preserve">16h20</t>
  </si>
  <si>
    <t xml:space="preserve">15°00S</t>
  </si>
  <si>
    <t xml:space="preserve">5°32W</t>
  </si>
  <si>
    <t xml:space="preserve">S28</t>
  </si>
  <si>
    <t xml:space="preserve">21h28</t>
  </si>
  <si>
    <t xml:space="preserve">13°57S</t>
  </si>
  <si>
    <t xml:space="preserve">5°20W</t>
  </si>
  <si>
    <t xml:space="preserve">S29</t>
  </si>
  <si>
    <t xml:space="preserve">02h15</t>
  </si>
  <si>
    <t xml:space="preserve">12°00S</t>
  </si>
  <si>
    <t xml:space="preserve">5°10W</t>
  </si>
  <si>
    <t xml:space="preserve">S30</t>
  </si>
  <si>
    <t xml:space="preserve">06h53</t>
  </si>
  <si>
    <t xml:space="preserve">11°99S</t>
  </si>
  <si>
    <t xml:space="preserve">4°97W</t>
  </si>
  <si>
    <t xml:space="preserve">S31</t>
  </si>
  <si>
    <t xml:space="preserve">11h51</t>
  </si>
  <si>
    <t xml:space="preserve">10°57S</t>
  </si>
  <si>
    <t xml:space="preserve">4°46W</t>
  </si>
  <si>
    <t xml:space="preserve">36.431</t>
  </si>
  <si>
    <t xml:space="preserve">27.549</t>
  </si>
  <si>
    <t xml:space="preserve">S32</t>
  </si>
  <si>
    <t xml:space="preserve">16h10</t>
  </si>
  <si>
    <t xml:space="preserve">10°02S</t>
  </si>
  <si>
    <t xml:space="preserve">4°36W</t>
  </si>
  <si>
    <t xml:space="preserve">36.157</t>
  </si>
  <si>
    <t xml:space="preserve">27.963</t>
  </si>
  <si>
    <t xml:space="preserve">S33</t>
  </si>
  <si>
    <t xml:space="preserve">21h32</t>
  </si>
  <si>
    <t xml:space="preserve">08°58S</t>
  </si>
  <si>
    <t xml:space="preserve">4°24W</t>
  </si>
  <si>
    <t xml:space="preserve">36.194</t>
  </si>
  <si>
    <t xml:space="preserve">28.164</t>
  </si>
  <si>
    <t xml:space="preserve">S34</t>
  </si>
  <si>
    <t xml:space="preserve">02h06</t>
  </si>
  <si>
    <t xml:space="preserve">08°01S</t>
  </si>
  <si>
    <t xml:space="preserve">4°14W</t>
  </si>
  <si>
    <t xml:space="preserve">36.160</t>
  </si>
  <si>
    <t xml:space="preserve">28.437</t>
  </si>
  <si>
    <t xml:space="preserve">S35</t>
  </si>
  <si>
    <t xml:space="preserve">07h05</t>
  </si>
  <si>
    <t xml:space="preserve">06°59S</t>
  </si>
  <si>
    <t xml:space="preserve">4°02W</t>
  </si>
  <si>
    <t xml:space="preserve">36.109</t>
  </si>
  <si>
    <t xml:space="preserve">28.506</t>
  </si>
  <si>
    <t xml:space="preserve">S36</t>
  </si>
  <si>
    <t xml:space="preserve">11h57</t>
  </si>
  <si>
    <t xml:space="preserve">05°58S</t>
  </si>
  <si>
    <t xml:space="preserve">3°52W</t>
  </si>
  <si>
    <t xml:space="preserve">35.983</t>
  </si>
  <si>
    <t xml:space="preserve">28.638</t>
  </si>
  <si>
    <t xml:space="preserve">S37</t>
  </si>
  <si>
    <t xml:space="preserve">16h00</t>
  </si>
  <si>
    <t xml:space="preserve">05°07S</t>
  </si>
  <si>
    <t xml:space="preserve">3°41W</t>
  </si>
  <si>
    <t xml:space="preserve">39.718</t>
  </si>
  <si>
    <t xml:space="preserve">29.320</t>
  </si>
  <si>
    <t xml:space="preserve">S38</t>
  </si>
  <si>
    <t xml:space="preserve">21h42</t>
  </si>
  <si>
    <t xml:space="preserve">03°58S</t>
  </si>
  <si>
    <t xml:space="preserve">3°28W</t>
  </si>
  <si>
    <t xml:space="preserve">35.292</t>
  </si>
  <si>
    <t xml:space="preserve">28.906</t>
  </si>
  <si>
    <t xml:space="preserve">S39</t>
  </si>
  <si>
    <t xml:space="preserve">02h37</t>
  </si>
  <si>
    <t xml:space="preserve">02°58S</t>
  </si>
  <si>
    <t xml:space="preserve">3°16W</t>
  </si>
  <si>
    <t xml:space="preserve">35.266</t>
  </si>
  <si>
    <t xml:space="preserve">29.046</t>
  </si>
  <si>
    <t xml:space="preserve">S40</t>
  </si>
  <si>
    <t xml:space="preserve">07h07</t>
  </si>
  <si>
    <t xml:space="preserve">02°01S</t>
  </si>
  <si>
    <t xml:space="preserve">3°07W</t>
  </si>
  <si>
    <t xml:space="preserve">35.699</t>
  </si>
  <si>
    <t xml:space="preserve">28.797</t>
  </si>
  <si>
    <t xml:space="preserve">S41</t>
  </si>
  <si>
    <t xml:space="preserve">12h04</t>
  </si>
  <si>
    <t xml:space="preserve">01°01S</t>
  </si>
  <si>
    <t xml:space="preserve">2°56W</t>
  </si>
  <si>
    <t xml:space="preserve">34.471</t>
  </si>
  <si>
    <t xml:space="preserve">29.571</t>
  </si>
  <si>
    <t xml:space="preserve">S42</t>
  </si>
  <si>
    <t xml:space="preserve">20h36</t>
  </si>
  <si>
    <t xml:space="preserve">00°00N</t>
  </si>
  <si>
    <t xml:space="preserve">03°01W</t>
  </si>
  <si>
    <t xml:space="preserve">34.319</t>
  </si>
  <si>
    <t xml:space="preserve">29.721</t>
  </si>
  <si>
    <t xml:space="preserve">S43</t>
  </si>
  <si>
    <t xml:space="preserve">01h07</t>
  </si>
  <si>
    <t xml:space="preserve">4°00W</t>
  </si>
  <si>
    <t xml:space="preserve">34.501</t>
  </si>
  <si>
    <t xml:space="preserve">29.8</t>
  </si>
  <si>
    <t xml:space="preserve">S44</t>
  </si>
  <si>
    <t xml:space="preserve">05h37</t>
  </si>
  <si>
    <t xml:space="preserve">05°03W</t>
  </si>
  <si>
    <t xml:space="preserve">34.744</t>
  </si>
  <si>
    <t xml:space="preserve">29.235</t>
  </si>
  <si>
    <t xml:space="preserve">S45</t>
  </si>
  <si>
    <t xml:space="preserve">10h06</t>
  </si>
  <si>
    <t xml:space="preserve">06°01W</t>
  </si>
  <si>
    <t xml:space="preserve">35.362</t>
  </si>
  <si>
    <t xml:space="preserve">28.757</t>
  </si>
  <si>
    <t xml:space="preserve">S46</t>
  </si>
  <si>
    <t xml:space="preserve">14h30</t>
  </si>
  <si>
    <t xml:space="preserve">06°59W</t>
  </si>
  <si>
    <t xml:space="preserve">35.562</t>
  </si>
  <si>
    <t xml:space="preserve">29.339</t>
  </si>
  <si>
    <t xml:space="preserve">S47</t>
  </si>
  <si>
    <t xml:space="preserve">20h28</t>
  </si>
  <si>
    <t xml:space="preserve">00°23N</t>
  </si>
  <si>
    <t xml:space="preserve">8°00W</t>
  </si>
  <si>
    <t xml:space="preserve">28.488</t>
  </si>
  <si>
    <t xml:space="preserve">S48</t>
  </si>
  <si>
    <t xml:space="preserve">04h25</t>
  </si>
  <si>
    <t xml:space="preserve">00°25N</t>
  </si>
  <si>
    <t xml:space="preserve">8°59W</t>
  </si>
  <si>
    <t xml:space="preserve">35.134</t>
  </si>
  <si>
    <t xml:space="preserve">28.783</t>
  </si>
  <si>
    <t xml:space="preserve">S49</t>
  </si>
  <si>
    <t xml:space="preserve">14h06</t>
  </si>
  <si>
    <t xml:space="preserve">00°04N</t>
  </si>
  <si>
    <t xml:space="preserve">10°59W</t>
  </si>
  <si>
    <t xml:space="preserve">35.4</t>
  </si>
  <si>
    <t xml:space="preserve">S50</t>
  </si>
  <si>
    <t xml:space="preserve">19h51</t>
  </si>
  <si>
    <t xml:space="preserve">00°08N</t>
  </si>
  <si>
    <t xml:space="preserve">12°03W</t>
  </si>
  <si>
    <t xml:space="preserve">35.501</t>
  </si>
  <si>
    <t xml:space="preserve">28.958</t>
  </si>
  <si>
    <t xml:space="preserve">S51</t>
  </si>
  <si>
    <t xml:space="preserve">00h51</t>
  </si>
  <si>
    <t xml:space="preserve">00°11N</t>
  </si>
  <si>
    <t xml:space="preserve">13°01W</t>
  </si>
  <si>
    <t xml:space="preserve">35.548</t>
  </si>
  <si>
    <t xml:space="preserve">28.880</t>
  </si>
  <si>
    <t xml:space="preserve">S52</t>
  </si>
  <si>
    <t xml:space="preserve">04h55</t>
  </si>
  <si>
    <t xml:space="preserve">00°13N</t>
  </si>
  <si>
    <t xml:space="preserve">35.484</t>
  </si>
  <si>
    <t xml:space="preserve">29.004</t>
  </si>
  <si>
    <t xml:space="preserve">S53</t>
  </si>
  <si>
    <t xml:space="preserve">11h50</t>
  </si>
  <si>
    <t xml:space="preserve">00°17N</t>
  </si>
  <si>
    <t xml:space="preserve">15°02W</t>
  </si>
  <si>
    <t xml:space="preserve">35.685</t>
  </si>
  <si>
    <t xml:space="preserve">29.025</t>
  </si>
  <si>
    <t xml:space="preserve">S54</t>
  </si>
  <si>
    <t xml:space="preserve">16h28</t>
  </si>
  <si>
    <t xml:space="preserve">00°20N</t>
  </si>
  <si>
    <t xml:space="preserve">15°58W</t>
  </si>
  <si>
    <t xml:space="preserve">35.248</t>
  </si>
  <si>
    <t xml:space="preserve">29.145</t>
  </si>
  <si>
    <t xml:space="preserve">S55</t>
  </si>
  <si>
    <t xml:space="preserve">20h04</t>
  </si>
  <si>
    <t xml:space="preserve">00°22N</t>
  </si>
  <si>
    <t xml:space="preserve">16°46W</t>
  </si>
  <si>
    <t xml:space="preserve">35.320</t>
  </si>
  <si>
    <t xml:space="preserve">28.909</t>
  </si>
  <si>
    <t xml:space="preserve">S56</t>
  </si>
  <si>
    <t xml:space="preserve">02h39</t>
  </si>
  <si>
    <t xml:space="preserve">35.465</t>
  </si>
  <si>
    <t xml:space="preserve">S57</t>
  </si>
  <si>
    <t xml:space="preserve">07h38</t>
  </si>
  <si>
    <t xml:space="preserve">00°29N</t>
  </si>
  <si>
    <t xml:space="preserve">19°01W</t>
  </si>
  <si>
    <t xml:space="preserve">35.409</t>
  </si>
  <si>
    <t xml:space="preserve">28.611</t>
  </si>
  <si>
    <t xml:space="preserve">S58</t>
  </si>
  <si>
    <t xml:space="preserve">12h57</t>
  </si>
  <si>
    <t xml:space="preserve">00°28N</t>
  </si>
  <si>
    <t xml:space="preserve">19°59W</t>
  </si>
  <si>
    <t xml:space="preserve">35?4</t>
  </si>
  <si>
    <t xml:space="preserve">28?8</t>
  </si>
  <si>
    <t xml:space="preserve">S59</t>
  </si>
  <si>
    <t xml:space="preserve">18h15</t>
  </si>
  <si>
    <t xml:space="preserve">00°19N</t>
  </si>
  <si>
    <t xml:space="preserve">20°59W</t>
  </si>
  <si>
    <t xml:space="preserve">35.095</t>
  </si>
  <si>
    <t xml:space="preserve">29.212</t>
  </si>
  <si>
    <t xml:space="preserve">S60</t>
  </si>
  <si>
    <t xml:space="preserve">23h54</t>
  </si>
  <si>
    <t xml:space="preserve">00°09N</t>
  </si>
  <si>
    <t xml:space="preserve">21°58W</t>
  </si>
  <si>
    <t xml:space="preserve">35.1</t>
  </si>
  <si>
    <t xml:space="preserve">28.9</t>
  </si>
  <si>
    <t xml:space="preserve">S61</t>
  </si>
  <si>
    <t xml:space="preserve">23h10</t>
  </si>
  <si>
    <t xml:space="preserve">01°00N</t>
  </si>
  <si>
    <t xml:space="preserve">23°05W</t>
  </si>
  <si>
    <t xml:space="preserve">35.637</t>
  </si>
  <si>
    <t xml:space="preserve">28.713</t>
  </si>
  <si>
    <t xml:space="preserve">S62</t>
  </si>
  <si>
    <t xml:space="preserve">04h37</t>
  </si>
  <si>
    <t xml:space="preserve">02°01N</t>
  </si>
  <si>
    <t xml:space="preserve">22°59W</t>
  </si>
  <si>
    <t xml:space="preserve">35.155</t>
  </si>
  <si>
    <t xml:space="preserve">28.342</t>
  </si>
  <si>
    <t xml:space="preserve">S63</t>
  </si>
  <si>
    <t xml:space="preserve">10h34</t>
  </si>
  <si>
    <t xml:space="preserve">03°01N</t>
  </si>
  <si>
    <t xml:space="preserve">23°00W</t>
  </si>
  <si>
    <t xml:space="preserve">34.780</t>
  </si>
  <si>
    <t xml:space="preserve">28.402</t>
  </si>
  <si>
    <t xml:space="preserve">S64</t>
  </si>
  <si>
    <t xml:space="preserve">18h11</t>
  </si>
  <si>
    <t xml:space="preserve">04°04N</t>
  </si>
  <si>
    <t xml:space="preserve">34.7</t>
  </si>
  <si>
    <t xml:space="preserve">28.8</t>
  </si>
  <si>
    <t xml:space="preserve">S65</t>
  </si>
  <si>
    <t xml:space="preserve">00h02</t>
  </si>
  <si>
    <t xml:space="preserve">05°02N</t>
  </si>
  <si>
    <t xml:space="preserve">35.5</t>
  </si>
  <si>
    <t xml:space="preserve">S66</t>
  </si>
  <si>
    <t xml:space="preserve">06h10</t>
  </si>
  <si>
    <t xml:space="preserve">06°02N</t>
  </si>
  <si>
    <t xml:space="preserve">35.836</t>
  </si>
  <si>
    <t xml:space="preserve">27.026</t>
  </si>
  <si>
    <t xml:space="preserve">S67</t>
  </si>
  <si>
    <t xml:space="preserve">12h05</t>
  </si>
  <si>
    <t xml:space="preserve">35.982</t>
  </si>
  <si>
    <t xml:space="preserve">26.617</t>
  </si>
  <si>
    <t xml:space="preserve">S68</t>
  </si>
  <si>
    <t xml:space="preserve">18h14</t>
  </si>
  <si>
    <t xml:space="preserve">08°01N</t>
  </si>
  <si>
    <t xml:space="preserve">36.047</t>
  </si>
  <si>
    <t xml:space="preserve">26.67</t>
  </si>
  <si>
    <t xml:space="preserve">S69</t>
  </si>
  <si>
    <t xml:space="preserve">23h12</t>
  </si>
  <si>
    <t xml:space="preserve">08°59N</t>
  </si>
  <si>
    <t xml:space="preserve">25.2</t>
  </si>
  <si>
    <t xml:space="preserve">S70</t>
  </si>
  <si>
    <t xml:space="preserve">05h12</t>
  </si>
  <si>
    <t xml:space="preserve">10°02N</t>
  </si>
  <si>
    <t xml:space="preserve">35.86</t>
  </si>
  <si>
    <t xml:space="preserve">24.35</t>
  </si>
  <si>
    <t xml:space="preserve">S71</t>
  </si>
  <si>
    <t xml:space="preserve">10h52</t>
  </si>
  <si>
    <t xml:space="preserve">11°00N</t>
  </si>
  <si>
    <t xml:space="preserve">24.5</t>
  </si>
  <si>
    <t xml:space="preserve">18h36</t>
  </si>
  <si>
    <t xml:space="preserve">12°00N</t>
  </si>
  <si>
    <t xml:space="preserve">35.882</t>
  </si>
  <si>
    <t xml:space="preserve">23.28</t>
  </si>
  <si>
    <t xml:space="preserve">S73</t>
  </si>
  <si>
    <t xml:space="preserve">07h42</t>
  </si>
  <si>
    <t xml:space="preserve">14°16N</t>
  </si>
  <si>
    <t xml:space="preserve">21°57W</t>
  </si>
  <si>
    <t xml:space="preserve">36.018</t>
  </si>
  <si>
    <t xml:space="preserve">22.02</t>
  </si>
  <si>
    <t xml:space="preserve">S74</t>
  </si>
  <si>
    <t xml:space="preserve">15h33</t>
  </si>
  <si>
    <t xml:space="preserve">15°18N</t>
  </si>
  <si>
    <t xml:space="preserve">21°27W</t>
  </si>
  <si>
    <t xml:space="preserve">36.071</t>
  </si>
  <si>
    <t xml:space="preserve">S75</t>
  </si>
  <si>
    <t xml:space="preserve">20h09</t>
  </si>
  <si>
    <t xml:space="preserve">16°01N</t>
  </si>
  <si>
    <t xml:space="preserve">21°08W</t>
  </si>
  <si>
    <t xml:space="preserve">36.100</t>
  </si>
  <si>
    <t xml:space="preserve">22.485</t>
  </si>
  <si>
    <t xml:space="preserve">S76</t>
  </si>
  <si>
    <t xml:space="preserve">07h50</t>
  </si>
  <si>
    <t xml:space="preserve">18°01N</t>
  </si>
  <si>
    <t xml:space="preserve">20°11W</t>
  </si>
  <si>
    <t xml:space="preserve">36.087</t>
  </si>
  <si>
    <t xml:space="preserve">20.35</t>
  </si>
  <si>
    <t xml:space="preserve">S77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</si>
</sst>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00"/>
    <numFmt numFmtId="167" formatCode="0.00"/>
    <numFmt numFmtId="168" formatCode="d/m/yy;@"/>
    <numFmt numFmtId="169" formatCode="h:mm;@"/>
    <numFmt numFmtId="170" formatCode="0"/>
    <numFmt numFmtId="171" formatCode="[$-40C]General"/>
    <numFmt numFmtId="172" formatCode="[$-40C]0.00"/>
    <numFmt numFmtId="173" formatCode="[$-40C]dd/mm/yy"/>
    <numFmt numFmtId="174" formatCode="[$-40C]hh\:mm"/>
    <numFmt numFmtId="175" formatCode="[$-40C]hh\:mm\:ss"/>
    <numFmt numFmtId="176" formatCode="[$-40C]@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sz val="10"/>
      <color rgb="FF000000"/>
      <name val="Arial1"/>
      <family val="0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Calibri"/>
      <family val="2"/>
      <charset val="1"/>
    </font>
    <font>
      <b val="true"/>
      <sz val="10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D0CECE"/>
        <bgColor rgb="FFC0C0C0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E7E6E6"/>
        <bgColor rgb="FFEEECE1"/>
      </patternFill>
    </fill>
    <fill>
      <patternFill patternType="solid">
        <fgColor rgb="FFEEECE1"/>
        <bgColor rgb="FFE7E6E6"/>
      </patternFill>
    </fill>
    <fill>
      <patternFill patternType="solid">
        <fgColor rgb="FFF2F2F2"/>
        <bgColor rgb="FFEEECE1"/>
      </patternFill>
    </fill>
    <fill>
      <patternFill patternType="solid">
        <fgColor rgb="FFFFFF00"/>
        <bgColor rgb="FFFFFF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2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2" borderId="1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6" borderId="1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2" borderId="1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0" fillId="2" borderId="1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Excel Built-in Norm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EECE1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07"/>
  <sheetViews>
    <sheetView showFormulas="false" showGridLines="true" showRowColHeaders="true" showZeros="true" rightToLeft="false" tabSelected="true" showOutlineSymbols="true" defaultGridColor="true" view="normal" topLeftCell="AQ1" colorId="64" zoomScale="65" zoomScaleNormal="65" zoomScalePageLayoutView="100" workbookViewId="0">
      <selection pane="topLeft" activeCell="AI2" activeCellId="0" sqref="AI2:AI6"/>
    </sheetView>
  </sheetViews>
  <sheetFormatPr defaultColWidth="10.54296875" defaultRowHeight="13.8" zeroHeight="false" outlineLevelRow="0" outlineLevelCol="0"/>
  <cols>
    <col collapsed="false" customWidth="true" hidden="false" outlineLevel="0" max="4" min="1" style="0" width="14"/>
    <col collapsed="false" customWidth="true" hidden="false" outlineLevel="0" max="10" min="10" style="1" width="6.79"/>
    <col collapsed="false" customWidth="true" hidden="false" outlineLevel="0" max="11" min="11" style="1" width="7.69"/>
    <col collapsed="false" customWidth="true" hidden="false" outlineLevel="0" max="12" min="12" style="2" width="10.29"/>
    <col collapsed="false" customWidth="true" hidden="false" outlineLevel="0" max="26" min="26" style="0" width="22.64"/>
    <col collapsed="false" customWidth="true" hidden="false" outlineLevel="0" max="27" min="27" style="0" width="26.46"/>
    <col collapsed="false" customWidth="true" hidden="false" outlineLevel="0" max="28" min="28" style="0" width="16.89"/>
    <col collapsed="false" customWidth="true" hidden="false" outlineLevel="0" max="30" min="29" style="0" width="31.32"/>
    <col collapsed="false" customWidth="true" hidden="false" outlineLevel="0" max="31" min="31" style="0" width="24.7"/>
    <col collapsed="false" customWidth="true" hidden="false" outlineLevel="0" max="32" min="32" style="0" width="23.21"/>
    <col collapsed="false" customWidth="true" hidden="false" outlineLevel="0" max="33" min="33" style="0" width="31.6"/>
    <col collapsed="false" customWidth="true" hidden="false" outlineLevel="0" max="36" min="34" style="0" width="43.36"/>
    <col collapsed="false" customWidth="true" hidden="false" outlineLevel="0" max="37" min="37" style="0" width="28.36"/>
    <col collapsed="false" customWidth="true" hidden="false" outlineLevel="0" max="38" min="38" style="0" width="32.78"/>
    <col collapsed="false" customWidth="true" hidden="false" outlineLevel="0" max="39" min="39" style="0" width="16.46"/>
    <col collapsed="false" customWidth="true" hidden="false" outlineLevel="0" max="40" min="40" style="0" width="16.32"/>
    <col collapsed="false" customWidth="true" hidden="false" outlineLevel="0" max="41" min="41" style="0" width="26.17"/>
    <col collapsed="false" customWidth="true" hidden="false" outlineLevel="0" max="42" min="42" style="0" width="21.31"/>
    <col collapsed="false" customWidth="true" hidden="false" outlineLevel="0" max="43" min="43" style="0" width="27.78"/>
    <col collapsed="false" customWidth="true" hidden="false" outlineLevel="0" max="44" min="44" style="0" width="16.74"/>
    <col collapsed="false" customWidth="true" hidden="false" outlineLevel="0" max="45" min="45" style="0" width="26.31"/>
    <col collapsed="false" customWidth="true" hidden="false" outlineLevel="0" max="46" min="46" style="0" width="29.25"/>
    <col collapsed="false" customWidth="true" hidden="false" outlineLevel="0" max="47" min="47" style="0" width="23.21"/>
    <col collapsed="false" customWidth="true" hidden="false" outlineLevel="0" max="48" min="48" style="0" width="23.96"/>
    <col collapsed="false" customWidth="true" hidden="false" outlineLevel="0" max="49" min="49" style="0" width="18.08"/>
    <col collapsed="false" customWidth="true" hidden="false" outlineLevel="0" max="50" min="50" style="0" width="27.34"/>
    <col collapsed="false" customWidth="true" hidden="false" outlineLevel="0" max="51" min="51" style="0" width="49.69"/>
    <col collapsed="false" customWidth="true" hidden="false" outlineLevel="0" max="273" min="273" style="0" width="14"/>
    <col collapsed="false" customWidth="true" hidden="false" outlineLevel="0" max="529" min="529" style="0" width="14"/>
    <col collapsed="false" customWidth="true" hidden="false" outlineLevel="0" max="785" min="785" style="0" width="14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customFormat="false" ht="17.3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 t="s">
        <v>2</v>
      </c>
      <c r="AA2" s="6" t="s">
        <v>3</v>
      </c>
      <c r="AB2" s="6" t="s">
        <v>4</v>
      </c>
      <c r="AC2" s="7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7" t="s">
        <v>10</v>
      </c>
      <c r="AI2" s="8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7" t="s">
        <v>17</v>
      </c>
      <c r="AP2" s="7" t="s">
        <v>18</v>
      </c>
      <c r="AQ2" s="7" t="s">
        <v>19</v>
      </c>
      <c r="AR2" s="6" t="s">
        <v>20</v>
      </c>
      <c r="AS2" s="6" t="s">
        <v>21</v>
      </c>
      <c r="AT2" s="9" t="s">
        <v>22</v>
      </c>
      <c r="AU2" s="6" t="s">
        <v>23</v>
      </c>
      <c r="AV2" s="6" t="s">
        <v>24</v>
      </c>
      <c r="AW2" s="7" t="s">
        <v>25</v>
      </c>
      <c r="AX2" s="6" t="s">
        <v>26</v>
      </c>
      <c r="AY2" s="10" t="s">
        <v>27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</row>
    <row r="3" s="16" customFormat="true" ht="25.5" hidden="false" customHeight="true" outlineLevel="0" collapsed="false">
      <c r="A3" s="11" t="s">
        <v>28</v>
      </c>
      <c r="B3" s="12"/>
      <c r="C3" s="12"/>
      <c r="D3" s="13"/>
      <c r="E3" s="13"/>
      <c r="F3" s="13"/>
      <c r="G3" s="14"/>
      <c r="H3" s="14"/>
      <c r="I3" s="11"/>
      <c r="J3" s="11"/>
      <c r="K3" s="11"/>
      <c r="L3" s="15"/>
      <c r="M3" s="11"/>
      <c r="N3" s="14"/>
      <c r="O3" s="11"/>
      <c r="P3" s="11"/>
      <c r="Q3" s="11"/>
      <c r="R3" s="11"/>
      <c r="S3" s="11"/>
      <c r="T3" s="11"/>
      <c r="U3" s="11"/>
      <c r="V3" s="11"/>
      <c r="W3" s="11"/>
      <c r="Z3" s="6"/>
      <c r="AA3" s="6"/>
      <c r="AB3" s="6"/>
      <c r="AC3" s="7"/>
      <c r="AD3" s="6"/>
      <c r="AE3" s="6"/>
      <c r="AF3" s="6"/>
      <c r="AG3" s="6"/>
      <c r="AH3" s="7"/>
      <c r="AI3" s="7"/>
      <c r="AJ3" s="6"/>
      <c r="AK3" s="6"/>
      <c r="AL3" s="6"/>
      <c r="AM3" s="6"/>
      <c r="AN3" s="6"/>
      <c r="AO3" s="7"/>
      <c r="AP3" s="7"/>
      <c r="AQ3" s="7"/>
      <c r="AR3" s="6"/>
      <c r="AS3" s="6"/>
      <c r="AT3" s="9"/>
      <c r="AU3" s="6"/>
      <c r="AV3" s="6"/>
      <c r="AW3" s="7"/>
      <c r="AX3" s="6"/>
      <c r="AY3" s="1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5.75" hidden="false" customHeight="true" outlineLevel="0" collapsed="false">
      <c r="A4" s="16"/>
      <c r="B4" s="17"/>
      <c r="C4" s="17"/>
      <c r="D4" s="18"/>
      <c r="E4" s="18"/>
      <c r="F4" s="18"/>
      <c r="G4" s="19"/>
      <c r="H4" s="19"/>
      <c r="I4" s="16"/>
      <c r="J4" s="16"/>
      <c r="K4" s="16"/>
      <c r="L4" s="20"/>
      <c r="M4" s="16"/>
      <c r="N4" s="21"/>
      <c r="O4" s="16"/>
      <c r="P4" s="22" t="s">
        <v>29</v>
      </c>
      <c r="Q4" s="22"/>
      <c r="R4" s="22" t="s">
        <v>30</v>
      </c>
      <c r="S4" s="22"/>
      <c r="T4" s="22" t="s">
        <v>31</v>
      </c>
      <c r="U4" s="22"/>
      <c r="V4" s="22" t="s">
        <v>32</v>
      </c>
      <c r="W4" s="22"/>
      <c r="X4" s="22" t="s">
        <v>33</v>
      </c>
      <c r="Y4" s="22"/>
      <c r="Z4" s="23"/>
      <c r="AA4" s="23"/>
      <c r="AB4" s="23"/>
      <c r="AC4" s="23"/>
      <c r="AD4" s="23"/>
      <c r="AE4" s="24"/>
      <c r="AF4" s="23"/>
      <c r="AG4" s="24"/>
      <c r="AH4" s="23"/>
      <c r="AI4" s="23"/>
      <c r="AJ4" s="23"/>
      <c r="AK4" s="23"/>
      <c r="AL4" s="23"/>
      <c r="AM4" s="23"/>
      <c r="AN4" s="24"/>
      <c r="AO4" s="23"/>
      <c r="AP4" s="23"/>
      <c r="AQ4" s="24"/>
      <c r="AR4" s="25"/>
      <c r="AS4" s="25"/>
      <c r="AT4" s="25"/>
      <c r="AU4" s="23"/>
      <c r="AV4" s="23"/>
      <c r="AW4" s="23"/>
      <c r="AX4" s="23"/>
      <c r="AY4" s="26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</row>
    <row r="5" customFormat="false" ht="39.55" hidden="false" customHeight="true" outlineLevel="0" collapsed="false">
      <c r="D5" s="27"/>
      <c r="E5" s="27"/>
      <c r="F5" s="27"/>
      <c r="G5" s="27"/>
      <c r="H5" s="27"/>
      <c r="I5" s="27"/>
      <c r="J5" s="28"/>
      <c r="K5" s="28"/>
      <c r="L5" s="29"/>
      <c r="M5" s="27"/>
      <c r="N5" s="27"/>
      <c r="O5" s="27"/>
      <c r="P5" s="30" t="s">
        <v>34</v>
      </c>
      <c r="Q5" s="30" t="s">
        <v>35</v>
      </c>
      <c r="R5" s="30" t="s">
        <v>36</v>
      </c>
      <c r="S5" s="30" t="s">
        <v>37</v>
      </c>
      <c r="T5" s="30" t="s">
        <v>38</v>
      </c>
      <c r="U5" s="30" t="s">
        <v>39</v>
      </c>
      <c r="V5" s="30" t="s">
        <v>40</v>
      </c>
      <c r="W5" s="30" t="s">
        <v>41</v>
      </c>
      <c r="X5" s="30" t="s">
        <v>42</v>
      </c>
      <c r="Y5" s="31" t="s">
        <v>43</v>
      </c>
      <c r="Z5" s="32" t="s">
        <v>44</v>
      </c>
      <c r="AA5" s="32" t="s">
        <v>45</v>
      </c>
      <c r="AB5" s="32" t="s">
        <v>46</v>
      </c>
      <c r="AC5" s="32" t="s">
        <v>47</v>
      </c>
      <c r="AD5" s="32" t="s">
        <v>48</v>
      </c>
      <c r="AE5" s="33" t="s">
        <v>49</v>
      </c>
      <c r="AF5" s="32" t="s">
        <v>50</v>
      </c>
      <c r="AG5" s="33" t="s">
        <v>51</v>
      </c>
      <c r="AH5" s="32" t="s">
        <v>52</v>
      </c>
      <c r="AI5" s="32" t="s">
        <v>53</v>
      </c>
      <c r="AJ5" s="32" t="s">
        <v>54</v>
      </c>
      <c r="AK5" s="32" t="s">
        <v>55</v>
      </c>
      <c r="AL5" s="32" t="s">
        <v>56</v>
      </c>
      <c r="AM5" s="32" t="s">
        <v>57</v>
      </c>
      <c r="AN5" s="33" t="s">
        <v>58</v>
      </c>
      <c r="AO5" s="32" t="s">
        <v>59</v>
      </c>
      <c r="AP5" s="32" t="s">
        <v>60</v>
      </c>
      <c r="AQ5" s="33" t="s">
        <v>61</v>
      </c>
      <c r="AR5" s="34" t="s">
        <v>62</v>
      </c>
      <c r="AS5" s="34" t="s">
        <v>63</v>
      </c>
      <c r="AT5" s="34" t="s">
        <v>64</v>
      </c>
      <c r="AU5" s="32" t="s">
        <v>65</v>
      </c>
      <c r="AV5" s="32" t="s">
        <v>66</v>
      </c>
      <c r="AW5" s="32" t="s">
        <v>67</v>
      </c>
      <c r="AX5" s="32" t="s">
        <v>68</v>
      </c>
      <c r="AY5" s="35" t="s">
        <v>69</v>
      </c>
    </row>
    <row r="6" customFormat="false" ht="48.5" hidden="false" customHeight="true" outlineLevel="0" collapsed="false">
      <c r="A6" s="36" t="s">
        <v>70</v>
      </c>
      <c r="B6" s="37" t="s">
        <v>71</v>
      </c>
      <c r="C6" s="38" t="s">
        <v>72</v>
      </c>
      <c r="D6" s="39" t="s">
        <v>73</v>
      </c>
      <c r="E6" s="40" t="s">
        <v>74</v>
      </c>
      <c r="F6" s="40" t="s">
        <v>75</v>
      </c>
      <c r="G6" s="40" t="s">
        <v>76</v>
      </c>
      <c r="H6" s="39" t="s">
        <v>77</v>
      </c>
      <c r="I6" s="39" t="s">
        <v>78</v>
      </c>
      <c r="J6" s="28" t="s">
        <v>79</v>
      </c>
      <c r="K6" s="28" t="s">
        <v>80</v>
      </c>
      <c r="L6" s="28" t="s">
        <v>81</v>
      </c>
      <c r="M6" s="39" t="s">
        <v>82</v>
      </c>
      <c r="N6" s="28" t="s">
        <v>83</v>
      </c>
      <c r="O6" s="41" t="s">
        <v>84</v>
      </c>
      <c r="P6" s="42" t="s">
        <v>85</v>
      </c>
      <c r="Q6" s="42" t="s">
        <v>86</v>
      </c>
      <c r="R6" s="42" t="s">
        <v>85</v>
      </c>
      <c r="S6" s="42" t="s">
        <v>86</v>
      </c>
      <c r="T6" s="42" t="s">
        <v>85</v>
      </c>
      <c r="U6" s="42" t="s">
        <v>86</v>
      </c>
      <c r="V6" s="42" t="s">
        <v>85</v>
      </c>
      <c r="W6" s="42" t="s">
        <v>86</v>
      </c>
      <c r="X6" s="42" t="s">
        <v>85</v>
      </c>
      <c r="Y6" s="43" t="s">
        <v>86</v>
      </c>
      <c r="Z6" s="44" t="s">
        <v>87</v>
      </c>
      <c r="AA6" s="44" t="s">
        <v>87</v>
      </c>
      <c r="AB6" s="44" t="s">
        <v>87</v>
      </c>
      <c r="AC6" s="44" t="s">
        <v>87</v>
      </c>
      <c r="AD6" s="44" t="s">
        <v>87</v>
      </c>
      <c r="AE6" s="44" t="s">
        <v>87</v>
      </c>
      <c r="AF6" s="44" t="s">
        <v>87</v>
      </c>
      <c r="AG6" s="44" t="s">
        <v>87</v>
      </c>
      <c r="AH6" s="44" t="s">
        <v>87</v>
      </c>
      <c r="AI6" s="44" t="s">
        <v>88</v>
      </c>
      <c r="AJ6" s="44" t="s">
        <v>87</v>
      </c>
      <c r="AK6" s="44" t="s">
        <v>87</v>
      </c>
      <c r="AL6" s="44" t="s">
        <v>87</v>
      </c>
      <c r="AM6" s="44" t="s">
        <v>87</v>
      </c>
      <c r="AN6" s="44" t="s">
        <v>87</v>
      </c>
      <c r="AO6" s="44" t="s">
        <v>87</v>
      </c>
      <c r="AP6" s="44" t="s">
        <v>87</v>
      </c>
      <c r="AQ6" s="44" t="s">
        <v>87</v>
      </c>
      <c r="AR6" s="44" t="s">
        <v>87</v>
      </c>
      <c r="AS6" s="44" t="s">
        <v>87</v>
      </c>
      <c r="AT6" s="44" t="s">
        <v>87</v>
      </c>
      <c r="AU6" s="44" t="s">
        <v>87</v>
      </c>
      <c r="AV6" s="44" t="s">
        <v>87</v>
      </c>
      <c r="AW6" s="44" t="s">
        <v>87</v>
      </c>
      <c r="AX6" s="44" t="s">
        <v>87</v>
      </c>
      <c r="AY6" s="44" t="s">
        <v>87</v>
      </c>
    </row>
    <row r="7" customFormat="false" ht="15" hidden="false" customHeight="false" outlineLevel="0" collapsed="false">
      <c r="A7" s="45" t="n">
        <v>1</v>
      </c>
      <c r="B7" s="46" t="n">
        <v>35</v>
      </c>
      <c r="C7" s="46"/>
      <c r="D7" s="47" t="n">
        <v>44613</v>
      </c>
      <c r="E7" s="48" t="s">
        <v>89</v>
      </c>
      <c r="F7" s="49" t="s">
        <v>90</v>
      </c>
      <c r="G7" s="50" t="s">
        <v>91</v>
      </c>
      <c r="H7" s="51" t="n">
        <v>36.351</v>
      </c>
      <c r="I7" s="51" t="n">
        <v>16.967</v>
      </c>
      <c r="J7" s="52"/>
      <c r="K7" s="53" t="s">
        <v>92</v>
      </c>
      <c r="L7" s="54"/>
      <c r="M7" s="55"/>
      <c r="N7" s="56"/>
      <c r="O7" s="51"/>
      <c r="P7" s="53" t="s">
        <v>92</v>
      </c>
      <c r="Q7" s="57"/>
      <c r="R7" s="53" t="s">
        <v>92</v>
      </c>
      <c r="S7" s="57"/>
      <c r="T7" s="53" t="s">
        <v>92</v>
      </c>
      <c r="U7" s="57"/>
      <c r="V7" s="53" t="s">
        <v>92</v>
      </c>
      <c r="W7" s="57"/>
      <c r="X7" s="53" t="s">
        <v>92</v>
      </c>
      <c r="Y7" s="57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</row>
    <row r="8" customFormat="false" ht="15" hidden="false" customHeight="false" outlineLevel="0" collapsed="false">
      <c r="A8" s="59" t="n">
        <v>2</v>
      </c>
      <c r="B8" s="46" t="n">
        <v>30</v>
      </c>
      <c r="C8" s="46"/>
      <c r="D8" s="47" t="n">
        <v>44614</v>
      </c>
      <c r="E8" s="48" t="s">
        <v>93</v>
      </c>
      <c r="F8" s="49" t="s">
        <v>94</v>
      </c>
      <c r="G8" s="50" t="s">
        <v>95</v>
      </c>
      <c r="H8" s="51" t="n">
        <v>36.712</v>
      </c>
      <c r="I8" s="51" t="n">
        <v>18.562</v>
      </c>
      <c r="J8" s="60"/>
      <c r="K8" s="53" t="s">
        <v>92</v>
      </c>
      <c r="L8" s="61"/>
      <c r="M8" s="62"/>
      <c r="N8" s="63"/>
      <c r="O8" s="51" t="n">
        <v>36.6928</v>
      </c>
      <c r="P8" s="53" t="s">
        <v>92</v>
      </c>
      <c r="Q8" s="57"/>
      <c r="R8" s="53" t="s">
        <v>92</v>
      </c>
      <c r="S8" s="57"/>
      <c r="T8" s="53" t="s">
        <v>92</v>
      </c>
      <c r="U8" s="57"/>
      <c r="V8" s="53" t="s">
        <v>92</v>
      </c>
      <c r="W8" s="57"/>
      <c r="X8" s="53" t="s">
        <v>92</v>
      </c>
      <c r="Y8" s="57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</row>
    <row r="9" customFormat="false" ht="15" hidden="false" customHeight="false" outlineLevel="0" collapsed="false">
      <c r="A9" s="59" t="n">
        <v>3</v>
      </c>
      <c r="B9" s="46" t="n">
        <v>25</v>
      </c>
      <c r="C9" s="46"/>
      <c r="D9" s="47" t="n">
        <v>44621</v>
      </c>
      <c r="E9" s="48" t="s">
        <v>96</v>
      </c>
      <c r="F9" s="49" t="s">
        <v>97</v>
      </c>
      <c r="G9" s="50" t="s">
        <v>98</v>
      </c>
      <c r="H9" s="51" t="n">
        <v>36.492</v>
      </c>
      <c r="I9" s="51" t="n">
        <v>18.497</v>
      </c>
      <c r="J9" s="60"/>
      <c r="K9" s="53" t="s">
        <v>92</v>
      </c>
      <c r="L9" s="64"/>
      <c r="M9" s="62"/>
      <c r="N9" s="63"/>
      <c r="O9" s="51" t="n">
        <v>36.7157</v>
      </c>
      <c r="P9" s="53" t="s">
        <v>92</v>
      </c>
      <c r="Q9" s="57"/>
      <c r="R9" s="53" t="s">
        <v>92</v>
      </c>
      <c r="S9" s="57"/>
      <c r="T9" s="53" t="s">
        <v>92</v>
      </c>
      <c r="U9" s="57"/>
      <c r="V9" s="53" t="s">
        <v>92</v>
      </c>
      <c r="W9" s="57"/>
      <c r="X9" s="53" t="s">
        <v>92</v>
      </c>
      <c r="Y9" s="57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</row>
    <row r="10" customFormat="false" ht="15" hidden="false" customHeight="false" outlineLevel="0" collapsed="false">
      <c r="A10" s="59" t="n">
        <v>4</v>
      </c>
      <c r="B10" s="46" t="n">
        <v>20</v>
      </c>
      <c r="C10" s="46"/>
      <c r="D10" s="47" t="n">
        <v>44622</v>
      </c>
      <c r="E10" s="65" t="s">
        <v>99</v>
      </c>
      <c r="F10" s="49" t="s">
        <v>100</v>
      </c>
      <c r="G10" s="50" t="s">
        <v>101</v>
      </c>
      <c r="H10" s="51" t="n">
        <v>35.92</v>
      </c>
      <c r="I10" s="51" t="n">
        <v>17.76</v>
      </c>
      <c r="J10" s="60"/>
      <c r="K10" s="53" t="s">
        <v>92</v>
      </c>
      <c r="L10" s="66"/>
      <c r="M10" s="62"/>
      <c r="N10" s="63"/>
      <c r="O10" s="51" t="n">
        <v>35.9668</v>
      </c>
      <c r="P10" s="53" t="s">
        <v>92</v>
      </c>
      <c r="Q10" s="57"/>
      <c r="R10" s="53" t="s">
        <v>92</v>
      </c>
      <c r="S10" s="57"/>
      <c r="T10" s="53" t="s">
        <v>92</v>
      </c>
      <c r="U10" s="57"/>
      <c r="V10" s="53" t="s">
        <v>92</v>
      </c>
      <c r="W10" s="57"/>
      <c r="X10" s="53" t="s">
        <v>92</v>
      </c>
      <c r="Y10" s="57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</row>
    <row r="11" customFormat="false" ht="15" hidden="false" customHeight="false" outlineLevel="0" collapsed="false">
      <c r="A11" s="59" t="n">
        <v>5</v>
      </c>
      <c r="B11" s="46" t="n">
        <v>14</v>
      </c>
      <c r="C11" s="46" t="n">
        <v>-19.57</v>
      </c>
      <c r="D11" s="47" t="n">
        <v>44623</v>
      </c>
      <c r="E11" s="65" t="s">
        <v>102</v>
      </c>
      <c r="F11" s="49" t="s">
        <v>103</v>
      </c>
      <c r="G11" s="50" t="s">
        <v>104</v>
      </c>
      <c r="H11" s="51" t="n">
        <v>35.826</v>
      </c>
      <c r="I11" s="51" t="n">
        <v>22.495</v>
      </c>
      <c r="J11" s="60"/>
      <c r="K11" s="49" t="s">
        <v>105</v>
      </c>
      <c r="L11" s="64"/>
      <c r="M11" s="62"/>
      <c r="N11" s="63"/>
      <c r="O11" s="51" t="n">
        <v>35.8608</v>
      </c>
      <c r="P11" s="67" t="n">
        <v>0.0736666666666667</v>
      </c>
      <c r="Q11" s="57"/>
      <c r="R11" s="68" t="n">
        <v>0.49</v>
      </c>
      <c r="S11" s="57"/>
      <c r="T11" s="67" t="n">
        <v>0.416333333333333</v>
      </c>
      <c r="U11" s="57"/>
      <c r="V11" s="67" t="n">
        <v>0.164</v>
      </c>
      <c r="W11" s="57"/>
      <c r="X11" s="67" t="n">
        <v>1.17466666666667</v>
      </c>
      <c r="Y11" s="57"/>
      <c r="Z11" s="58" t="n">
        <v>0.0996</v>
      </c>
      <c r="AA11" s="58" t="n">
        <v>0.2089</v>
      </c>
      <c r="AB11" s="58" t="n">
        <v>0.0413</v>
      </c>
      <c r="AC11" s="58" t="n">
        <v>0.0376</v>
      </c>
      <c r="AD11" s="58" t="n">
        <v>0.6769</v>
      </c>
      <c r="AE11" s="58" t="n">
        <v>0.013</v>
      </c>
      <c r="AF11" s="58" t="n">
        <v>0.0294</v>
      </c>
      <c r="AG11" s="58" t="s">
        <v>92</v>
      </c>
      <c r="AH11" s="58" t="n">
        <v>0.1661</v>
      </c>
      <c r="AI11" s="58"/>
      <c r="AJ11" s="58" t="n">
        <v>0.0103</v>
      </c>
      <c r="AK11" s="58" t="n">
        <v>0.1395</v>
      </c>
      <c r="AL11" s="58" t="n">
        <v>0.0234</v>
      </c>
      <c r="AM11" s="58" t="n">
        <v>0.0476</v>
      </c>
      <c r="AN11" s="58" t="n">
        <v>0.0677</v>
      </c>
      <c r="AO11" s="58" t="n">
        <v>0.0107</v>
      </c>
      <c r="AP11" s="58" t="s">
        <v>92</v>
      </c>
      <c r="AQ11" s="58" t="n">
        <v>0.0965</v>
      </c>
      <c r="AR11" s="58" t="n">
        <f aca="false">AQ11</f>
        <v>0.0965</v>
      </c>
      <c r="AS11" s="58" t="s">
        <v>92</v>
      </c>
      <c r="AT11" s="58" t="n">
        <v>0.0542</v>
      </c>
      <c r="AU11" s="58" t="n">
        <v>0.0301</v>
      </c>
      <c r="AV11" s="58" t="n">
        <v>1.7494</v>
      </c>
      <c r="AW11" s="58" t="n">
        <f aca="false">AV11+AU11</f>
        <v>1.7795</v>
      </c>
      <c r="AX11" s="58" t="n">
        <v>0.0141</v>
      </c>
      <c r="AY11" s="58"/>
    </row>
    <row r="12" customFormat="false" ht="15" hidden="false" customHeight="false" outlineLevel="0" collapsed="false">
      <c r="A12" s="59" t="n">
        <v>6</v>
      </c>
      <c r="B12" s="46" t="n">
        <v>13</v>
      </c>
      <c r="C12" s="46" t="n">
        <v>-20.17</v>
      </c>
      <c r="D12" s="47" t="n">
        <v>44623</v>
      </c>
      <c r="E12" s="65" t="s">
        <v>106</v>
      </c>
      <c r="F12" s="49" t="s">
        <v>107</v>
      </c>
      <c r="G12" s="49" t="s">
        <v>108</v>
      </c>
      <c r="H12" s="51" t="n">
        <v>35.746</v>
      </c>
      <c r="I12" s="51" t="n">
        <v>23.081</v>
      </c>
      <c r="J12" s="60"/>
      <c r="K12" s="49" t="s">
        <v>109</v>
      </c>
      <c r="L12" s="61"/>
      <c r="M12" s="62"/>
      <c r="N12" s="63"/>
      <c r="O12" s="51" t="n">
        <v>35.7499</v>
      </c>
      <c r="P12" s="67" t="n">
        <v>0.0296666666666667</v>
      </c>
      <c r="Q12" s="57"/>
      <c r="R12" s="68" t="n">
        <v>0.042</v>
      </c>
      <c r="S12" s="57"/>
      <c r="T12" s="67" t="n">
        <v>0.0123333333333333</v>
      </c>
      <c r="U12" s="57"/>
      <c r="V12" s="67" t="n">
        <v>0.064</v>
      </c>
      <c r="W12" s="57"/>
      <c r="X12" s="67" t="n">
        <v>0.894666666666667</v>
      </c>
      <c r="Y12" s="57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</row>
    <row r="13" customFormat="false" ht="15" hidden="false" customHeight="false" outlineLevel="0" collapsed="false">
      <c r="A13" s="59" t="n">
        <v>7</v>
      </c>
      <c r="B13" s="46" t="n">
        <v>12</v>
      </c>
      <c r="C13" s="46" t="n">
        <v>-20.36</v>
      </c>
      <c r="D13" s="47" t="n">
        <v>44623</v>
      </c>
      <c r="E13" s="65" t="s">
        <v>110</v>
      </c>
      <c r="F13" s="49" t="s">
        <v>111</v>
      </c>
      <c r="G13" s="49" t="s">
        <v>112</v>
      </c>
      <c r="H13" s="69" t="n">
        <v>35.707</v>
      </c>
      <c r="I13" s="69" t="n">
        <v>23.643</v>
      </c>
      <c r="J13" s="60"/>
      <c r="K13" s="49" t="s">
        <v>113</v>
      </c>
      <c r="L13" s="64"/>
      <c r="M13" s="62"/>
      <c r="N13" s="63"/>
      <c r="O13" s="69" t="n">
        <v>35.7448</v>
      </c>
      <c r="P13" s="67" t="n">
        <v>0.0236666666666667</v>
      </c>
      <c r="Q13" s="57"/>
      <c r="R13" s="68" t="n">
        <v>0.086</v>
      </c>
      <c r="S13" s="57"/>
      <c r="T13" s="67" t="n">
        <v>0.0623333333333333</v>
      </c>
      <c r="U13" s="57"/>
      <c r="V13" s="67" t="n">
        <v>0.034</v>
      </c>
      <c r="W13" s="57"/>
      <c r="X13" s="67" t="n">
        <v>1.17566666666667</v>
      </c>
      <c r="Y13" s="57"/>
      <c r="Z13" s="58" t="n">
        <v>0.0042</v>
      </c>
      <c r="AA13" s="58" t="n">
        <v>0.0087</v>
      </c>
      <c r="AB13" s="58" t="n">
        <v>0.0076</v>
      </c>
      <c r="AC13" s="58" t="n">
        <v>0.0064</v>
      </c>
      <c r="AD13" s="58" t="n">
        <v>0.0167</v>
      </c>
      <c r="AE13" s="58" t="s">
        <v>92</v>
      </c>
      <c r="AF13" s="58" t="s">
        <v>92</v>
      </c>
      <c r="AG13" s="58" t="n">
        <v>0.0008</v>
      </c>
      <c r="AH13" s="58" t="n">
        <v>0.0173</v>
      </c>
      <c r="AI13" s="58"/>
      <c r="AJ13" s="58" t="n">
        <v>0.0035</v>
      </c>
      <c r="AK13" s="58" t="n">
        <v>0.0051</v>
      </c>
      <c r="AL13" s="58" t="s">
        <v>92</v>
      </c>
      <c r="AM13" s="58" t="n">
        <v>0.0006</v>
      </c>
      <c r="AN13" s="58" t="n">
        <v>0.0872</v>
      </c>
      <c r="AO13" s="58" t="s">
        <v>92</v>
      </c>
      <c r="AP13" s="58" t="n">
        <v>0.0078</v>
      </c>
      <c r="AQ13" s="58" t="n">
        <v>0.0212</v>
      </c>
      <c r="AR13" s="58" t="n">
        <f aca="false">AP13+AQ13</f>
        <v>0.029</v>
      </c>
      <c r="AS13" s="58" t="s">
        <v>92</v>
      </c>
      <c r="AT13" s="58" t="n">
        <v>0.0156</v>
      </c>
      <c r="AU13" s="58" t="n">
        <v>0.0555</v>
      </c>
      <c r="AV13" s="58" t="n">
        <v>0.1085</v>
      </c>
      <c r="AW13" s="58" t="n">
        <f aca="false">AV13+AU13</f>
        <v>0.164</v>
      </c>
      <c r="AX13" s="58" t="s">
        <v>92</v>
      </c>
      <c r="AY13" s="58"/>
    </row>
    <row r="14" customFormat="false" ht="15" hidden="false" customHeight="false" outlineLevel="0" collapsed="false">
      <c r="A14" s="59" t="n">
        <v>8</v>
      </c>
      <c r="B14" s="46" t="n">
        <v>11</v>
      </c>
      <c r="C14" s="46" t="n">
        <v>-20.57</v>
      </c>
      <c r="D14" s="47" t="n">
        <v>44624</v>
      </c>
      <c r="E14" s="65" t="s">
        <v>114</v>
      </c>
      <c r="F14" s="49" t="s">
        <v>115</v>
      </c>
      <c r="G14" s="49" t="s">
        <v>116</v>
      </c>
      <c r="H14" s="69" t="n">
        <v>35.443</v>
      </c>
      <c r="I14" s="69" t="n">
        <v>24.888</v>
      </c>
      <c r="J14" s="60"/>
      <c r="K14" s="49" t="s">
        <v>117</v>
      </c>
      <c r="L14" s="61"/>
      <c r="M14" s="62"/>
      <c r="N14" s="63"/>
      <c r="O14" s="69" t="n">
        <v>35.4691</v>
      </c>
      <c r="P14" s="67" t="n">
        <v>0.0226666666666667</v>
      </c>
      <c r="Q14" s="57"/>
      <c r="R14" s="68" t="n">
        <v>0.062</v>
      </c>
      <c r="S14" s="57"/>
      <c r="T14" s="67" t="n">
        <v>0.0393333333333333</v>
      </c>
      <c r="U14" s="57"/>
      <c r="V14" s="67" t="n">
        <v>0.034</v>
      </c>
      <c r="W14" s="57"/>
      <c r="X14" s="67" t="n">
        <v>1.29966666666667</v>
      </c>
      <c r="Y14" s="57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</row>
    <row r="15" customFormat="false" ht="15" hidden="false" customHeight="false" outlineLevel="0" collapsed="false">
      <c r="A15" s="59" t="n">
        <v>9</v>
      </c>
      <c r="B15" s="46" t="n">
        <v>10</v>
      </c>
      <c r="C15" s="46" t="n">
        <v>-21.17</v>
      </c>
      <c r="D15" s="47" t="n">
        <v>44624</v>
      </c>
      <c r="E15" s="65" t="s">
        <v>118</v>
      </c>
      <c r="F15" s="49" t="s">
        <v>119</v>
      </c>
      <c r="G15" s="49" t="s">
        <v>120</v>
      </c>
      <c r="H15" s="69" t="n">
        <v>35.75</v>
      </c>
      <c r="I15" s="69" t="n">
        <v>25.319</v>
      </c>
      <c r="J15" s="60"/>
      <c r="K15" s="49" t="s">
        <v>121</v>
      </c>
      <c r="L15" s="64"/>
      <c r="M15" s="62"/>
      <c r="N15" s="63"/>
      <c r="O15" s="69" t="n">
        <v>35.7604</v>
      </c>
      <c r="P15" s="67" t="n">
        <v>0.0216666666666667</v>
      </c>
      <c r="Q15" s="57"/>
      <c r="R15" s="68" t="n">
        <v>0.015</v>
      </c>
      <c r="S15" s="57"/>
      <c r="T15" s="67" t="n">
        <v>-0.00666666666666667</v>
      </c>
      <c r="U15" s="57"/>
      <c r="V15" s="67" t="n">
        <v>0.025</v>
      </c>
      <c r="W15" s="57"/>
      <c r="X15" s="67" t="n">
        <v>1.12366666666667</v>
      </c>
      <c r="Y15" s="57"/>
      <c r="Z15" s="58" t="n">
        <v>0.0034</v>
      </c>
      <c r="AA15" s="58" t="n">
        <v>0.0081</v>
      </c>
      <c r="AB15" s="58" t="n">
        <v>0.0076</v>
      </c>
      <c r="AC15" s="58" t="n">
        <v>0.0049</v>
      </c>
      <c r="AD15" s="58" t="n">
        <v>0.0071</v>
      </c>
      <c r="AE15" s="58" t="s">
        <v>92</v>
      </c>
      <c r="AF15" s="58" t="s">
        <v>92</v>
      </c>
      <c r="AG15" s="58" t="n">
        <v>0.0045</v>
      </c>
      <c r="AH15" s="58" t="n">
        <v>0.0181</v>
      </c>
      <c r="AI15" s="58"/>
      <c r="AJ15" s="58" t="n">
        <v>0.0038</v>
      </c>
      <c r="AK15" s="58" t="n">
        <v>0.0068</v>
      </c>
      <c r="AL15" s="58" t="s">
        <v>92</v>
      </c>
      <c r="AM15" s="58" t="n">
        <v>0.0016</v>
      </c>
      <c r="AN15" s="58" t="n">
        <v>0.1095</v>
      </c>
      <c r="AO15" s="58" t="s">
        <v>92</v>
      </c>
      <c r="AP15" s="58" t="n">
        <v>0.0064</v>
      </c>
      <c r="AQ15" s="58" t="n">
        <v>0.0071</v>
      </c>
      <c r="AR15" s="58" t="n">
        <f aca="false">AP15+AQ15</f>
        <v>0.0135</v>
      </c>
      <c r="AS15" s="58" t="n">
        <v>0.0207</v>
      </c>
      <c r="AT15" s="58" t="s">
        <v>92</v>
      </c>
      <c r="AU15" s="58" t="n">
        <v>0.0917</v>
      </c>
      <c r="AV15" s="58" t="n">
        <v>0.1128</v>
      </c>
      <c r="AW15" s="58" t="n">
        <f aca="false">AV15+AU15</f>
        <v>0.2045</v>
      </c>
      <c r="AX15" s="58" t="n">
        <v>0.0022</v>
      </c>
      <c r="AY15" s="58"/>
    </row>
    <row r="16" customFormat="false" ht="17.35" hidden="false" customHeight="false" outlineLevel="0" collapsed="false">
      <c r="A16" s="59" t="n">
        <v>10</v>
      </c>
      <c r="B16" s="46" t="n">
        <v>7</v>
      </c>
      <c r="C16" s="46" t="n">
        <v>-17.38</v>
      </c>
      <c r="D16" s="47" t="n">
        <v>44625</v>
      </c>
      <c r="E16" s="65" t="s">
        <v>122</v>
      </c>
      <c r="F16" s="49" t="s">
        <v>123</v>
      </c>
      <c r="G16" s="49" t="s">
        <v>124</v>
      </c>
      <c r="H16" s="69" t="n">
        <v>35.45</v>
      </c>
      <c r="I16" s="69" t="n">
        <v>29.104</v>
      </c>
      <c r="J16" s="60"/>
      <c r="K16" s="49" t="s">
        <v>125</v>
      </c>
      <c r="L16" s="61"/>
      <c r="M16" s="70"/>
      <c r="N16" s="63"/>
      <c r="O16" s="69" t="n">
        <v>35.4689</v>
      </c>
      <c r="P16" s="67" t="n">
        <v>0.0246666666666667</v>
      </c>
      <c r="Q16" s="57"/>
      <c r="R16" s="68" t="n">
        <v>0.028</v>
      </c>
      <c r="S16" s="57"/>
      <c r="T16" s="67" t="n">
        <v>0.00333333333333333</v>
      </c>
      <c r="U16" s="57"/>
      <c r="V16" s="67" t="n">
        <v>0.029</v>
      </c>
      <c r="W16" s="57"/>
      <c r="X16" s="67" t="n">
        <v>1.09866666666667</v>
      </c>
      <c r="Y16" s="57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</row>
    <row r="17" customFormat="false" ht="17.35" hidden="false" customHeight="false" outlineLevel="0" collapsed="false">
      <c r="A17" s="59" t="n">
        <v>11</v>
      </c>
      <c r="B17" s="46" t="n">
        <v>6</v>
      </c>
      <c r="C17" s="46" t="n">
        <v>-16.26</v>
      </c>
      <c r="D17" s="47" t="n">
        <v>44625</v>
      </c>
      <c r="E17" s="65" t="s">
        <v>126</v>
      </c>
      <c r="F17" s="49" t="s">
        <v>127</v>
      </c>
      <c r="G17" s="49" t="s">
        <v>128</v>
      </c>
      <c r="H17" s="69" t="n">
        <v>35.718</v>
      </c>
      <c r="I17" s="69" t="n">
        <v>28.821</v>
      </c>
      <c r="J17" s="60"/>
      <c r="K17" s="49" t="s">
        <v>129</v>
      </c>
      <c r="L17" s="71"/>
      <c r="M17" s="62"/>
      <c r="N17" s="63"/>
      <c r="O17" s="69" t="n">
        <v>35.7226</v>
      </c>
      <c r="P17" s="67" t="n">
        <v>0.00766666666666667</v>
      </c>
      <c r="Q17" s="57"/>
      <c r="R17" s="68" t="n">
        <v>0.013</v>
      </c>
      <c r="S17" s="57"/>
      <c r="T17" s="67" t="n">
        <v>0.00533333333333333</v>
      </c>
      <c r="U17" s="57"/>
      <c r="V17" s="67" t="n">
        <v>0.026</v>
      </c>
      <c r="W17" s="57"/>
      <c r="X17" s="67" t="n">
        <v>0.983666666666667</v>
      </c>
      <c r="Y17" s="57"/>
      <c r="Z17" s="58" t="n">
        <v>0.0023</v>
      </c>
      <c r="AA17" s="58" t="n">
        <v>0.0054</v>
      </c>
      <c r="AB17" s="58" t="n">
        <v>0.0085</v>
      </c>
      <c r="AC17" s="58" t="n">
        <v>0.0025</v>
      </c>
      <c r="AD17" s="58" t="n">
        <v>0.0022</v>
      </c>
      <c r="AE17" s="58" t="s">
        <v>92</v>
      </c>
      <c r="AF17" s="58" t="s">
        <v>92</v>
      </c>
      <c r="AG17" s="58" t="s">
        <v>92</v>
      </c>
      <c r="AH17" s="58" t="n">
        <v>0.0101</v>
      </c>
      <c r="AI17" s="58"/>
      <c r="AJ17" s="58" t="s">
        <v>92</v>
      </c>
      <c r="AK17" s="58" t="n">
        <v>0.0039</v>
      </c>
      <c r="AL17" s="58" t="s">
        <v>92</v>
      </c>
      <c r="AM17" s="58" t="s">
        <v>92</v>
      </c>
      <c r="AN17" s="58" t="n">
        <v>0.1095</v>
      </c>
      <c r="AO17" s="58" t="s">
        <v>92</v>
      </c>
      <c r="AP17" s="58" t="n">
        <v>0.0048</v>
      </c>
      <c r="AQ17" s="58" t="n">
        <v>0.0063</v>
      </c>
      <c r="AR17" s="58" t="n">
        <f aca="false">AP17+AQ17</f>
        <v>0.0111</v>
      </c>
      <c r="AS17" s="58" t="n">
        <v>0.015</v>
      </c>
      <c r="AT17" s="58" t="s">
        <v>92</v>
      </c>
      <c r="AU17" s="58" t="n">
        <v>0.0512</v>
      </c>
      <c r="AV17" s="58" t="n">
        <v>0.0608</v>
      </c>
      <c r="AW17" s="58" t="n">
        <f aca="false">AV17+AU17</f>
        <v>0.112</v>
      </c>
      <c r="AX17" s="58" t="s">
        <v>92</v>
      </c>
      <c r="AY17" s="58"/>
    </row>
    <row r="18" customFormat="false" ht="15" hidden="false" customHeight="false" outlineLevel="0" collapsed="false">
      <c r="A18" s="59" t="n">
        <v>12</v>
      </c>
      <c r="B18" s="46" t="n">
        <v>5</v>
      </c>
      <c r="C18" s="46" t="n">
        <v>-15.14</v>
      </c>
      <c r="D18" s="47" t="n">
        <v>44626</v>
      </c>
      <c r="E18" s="65" t="s">
        <v>130</v>
      </c>
      <c r="F18" s="49" t="s">
        <v>131</v>
      </c>
      <c r="G18" s="49" t="s">
        <v>132</v>
      </c>
      <c r="H18" s="69" t="n">
        <v>35.282</v>
      </c>
      <c r="I18" s="69" t="n">
        <v>29.654</v>
      </c>
      <c r="J18" s="60"/>
      <c r="K18" s="49" t="s">
        <v>133</v>
      </c>
      <c r="L18" s="61"/>
      <c r="M18" s="62"/>
      <c r="N18" s="63"/>
      <c r="O18" s="69" t="n">
        <v>35.3011</v>
      </c>
      <c r="P18" s="67" t="n">
        <v>0.0106666666666667</v>
      </c>
      <c r="Q18" s="57"/>
      <c r="R18" s="68" t="n">
        <v>0.009</v>
      </c>
      <c r="S18" s="57"/>
      <c r="T18" s="67" t="n">
        <v>-0.00166666666666667</v>
      </c>
      <c r="U18" s="57"/>
      <c r="V18" s="67" t="n">
        <v>0.003</v>
      </c>
      <c r="W18" s="57"/>
      <c r="X18" s="67" t="n">
        <v>1.04966666666667</v>
      </c>
      <c r="Y18" s="57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</row>
    <row r="19" customFormat="false" ht="15" hidden="false" customHeight="false" outlineLevel="0" collapsed="false">
      <c r="A19" s="59" t="n">
        <v>13</v>
      </c>
      <c r="B19" s="46" t="n">
        <v>4</v>
      </c>
      <c r="C19" s="46" t="n">
        <v>-13.45</v>
      </c>
      <c r="D19" s="47" t="n">
        <v>44626</v>
      </c>
      <c r="E19" s="65" t="s">
        <v>134</v>
      </c>
      <c r="F19" s="49" t="s">
        <v>135</v>
      </c>
      <c r="G19" s="49" t="s">
        <v>136</v>
      </c>
      <c r="H19" s="69" t="n">
        <v>34.485</v>
      </c>
      <c r="I19" s="69" t="n">
        <v>31.31</v>
      </c>
      <c r="J19" s="60"/>
      <c r="K19" s="49" t="s">
        <v>137</v>
      </c>
      <c r="L19" s="61"/>
      <c r="M19" s="62"/>
      <c r="N19" s="63"/>
      <c r="O19" s="69" t="n">
        <v>34.4571</v>
      </c>
      <c r="P19" s="67" t="n">
        <v>0.0186666666666667</v>
      </c>
      <c r="Q19" s="57"/>
      <c r="R19" s="68" t="n">
        <v>0.02</v>
      </c>
      <c r="S19" s="57"/>
      <c r="T19" s="67" t="n">
        <v>0.00133333333333333</v>
      </c>
      <c r="U19" s="57"/>
      <c r="V19" s="67" t="n">
        <v>0.006</v>
      </c>
      <c r="W19" s="57"/>
      <c r="X19" s="67" t="n">
        <v>0.983666666666667</v>
      </c>
      <c r="Y19" s="57"/>
      <c r="Z19" s="58" t="n">
        <v>0.0019</v>
      </c>
      <c r="AA19" s="58" t="n">
        <v>0.0045</v>
      </c>
      <c r="AB19" s="58" t="n">
        <v>0.0091</v>
      </c>
      <c r="AC19" s="58" t="n">
        <v>0.0019</v>
      </c>
      <c r="AD19" s="58" t="n">
        <v>0.0026</v>
      </c>
      <c r="AE19" s="58" t="s">
        <v>92</v>
      </c>
      <c r="AF19" s="58" t="s">
        <v>92</v>
      </c>
      <c r="AG19" s="58" t="n">
        <v>0.0008</v>
      </c>
      <c r="AH19" s="58" t="n">
        <v>0.0062</v>
      </c>
      <c r="AI19" s="58"/>
      <c r="AJ19" s="58" t="s">
        <v>92</v>
      </c>
      <c r="AK19" s="58" t="n">
        <v>0.0064</v>
      </c>
      <c r="AL19" s="58" t="n">
        <v>0.0011</v>
      </c>
      <c r="AM19" s="58" t="n">
        <v>0.0038</v>
      </c>
      <c r="AN19" s="58" t="n">
        <v>0.0935</v>
      </c>
      <c r="AO19" s="58" t="s">
        <v>92</v>
      </c>
      <c r="AP19" s="58" t="n">
        <v>0.003</v>
      </c>
      <c r="AQ19" s="58" t="s">
        <v>92</v>
      </c>
      <c r="AR19" s="58" t="str">
        <f aca="false">AQ19</f>
        <v>NaN</v>
      </c>
      <c r="AS19" s="58" t="n">
        <v>0.0115</v>
      </c>
      <c r="AT19" s="58" t="s">
        <v>92</v>
      </c>
      <c r="AU19" s="58" t="n">
        <v>0.041</v>
      </c>
      <c r="AV19" s="58" t="n">
        <v>0.0689</v>
      </c>
      <c r="AW19" s="58" t="n">
        <f aca="false">AV19+AU19</f>
        <v>0.1099</v>
      </c>
      <c r="AX19" s="58" t="s">
        <v>92</v>
      </c>
      <c r="AY19" s="58"/>
    </row>
    <row r="20" customFormat="false" ht="17.35" hidden="false" customHeight="false" outlineLevel="0" collapsed="false">
      <c r="A20" s="59" t="n">
        <v>14</v>
      </c>
      <c r="B20" s="46" t="n">
        <v>3</v>
      </c>
      <c r="C20" s="46" t="n">
        <v>-12.15</v>
      </c>
      <c r="D20" s="47" t="n">
        <v>44599</v>
      </c>
      <c r="E20" s="65" t="s">
        <v>138</v>
      </c>
      <c r="F20" s="49" t="s">
        <v>139</v>
      </c>
      <c r="G20" s="49" t="s">
        <v>140</v>
      </c>
      <c r="H20" s="69" t="n">
        <v>34.381</v>
      </c>
      <c r="I20" s="69" t="n">
        <v>29.971</v>
      </c>
      <c r="J20" s="60"/>
      <c r="K20" s="49" t="s">
        <v>141</v>
      </c>
      <c r="L20" s="71"/>
      <c r="M20" s="70"/>
      <c r="N20" s="63"/>
      <c r="O20" s="69" t="n">
        <v>34.3623</v>
      </c>
      <c r="P20" s="67" t="n">
        <v>0.0146666666666667</v>
      </c>
      <c r="Q20" s="57"/>
      <c r="R20" s="68" t="n">
        <v>0.034</v>
      </c>
      <c r="S20" s="57"/>
      <c r="T20" s="67" t="n">
        <v>0.0193333333333333</v>
      </c>
      <c r="U20" s="57"/>
      <c r="V20" s="67" t="n">
        <v>0.002</v>
      </c>
      <c r="W20" s="57"/>
      <c r="X20" s="67" t="n">
        <v>0.879666666666667</v>
      </c>
      <c r="Y20" s="57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</row>
    <row r="21" customFormat="false" ht="15" hidden="false" customHeight="false" outlineLevel="0" collapsed="false">
      <c r="A21" s="59" t="n">
        <v>15</v>
      </c>
      <c r="B21" s="46" t="n">
        <v>2</v>
      </c>
      <c r="C21" s="46" t="n">
        <v>-10.39</v>
      </c>
      <c r="D21" s="47" t="n">
        <v>44627</v>
      </c>
      <c r="E21" s="65" t="s">
        <v>142</v>
      </c>
      <c r="F21" s="49" t="s">
        <v>143</v>
      </c>
      <c r="G21" s="49" t="s">
        <v>144</v>
      </c>
      <c r="H21" s="69" t="n">
        <v>34.572</v>
      </c>
      <c r="I21" s="69" t="n">
        <v>29.837</v>
      </c>
      <c r="J21" s="60"/>
      <c r="K21" s="49" t="s">
        <v>145</v>
      </c>
      <c r="L21" s="61"/>
      <c r="M21" s="62"/>
      <c r="N21" s="63"/>
      <c r="O21" s="69" t="n">
        <v>34.555</v>
      </c>
      <c r="P21" s="67" t="n">
        <v>0.00766666666666667</v>
      </c>
      <c r="Q21" s="57"/>
      <c r="R21" s="68" t="n">
        <v>0.008</v>
      </c>
      <c r="S21" s="57"/>
      <c r="T21" s="67" t="n">
        <v>0.000333333333333328</v>
      </c>
      <c r="U21" s="57"/>
      <c r="V21" s="67" t="n">
        <v>0</v>
      </c>
      <c r="W21" s="57"/>
      <c r="X21" s="67" t="n">
        <v>0.892666666666667</v>
      </c>
      <c r="Y21" s="57"/>
      <c r="Z21" s="58" t="n">
        <v>0.0022</v>
      </c>
      <c r="AA21" s="58" t="n">
        <v>0.0045</v>
      </c>
      <c r="AB21" s="58" t="n">
        <v>0.0062</v>
      </c>
      <c r="AC21" s="58" t="n">
        <v>0.0021</v>
      </c>
      <c r="AD21" s="58" t="n">
        <v>0.0028</v>
      </c>
      <c r="AE21" s="58" t="s">
        <v>92</v>
      </c>
      <c r="AF21" s="58" t="s">
        <v>92</v>
      </c>
      <c r="AG21" s="58" t="n">
        <v>0.0025</v>
      </c>
      <c r="AH21" s="58" t="n">
        <v>0.0141</v>
      </c>
      <c r="AI21" s="58"/>
      <c r="AJ21" s="58" t="s">
        <v>92</v>
      </c>
      <c r="AK21" s="58" t="n">
        <v>0.0041</v>
      </c>
      <c r="AL21" s="58" t="s">
        <v>92</v>
      </c>
      <c r="AM21" s="58" t="n">
        <v>0.0022</v>
      </c>
      <c r="AN21" s="58" t="n">
        <v>0.1069</v>
      </c>
      <c r="AO21" s="58" t="s">
        <v>92</v>
      </c>
      <c r="AP21" s="58" t="n">
        <v>0.0059</v>
      </c>
      <c r="AQ21" s="58" t="n">
        <v>0.0043</v>
      </c>
      <c r="AR21" s="58" t="n">
        <f aca="false">AP21+AQ21</f>
        <v>0.0102</v>
      </c>
      <c r="AS21" s="58" t="n">
        <v>0.0154</v>
      </c>
      <c r="AT21" s="58" t="s">
        <v>92</v>
      </c>
      <c r="AU21" s="58" t="n">
        <v>0.0733</v>
      </c>
      <c r="AV21" s="58" t="n">
        <v>0.0614</v>
      </c>
      <c r="AW21" s="58" t="n">
        <f aca="false">AV21+AU21</f>
        <v>0.1347</v>
      </c>
      <c r="AX21" s="58" t="n">
        <v>0.0019</v>
      </c>
      <c r="AY21" s="58"/>
    </row>
    <row r="22" customFormat="false" ht="24.1" hidden="false" customHeight="true" outlineLevel="0" collapsed="false">
      <c r="A22" s="59" t="n">
        <v>16</v>
      </c>
      <c r="B22" s="46" t="n">
        <v>-11</v>
      </c>
      <c r="C22" s="46" t="n">
        <v>-10</v>
      </c>
      <c r="D22" s="47" t="n">
        <v>44632</v>
      </c>
      <c r="E22" s="65" t="s">
        <v>146</v>
      </c>
      <c r="F22" s="49" t="s">
        <v>147</v>
      </c>
      <c r="G22" s="49" t="s">
        <v>148</v>
      </c>
      <c r="H22" s="72" t="n">
        <v>36.621</v>
      </c>
      <c r="I22" s="72" t="n">
        <v>27.136</v>
      </c>
      <c r="J22" s="60"/>
      <c r="K22" s="49" t="s">
        <v>149</v>
      </c>
      <c r="L22" s="71"/>
      <c r="M22" s="70"/>
      <c r="N22" s="63"/>
      <c r="O22" s="72" t="n">
        <v>36.298</v>
      </c>
      <c r="P22" s="67" t="n">
        <v>0.0186666666666667</v>
      </c>
      <c r="Q22" s="57"/>
      <c r="R22" s="68" t="n">
        <v>2.212</v>
      </c>
      <c r="S22" s="57"/>
      <c r="T22" s="67" t="n">
        <v>2.19333333333333</v>
      </c>
      <c r="U22" s="57"/>
      <c r="V22" s="67" t="n">
        <v>0.098</v>
      </c>
      <c r="W22" s="57"/>
      <c r="X22" s="67" t="n">
        <v>1.73466666666667</v>
      </c>
      <c r="Y22" s="57"/>
      <c r="Z22" s="58" t="s">
        <v>92</v>
      </c>
      <c r="AA22" s="58" t="s">
        <v>92</v>
      </c>
      <c r="AB22" s="58" t="s">
        <v>92</v>
      </c>
      <c r="AC22" s="58" t="s">
        <v>92</v>
      </c>
      <c r="AD22" s="58" t="s">
        <v>92</v>
      </c>
      <c r="AE22" s="58" t="s">
        <v>92</v>
      </c>
      <c r="AF22" s="58" t="s">
        <v>92</v>
      </c>
      <c r="AG22" s="58" t="s">
        <v>92</v>
      </c>
      <c r="AH22" s="58" t="n">
        <v>0.0025</v>
      </c>
      <c r="AI22" s="58"/>
      <c r="AJ22" s="58" t="s">
        <v>92</v>
      </c>
      <c r="AK22" s="58" t="s">
        <v>92</v>
      </c>
      <c r="AL22" s="58" t="s">
        <v>92</v>
      </c>
      <c r="AM22" s="58" t="s">
        <v>92</v>
      </c>
      <c r="AN22" s="58" t="n">
        <v>0.055</v>
      </c>
      <c r="AO22" s="58" t="s">
        <v>92</v>
      </c>
      <c r="AP22" s="58" t="s">
        <v>92</v>
      </c>
      <c r="AQ22" s="58" t="s">
        <v>92</v>
      </c>
      <c r="AR22" s="58" t="str">
        <f aca="false">AQ22</f>
        <v>NaN</v>
      </c>
      <c r="AS22" s="58" t="n">
        <v>0.0032</v>
      </c>
      <c r="AT22" s="58" t="s">
        <v>92</v>
      </c>
      <c r="AU22" s="58" t="n">
        <v>0.0143</v>
      </c>
      <c r="AV22" s="58" t="n">
        <v>0.0055</v>
      </c>
      <c r="AW22" s="58" t="n">
        <f aca="false">AV22+AU22</f>
        <v>0.0198</v>
      </c>
      <c r="AX22" s="58" t="s">
        <v>92</v>
      </c>
      <c r="AY22" s="58"/>
    </row>
    <row r="23" customFormat="false" ht="15" hidden="false" customHeight="false" outlineLevel="0" collapsed="false">
      <c r="A23" s="59" t="n">
        <v>17</v>
      </c>
      <c r="B23" s="46" t="n">
        <v>-12</v>
      </c>
      <c r="C23" s="46" t="n">
        <v>-10</v>
      </c>
      <c r="D23" s="47" t="n">
        <v>44633</v>
      </c>
      <c r="E23" s="65" t="s">
        <v>150</v>
      </c>
      <c r="F23" s="49" t="s">
        <v>151</v>
      </c>
      <c r="G23" s="49" t="s">
        <v>152</v>
      </c>
      <c r="H23" s="69" t="n">
        <v>36.576</v>
      </c>
      <c r="I23" s="69" t="n">
        <v>27.06</v>
      </c>
      <c r="J23" s="60"/>
      <c r="K23" s="49" t="s">
        <v>153</v>
      </c>
      <c r="L23" s="61"/>
      <c r="M23" s="62"/>
      <c r="N23" s="63"/>
      <c r="O23" s="69" t="n">
        <v>36.581</v>
      </c>
      <c r="P23" s="67" t="n">
        <v>0.0216666666666667</v>
      </c>
      <c r="Q23" s="57"/>
      <c r="R23" s="68" t="n">
        <v>5.693</v>
      </c>
      <c r="S23" s="57"/>
      <c r="T23" s="67" t="n">
        <v>5.67133333333333</v>
      </c>
      <c r="U23" s="57"/>
      <c r="V23" s="67" t="n">
        <v>0.143</v>
      </c>
      <c r="W23" s="57"/>
      <c r="X23" s="67" t="n">
        <v>2.96366666666667</v>
      </c>
      <c r="Y23" s="57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</row>
    <row r="24" customFormat="false" ht="17.35" hidden="false" customHeight="false" outlineLevel="0" collapsed="false">
      <c r="A24" s="59" t="n">
        <v>18</v>
      </c>
      <c r="B24" s="46" t="n">
        <v>-13</v>
      </c>
      <c r="C24" s="46" t="n">
        <v>-10</v>
      </c>
      <c r="D24" s="47" t="n">
        <v>44633</v>
      </c>
      <c r="E24" s="65" t="s">
        <v>154</v>
      </c>
      <c r="F24" s="49" t="s">
        <v>155</v>
      </c>
      <c r="G24" s="49" t="s">
        <v>152</v>
      </c>
      <c r="H24" s="69" t="n">
        <v>36.947</v>
      </c>
      <c r="I24" s="69" t="n">
        <v>26.853</v>
      </c>
      <c r="J24" s="60"/>
      <c r="K24" s="49" t="s">
        <v>156</v>
      </c>
      <c r="L24" s="71"/>
      <c r="M24" s="70"/>
      <c r="N24" s="63"/>
      <c r="O24" s="69" t="n">
        <v>36.9117</v>
      </c>
      <c r="P24" s="68" t="s">
        <v>92</v>
      </c>
      <c r="Q24" s="57"/>
      <c r="R24" s="68" t="s">
        <v>92</v>
      </c>
      <c r="S24" s="57"/>
      <c r="T24" s="68" t="s">
        <v>92</v>
      </c>
      <c r="U24" s="57"/>
      <c r="V24" s="68" t="s">
        <v>92</v>
      </c>
      <c r="W24" s="57"/>
      <c r="X24" s="68" t="s">
        <v>92</v>
      </c>
      <c r="Y24" s="57"/>
      <c r="Z24" s="58" t="s">
        <v>92</v>
      </c>
      <c r="AA24" s="58" t="n">
        <v>0.001</v>
      </c>
      <c r="AB24" s="58" t="n">
        <v>0.0014</v>
      </c>
      <c r="AC24" s="58" t="n">
        <v>0.0024</v>
      </c>
      <c r="AD24" s="58" t="n">
        <v>0.0016</v>
      </c>
      <c r="AE24" s="58" t="s">
        <v>92</v>
      </c>
      <c r="AF24" s="58" t="s">
        <v>92</v>
      </c>
      <c r="AG24" s="58" t="s">
        <v>92</v>
      </c>
      <c r="AH24" s="58" t="n">
        <v>0.0074</v>
      </c>
      <c r="AI24" s="58"/>
      <c r="AJ24" s="58" t="s">
        <v>92</v>
      </c>
      <c r="AK24" s="58" t="n">
        <v>0.0013</v>
      </c>
      <c r="AL24" s="58" t="s">
        <v>92</v>
      </c>
      <c r="AM24" s="58" t="s">
        <v>92</v>
      </c>
      <c r="AN24" s="58" t="n">
        <v>0.0527</v>
      </c>
      <c r="AO24" s="58" t="s">
        <v>92</v>
      </c>
      <c r="AP24" s="58" t="s">
        <v>92</v>
      </c>
      <c r="AQ24" s="58" t="n">
        <v>0.003</v>
      </c>
      <c r="AR24" s="58" t="n">
        <f aca="false">AQ24</f>
        <v>0.003</v>
      </c>
      <c r="AS24" s="58" t="n">
        <v>0.0055</v>
      </c>
      <c r="AT24" s="58" t="s">
        <v>92</v>
      </c>
      <c r="AU24" s="58" t="n">
        <v>0.0181</v>
      </c>
      <c r="AV24" s="58" t="n">
        <v>0.0202</v>
      </c>
      <c r="AW24" s="58" t="n">
        <f aca="false">AV24+AU24</f>
        <v>0.0383</v>
      </c>
      <c r="AX24" s="58" t="s">
        <v>92</v>
      </c>
      <c r="AY24" s="58"/>
    </row>
    <row r="25" customFormat="false" ht="15" hidden="false" customHeight="false" outlineLevel="0" collapsed="false">
      <c r="A25" s="59" t="n">
        <v>19</v>
      </c>
      <c r="B25" s="46" t="n">
        <v>-14</v>
      </c>
      <c r="C25" s="46" t="n">
        <v>-10</v>
      </c>
      <c r="D25" s="47" t="n">
        <v>44633</v>
      </c>
      <c r="E25" s="65" t="s">
        <v>157</v>
      </c>
      <c r="F25" s="49" t="s">
        <v>158</v>
      </c>
      <c r="G25" s="49" t="s">
        <v>152</v>
      </c>
      <c r="H25" s="69" t="n">
        <v>37.011</v>
      </c>
      <c r="I25" s="69" t="n">
        <v>26.433</v>
      </c>
      <c r="J25" s="60"/>
      <c r="K25" s="49" t="s">
        <v>159</v>
      </c>
      <c r="L25" s="61"/>
      <c r="M25" s="62"/>
      <c r="N25" s="63"/>
      <c r="O25" s="69" t="n">
        <v>37.0211</v>
      </c>
      <c r="P25" s="67" t="n">
        <v>0.00866666666666667</v>
      </c>
      <c r="Q25" s="57"/>
      <c r="R25" s="68" t="n">
        <v>0.045</v>
      </c>
      <c r="S25" s="57"/>
      <c r="T25" s="67" t="n">
        <v>0.0363333333333333</v>
      </c>
      <c r="U25" s="57"/>
      <c r="V25" s="67" t="n">
        <v>0.126</v>
      </c>
      <c r="W25" s="57"/>
      <c r="X25" s="67" t="n">
        <v>0.842666666666667</v>
      </c>
      <c r="Y25" s="57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</row>
    <row r="26" customFormat="false" ht="17.35" hidden="false" customHeight="false" outlineLevel="0" collapsed="false">
      <c r="A26" s="59" t="n">
        <v>20</v>
      </c>
      <c r="B26" s="46" t="n">
        <v>-15</v>
      </c>
      <c r="C26" s="46" t="n">
        <v>-10</v>
      </c>
      <c r="D26" s="47" t="n">
        <v>44633</v>
      </c>
      <c r="E26" s="65" t="s">
        <v>160</v>
      </c>
      <c r="F26" s="49" t="s">
        <v>161</v>
      </c>
      <c r="G26" s="49" t="s">
        <v>162</v>
      </c>
      <c r="H26" s="69" t="n">
        <v>36.832</v>
      </c>
      <c r="I26" s="69" t="n">
        <v>26.35</v>
      </c>
      <c r="J26" s="60"/>
      <c r="K26" s="49" t="s">
        <v>163</v>
      </c>
      <c r="L26" s="71"/>
      <c r="M26" s="70"/>
      <c r="N26" s="63"/>
      <c r="O26" s="69" t="n">
        <v>36.8317</v>
      </c>
      <c r="P26" s="67" t="n">
        <v>0.00566666666666667</v>
      </c>
      <c r="Q26" s="57"/>
      <c r="R26" s="68" t="n">
        <v>0.045</v>
      </c>
      <c r="S26" s="57"/>
      <c r="T26" s="67" t="n">
        <v>0.0393333333333333</v>
      </c>
      <c r="U26" s="57"/>
      <c r="V26" s="67" t="n">
        <v>0.119</v>
      </c>
      <c r="W26" s="57"/>
      <c r="X26" s="67" t="n">
        <v>0.869666666666667</v>
      </c>
      <c r="Y26" s="57"/>
      <c r="Z26" s="58" t="n">
        <v>0.0019</v>
      </c>
      <c r="AA26" s="58" t="n">
        <v>0.0039</v>
      </c>
      <c r="AB26" s="58" t="n">
        <v>0.0054</v>
      </c>
      <c r="AC26" s="58" t="n">
        <v>0.003</v>
      </c>
      <c r="AD26" s="58" t="n">
        <v>0.0035</v>
      </c>
      <c r="AE26" s="58" t="s">
        <v>92</v>
      </c>
      <c r="AF26" s="58" t="s">
        <v>92</v>
      </c>
      <c r="AG26" s="58" t="s">
        <v>92</v>
      </c>
      <c r="AH26" s="58" t="n">
        <v>0.0095</v>
      </c>
      <c r="AI26" s="58"/>
      <c r="AJ26" s="58" t="n">
        <v>0.0113</v>
      </c>
      <c r="AK26" s="58" t="n">
        <v>0.0033</v>
      </c>
      <c r="AL26" s="58" t="s">
        <v>92</v>
      </c>
      <c r="AM26" s="58" t="n">
        <v>0.0029</v>
      </c>
      <c r="AN26" s="58" t="n">
        <v>0.0675</v>
      </c>
      <c r="AO26" s="58" t="s">
        <v>92</v>
      </c>
      <c r="AP26" s="58" t="s">
        <v>92</v>
      </c>
      <c r="AQ26" s="58" t="s">
        <v>92</v>
      </c>
      <c r="AR26" s="58" t="str">
        <f aca="false">AQ26</f>
        <v>NaN</v>
      </c>
      <c r="AS26" s="58" t="n">
        <v>0.0048</v>
      </c>
      <c r="AT26" s="58" t="s">
        <v>92</v>
      </c>
      <c r="AU26" s="58" t="n">
        <v>0.021</v>
      </c>
      <c r="AV26" s="58" t="n">
        <v>0.0287</v>
      </c>
      <c r="AW26" s="58" t="n">
        <f aca="false">AV26+AU26</f>
        <v>0.0497</v>
      </c>
      <c r="AX26" s="58" t="s">
        <v>92</v>
      </c>
      <c r="AY26" s="58"/>
    </row>
    <row r="27" customFormat="false" ht="17.35" hidden="false" customHeight="false" outlineLevel="0" collapsed="false">
      <c r="A27" s="59" t="n">
        <v>21</v>
      </c>
      <c r="B27" s="46" t="n">
        <v>-16</v>
      </c>
      <c r="C27" s="46" t="n">
        <v>-10</v>
      </c>
      <c r="D27" s="47" t="n">
        <v>44633</v>
      </c>
      <c r="E27" s="65" t="s">
        <v>164</v>
      </c>
      <c r="F27" s="49" t="s">
        <v>165</v>
      </c>
      <c r="G27" s="49" t="s">
        <v>166</v>
      </c>
      <c r="H27" s="69" t="n">
        <v>36.944</v>
      </c>
      <c r="I27" s="69" t="n">
        <v>26.084</v>
      </c>
      <c r="J27" s="60"/>
      <c r="K27" s="49" t="s">
        <v>167</v>
      </c>
      <c r="L27" s="71"/>
      <c r="M27" s="70"/>
      <c r="N27" s="63"/>
      <c r="O27" s="69" t="n">
        <v>36.9469</v>
      </c>
      <c r="P27" s="67" t="n">
        <v>0.00666666666666667</v>
      </c>
      <c r="Q27" s="57"/>
      <c r="R27" s="68" t="n">
        <v>0.05</v>
      </c>
      <c r="S27" s="57"/>
      <c r="T27" s="67" t="n">
        <v>0.0433333333333333</v>
      </c>
      <c r="U27" s="57"/>
      <c r="V27" s="67" t="n">
        <v>0.143</v>
      </c>
      <c r="W27" s="57"/>
      <c r="X27" s="67" t="n">
        <v>0.704666666666667</v>
      </c>
      <c r="Y27" s="57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</row>
    <row r="28" customFormat="false" ht="15" hidden="false" customHeight="false" outlineLevel="0" collapsed="false">
      <c r="A28" s="59" t="n">
        <v>22</v>
      </c>
      <c r="B28" s="46" t="n">
        <v>-17</v>
      </c>
      <c r="C28" s="46" t="n">
        <v>-10</v>
      </c>
      <c r="D28" s="47" t="n">
        <v>44634</v>
      </c>
      <c r="E28" s="65" t="s">
        <v>168</v>
      </c>
      <c r="F28" s="49" t="s">
        <v>169</v>
      </c>
      <c r="G28" s="49" t="s">
        <v>152</v>
      </c>
      <c r="H28" s="69" t="n">
        <v>36.756</v>
      </c>
      <c r="I28" s="69" t="n">
        <v>25.505</v>
      </c>
      <c r="J28" s="60"/>
      <c r="K28" s="49" t="s">
        <v>170</v>
      </c>
      <c r="L28" s="61"/>
      <c r="M28" s="62"/>
      <c r="N28" s="63"/>
      <c r="O28" s="69" t="n">
        <v>36.7589</v>
      </c>
      <c r="P28" s="67" t="n">
        <v>0.0116666666666667</v>
      </c>
      <c r="Q28" s="57"/>
      <c r="R28" s="68" t="n">
        <v>0.065</v>
      </c>
      <c r="S28" s="57"/>
      <c r="T28" s="67" t="n">
        <v>0.0533333333333333</v>
      </c>
      <c r="U28" s="57"/>
      <c r="V28" s="67" t="n">
        <v>0.199</v>
      </c>
      <c r="W28" s="57"/>
      <c r="X28" s="67" t="n">
        <v>0.736666666666667</v>
      </c>
      <c r="Y28" s="57"/>
      <c r="Z28" s="58" t="s">
        <v>92</v>
      </c>
      <c r="AA28" s="58" t="n">
        <v>0.001</v>
      </c>
      <c r="AB28" s="58" t="n">
        <v>0.0013</v>
      </c>
      <c r="AC28" s="58" t="n">
        <v>0.0027</v>
      </c>
      <c r="AD28" s="58" t="n">
        <v>0.0025</v>
      </c>
      <c r="AE28" s="58" t="s">
        <v>92</v>
      </c>
      <c r="AF28" s="58" t="s">
        <v>92</v>
      </c>
      <c r="AG28" s="58" t="n">
        <v>0.0008</v>
      </c>
      <c r="AH28" s="58" t="n">
        <v>0.0063</v>
      </c>
      <c r="AI28" s="58"/>
      <c r="AJ28" s="58" t="n">
        <v>0.0039</v>
      </c>
      <c r="AK28" s="58" t="n">
        <v>0.0018</v>
      </c>
      <c r="AL28" s="58" t="s">
        <v>92</v>
      </c>
      <c r="AM28" s="58" t="n">
        <v>0.0009</v>
      </c>
      <c r="AN28" s="58" t="n">
        <v>0.0577</v>
      </c>
      <c r="AO28" s="58" t="s">
        <v>92</v>
      </c>
      <c r="AP28" s="58" t="s">
        <v>92</v>
      </c>
      <c r="AQ28" s="58" t="s">
        <v>92</v>
      </c>
      <c r="AR28" s="58" t="str">
        <f aca="false">AQ28</f>
        <v>NaN</v>
      </c>
      <c r="AS28" s="58" t="n">
        <v>0.0066</v>
      </c>
      <c r="AT28" s="58" t="s">
        <v>92</v>
      </c>
      <c r="AU28" s="58" t="n">
        <v>0.0194</v>
      </c>
      <c r="AV28" s="58" t="n">
        <v>0.0215</v>
      </c>
      <c r="AW28" s="58" t="n">
        <f aca="false">AV28+AU28</f>
        <v>0.0409</v>
      </c>
      <c r="AX28" s="58" t="s">
        <v>92</v>
      </c>
      <c r="AY28" s="58"/>
    </row>
    <row r="29" customFormat="false" ht="17.35" hidden="false" customHeight="false" outlineLevel="0" collapsed="false">
      <c r="A29" s="59" t="n">
        <v>23</v>
      </c>
      <c r="B29" s="46" t="n">
        <v>-18</v>
      </c>
      <c r="C29" s="46" t="n">
        <v>-10</v>
      </c>
      <c r="D29" s="47" t="n">
        <v>44634</v>
      </c>
      <c r="E29" s="65" t="s">
        <v>96</v>
      </c>
      <c r="F29" s="49" t="s">
        <v>171</v>
      </c>
      <c r="G29" s="49" t="s">
        <v>162</v>
      </c>
      <c r="H29" s="69" t="n">
        <v>36.778</v>
      </c>
      <c r="I29" s="69" t="n">
        <v>25.591</v>
      </c>
      <c r="J29" s="60"/>
      <c r="K29" s="49" t="s">
        <v>172</v>
      </c>
      <c r="L29" s="71"/>
      <c r="M29" s="70"/>
      <c r="N29" s="63"/>
      <c r="O29" s="69" t="n">
        <v>36.7708</v>
      </c>
      <c r="P29" s="67" t="n">
        <v>0.0136666666666667</v>
      </c>
      <c r="Q29" s="57"/>
      <c r="R29" s="68" t="n">
        <v>0.043</v>
      </c>
      <c r="S29" s="57"/>
      <c r="T29" s="67" t="n">
        <v>0.0293333333333333</v>
      </c>
      <c r="U29" s="57"/>
      <c r="V29" s="67" t="n">
        <v>0.195</v>
      </c>
      <c r="W29" s="57"/>
      <c r="X29" s="67" t="n">
        <v>0.776666666666667</v>
      </c>
      <c r="Y29" s="57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</row>
    <row r="30" customFormat="false" ht="15" hidden="false" customHeight="false" outlineLevel="0" collapsed="false">
      <c r="A30" s="59" t="n">
        <v>24</v>
      </c>
      <c r="B30" s="46" t="n">
        <v>-19</v>
      </c>
      <c r="C30" s="46" t="n">
        <v>-10</v>
      </c>
      <c r="D30" s="47" t="n">
        <v>44634</v>
      </c>
      <c r="E30" s="65" t="s">
        <v>173</v>
      </c>
      <c r="F30" s="49" t="s">
        <v>174</v>
      </c>
      <c r="G30" s="49" t="s">
        <v>152</v>
      </c>
      <c r="H30" s="69" t="n">
        <v>36.647</v>
      </c>
      <c r="I30" s="69" t="n">
        <v>25.605</v>
      </c>
      <c r="J30" s="60"/>
      <c r="K30" s="49" t="s">
        <v>175</v>
      </c>
      <c r="L30" s="61"/>
      <c r="M30" s="62"/>
      <c r="N30" s="63"/>
      <c r="O30" s="69" t="n">
        <v>36.6822</v>
      </c>
      <c r="P30" s="67" t="n">
        <v>0.0146666666666667</v>
      </c>
      <c r="Q30" s="57"/>
      <c r="R30" s="68" t="n">
        <v>0.045</v>
      </c>
      <c r="S30" s="57"/>
      <c r="T30" s="67" t="n">
        <v>0.0303333333333333</v>
      </c>
      <c r="U30" s="57"/>
      <c r="V30" s="67" t="n">
        <v>0.187</v>
      </c>
      <c r="W30" s="57"/>
      <c r="X30" s="67" t="n">
        <v>0.719666666666667</v>
      </c>
      <c r="Y30" s="57"/>
      <c r="Z30" s="58" t="n">
        <v>0.0018</v>
      </c>
      <c r="AA30" s="58" t="n">
        <v>0.0025</v>
      </c>
      <c r="AB30" s="58" t="s">
        <v>92</v>
      </c>
      <c r="AC30" s="58" t="n">
        <v>0.0032</v>
      </c>
      <c r="AD30" s="58" t="n">
        <v>0.0023</v>
      </c>
      <c r="AE30" s="58" t="s">
        <v>92</v>
      </c>
      <c r="AF30" s="58" t="s">
        <v>92</v>
      </c>
      <c r="AG30" s="58" t="s">
        <v>92</v>
      </c>
      <c r="AH30" s="58" t="n">
        <v>0.0064</v>
      </c>
      <c r="AI30" s="58"/>
      <c r="AJ30" s="58" t="s">
        <v>92</v>
      </c>
      <c r="AK30" s="58" t="n">
        <v>0.0012</v>
      </c>
      <c r="AL30" s="58" t="n">
        <v>0.001</v>
      </c>
      <c r="AM30" s="58" t="n">
        <v>0.0011</v>
      </c>
      <c r="AN30" s="58" t="n">
        <v>0.0581</v>
      </c>
      <c r="AO30" s="58" t="s">
        <v>92</v>
      </c>
      <c r="AP30" s="58" t="s">
        <v>92</v>
      </c>
      <c r="AQ30" s="58" t="n">
        <v>0.0102</v>
      </c>
      <c r="AR30" s="58" t="n">
        <f aca="false">AQ30</f>
        <v>0.0102</v>
      </c>
      <c r="AS30" s="58" t="n">
        <v>0.0034</v>
      </c>
      <c r="AT30" s="58" t="s">
        <v>92</v>
      </c>
      <c r="AU30" s="58" t="n">
        <v>0.0196</v>
      </c>
      <c r="AV30" s="58" t="n">
        <v>0.0203</v>
      </c>
      <c r="AW30" s="58" t="n">
        <f aca="false">AV30+AU30</f>
        <v>0.0399</v>
      </c>
      <c r="AX30" s="58" t="s">
        <v>92</v>
      </c>
      <c r="AY30" s="58"/>
    </row>
    <row r="31" customFormat="false" ht="17.35" hidden="false" customHeight="false" outlineLevel="0" collapsed="false">
      <c r="A31" s="59" t="n">
        <v>25</v>
      </c>
      <c r="B31" s="46" t="n">
        <v>-19</v>
      </c>
      <c r="C31" s="46" t="n">
        <v>-8.57</v>
      </c>
      <c r="D31" s="47" t="n">
        <v>44635</v>
      </c>
      <c r="E31" s="65" t="s">
        <v>176</v>
      </c>
      <c r="F31" s="49" t="s">
        <v>177</v>
      </c>
      <c r="G31" s="49" t="s">
        <v>178</v>
      </c>
      <c r="H31" s="69" t="n">
        <v>36.703</v>
      </c>
      <c r="I31" s="69" t="n">
        <v>25.557</v>
      </c>
      <c r="J31" s="60"/>
      <c r="K31" s="49" t="s">
        <v>179</v>
      </c>
      <c r="L31" s="71"/>
      <c r="M31" s="70"/>
      <c r="N31" s="63"/>
      <c r="O31" s="69" t="n">
        <v>36.6429</v>
      </c>
      <c r="P31" s="67" t="n">
        <v>0.0206666666666667</v>
      </c>
      <c r="Q31" s="57"/>
      <c r="R31" s="68" t="n">
        <v>0.051</v>
      </c>
      <c r="S31" s="57"/>
      <c r="T31" s="67" t="n">
        <v>0.0303333333333333</v>
      </c>
      <c r="U31" s="57"/>
      <c r="V31" s="67" t="n">
        <v>0.202</v>
      </c>
      <c r="W31" s="57"/>
      <c r="X31" s="67" t="n">
        <v>0.638666666666667</v>
      </c>
      <c r="Y31" s="57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</row>
    <row r="32" customFormat="false" ht="15" hidden="false" customHeight="false" outlineLevel="0" collapsed="false">
      <c r="A32" s="59" t="n">
        <v>26</v>
      </c>
      <c r="B32" s="46" t="n">
        <v>-18</v>
      </c>
      <c r="C32" s="46" t="n">
        <v>-7.51</v>
      </c>
      <c r="D32" s="47" t="n">
        <v>44635</v>
      </c>
      <c r="E32" s="65" t="s">
        <v>180</v>
      </c>
      <c r="F32" s="49" t="s">
        <v>181</v>
      </c>
      <c r="G32" s="49" t="s">
        <v>182</v>
      </c>
      <c r="H32" s="69" t="n">
        <v>36.66</v>
      </c>
      <c r="I32" s="69" t="n">
        <v>25.828</v>
      </c>
      <c r="J32" s="60"/>
      <c r="K32" s="49" t="s">
        <v>183</v>
      </c>
      <c r="L32" s="61"/>
      <c r="M32" s="62"/>
      <c r="N32" s="63"/>
      <c r="O32" s="69" t="n">
        <v>36.6573</v>
      </c>
      <c r="P32" s="67" t="n">
        <v>0.0126666666666667</v>
      </c>
      <c r="Q32" s="57"/>
      <c r="R32" s="68" t="n">
        <v>0.126</v>
      </c>
      <c r="S32" s="57"/>
      <c r="T32" s="67" t="n">
        <v>0.113333333333333</v>
      </c>
      <c r="U32" s="57"/>
      <c r="V32" s="67" t="n">
        <v>0.187</v>
      </c>
      <c r="W32" s="57"/>
      <c r="X32" s="67" t="n">
        <v>0.613666666666667</v>
      </c>
      <c r="Y32" s="57"/>
      <c r="Z32" s="58" t="n">
        <v>0.0021</v>
      </c>
      <c r="AA32" s="58" t="n">
        <v>0.0045</v>
      </c>
      <c r="AB32" s="58" t="n">
        <v>0.0059</v>
      </c>
      <c r="AC32" s="58" t="n">
        <v>0.0037</v>
      </c>
      <c r="AD32" s="58" t="n">
        <v>0.0039</v>
      </c>
      <c r="AE32" s="58" t="s">
        <v>92</v>
      </c>
      <c r="AF32" s="58" t="s">
        <v>92</v>
      </c>
      <c r="AG32" s="58" t="s">
        <v>92</v>
      </c>
      <c r="AH32" s="58" t="n">
        <v>0.0097</v>
      </c>
      <c r="AI32" s="58"/>
      <c r="AJ32" s="58" t="n">
        <v>0.0097</v>
      </c>
      <c r="AK32" s="58" t="n">
        <v>0.003</v>
      </c>
      <c r="AL32" s="58" t="s">
        <v>92</v>
      </c>
      <c r="AM32" s="58" t="s">
        <v>92</v>
      </c>
      <c r="AN32" s="58" t="n">
        <v>0.0664</v>
      </c>
      <c r="AO32" s="58" t="s">
        <v>92</v>
      </c>
      <c r="AP32" s="58" t="s">
        <v>92</v>
      </c>
      <c r="AQ32" s="58" t="n">
        <v>0.0033</v>
      </c>
      <c r="AR32" s="58" t="n">
        <f aca="false">AQ32</f>
        <v>0.0033</v>
      </c>
      <c r="AS32" s="58" t="n">
        <v>0.0072</v>
      </c>
      <c r="AT32" s="58" t="s">
        <v>92</v>
      </c>
      <c r="AU32" s="58" t="n">
        <v>0.0305</v>
      </c>
      <c r="AV32" s="58" t="n">
        <v>0.0361</v>
      </c>
      <c r="AW32" s="58" t="n">
        <f aca="false">AV32+AU32</f>
        <v>0.0666</v>
      </c>
      <c r="AX32" s="58" t="n">
        <v>0.001</v>
      </c>
      <c r="AY32" s="58"/>
    </row>
    <row r="33" customFormat="false" ht="17.35" hidden="false" customHeight="false" outlineLevel="0" collapsed="false">
      <c r="A33" s="59" t="n">
        <v>27</v>
      </c>
      <c r="B33" s="46" t="n">
        <v>-17</v>
      </c>
      <c r="C33" s="46" t="n">
        <v>-6.45</v>
      </c>
      <c r="D33" s="47" t="n">
        <v>44636</v>
      </c>
      <c r="E33" s="65" t="s">
        <v>184</v>
      </c>
      <c r="F33" s="49" t="s">
        <v>185</v>
      </c>
      <c r="G33" s="49" t="s">
        <v>186</v>
      </c>
      <c r="H33" s="69" t="n">
        <v>36.8</v>
      </c>
      <c r="I33" s="69" t="n">
        <v>25.8</v>
      </c>
      <c r="J33" s="60"/>
      <c r="K33" s="49" t="s">
        <v>187</v>
      </c>
      <c r="L33" s="71"/>
      <c r="M33" s="70"/>
      <c r="N33" s="63"/>
      <c r="O33" s="69" t="n">
        <v>36.8261</v>
      </c>
      <c r="P33" s="67" t="n">
        <v>0.0156666666666667</v>
      </c>
      <c r="Q33" s="57"/>
      <c r="R33" s="68" t="n">
        <v>0.112</v>
      </c>
      <c r="S33" s="57"/>
      <c r="T33" s="67" t="n">
        <v>0.0963333333333333</v>
      </c>
      <c r="U33" s="57"/>
      <c r="V33" s="67" t="n">
        <v>0.172</v>
      </c>
      <c r="W33" s="57"/>
      <c r="X33" s="67" t="n">
        <v>0.628666666666667</v>
      </c>
      <c r="Y33" s="57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</row>
    <row r="34" customFormat="false" ht="17.35" hidden="false" customHeight="false" outlineLevel="0" collapsed="false">
      <c r="A34" s="59" t="n">
        <v>28</v>
      </c>
      <c r="B34" s="46" t="n">
        <v>-15</v>
      </c>
      <c r="C34" s="46" t="n">
        <v>-5.32</v>
      </c>
      <c r="D34" s="47" t="n">
        <v>44638</v>
      </c>
      <c r="E34" s="65" t="s">
        <v>188</v>
      </c>
      <c r="F34" s="49" t="s">
        <v>189</v>
      </c>
      <c r="G34" s="49" t="s">
        <v>190</v>
      </c>
      <c r="H34" s="69" t="n">
        <v>36.806</v>
      </c>
      <c r="I34" s="69" t="n">
        <v>26.082</v>
      </c>
      <c r="J34" s="60"/>
      <c r="K34" s="49" t="s">
        <v>191</v>
      </c>
      <c r="L34" s="71"/>
      <c r="M34" s="62"/>
      <c r="N34" s="63"/>
      <c r="O34" s="69" t="n">
        <v>36.8033</v>
      </c>
      <c r="P34" s="67" t="n">
        <v>0.0556666666666667</v>
      </c>
      <c r="Q34" s="57"/>
      <c r="R34" s="68" t="n">
        <v>2.817</v>
      </c>
      <c r="S34" s="57"/>
      <c r="T34" s="67" t="n">
        <v>2.76133333333333</v>
      </c>
      <c r="U34" s="57"/>
      <c r="V34" s="67" t="n">
        <v>0.223</v>
      </c>
      <c r="W34" s="57"/>
      <c r="X34" s="67" t="n">
        <v>1.84866666666667</v>
      </c>
      <c r="Y34" s="57"/>
      <c r="Z34" s="58" t="s">
        <v>92</v>
      </c>
      <c r="AA34" s="58" t="s">
        <v>92</v>
      </c>
      <c r="AB34" s="58" t="s">
        <v>92</v>
      </c>
      <c r="AC34" s="58" t="s">
        <v>92</v>
      </c>
      <c r="AD34" s="58" t="n">
        <v>0.0032</v>
      </c>
      <c r="AE34" s="58" t="s">
        <v>92</v>
      </c>
      <c r="AF34" s="58" t="s">
        <v>92</v>
      </c>
      <c r="AG34" s="58" t="s">
        <v>92</v>
      </c>
      <c r="AH34" s="58" t="n">
        <v>0.0025</v>
      </c>
      <c r="AI34" s="58"/>
      <c r="AJ34" s="58" t="s">
        <v>92</v>
      </c>
      <c r="AK34" s="58" t="n">
        <v>0.0008</v>
      </c>
      <c r="AL34" s="58" t="s">
        <v>92</v>
      </c>
      <c r="AM34" s="58" t="s">
        <v>92</v>
      </c>
      <c r="AN34" s="58" t="n">
        <v>0.0334</v>
      </c>
      <c r="AO34" s="58" t="s">
        <v>92</v>
      </c>
      <c r="AP34" s="58" t="s">
        <v>92</v>
      </c>
      <c r="AQ34" s="58" t="n">
        <v>0.0025</v>
      </c>
      <c r="AR34" s="58" t="n">
        <f aca="false">AQ34</f>
        <v>0.0025</v>
      </c>
      <c r="AS34" s="58" t="n">
        <v>0.0035</v>
      </c>
      <c r="AT34" s="58" t="s">
        <v>92</v>
      </c>
      <c r="AU34" s="58" t="n">
        <v>0.0183</v>
      </c>
      <c r="AV34" s="58" t="n">
        <v>0.0118</v>
      </c>
      <c r="AW34" s="58" t="n">
        <f aca="false">AV34+AU34</f>
        <v>0.0301</v>
      </c>
      <c r="AX34" s="58" t="n">
        <v>0.0037</v>
      </c>
      <c r="AY34" s="58"/>
    </row>
    <row r="35" customFormat="false" ht="17.35" hidden="false" customHeight="false" outlineLevel="0" collapsed="false">
      <c r="A35" s="59" t="n">
        <v>29</v>
      </c>
      <c r="B35" s="46" t="n">
        <v>-14</v>
      </c>
      <c r="C35" s="46" t="n">
        <v>-5.21</v>
      </c>
      <c r="D35" s="47" t="n">
        <v>44638</v>
      </c>
      <c r="E35" s="65" t="s">
        <v>192</v>
      </c>
      <c r="F35" s="49" t="s">
        <v>193</v>
      </c>
      <c r="G35" s="49" t="s">
        <v>194</v>
      </c>
      <c r="H35" s="69" t="n">
        <v>36.659</v>
      </c>
      <c r="I35" s="69" t="n">
        <v>26.716</v>
      </c>
      <c r="J35" s="60"/>
      <c r="K35" s="49" t="s">
        <v>195</v>
      </c>
      <c r="L35" s="71"/>
      <c r="M35" s="70"/>
      <c r="N35" s="63"/>
      <c r="O35" s="69" t="n">
        <v>36.6667</v>
      </c>
      <c r="P35" s="67" t="n">
        <v>0.0126666666666667</v>
      </c>
      <c r="Q35" s="57"/>
      <c r="R35" s="68" t="n">
        <v>0.146</v>
      </c>
      <c r="S35" s="57"/>
      <c r="T35" s="67" t="n">
        <v>0.133333333333333</v>
      </c>
      <c r="U35" s="57"/>
      <c r="V35" s="67" t="n">
        <v>0.134</v>
      </c>
      <c r="W35" s="57"/>
      <c r="X35" s="67" t="n">
        <v>0.874666666666667</v>
      </c>
      <c r="Y35" s="57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</row>
    <row r="36" customFormat="false" ht="17.35" hidden="false" customHeight="false" outlineLevel="0" collapsed="false">
      <c r="A36" s="59" t="n">
        <v>30</v>
      </c>
      <c r="B36" s="46" t="n">
        <v>-13</v>
      </c>
      <c r="C36" s="46" t="n">
        <v>-5.1</v>
      </c>
      <c r="D36" s="47" t="n">
        <v>44639</v>
      </c>
      <c r="E36" s="65" t="s">
        <v>196</v>
      </c>
      <c r="F36" s="49" t="s">
        <v>197</v>
      </c>
      <c r="G36" s="49" t="s">
        <v>198</v>
      </c>
      <c r="H36" s="69" t="n">
        <v>36.605</v>
      </c>
      <c r="I36" s="69" t="n">
        <v>26.865</v>
      </c>
      <c r="J36" s="60"/>
      <c r="K36" s="49" t="s">
        <v>199</v>
      </c>
      <c r="L36" s="71"/>
      <c r="M36" s="70"/>
      <c r="N36" s="63"/>
      <c r="O36" s="69" t="n">
        <v>36.6645</v>
      </c>
      <c r="P36" s="67" t="n">
        <v>0.0186666666666667</v>
      </c>
      <c r="Q36" s="57"/>
      <c r="R36" s="68" t="n">
        <v>0.899</v>
      </c>
      <c r="S36" s="57"/>
      <c r="T36" s="67" t="n">
        <v>0.880333333333333</v>
      </c>
      <c r="U36" s="57"/>
      <c r="V36" s="67" t="n">
        <v>0.18</v>
      </c>
      <c r="W36" s="57"/>
      <c r="X36" s="67" t="n">
        <v>1.18866666666667</v>
      </c>
      <c r="Y36" s="57"/>
      <c r="Z36" s="58" t="s">
        <v>92</v>
      </c>
      <c r="AA36" s="58" t="s">
        <v>92</v>
      </c>
      <c r="AB36" s="58" t="s">
        <v>92</v>
      </c>
      <c r="AC36" s="58" t="s">
        <v>92</v>
      </c>
      <c r="AD36" s="58" t="s">
        <v>92</v>
      </c>
      <c r="AE36" s="58" t="s">
        <v>92</v>
      </c>
      <c r="AF36" s="58" t="s">
        <v>92</v>
      </c>
      <c r="AG36" s="58" t="s">
        <v>92</v>
      </c>
      <c r="AH36" s="58" t="n">
        <v>0.0013</v>
      </c>
      <c r="AI36" s="58"/>
      <c r="AJ36" s="58" t="s">
        <v>92</v>
      </c>
      <c r="AK36" s="58" t="s">
        <v>92</v>
      </c>
      <c r="AL36" s="58" t="s">
        <v>92</v>
      </c>
      <c r="AM36" s="58" t="s">
        <v>92</v>
      </c>
      <c r="AN36" s="58" t="n">
        <v>0.0451</v>
      </c>
      <c r="AO36" s="58" t="s">
        <v>92</v>
      </c>
      <c r="AP36" s="58" t="s">
        <v>92</v>
      </c>
      <c r="AQ36" s="58" t="s">
        <v>92</v>
      </c>
      <c r="AR36" s="58" t="str">
        <f aca="false">AQ36</f>
        <v>NaN</v>
      </c>
      <c r="AS36" s="58" t="n">
        <v>0.0038</v>
      </c>
      <c r="AT36" s="58" t="s">
        <v>92</v>
      </c>
      <c r="AU36" s="58" t="n">
        <v>0.0185</v>
      </c>
      <c r="AV36" s="58" t="n">
        <v>0.0063</v>
      </c>
      <c r="AW36" s="58" t="n">
        <f aca="false">AV36+AU36</f>
        <v>0.0248</v>
      </c>
      <c r="AX36" s="58" t="s">
        <v>92</v>
      </c>
      <c r="AY36" s="58"/>
    </row>
    <row r="37" customFormat="false" ht="15" hidden="false" customHeight="false" outlineLevel="0" collapsed="false">
      <c r="A37" s="59" t="n">
        <v>31</v>
      </c>
      <c r="B37" s="46" t="n">
        <v>-12</v>
      </c>
      <c r="C37" s="73" t="n">
        <v>-4.59</v>
      </c>
      <c r="D37" s="47" t="n">
        <v>44639</v>
      </c>
      <c r="E37" s="65" t="s">
        <v>200</v>
      </c>
      <c r="F37" s="49" t="s">
        <v>201</v>
      </c>
      <c r="G37" s="49" t="s">
        <v>202</v>
      </c>
      <c r="H37" s="69" t="n">
        <v>36.614</v>
      </c>
      <c r="I37" s="69" t="n">
        <v>26.958</v>
      </c>
      <c r="J37" s="60"/>
      <c r="K37" s="49" t="s">
        <v>203</v>
      </c>
      <c r="L37" s="64"/>
      <c r="M37" s="74"/>
      <c r="N37" s="63"/>
      <c r="O37" s="69" t="n">
        <v>36.6124</v>
      </c>
      <c r="P37" s="67" t="n">
        <v>0.00866666666666667</v>
      </c>
      <c r="Q37" s="57"/>
      <c r="R37" s="68" t="n">
        <v>0.121</v>
      </c>
      <c r="S37" s="57"/>
      <c r="T37" s="67" t="n">
        <v>0.112333333333333</v>
      </c>
      <c r="U37" s="57"/>
      <c r="V37" s="67" t="n">
        <v>0.139</v>
      </c>
      <c r="W37" s="57"/>
      <c r="X37" s="67" t="n">
        <v>0.850666666666667</v>
      </c>
      <c r="Y37" s="57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</row>
    <row r="38" customFormat="false" ht="17.35" hidden="false" customHeight="false" outlineLevel="0" collapsed="false">
      <c r="A38" s="59" t="n">
        <v>32</v>
      </c>
      <c r="B38" s="46" t="n">
        <v>-11</v>
      </c>
      <c r="C38" s="73" t="n">
        <v>-4.48</v>
      </c>
      <c r="D38" s="47" t="n">
        <v>44639</v>
      </c>
      <c r="E38" s="65" t="s">
        <v>204</v>
      </c>
      <c r="F38" s="49" t="s">
        <v>205</v>
      </c>
      <c r="G38" s="47" t="s">
        <v>206</v>
      </c>
      <c r="H38" s="69" t="s">
        <v>207</v>
      </c>
      <c r="I38" s="69" t="s">
        <v>208</v>
      </c>
      <c r="J38" s="60"/>
      <c r="K38" s="49" t="s">
        <v>209</v>
      </c>
      <c r="L38" s="71"/>
      <c r="M38" s="70"/>
      <c r="N38" s="63"/>
      <c r="O38" s="69" t="n">
        <v>36.5859</v>
      </c>
      <c r="P38" s="67" t="n">
        <v>0.0186666666666667</v>
      </c>
      <c r="Q38" s="57"/>
      <c r="R38" s="68" t="n">
        <v>0.274</v>
      </c>
      <c r="S38" s="57"/>
      <c r="T38" s="67" t="n">
        <v>0.255333333333333</v>
      </c>
      <c r="U38" s="57"/>
      <c r="V38" s="67" t="n">
        <v>0.175</v>
      </c>
      <c r="W38" s="57"/>
      <c r="X38" s="67" t="n">
        <v>1.03866666666667</v>
      </c>
      <c r="Y38" s="57"/>
      <c r="Z38" s="58" t="s">
        <v>92</v>
      </c>
      <c r="AA38" s="58" t="s">
        <v>92</v>
      </c>
      <c r="AB38" s="58" t="s">
        <v>92</v>
      </c>
      <c r="AC38" s="58" t="s">
        <v>92</v>
      </c>
      <c r="AD38" s="58" t="s">
        <v>92</v>
      </c>
      <c r="AE38" s="58" t="s">
        <v>92</v>
      </c>
      <c r="AF38" s="58" t="s">
        <v>92</v>
      </c>
      <c r="AG38" s="58" t="s">
        <v>92</v>
      </c>
      <c r="AH38" s="58" t="n">
        <v>0.0019</v>
      </c>
      <c r="AI38" s="58"/>
      <c r="AJ38" s="58" t="s">
        <v>92</v>
      </c>
      <c r="AK38" s="58" t="s">
        <v>92</v>
      </c>
      <c r="AL38" s="58" t="s">
        <v>92</v>
      </c>
      <c r="AM38" s="58" t="s">
        <v>92</v>
      </c>
      <c r="AN38" s="58" t="n">
        <v>0.0644</v>
      </c>
      <c r="AO38" s="58" t="s">
        <v>92</v>
      </c>
      <c r="AP38" s="58" t="s">
        <v>92</v>
      </c>
      <c r="AQ38" s="58" t="s">
        <v>92</v>
      </c>
      <c r="AR38" s="58" t="str">
        <f aca="false">AQ38</f>
        <v>NaN</v>
      </c>
      <c r="AS38" s="58" t="n">
        <v>0.005</v>
      </c>
      <c r="AT38" s="58" t="s">
        <v>92</v>
      </c>
      <c r="AU38" s="58" t="n">
        <v>0.0265</v>
      </c>
      <c r="AV38" s="58" t="n">
        <v>0.0081</v>
      </c>
      <c r="AW38" s="58" t="n">
        <f aca="false">AV38+AU38</f>
        <v>0.0346</v>
      </c>
      <c r="AX38" s="58" t="n">
        <v>0.0014</v>
      </c>
      <c r="AY38" s="58"/>
    </row>
    <row r="39" customFormat="false" ht="15" hidden="false" customHeight="false" outlineLevel="0" collapsed="false">
      <c r="A39" s="59" t="n">
        <v>33</v>
      </c>
      <c r="B39" s="46" t="n">
        <v>-10</v>
      </c>
      <c r="C39" s="73" t="n">
        <v>-4.37</v>
      </c>
      <c r="D39" s="47" t="n">
        <v>44639</v>
      </c>
      <c r="E39" s="65" t="s">
        <v>210</v>
      </c>
      <c r="F39" s="75" t="s">
        <v>211</v>
      </c>
      <c r="G39" s="49" t="s">
        <v>212</v>
      </c>
      <c r="H39" s="69" t="s">
        <v>213</v>
      </c>
      <c r="I39" s="69" t="s">
        <v>214</v>
      </c>
      <c r="J39" s="60"/>
      <c r="K39" s="49" t="s">
        <v>215</v>
      </c>
      <c r="L39" s="64"/>
      <c r="M39" s="74"/>
      <c r="N39" s="63"/>
      <c r="O39" s="69" t="n">
        <v>36.169</v>
      </c>
      <c r="P39" s="67" t="n">
        <v>0.0146666666666667</v>
      </c>
      <c r="Q39" s="57"/>
      <c r="R39" s="68" t="n">
        <v>0.139</v>
      </c>
      <c r="S39" s="57"/>
      <c r="T39" s="67" t="n">
        <v>0.124333333333333</v>
      </c>
      <c r="U39" s="57"/>
      <c r="V39" s="67" t="n">
        <v>0.097</v>
      </c>
      <c r="W39" s="57"/>
      <c r="X39" s="67" t="n">
        <v>0.845666666666667</v>
      </c>
      <c r="Y39" s="57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</row>
    <row r="40" customFormat="false" ht="17.35" hidden="false" customHeight="false" outlineLevel="0" collapsed="false">
      <c r="A40" s="59" t="n">
        <v>34</v>
      </c>
      <c r="B40" s="46" t="n">
        <v>-9</v>
      </c>
      <c r="C40" s="73" t="n">
        <v>-4.26</v>
      </c>
      <c r="D40" s="47" t="n">
        <v>44639</v>
      </c>
      <c r="E40" s="65" t="s">
        <v>216</v>
      </c>
      <c r="F40" s="47" t="s">
        <v>217</v>
      </c>
      <c r="G40" s="49" t="s">
        <v>218</v>
      </c>
      <c r="H40" s="69" t="s">
        <v>219</v>
      </c>
      <c r="I40" s="69" t="s">
        <v>220</v>
      </c>
      <c r="J40" s="60"/>
      <c r="K40" s="49" t="s">
        <v>221</v>
      </c>
      <c r="L40" s="71"/>
      <c r="M40" s="70"/>
      <c r="N40" s="76"/>
      <c r="O40" s="69" t="n">
        <v>36.1944</v>
      </c>
      <c r="P40" s="67" t="n">
        <v>0.0166666666666667</v>
      </c>
      <c r="Q40" s="57"/>
      <c r="R40" s="68" t="n">
        <v>0.13</v>
      </c>
      <c r="S40" s="57"/>
      <c r="T40" s="67" t="n">
        <v>0.113333333333333</v>
      </c>
      <c r="U40" s="57"/>
      <c r="V40" s="67" t="n">
        <v>0.096</v>
      </c>
      <c r="W40" s="57"/>
      <c r="X40" s="67" t="n">
        <v>0.864666666666667</v>
      </c>
      <c r="Y40" s="57"/>
      <c r="Z40" s="58" t="s">
        <v>92</v>
      </c>
      <c r="AA40" s="58" t="s">
        <v>92</v>
      </c>
      <c r="AB40" s="58" t="n">
        <v>0.0034</v>
      </c>
      <c r="AC40" s="58" t="n">
        <v>0.0012</v>
      </c>
      <c r="AD40" s="58" t="n">
        <v>0.0018</v>
      </c>
      <c r="AE40" s="58" t="s">
        <v>92</v>
      </c>
      <c r="AF40" s="58" t="s">
        <v>92</v>
      </c>
      <c r="AG40" s="58" t="s">
        <v>92</v>
      </c>
      <c r="AH40" s="58" t="n">
        <v>0.0058</v>
      </c>
      <c r="AI40" s="58"/>
      <c r="AJ40" s="58" t="n">
        <v>0.0167</v>
      </c>
      <c r="AK40" s="58" t="s">
        <v>92</v>
      </c>
      <c r="AL40" s="58" t="s">
        <v>92</v>
      </c>
      <c r="AM40" s="58" t="n">
        <v>0.002</v>
      </c>
      <c r="AN40" s="58" t="n">
        <v>0.0665</v>
      </c>
      <c r="AO40" s="58" t="s">
        <v>92</v>
      </c>
      <c r="AP40" s="58" t="s">
        <v>92</v>
      </c>
      <c r="AQ40" s="58" t="s">
        <v>92</v>
      </c>
      <c r="AR40" s="58" t="str">
        <f aca="false">AQ40</f>
        <v>NaN</v>
      </c>
      <c r="AS40" s="58" t="n">
        <v>0.0069</v>
      </c>
      <c r="AT40" s="58" t="s">
        <v>92</v>
      </c>
      <c r="AU40" s="58" t="n">
        <v>0.0314</v>
      </c>
      <c r="AV40" s="58" t="n">
        <v>0.0187</v>
      </c>
      <c r="AW40" s="58" t="n">
        <f aca="false">AV40+AU40</f>
        <v>0.0501</v>
      </c>
      <c r="AX40" s="58" t="s">
        <v>92</v>
      </c>
      <c r="AY40" s="58"/>
    </row>
    <row r="41" customFormat="false" ht="17.35" hidden="false" customHeight="false" outlineLevel="0" collapsed="false">
      <c r="A41" s="59" t="n">
        <v>35</v>
      </c>
      <c r="B41" s="46" t="n">
        <v>-8</v>
      </c>
      <c r="C41" s="73" t="n">
        <v>-4.15</v>
      </c>
      <c r="D41" s="47" t="n">
        <v>44640</v>
      </c>
      <c r="E41" s="65" t="s">
        <v>222</v>
      </c>
      <c r="F41" s="49" t="s">
        <v>223</v>
      </c>
      <c r="G41" s="49" t="s">
        <v>224</v>
      </c>
      <c r="H41" s="69" t="s">
        <v>225</v>
      </c>
      <c r="I41" s="69" t="s">
        <v>226</v>
      </c>
      <c r="J41" s="77"/>
      <c r="K41" s="49" t="s">
        <v>227</v>
      </c>
      <c r="L41" s="78"/>
      <c r="M41" s="79"/>
      <c r="N41" s="63"/>
      <c r="O41" s="69" t="n">
        <v>36.1555</v>
      </c>
      <c r="P41" s="67" t="n">
        <v>0.0196666666666667</v>
      </c>
      <c r="Q41" s="57"/>
      <c r="R41" s="68" t="n">
        <v>0.125</v>
      </c>
      <c r="S41" s="57"/>
      <c r="T41" s="67" t="n">
        <v>0.105333333333333</v>
      </c>
      <c r="U41" s="57"/>
      <c r="V41" s="67" t="n">
        <v>0.076</v>
      </c>
      <c r="W41" s="57"/>
      <c r="X41" s="67" t="n">
        <v>0.846666666666667</v>
      </c>
      <c r="Y41" s="57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</row>
    <row r="42" customFormat="false" ht="17.35" hidden="false" customHeight="false" outlineLevel="0" collapsed="false">
      <c r="A42" s="59" t="n">
        <v>36</v>
      </c>
      <c r="B42" s="46" t="n">
        <v>-7</v>
      </c>
      <c r="C42" s="73" t="n">
        <v>-4.04</v>
      </c>
      <c r="D42" s="47" t="n">
        <v>44640</v>
      </c>
      <c r="E42" s="65" t="s">
        <v>228</v>
      </c>
      <c r="F42" s="49" t="s">
        <v>229</v>
      </c>
      <c r="G42" s="49" t="s">
        <v>230</v>
      </c>
      <c r="H42" s="69" t="s">
        <v>231</v>
      </c>
      <c r="I42" s="69" t="s">
        <v>232</v>
      </c>
      <c r="J42" s="80"/>
      <c r="K42" s="49" t="s">
        <v>233</v>
      </c>
      <c r="L42" s="81"/>
      <c r="M42" s="82"/>
      <c r="N42" s="63"/>
      <c r="O42" s="69" t="n">
        <v>36.1052</v>
      </c>
      <c r="P42" s="67" t="n">
        <v>0.0166666666666667</v>
      </c>
      <c r="Q42" s="57"/>
      <c r="R42" s="68" t="n">
        <v>0.141</v>
      </c>
      <c r="S42" s="57"/>
      <c r="T42" s="67" t="n">
        <v>0.124333333333333</v>
      </c>
      <c r="U42" s="57"/>
      <c r="V42" s="67" t="n">
        <v>0.081</v>
      </c>
      <c r="W42" s="57"/>
      <c r="X42" s="67" t="n">
        <v>0.882666666666667</v>
      </c>
      <c r="Y42" s="57"/>
      <c r="Z42" s="58" t="n">
        <v>0.0022</v>
      </c>
      <c r="AA42" s="58" t="n">
        <v>0.0045</v>
      </c>
      <c r="AB42" s="58" t="n">
        <v>0.0049</v>
      </c>
      <c r="AC42" s="58" t="n">
        <v>0.0049</v>
      </c>
      <c r="AD42" s="58" t="n">
        <v>0.0046</v>
      </c>
      <c r="AE42" s="58" t="s">
        <v>92</v>
      </c>
      <c r="AF42" s="58" t="s">
        <v>92</v>
      </c>
      <c r="AG42" s="58" t="s">
        <v>92</v>
      </c>
      <c r="AH42" s="58" t="n">
        <v>0.0121</v>
      </c>
      <c r="AI42" s="58"/>
      <c r="AJ42" s="58" t="n">
        <v>0.004</v>
      </c>
      <c r="AK42" s="58" t="n">
        <v>0.0025</v>
      </c>
      <c r="AL42" s="58" t="s">
        <v>92</v>
      </c>
      <c r="AM42" s="58" t="s">
        <v>92</v>
      </c>
      <c r="AN42" s="58" t="n">
        <v>0.0951</v>
      </c>
      <c r="AO42" s="58" t="s">
        <v>92</v>
      </c>
      <c r="AP42" s="58" t="n">
        <v>0.0055</v>
      </c>
      <c r="AQ42" s="58" t="n">
        <v>0.0048</v>
      </c>
      <c r="AR42" s="58" t="n">
        <f aca="false">AP42+AQ42</f>
        <v>0.0103</v>
      </c>
      <c r="AS42" s="58" t="n">
        <v>0.0128</v>
      </c>
      <c r="AT42" s="58" t="s">
        <v>92</v>
      </c>
      <c r="AU42" s="58" t="n">
        <v>0.0615</v>
      </c>
      <c r="AV42" s="58" t="n">
        <v>0.0423</v>
      </c>
      <c r="AW42" s="58" t="n">
        <f aca="false">AV42+AU42</f>
        <v>0.1038</v>
      </c>
      <c r="AX42" s="58" t="s">
        <v>92</v>
      </c>
      <c r="AY42" s="58"/>
    </row>
    <row r="43" customFormat="false" ht="17.35" hidden="false" customHeight="false" outlineLevel="0" collapsed="false">
      <c r="A43" s="59" t="n">
        <v>37</v>
      </c>
      <c r="B43" s="46" t="n">
        <v>-6</v>
      </c>
      <c r="C43" s="73" t="n">
        <v>-3.53</v>
      </c>
      <c r="D43" s="47" t="n">
        <v>44640</v>
      </c>
      <c r="E43" s="65" t="s">
        <v>234</v>
      </c>
      <c r="F43" s="49" t="s">
        <v>235</v>
      </c>
      <c r="G43" s="49" t="s">
        <v>236</v>
      </c>
      <c r="H43" s="69" t="s">
        <v>237</v>
      </c>
      <c r="I43" s="69" t="s">
        <v>238</v>
      </c>
      <c r="J43" s="83"/>
      <c r="K43" s="49" t="s">
        <v>239</v>
      </c>
      <c r="L43" s="84"/>
      <c r="M43" s="85"/>
      <c r="N43" s="63"/>
      <c r="O43" s="69" t="n">
        <v>35.927</v>
      </c>
      <c r="P43" s="67" t="n">
        <v>0.00766666666666667</v>
      </c>
      <c r="Q43" s="57"/>
      <c r="R43" s="68" t="n">
        <v>0.118</v>
      </c>
      <c r="S43" s="57"/>
      <c r="T43" s="67" t="n">
        <v>0.110333333333333</v>
      </c>
      <c r="U43" s="57"/>
      <c r="V43" s="67" t="n">
        <v>0.053</v>
      </c>
      <c r="W43" s="57"/>
      <c r="X43" s="67" t="n">
        <v>0.947666666666667</v>
      </c>
      <c r="Y43" s="57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</row>
    <row r="44" customFormat="false" ht="17.35" hidden="false" customHeight="false" outlineLevel="0" collapsed="false">
      <c r="A44" s="59" t="n">
        <v>38</v>
      </c>
      <c r="B44" s="46" t="n">
        <v>-5</v>
      </c>
      <c r="C44" s="73" t="n">
        <v>-3.42</v>
      </c>
      <c r="D44" s="47" t="n">
        <v>44640</v>
      </c>
      <c r="E44" s="65" t="s">
        <v>240</v>
      </c>
      <c r="F44" s="49" t="s">
        <v>241</v>
      </c>
      <c r="G44" s="49" t="s">
        <v>242</v>
      </c>
      <c r="H44" s="69" t="s">
        <v>243</v>
      </c>
      <c r="I44" s="69" t="s">
        <v>244</v>
      </c>
      <c r="J44" s="83"/>
      <c r="K44" s="49" t="s">
        <v>245</v>
      </c>
      <c r="L44" s="84"/>
      <c r="M44" s="86"/>
      <c r="N44" s="63"/>
      <c r="O44" s="69" t="n">
        <v>35.7933</v>
      </c>
      <c r="P44" s="67" t="n">
        <v>0.0106666666666667</v>
      </c>
      <c r="Q44" s="57"/>
      <c r="R44" s="68" t="n">
        <v>0.097</v>
      </c>
      <c r="S44" s="57"/>
      <c r="T44" s="67" t="n">
        <v>0.0863333333333333</v>
      </c>
      <c r="U44" s="57"/>
      <c r="V44" s="67" t="n">
        <v>0.04</v>
      </c>
      <c r="W44" s="57"/>
      <c r="X44" s="67" t="n">
        <v>0.911666666666667</v>
      </c>
      <c r="Y44" s="57"/>
      <c r="Z44" s="58" t="n">
        <v>0.0021</v>
      </c>
      <c r="AA44" s="58" t="n">
        <v>0.0047</v>
      </c>
      <c r="AB44" s="58" t="n">
        <v>0.0062</v>
      </c>
      <c r="AC44" s="58" t="n">
        <v>0.0034</v>
      </c>
      <c r="AD44" s="58" t="n">
        <v>0.0045</v>
      </c>
      <c r="AE44" s="58" t="s">
        <v>92</v>
      </c>
      <c r="AF44" s="58" t="s">
        <v>92</v>
      </c>
      <c r="AG44" s="58" t="s">
        <v>92</v>
      </c>
      <c r="AH44" s="58" t="n">
        <v>0.0116</v>
      </c>
      <c r="AI44" s="58"/>
      <c r="AJ44" s="58" t="s">
        <v>92</v>
      </c>
      <c r="AK44" s="58" t="n">
        <v>0.0042</v>
      </c>
      <c r="AL44" s="58" t="s">
        <v>92</v>
      </c>
      <c r="AM44" s="58" t="n">
        <v>0.0026</v>
      </c>
      <c r="AN44" s="58" t="n">
        <v>0.1135</v>
      </c>
      <c r="AO44" s="58" t="s">
        <v>92</v>
      </c>
      <c r="AP44" s="58" t="n">
        <v>0.0032</v>
      </c>
      <c r="AQ44" s="58" t="n">
        <v>0.004</v>
      </c>
      <c r="AR44" s="58" t="n">
        <f aca="false">AP44+AQ44</f>
        <v>0.0072</v>
      </c>
      <c r="AS44" s="58" t="n">
        <v>0.0121</v>
      </c>
      <c r="AT44" s="58" t="s">
        <v>92</v>
      </c>
      <c r="AU44" s="58" t="n">
        <v>0.0574</v>
      </c>
      <c r="AV44" s="58" t="n">
        <v>0.0597</v>
      </c>
      <c r="AW44" s="58" t="n">
        <f aca="false">AV44+AU44</f>
        <v>0.1171</v>
      </c>
      <c r="AX44" s="58" t="n">
        <v>0.0018</v>
      </c>
      <c r="AY44" s="58"/>
    </row>
    <row r="45" customFormat="false" ht="17.35" hidden="false" customHeight="false" outlineLevel="0" collapsed="false">
      <c r="A45" s="59" t="n">
        <v>39</v>
      </c>
      <c r="B45" s="46" t="n">
        <v>-4</v>
      </c>
      <c r="C45" s="73" t="n">
        <v>-3.31</v>
      </c>
      <c r="D45" s="47" t="n">
        <v>44640</v>
      </c>
      <c r="E45" s="65" t="s">
        <v>246</v>
      </c>
      <c r="F45" s="49" t="s">
        <v>247</v>
      </c>
      <c r="G45" s="49" t="s">
        <v>248</v>
      </c>
      <c r="H45" s="69" t="s">
        <v>249</v>
      </c>
      <c r="I45" s="69" t="s">
        <v>250</v>
      </c>
      <c r="J45" s="83"/>
      <c r="K45" s="49" t="s">
        <v>251</v>
      </c>
      <c r="L45" s="84"/>
      <c r="M45" s="85"/>
      <c r="N45" s="63"/>
      <c r="O45" s="69" t="n">
        <v>35.2717</v>
      </c>
      <c r="P45" s="67" t="n">
        <v>0.00966666666666667</v>
      </c>
      <c r="Q45" s="57"/>
      <c r="R45" s="68" t="n">
        <v>0.095</v>
      </c>
      <c r="S45" s="57"/>
      <c r="T45" s="67" t="n">
        <v>0.0853333333333333</v>
      </c>
      <c r="U45" s="57"/>
      <c r="V45" s="67" t="n">
        <v>0.087</v>
      </c>
      <c r="W45" s="57"/>
      <c r="X45" s="67" t="n">
        <v>1.55066666666667</v>
      </c>
      <c r="Y45" s="57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</row>
    <row r="46" customFormat="false" ht="17.35" hidden="false" customHeight="false" outlineLevel="0" collapsed="false">
      <c r="A46" s="59" t="n">
        <v>40</v>
      </c>
      <c r="B46" s="46" t="n">
        <v>-3</v>
      </c>
      <c r="C46" s="87" t="n">
        <v>-3.2</v>
      </c>
      <c r="D46" s="47" t="n">
        <v>44641</v>
      </c>
      <c r="E46" s="65" t="s">
        <v>252</v>
      </c>
      <c r="F46" s="49" t="s">
        <v>253</v>
      </c>
      <c r="G46" s="49" t="s">
        <v>254</v>
      </c>
      <c r="H46" s="69" t="s">
        <v>255</v>
      </c>
      <c r="I46" s="69" t="s">
        <v>256</v>
      </c>
      <c r="J46" s="83"/>
      <c r="K46" s="49" t="s">
        <v>257</v>
      </c>
      <c r="L46" s="84"/>
      <c r="M46" s="86"/>
      <c r="N46" s="63"/>
      <c r="O46" s="69" t="n">
        <v>35.2655</v>
      </c>
      <c r="P46" s="67" t="n">
        <v>0.0186666666666667</v>
      </c>
      <c r="Q46" s="57"/>
      <c r="R46" s="68" t="n">
        <v>0.091</v>
      </c>
      <c r="S46" s="57"/>
      <c r="T46" s="67" t="n">
        <v>0.0723333333333333</v>
      </c>
      <c r="U46" s="57"/>
      <c r="V46" s="67" t="n">
        <v>0.055</v>
      </c>
      <c r="W46" s="57"/>
      <c r="X46" s="67" t="n">
        <v>1.09866666666667</v>
      </c>
      <c r="Y46" s="57"/>
      <c r="Z46" s="58" t="n">
        <v>0.0022</v>
      </c>
      <c r="AA46" s="58" t="n">
        <v>0.0041</v>
      </c>
      <c r="AB46" s="58" t="n">
        <v>0.0055</v>
      </c>
      <c r="AC46" s="58" t="n">
        <v>0.0038</v>
      </c>
      <c r="AD46" s="58" t="n">
        <v>0.0061</v>
      </c>
      <c r="AE46" s="58" t="s">
        <v>92</v>
      </c>
      <c r="AF46" s="58" t="s">
        <v>92</v>
      </c>
      <c r="AG46" s="58" t="s">
        <v>92</v>
      </c>
      <c r="AH46" s="58" t="n">
        <v>0.0072</v>
      </c>
      <c r="AI46" s="58"/>
      <c r="AJ46" s="58" t="s">
        <v>92</v>
      </c>
      <c r="AK46" s="58" t="n">
        <v>0.0022</v>
      </c>
      <c r="AL46" s="58" t="n">
        <v>0.001</v>
      </c>
      <c r="AM46" s="58" t="s">
        <v>92</v>
      </c>
      <c r="AN46" s="58" t="n">
        <v>0.0933</v>
      </c>
      <c r="AO46" s="58" t="s">
        <v>92</v>
      </c>
      <c r="AP46" s="58" t="n">
        <v>0.0042</v>
      </c>
      <c r="AQ46" s="58" t="n">
        <v>0.0046</v>
      </c>
      <c r="AR46" s="58" t="n">
        <f aca="false">AP46+AQ46</f>
        <v>0.0088</v>
      </c>
      <c r="AS46" s="58" t="n">
        <v>0.0122</v>
      </c>
      <c r="AT46" s="58" t="s">
        <v>92</v>
      </c>
      <c r="AU46" s="58" t="n">
        <v>0.0507</v>
      </c>
      <c r="AV46" s="58" t="n">
        <v>0.0442</v>
      </c>
      <c r="AW46" s="58" t="n">
        <f aca="false">AV46+AU46</f>
        <v>0.0949</v>
      </c>
      <c r="AX46" s="58" t="s">
        <v>92</v>
      </c>
      <c r="AY46" s="58"/>
    </row>
    <row r="47" customFormat="false" ht="17.35" hidden="false" customHeight="false" outlineLevel="0" collapsed="false">
      <c r="A47" s="59" t="n">
        <v>41</v>
      </c>
      <c r="B47" s="46" t="n">
        <v>-2</v>
      </c>
      <c r="C47" s="87" t="n">
        <v>-3.09</v>
      </c>
      <c r="D47" s="47" t="n">
        <v>44641</v>
      </c>
      <c r="E47" s="65" t="s">
        <v>258</v>
      </c>
      <c r="F47" s="49" t="s">
        <v>259</v>
      </c>
      <c r="G47" s="49" t="s">
        <v>260</v>
      </c>
      <c r="H47" s="69" t="s">
        <v>261</v>
      </c>
      <c r="I47" s="69" t="s">
        <v>262</v>
      </c>
      <c r="J47" s="83"/>
      <c r="K47" s="49" t="s">
        <v>263</v>
      </c>
      <c r="L47" s="84"/>
      <c r="M47" s="85"/>
      <c r="N47" s="63"/>
      <c r="O47" s="69" t="n">
        <v>35.6679</v>
      </c>
      <c r="P47" s="67" t="n">
        <v>0.0106666666666667</v>
      </c>
      <c r="Q47" s="57"/>
      <c r="R47" s="68" t="n">
        <v>0.089</v>
      </c>
      <c r="S47" s="57"/>
      <c r="T47" s="67" t="n">
        <v>0.0783333333333333</v>
      </c>
      <c r="U47" s="57"/>
      <c r="V47" s="67" t="n">
        <v>0.054</v>
      </c>
      <c r="W47" s="57"/>
      <c r="X47" s="67" t="n">
        <v>0.867666666666667</v>
      </c>
      <c r="Y47" s="57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</row>
    <row r="48" customFormat="false" ht="17.35" hidden="false" customHeight="false" outlineLevel="0" collapsed="false">
      <c r="A48" s="59" t="n">
        <v>42</v>
      </c>
      <c r="B48" s="46" t="n">
        <v>-1</v>
      </c>
      <c r="C48" s="87" t="n">
        <v>-2.58</v>
      </c>
      <c r="D48" s="47" t="n">
        <v>44641</v>
      </c>
      <c r="E48" s="65" t="s">
        <v>264</v>
      </c>
      <c r="F48" s="49" t="s">
        <v>265</v>
      </c>
      <c r="G48" s="49" t="s">
        <v>266</v>
      </c>
      <c r="H48" s="69" t="s">
        <v>267</v>
      </c>
      <c r="I48" s="69" t="s">
        <v>268</v>
      </c>
      <c r="J48" s="83"/>
      <c r="K48" s="49" t="s">
        <v>269</v>
      </c>
      <c r="L48" s="88"/>
      <c r="M48" s="86"/>
      <c r="N48" s="63"/>
      <c r="O48" s="69" t="n">
        <v>34.6008</v>
      </c>
      <c r="P48" s="67" t="n">
        <v>0.0286666666666667</v>
      </c>
      <c r="Q48" s="57"/>
      <c r="R48" s="68" t="n">
        <v>0.11</v>
      </c>
      <c r="S48" s="57"/>
      <c r="T48" s="67" t="n">
        <v>0.0813333333333333</v>
      </c>
      <c r="U48" s="57"/>
      <c r="V48" s="67" t="n">
        <v>0.014</v>
      </c>
      <c r="W48" s="57"/>
      <c r="X48" s="67" t="n">
        <v>0.788666666666667</v>
      </c>
      <c r="Y48" s="57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</row>
    <row r="49" customFormat="false" ht="17.35" hidden="false" customHeight="false" outlineLevel="0" collapsed="false">
      <c r="A49" s="59" t="n">
        <v>43</v>
      </c>
      <c r="B49" s="46" t="n">
        <v>0</v>
      </c>
      <c r="C49" s="46" t="n">
        <v>-3</v>
      </c>
      <c r="D49" s="47" t="n">
        <v>44642</v>
      </c>
      <c r="E49" s="65" t="s">
        <v>270</v>
      </c>
      <c r="F49" s="49" t="s">
        <v>271</v>
      </c>
      <c r="G49" s="47" t="s">
        <v>272</v>
      </c>
      <c r="H49" s="69" t="s">
        <v>273</v>
      </c>
      <c r="I49" s="69" t="s">
        <v>274</v>
      </c>
      <c r="J49" s="83"/>
      <c r="K49" s="49" t="s">
        <v>275</v>
      </c>
      <c r="L49" s="84"/>
      <c r="M49" s="85"/>
      <c r="N49" s="63"/>
      <c r="O49" s="89" t="n">
        <v>34.3307</v>
      </c>
      <c r="P49" s="67" t="n">
        <v>0.0306666666666667</v>
      </c>
      <c r="Q49" s="57"/>
      <c r="R49" s="68" t="n">
        <v>1.026</v>
      </c>
      <c r="S49" s="57"/>
      <c r="T49" s="67" t="n">
        <v>0.995333333333333</v>
      </c>
      <c r="U49" s="57"/>
      <c r="V49" s="67" t="n">
        <v>0.07</v>
      </c>
      <c r="W49" s="57"/>
      <c r="X49" s="67" t="n">
        <v>1.41766666666667</v>
      </c>
      <c r="Y49" s="57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</row>
    <row r="50" customFormat="false" ht="17.35" hidden="false" customHeight="false" outlineLevel="0" collapsed="false">
      <c r="A50" s="59" t="n">
        <v>44</v>
      </c>
      <c r="B50" s="46" t="n">
        <v>0</v>
      </c>
      <c r="C50" s="46" t="n">
        <v>-4</v>
      </c>
      <c r="D50" s="47" t="n">
        <v>44643</v>
      </c>
      <c r="E50" s="65" t="s">
        <v>276</v>
      </c>
      <c r="F50" s="49" t="s">
        <v>271</v>
      </c>
      <c r="G50" s="49" t="s">
        <v>277</v>
      </c>
      <c r="H50" s="69" t="s">
        <v>278</v>
      </c>
      <c r="I50" s="90" t="s">
        <v>279</v>
      </c>
      <c r="J50" s="83"/>
      <c r="K50" s="49" t="s">
        <v>280</v>
      </c>
      <c r="L50" s="84"/>
      <c r="M50" s="86"/>
      <c r="N50" s="63"/>
      <c r="O50" s="89" t="n">
        <v>34.5174</v>
      </c>
      <c r="P50" s="67" t="n">
        <v>0.00566666666666667</v>
      </c>
      <c r="Q50" s="57"/>
      <c r="R50" s="68" t="n">
        <v>0.083</v>
      </c>
      <c r="S50" s="57"/>
      <c r="T50" s="67" t="n">
        <v>0.0773333333333333</v>
      </c>
      <c r="U50" s="57"/>
      <c r="V50" s="67" t="n">
        <v>0.015</v>
      </c>
      <c r="W50" s="57"/>
      <c r="X50" s="67" t="n">
        <v>0.776666666666667</v>
      </c>
      <c r="Y50" s="57"/>
      <c r="Z50" s="58" t="s">
        <v>92</v>
      </c>
      <c r="AA50" s="58" t="n">
        <v>0.0015</v>
      </c>
      <c r="AB50" s="58" t="n">
        <v>0.0025</v>
      </c>
      <c r="AC50" s="58" t="n">
        <v>0.0038</v>
      </c>
      <c r="AD50" s="58" t="n">
        <v>0.0047</v>
      </c>
      <c r="AE50" s="58" t="s">
        <v>92</v>
      </c>
      <c r="AF50" s="58" t="s">
        <v>92</v>
      </c>
      <c r="AG50" s="58" t="s">
        <v>92</v>
      </c>
      <c r="AH50" s="58" t="n">
        <v>0.0086</v>
      </c>
      <c r="AI50" s="58"/>
      <c r="AJ50" s="58" t="n">
        <v>0.0014</v>
      </c>
      <c r="AK50" s="58" t="n">
        <v>0.0022</v>
      </c>
      <c r="AL50" s="58" t="s">
        <v>92</v>
      </c>
      <c r="AM50" s="58" t="s">
        <v>92</v>
      </c>
      <c r="AN50" s="58" t="n">
        <v>0.0799</v>
      </c>
      <c r="AO50" s="58" t="s">
        <v>92</v>
      </c>
      <c r="AP50" s="58" t="n">
        <v>0.0028</v>
      </c>
      <c r="AQ50" s="58" t="n">
        <v>0.0042</v>
      </c>
      <c r="AR50" s="58" t="n">
        <f aca="false">AP50+AQ50</f>
        <v>0.007</v>
      </c>
      <c r="AS50" s="58" t="n">
        <v>0.0087</v>
      </c>
      <c r="AT50" s="58" t="s">
        <v>92</v>
      </c>
      <c r="AU50" s="58" t="n">
        <v>0.0285</v>
      </c>
      <c r="AV50" s="58" t="n">
        <v>0.034</v>
      </c>
      <c r="AW50" s="58" t="n">
        <f aca="false">AV50+AU50</f>
        <v>0.0625</v>
      </c>
      <c r="AX50" s="58" t="s">
        <v>92</v>
      </c>
      <c r="AY50" s="58"/>
    </row>
    <row r="51" customFormat="false" ht="17.35" hidden="false" customHeight="false" outlineLevel="0" collapsed="false">
      <c r="A51" s="59" t="n">
        <v>45</v>
      </c>
      <c r="B51" s="46" t="n">
        <v>0</v>
      </c>
      <c r="C51" s="46" t="n">
        <v>-5</v>
      </c>
      <c r="D51" s="47" t="n">
        <v>44643</v>
      </c>
      <c r="E51" s="65" t="s">
        <v>281</v>
      </c>
      <c r="F51" s="49" t="s">
        <v>271</v>
      </c>
      <c r="G51" s="49" t="s">
        <v>282</v>
      </c>
      <c r="H51" s="69" t="s">
        <v>283</v>
      </c>
      <c r="I51" s="69" t="s">
        <v>284</v>
      </c>
      <c r="J51" s="83"/>
      <c r="K51" s="49" t="s">
        <v>285</v>
      </c>
      <c r="L51" s="84"/>
      <c r="M51" s="85"/>
      <c r="N51" s="63"/>
      <c r="O51" s="89" t="n">
        <v>34.764</v>
      </c>
      <c r="P51" s="67" t="n">
        <v>0.00966666666666667</v>
      </c>
      <c r="Q51" s="57"/>
      <c r="R51" s="68" t="n">
        <v>0.083</v>
      </c>
      <c r="S51" s="57"/>
      <c r="T51" s="67" t="n">
        <v>0.0733333333333333</v>
      </c>
      <c r="U51" s="57"/>
      <c r="V51" s="67" t="n">
        <v>0.014</v>
      </c>
      <c r="W51" s="57"/>
      <c r="X51" s="67" t="n">
        <v>0.784666666666667</v>
      </c>
      <c r="Y51" s="57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</row>
    <row r="52" customFormat="false" ht="17.35" hidden="false" customHeight="false" outlineLevel="0" collapsed="false">
      <c r="A52" s="59" t="n">
        <v>46</v>
      </c>
      <c r="B52" s="46" t="n">
        <v>0</v>
      </c>
      <c r="C52" s="46" t="n">
        <v>-6</v>
      </c>
      <c r="D52" s="47" t="n">
        <v>44643</v>
      </c>
      <c r="E52" s="65" t="s">
        <v>286</v>
      </c>
      <c r="F52" s="49" t="s">
        <v>271</v>
      </c>
      <c r="G52" s="49" t="s">
        <v>287</v>
      </c>
      <c r="H52" s="69" t="s">
        <v>288</v>
      </c>
      <c r="I52" s="69" t="s">
        <v>289</v>
      </c>
      <c r="J52" s="83"/>
      <c r="K52" s="49" t="s">
        <v>290</v>
      </c>
      <c r="L52" s="88"/>
      <c r="M52" s="86"/>
      <c r="N52" s="63"/>
      <c r="O52" s="89" t="n">
        <v>35.3727</v>
      </c>
      <c r="P52" s="67" t="n">
        <v>0.0116666666666667</v>
      </c>
      <c r="Q52" s="57"/>
      <c r="R52" s="68" t="n">
        <v>0</v>
      </c>
      <c r="S52" s="57"/>
      <c r="T52" s="67" t="n">
        <v>-0.0116666666666667</v>
      </c>
      <c r="U52" s="57"/>
      <c r="V52" s="67" t="n">
        <v>0.018</v>
      </c>
      <c r="W52" s="57"/>
      <c r="X52" s="67" t="n">
        <v>0.827666666666667</v>
      </c>
      <c r="Y52" s="57"/>
      <c r="Z52" s="58" t="n">
        <v>0.002</v>
      </c>
      <c r="AA52" s="58" t="n">
        <v>0.0043</v>
      </c>
      <c r="AB52" s="58" t="n">
        <v>0.006</v>
      </c>
      <c r="AC52" s="58" t="n">
        <v>0.0042</v>
      </c>
      <c r="AD52" s="58" t="n">
        <v>0.0042</v>
      </c>
      <c r="AE52" s="58" t="s">
        <v>92</v>
      </c>
      <c r="AF52" s="58" t="s">
        <v>92</v>
      </c>
      <c r="AG52" s="58" t="s">
        <v>92</v>
      </c>
      <c r="AH52" s="58" t="n">
        <v>0.0117</v>
      </c>
      <c r="AI52" s="58"/>
      <c r="AJ52" s="58" t="n">
        <v>0.0027</v>
      </c>
      <c r="AK52" s="58" t="n">
        <v>0.0044</v>
      </c>
      <c r="AL52" s="58" t="s">
        <v>92</v>
      </c>
      <c r="AM52" s="58" t="n">
        <v>0.0019</v>
      </c>
      <c r="AN52" s="58" t="n">
        <v>0.1098</v>
      </c>
      <c r="AO52" s="58" t="s">
        <v>92</v>
      </c>
      <c r="AP52" s="58" t="n">
        <v>0.0034</v>
      </c>
      <c r="AQ52" s="58" t="n">
        <v>0.0033</v>
      </c>
      <c r="AR52" s="58" t="n">
        <f aca="false">AP52+AQ52</f>
        <v>0.0067</v>
      </c>
      <c r="AS52" s="58" t="n">
        <v>0.0141</v>
      </c>
      <c r="AT52" s="58" t="s">
        <v>92</v>
      </c>
      <c r="AU52" s="58" t="n">
        <v>0.0678</v>
      </c>
      <c r="AV52" s="58" t="n">
        <v>0.0534</v>
      </c>
      <c r="AW52" s="58" t="n">
        <f aca="false">AV52+AU52</f>
        <v>0.1212</v>
      </c>
      <c r="AX52" s="58" t="n">
        <v>0.0018</v>
      </c>
      <c r="AY52" s="58"/>
    </row>
    <row r="53" customFormat="false" ht="17.35" hidden="false" customHeight="false" outlineLevel="0" collapsed="false">
      <c r="A53" s="59" t="n">
        <v>47</v>
      </c>
      <c r="B53" s="46" t="n">
        <v>0</v>
      </c>
      <c r="C53" s="46" t="n">
        <v>-7</v>
      </c>
      <c r="D53" s="47" t="n">
        <v>44643</v>
      </c>
      <c r="E53" s="65" t="s">
        <v>291</v>
      </c>
      <c r="F53" s="49" t="s">
        <v>271</v>
      </c>
      <c r="G53" s="49" t="s">
        <v>292</v>
      </c>
      <c r="H53" s="69" t="s">
        <v>293</v>
      </c>
      <c r="I53" s="69" t="s">
        <v>294</v>
      </c>
      <c r="J53" s="83"/>
      <c r="K53" s="49" t="s">
        <v>295</v>
      </c>
      <c r="L53" s="84"/>
      <c r="M53" s="85"/>
      <c r="N53" s="63"/>
      <c r="O53" s="89" t="n">
        <v>35.547</v>
      </c>
      <c r="P53" s="67" t="n">
        <v>0.0106666666666667</v>
      </c>
      <c r="Q53" s="57"/>
      <c r="R53" s="68" t="n">
        <v>0</v>
      </c>
      <c r="S53" s="57"/>
      <c r="T53" s="67" t="n">
        <v>-0.0106666666666667</v>
      </c>
      <c r="U53" s="57"/>
      <c r="V53" s="67" t="n">
        <v>0.019</v>
      </c>
      <c r="W53" s="57"/>
      <c r="X53" s="67" t="n">
        <v>0.843666666666667</v>
      </c>
      <c r="Y53" s="57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</row>
    <row r="54" customFormat="false" ht="17.35" hidden="false" customHeight="false" outlineLevel="0" collapsed="false">
      <c r="A54" s="59" t="n">
        <v>48</v>
      </c>
      <c r="B54" s="46" t="n">
        <v>0</v>
      </c>
      <c r="C54" s="46" t="n">
        <v>-8</v>
      </c>
      <c r="D54" s="47" t="n">
        <v>44643</v>
      </c>
      <c r="E54" s="65" t="s">
        <v>296</v>
      </c>
      <c r="F54" s="49" t="s">
        <v>297</v>
      </c>
      <c r="G54" s="49" t="s">
        <v>298</v>
      </c>
      <c r="H54" s="69" t="s">
        <v>293</v>
      </c>
      <c r="I54" s="69" t="s">
        <v>299</v>
      </c>
      <c r="J54" s="83"/>
      <c r="K54" s="49" t="s">
        <v>300</v>
      </c>
      <c r="L54" s="84"/>
      <c r="M54" s="86"/>
      <c r="N54" s="63"/>
      <c r="O54" s="89" t="n">
        <v>35.5964</v>
      </c>
      <c r="P54" s="67" t="n">
        <v>0.0186666666666667</v>
      </c>
      <c r="Q54" s="57"/>
      <c r="R54" s="68" t="n">
        <v>0</v>
      </c>
      <c r="S54" s="57"/>
      <c r="T54" s="67" t="n">
        <v>-0.0186666666666667</v>
      </c>
      <c r="U54" s="57"/>
      <c r="V54" s="67" t="n">
        <v>0.031</v>
      </c>
      <c r="W54" s="57"/>
      <c r="X54" s="67" t="n">
        <v>0.927666666666667</v>
      </c>
      <c r="Y54" s="57"/>
      <c r="Z54" s="58" t="n">
        <v>0.0019</v>
      </c>
      <c r="AA54" s="58" t="n">
        <v>0.0042</v>
      </c>
      <c r="AB54" s="58" t="n">
        <v>0.0057</v>
      </c>
      <c r="AC54" s="58" t="n">
        <v>0.0032</v>
      </c>
      <c r="AD54" s="58" t="n">
        <v>0.0044</v>
      </c>
      <c r="AE54" s="58" t="s">
        <v>92</v>
      </c>
      <c r="AF54" s="58" t="s">
        <v>92</v>
      </c>
      <c r="AG54" s="58" t="s">
        <v>92</v>
      </c>
      <c r="AH54" s="58" t="n">
        <v>0.0108</v>
      </c>
      <c r="AI54" s="58"/>
      <c r="AJ54" s="58" t="n">
        <v>0.011</v>
      </c>
      <c r="AK54" s="58" t="s">
        <v>92</v>
      </c>
      <c r="AL54" s="58" t="n">
        <v>0.003</v>
      </c>
      <c r="AM54" s="58" t="n">
        <v>0.0014</v>
      </c>
      <c r="AN54" s="58" t="n">
        <v>0.0612</v>
      </c>
      <c r="AO54" s="58" t="s">
        <v>92</v>
      </c>
      <c r="AP54" s="58" t="s">
        <v>92</v>
      </c>
      <c r="AQ54" s="58" t="n">
        <v>0.0023</v>
      </c>
      <c r="AR54" s="58" t="str">
        <f aca="false">AP54</f>
        <v>NaN</v>
      </c>
      <c r="AS54" s="58" t="n">
        <v>0.0087</v>
      </c>
      <c r="AT54" s="58" t="s">
        <v>92</v>
      </c>
      <c r="AU54" s="58" t="n">
        <v>0.0248</v>
      </c>
      <c r="AV54" s="58" t="n">
        <v>0.0424</v>
      </c>
      <c r="AW54" s="58" t="n">
        <f aca="false">AV54+AU54</f>
        <v>0.0672</v>
      </c>
      <c r="AX54" s="58" t="s">
        <v>92</v>
      </c>
      <c r="AY54" s="58"/>
    </row>
    <row r="55" customFormat="false" ht="17.35" hidden="false" customHeight="false" outlineLevel="0" collapsed="false">
      <c r="A55" s="59" t="n">
        <v>49</v>
      </c>
      <c r="B55" s="46" t="n">
        <v>0</v>
      </c>
      <c r="C55" s="46" t="n">
        <v>-9</v>
      </c>
      <c r="D55" s="47" t="n">
        <v>44644</v>
      </c>
      <c r="E55" s="65" t="s">
        <v>301</v>
      </c>
      <c r="F55" s="49" t="s">
        <v>302</v>
      </c>
      <c r="G55" s="49" t="s">
        <v>303</v>
      </c>
      <c r="H55" s="69" t="s">
        <v>304</v>
      </c>
      <c r="I55" s="69" t="s">
        <v>305</v>
      </c>
      <c r="J55" s="83"/>
      <c r="K55" s="49" t="s">
        <v>306</v>
      </c>
      <c r="L55" s="84"/>
      <c r="M55" s="85"/>
      <c r="N55" s="63"/>
      <c r="O55" s="89" t="n">
        <v>35.1498</v>
      </c>
      <c r="P55" s="67" t="n">
        <v>0.0156666666666667</v>
      </c>
      <c r="Q55" s="57"/>
      <c r="R55" s="68" t="n">
        <v>0</v>
      </c>
      <c r="S55" s="57"/>
      <c r="T55" s="67" t="n">
        <v>-0.0156666666666667</v>
      </c>
      <c r="U55" s="57"/>
      <c r="V55" s="67" t="n">
        <v>0.023</v>
      </c>
      <c r="W55" s="57"/>
      <c r="X55" s="67" t="n">
        <v>0.860666666666667</v>
      </c>
      <c r="Y55" s="57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</row>
    <row r="56" customFormat="false" ht="17.35" hidden="false" customHeight="false" outlineLevel="0" collapsed="false">
      <c r="A56" s="59" t="n">
        <v>50</v>
      </c>
      <c r="B56" s="46" t="n">
        <v>0</v>
      </c>
      <c r="C56" s="46" t="n">
        <v>-11</v>
      </c>
      <c r="D56" s="47" t="n">
        <v>44646</v>
      </c>
      <c r="E56" s="65" t="s">
        <v>307</v>
      </c>
      <c r="F56" s="49" t="s">
        <v>308</v>
      </c>
      <c r="G56" s="49" t="s">
        <v>309</v>
      </c>
      <c r="H56" s="69" t="s">
        <v>310</v>
      </c>
      <c r="I56" s="69" t="n">
        <v>29</v>
      </c>
      <c r="J56" s="91"/>
      <c r="K56" s="49" t="s">
        <v>311</v>
      </c>
      <c r="L56" s="92"/>
      <c r="M56" s="93"/>
      <c r="N56" s="63"/>
      <c r="O56" s="89" t="n">
        <v>35.4372</v>
      </c>
      <c r="P56" s="67" t="n">
        <v>0.0226666666666667</v>
      </c>
      <c r="Q56" s="57"/>
      <c r="R56" s="68" t="n">
        <v>0</v>
      </c>
      <c r="S56" s="57"/>
      <c r="T56" s="67" t="n">
        <v>-0.0226666666666667</v>
      </c>
      <c r="U56" s="57"/>
      <c r="V56" s="67" t="n">
        <v>0.035</v>
      </c>
      <c r="W56" s="57"/>
      <c r="X56" s="67" t="n">
        <v>0.890666666666667</v>
      </c>
      <c r="Y56" s="57"/>
      <c r="Z56" s="58" t="s">
        <v>92</v>
      </c>
      <c r="AA56" s="58" t="n">
        <v>0.0039</v>
      </c>
      <c r="AB56" s="58" t="n">
        <v>0.0057</v>
      </c>
      <c r="AC56" s="58" t="n">
        <v>0.0015</v>
      </c>
      <c r="AD56" s="58" t="n">
        <v>0.0023</v>
      </c>
      <c r="AE56" s="58" t="s">
        <v>92</v>
      </c>
      <c r="AF56" s="58" t="s">
        <v>92</v>
      </c>
      <c r="AG56" s="58" t="n">
        <v>0.001</v>
      </c>
      <c r="AH56" s="58" t="n">
        <v>0.0082</v>
      </c>
      <c r="AI56" s="58"/>
      <c r="AJ56" s="58" t="n">
        <v>0.0024</v>
      </c>
      <c r="AK56" s="58" t="n">
        <v>0.0035</v>
      </c>
      <c r="AL56" s="58" t="s">
        <v>92</v>
      </c>
      <c r="AM56" s="58" t="n">
        <v>0.0018</v>
      </c>
      <c r="AN56" s="58" t="n">
        <v>0.1182</v>
      </c>
      <c r="AO56" s="58" t="s">
        <v>92</v>
      </c>
      <c r="AP56" s="58" t="s">
        <v>92</v>
      </c>
      <c r="AQ56" s="58" t="s">
        <v>92</v>
      </c>
      <c r="AR56" s="58" t="str">
        <f aca="false">AP56</f>
        <v>NaN</v>
      </c>
      <c r="AS56" s="58" t="n">
        <v>0.0134</v>
      </c>
      <c r="AT56" s="58" t="s">
        <v>92</v>
      </c>
      <c r="AU56" s="58" t="n">
        <v>0.0677</v>
      </c>
      <c r="AV56" s="58" t="n">
        <v>0.0443</v>
      </c>
      <c r="AW56" s="58" t="n">
        <f aca="false">AV56+AU56</f>
        <v>0.112</v>
      </c>
      <c r="AX56" s="58" t="n">
        <v>0.0009</v>
      </c>
      <c r="AY56" s="58"/>
    </row>
    <row r="57" customFormat="false" ht="17.35" hidden="false" customHeight="false" outlineLevel="0" collapsed="false">
      <c r="A57" s="59" t="n">
        <v>51</v>
      </c>
      <c r="B57" s="46" t="n">
        <v>0</v>
      </c>
      <c r="C57" s="46" t="n">
        <v>-12</v>
      </c>
      <c r="D57" s="47" t="n">
        <v>44646</v>
      </c>
      <c r="E57" s="65" t="s">
        <v>312</v>
      </c>
      <c r="F57" s="49" t="s">
        <v>313</v>
      </c>
      <c r="G57" s="49" t="s">
        <v>314</v>
      </c>
      <c r="H57" s="69" t="s">
        <v>315</v>
      </c>
      <c r="I57" s="69" t="s">
        <v>316</v>
      </c>
      <c r="J57" s="60"/>
      <c r="K57" s="49" t="s">
        <v>317</v>
      </c>
      <c r="L57" s="92"/>
      <c r="M57" s="85"/>
      <c r="N57" s="63"/>
      <c r="O57" s="89" t="n">
        <v>35.5105</v>
      </c>
      <c r="P57" s="67" t="n">
        <v>0.0216666666666667</v>
      </c>
      <c r="Q57" s="57"/>
      <c r="R57" s="68" t="n">
        <v>0</v>
      </c>
      <c r="S57" s="57"/>
      <c r="T57" s="67" t="n">
        <v>-0.0216666666666667</v>
      </c>
      <c r="U57" s="57"/>
      <c r="V57" s="67" t="n">
        <v>0.036</v>
      </c>
      <c r="W57" s="57"/>
      <c r="X57" s="67" t="n">
        <v>0.912666666666667</v>
      </c>
      <c r="Y57" s="57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</row>
    <row r="58" customFormat="false" ht="17.35" hidden="false" customHeight="false" outlineLevel="0" collapsed="false">
      <c r="A58" s="59" t="n">
        <v>52</v>
      </c>
      <c r="B58" s="46" t="n">
        <v>0</v>
      </c>
      <c r="C58" s="46" t="n">
        <v>-13</v>
      </c>
      <c r="D58" s="47" t="n">
        <v>44647</v>
      </c>
      <c r="E58" s="65" t="s">
        <v>318</v>
      </c>
      <c r="F58" s="49" t="s">
        <v>319</v>
      </c>
      <c r="G58" s="49" t="s">
        <v>320</v>
      </c>
      <c r="H58" s="69" t="s">
        <v>321</v>
      </c>
      <c r="I58" s="69" t="s">
        <v>322</v>
      </c>
      <c r="J58" s="60"/>
      <c r="K58" s="49" t="s">
        <v>323</v>
      </c>
      <c r="L58" s="92"/>
      <c r="M58" s="85"/>
      <c r="N58" s="63"/>
      <c r="O58" s="89" t="n">
        <v>35.558</v>
      </c>
      <c r="P58" s="67" t="n">
        <v>0.0256666666666667</v>
      </c>
      <c r="Q58" s="57"/>
      <c r="R58" s="68" t="n">
        <v>0</v>
      </c>
      <c r="S58" s="57"/>
      <c r="T58" s="67" t="n">
        <v>-0.0256666666666667</v>
      </c>
      <c r="U58" s="57"/>
      <c r="V58" s="67" t="n">
        <v>0.039</v>
      </c>
      <c r="W58" s="57"/>
      <c r="X58" s="67" t="n">
        <v>0.919666666666667</v>
      </c>
      <c r="Y58" s="57"/>
      <c r="Z58" s="58" t="n">
        <v>0.002</v>
      </c>
      <c r="AA58" s="58" t="n">
        <v>0.0037</v>
      </c>
      <c r="AB58" s="58" t="n">
        <v>0.0045</v>
      </c>
      <c r="AC58" s="58" t="n">
        <v>0.0023</v>
      </c>
      <c r="AD58" s="58" t="n">
        <v>0.0034</v>
      </c>
      <c r="AE58" s="58" t="s">
        <v>92</v>
      </c>
      <c r="AF58" s="58" t="s">
        <v>92</v>
      </c>
      <c r="AG58" s="58" t="s">
        <v>92</v>
      </c>
      <c r="AH58" s="58" t="n">
        <v>0.007</v>
      </c>
      <c r="AI58" s="58"/>
      <c r="AJ58" s="58" t="n">
        <v>0.0018</v>
      </c>
      <c r="AK58" s="58" t="n">
        <v>0.0021</v>
      </c>
      <c r="AL58" s="58" t="s">
        <v>92</v>
      </c>
      <c r="AM58" s="58" t="s">
        <v>92</v>
      </c>
      <c r="AN58" s="58" t="n">
        <v>0.0846</v>
      </c>
      <c r="AO58" s="58" t="s">
        <v>92</v>
      </c>
      <c r="AP58" s="58" t="n">
        <v>0.0028</v>
      </c>
      <c r="AQ58" s="58" t="n">
        <v>0.0026</v>
      </c>
      <c r="AR58" s="58" t="n">
        <f aca="false">AP58+AQ58</f>
        <v>0.0054</v>
      </c>
      <c r="AS58" s="58" t="n">
        <v>0.0102</v>
      </c>
      <c r="AT58" s="58" t="s">
        <v>92</v>
      </c>
      <c r="AU58" s="58" t="n">
        <v>0.0424</v>
      </c>
      <c r="AV58" s="58" t="n">
        <v>0.0288</v>
      </c>
      <c r="AW58" s="58" t="n">
        <f aca="false">AV58+AU58</f>
        <v>0.0712</v>
      </c>
      <c r="AX58" s="58" t="s">
        <v>92</v>
      </c>
      <c r="AY58" s="58"/>
    </row>
    <row r="59" customFormat="false" ht="17.35" hidden="false" customHeight="false" outlineLevel="0" collapsed="false">
      <c r="A59" s="59" t="n">
        <v>53</v>
      </c>
      <c r="B59" s="46" t="n">
        <v>0</v>
      </c>
      <c r="C59" s="46" t="n">
        <v>-14</v>
      </c>
      <c r="D59" s="47" t="n">
        <v>44647</v>
      </c>
      <c r="E59" s="65" t="s">
        <v>324</v>
      </c>
      <c r="F59" s="49" t="s">
        <v>325</v>
      </c>
      <c r="G59" s="49" t="s">
        <v>136</v>
      </c>
      <c r="H59" s="69" t="s">
        <v>326</v>
      </c>
      <c r="I59" s="69" t="s">
        <v>327</v>
      </c>
      <c r="J59" s="60"/>
      <c r="K59" s="49" t="s">
        <v>328</v>
      </c>
      <c r="L59" s="88"/>
      <c r="M59" s="92"/>
      <c r="N59" s="63"/>
      <c r="O59" s="89" t="n">
        <v>35.4781</v>
      </c>
      <c r="P59" s="67" t="n">
        <v>0.0246666666666667</v>
      </c>
      <c r="Q59" s="57"/>
      <c r="R59" s="68" t="n">
        <v>0.041</v>
      </c>
      <c r="S59" s="57"/>
      <c r="T59" s="67" t="n">
        <v>0.0163333333333333</v>
      </c>
      <c r="U59" s="57"/>
      <c r="V59" s="67" t="n">
        <v>0.043</v>
      </c>
      <c r="W59" s="57"/>
      <c r="X59" s="67" t="n">
        <v>0.909666666666667</v>
      </c>
      <c r="Y59" s="57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</row>
    <row r="60" customFormat="false" ht="17.35" hidden="false" customHeight="false" outlineLevel="0" collapsed="false">
      <c r="A60" s="59" t="n">
        <v>54</v>
      </c>
      <c r="B60" s="46" t="n">
        <v>0</v>
      </c>
      <c r="C60" s="46" t="n">
        <v>-15</v>
      </c>
      <c r="D60" s="47" t="n">
        <v>44647</v>
      </c>
      <c r="E60" s="65" t="s">
        <v>329</v>
      </c>
      <c r="F60" s="49" t="s">
        <v>330</v>
      </c>
      <c r="G60" s="49" t="s">
        <v>331</v>
      </c>
      <c r="H60" s="69" t="s">
        <v>332</v>
      </c>
      <c r="I60" s="69" t="s">
        <v>333</v>
      </c>
      <c r="J60" s="60"/>
      <c r="K60" s="49" t="s">
        <v>334</v>
      </c>
      <c r="L60" s="92"/>
      <c r="M60" s="85"/>
      <c r="N60" s="63"/>
      <c r="O60" s="89" t="n">
        <v>35.6792</v>
      </c>
      <c r="P60" s="67" t="n">
        <v>0.0276666666666667</v>
      </c>
      <c r="Q60" s="57"/>
      <c r="R60" s="68" t="n">
        <v>0.053</v>
      </c>
      <c r="S60" s="57"/>
      <c r="T60" s="67" t="n">
        <v>0.0253333333333333</v>
      </c>
      <c r="U60" s="57"/>
      <c r="V60" s="67" t="n">
        <v>0.062</v>
      </c>
      <c r="W60" s="57"/>
      <c r="X60" s="67" t="n">
        <v>0.953666666666667</v>
      </c>
      <c r="Y60" s="57"/>
      <c r="Z60" s="58" t="n">
        <v>0.0022</v>
      </c>
      <c r="AA60" s="58" t="n">
        <v>0.0047</v>
      </c>
      <c r="AB60" s="58" t="n">
        <v>0.006</v>
      </c>
      <c r="AC60" s="58" t="n">
        <v>0.003</v>
      </c>
      <c r="AD60" s="58" t="n">
        <v>0.0053</v>
      </c>
      <c r="AE60" s="58" t="s">
        <v>92</v>
      </c>
      <c r="AF60" s="58" t="s">
        <v>92</v>
      </c>
      <c r="AG60" s="58" t="n">
        <v>0.002</v>
      </c>
      <c r="AH60" s="58" t="n">
        <v>0.0131</v>
      </c>
      <c r="AI60" s="58"/>
      <c r="AJ60" s="58" t="n">
        <v>0.0136</v>
      </c>
      <c r="AK60" s="58" t="n">
        <v>0.0074</v>
      </c>
      <c r="AL60" s="58" t="s">
        <v>92</v>
      </c>
      <c r="AM60" s="58" t="n">
        <v>0.0035</v>
      </c>
      <c r="AN60" s="58" t="n">
        <v>0.12</v>
      </c>
      <c r="AO60" s="58" t="s">
        <v>92</v>
      </c>
      <c r="AP60" s="58" t="n">
        <v>0.0041</v>
      </c>
      <c r="AQ60" s="58" t="n">
        <v>0.0033</v>
      </c>
      <c r="AR60" s="58" t="n">
        <f aca="false">AP60+AQ60</f>
        <v>0.0074</v>
      </c>
      <c r="AS60" s="58" t="n">
        <v>0.0188</v>
      </c>
      <c r="AT60" s="58" t="s">
        <v>92</v>
      </c>
      <c r="AU60" s="58" t="n">
        <v>0.0804</v>
      </c>
      <c r="AV60" s="58" t="n">
        <v>0.074</v>
      </c>
      <c r="AW60" s="58" t="n">
        <f aca="false">AV60+AU60</f>
        <v>0.1544</v>
      </c>
      <c r="AX60" s="58" t="s">
        <v>92</v>
      </c>
      <c r="AY60" s="58"/>
    </row>
    <row r="61" customFormat="false" ht="17.35" hidden="false" customHeight="false" outlineLevel="0" collapsed="false">
      <c r="A61" s="59" t="n">
        <v>55</v>
      </c>
      <c r="B61" s="46" t="n">
        <v>0</v>
      </c>
      <c r="C61" s="46" t="n">
        <v>-16</v>
      </c>
      <c r="D61" s="47" t="n">
        <v>44647</v>
      </c>
      <c r="E61" s="65" t="s">
        <v>335</v>
      </c>
      <c r="F61" s="49" t="s">
        <v>336</v>
      </c>
      <c r="G61" s="49" t="s">
        <v>337</v>
      </c>
      <c r="H61" s="69" t="s">
        <v>338</v>
      </c>
      <c r="I61" s="69" t="s">
        <v>339</v>
      </c>
      <c r="J61" s="60"/>
      <c r="K61" s="49" t="s">
        <v>340</v>
      </c>
      <c r="L61" s="88"/>
      <c r="M61" s="92"/>
      <c r="N61" s="63"/>
      <c r="O61" s="89" t="n">
        <v>35.3269</v>
      </c>
      <c r="P61" s="67" t="n">
        <v>0.0216666666666667</v>
      </c>
      <c r="Q61" s="57"/>
      <c r="R61" s="68" t="n">
        <v>0.009</v>
      </c>
      <c r="S61" s="57"/>
      <c r="T61" s="67" t="n">
        <v>-0.0126666666666667</v>
      </c>
      <c r="U61" s="57"/>
      <c r="V61" s="67" t="n">
        <v>0.031</v>
      </c>
      <c r="W61" s="57"/>
      <c r="X61" s="67" t="n">
        <v>0.834666666666667</v>
      </c>
      <c r="Y61" s="57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</row>
    <row r="62" customFormat="false" ht="17.35" hidden="false" customHeight="false" outlineLevel="0" collapsed="false">
      <c r="A62" s="59" t="n">
        <v>56</v>
      </c>
      <c r="B62" s="46" t="n">
        <v>0</v>
      </c>
      <c r="C62" s="46" t="n">
        <v>-17</v>
      </c>
      <c r="D62" s="47" t="n">
        <v>44647</v>
      </c>
      <c r="E62" s="65" t="s">
        <v>341</v>
      </c>
      <c r="F62" s="49" t="s">
        <v>342</v>
      </c>
      <c r="G62" s="49" t="s">
        <v>343</v>
      </c>
      <c r="H62" s="69" t="s">
        <v>344</v>
      </c>
      <c r="I62" s="69" t="s">
        <v>345</v>
      </c>
      <c r="J62" s="60"/>
      <c r="K62" s="49" t="s">
        <v>346</v>
      </c>
      <c r="L62" s="92"/>
      <c r="M62" s="85"/>
      <c r="N62" s="63"/>
      <c r="O62" s="89" t="n">
        <v>35.314</v>
      </c>
      <c r="P62" s="67" t="n">
        <v>0.0226666666666667</v>
      </c>
      <c r="Q62" s="57"/>
      <c r="R62" s="68" t="n">
        <v>0.012</v>
      </c>
      <c r="S62" s="57"/>
      <c r="T62" s="67" t="n">
        <v>-0.0106666666666667</v>
      </c>
      <c r="U62" s="57"/>
      <c r="V62" s="67" t="n">
        <v>0.03</v>
      </c>
      <c r="W62" s="57"/>
      <c r="X62" s="67" t="n">
        <v>0.834666666666667</v>
      </c>
      <c r="Y62" s="57"/>
      <c r="Z62" s="58" t="n">
        <v>0.0023</v>
      </c>
      <c r="AA62" s="58" t="n">
        <v>0.0041</v>
      </c>
      <c r="AB62" s="58" t="n">
        <v>0.0027</v>
      </c>
      <c r="AC62" s="58" t="n">
        <v>0.003</v>
      </c>
      <c r="AD62" s="58" t="n">
        <v>0.0044</v>
      </c>
      <c r="AE62" s="58" t="s">
        <v>92</v>
      </c>
      <c r="AF62" s="58" t="s">
        <v>92</v>
      </c>
      <c r="AG62" s="58" t="n">
        <v>0.0015</v>
      </c>
      <c r="AH62" s="58" t="n">
        <v>0.0127</v>
      </c>
      <c r="AI62" s="58"/>
      <c r="AJ62" s="58" t="n">
        <v>0.007</v>
      </c>
      <c r="AK62" s="58" t="n">
        <v>0.0047</v>
      </c>
      <c r="AL62" s="58" t="s">
        <v>92</v>
      </c>
      <c r="AM62" s="58" t="n">
        <v>0.0012</v>
      </c>
      <c r="AN62" s="58" t="n">
        <v>0.1741</v>
      </c>
      <c r="AO62" s="58" t="s">
        <v>92</v>
      </c>
      <c r="AP62" s="58" t="n">
        <v>0.0083</v>
      </c>
      <c r="AQ62" s="58" t="n">
        <v>0.006</v>
      </c>
      <c r="AR62" s="58" t="n">
        <f aca="false">AP62+AQ62</f>
        <v>0.0143</v>
      </c>
      <c r="AS62" s="58" t="n">
        <v>0.0211</v>
      </c>
      <c r="AT62" s="58" t="s">
        <v>92</v>
      </c>
      <c r="AU62" s="58" t="n">
        <v>0.0874</v>
      </c>
      <c r="AV62" s="58" t="n">
        <v>0.0555</v>
      </c>
      <c r="AW62" s="58" t="n">
        <f aca="false">AV62+AU62</f>
        <v>0.1429</v>
      </c>
      <c r="AX62" s="58" t="n">
        <v>0.0024</v>
      </c>
      <c r="AY62" s="58"/>
    </row>
    <row r="63" customFormat="false" ht="17.35" hidden="false" customHeight="false" outlineLevel="0" collapsed="false">
      <c r="A63" s="59" t="n">
        <v>57</v>
      </c>
      <c r="B63" s="46" t="n">
        <v>0</v>
      </c>
      <c r="C63" s="46" t="n">
        <v>-18</v>
      </c>
      <c r="D63" s="47" t="n">
        <v>44648</v>
      </c>
      <c r="E63" s="65" t="s">
        <v>347</v>
      </c>
      <c r="F63" s="49" t="s">
        <v>302</v>
      </c>
      <c r="G63" s="49" t="s">
        <v>101</v>
      </c>
      <c r="H63" s="69" t="s">
        <v>348</v>
      </c>
      <c r="I63" s="69" t="s">
        <v>238</v>
      </c>
      <c r="J63" s="60"/>
      <c r="K63" s="49" t="s">
        <v>349</v>
      </c>
      <c r="L63" s="88"/>
      <c r="M63" s="92"/>
      <c r="N63" s="63"/>
      <c r="O63" s="89" t="n">
        <v>35.4847</v>
      </c>
      <c r="P63" s="67" t="n">
        <v>0.0226666666666667</v>
      </c>
      <c r="Q63" s="57"/>
      <c r="R63" s="68" t="n">
        <v>0.009</v>
      </c>
      <c r="S63" s="57"/>
      <c r="T63" s="67" t="n">
        <v>-0.0136666666666667</v>
      </c>
      <c r="U63" s="57"/>
      <c r="V63" s="67" t="n">
        <v>0.041</v>
      </c>
      <c r="W63" s="57"/>
      <c r="X63" s="67" t="n">
        <v>0.874666666666667</v>
      </c>
      <c r="Y63" s="57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</row>
    <row r="64" customFormat="false" ht="17.35" hidden="false" customHeight="false" outlineLevel="0" collapsed="false">
      <c r="A64" s="59" t="n">
        <v>58</v>
      </c>
      <c r="B64" s="46" t="n">
        <v>0</v>
      </c>
      <c r="C64" s="46" t="n">
        <v>-19</v>
      </c>
      <c r="D64" s="47" t="n">
        <v>44648</v>
      </c>
      <c r="E64" s="65" t="s">
        <v>350</v>
      </c>
      <c r="F64" s="49" t="s">
        <v>351</v>
      </c>
      <c r="G64" s="49" t="s">
        <v>352</v>
      </c>
      <c r="H64" s="69" t="s">
        <v>353</v>
      </c>
      <c r="I64" s="69" t="s">
        <v>354</v>
      </c>
      <c r="J64" s="60"/>
      <c r="K64" s="49" t="s">
        <v>355</v>
      </c>
      <c r="L64" s="92"/>
      <c r="M64" s="85"/>
      <c r="N64" s="63"/>
      <c r="O64" s="89" t="n">
        <v>35.4228</v>
      </c>
      <c r="P64" s="67" t="n">
        <v>0.0246666666666667</v>
      </c>
      <c r="Q64" s="57"/>
      <c r="R64" s="68" t="n">
        <v>0.016</v>
      </c>
      <c r="S64" s="57"/>
      <c r="T64" s="67" t="n">
        <v>-0.00866666666666667</v>
      </c>
      <c r="U64" s="57"/>
      <c r="V64" s="67" t="n">
        <v>0.03</v>
      </c>
      <c r="W64" s="57"/>
      <c r="X64" s="67" t="n">
        <v>0.868666666666667</v>
      </c>
      <c r="Y64" s="57"/>
      <c r="Z64" s="58" t="n">
        <v>0.0026</v>
      </c>
      <c r="AA64" s="58" t="n">
        <v>0.0058</v>
      </c>
      <c r="AB64" s="58" t="n">
        <v>0.0085</v>
      </c>
      <c r="AC64" s="58" t="n">
        <v>0.0043</v>
      </c>
      <c r="AD64" s="58" t="n">
        <v>0.0044</v>
      </c>
      <c r="AE64" s="58" t="s">
        <v>92</v>
      </c>
      <c r="AF64" s="58" t="s">
        <v>92</v>
      </c>
      <c r="AG64" s="58" t="n">
        <v>0.0015</v>
      </c>
      <c r="AH64" s="58" t="n">
        <v>0.0148</v>
      </c>
      <c r="AI64" s="58"/>
      <c r="AJ64" s="58" t="s">
        <v>92</v>
      </c>
      <c r="AK64" s="58" t="n">
        <v>0.0036</v>
      </c>
      <c r="AL64" s="58" t="s">
        <v>92</v>
      </c>
      <c r="AM64" s="58" t="s">
        <v>92</v>
      </c>
      <c r="AN64" s="58" t="n">
        <v>0.1047</v>
      </c>
      <c r="AO64" s="58" t="s">
        <v>92</v>
      </c>
      <c r="AP64" s="58" t="n">
        <v>0.0096</v>
      </c>
      <c r="AQ64" s="58" t="n">
        <v>0.011</v>
      </c>
      <c r="AR64" s="58" t="n">
        <f aca="false">AP64+AQ64</f>
        <v>0.0206</v>
      </c>
      <c r="AS64" s="58" t="n">
        <v>0.0204</v>
      </c>
      <c r="AT64" s="58" t="s">
        <v>92</v>
      </c>
      <c r="AU64" s="58" t="n">
        <v>0.0873</v>
      </c>
      <c r="AV64" s="58" t="n">
        <v>0.075</v>
      </c>
      <c r="AW64" s="58" t="n">
        <f aca="false">AV64+AU64</f>
        <v>0.1623</v>
      </c>
      <c r="AX64" s="58" t="n">
        <v>0.0016</v>
      </c>
      <c r="AY64" s="58"/>
    </row>
    <row r="65" customFormat="false" ht="17.35" hidden="false" customHeight="false" outlineLevel="0" collapsed="false">
      <c r="A65" s="59" t="n">
        <v>59</v>
      </c>
      <c r="B65" s="46" t="n">
        <v>0</v>
      </c>
      <c r="C65" s="46" t="n">
        <v>-20</v>
      </c>
      <c r="D65" s="47" t="n">
        <v>44648</v>
      </c>
      <c r="E65" s="49" t="s">
        <v>356</v>
      </c>
      <c r="F65" s="49" t="s">
        <v>357</v>
      </c>
      <c r="G65" s="49" t="s">
        <v>358</v>
      </c>
      <c r="H65" s="69" t="s">
        <v>359</v>
      </c>
      <c r="I65" s="69" t="s">
        <v>360</v>
      </c>
      <c r="J65" s="60"/>
      <c r="K65" s="49" t="s">
        <v>361</v>
      </c>
      <c r="L65" s="88"/>
      <c r="M65" s="92"/>
      <c r="N65" s="63"/>
      <c r="O65" s="89" t="n">
        <v>35.3806</v>
      </c>
      <c r="P65" s="67" t="n">
        <v>0.0146666666666667</v>
      </c>
      <c r="Q65" s="57"/>
      <c r="R65" s="68" t="n">
        <v>0.02</v>
      </c>
      <c r="S65" s="57"/>
      <c r="T65" s="67" t="n">
        <v>0.00533333333333333</v>
      </c>
      <c r="U65" s="57"/>
      <c r="V65" s="67" t="n">
        <v>0.029</v>
      </c>
      <c r="W65" s="57"/>
      <c r="X65" s="67" t="n">
        <v>0.878666666666667</v>
      </c>
      <c r="Y65" s="57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</row>
    <row r="66" customFormat="false" ht="17.35" hidden="false" customHeight="false" outlineLevel="0" collapsed="false">
      <c r="A66" s="59" t="n">
        <v>60</v>
      </c>
      <c r="B66" s="46" t="n">
        <v>0</v>
      </c>
      <c r="C66" s="46" t="n">
        <v>-21</v>
      </c>
      <c r="D66" s="47" t="n">
        <v>44648</v>
      </c>
      <c r="E66" s="65" t="s">
        <v>362</v>
      </c>
      <c r="F66" s="49" t="s">
        <v>363</v>
      </c>
      <c r="G66" s="49" t="s">
        <v>364</v>
      </c>
      <c r="H66" s="69" t="s">
        <v>365</v>
      </c>
      <c r="I66" s="69" t="s">
        <v>366</v>
      </c>
      <c r="J66" s="60"/>
      <c r="K66" s="49" t="s">
        <v>367</v>
      </c>
      <c r="L66" s="92"/>
      <c r="M66" s="85"/>
      <c r="N66" s="63"/>
      <c r="O66" s="89" t="n">
        <v>35.1159</v>
      </c>
      <c r="P66" s="67" t="n">
        <v>0.0276666666666667</v>
      </c>
      <c r="Q66" s="57"/>
      <c r="R66" s="68" t="n">
        <v>0.021</v>
      </c>
      <c r="S66" s="57"/>
      <c r="T66" s="67" t="n">
        <v>-0.00666666666666667</v>
      </c>
      <c r="U66" s="57"/>
      <c r="V66" s="67" t="n">
        <v>0.028</v>
      </c>
      <c r="W66" s="57"/>
      <c r="X66" s="67" t="n">
        <v>0.889666666666667</v>
      </c>
      <c r="Y66" s="57"/>
      <c r="Z66" s="58" t="n">
        <v>0.0022</v>
      </c>
      <c r="AA66" s="58" t="n">
        <v>0.0047</v>
      </c>
      <c r="AB66" s="58" t="n">
        <v>0.0064</v>
      </c>
      <c r="AC66" s="58" t="n">
        <v>0.0035</v>
      </c>
      <c r="AD66" s="58" t="n">
        <v>0.0049</v>
      </c>
      <c r="AE66" s="58" t="s">
        <v>92</v>
      </c>
      <c r="AF66" s="58" t="s">
        <v>92</v>
      </c>
      <c r="AG66" s="58" t="s">
        <v>92</v>
      </c>
      <c r="AH66" s="58" t="n">
        <v>0.0154</v>
      </c>
      <c r="AI66" s="58"/>
      <c r="AJ66" s="58" t="s">
        <v>92</v>
      </c>
      <c r="AK66" s="58" t="n">
        <v>0.0045</v>
      </c>
      <c r="AL66" s="58" t="s">
        <v>92</v>
      </c>
      <c r="AM66" s="58" t="n">
        <v>0.0012</v>
      </c>
      <c r="AN66" s="58" t="n">
        <v>0.1302</v>
      </c>
      <c r="AO66" s="58" t="s">
        <v>92</v>
      </c>
      <c r="AP66" s="58" t="n">
        <v>0.0045</v>
      </c>
      <c r="AQ66" s="58" t="n">
        <v>0.0104</v>
      </c>
      <c r="AR66" s="58" t="n">
        <f aca="false">AP66+AQ66</f>
        <v>0.0149</v>
      </c>
      <c r="AS66" s="58" t="n">
        <v>0.0164</v>
      </c>
      <c r="AT66" s="58" t="s">
        <v>92</v>
      </c>
      <c r="AU66" s="58" t="n">
        <v>0.0583</v>
      </c>
      <c r="AV66" s="58" t="n">
        <v>0.0702</v>
      </c>
      <c r="AW66" s="58" t="n">
        <f aca="false">AV66+AU66</f>
        <v>0.1285</v>
      </c>
      <c r="AX66" s="58" t="n">
        <v>0.0012</v>
      </c>
      <c r="AY66" s="58"/>
    </row>
    <row r="67" customFormat="false" ht="17.35" hidden="false" customHeight="false" outlineLevel="0" collapsed="false">
      <c r="A67" s="59" t="n">
        <v>61</v>
      </c>
      <c r="B67" s="46" t="n">
        <v>0</v>
      </c>
      <c r="C67" s="46" t="n">
        <v>-22</v>
      </c>
      <c r="D67" s="47" t="n">
        <v>44648</v>
      </c>
      <c r="E67" s="65" t="s">
        <v>368</v>
      </c>
      <c r="F67" s="49" t="s">
        <v>369</v>
      </c>
      <c r="G67" s="49" t="s">
        <v>370</v>
      </c>
      <c r="H67" s="69" t="s">
        <v>371</v>
      </c>
      <c r="I67" s="90" t="s">
        <v>372</v>
      </c>
      <c r="J67" s="60"/>
      <c r="K67" s="49" t="s">
        <v>373</v>
      </c>
      <c r="L67" s="88"/>
      <c r="M67" s="92"/>
      <c r="N67" s="63"/>
      <c r="O67" s="89" t="n">
        <v>35.1577</v>
      </c>
      <c r="P67" s="67" t="n">
        <v>0.0276666666666667</v>
      </c>
      <c r="Q67" s="57"/>
      <c r="R67" s="68" t="n">
        <v>0.074</v>
      </c>
      <c r="S67" s="57"/>
      <c r="T67" s="67" t="n">
        <v>0.0463333333333333</v>
      </c>
      <c r="U67" s="57"/>
      <c r="V67" s="67" t="n">
        <v>0.036</v>
      </c>
      <c r="W67" s="57"/>
      <c r="X67" s="67" t="n">
        <v>0.919666666666667</v>
      </c>
      <c r="Y67" s="57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</row>
    <row r="68" customFormat="false" ht="17.35" hidden="false" customHeight="false" outlineLevel="0" collapsed="false">
      <c r="A68" s="59" t="n">
        <v>62</v>
      </c>
      <c r="B68" s="46" t="n">
        <v>1</v>
      </c>
      <c r="C68" s="46" t="n">
        <v>-23</v>
      </c>
      <c r="D68" s="47" t="n">
        <v>44649</v>
      </c>
      <c r="E68" s="65" t="s">
        <v>374</v>
      </c>
      <c r="F68" s="49" t="s">
        <v>375</v>
      </c>
      <c r="G68" s="49" t="s">
        <v>376</v>
      </c>
      <c r="H68" s="69" t="s">
        <v>377</v>
      </c>
      <c r="I68" s="69" t="s">
        <v>378</v>
      </c>
      <c r="J68" s="60"/>
      <c r="K68" s="49" t="s">
        <v>379</v>
      </c>
      <c r="L68" s="92"/>
      <c r="M68" s="85"/>
      <c r="N68" s="63"/>
      <c r="O68" s="89" t="n">
        <v>35.6458</v>
      </c>
      <c r="P68" s="67" t="n">
        <v>0.0156666666666667</v>
      </c>
      <c r="Q68" s="57"/>
      <c r="R68" s="68" t="n">
        <v>0.026</v>
      </c>
      <c r="S68" s="57"/>
      <c r="T68" s="67" t="n">
        <v>0.0103333333333333</v>
      </c>
      <c r="U68" s="57"/>
      <c r="V68" s="67" t="n">
        <v>0.052</v>
      </c>
      <c r="W68" s="57"/>
      <c r="X68" s="67" t="n">
        <v>0.903666666666667</v>
      </c>
      <c r="Y68" s="57"/>
      <c r="Z68" s="58" t="n">
        <v>0.0008</v>
      </c>
      <c r="AA68" s="58" t="n">
        <v>0.0041</v>
      </c>
      <c r="AB68" s="58" t="n">
        <v>0.0109</v>
      </c>
      <c r="AC68" s="58" t="n">
        <v>0.005</v>
      </c>
      <c r="AD68" s="58" t="n">
        <v>0.0048</v>
      </c>
      <c r="AE68" s="58" t="s">
        <v>92</v>
      </c>
      <c r="AF68" s="58" t="s">
        <v>92</v>
      </c>
      <c r="AG68" s="58" t="s">
        <v>92</v>
      </c>
      <c r="AH68" s="58" t="n">
        <v>0.0091</v>
      </c>
      <c r="AI68" s="58"/>
      <c r="AJ68" s="58" t="n">
        <v>0.0226</v>
      </c>
      <c r="AK68" s="58" t="n">
        <v>0.003</v>
      </c>
      <c r="AL68" s="58" t="s">
        <v>92</v>
      </c>
      <c r="AM68" s="58" t="n">
        <v>0.0015</v>
      </c>
      <c r="AN68" s="58" t="n">
        <v>0.1158</v>
      </c>
      <c r="AO68" s="58" t="s">
        <v>92</v>
      </c>
      <c r="AP68" s="58" t="n">
        <v>0.0033</v>
      </c>
      <c r="AQ68" s="58" t="n">
        <v>0.0043</v>
      </c>
      <c r="AR68" s="58" t="n">
        <f aca="false">AP68+AQ68</f>
        <v>0.0076</v>
      </c>
      <c r="AS68" s="58" t="n">
        <v>0.0153</v>
      </c>
      <c r="AT68" s="58" t="s">
        <v>92</v>
      </c>
      <c r="AU68" s="58" t="n">
        <v>0.0521</v>
      </c>
      <c r="AV68" s="58" t="n">
        <v>0.0558</v>
      </c>
      <c r="AW68" s="58" t="n">
        <f aca="false">AV68+AU68</f>
        <v>0.1079</v>
      </c>
      <c r="AX68" s="58" t="n">
        <v>0.0024</v>
      </c>
      <c r="AY68" s="58"/>
    </row>
    <row r="69" customFormat="false" ht="17.35" hidden="false" customHeight="false" outlineLevel="0" collapsed="false">
      <c r="A69" s="59" t="n">
        <v>63</v>
      </c>
      <c r="B69" s="46" t="n">
        <v>2</v>
      </c>
      <c r="C69" s="46" t="n">
        <v>-23</v>
      </c>
      <c r="D69" s="47" t="n">
        <v>44650</v>
      </c>
      <c r="E69" s="65" t="s">
        <v>380</v>
      </c>
      <c r="F69" s="94" t="s">
        <v>381</v>
      </c>
      <c r="G69" s="49" t="s">
        <v>382</v>
      </c>
      <c r="H69" s="69" t="s">
        <v>383</v>
      </c>
      <c r="I69" s="69" t="s">
        <v>384</v>
      </c>
      <c r="J69" s="60"/>
      <c r="K69" s="49" t="s">
        <v>385</v>
      </c>
      <c r="L69" s="92"/>
      <c r="M69" s="92"/>
      <c r="N69" s="63"/>
      <c r="O69" s="89" t="n">
        <v>35.2184</v>
      </c>
      <c r="P69" s="67" t="n">
        <v>0.0206666666666667</v>
      </c>
      <c r="Q69" s="57"/>
      <c r="R69" s="68" t="n">
        <v>0.047</v>
      </c>
      <c r="S69" s="57"/>
      <c r="T69" s="67" t="n">
        <v>0.0263333333333333</v>
      </c>
      <c r="U69" s="57"/>
      <c r="V69" s="67" t="n">
        <v>0.045</v>
      </c>
      <c r="W69" s="57"/>
      <c r="X69" s="67" t="n">
        <v>0.901666666666667</v>
      </c>
      <c r="Y69" s="57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</row>
    <row r="70" customFormat="false" ht="17.35" hidden="false" customHeight="false" outlineLevel="0" collapsed="false">
      <c r="A70" s="59" t="n">
        <v>64</v>
      </c>
      <c r="B70" s="46" t="n">
        <v>3</v>
      </c>
      <c r="C70" s="46" t="n">
        <v>-23</v>
      </c>
      <c r="D70" s="47" t="n">
        <v>44650</v>
      </c>
      <c r="E70" s="65" t="s">
        <v>386</v>
      </c>
      <c r="F70" s="94" t="s">
        <v>387</v>
      </c>
      <c r="G70" s="49" t="s">
        <v>388</v>
      </c>
      <c r="H70" s="69" t="s">
        <v>389</v>
      </c>
      <c r="I70" s="69" t="s">
        <v>390</v>
      </c>
      <c r="J70" s="60"/>
      <c r="K70" s="49" t="s">
        <v>391</v>
      </c>
      <c r="L70" s="92"/>
      <c r="M70" s="95"/>
      <c r="N70" s="63"/>
      <c r="O70" s="89" t="n">
        <v>34.8063</v>
      </c>
      <c r="P70" s="67" t="n">
        <v>0.0196666666666667</v>
      </c>
      <c r="Q70" s="57"/>
      <c r="R70" s="68" t="n">
        <v>0.055</v>
      </c>
      <c r="S70" s="57"/>
      <c r="T70" s="67" t="n">
        <v>0.0353333333333333</v>
      </c>
      <c r="U70" s="57"/>
      <c r="V70" s="67" t="n">
        <v>0.038</v>
      </c>
      <c r="W70" s="57"/>
      <c r="X70" s="67" t="n">
        <v>0.870666666666667</v>
      </c>
      <c r="Y70" s="57"/>
      <c r="Z70" s="58" t="s">
        <v>92</v>
      </c>
      <c r="AA70" s="58" t="n">
        <v>0.0044</v>
      </c>
      <c r="AB70" s="58" t="n">
        <v>0.0099</v>
      </c>
      <c r="AC70" s="58" t="n">
        <v>0.0048</v>
      </c>
      <c r="AD70" s="58" t="n">
        <v>0.0044</v>
      </c>
      <c r="AE70" s="58" t="s">
        <v>92</v>
      </c>
      <c r="AF70" s="58" t="s">
        <v>92</v>
      </c>
      <c r="AG70" s="58" t="n">
        <v>0.0019</v>
      </c>
      <c r="AH70" s="58" t="n">
        <v>0.0089</v>
      </c>
      <c r="AI70" s="58"/>
      <c r="AJ70" s="58" t="n">
        <v>0.0034</v>
      </c>
      <c r="AK70" s="58" t="n">
        <v>0.0046</v>
      </c>
      <c r="AL70" s="58" t="s">
        <v>92</v>
      </c>
      <c r="AM70" s="58" t="n">
        <v>0.0006</v>
      </c>
      <c r="AN70" s="58" t="n">
        <v>0.1336</v>
      </c>
      <c r="AO70" s="58" t="s">
        <v>92</v>
      </c>
      <c r="AP70" s="58" t="n">
        <v>0.0049</v>
      </c>
      <c r="AQ70" s="58" t="n">
        <v>0.005</v>
      </c>
      <c r="AR70" s="58" t="n">
        <f aca="false">AP70+AQ70</f>
        <v>0.0099</v>
      </c>
      <c r="AS70" s="58" t="n">
        <v>0.0189</v>
      </c>
      <c r="AT70" s="58" t="s">
        <v>92</v>
      </c>
      <c r="AU70" s="58" t="n">
        <v>0.0767</v>
      </c>
      <c r="AV70" s="58" t="n">
        <v>0.0759</v>
      </c>
      <c r="AW70" s="58" t="n">
        <f aca="false">AV70+AU70</f>
        <v>0.1526</v>
      </c>
      <c r="AX70" s="58" t="n">
        <v>0.0023</v>
      </c>
      <c r="AY70" s="58"/>
    </row>
    <row r="71" customFormat="false" ht="17.35" hidden="false" customHeight="false" outlineLevel="0" collapsed="false">
      <c r="A71" s="59" t="n">
        <v>65</v>
      </c>
      <c r="B71" s="46" t="n">
        <v>4</v>
      </c>
      <c r="C71" s="46" t="n">
        <v>-23</v>
      </c>
      <c r="D71" s="47" t="n">
        <v>44650</v>
      </c>
      <c r="E71" s="65" t="s">
        <v>392</v>
      </c>
      <c r="F71" s="94" t="s">
        <v>393</v>
      </c>
      <c r="G71" s="49" t="s">
        <v>382</v>
      </c>
      <c r="H71" s="69" t="s">
        <v>394</v>
      </c>
      <c r="I71" s="90" t="s">
        <v>395</v>
      </c>
      <c r="J71" s="60"/>
      <c r="K71" s="49" t="s">
        <v>396</v>
      </c>
      <c r="L71" s="92"/>
      <c r="M71" s="92"/>
      <c r="N71" s="63"/>
      <c r="O71" s="89" t="n">
        <v>34.8404</v>
      </c>
      <c r="P71" s="67" t="n">
        <v>0.0226666666666667</v>
      </c>
      <c r="Q71" s="57"/>
      <c r="R71" s="68" t="n">
        <v>0.064</v>
      </c>
      <c r="S71" s="57"/>
      <c r="T71" s="67" t="n">
        <v>0.0413333333333333</v>
      </c>
      <c r="U71" s="57"/>
      <c r="V71" s="67" t="n">
        <v>0.04</v>
      </c>
      <c r="W71" s="57"/>
      <c r="X71" s="67" t="n">
        <v>0.905666666666667</v>
      </c>
      <c r="Y71" s="57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</row>
    <row r="72" customFormat="false" ht="15" hidden="false" customHeight="false" outlineLevel="0" collapsed="false">
      <c r="A72" s="59" t="n">
        <v>66</v>
      </c>
      <c r="B72" s="46" t="n">
        <v>5</v>
      </c>
      <c r="C72" s="46" t="n">
        <v>-23</v>
      </c>
      <c r="D72" s="47" t="n">
        <v>44650</v>
      </c>
      <c r="E72" s="65" t="s">
        <v>397</v>
      </c>
      <c r="F72" s="94" t="s">
        <v>398</v>
      </c>
      <c r="G72" s="49" t="s">
        <v>382</v>
      </c>
      <c r="H72" s="69" t="s">
        <v>399</v>
      </c>
      <c r="I72" s="90" t="s">
        <v>395</v>
      </c>
      <c r="K72" s="49" t="s">
        <v>400</v>
      </c>
      <c r="O72" s="89" t="n">
        <v>35.4761</v>
      </c>
      <c r="P72" s="67" t="n">
        <v>0.0126666666666667</v>
      </c>
      <c r="R72" s="68" t="n">
        <v>0.071</v>
      </c>
      <c r="T72" s="67" t="n">
        <v>0.0583333333333333</v>
      </c>
      <c r="V72" s="67" t="n">
        <v>0.002</v>
      </c>
      <c r="X72" s="67" t="n">
        <v>0.845666666666667</v>
      </c>
      <c r="Z72" s="58" t="s">
        <v>92</v>
      </c>
      <c r="AA72" s="58" t="n">
        <v>0.0042</v>
      </c>
      <c r="AB72" s="58" t="n">
        <v>0.0102</v>
      </c>
      <c r="AC72" s="58" t="n">
        <v>0.0052</v>
      </c>
      <c r="AD72" s="58" t="n">
        <v>0.0057</v>
      </c>
      <c r="AE72" s="58" t="s">
        <v>92</v>
      </c>
      <c r="AF72" s="58" t="s">
        <v>92</v>
      </c>
      <c r="AG72" s="58" t="s">
        <v>92</v>
      </c>
      <c r="AH72" s="58" t="n">
        <v>0.0087</v>
      </c>
      <c r="AI72" s="58"/>
      <c r="AJ72" s="58" t="n">
        <v>0.0371</v>
      </c>
      <c r="AK72" s="58" t="n">
        <v>0.0045</v>
      </c>
      <c r="AL72" s="58" t="s">
        <v>92</v>
      </c>
      <c r="AM72" s="58" t="n">
        <v>0.0037</v>
      </c>
      <c r="AN72" s="58" t="n">
        <v>0.1281</v>
      </c>
      <c r="AO72" s="58" t="s">
        <v>92</v>
      </c>
      <c r="AP72" s="58" t="n">
        <v>0.0036</v>
      </c>
      <c r="AQ72" s="58" t="n">
        <v>0.0038</v>
      </c>
      <c r="AR72" s="58" t="n">
        <f aca="false">AP72+AQ72</f>
        <v>0.0074</v>
      </c>
      <c r="AS72" s="58" t="n">
        <v>0.0185</v>
      </c>
      <c r="AT72" s="58" t="s">
        <v>92</v>
      </c>
      <c r="AU72" s="58" t="n">
        <v>0.0557</v>
      </c>
      <c r="AV72" s="58" t="n">
        <v>0.07</v>
      </c>
      <c r="AW72" s="58" t="n">
        <f aca="false">AV72+AU72</f>
        <v>0.1257</v>
      </c>
      <c r="AX72" s="58" t="n">
        <v>0.0026</v>
      </c>
      <c r="AY72" s="58"/>
    </row>
    <row r="73" customFormat="false" ht="15" hidden="false" customHeight="false" outlineLevel="0" collapsed="false">
      <c r="A73" s="59" t="n">
        <v>67</v>
      </c>
      <c r="B73" s="46" t="n">
        <v>6</v>
      </c>
      <c r="C73" s="46" t="n">
        <v>-23</v>
      </c>
      <c r="D73" s="47" t="n">
        <v>44651</v>
      </c>
      <c r="E73" s="65" t="s">
        <v>401</v>
      </c>
      <c r="F73" s="94" t="s">
        <v>402</v>
      </c>
      <c r="G73" s="49" t="s">
        <v>382</v>
      </c>
      <c r="H73" s="69" t="s">
        <v>403</v>
      </c>
      <c r="I73" s="69" t="s">
        <v>404</v>
      </c>
      <c r="K73" s="49" t="s">
        <v>405</v>
      </c>
      <c r="O73" s="89" t="n">
        <v>35.8422</v>
      </c>
      <c r="P73" s="67" t="n">
        <v>0.0126666666666667</v>
      </c>
      <c r="R73" s="68" t="n">
        <v>0.087</v>
      </c>
      <c r="T73" s="67" t="n">
        <v>0.0743333333333333</v>
      </c>
      <c r="V73" s="67" t="n">
        <v>0.004</v>
      </c>
      <c r="X73" s="67" t="n">
        <v>0.959666666666667</v>
      </c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</row>
    <row r="74" customFormat="false" ht="15" hidden="false" customHeight="false" outlineLevel="0" collapsed="false">
      <c r="A74" s="59" t="n">
        <v>68</v>
      </c>
      <c r="B74" s="46" t="n">
        <v>7</v>
      </c>
      <c r="C74" s="46" t="n">
        <v>-23</v>
      </c>
      <c r="D74" s="47" t="n">
        <v>44651</v>
      </c>
      <c r="E74" s="65" t="s">
        <v>406</v>
      </c>
      <c r="F74" s="49" t="s">
        <v>123</v>
      </c>
      <c r="G74" s="49" t="s">
        <v>382</v>
      </c>
      <c r="H74" s="69" t="s">
        <v>407</v>
      </c>
      <c r="I74" s="69" t="s">
        <v>408</v>
      </c>
      <c r="K74" s="49" t="s">
        <v>409</v>
      </c>
      <c r="O74" s="89" t="n">
        <v>35.9901</v>
      </c>
      <c r="P74" s="67" t="n">
        <v>0.00966666666666667</v>
      </c>
      <c r="R74" s="68" t="n">
        <v>0.073</v>
      </c>
      <c r="T74" s="67" t="n">
        <v>0.0633333333333333</v>
      </c>
      <c r="V74" s="67" t="n">
        <v>0.01</v>
      </c>
      <c r="X74" s="67" t="n">
        <v>1.02766666666667</v>
      </c>
      <c r="Z74" s="58" t="s">
        <v>92</v>
      </c>
      <c r="AA74" s="58" t="n">
        <v>0.0054</v>
      </c>
      <c r="AB74" s="58" t="n">
        <v>0.0086</v>
      </c>
      <c r="AC74" s="58" t="n">
        <v>0.0065</v>
      </c>
      <c r="AD74" s="58" t="n">
        <v>0.0056</v>
      </c>
      <c r="AE74" s="58" t="s">
        <v>92</v>
      </c>
      <c r="AF74" s="58" t="s">
        <v>92</v>
      </c>
      <c r="AG74" s="58" t="n">
        <v>0.0013</v>
      </c>
      <c r="AH74" s="58" t="n">
        <v>0.0152</v>
      </c>
      <c r="AI74" s="58"/>
      <c r="AJ74" s="58" t="n">
        <v>0.0093</v>
      </c>
      <c r="AK74" s="58" t="n">
        <v>0.0053</v>
      </c>
      <c r="AL74" s="58" t="n">
        <v>0.0008</v>
      </c>
      <c r="AM74" s="58" t="n">
        <v>0.0021</v>
      </c>
      <c r="AN74" s="58" t="n">
        <v>0.1259</v>
      </c>
      <c r="AO74" s="58" t="s">
        <v>92</v>
      </c>
      <c r="AP74" s="58" t="n">
        <v>0.0045</v>
      </c>
      <c r="AQ74" s="58" t="n">
        <v>0.0053</v>
      </c>
      <c r="AR74" s="58" t="n">
        <f aca="false">AP74+AQ74</f>
        <v>0.0098</v>
      </c>
      <c r="AS74" s="58" t="n">
        <v>0.0228</v>
      </c>
      <c r="AT74" s="58" t="s">
        <v>92</v>
      </c>
      <c r="AU74" s="58" t="n">
        <v>0.0853</v>
      </c>
      <c r="AV74" s="58" t="n">
        <v>0.1028</v>
      </c>
      <c r="AW74" s="58" t="n">
        <f aca="false">AV74+AU74</f>
        <v>0.1881</v>
      </c>
      <c r="AX74" s="58" t="n">
        <v>0.0031</v>
      </c>
      <c r="AY74" s="58"/>
    </row>
    <row r="75" customFormat="false" ht="15" hidden="false" customHeight="false" outlineLevel="0" collapsed="false">
      <c r="A75" s="59" t="n">
        <v>69</v>
      </c>
      <c r="B75" s="46" t="n">
        <v>8</v>
      </c>
      <c r="C75" s="46" t="n">
        <v>-23</v>
      </c>
      <c r="D75" s="47" t="n">
        <v>44651</v>
      </c>
      <c r="E75" s="65" t="s">
        <v>410</v>
      </c>
      <c r="F75" s="94" t="s">
        <v>411</v>
      </c>
      <c r="G75" s="49" t="s">
        <v>388</v>
      </c>
      <c r="H75" s="69" t="s">
        <v>412</v>
      </c>
      <c r="I75" s="69" t="s">
        <v>413</v>
      </c>
      <c r="K75" s="49" t="s">
        <v>414</v>
      </c>
      <c r="O75" s="89" t="n">
        <v>36.0547</v>
      </c>
      <c r="P75" s="67" t="n">
        <v>0.0136666666666667</v>
      </c>
      <c r="R75" s="68" t="n">
        <v>0.068</v>
      </c>
      <c r="T75" s="67" t="n">
        <v>0.0543333333333333</v>
      </c>
      <c r="V75" s="67" t="n">
        <v>0.022</v>
      </c>
      <c r="X75" s="67" t="n">
        <v>0.917666666666667</v>
      </c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</row>
    <row r="76" customFormat="false" ht="15" hidden="false" customHeight="false" outlineLevel="0" collapsed="false">
      <c r="A76" s="59" t="n">
        <v>70</v>
      </c>
      <c r="B76" s="46" t="n">
        <v>9</v>
      </c>
      <c r="C76" s="46" t="n">
        <v>-23</v>
      </c>
      <c r="D76" s="47" t="n">
        <v>44651</v>
      </c>
      <c r="E76" s="65" t="s">
        <v>415</v>
      </c>
      <c r="F76" s="94" t="s">
        <v>416</v>
      </c>
      <c r="G76" s="49" t="s">
        <v>388</v>
      </c>
      <c r="H76" s="69" t="n">
        <v>36</v>
      </c>
      <c r="I76" s="90" t="s">
        <v>417</v>
      </c>
      <c r="K76" s="49" t="s">
        <v>418</v>
      </c>
      <c r="O76" s="89" t="n">
        <v>36.1108</v>
      </c>
      <c r="P76" s="67" t="n">
        <v>0.0226666666666667</v>
      </c>
      <c r="R76" s="68" t="n">
        <v>0.093</v>
      </c>
      <c r="T76" s="67" t="n">
        <v>0.0703333333333333</v>
      </c>
      <c r="V76" s="67" t="n">
        <v>0.022</v>
      </c>
      <c r="X76" s="67" t="n">
        <v>0.855666666666667</v>
      </c>
      <c r="Z76" s="58" t="n">
        <v>0.0044</v>
      </c>
      <c r="AA76" s="58" t="n">
        <v>0.0067</v>
      </c>
      <c r="AB76" s="58" t="n">
        <v>0.0102</v>
      </c>
      <c r="AC76" s="58" t="n">
        <v>0.0072</v>
      </c>
      <c r="AD76" s="58" t="n">
        <v>0.0166</v>
      </c>
      <c r="AE76" s="58" t="s">
        <v>92</v>
      </c>
      <c r="AF76" s="58" t="s">
        <v>92</v>
      </c>
      <c r="AG76" s="58" t="n">
        <v>0.0013</v>
      </c>
      <c r="AH76" s="58" t="n">
        <v>0.0146</v>
      </c>
      <c r="AI76" s="58"/>
      <c r="AJ76" s="58" t="n">
        <v>0.0407</v>
      </c>
      <c r="AK76" s="58" t="n">
        <v>0.0061</v>
      </c>
      <c r="AL76" s="58" t="n">
        <v>0.0006</v>
      </c>
      <c r="AM76" s="58" t="n">
        <v>0.0075</v>
      </c>
      <c r="AN76" s="58" t="n">
        <v>0.1203</v>
      </c>
      <c r="AO76" s="58" t="s">
        <v>92</v>
      </c>
      <c r="AP76" s="58" t="n">
        <v>0.0044</v>
      </c>
      <c r="AQ76" s="58" t="n">
        <v>0.0073</v>
      </c>
      <c r="AR76" s="58" t="n">
        <f aca="false">AP76+AQ76</f>
        <v>0.0117</v>
      </c>
      <c r="AS76" s="58" t="s">
        <v>92</v>
      </c>
      <c r="AT76" s="58" t="n">
        <v>0.0245</v>
      </c>
      <c r="AU76" s="58" t="n">
        <v>0.0685</v>
      </c>
      <c r="AV76" s="58" t="n">
        <v>0.1318</v>
      </c>
      <c r="AW76" s="58" t="n">
        <f aca="false">AV76+AU76</f>
        <v>0.2003</v>
      </c>
      <c r="AX76" s="58" t="n">
        <v>0.0038</v>
      </c>
      <c r="AY76" s="58"/>
    </row>
    <row r="77" customFormat="false" ht="15" hidden="false" customHeight="false" outlineLevel="0" collapsed="false">
      <c r="A77" s="59" t="n">
        <v>71</v>
      </c>
      <c r="B77" s="46" t="n">
        <v>10</v>
      </c>
      <c r="C77" s="46" t="n">
        <v>-23</v>
      </c>
      <c r="D77" s="47" t="n">
        <v>44652</v>
      </c>
      <c r="E77" s="65" t="s">
        <v>419</v>
      </c>
      <c r="F77" s="94" t="s">
        <v>420</v>
      </c>
      <c r="G77" s="49" t="s">
        <v>382</v>
      </c>
      <c r="H77" s="69" t="s">
        <v>421</v>
      </c>
      <c r="I77" s="90" t="s">
        <v>422</v>
      </c>
      <c r="K77" s="49" t="s">
        <v>423</v>
      </c>
      <c r="O77" s="89" t="n">
        <v>35.883</v>
      </c>
      <c r="P77" s="67" t="n">
        <v>0.0126666666666667</v>
      </c>
      <c r="R77" s="68" t="n">
        <v>0.065</v>
      </c>
      <c r="T77" s="67" t="n">
        <v>0.0523333333333333</v>
      </c>
      <c r="V77" s="67" t="n">
        <v>0.022</v>
      </c>
      <c r="X77" s="67" t="n">
        <v>0.813666666666667</v>
      </c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</row>
    <row r="78" customFormat="false" ht="15" hidden="false" customHeight="false" outlineLevel="0" collapsed="false">
      <c r="A78" s="59" t="n">
        <v>72</v>
      </c>
      <c r="B78" s="46" t="n">
        <v>11</v>
      </c>
      <c r="C78" s="46" t="n">
        <v>-23</v>
      </c>
      <c r="D78" s="47" t="n">
        <v>44652</v>
      </c>
      <c r="E78" s="65" t="s">
        <v>424</v>
      </c>
      <c r="F78" s="49" t="s">
        <v>425</v>
      </c>
      <c r="G78" s="49" t="s">
        <v>388</v>
      </c>
      <c r="H78" s="69" t="n">
        <v>36</v>
      </c>
      <c r="I78" s="90" t="s">
        <v>426</v>
      </c>
      <c r="K78" s="49" t="s">
        <v>156</v>
      </c>
      <c r="O78" s="89" t="n">
        <v>36.0223</v>
      </c>
      <c r="P78" s="67" t="n">
        <v>0.0206666666666667</v>
      </c>
      <c r="R78" s="68" t="n">
        <v>0.099</v>
      </c>
      <c r="T78" s="67" t="n">
        <v>0.0783333333333333</v>
      </c>
      <c r="V78" s="67" t="n">
        <v>0.028</v>
      </c>
      <c r="X78" s="67" t="n">
        <v>0.876666666666667</v>
      </c>
      <c r="Z78" s="58" t="n">
        <v>0.0072</v>
      </c>
      <c r="AA78" s="58" t="n">
        <v>0.0079</v>
      </c>
      <c r="AB78" s="58" t="n">
        <v>0.0102</v>
      </c>
      <c r="AC78" s="58" t="n">
        <v>0.0117</v>
      </c>
      <c r="AD78" s="58" t="n">
        <v>0.0165</v>
      </c>
      <c r="AE78" s="58" t="s">
        <v>92</v>
      </c>
      <c r="AF78" s="58" t="s">
        <v>92</v>
      </c>
      <c r="AG78" s="58" t="n">
        <v>0.0011</v>
      </c>
      <c r="AH78" s="58" t="n">
        <v>0.027</v>
      </c>
      <c r="AI78" s="58"/>
      <c r="AJ78" s="58" t="n">
        <v>0.0239</v>
      </c>
      <c r="AK78" s="58" t="n">
        <v>0.0085</v>
      </c>
      <c r="AL78" s="58" t="n">
        <v>0.0012</v>
      </c>
      <c r="AM78" s="58" t="n">
        <v>0.0051</v>
      </c>
      <c r="AN78" s="58" t="n">
        <v>0.1258</v>
      </c>
      <c r="AO78" s="58" t="s">
        <v>92</v>
      </c>
      <c r="AP78" s="58" t="n">
        <v>0.0066</v>
      </c>
      <c r="AQ78" s="58" t="n">
        <v>0.013</v>
      </c>
      <c r="AR78" s="58" t="n">
        <f aca="false">AP78+AQ78</f>
        <v>0.0196</v>
      </c>
      <c r="AS78" s="58" t="n">
        <v>0.0285</v>
      </c>
      <c r="AT78" s="58" t="s">
        <v>92</v>
      </c>
      <c r="AU78" s="58" t="n">
        <v>0.106</v>
      </c>
      <c r="AV78" s="58" t="n">
        <v>0.1541</v>
      </c>
      <c r="AW78" s="58" t="n">
        <f aca="false">AV78+AU78</f>
        <v>0.2601</v>
      </c>
      <c r="AX78" s="58" t="n">
        <v>0.004</v>
      </c>
      <c r="AY78" s="58"/>
    </row>
    <row r="79" customFormat="false" ht="15" hidden="false" customHeight="false" outlineLevel="0" collapsed="false">
      <c r="A79" s="59" t="n">
        <v>73</v>
      </c>
      <c r="B79" s="46" t="n">
        <v>12</v>
      </c>
      <c r="C79" s="46" t="n">
        <v>-23</v>
      </c>
      <c r="D79" s="47" t="n">
        <v>44652</v>
      </c>
      <c r="E79" s="65" t="s">
        <v>427</v>
      </c>
      <c r="F79" s="49" t="s">
        <v>428</v>
      </c>
      <c r="G79" s="49" t="s">
        <v>382</v>
      </c>
      <c r="H79" s="69" t="s">
        <v>429</v>
      </c>
      <c r="I79" s="90" t="s">
        <v>430</v>
      </c>
      <c r="K79" s="49" t="s">
        <v>431</v>
      </c>
      <c r="O79" s="89" t="n">
        <v>35.8078</v>
      </c>
      <c r="P79" s="67" t="n">
        <v>0.0246666666666667</v>
      </c>
      <c r="R79" s="68" t="n">
        <v>0.072</v>
      </c>
      <c r="T79" s="67" t="n">
        <v>0.0473333333333333</v>
      </c>
      <c r="V79" s="67" t="n">
        <v>0.026</v>
      </c>
      <c r="X79" s="67" t="n">
        <v>0.394666666666667</v>
      </c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</row>
    <row r="80" customFormat="false" ht="15" hidden="false" customHeight="false" outlineLevel="0" collapsed="false">
      <c r="A80" s="59" t="n">
        <v>74</v>
      </c>
      <c r="B80" s="46" t="n">
        <v>14.15</v>
      </c>
      <c r="C80" s="46" t="n">
        <v>-23</v>
      </c>
      <c r="D80" s="47" t="n">
        <v>44653</v>
      </c>
      <c r="E80" s="65" t="s">
        <v>432</v>
      </c>
      <c r="F80" s="94" t="s">
        <v>433</v>
      </c>
      <c r="G80" s="49" t="s">
        <v>434</v>
      </c>
      <c r="H80" s="69" t="s">
        <v>435</v>
      </c>
      <c r="I80" s="90" t="s">
        <v>436</v>
      </c>
      <c r="K80" s="49" t="s">
        <v>437</v>
      </c>
      <c r="O80" s="89" t="n">
        <v>36.0682</v>
      </c>
      <c r="P80" s="67" t="n">
        <v>0.0466666666666667</v>
      </c>
      <c r="R80" s="68" t="n">
        <v>0.287</v>
      </c>
      <c r="T80" s="67" t="n">
        <v>0.240333333333333</v>
      </c>
      <c r="V80" s="67" t="n">
        <v>0.096</v>
      </c>
      <c r="X80" s="67" t="n">
        <v>0.713666666666667</v>
      </c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</row>
    <row r="81" customFormat="false" ht="15" hidden="false" customHeight="false" outlineLevel="0" collapsed="false">
      <c r="A81" s="59" t="n">
        <v>75</v>
      </c>
      <c r="B81" s="46" t="n">
        <v>15.15</v>
      </c>
      <c r="C81" s="46" t="n">
        <v>-23</v>
      </c>
      <c r="D81" s="47" t="n">
        <v>44653</v>
      </c>
      <c r="E81" s="65" t="s">
        <v>438</v>
      </c>
      <c r="F81" s="49" t="s">
        <v>439</v>
      </c>
      <c r="G81" s="49" t="s">
        <v>440</v>
      </c>
      <c r="H81" s="69" t="s">
        <v>441</v>
      </c>
      <c r="I81" s="69" t="n">
        <v>21</v>
      </c>
      <c r="K81" s="49" t="s">
        <v>442</v>
      </c>
      <c r="O81" s="89" t="n">
        <v>36.0927</v>
      </c>
      <c r="P81" s="67" t="n">
        <v>0.0156666666666667</v>
      </c>
      <c r="R81" s="68" t="n">
        <v>0.093</v>
      </c>
      <c r="T81" s="67" t="n">
        <v>0.0773333333333333</v>
      </c>
      <c r="V81" s="67" t="n">
        <v>0.094</v>
      </c>
      <c r="X81" s="67" t="n">
        <v>0.582666666666667</v>
      </c>
      <c r="Z81" s="58" t="n">
        <v>0.0081</v>
      </c>
      <c r="AA81" s="58" t="n">
        <v>0.0074</v>
      </c>
      <c r="AB81" s="58" t="n">
        <v>0.0086</v>
      </c>
      <c r="AC81" s="58" t="n">
        <v>0.0126</v>
      </c>
      <c r="AD81" s="58" t="n">
        <v>0.0123</v>
      </c>
      <c r="AE81" s="58" t="n">
        <v>0.0029</v>
      </c>
      <c r="AF81" s="58" t="s">
        <v>92</v>
      </c>
      <c r="AG81" s="58" t="s">
        <v>92</v>
      </c>
      <c r="AH81" s="58" t="n">
        <v>0.0229</v>
      </c>
      <c r="AI81" s="58"/>
      <c r="AJ81" s="58" t="n">
        <v>0.0099</v>
      </c>
      <c r="AK81" s="58" t="n">
        <v>0.0078</v>
      </c>
      <c r="AL81" s="58" t="n">
        <v>0.0041</v>
      </c>
      <c r="AM81" s="58" t="n">
        <v>0.0037</v>
      </c>
      <c r="AN81" s="58" t="n">
        <v>0.2317</v>
      </c>
      <c r="AO81" s="58" t="s">
        <v>92</v>
      </c>
      <c r="AP81" s="58" t="s">
        <v>92</v>
      </c>
      <c r="AQ81" s="58" t="n">
        <v>0.0294</v>
      </c>
      <c r="AR81" s="58" t="n">
        <f aca="false">AQ81</f>
        <v>0.0294</v>
      </c>
      <c r="AS81" s="58" t="s">
        <v>92</v>
      </c>
      <c r="AT81" s="58" t="n">
        <v>0.0313</v>
      </c>
      <c r="AU81" s="58" t="s">
        <v>92</v>
      </c>
      <c r="AV81" s="58" t="n">
        <v>0.3143</v>
      </c>
      <c r="AW81" s="58" t="n">
        <f aca="false">AV81</f>
        <v>0.3143</v>
      </c>
      <c r="AX81" s="58" t="n">
        <v>0.004</v>
      </c>
      <c r="AY81" s="58"/>
    </row>
    <row r="82" customFormat="false" ht="15" hidden="false" customHeight="false" outlineLevel="0" collapsed="false">
      <c r="A82" s="59" t="n">
        <v>76</v>
      </c>
      <c r="B82" s="46" t="n">
        <v>16</v>
      </c>
      <c r="C82" s="46" t="n">
        <v>-23</v>
      </c>
      <c r="D82" s="47" t="n">
        <v>44653</v>
      </c>
      <c r="E82" s="65" t="s">
        <v>443</v>
      </c>
      <c r="F82" s="94" t="s">
        <v>444</v>
      </c>
      <c r="G82" s="49" t="s">
        <v>445</v>
      </c>
      <c r="H82" s="69" t="s">
        <v>446</v>
      </c>
      <c r="I82" s="69" t="s">
        <v>447</v>
      </c>
      <c r="K82" s="49" t="s">
        <v>448</v>
      </c>
      <c r="O82" s="89" t="n">
        <v>36.109</v>
      </c>
      <c r="P82" s="67" t="n">
        <v>0.0156666666666667</v>
      </c>
      <c r="R82" s="68" t="n">
        <v>0.02</v>
      </c>
      <c r="T82" s="67" t="n">
        <v>0.00433333333333333</v>
      </c>
      <c r="V82" s="67" t="n">
        <v>0.058</v>
      </c>
      <c r="X82" s="67" t="n">
        <v>0.439666666666667</v>
      </c>
    </row>
    <row r="83" customFormat="false" ht="15" hidden="false" customHeight="false" outlineLevel="0" collapsed="false">
      <c r="A83" s="59" t="n">
        <v>77</v>
      </c>
      <c r="B83" s="46" t="n">
        <v>18</v>
      </c>
      <c r="C83" s="46" t="n">
        <v>-23</v>
      </c>
      <c r="D83" s="47" t="n">
        <v>44654</v>
      </c>
      <c r="E83" s="65" t="s">
        <v>449</v>
      </c>
      <c r="F83" s="94" t="s">
        <v>450</v>
      </c>
      <c r="G83" s="49" t="s">
        <v>451</v>
      </c>
      <c r="H83" s="69" t="s">
        <v>452</v>
      </c>
      <c r="I83" s="69" t="s">
        <v>453</v>
      </c>
      <c r="K83" s="49" t="s">
        <v>454</v>
      </c>
      <c r="O83" s="89" t="n">
        <v>36.1185</v>
      </c>
      <c r="P83" s="67" t="n">
        <v>0.0676666666666667</v>
      </c>
      <c r="R83" s="68" t="n">
        <v>1.669</v>
      </c>
      <c r="T83" s="67" t="n">
        <v>1.60133333333333</v>
      </c>
      <c r="V83" s="67" t="n">
        <v>0.205</v>
      </c>
      <c r="X83" s="67" t="n">
        <v>0.569666666666667</v>
      </c>
    </row>
    <row r="84" customFormat="false" ht="13.8" hidden="false" customHeight="true" outlineLevel="0" collapsed="false">
      <c r="B84" s="96"/>
    </row>
    <row r="85" customFormat="false" ht="13.8" hidden="false" customHeight="true" outlineLevel="0" collapsed="false"/>
    <row r="150" customFormat="false" ht="13.8" hidden="false" customHeight="false" outlineLevel="0" collapsed="false">
      <c r="A150" s="97"/>
      <c r="B150" s="98"/>
    </row>
    <row r="151" customFormat="false" ht="13.8" hidden="false" customHeight="false" outlineLevel="0" collapsed="false">
      <c r="A151" s="99"/>
      <c r="B151" s="96"/>
    </row>
    <row r="152" customFormat="false" ht="13.8" hidden="false" customHeight="false" outlineLevel="0" collapsed="false">
      <c r="A152" s="100"/>
      <c r="B152" s="97"/>
    </row>
    <row r="153" customFormat="false" ht="13.8" hidden="false" customHeight="false" outlineLevel="0" collapsed="false">
      <c r="A153" s="100"/>
      <c r="B153" s="101"/>
    </row>
    <row r="154" customFormat="false" ht="13.8" hidden="false" customHeight="false" outlineLevel="0" collapsed="false">
      <c r="A154" s="100"/>
      <c r="B154" s="101"/>
    </row>
    <row r="155" customFormat="false" ht="13.8" hidden="false" customHeight="false" outlineLevel="0" collapsed="false">
      <c r="A155" s="100"/>
      <c r="B155" s="101"/>
    </row>
    <row r="156" customFormat="false" ht="13.8" hidden="false" customHeight="false" outlineLevel="0" collapsed="false">
      <c r="A156" s="100"/>
      <c r="B156" s="101"/>
    </row>
    <row r="157" customFormat="false" ht="13.8" hidden="false" customHeight="false" outlineLevel="0" collapsed="false">
      <c r="A157" s="100"/>
      <c r="B157" s="101"/>
    </row>
    <row r="158" customFormat="false" ht="13.8" hidden="false" customHeight="false" outlineLevel="0" collapsed="false">
      <c r="A158" s="100"/>
      <c r="B158" s="101"/>
    </row>
    <row r="159" customFormat="false" ht="13.8" hidden="false" customHeight="false" outlineLevel="0" collapsed="false">
      <c r="A159" s="100"/>
      <c r="B159" s="101"/>
    </row>
    <row r="160" customFormat="false" ht="13.8" hidden="false" customHeight="false" outlineLevel="0" collapsed="false">
      <c r="A160" s="100"/>
      <c r="B160" s="101"/>
    </row>
    <row r="161" customFormat="false" ht="13.8" hidden="false" customHeight="false" outlineLevel="0" collapsed="false">
      <c r="A161" s="100"/>
      <c r="B161" s="101"/>
    </row>
    <row r="162" customFormat="false" ht="13.8" hidden="false" customHeight="false" outlineLevel="0" collapsed="false">
      <c r="A162" s="100"/>
      <c r="B162" s="101"/>
    </row>
    <row r="163" customFormat="false" ht="13.8" hidden="false" customHeight="false" outlineLevel="0" collapsed="false">
      <c r="A163" s="100"/>
      <c r="B163" s="101"/>
    </row>
    <row r="164" customFormat="false" ht="13.8" hidden="false" customHeight="false" outlineLevel="0" collapsed="false">
      <c r="A164" s="100"/>
      <c r="B164" s="101"/>
    </row>
    <row r="165" customFormat="false" ht="13.8" hidden="false" customHeight="false" outlineLevel="0" collapsed="false">
      <c r="A165" s="100"/>
      <c r="B165" s="101"/>
    </row>
    <row r="166" customFormat="false" ht="13.8" hidden="false" customHeight="false" outlineLevel="0" collapsed="false">
      <c r="A166" s="100"/>
      <c r="B166" s="101"/>
    </row>
    <row r="167" customFormat="false" ht="13.8" hidden="false" customHeight="false" outlineLevel="0" collapsed="false">
      <c r="A167" s="100"/>
      <c r="B167" s="101"/>
    </row>
    <row r="168" customFormat="false" ht="13.8" hidden="false" customHeight="false" outlineLevel="0" collapsed="false">
      <c r="A168" s="100"/>
      <c r="B168" s="101"/>
    </row>
    <row r="169" customFormat="false" ht="13.8" hidden="false" customHeight="false" outlineLevel="0" collapsed="false">
      <c r="A169" s="100"/>
      <c r="B169" s="101"/>
    </row>
    <row r="170" customFormat="false" ht="13.8" hidden="false" customHeight="false" outlineLevel="0" collapsed="false">
      <c r="A170" s="100"/>
      <c r="B170" s="101"/>
    </row>
    <row r="171" customFormat="false" ht="13.8" hidden="false" customHeight="false" outlineLevel="0" collapsed="false">
      <c r="A171" s="100"/>
      <c r="B171" s="101"/>
    </row>
    <row r="172" customFormat="false" ht="13.8" hidden="false" customHeight="false" outlineLevel="0" collapsed="false">
      <c r="A172" s="100"/>
      <c r="B172" s="101"/>
    </row>
    <row r="173" customFormat="false" ht="13.8" hidden="false" customHeight="false" outlineLevel="0" collapsed="false">
      <c r="A173" s="100"/>
      <c r="B173" s="101"/>
    </row>
    <row r="174" customFormat="false" ht="13.8" hidden="false" customHeight="false" outlineLevel="0" collapsed="false">
      <c r="A174" s="100"/>
      <c r="B174" s="101"/>
    </row>
    <row r="175" customFormat="false" ht="13.8" hidden="false" customHeight="false" outlineLevel="0" collapsed="false">
      <c r="A175" s="100"/>
      <c r="B175" s="101"/>
    </row>
    <row r="176" customFormat="false" ht="13.8" hidden="false" customHeight="false" outlineLevel="0" collapsed="false">
      <c r="A176" s="100"/>
      <c r="B176" s="101"/>
    </row>
    <row r="177" customFormat="false" ht="13.8" hidden="false" customHeight="false" outlineLevel="0" collapsed="false">
      <c r="A177" s="100"/>
      <c r="B177" s="101"/>
    </row>
    <row r="178" customFormat="false" ht="13.8" hidden="false" customHeight="false" outlineLevel="0" collapsed="false">
      <c r="A178" s="100"/>
      <c r="B178" s="101"/>
    </row>
    <row r="179" customFormat="false" ht="13.8" hidden="false" customHeight="false" outlineLevel="0" collapsed="false">
      <c r="A179" s="100"/>
      <c r="B179" s="101"/>
    </row>
    <row r="180" customFormat="false" ht="13.8" hidden="false" customHeight="false" outlineLevel="0" collapsed="false">
      <c r="A180" s="100"/>
      <c r="B180" s="101"/>
    </row>
    <row r="181" customFormat="false" ht="13.8" hidden="false" customHeight="false" outlineLevel="0" collapsed="false">
      <c r="A181" s="100"/>
      <c r="B181" s="101"/>
    </row>
    <row r="182" customFormat="false" ht="13.8" hidden="false" customHeight="false" outlineLevel="0" collapsed="false">
      <c r="A182" s="100"/>
      <c r="B182" s="101"/>
    </row>
    <row r="183" customFormat="false" ht="13.8" hidden="false" customHeight="false" outlineLevel="0" collapsed="false">
      <c r="A183" s="100"/>
      <c r="B183" s="101"/>
    </row>
    <row r="184" customFormat="false" ht="13.8" hidden="false" customHeight="false" outlineLevel="0" collapsed="false">
      <c r="A184" s="100"/>
      <c r="B184" s="101"/>
    </row>
    <row r="185" customFormat="false" ht="13.8" hidden="false" customHeight="false" outlineLevel="0" collapsed="false">
      <c r="A185" s="100"/>
      <c r="B185" s="101"/>
    </row>
    <row r="186" customFormat="false" ht="13.8" hidden="false" customHeight="false" outlineLevel="0" collapsed="false">
      <c r="A186" s="100"/>
      <c r="B186" s="101"/>
    </row>
    <row r="187" customFormat="false" ht="13.8" hidden="false" customHeight="false" outlineLevel="0" collapsed="false">
      <c r="A187" s="100"/>
      <c r="B187" s="101"/>
    </row>
    <row r="188" customFormat="false" ht="13.8" hidden="false" customHeight="false" outlineLevel="0" collapsed="false">
      <c r="A188" s="100"/>
      <c r="B188" s="101"/>
    </row>
    <row r="189" customFormat="false" ht="13.8" hidden="false" customHeight="false" outlineLevel="0" collapsed="false">
      <c r="A189" s="100"/>
      <c r="B189" s="101"/>
    </row>
    <row r="190" customFormat="false" ht="13.8" hidden="false" customHeight="false" outlineLevel="0" collapsed="false">
      <c r="A190" s="100"/>
      <c r="B190" s="101"/>
    </row>
    <row r="191" customFormat="false" ht="13.8" hidden="false" customHeight="false" outlineLevel="0" collapsed="false">
      <c r="A191" s="100"/>
      <c r="B191" s="101"/>
    </row>
    <row r="192" customFormat="false" ht="13.8" hidden="false" customHeight="false" outlineLevel="0" collapsed="false">
      <c r="A192" s="100"/>
      <c r="B192" s="101"/>
    </row>
    <row r="193" customFormat="false" ht="13.8" hidden="false" customHeight="false" outlineLevel="0" collapsed="false">
      <c r="A193" s="100"/>
      <c r="B193" s="101"/>
    </row>
    <row r="194" customFormat="false" ht="13.8" hidden="false" customHeight="false" outlineLevel="0" collapsed="false">
      <c r="A194" s="100"/>
      <c r="B194" s="101"/>
    </row>
    <row r="195" customFormat="false" ht="13.8" hidden="false" customHeight="false" outlineLevel="0" collapsed="false">
      <c r="A195" s="100"/>
      <c r="B195" s="101"/>
    </row>
    <row r="196" customFormat="false" ht="13.8" hidden="false" customHeight="false" outlineLevel="0" collapsed="false">
      <c r="A196" s="100"/>
      <c r="B196" s="101"/>
    </row>
    <row r="197" customFormat="false" ht="13.8" hidden="false" customHeight="false" outlineLevel="0" collapsed="false">
      <c r="A197" s="100"/>
      <c r="B197" s="101"/>
    </row>
    <row r="198" customFormat="false" ht="13.8" hidden="false" customHeight="false" outlineLevel="0" collapsed="false">
      <c r="A198" s="100"/>
      <c r="B198" s="101"/>
    </row>
    <row r="199" customFormat="false" ht="13.8" hidden="false" customHeight="false" outlineLevel="0" collapsed="false">
      <c r="A199" s="100"/>
      <c r="B199" s="101"/>
    </row>
    <row r="200" customFormat="false" ht="13.8" hidden="false" customHeight="false" outlineLevel="0" collapsed="false">
      <c r="A200" s="100"/>
      <c r="B200" s="101"/>
    </row>
    <row r="201" customFormat="false" ht="13.8" hidden="false" customHeight="false" outlineLevel="0" collapsed="false">
      <c r="A201" s="100"/>
      <c r="B201" s="101"/>
    </row>
    <row r="202" customFormat="false" ht="13.8" hidden="false" customHeight="false" outlineLevel="0" collapsed="false">
      <c r="A202" s="100"/>
      <c r="B202" s="101"/>
    </row>
    <row r="203" customFormat="false" ht="13.8" hidden="false" customHeight="false" outlineLevel="0" collapsed="false">
      <c r="A203" s="100"/>
      <c r="B203" s="101"/>
    </row>
    <row r="204" customFormat="false" ht="13.8" hidden="false" customHeight="false" outlineLevel="0" collapsed="false">
      <c r="A204" s="100"/>
      <c r="B204" s="101"/>
    </row>
    <row r="205" customFormat="false" ht="13.8" hidden="false" customHeight="false" outlineLevel="0" collapsed="false">
      <c r="A205" s="100"/>
      <c r="B205" s="101"/>
    </row>
    <row r="206" customFormat="false" ht="13.8" hidden="false" customHeight="false" outlineLevel="0" collapsed="false">
      <c r="A206" s="100"/>
      <c r="B206" s="101"/>
    </row>
    <row r="207" customFormat="false" ht="13.8" hidden="false" customHeight="false" outlineLevel="0" collapsed="false">
      <c r="A207" s="100"/>
      <c r="B207" s="101"/>
    </row>
    <row r="208" customFormat="false" ht="13.8" hidden="false" customHeight="false" outlineLevel="0" collapsed="false">
      <c r="A208" s="100"/>
      <c r="B208" s="101"/>
    </row>
    <row r="209" customFormat="false" ht="13.8" hidden="false" customHeight="false" outlineLevel="0" collapsed="false">
      <c r="A209" s="100"/>
      <c r="B209" s="101"/>
    </row>
    <row r="210" customFormat="false" ht="13.8" hidden="false" customHeight="false" outlineLevel="0" collapsed="false">
      <c r="A210" s="100"/>
      <c r="B210" s="101"/>
    </row>
    <row r="211" customFormat="false" ht="13.8" hidden="false" customHeight="false" outlineLevel="0" collapsed="false">
      <c r="A211" s="100"/>
      <c r="B211" s="101"/>
    </row>
    <row r="212" customFormat="false" ht="13.8" hidden="false" customHeight="false" outlineLevel="0" collapsed="false">
      <c r="A212" s="100"/>
      <c r="B212" s="101"/>
    </row>
    <row r="213" customFormat="false" ht="13.8" hidden="false" customHeight="false" outlineLevel="0" collapsed="false">
      <c r="A213" s="100"/>
      <c r="B213" s="101"/>
    </row>
    <row r="214" customFormat="false" ht="13.8" hidden="false" customHeight="false" outlineLevel="0" collapsed="false">
      <c r="A214" s="100"/>
      <c r="B214" s="101"/>
    </row>
    <row r="215" customFormat="false" ht="13.8" hidden="false" customHeight="false" outlineLevel="0" collapsed="false">
      <c r="A215" s="100"/>
      <c r="B215" s="101"/>
    </row>
    <row r="216" customFormat="false" ht="13.8" hidden="false" customHeight="false" outlineLevel="0" collapsed="false">
      <c r="A216" s="100"/>
      <c r="B216" s="101"/>
    </row>
    <row r="217" customFormat="false" ht="13.8" hidden="false" customHeight="false" outlineLevel="0" collapsed="false">
      <c r="A217" s="100"/>
      <c r="B217" s="101"/>
    </row>
    <row r="218" customFormat="false" ht="13.8" hidden="false" customHeight="false" outlineLevel="0" collapsed="false">
      <c r="A218" s="100"/>
      <c r="B218" s="101"/>
    </row>
    <row r="219" customFormat="false" ht="13.8" hidden="false" customHeight="false" outlineLevel="0" collapsed="false">
      <c r="A219" s="100"/>
      <c r="B219" s="101"/>
    </row>
    <row r="220" customFormat="false" ht="13.8" hidden="false" customHeight="false" outlineLevel="0" collapsed="false">
      <c r="A220" s="100"/>
      <c r="B220" s="101"/>
    </row>
    <row r="221" customFormat="false" ht="13.8" hidden="false" customHeight="false" outlineLevel="0" collapsed="false">
      <c r="A221" s="100"/>
      <c r="B221" s="101"/>
    </row>
    <row r="222" customFormat="false" ht="13.8" hidden="false" customHeight="false" outlineLevel="0" collapsed="false">
      <c r="A222" s="100"/>
      <c r="B222" s="101"/>
    </row>
    <row r="223" customFormat="false" ht="13.8" hidden="false" customHeight="false" outlineLevel="0" collapsed="false">
      <c r="A223" s="100"/>
      <c r="B223" s="101"/>
    </row>
    <row r="224" customFormat="false" ht="13.8" hidden="false" customHeight="false" outlineLevel="0" collapsed="false">
      <c r="A224" s="100"/>
      <c r="B224" s="101"/>
    </row>
    <row r="225" customFormat="false" ht="13.8" hidden="false" customHeight="false" outlineLevel="0" collapsed="false">
      <c r="A225" s="100"/>
      <c r="B225" s="101"/>
    </row>
    <row r="226" customFormat="false" ht="13.8" hidden="false" customHeight="false" outlineLevel="0" collapsed="false">
      <c r="A226" s="100"/>
      <c r="B226" s="101"/>
    </row>
    <row r="227" customFormat="false" ht="13.8" hidden="false" customHeight="false" outlineLevel="0" collapsed="false">
      <c r="A227" s="100"/>
      <c r="B227" s="101"/>
    </row>
    <row r="228" customFormat="false" ht="13.8" hidden="false" customHeight="false" outlineLevel="0" collapsed="false">
      <c r="A228" s="100"/>
      <c r="B228" s="101"/>
    </row>
    <row r="229" customFormat="false" ht="13.8" hidden="false" customHeight="false" outlineLevel="0" collapsed="false">
      <c r="A229" s="100"/>
      <c r="B229" s="101"/>
    </row>
    <row r="230" customFormat="false" ht="13.8" hidden="false" customHeight="false" outlineLevel="0" collapsed="false">
      <c r="A230" s="100"/>
      <c r="B230" s="101"/>
    </row>
    <row r="231" customFormat="false" ht="13.8" hidden="false" customHeight="false" outlineLevel="0" collapsed="false">
      <c r="A231" s="100"/>
      <c r="B231" s="101"/>
    </row>
    <row r="232" customFormat="false" ht="13.8" hidden="false" customHeight="false" outlineLevel="0" collapsed="false">
      <c r="A232" s="100"/>
      <c r="B232" s="101"/>
    </row>
    <row r="233" customFormat="false" ht="13.8" hidden="false" customHeight="false" outlineLevel="0" collapsed="false">
      <c r="A233" s="100"/>
      <c r="B233" s="101"/>
    </row>
    <row r="234" customFormat="false" ht="13.8" hidden="false" customHeight="false" outlineLevel="0" collapsed="false">
      <c r="A234" s="100"/>
      <c r="B234" s="101"/>
    </row>
    <row r="235" customFormat="false" ht="13.8" hidden="false" customHeight="false" outlineLevel="0" collapsed="false">
      <c r="A235" s="100"/>
      <c r="B235" s="101"/>
    </row>
    <row r="236" customFormat="false" ht="13.8" hidden="false" customHeight="false" outlineLevel="0" collapsed="false">
      <c r="A236" s="100"/>
      <c r="B236" s="101"/>
    </row>
    <row r="237" customFormat="false" ht="13.8" hidden="false" customHeight="false" outlineLevel="0" collapsed="false">
      <c r="A237" s="100"/>
      <c r="B237" s="101"/>
    </row>
    <row r="238" customFormat="false" ht="13.8" hidden="false" customHeight="false" outlineLevel="0" collapsed="false">
      <c r="A238" s="100"/>
      <c r="B238" s="101"/>
    </row>
    <row r="239" customFormat="false" ht="13.8" hidden="false" customHeight="false" outlineLevel="0" collapsed="false">
      <c r="A239" s="100"/>
      <c r="B239" s="101"/>
    </row>
    <row r="240" customFormat="false" ht="13.8" hidden="false" customHeight="false" outlineLevel="0" collapsed="false">
      <c r="A240" s="100"/>
      <c r="B240" s="101"/>
    </row>
    <row r="241" customFormat="false" ht="13.8" hidden="false" customHeight="false" outlineLevel="0" collapsed="false">
      <c r="A241" s="100"/>
      <c r="B241" s="101"/>
    </row>
    <row r="242" customFormat="false" ht="13.8" hidden="false" customHeight="false" outlineLevel="0" collapsed="false">
      <c r="A242" s="100"/>
      <c r="B242" s="101"/>
    </row>
    <row r="243" customFormat="false" ht="13.8" hidden="false" customHeight="false" outlineLevel="0" collapsed="false">
      <c r="A243" s="100"/>
      <c r="B243" s="101"/>
    </row>
    <row r="244" customFormat="false" ht="13.8" hidden="false" customHeight="false" outlineLevel="0" collapsed="false">
      <c r="A244" s="100"/>
      <c r="B244" s="101"/>
    </row>
    <row r="245" customFormat="false" ht="13.8" hidden="false" customHeight="false" outlineLevel="0" collapsed="false">
      <c r="A245" s="100"/>
      <c r="B245" s="101"/>
    </row>
    <row r="246" customFormat="false" ht="13.8" hidden="false" customHeight="false" outlineLevel="0" collapsed="false">
      <c r="A246" s="100"/>
      <c r="B246" s="101"/>
    </row>
    <row r="247" customFormat="false" ht="13.8" hidden="false" customHeight="false" outlineLevel="0" collapsed="false">
      <c r="A247" s="100"/>
      <c r="B247" s="101"/>
    </row>
    <row r="248" customFormat="false" ht="13.8" hidden="false" customHeight="false" outlineLevel="0" collapsed="false">
      <c r="A248" s="100"/>
      <c r="B248" s="101"/>
    </row>
    <row r="249" customFormat="false" ht="13.8" hidden="false" customHeight="false" outlineLevel="0" collapsed="false">
      <c r="A249" s="100"/>
      <c r="B249" s="101"/>
    </row>
    <row r="250" customFormat="false" ht="13.8" hidden="false" customHeight="false" outlineLevel="0" collapsed="false">
      <c r="A250" s="100"/>
      <c r="B250" s="101"/>
    </row>
    <row r="251" customFormat="false" ht="13.8" hidden="false" customHeight="false" outlineLevel="0" collapsed="false">
      <c r="A251" s="100"/>
      <c r="B251" s="101"/>
    </row>
    <row r="252" customFormat="false" ht="13.8" hidden="false" customHeight="false" outlineLevel="0" collapsed="false">
      <c r="A252" s="100"/>
      <c r="B252" s="101"/>
    </row>
    <row r="253" customFormat="false" ht="13.8" hidden="false" customHeight="false" outlineLevel="0" collapsed="false">
      <c r="A253" s="100"/>
      <c r="B253" s="101"/>
    </row>
    <row r="254" customFormat="false" ht="13.8" hidden="false" customHeight="false" outlineLevel="0" collapsed="false">
      <c r="A254" s="100"/>
      <c r="B254" s="101"/>
    </row>
    <row r="255" customFormat="false" ht="13.8" hidden="false" customHeight="false" outlineLevel="0" collapsed="false">
      <c r="A255" s="100"/>
      <c r="B255" s="101"/>
    </row>
    <row r="256" customFormat="false" ht="13.8" hidden="false" customHeight="false" outlineLevel="0" collapsed="false">
      <c r="A256" s="100"/>
      <c r="B256" s="101"/>
    </row>
    <row r="257" customFormat="false" ht="13.8" hidden="false" customHeight="false" outlineLevel="0" collapsed="false">
      <c r="A257" s="100"/>
      <c r="B257" s="101"/>
    </row>
    <row r="258" customFormat="false" ht="13.8" hidden="false" customHeight="false" outlineLevel="0" collapsed="false">
      <c r="A258" s="100"/>
      <c r="B258" s="101"/>
    </row>
    <row r="259" customFormat="false" ht="13.8" hidden="false" customHeight="false" outlineLevel="0" collapsed="false">
      <c r="A259" s="100"/>
      <c r="B259" s="101"/>
    </row>
    <row r="260" customFormat="false" ht="13.8" hidden="false" customHeight="false" outlineLevel="0" collapsed="false">
      <c r="A260" s="100"/>
      <c r="B260" s="101"/>
    </row>
    <row r="261" customFormat="false" ht="13.8" hidden="false" customHeight="false" outlineLevel="0" collapsed="false">
      <c r="A261" s="100"/>
      <c r="B261" s="101"/>
    </row>
    <row r="262" customFormat="false" ht="13.8" hidden="false" customHeight="false" outlineLevel="0" collapsed="false">
      <c r="A262" s="100"/>
      <c r="B262" s="101"/>
    </row>
    <row r="263" customFormat="false" ht="13.8" hidden="false" customHeight="false" outlineLevel="0" collapsed="false">
      <c r="A263" s="100"/>
      <c r="B263" s="101"/>
    </row>
    <row r="264" customFormat="false" ht="13.8" hidden="false" customHeight="false" outlineLevel="0" collapsed="false">
      <c r="A264" s="100"/>
      <c r="B264" s="101"/>
    </row>
    <row r="265" customFormat="false" ht="13.8" hidden="false" customHeight="false" outlineLevel="0" collapsed="false">
      <c r="A265" s="100"/>
      <c r="B265" s="101"/>
    </row>
    <row r="266" customFormat="false" ht="13.8" hidden="false" customHeight="false" outlineLevel="0" collapsed="false">
      <c r="A266" s="100"/>
      <c r="B266" s="101"/>
    </row>
    <row r="267" customFormat="false" ht="13.8" hidden="false" customHeight="false" outlineLevel="0" collapsed="false">
      <c r="A267" s="100"/>
      <c r="B267" s="101"/>
    </row>
    <row r="268" customFormat="false" ht="13.8" hidden="false" customHeight="false" outlineLevel="0" collapsed="false">
      <c r="A268" s="100"/>
      <c r="B268" s="101"/>
    </row>
    <row r="269" customFormat="false" ht="13.8" hidden="false" customHeight="false" outlineLevel="0" collapsed="false">
      <c r="A269" s="100"/>
      <c r="B269" s="101"/>
    </row>
    <row r="270" customFormat="false" ht="13.8" hidden="false" customHeight="false" outlineLevel="0" collapsed="false">
      <c r="A270" s="100"/>
      <c r="B270" s="101"/>
    </row>
    <row r="271" customFormat="false" ht="13.8" hidden="false" customHeight="false" outlineLevel="0" collapsed="false">
      <c r="A271" s="100"/>
      <c r="B271" s="101"/>
    </row>
    <row r="272" customFormat="false" ht="13.8" hidden="false" customHeight="false" outlineLevel="0" collapsed="false">
      <c r="A272" s="100"/>
      <c r="B272" s="101"/>
    </row>
    <row r="273" customFormat="false" ht="13.8" hidden="false" customHeight="false" outlineLevel="0" collapsed="false">
      <c r="A273" s="100"/>
      <c r="B273" s="101"/>
    </row>
    <row r="274" customFormat="false" ht="13.8" hidden="false" customHeight="false" outlineLevel="0" collapsed="false">
      <c r="A274" s="100"/>
      <c r="B274" s="101"/>
    </row>
    <row r="275" customFormat="false" ht="13.8" hidden="false" customHeight="false" outlineLevel="0" collapsed="false">
      <c r="A275" s="100"/>
      <c r="B275" s="101"/>
    </row>
    <row r="276" customFormat="false" ht="13.8" hidden="false" customHeight="false" outlineLevel="0" collapsed="false">
      <c r="A276" s="100"/>
      <c r="B276" s="101"/>
    </row>
    <row r="277" customFormat="false" ht="13.8" hidden="false" customHeight="false" outlineLevel="0" collapsed="false">
      <c r="A277" s="100"/>
      <c r="B277" s="101"/>
    </row>
    <row r="278" customFormat="false" ht="13.8" hidden="false" customHeight="false" outlineLevel="0" collapsed="false">
      <c r="A278" s="100"/>
      <c r="B278" s="101"/>
    </row>
    <row r="279" customFormat="false" ht="13.8" hidden="false" customHeight="false" outlineLevel="0" collapsed="false">
      <c r="A279" s="100"/>
      <c r="B279" s="101"/>
    </row>
    <row r="280" customFormat="false" ht="13.8" hidden="false" customHeight="false" outlineLevel="0" collapsed="false">
      <c r="A280" s="100"/>
      <c r="B280" s="101"/>
    </row>
    <row r="281" customFormat="false" ht="13.8" hidden="false" customHeight="false" outlineLevel="0" collapsed="false">
      <c r="A281" s="100"/>
      <c r="B281" s="101"/>
    </row>
    <row r="282" customFormat="false" ht="13.8" hidden="false" customHeight="false" outlineLevel="0" collapsed="false">
      <c r="A282" s="100"/>
      <c r="B282" s="101"/>
    </row>
    <row r="283" customFormat="false" ht="13.8" hidden="false" customHeight="false" outlineLevel="0" collapsed="false">
      <c r="A283" s="100"/>
      <c r="B283" s="101"/>
    </row>
    <row r="284" customFormat="false" ht="13.8" hidden="false" customHeight="false" outlineLevel="0" collapsed="false">
      <c r="A284" s="100"/>
      <c r="B284" s="101"/>
    </row>
    <row r="285" customFormat="false" ht="13.8" hidden="false" customHeight="false" outlineLevel="0" collapsed="false">
      <c r="A285" s="100"/>
      <c r="B285" s="101"/>
    </row>
    <row r="286" customFormat="false" ht="13.8" hidden="false" customHeight="false" outlineLevel="0" collapsed="false">
      <c r="A286" s="100"/>
      <c r="B286" s="101"/>
    </row>
    <row r="287" customFormat="false" ht="13.8" hidden="false" customHeight="false" outlineLevel="0" collapsed="false">
      <c r="A287" s="100"/>
      <c r="B287" s="101"/>
    </row>
    <row r="288" customFormat="false" ht="13.8" hidden="false" customHeight="false" outlineLevel="0" collapsed="false">
      <c r="A288" s="100"/>
      <c r="B288" s="101"/>
    </row>
    <row r="289" customFormat="false" ht="13.8" hidden="false" customHeight="false" outlineLevel="0" collapsed="false">
      <c r="A289" s="100"/>
      <c r="B289" s="101"/>
    </row>
    <row r="290" customFormat="false" ht="13.8" hidden="false" customHeight="false" outlineLevel="0" collapsed="false">
      <c r="A290" s="100"/>
      <c r="B290" s="101"/>
    </row>
    <row r="291" customFormat="false" ht="13.8" hidden="false" customHeight="false" outlineLevel="0" collapsed="false">
      <c r="A291" s="100"/>
      <c r="B291" s="101"/>
    </row>
    <row r="292" customFormat="false" ht="13.8" hidden="false" customHeight="false" outlineLevel="0" collapsed="false">
      <c r="A292" s="100"/>
      <c r="B292" s="101"/>
    </row>
    <row r="293" customFormat="false" ht="13.8" hidden="false" customHeight="false" outlineLevel="0" collapsed="false">
      <c r="A293" s="100"/>
      <c r="B293" s="101"/>
    </row>
    <row r="294" customFormat="false" ht="13.8" hidden="false" customHeight="false" outlineLevel="0" collapsed="false">
      <c r="A294" s="100"/>
      <c r="B294" s="101"/>
    </row>
    <row r="295" customFormat="false" ht="13.8" hidden="false" customHeight="false" outlineLevel="0" collapsed="false">
      <c r="A295" s="100"/>
      <c r="B295" s="101"/>
    </row>
    <row r="296" customFormat="false" ht="13.8" hidden="false" customHeight="false" outlineLevel="0" collapsed="false">
      <c r="A296" s="100"/>
      <c r="B296" s="101"/>
    </row>
    <row r="297" customFormat="false" ht="13.8" hidden="false" customHeight="false" outlineLevel="0" collapsed="false">
      <c r="A297" s="100"/>
      <c r="B297" s="101"/>
    </row>
    <row r="298" customFormat="false" ht="13.8" hidden="false" customHeight="false" outlineLevel="0" collapsed="false">
      <c r="A298" s="100"/>
      <c r="B298" s="101"/>
    </row>
    <row r="299" customFormat="false" ht="13.8" hidden="false" customHeight="false" outlineLevel="0" collapsed="false">
      <c r="A299" s="100"/>
      <c r="B299" s="101"/>
    </row>
    <row r="300" customFormat="false" ht="13.8" hidden="false" customHeight="false" outlineLevel="0" collapsed="false">
      <c r="A300" s="100"/>
      <c r="B300" s="101"/>
    </row>
    <row r="301" customFormat="false" ht="13.8" hidden="false" customHeight="false" outlineLevel="0" collapsed="false">
      <c r="A301" s="100"/>
      <c r="B301" s="101"/>
    </row>
    <row r="302" customFormat="false" ht="13.8" hidden="false" customHeight="false" outlineLevel="0" collapsed="false">
      <c r="A302" s="100"/>
      <c r="B302" s="101"/>
    </row>
    <row r="303" customFormat="false" ht="13.8" hidden="false" customHeight="false" outlineLevel="0" collapsed="false">
      <c r="A303" s="100"/>
      <c r="B303" s="101"/>
    </row>
    <row r="304" customFormat="false" ht="13.8" hidden="false" customHeight="false" outlineLevel="0" collapsed="false">
      <c r="A304" s="100"/>
      <c r="B304" s="101"/>
    </row>
    <row r="305" customFormat="false" ht="13.8" hidden="false" customHeight="false" outlineLevel="0" collapsed="false">
      <c r="A305" s="100"/>
      <c r="B305" s="101"/>
    </row>
    <row r="306" customFormat="false" ht="13.8" hidden="false" customHeight="false" outlineLevel="0" collapsed="false">
      <c r="A306" s="100"/>
      <c r="B306" s="101"/>
    </row>
    <row r="307" customFormat="false" ht="13.8" hidden="false" customHeight="false" outlineLevel="0" collapsed="false">
      <c r="A307" s="100"/>
      <c r="B307" s="101"/>
    </row>
    <row r="308" customFormat="false" ht="13.8" hidden="false" customHeight="false" outlineLevel="0" collapsed="false">
      <c r="A308" s="100"/>
      <c r="B308" s="101"/>
    </row>
    <row r="309" customFormat="false" ht="13.8" hidden="false" customHeight="false" outlineLevel="0" collapsed="false">
      <c r="A309" s="100"/>
      <c r="B309" s="101"/>
    </row>
    <row r="310" customFormat="false" ht="13.8" hidden="false" customHeight="false" outlineLevel="0" collapsed="false">
      <c r="A310" s="100"/>
      <c r="B310" s="101"/>
    </row>
    <row r="311" customFormat="false" ht="13.8" hidden="false" customHeight="false" outlineLevel="0" collapsed="false">
      <c r="A311" s="100"/>
      <c r="B311" s="101"/>
    </row>
    <row r="312" customFormat="false" ht="13.8" hidden="false" customHeight="false" outlineLevel="0" collapsed="false">
      <c r="A312" s="100"/>
      <c r="B312" s="101"/>
    </row>
    <row r="313" customFormat="false" ht="13.8" hidden="false" customHeight="false" outlineLevel="0" collapsed="false">
      <c r="A313" s="100"/>
      <c r="B313" s="101"/>
    </row>
    <row r="314" customFormat="false" ht="13.8" hidden="false" customHeight="false" outlineLevel="0" collapsed="false">
      <c r="A314" s="100"/>
      <c r="B314" s="101"/>
    </row>
    <row r="315" customFormat="false" ht="13.8" hidden="false" customHeight="false" outlineLevel="0" collapsed="false">
      <c r="A315" s="100"/>
      <c r="B315" s="101"/>
    </row>
    <row r="316" customFormat="false" ht="13.8" hidden="false" customHeight="false" outlineLevel="0" collapsed="false">
      <c r="A316" s="100"/>
      <c r="B316" s="101"/>
    </row>
    <row r="317" customFormat="false" ht="13.8" hidden="false" customHeight="false" outlineLevel="0" collapsed="false">
      <c r="A317" s="100"/>
      <c r="B317" s="101"/>
    </row>
    <row r="318" customFormat="false" ht="13.8" hidden="false" customHeight="false" outlineLevel="0" collapsed="false">
      <c r="A318" s="100"/>
      <c r="B318" s="101"/>
    </row>
    <row r="319" customFormat="false" ht="13.8" hidden="false" customHeight="false" outlineLevel="0" collapsed="false">
      <c r="A319" s="100"/>
      <c r="B319" s="101"/>
    </row>
    <row r="320" customFormat="false" ht="13.8" hidden="false" customHeight="false" outlineLevel="0" collapsed="false">
      <c r="A320" s="100"/>
      <c r="B320" s="101"/>
    </row>
    <row r="321" customFormat="false" ht="13.8" hidden="false" customHeight="false" outlineLevel="0" collapsed="false">
      <c r="A321" s="100"/>
      <c r="B321" s="101"/>
    </row>
    <row r="322" customFormat="false" ht="13.8" hidden="false" customHeight="false" outlineLevel="0" collapsed="false">
      <c r="A322" s="100"/>
      <c r="B322" s="101"/>
    </row>
    <row r="323" customFormat="false" ht="13.8" hidden="false" customHeight="false" outlineLevel="0" collapsed="false">
      <c r="A323" s="100"/>
      <c r="B323" s="101"/>
    </row>
    <row r="324" customFormat="false" ht="13.8" hidden="false" customHeight="false" outlineLevel="0" collapsed="false">
      <c r="A324" s="100"/>
      <c r="B324" s="101"/>
    </row>
    <row r="325" customFormat="false" ht="13.8" hidden="false" customHeight="false" outlineLevel="0" collapsed="false">
      <c r="A325" s="100"/>
      <c r="B325" s="101"/>
    </row>
    <row r="326" customFormat="false" ht="13.8" hidden="false" customHeight="false" outlineLevel="0" collapsed="false">
      <c r="A326" s="100"/>
      <c r="B326" s="101"/>
    </row>
    <row r="327" customFormat="false" ht="13.8" hidden="false" customHeight="false" outlineLevel="0" collapsed="false">
      <c r="A327" s="100"/>
      <c r="B327" s="101"/>
    </row>
    <row r="328" customFormat="false" ht="13.8" hidden="false" customHeight="false" outlineLevel="0" collapsed="false">
      <c r="A328" s="100"/>
      <c r="B328" s="101"/>
    </row>
    <row r="329" customFormat="false" ht="13.8" hidden="false" customHeight="false" outlineLevel="0" collapsed="false">
      <c r="A329" s="100"/>
      <c r="B329" s="101"/>
    </row>
    <row r="330" customFormat="false" ht="13.8" hidden="false" customHeight="false" outlineLevel="0" collapsed="false">
      <c r="A330" s="100"/>
      <c r="B330" s="101"/>
    </row>
    <row r="331" customFormat="false" ht="13.8" hidden="false" customHeight="false" outlineLevel="0" collapsed="false">
      <c r="A331" s="100"/>
      <c r="B331" s="101"/>
    </row>
    <row r="332" customFormat="false" ht="13.8" hidden="false" customHeight="false" outlineLevel="0" collapsed="false">
      <c r="A332" s="100"/>
      <c r="B332" s="101"/>
    </row>
    <row r="333" customFormat="false" ht="13.8" hidden="false" customHeight="false" outlineLevel="0" collapsed="false">
      <c r="A333" s="100"/>
      <c r="B333" s="101"/>
    </row>
    <row r="334" customFormat="false" ht="13.8" hidden="false" customHeight="false" outlineLevel="0" collapsed="false">
      <c r="A334" s="100"/>
      <c r="B334" s="101"/>
    </row>
    <row r="335" customFormat="false" ht="13.8" hidden="false" customHeight="false" outlineLevel="0" collapsed="false">
      <c r="A335" s="100"/>
      <c r="B335" s="101"/>
    </row>
    <row r="336" customFormat="false" ht="13.8" hidden="false" customHeight="false" outlineLevel="0" collapsed="false">
      <c r="A336" s="100"/>
      <c r="B336" s="101"/>
    </row>
    <row r="337" customFormat="false" ht="13.8" hidden="false" customHeight="false" outlineLevel="0" collapsed="false">
      <c r="A337" s="100"/>
      <c r="B337" s="101"/>
    </row>
    <row r="338" customFormat="false" ht="13.8" hidden="false" customHeight="false" outlineLevel="0" collapsed="false">
      <c r="A338" s="100"/>
      <c r="B338" s="101"/>
    </row>
    <row r="339" customFormat="false" ht="13.8" hidden="false" customHeight="false" outlineLevel="0" collapsed="false">
      <c r="A339" s="100"/>
      <c r="B339" s="101"/>
    </row>
    <row r="340" customFormat="false" ht="13.8" hidden="false" customHeight="false" outlineLevel="0" collapsed="false">
      <c r="A340" s="100"/>
      <c r="B340" s="101"/>
    </row>
    <row r="341" customFormat="false" ht="13.8" hidden="false" customHeight="false" outlineLevel="0" collapsed="false">
      <c r="A341" s="100"/>
      <c r="B341" s="101"/>
    </row>
    <row r="342" customFormat="false" ht="13.8" hidden="false" customHeight="false" outlineLevel="0" collapsed="false">
      <c r="A342" s="100"/>
      <c r="B342" s="101"/>
    </row>
    <row r="343" customFormat="false" ht="13.8" hidden="false" customHeight="false" outlineLevel="0" collapsed="false">
      <c r="A343" s="100"/>
      <c r="B343" s="101"/>
    </row>
    <row r="344" customFormat="false" ht="13.8" hidden="false" customHeight="false" outlineLevel="0" collapsed="false">
      <c r="A344" s="100"/>
      <c r="B344" s="101"/>
    </row>
    <row r="345" customFormat="false" ht="13.8" hidden="false" customHeight="false" outlineLevel="0" collapsed="false">
      <c r="A345" s="100"/>
      <c r="B345" s="101"/>
    </row>
    <row r="346" customFormat="false" ht="13.8" hidden="false" customHeight="false" outlineLevel="0" collapsed="false">
      <c r="A346" s="100"/>
      <c r="B346" s="101"/>
    </row>
    <row r="347" customFormat="false" ht="13.8" hidden="false" customHeight="false" outlineLevel="0" collapsed="false">
      <c r="A347" s="100"/>
      <c r="B347" s="101"/>
    </row>
    <row r="348" customFormat="false" ht="13.8" hidden="false" customHeight="false" outlineLevel="0" collapsed="false">
      <c r="A348" s="100"/>
      <c r="B348" s="101"/>
    </row>
    <row r="349" customFormat="false" ht="13.8" hidden="false" customHeight="false" outlineLevel="0" collapsed="false">
      <c r="A349" s="100"/>
      <c r="B349" s="101"/>
    </row>
    <row r="350" customFormat="false" ht="13.8" hidden="false" customHeight="false" outlineLevel="0" collapsed="false">
      <c r="A350" s="100"/>
      <c r="B350" s="101"/>
    </row>
    <row r="351" customFormat="false" ht="13.8" hidden="false" customHeight="false" outlineLevel="0" collapsed="false">
      <c r="A351" s="100"/>
      <c r="B351" s="101"/>
    </row>
    <row r="352" customFormat="false" ht="13.8" hidden="false" customHeight="false" outlineLevel="0" collapsed="false">
      <c r="A352" s="100"/>
      <c r="B352" s="101"/>
    </row>
    <row r="353" customFormat="false" ht="13.8" hidden="false" customHeight="false" outlineLevel="0" collapsed="false">
      <c r="A353" s="100"/>
      <c r="B353" s="101"/>
    </row>
    <row r="354" customFormat="false" ht="13.8" hidden="false" customHeight="false" outlineLevel="0" collapsed="false">
      <c r="A354" s="100"/>
      <c r="B354" s="101"/>
    </row>
    <row r="355" customFormat="false" ht="13.8" hidden="false" customHeight="false" outlineLevel="0" collapsed="false">
      <c r="A355" s="100"/>
      <c r="B355" s="101"/>
    </row>
    <row r="356" customFormat="false" ht="13.8" hidden="false" customHeight="false" outlineLevel="0" collapsed="false">
      <c r="A356" s="100"/>
      <c r="B356" s="101"/>
    </row>
    <row r="357" customFormat="false" ht="13.8" hidden="false" customHeight="false" outlineLevel="0" collapsed="false">
      <c r="A357" s="100"/>
      <c r="B357" s="101"/>
    </row>
    <row r="358" customFormat="false" ht="13.8" hidden="false" customHeight="false" outlineLevel="0" collapsed="false">
      <c r="A358" s="100"/>
      <c r="B358" s="101"/>
    </row>
    <row r="359" customFormat="false" ht="13.8" hidden="false" customHeight="false" outlineLevel="0" collapsed="false">
      <c r="A359" s="100"/>
      <c r="B359" s="101"/>
    </row>
    <row r="360" customFormat="false" ht="13.8" hidden="false" customHeight="false" outlineLevel="0" collapsed="false">
      <c r="A360" s="100"/>
      <c r="B360" s="101"/>
    </row>
    <row r="361" customFormat="false" ht="13.8" hidden="false" customHeight="false" outlineLevel="0" collapsed="false">
      <c r="A361" s="100"/>
      <c r="B361" s="101"/>
    </row>
    <row r="362" customFormat="false" ht="13.8" hidden="false" customHeight="false" outlineLevel="0" collapsed="false">
      <c r="A362" s="100"/>
      <c r="B362" s="101"/>
    </row>
    <row r="363" customFormat="false" ht="13.8" hidden="false" customHeight="false" outlineLevel="0" collapsed="false">
      <c r="A363" s="100"/>
      <c r="B363" s="101"/>
    </row>
    <row r="364" customFormat="false" ht="13.8" hidden="false" customHeight="false" outlineLevel="0" collapsed="false">
      <c r="A364" s="100"/>
      <c r="B364" s="101"/>
    </row>
    <row r="365" customFormat="false" ht="13.8" hidden="false" customHeight="false" outlineLevel="0" collapsed="false">
      <c r="A365" s="100"/>
      <c r="B365" s="101"/>
    </row>
    <row r="366" customFormat="false" ht="13.8" hidden="false" customHeight="false" outlineLevel="0" collapsed="false">
      <c r="A366" s="100"/>
      <c r="B366" s="101"/>
    </row>
    <row r="367" customFormat="false" ht="13.8" hidden="false" customHeight="false" outlineLevel="0" collapsed="false">
      <c r="A367" s="100"/>
      <c r="B367" s="101"/>
    </row>
    <row r="368" customFormat="false" ht="13.8" hidden="false" customHeight="false" outlineLevel="0" collapsed="false">
      <c r="A368" s="100"/>
      <c r="B368" s="101"/>
    </row>
    <row r="369" customFormat="false" ht="13.8" hidden="false" customHeight="false" outlineLevel="0" collapsed="false">
      <c r="A369" s="100"/>
      <c r="B369" s="101"/>
    </row>
    <row r="370" customFormat="false" ht="13.8" hidden="false" customHeight="false" outlineLevel="0" collapsed="false">
      <c r="A370" s="100"/>
      <c r="B370" s="101"/>
    </row>
    <row r="371" customFormat="false" ht="13.8" hidden="false" customHeight="false" outlineLevel="0" collapsed="false">
      <c r="A371" s="100"/>
      <c r="B371" s="101"/>
    </row>
    <row r="372" customFormat="false" ht="13.8" hidden="false" customHeight="false" outlineLevel="0" collapsed="false">
      <c r="A372" s="100"/>
      <c r="B372" s="101"/>
    </row>
    <row r="373" customFormat="false" ht="13.8" hidden="false" customHeight="false" outlineLevel="0" collapsed="false">
      <c r="A373" s="100"/>
      <c r="B373" s="101"/>
    </row>
    <row r="374" customFormat="false" ht="13.8" hidden="false" customHeight="false" outlineLevel="0" collapsed="false">
      <c r="A374" s="100"/>
      <c r="B374" s="101"/>
    </row>
    <row r="375" customFormat="false" ht="13.8" hidden="false" customHeight="false" outlineLevel="0" collapsed="false">
      <c r="A375" s="100"/>
      <c r="B375" s="101"/>
    </row>
    <row r="376" customFormat="false" ht="13.8" hidden="false" customHeight="false" outlineLevel="0" collapsed="false">
      <c r="A376" s="100"/>
      <c r="B376" s="101"/>
    </row>
    <row r="377" customFormat="false" ht="13.8" hidden="false" customHeight="false" outlineLevel="0" collapsed="false">
      <c r="A377" s="100"/>
      <c r="B377" s="101"/>
    </row>
    <row r="378" customFormat="false" ht="13.8" hidden="false" customHeight="false" outlineLevel="0" collapsed="false">
      <c r="A378" s="100"/>
      <c r="B378" s="101"/>
    </row>
    <row r="379" customFormat="false" ht="13.8" hidden="false" customHeight="false" outlineLevel="0" collapsed="false">
      <c r="A379" s="100"/>
      <c r="B379" s="101"/>
    </row>
    <row r="380" customFormat="false" ht="13.8" hidden="false" customHeight="false" outlineLevel="0" collapsed="false">
      <c r="A380" s="100"/>
      <c r="B380" s="101"/>
    </row>
    <row r="381" customFormat="false" ht="13.8" hidden="false" customHeight="false" outlineLevel="0" collapsed="false">
      <c r="A381" s="100"/>
      <c r="B381" s="101"/>
    </row>
    <row r="382" customFormat="false" ht="13.8" hidden="false" customHeight="false" outlineLevel="0" collapsed="false">
      <c r="A382" s="100"/>
      <c r="B382" s="101"/>
    </row>
    <row r="383" customFormat="false" ht="13.8" hidden="false" customHeight="false" outlineLevel="0" collapsed="false">
      <c r="A383" s="100"/>
      <c r="B383" s="101"/>
    </row>
    <row r="384" customFormat="false" ht="13.8" hidden="false" customHeight="false" outlineLevel="0" collapsed="false">
      <c r="A384" s="100"/>
      <c r="B384" s="101"/>
    </row>
    <row r="385" customFormat="false" ht="13.8" hidden="false" customHeight="false" outlineLevel="0" collapsed="false">
      <c r="A385" s="100"/>
      <c r="B385" s="101"/>
    </row>
    <row r="386" customFormat="false" ht="13.8" hidden="false" customHeight="false" outlineLevel="0" collapsed="false">
      <c r="A386" s="100"/>
      <c r="B386" s="101"/>
    </row>
    <row r="387" customFormat="false" ht="13.8" hidden="false" customHeight="false" outlineLevel="0" collapsed="false">
      <c r="A387" s="100"/>
      <c r="B387" s="101"/>
    </row>
    <row r="388" customFormat="false" ht="13.8" hidden="false" customHeight="false" outlineLevel="0" collapsed="false">
      <c r="A388" s="100"/>
      <c r="B388" s="101"/>
    </row>
    <row r="389" customFormat="false" ht="13.8" hidden="false" customHeight="false" outlineLevel="0" collapsed="false">
      <c r="A389" s="100"/>
      <c r="B389" s="101"/>
    </row>
    <row r="390" customFormat="false" ht="13.8" hidden="false" customHeight="false" outlineLevel="0" collapsed="false">
      <c r="A390" s="100"/>
      <c r="B390" s="101"/>
    </row>
    <row r="391" customFormat="false" ht="13.8" hidden="false" customHeight="false" outlineLevel="0" collapsed="false">
      <c r="A391" s="100"/>
      <c r="B391" s="101"/>
    </row>
    <row r="392" customFormat="false" ht="13.8" hidden="false" customHeight="false" outlineLevel="0" collapsed="false">
      <c r="A392" s="100"/>
      <c r="B392" s="101"/>
    </row>
    <row r="393" customFormat="false" ht="13.8" hidden="false" customHeight="false" outlineLevel="0" collapsed="false">
      <c r="A393" s="100"/>
      <c r="B393" s="101"/>
    </row>
    <row r="394" customFormat="false" ht="13.8" hidden="false" customHeight="false" outlineLevel="0" collapsed="false">
      <c r="A394" s="100"/>
      <c r="B394" s="101"/>
    </row>
    <row r="395" customFormat="false" ht="13.8" hidden="false" customHeight="false" outlineLevel="0" collapsed="false">
      <c r="A395" s="100"/>
      <c r="B395" s="101"/>
    </row>
    <row r="396" customFormat="false" ht="13.8" hidden="false" customHeight="false" outlineLevel="0" collapsed="false">
      <c r="A396" s="100"/>
      <c r="B396" s="101"/>
    </row>
    <row r="397" customFormat="false" ht="13.8" hidden="false" customHeight="false" outlineLevel="0" collapsed="false">
      <c r="A397" s="100"/>
      <c r="B397" s="101"/>
    </row>
    <row r="398" customFormat="false" ht="13.8" hidden="false" customHeight="false" outlineLevel="0" collapsed="false">
      <c r="A398" s="100"/>
      <c r="B398" s="101"/>
    </row>
    <row r="399" customFormat="false" ht="13.8" hidden="false" customHeight="false" outlineLevel="0" collapsed="false">
      <c r="A399" s="100"/>
      <c r="B399" s="101"/>
    </row>
    <row r="400" customFormat="false" ht="13.8" hidden="false" customHeight="false" outlineLevel="0" collapsed="false">
      <c r="A400" s="100"/>
      <c r="B400" s="101"/>
    </row>
    <row r="401" customFormat="false" ht="13.8" hidden="false" customHeight="false" outlineLevel="0" collapsed="false">
      <c r="A401" s="100"/>
      <c r="B401" s="101"/>
    </row>
    <row r="402" customFormat="false" ht="13.8" hidden="false" customHeight="false" outlineLevel="0" collapsed="false">
      <c r="A402" s="100"/>
      <c r="B402" s="101"/>
    </row>
    <row r="403" customFormat="false" ht="13.8" hidden="false" customHeight="false" outlineLevel="0" collapsed="false">
      <c r="A403" s="100"/>
      <c r="B403" s="101"/>
    </row>
    <row r="404" customFormat="false" ht="13.8" hidden="false" customHeight="false" outlineLevel="0" collapsed="false">
      <c r="A404" s="100"/>
      <c r="B404" s="101"/>
    </row>
    <row r="405" customFormat="false" ht="13.8" hidden="false" customHeight="false" outlineLevel="0" collapsed="false">
      <c r="A405" s="100"/>
      <c r="B405" s="101"/>
    </row>
    <row r="406" customFormat="false" ht="13.8" hidden="false" customHeight="false" outlineLevel="0" collapsed="false">
      <c r="A406" s="100"/>
      <c r="B406" s="101"/>
    </row>
    <row r="407" customFormat="false" ht="13.8" hidden="false" customHeight="false" outlineLevel="0" collapsed="false">
      <c r="A407" s="100"/>
      <c r="B407" s="101"/>
    </row>
    <row r="408" customFormat="false" ht="13.8" hidden="false" customHeight="false" outlineLevel="0" collapsed="false">
      <c r="A408" s="100"/>
      <c r="B408" s="101"/>
    </row>
    <row r="409" customFormat="false" ht="13.8" hidden="false" customHeight="false" outlineLevel="0" collapsed="false">
      <c r="A409" s="100"/>
      <c r="B409" s="101"/>
    </row>
    <row r="410" customFormat="false" ht="13.8" hidden="false" customHeight="false" outlineLevel="0" collapsed="false">
      <c r="A410" s="100"/>
      <c r="B410" s="101"/>
    </row>
    <row r="411" customFormat="false" ht="13.8" hidden="false" customHeight="false" outlineLevel="0" collapsed="false">
      <c r="A411" s="100"/>
      <c r="B411" s="101"/>
    </row>
    <row r="412" customFormat="false" ht="13.8" hidden="false" customHeight="false" outlineLevel="0" collapsed="false">
      <c r="A412" s="100"/>
      <c r="B412" s="101"/>
    </row>
    <row r="413" customFormat="false" ht="13.8" hidden="false" customHeight="false" outlineLevel="0" collapsed="false">
      <c r="A413" s="100"/>
      <c r="B413" s="101"/>
    </row>
    <row r="414" customFormat="false" ht="13.8" hidden="false" customHeight="false" outlineLevel="0" collapsed="false">
      <c r="A414" s="100"/>
      <c r="B414" s="101"/>
    </row>
    <row r="415" customFormat="false" ht="13.8" hidden="false" customHeight="false" outlineLevel="0" collapsed="false">
      <c r="A415" s="100"/>
      <c r="B415" s="101"/>
    </row>
    <row r="416" customFormat="false" ht="13.8" hidden="false" customHeight="false" outlineLevel="0" collapsed="false">
      <c r="A416" s="100"/>
      <c r="B416" s="101"/>
    </row>
    <row r="417" customFormat="false" ht="13.8" hidden="false" customHeight="false" outlineLevel="0" collapsed="false">
      <c r="A417" s="100"/>
      <c r="B417" s="101"/>
    </row>
    <row r="418" customFormat="false" ht="13.8" hidden="false" customHeight="false" outlineLevel="0" collapsed="false">
      <c r="A418" s="100"/>
      <c r="B418" s="101"/>
    </row>
    <row r="419" customFormat="false" ht="13.8" hidden="false" customHeight="false" outlineLevel="0" collapsed="false">
      <c r="A419" s="100"/>
      <c r="B419" s="101"/>
    </row>
    <row r="420" customFormat="false" ht="13.8" hidden="false" customHeight="false" outlineLevel="0" collapsed="false">
      <c r="A420" s="100"/>
      <c r="B420" s="101"/>
    </row>
    <row r="421" customFormat="false" ht="13.8" hidden="false" customHeight="false" outlineLevel="0" collapsed="false">
      <c r="A421" s="100"/>
      <c r="B421" s="101"/>
    </row>
    <row r="422" customFormat="false" ht="13.8" hidden="false" customHeight="false" outlineLevel="0" collapsed="false">
      <c r="A422" s="100"/>
      <c r="B422" s="101"/>
    </row>
    <row r="423" customFormat="false" ht="13.8" hidden="false" customHeight="false" outlineLevel="0" collapsed="false">
      <c r="A423" s="100"/>
      <c r="B423" s="101"/>
    </row>
    <row r="424" customFormat="false" ht="13.8" hidden="false" customHeight="false" outlineLevel="0" collapsed="false">
      <c r="A424" s="100"/>
      <c r="B424" s="101"/>
    </row>
    <row r="425" customFormat="false" ht="13.8" hidden="false" customHeight="false" outlineLevel="0" collapsed="false">
      <c r="A425" s="100"/>
      <c r="B425" s="101"/>
    </row>
    <row r="426" customFormat="false" ht="13.8" hidden="false" customHeight="false" outlineLevel="0" collapsed="false">
      <c r="A426" s="100"/>
      <c r="B426" s="101"/>
    </row>
    <row r="427" customFormat="false" ht="13.8" hidden="false" customHeight="false" outlineLevel="0" collapsed="false">
      <c r="A427" s="100"/>
      <c r="B427" s="101"/>
    </row>
    <row r="428" customFormat="false" ht="13.8" hidden="false" customHeight="false" outlineLevel="0" collapsed="false">
      <c r="A428" s="100"/>
      <c r="B428" s="101"/>
    </row>
    <row r="429" customFormat="false" ht="13.8" hidden="false" customHeight="false" outlineLevel="0" collapsed="false">
      <c r="A429" s="100"/>
      <c r="B429" s="101"/>
    </row>
    <row r="430" customFormat="false" ht="13.8" hidden="false" customHeight="false" outlineLevel="0" collapsed="false">
      <c r="A430" s="100"/>
      <c r="B430" s="101"/>
    </row>
    <row r="431" customFormat="false" ht="13.8" hidden="false" customHeight="false" outlineLevel="0" collapsed="false">
      <c r="A431" s="100"/>
      <c r="B431" s="101"/>
    </row>
    <row r="432" customFormat="false" ht="13.8" hidden="false" customHeight="false" outlineLevel="0" collapsed="false">
      <c r="A432" s="100"/>
      <c r="B432" s="101"/>
    </row>
    <row r="433" customFormat="false" ht="13.8" hidden="false" customHeight="false" outlineLevel="0" collapsed="false">
      <c r="A433" s="100"/>
      <c r="B433" s="101"/>
    </row>
    <row r="434" customFormat="false" ht="13.8" hidden="false" customHeight="false" outlineLevel="0" collapsed="false">
      <c r="A434" s="100"/>
      <c r="B434" s="101"/>
    </row>
    <row r="435" customFormat="false" ht="13.8" hidden="false" customHeight="false" outlineLevel="0" collapsed="false">
      <c r="A435" s="100"/>
      <c r="B435" s="101"/>
    </row>
    <row r="436" customFormat="false" ht="13.8" hidden="false" customHeight="false" outlineLevel="0" collapsed="false">
      <c r="A436" s="100"/>
      <c r="B436" s="101"/>
    </row>
    <row r="437" customFormat="false" ht="13.8" hidden="false" customHeight="false" outlineLevel="0" collapsed="false">
      <c r="A437" s="100"/>
      <c r="B437" s="101"/>
    </row>
    <row r="438" customFormat="false" ht="13.8" hidden="false" customHeight="false" outlineLevel="0" collapsed="false">
      <c r="A438" s="100"/>
      <c r="B438" s="101"/>
    </row>
    <row r="439" customFormat="false" ht="13.8" hidden="false" customHeight="false" outlineLevel="0" collapsed="false">
      <c r="A439" s="100"/>
      <c r="B439" s="101"/>
    </row>
    <row r="440" customFormat="false" ht="13.8" hidden="false" customHeight="false" outlineLevel="0" collapsed="false">
      <c r="A440" s="100"/>
      <c r="B440" s="101"/>
    </row>
    <row r="441" customFormat="false" ht="13.8" hidden="false" customHeight="false" outlineLevel="0" collapsed="false">
      <c r="A441" s="100"/>
      <c r="B441" s="101"/>
    </row>
    <row r="442" customFormat="false" ht="13.8" hidden="false" customHeight="false" outlineLevel="0" collapsed="false">
      <c r="A442" s="100"/>
      <c r="B442" s="101"/>
    </row>
    <row r="443" customFormat="false" ht="13.8" hidden="false" customHeight="false" outlineLevel="0" collapsed="false">
      <c r="A443" s="100"/>
      <c r="B443" s="101"/>
    </row>
    <row r="444" customFormat="false" ht="13.8" hidden="false" customHeight="false" outlineLevel="0" collapsed="false">
      <c r="A444" s="100"/>
      <c r="B444" s="101"/>
    </row>
    <row r="445" customFormat="false" ht="13.8" hidden="false" customHeight="false" outlineLevel="0" collapsed="false">
      <c r="A445" s="100"/>
      <c r="B445" s="101"/>
    </row>
    <row r="446" customFormat="false" ht="13.8" hidden="false" customHeight="false" outlineLevel="0" collapsed="false">
      <c r="A446" s="100"/>
      <c r="B446" s="101"/>
    </row>
    <row r="447" customFormat="false" ht="13.8" hidden="false" customHeight="false" outlineLevel="0" collapsed="false">
      <c r="A447" s="100"/>
      <c r="B447" s="101"/>
    </row>
    <row r="448" customFormat="false" ht="13.8" hidden="false" customHeight="false" outlineLevel="0" collapsed="false">
      <c r="A448" s="100"/>
      <c r="B448" s="101"/>
    </row>
    <row r="449" customFormat="false" ht="13.8" hidden="false" customHeight="false" outlineLevel="0" collapsed="false">
      <c r="A449" s="100"/>
      <c r="B449" s="101"/>
    </row>
    <row r="450" customFormat="false" ht="13.8" hidden="false" customHeight="false" outlineLevel="0" collapsed="false">
      <c r="A450" s="100"/>
      <c r="B450" s="101"/>
    </row>
    <row r="451" customFormat="false" ht="13.8" hidden="false" customHeight="false" outlineLevel="0" collapsed="false">
      <c r="A451" s="100"/>
      <c r="B451" s="101"/>
    </row>
    <row r="452" customFormat="false" ht="13.8" hidden="false" customHeight="false" outlineLevel="0" collapsed="false">
      <c r="A452" s="100"/>
      <c r="B452" s="101"/>
    </row>
    <row r="453" customFormat="false" ht="13.8" hidden="false" customHeight="false" outlineLevel="0" collapsed="false">
      <c r="A453" s="100"/>
      <c r="B453" s="101"/>
    </row>
    <row r="454" customFormat="false" ht="13.8" hidden="false" customHeight="false" outlineLevel="0" collapsed="false">
      <c r="A454" s="100"/>
      <c r="B454" s="101"/>
    </row>
    <row r="455" customFormat="false" ht="13.8" hidden="false" customHeight="false" outlineLevel="0" collapsed="false">
      <c r="A455" s="100"/>
      <c r="B455" s="101"/>
    </row>
    <row r="456" customFormat="false" ht="13.8" hidden="false" customHeight="false" outlineLevel="0" collapsed="false">
      <c r="A456" s="100"/>
      <c r="B456" s="101"/>
    </row>
    <row r="457" customFormat="false" ht="13.8" hidden="false" customHeight="false" outlineLevel="0" collapsed="false">
      <c r="A457" s="100"/>
      <c r="B457" s="101"/>
    </row>
    <row r="458" customFormat="false" ht="13.8" hidden="false" customHeight="false" outlineLevel="0" collapsed="false">
      <c r="A458" s="100"/>
      <c r="B458" s="101"/>
    </row>
    <row r="459" customFormat="false" ht="13.8" hidden="false" customHeight="false" outlineLevel="0" collapsed="false">
      <c r="A459" s="100"/>
      <c r="B459" s="101"/>
    </row>
    <row r="460" customFormat="false" ht="13.8" hidden="false" customHeight="false" outlineLevel="0" collapsed="false">
      <c r="A460" s="100"/>
      <c r="B460" s="101"/>
    </row>
    <row r="461" customFormat="false" ht="13.8" hidden="false" customHeight="false" outlineLevel="0" collapsed="false">
      <c r="A461" s="100"/>
      <c r="B461" s="101"/>
    </row>
    <row r="462" customFormat="false" ht="13.8" hidden="false" customHeight="false" outlineLevel="0" collapsed="false">
      <c r="A462" s="100"/>
      <c r="B462" s="101"/>
    </row>
    <row r="463" customFormat="false" ht="13.8" hidden="false" customHeight="false" outlineLevel="0" collapsed="false">
      <c r="A463" s="100"/>
      <c r="B463" s="101"/>
    </row>
    <row r="464" customFormat="false" ht="13.8" hidden="false" customHeight="false" outlineLevel="0" collapsed="false">
      <c r="A464" s="100"/>
      <c r="B464" s="101"/>
    </row>
    <row r="465" customFormat="false" ht="13.8" hidden="false" customHeight="false" outlineLevel="0" collapsed="false">
      <c r="A465" s="100"/>
      <c r="B465" s="101"/>
    </row>
    <row r="466" customFormat="false" ht="13.8" hidden="false" customHeight="false" outlineLevel="0" collapsed="false">
      <c r="A466" s="100"/>
      <c r="B466" s="101"/>
    </row>
    <row r="467" customFormat="false" ht="13.8" hidden="false" customHeight="false" outlineLevel="0" collapsed="false">
      <c r="A467" s="100"/>
      <c r="B467" s="101"/>
    </row>
    <row r="468" customFormat="false" ht="13.8" hidden="false" customHeight="false" outlineLevel="0" collapsed="false">
      <c r="A468" s="100"/>
      <c r="B468" s="101"/>
    </row>
    <row r="469" customFormat="false" ht="13.8" hidden="false" customHeight="false" outlineLevel="0" collapsed="false">
      <c r="A469" s="100"/>
      <c r="B469" s="101"/>
    </row>
    <row r="470" customFormat="false" ht="13.8" hidden="false" customHeight="false" outlineLevel="0" collapsed="false">
      <c r="A470" s="100"/>
      <c r="B470" s="101"/>
    </row>
    <row r="471" customFormat="false" ht="13.8" hidden="false" customHeight="false" outlineLevel="0" collapsed="false">
      <c r="A471" s="100"/>
      <c r="B471" s="101"/>
    </row>
    <row r="472" customFormat="false" ht="13.8" hidden="false" customHeight="false" outlineLevel="0" collapsed="false">
      <c r="A472" s="100"/>
      <c r="B472" s="101"/>
    </row>
    <row r="473" customFormat="false" ht="13.8" hidden="false" customHeight="false" outlineLevel="0" collapsed="false">
      <c r="A473" s="100"/>
      <c r="B473" s="101"/>
    </row>
    <row r="474" customFormat="false" ht="13.8" hidden="false" customHeight="false" outlineLevel="0" collapsed="false">
      <c r="A474" s="100"/>
      <c r="B474" s="101"/>
    </row>
    <row r="475" customFormat="false" ht="13.8" hidden="false" customHeight="false" outlineLevel="0" collapsed="false">
      <c r="A475" s="100"/>
      <c r="B475" s="101"/>
    </row>
    <row r="476" customFormat="false" ht="13.8" hidden="false" customHeight="false" outlineLevel="0" collapsed="false">
      <c r="A476" s="100"/>
      <c r="B476" s="101"/>
    </row>
    <row r="477" customFormat="false" ht="13.8" hidden="false" customHeight="false" outlineLevel="0" collapsed="false">
      <c r="A477" s="100"/>
      <c r="B477" s="101"/>
    </row>
    <row r="478" customFormat="false" ht="13.8" hidden="false" customHeight="false" outlineLevel="0" collapsed="false">
      <c r="A478" s="100"/>
      <c r="B478" s="101"/>
    </row>
    <row r="479" customFormat="false" ht="13.8" hidden="false" customHeight="false" outlineLevel="0" collapsed="false">
      <c r="A479" s="100"/>
      <c r="B479" s="101"/>
    </row>
    <row r="480" customFormat="false" ht="13.8" hidden="false" customHeight="false" outlineLevel="0" collapsed="false">
      <c r="A480" s="100"/>
      <c r="B480" s="101"/>
    </row>
    <row r="481" customFormat="false" ht="13.8" hidden="false" customHeight="false" outlineLevel="0" collapsed="false">
      <c r="A481" s="100"/>
      <c r="B481" s="101"/>
    </row>
    <row r="482" customFormat="false" ht="13.8" hidden="false" customHeight="false" outlineLevel="0" collapsed="false">
      <c r="A482" s="100"/>
      <c r="B482" s="101"/>
    </row>
    <row r="483" customFormat="false" ht="13.8" hidden="false" customHeight="false" outlineLevel="0" collapsed="false">
      <c r="A483" s="100"/>
      <c r="B483" s="101"/>
    </row>
    <row r="484" customFormat="false" ht="13.8" hidden="false" customHeight="false" outlineLevel="0" collapsed="false">
      <c r="A484" s="100"/>
      <c r="B484" s="101"/>
    </row>
    <row r="485" customFormat="false" ht="13.8" hidden="false" customHeight="false" outlineLevel="0" collapsed="false">
      <c r="A485" s="100"/>
      <c r="B485" s="101"/>
    </row>
    <row r="486" customFormat="false" ht="13.8" hidden="false" customHeight="false" outlineLevel="0" collapsed="false">
      <c r="A486" s="100"/>
      <c r="B486" s="101"/>
    </row>
    <row r="487" customFormat="false" ht="13.8" hidden="false" customHeight="false" outlineLevel="0" collapsed="false">
      <c r="A487" s="100"/>
      <c r="B487" s="101"/>
    </row>
    <row r="488" customFormat="false" ht="13.8" hidden="false" customHeight="false" outlineLevel="0" collapsed="false">
      <c r="A488" s="100"/>
      <c r="B488" s="101"/>
    </row>
    <row r="489" customFormat="false" ht="13.8" hidden="false" customHeight="false" outlineLevel="0" collapsed="false">
      <c r="A489" s="100"/>
      <c r="B489" s="101"/>
    </row>
    <row r="490" customFormat="false" ht="13.8" hidden="false" customHeight="false" outlineLevel="0" collapsed="false">
      <c r="A490" s="100"/>
      <c r="B490" s="101"/>
    </row>
    <row r="491" customFormat="false" ht="13.8" hidden="false" customHeight="false" outlineLevel="0" collapsed="false">
      <c r="A491" s="100"/>
      <c r="B491" s="101"/>
    </row>
    <row r="492" customFormat="false" ht="13.8" hidden="false" customHeight="false" outlineLevel="0" collapsed="false">
      <c r="A492" s="100"/>
      <c r="B492" s="101"/>
    </row>
    <row r="493" customFormat="false" ht="13.8" hidden="false" customHeight="false" outlineLevel="0" collapsed="false">
      <c r="A493" s="100"/>
      <c r="B493" s="101"/>
    </row>
    <row r="494" customFormat="false" ht="13.8" hidden="false" customHeight="false" outlineLevel="0" collapsed="false">
      <c r="A494" s="100"/>
      <c r="B494" s="101"/>
    </row>
    <row r="495" customFormat="false" ht="13.8" hidden="false" customHeight="false" outlineLevel="0" collapsed="false">
      <c r="A495" s="100"/>
      <c r="B495" s="101"/>
    </row>
    <row r="496" customFormat="false" ht="13.8" hidden="false" customHeight="false" outlineLevel="0" collapsed="false">
      <c r="A496" s="100"/>
      <c r="B496" s="101"/>
    </row>
    <row r="497" customFormat="false" ht="13.8" hidden="false" customHeight="false" outlineLevel="0" collapsed="false">
      <c r="A497" s="100"/>
      <c r="B497" s="101"/>
    </row>
    <row r="498" customFormat="false" ht="13.8" hidden="false" customHeight="false" outlineLevel="0" collapsed="false">
      <c r="A498" s="100"/>
      <c r="B498" s="101"/>
    </row>
    <row r="499" customFormat="false" ht="13.8" hidden="false" customHeight="false" outlineLevel="0" collapsed="false">
      <c r="A499" s="100"/>
      <c r="B499" s="101"/>
    </row>
    <row r="500" customFormat="false" ht="13.8" hidden="false" customHeight="false" outlineLevel="0" collapsed="false">
      <c r="A500" s="100"/>
      <c r="B500" s="101"/>
    </row>
    <row r="501" customFormat="false" ht="13.8" hidden="false" customHeight="false" outlineLevel="0" collapsed="false">
      <c r="A501" s="100"/>
      <c r="B501" s="101"/>
    </row>
    <row r="502" customFormat="false" ht="13.8" hidden="false" customHeight="false" outlineLevel="0" collapsed="false">
      <c r="A502" s="100"/>
      <c r="B502" s="101"/>
    </row>
    <row r="503" customFormat="false" ht="13.8" hidden="false" customHeight="false" outlineLevel="0" collapsed="false">
      <c r="A503" s="100"/>
      <c r="B503" s="101"/>
    </row>
    <row r="504" customFormat="false" ht="13.8" hidden="false" customHeight="false" outlineLevel="0" collapsed="false">
      <c r="A504" s="100"/>
      <c r="B504" s="101"/>
    </row>
    <row r="505" customFormat="false" ht="13.8" hidden="false" customHeight="false" outlineLevel="0" collapsed="false">
      <c r="A505" s="100"/>
      <c r="B505" s="101"/>
    </row>
    <row r="506" customFormat="false" ht="13.8" hidden="false" customHeight="false" outlineLevel="0" collapsed="false">
      <c r="A506" s="100"/>
      <c r="B506" s="101"/>
    </row>
    <row r="507" customFormat="false" ht="13.8" hidden="false" customHeight="false" outlineLevel="0" collapsed="false">
      <c r="A507" s="100"/>
      <c r="B507" s="101"/>
    </row>
    <row r="508" customFormat="false" ht="13.8" hidden="false" customHeight="false" outlineLevel="0" collapsed="false">
      <c r="A508" s="100"/>
      <c r="B508" s="101"/>
    </row>
    <row r="509" customFormat="false" ht="13.8" hidden="false" customHeight="false" outlineLevel="0" collapsed="false">
      <c r="A509" s="100"/>
      <c r="B509" s="101"/>
    </row>
    <row r="510" customFormat="false" ht="13.8" hidden="false" customHeight="false" outlineLevel="0" collapsed="false">
      <c r="A510" s="100"/>
      <c r="B510" s="101"/>
    </row>
    <row r="511" customFormat="false" ht="13.8" hidden="false" customHeight="false" outlineLevel="0" collapsed="false">
      <c r="A511" s="100"/>
      <c r="B511" s="101"/>
    </row>
    <row r="512" customFormat="false" ht="13.8" hidden="false" customHeight="false" outlineLevel="0" collapsed="false">
      <c r="A512" s="100"/>
      <c r="B512" s="101"/>
    </row>
    <row r="513" customFormat="false" ht="13.8" hidden="false" customHeight="false" outlineLevel="0" collapsed="false">
      <c r="A513" s="100"/>
      <c r="B513" s="101"/>
    </row>
    <row r="514" customFormat="false" ht="13.8" hidden="false" customHeight="false" outlineLevel="0" collapsed="false">
      <c r="A514" s="100"/>
      <c r="B514" s="101"/>
    </row>
    <row r="515" customFormat="false" ht="13.8" hidden="false" customHeight="false" outlineLevel="0" collapsed="false">
      <c r="A515" s="100"/>
      <c r="B515" s="101"/>
    </row>
    <row r="516" customFormat="false" ht="13.8" hidden="false" customHeight="false" outlineLevel="0" collapsed="false">
      <c r="A516" s="100"/>
      <c r="B516" s="101"/>
    </row>
    <row r="517" customFormat="false" ht="13.8" hidden="false" customHeight="false" outlineLevel="0" collapsed="false">
      <c r="A517" s="100"/>
      <c r="B517" s="101"/>
    </row>
    <row r="518" customFormat="false" ht="13.8" hidden="false" customHeight="false" outlineLevel="0" collapsed="false">
      <c r="A518" s="100"/>
      <c r="B518" s="101"/>
    </row>
    <row r="519" customFormat="false" ht="13.8" hidden="false" customHeight="false" outlineLevel="0" collapsed="false">
      <c r="A519" s="100"/>
      <c r="B519" s="101"/>
    </row>
    <row r="520" customFormat="false" ht="13.8" hidden="false" customHeight="false" outlineLevel="0" collapsed="false">
      <c r="A520" s="100"/>
      <c r="B520" s="101"/>
    </row>
    <row r="521" customFormat="false" ht="13.8" hidden="false" customHeight="false" outlineLevel="0" collapsed="false">
      <c r="A521" s="100"/>
      <c r="B521" s="101"/>
    </row>
    <row r="522" customFormat="false" ht="13.8" hidden="false" customHeight="false" outlineLevel="0" collapsed="false">
      <c r="A522" s="100"/>
      <c r="B522" s="101"/>
    </row>
    <row r="523" customFormat="false" ht="13.8" hidden="false" customHeight="false" outlineLevel="0" collapsed="false">
      <c r="A523" s="100"/>
      <c r="B523" s="101"/>
    </row>
    <row r="524" customFormat="false" ht="13.8" hidden="false" customHeight="false" outlineLevel="0" collapsed="false">
      <c r="A524" s="100"/>
      <c r="B524" s="101"/>
    </row>
    <row r="525" customFormat="false" ht="13.8" hidden="false" customHeight="false" outlineLevel="0" collapsed="false">
      <c r="A525" s="100"/>
      <c r="B525" s="101"/>
    </row>
    <row r="526" customFormat="false" ht="13.8" hidden="false" customHeight="false" outlineLevel="0" collapsed="false">
      <c r="A526" s="100"/>
      <c r="B526" s="101"/>
    </row>
    <row r="527" customFormat="false" ht="13.8" hidden="false" customHeight="false" outlineLevel="0" collapsed="false">
      <c r="A527" s="100"/>
      <c r="B527" s="101"/>
    </row>
    <row r="528" customFormat="false" ht="13.8" hidden="false" customHeight="false" outlineLevel="0" collapsed="false">
      <c r="A528" s="100"/>
      <c r="B528" s="101"/>
    </row>
    <row r="529" customFormat="false" ht="13.8" hidden="false" customHeight="false" outlineLevel="0" collapsed="false">
      <c r="A529" s="100"/>
      <c r="B529" s="101"/>
    </row>
    <row r="530" customFormat="false" ht="13.8" hidden="false" customHeight="false" outlineLevel="0" collapsed="false">
      <c r="A530" s="100"/>
      <c r="B530" s="101"/>
    </row>
    <row r="531" customFormat="false" ht="13.8" hidden="false" customHeight="false" outlineLevel="0" collapsed="false">
      <c r="A531" s="100"/>
      <c r="B531" s="101"/>
    </row>
    <row r="532" customFormat="false" ht="13.8" hidden="false" customHeight="false" outlineLevel="0" collapsed="false">
      <c r="A532" s="100"/>
      <c r="B532" s="101"/>
    </row>
    <row r="533" customFormat="false" ht="13.8" hidden="false" customHeight="false" outlineLevel="0" collapsed="false">
      <c r="A533" s="100"/>
      <c r="B533" s="101"/>
    </row>
    <row r="534" customFormat="false" ht="13.8" hidden="false" customHeight="false" outlineLevel="0" collapsed="false">
      <c r="A534" s="100"/>
      <c r="B534" s="101"/>
    </row>
    <row r="535" customFormat="false" ht="13.8" hidden="false" customHeight="false" outlineLevel="0" collapsed="false">
      <c r="A535" s="100"/>
      <c r="B535" s="101"/>
    </row>
    <row r="536" customFormat="false" ht="13.8" hidden="false" customHeight="false" outlineLevel="0" collapsed="false">
      <c r="A536" s="100"/>
      <c r="B536" s="101"/>
    </row>
    <row r="537" customFormat="false" ht="13.8" hidden="false" customHeight="false" outlineLevel="0" collapsed="false">
      <c r="A537" s="100"/>
      <c r="B537" s="101"/>
    </row>
    <row r="538" customFormat="false" ht="13.8" hidden="false" customHeight="false" outlineLevel="0" collapsed="false">
      <c r="A538" s="100"/>
      <c r="B538" s="101"/>
    </row>
    <row r="539" customFormat="false" ht="13.8" hidden="false" customHeight="false" outlineLevel="0" collapsed="false">
      <c r="A539" s="100"/>
      <c r="B539" s="101"/>
    </row>
    <row r="540" customFormat="false" ht="13.8" hidden="false" customHeight="false" outlineLevel="0" collapsed="false">
      <c r="A540" s="100"/>
      <c r="B540" s="101"/>
    </row>
    <row r="541" customFormat="false" ht="13.8" hidden="false" customHeight="false" outlineLevel="0" collapsed="false">
      <c r="A541" s="100"/>
      <c r="B541" s="101"/>
    </row>
    <row r="542" customFormat="false" ht="13.8" hidden="false" customHeight="false" outlineLevel="0" collapsed="false">
      <c r="A542" s="100"/>
      <c r="B542" s="101"/>
    </row>
    <row r="543" customFormat="false" ht="13.8" hidden="false" customHeight="false" outlineLevel="0" collapsed="false">
      <c r="A543" s="100"/>
      <c r="B543" s="101"/>
    </row>
    <row r="544" customFormat="false" ht="13.8" hidden="false" customHeight="false" outlineLevel="0" collapsed="false">
      <c r="A544" s="100"/>
      <c r="B544" s="101"/>
    </row>
    <row r="545" customFormat="false" ht="13.8" hidden="false" customHeight="false" outlineLevel="0" collapsed="false">
      <c r="A545" s="100"/>
      <c r="B545" s="101"/>
    </row>
    <row r="546" customFormat="false" ht="13.8" hidden="false" customHeight="false" outlineLevel="0" collapsed="false">
      <c r="A546" s="100"/>
      <c r="B546" s="101"/>
    </row>
    <row r="547" customFormat="false" ht="13.8" hidden="false" customHeight="false" outlineLevel="0" collapsed="false">
      <c r="A547" s="100"/>
      <c r="B547" s="101"/>
    </row>
    <row r="548" customFormat="false" ht="13.8" hidden="false" customHeight="false" outlineLevel="0" collapsed="false">
      <c r="A548" s="100"/>
      <c r="B548" s="101"/>
    </row>
    <row r="549" customFormat="false" ht="13.8" hidden="false" customHeight="false" outlineLevel="0" collapsed="false">
      <c r="A549" s="100"/>
      <c r="B549" s="101"/>
    </row>
    <row r="550" customFormat="false" ht="13.8" hidden="false" customHeight="false" outlineLevel="0" collapsed="false">
      <c r="A550" s="100"/>
      <c r="B550" s="101"/>
    </row>
    <row r="551" customFormat="false" ht="13.8" hidden="false" customHeight="false" outlineLevel="0" collapsed="false">
      <c r="A551" s="100"/>
      <c r="B551" s="101"/>
    </row>
    <row r="552" customFormat="false" ht="13.8" hidden="false" customHeight="false" outlineLevel="0" collapsed="false">
      <c r="A552" s="100"/>
      <c r="B552" s="101"/>
    </row>
    <row r="553" customFormat="false" ht="13.8" hidden="false" customHeight="false" outlineLevel="0" collapsed="false">
      <c r="A553" s="100"/>
      <c r="B553" s="101"/>
    </row>
    <row r="554" customFormat="false" ht="13.8" hidden="false" customHeight="false" outlineLevel="0" collapsed="false">
      <c r="A554" s="100"/>
      <c r="B554" s="101"/>
    </row>
    <row r="555" customFormat="false" ht="13.8" hidden="false" customHeight="false" outlineLevel="0" collapsed="false">
      <c r="A555" s="100"/>
      <c r="B555" s="101"/>
    </row>
    <row r="556" customFormat="false" ht="13.8" hidden="false" customHeight="false" outlineLevel="0" collapsed="false">
      <c r="A556" s="100"/>
      <c r="B556" s="101"/>
    </row>
    <row r="557" customFormat="false" ht="13.8" hidden="false" customHeight="false" outlineLevel="0" collapsed="false">
      <c r="A557" s="100"/>
      <c r="B557" s="101"/>
    </row>
    <row r="558" customFormat="false" ht="13.8" hidden="false" customHeight="false" outlineLevel="0" collapsed="false">
      <c r="A558" s="100"/>
      <c r="B558" s="101"/>
    </row>
    <row r="559" customFormat="false" ht="13.8" hidden="false" customHeight="false" outlineLevel="0" collapsed="false">
      <c r="A559" s="100"/>
      <c r="B559" s="101"/>
    </row>
    <row r="560" customFormat="false" ht="13.8" hidden="false" customHeight="false" outlineLevel="0" collapsed="false">
      <c r="A560" s="100"/>
      <c r="B560" s="101"/>
    </row>
    <row r="561" customFormat="false" ht="13.8" hidden="false" customHeight="false" outlineLevel="0" collapsed="false">
      <c r="A561" s="100"/>
      <c r="B561" s="101"/>
    </row>
    <row r="562" customFormat="false" ht="13.8" hidden="false" customHeight="false" outlineLevel="0" collapsed="false">
      <c r="A562" s="100"/>
      <c r="B562" s="101"/>
    </row>
    <row r="563" customFormat="false" ht="13.8" hidden="false" customHeight="false" outlineLevel="0" collapsed="false">
      <c r="A563" s="100"/>
      <c r="B563" s="101"/>
    </row>
    <row r="564" customFormat="false" ht="13.8" hidden="false" customHeight="false" outlineLevel="0" collapsed="false">
      <c r="A564" s="100"/>
      <c r="B564" s="101"/>
    </row>
    <row r="565" customFormat="false" ht="13.8" hidden="false" customHeight="false" outlineLevel="0" collapsed="false">
      <c r="A565" s="100"/>
      <c r="B565" s="101"/>
    </row>
    <row r="566" customFormat="false" ht="13.8" hidden="false" customHeight="false" outlineLevel="0" collapsed="false">
      <c r="A566" s="100"/>
      <c r="B566" s="101"/>
    </row>
    <row r="567" customFormat="false" ht="13.8" hidden="false" customHeight="false" outlineLevel="0" collapsed="false">
      <c r="A567" s="100"/>
      <c r="B567" s="101"/>
    </row>
    <row r="568" customFormat="false" ht="13.8" hidden="false" customHeight="false" outlineLevel="0" collapsed="false">
      <c r="A568" s="100"/>
      <c r="B568" s="101"/>
    </row>
    <row r="569" customFormat="false" ht="13.8" hidden="false" customHeight="false" outlineLevel="0" collapsed="false">
      <c r="A569" s="100"/>
      <c r="B569" s="101"/>
    </row>
    <row r="570" customFormat="false" ht="13.8" hidden="false" customHeight="false" outlineLevel="0" collapsed="false">
      <c r="A570" s="100"/>
      <c r="B570" s="101"/>
    </row>
    <row r="571" customFormat="false" ht="13.8" hidden="false" customHeight="false" outlineLevel="0" collapsed="false">
      <c r="A571" s="100"/>
      <c r="B571" s="101"/>
    </row>
    <row r="572" customFormat="false" ht="13.8" hidden="false" customHeight="false" outlineLevel="0" collapsed="false">
      <c r="A572" s="100"/>
      <c r="B572" s="101"/>
    </row>
    <row r="573" customFormat="false" ht="13.8" hidden="false" customHeight="false" outlineLevel="0" collapsed="false">
      <c r="A573" s="100"/>
      <c r="B573" s="101"/>
    </row>
    <row r="574" customFormat="false" ht="13.8" hidden="false" customHeight="false" outlineLevel="0" collapsed="false">
      <c r="A574" s="100"/>
      <c r="B574" s="101"/>
    </row>
    <row r="575" customFormat="false" ht="13.8" hidden="false" customHeight="false" outlineLevel="0" collapsed="false">
      <c r="A575" s="100"/>
      <c r="B575" s="101"/>
    </row>
    <row r="576" customFormat="false" ht="13.8" hidden="false" customHeight="false" outlineLevel="0" collapsed="false">
      <c r="A576" s="100"/>
      <c r="B576" s="101"/>
    </row>
    <row r="577" customFormat="false" ht="13.8" hidden="false" customHeight="false" outlineLevel="0" collapsed="false">
      <c r="A577" s="100"/>
      <c r="B577" s="101"/>
    </row>
    <row r="578" customFormat="false" ht="13.8" hidden="false" customHeight="false" outlineLevel="0" collapsed="false">
      <c r="A578" s="100"/>
      <c r="B578" s="101"/>
    </row>
    <row r="579" customFormat="false" ht="13.8" hidden="false" customHeight="false" outlineLevel="0" collapsed="false">
      <c r="A579" s="100"/>
      <c r="B579" s="101"/>
    </row>
    <row r="580" customFormat="false" ht="13.8" hidden="false" customHeight="false" outlineLevel="0" collapsed="false">
      <c r="A580" s="100"/>
      <c r="B580" s="101"/>
    </row>
    <row r="581" customFormat="false" ht="13.8" hidden="false" customHeight="false" outlineLevel="0" collapsed="false">
      <c r="A581" s="100"/>
      <c r="B581" s="101"/>
    </row>
    <row r="582" customFormat="false" ht="13.8" hidden="false" customHeight="false" outlineLevel="0" collapsed="false">
      <c r="A582" s="100"/>
      <c r="B582" s="101"/>
    </row>
    <row r="583" customFormat="false" ht="13.8" hidden="false" customHeight="false" outlineLevel="0" collapsed="false">
      <c r="A583" s="100"/>
      <c r="B583" s="101"/>
    </row>
    <row r="584" customFormat="false" ht="13.8" hidden="false" customHeight="false" outlineLevel="0" collapsed="false">
      <c r="A584" s="100"/>
      <c r="B584" s="101"/>
    </row>
    <row r="585" customFormat="false" ht="13.8" hidden="false" customHeight="false" outlineLevel="0" collapsed="false">
      <c r="A585" s="100"/>
      <c r="B585" s="101"/>
    </row>
    <row r="586" customFormat="false" ht="13.8" hidden="false" customHeight="false" outlineLevel="0" collapsed="false">
      <c r="A586" s="100"/>
      <c r="B586" s="101"/>
    </row>
    <row r="587" customFormat="false" ht="13.8" hidden="false" customHeight="false" outlineLevel="0" collapsed="false">
      <c r="A587" s="100"/>
      <c r="B587" s="101"/>
    </row>
    <row r="588" customFormat="false" ht="13.8" hidden="false" customHeight="false" outlineLevel="0" collapsed="false">
      <c r="A588" s="100"/>
      <c r="B588" s="101"/>
    </row>
    <row r="589" customFormat="false" ht="13.8" hidden="false" customHeight="false" outlineLevel="0" collapsed="false">
      <c r="A589" s="100"/>
      <c r="B589" s="101"/>
    </row>
    <row r="590" customFormat="false" ht="13.8" hidden="false" customHeight="false" outlineLevel="0" collapsed="false">
      <c r="A590" s="100"/>
      <c r="B590" s="101"/>
    </row>
    <row r="591" customFormat="false" ht="13.8" hidden="false" customHeight="false" outlineLevel="0" collapsed="false">
      <c r="A591" s="100"/>
      <c r="B591" s="101"/>
    </row>
    <row r="592" customFormat="false" ht="13.8" hidden="false" customHeight="false" outlineLevel="0" collapsed="false">
      <c r="A592" s="100"/>
      <c r="B592" s="101"/>
    </row>
    <row r="593" customFormat="false" ht="13.8" hidden="false" customHeight="false" outlineLevel="0" collapsed="false">
      <c r="A593" s="100"/>
      <c r="B593" s="101"/>
    </row>
    <row r="594" customFormat="false" ht="13.8" hidden="false" customHeight="false" outlineLevel="0" collapsed="false">
      <c r="A594" s="100"/>
      <c r="B594" s="101"/>
    </row>
    <row r="595" customFormat="false" ht="13.8" hidden="false" customHeight="false" outlineLevel="0" collapsed="false">
      <c r="A595" s="100"/>
      <c r="B595" s="101"/>
    </row>
    <row r="596" customFormat="false" ht="13.8" hidden="false" customHeight="false" outlineLevel="0" collapsed="false">
      <c r="A596" s="100"/>
      <c r="B596" s="101"/>
    </row>
    <row r="597" customFormat="false" ht="13.8" hidden="false" customHeight="false" outlineLevel="0" collapsed="false">
      <c r="A597" s="100"/>
      <c r="B597" s="101"/>
    </row>
    <row r="598" customFormat="false" ht="13.8" hidden="false" customHeight="false" outlineLevel="0" collapsed="false">
      <c r="A598" s="100"/>
      <c r="B598" s="101"/>
    </row>
    <row r="599" customFormat="false" ht="13.8" hidden="false" customHeight="false" outlineLevel="0" collapsed="false">
      <c r="A599" s="100"/>
      <c r="B599" s="101"/>
    </row>
    <row r="600" customFormat="false" ht="13.8" hidden="false" customHeight="false" outlineLevel="0" collapsed="false">
      <c r="A600" s="100"/>
      <c r="B600" s="101"/>
    </row>
    <row r="601" customFormat="false" ht="13.8" hidden="false" customHeight="false" outlineLevel="0" collapsed="false">
      <c r="A601" s="100"/>
      <c r="B601" s="101"/>
    </row>
    <row r="602" customFormat="false" ht="13.8" hidden="false" customHeight="false" outlineLevel="0" collapsed="false">
      <c r="A602" s="100"/>
      <c r="B602" s="101"/>
    </row>
    <row r="603" customFormat="false" ht="13.8" hidden="false" customHeight="false" outlineLevel="0" collapsed="false">
      <c r="A603" s="100"/>
      <c r="B603" s="101"/>
    </row>
    <row r="604" customFormat="false" ht="13.8" hidden="false" customHeight="false" outlineLevel="0" collapsed="false">
      <c r="A604" s="100"/>
      <c r="B604" s="101"/>
    </row>
    <row r="605" customFormat="false" ht="13.8" hidden="false" customHeight="false" outlineLevel="0" collapsed="false">
      <c r="A605" s="100"/>
      <c r="B605" s="101"/>
    </row>
    <row r="606" customFormat="false" ht="13.8" hidden="false" customHeight="false" outlineLevel="0" collapsed="false">
      <c r="A606" s="100"/>
      <c r="B606" s="101"/>
    </row>
    <row r="607" customFormat="false" ht="13.8" hidden="false" customHeight="false" outlineLevel="0" collapsed="false">
      <c r="A607" s="100"/>
      <c r="B607" s="101"/>
    </row>
    <row r="608" customFormat="false" ht="13.8" hidden="false" customHeight="false" outlineLevel="0" collapsed="false">
      <c r="A608" s="100"/>
      <c r="B608" s="101"/>
    </row>
    <row r="609" customFormat="false" ht="13.8" hidden="false" customHeight="false" outlineLevel="0" collapsed="false">
      <c r="A609" s="100"/>
      <c r="B609" s="101"/>
    </row>
    <row r="610" customFormat="false" ht="13.8" hidden="false" customHeight="false" outlineLevel="0" collapsed="false">
      <c r="A610" s="100"/>
      <c r="B610" s="101"/>
    </row>
    <row r="611" customFormat="false" ht="13.8" hidden="false" customHeight="false" outlineLevel="0" collapsed="false">
      <c r="A611" s="100"/>
      <c r="B611" s="101"/>
    </row>
    <row r="612" customFormat="false" ht="13.8" hidden="false" customHeight="false" outlineLevel="0" collapsed="false">
      <c r="A612" s="100"/>
      <c r="B612" s="101"/>
    </row>
    <row r="613" customFormat="false" ht="13.8" hidden="false" customHeight="false" outlineLevel="0" collapsed="false">
      <c r="A613" s="100"/>
      <c r="B613" s="101"/>
    </row>
    <row r="614" customFormat="false" ht="13.8" hidden="false" customHeight="false" outlineLevel="0" collapsed="false">
      <c r="A614" s="100"/>
      <c r="B614" s="101"/>
    </row>
    <row r="615" customFormat="false" ht="13.8" hidden="false" customHeight="false" outlineLevel="0" collapsed="false">
      <c r="A615" s="100"/>
      <c r="B615" s="101"/>
    </row>
    <row r="616" customFormat="false" ht="13.8" hidden="false" customHeight="false" outlineLevel="0" collapsed="false">
      <c r="A616" s="100"/>
      <c r="B616" s="101"/>
    </row>
    <row r="617" customFormat="false" ht="13.8" hidden="false" customHeight="false" outlineLevel="0" collapsed="false">
      <c r="A617" s="100"/>
      <c r="B617" s="101"/>
    </row>
    <row r="618" customFormat="false" ht="13.8" hidden="false" customHeight="false" outlineLevel="0" collapsed="false">
      <c r="A618" s="100"/>
      <c r="B618" s="101"/>
    </row>
    <row r="619" customFormat="false" ht="13.8" hidden="false" customHeight="false" outlineLevel="0" collapsed="false">
      <c r="A619" s="100"/>
      <c r="B619" s="101"/>
    </row>
    <row r="620" customFormat="false" ht="13.8" hidden="false" customHeight="false" outlineLevel="0" collapsed="false">
      <c r="A620" s="100"/>
      <c r="B620" s="101"/>
    </row>
    <row r="621" customFormat="false" ht="13.8" hidden="false" customHeight="false" outlineLevel="0" collapsed="false">
      <c r="A621" s="100"/>
      <c r="B621" s="101"/>
    </row>
    <row r="622" customFormat="false" ht="13.8" hidden="false" customHeight="false" outlineLevel="0" collapsed="false">
      <c r="A622" s="100"/>
      <c r="B622" s="101"/>
    </row>
    <row r="623" customFormat="false" ht="13.8" hidden="false" customHeight="false" outlineLevel="0" collapsed="false">
      <c r="A623" s="100"/>
      <c r="B623" s="101"/>
    </row>
    <row r="624" customFormat="false" ht="13.8" hidden="false" customHeight="false" outlineLevel="0" collapsed="false">
      <c r="A624" s="100"/>
      <c r="B624" s="101"/>
    </row>
    <row r="625" customFormat="false" ht="13.8" hidden="false" customHeight="false" outlineLevel="0" collapsed="false">
      <c r="A625" s="100"/>
      <c r="B625" s="101"/>
    </row>
    <row r="626" customFormat="false" ht="13.8" hidden="false" customHeight="false" outlineLevel="0" collapsed="false">
      <c r="A626" s="100"/>
      <c r="B626" s="101"/>
    </row>
    <row r="627" customFormat="false" ht="13.8" hidden="false" customHeight="false" outlineLevel="0" collapsed="false">
      <c r="A627" s="100"/>
      <c r="B627" s="101"/>
    </row>
    <row r="628" customFormat="false" ht="13.8" hidden="false" customHeight="false" outlineLevel="0" collapsed="false">
      <c r="A628" s="100"/>
      <c r="B628" s="101"/>
    </row>
    <row r="629" customFormat="false" ht="13.8" hidden="false" customHeight="false" outlineLevel="0" collapsed="false">
      <c r="A629" s="100"/>
      <c r="B629" s="101"/>
    </row>
    <row r="630" customFormat="false" ht="13.8" hidden="false" customHeight="false" outlineLevel="0" collapsed="false">
      <c r="A630" s="100"/>
      <c r="B630" s="101"/>
    </row>
    <row r="631" customFormat="false" ht="13.8" hidden="false" customHeight="false" outlineLevel="0" collapsed="false">
      <c r="A631" s="100"/>
      <c r="B631" s="101"/>
    </row>
    <row r="632" customFormat="false" ht="13.8" hidden="false" customHeight="false" outlineLevel="0" collapsed="false">
      <c r="A632" s="100"/>
      <c r="B632" s="101"/>
    </row>
    <row r="633" customFormat="false" ht="13.8" hidden="false" customHeight="false" outlineLevel="0" collapsed="false">
      <c r="A633" s="100"/>
      <c r="B633" s="101"/>
    </row>
    <row r="634" customFormat="false" ht="13.8" hidden="false" customHeight="false" outlineLevel="0" collapsed="false">
      <c r="A634" s="100"/>
      <c r="B634" s="101"/>
    </row>
    <row r="635" customFormat="false" ht="13.8" hidden="false" customHeight="false" outlineLevel="0" collapsed="false">
      <c r="A635" s="100"/>
      <c r="B635" s="101"/>
    </row>
    <row r="636" customFormat="false" ht="13.8" hidden="false" customHeight="false" outlineLevel="0" collapsed="false">
      <c r="A636" s="100"/>
      <c r="B636" s="101"/>
    </row>
    <row r="637" customFormat="false" ht="13.8" hidden="false" customHeight="false" outlineLevel="0" collapsed="false">
      <c r="A637" s="100"/>
      <c r="B637" s="101"/>
    </row>
    <row r="638" customFormat="false" ht="13.8" hidden="false" customHeight="false" outlineLevel="0" collapsed="false">
      <c r="A638" s="100"/>
      <c r="B638" s="101"/>
    </row>
    <row r="639" customFormat="false" ht="13.8" hidden="false" customHeight="false" outlineLevel="0" collapsed="false">
      <c r="A639" s="100"/>
      <c r="B639" s="101"/>
    </row>
    <row r="640" customFormat="false" ht="13.8" hidden="false" customHeight="false" outlineLevel="0" collapsed="false">
      <c r="A640" s="100"/>
      <c r="B640" s="101"/>
    </row>
    <row r="641" customFormat="false" ht="13.8" hidden="false" customHeight="false" outlineLevel="0" collapsed="false">
      <c r="A641" s="100"/>
      <c r="B641" s="101"/>
    </row>
    <row r="642" customFormat="false" ht="13.8" hidden="false" customHeight="false" outlineLevel="0" collapsed="false">
      <c r="A642" s="100"/>
      <c r="B642" s="101"/>
    </row>
    <row r="643" customFormat="false" ht="13.8" hidden="false" customHeight="false" outlineLevel="0" collapsed="false">
      <c r="A643" s="100"/>
      <c r="B643" s="101"/>
    </row>
    <row r="644" customFormat="false" ht="13.8" hidden="false" customHeight="false" outlineLevel="0" collapsed="false">
      <c r="A644" s="100"/>
      <c r="B644" s="101"/>
    </row>
    <row r="645" customFormat="false" ht="13.8" hidden="false" customHeight="false" outlineLevel="0" collapsed="false">
      <c r="A645" s="100"/>
      <c r="B645" s="101"/>
    </row>
    <row r="646" customFormat="false" ht="13.8" hidden="false" customHeight="false" outlineLevel="0" collapsed="false">
      <c r="A646" s="100"/>
      <c r="B646" s="101"/>
    </row>
    <row r="647" customFormat="false" ht="13.8" hidden="false" customHeight="false" outlineLevel="0" collapsed="false">
      <c r="A647" s="100"/>
      <c r="B647" s="101"/>
    </row>
    <row r="648" customFormat="false" ht="13.8" hidden="false" customHeight="false" outlineLevel="0" collapsed="false">
      <c r="A648" s="100"/>
      <c r="B648" s="101"/>
    </row>
    <row r="649" customFormat="false" ht="13.8" hidden="false" customHeight="false" outlineLevel="0" collapsed="false">
      <c r="A649" s="100"/>
      <c r="B649" s="101"/>
    </row>
    <row r="650" customFormat="false" ht="13.8" hidden="false" customHeight="false" outlineLevel="0" collapsed="false">
      <c r="A650" s="100"/>
      <c r="B650" s="101"/>
    </row>
    <row r="651" customFormat="false" ht="13.8" hidden="false" customHeight="false" outlineLevel="0" collapsed="false">
      <c r="A651" s="100"/>
      <c r="B651" s="101"/>
    </row>
    <row r="652" customFormat="false" ht="13.8" hidden="false" customHeight="false" outlineLevel="0" collapsed="false">
      <c r="A652" s="100"/>
      <c r="B652" s="101"/>
    </row>
    <row r="653" customFormat="false" ht="13.8" hidden="false" customHeight="false" outlineLevel="0" collapsed="false">
      <c r="A653" s="100"/>
      <c r="B653" s="101"/>
    </row>
    <row r="654" customFormat="false" ht="13.8" hidden="false" customHeight="false" outlineLevel="0" collapsed="false">
      <c r="A654" s="100"/>
      <c r="B654" s="101"/>
    </row>
    <row r="655" customFormat="false" ht="13.8" hidden="false" customHeight="false" outlineLevel="0" collapsed="false">
      <c r="A655" s="100"/>
      <c r="B655" s="101"/>
    </row>
    <row r="656" customFormat="false" ht="13.8" hidden="false" customHeight="false" outlineLevel="0" collapsed="false">
      <c r="A656" s="100"/>
      <c r="B656" s="101"/>
    </row>
    <row r="657" customFormat="false" ht="13.8" hidden="false" customHeight="false" outlineLevel="0" collapsed="false">
      <c r="A657" s="100"/>
      <c r="B657" s="101"/>
    </row>
    <row r="658" customFormat="false" ht="13.8" hidden="false" customHeight="false" outlineLevel="0" collapsed="false">
      <c r="A658" s="100"/>
      <c r="B658" s="101"/>
    </row>
    <row r="659" customFormat="false" ht="13.8" hidden="false" customHeight="false" outlineLevel="0" collapsed="false">
      <c r="A659" s="100"/>
      <c r="B659" s="101"/>
    </row>
    <row r="660" customFormat="false" ht="13.8" hidden="false" customHeight="false" outlineLevel="0" collapsed="false">
      <c r="A660" s="100"/>
      <c r="B660" s="101"/>
    </row>
    <row r="661" customFormat="false" ht="13.8" hidden="false" customHeight="false" outlineLevel="0" collapsed="false">
      <c r="A661" s="100"/>
      <c r="B661" s="101"/>
    </row>
    <row r="662" customFormat="false" ht="13.8" hidden="false" customHeight="false" outlineLevel="0" collapsed="false">
      <c r="A662" s="100"/>
      <c r="B662" s="101"/>
    </row>
    <row r="663" customFormat="false" ht="13.8" hidden="false" customHeight="false" outlineLevel="0" collapsed="false">
      <c r="A663" s="100"/>
      <c r="B663" s="101"/>
    </row>
    <row r="664" customFormat="false" ht="13.8" hidden="false" customHeight="false" outlineLevel="0" collapsed="false">
      <c r="A664" s="100"/>
      <c r="B664" s="101"/>
    </row>
    <row r="665" customFormat="false" ht="13.8" hidden="false" customHeight="false" outlineLevel="0" collapsed="false">
      <c r="A665" s="100"/>
      <c r="B665" s="101"/>
    </row>
    <row r="666" customFormat="false" ht="13.8" hidden="false" customHeight="false" outlineLevel="0" collapsed="false">
      <c r="A666" s="100"/>
      <c r="B666" s="101"/>
    </row>
    <row r="667" customFormat="false" ht="13.8" hidden="false" customHeight="false" outlineLevel="0" collapsed="false">
      <c r="A667" s="100"/>
      <c r="B667" s="101"/>
    </row>
    <row r="668" customFormat="false" ht="13.8" hidden="false" customHeight="false" outlineLevel="0" collapsed="false">
      <c r="A668" s="100"/>
      <c r="B668" s="101"/>
    </row>
    <row r="669" customFormat="false" ht="13.8" hidden="false" customHeight="false" outlineLevel="0" collapsed="false">
      <c r="A669" s="100"/>
      <c r="B669" s="101"/>
    </row>
    <row r="670" customFormat="false" ht="13.8" hidden="false" customHeight="false" outlineLevel="0" collapsed="false">
      <c r="A670" s="100"/>
      <c r="B670" s="101"/>
    </row>
    <row r="671" customFormat="false" ht="13.8" hidden="false" customHeight="false" outlineLevel="0" collapsed="false">
      <c r="A671" s="100"/>
      <c r="B671" s="101"/>
    </row>
    <row r="672" customFormat="false" ht="13.8" hidden="false" customHeight="false" outlineLevel="0" collapsed="false">
      <c r="A672" s="100"/>
      <c r="B672" s="101"/>
    </row>
    <row r="673" customFormat="false" ht="13.8" hidden="false" customHeight="false" outlineLevel="0" collapsed="false">
      <c r="A673" s="100"/>
      <c r="B673" s="101"/>
    </row>
    <row r="674" customFormat="false" ht="13.8" hidden="false" customHeight="false" outlineLevel="0" collapsed="false">
      <c r="A674" s="100"/>
      <c r="B674" s="101"/>
    </row>
    <row r="675" customFormat="false" ht="13.8" hidden="false" customHeight="false" outlineLevel="0" collapsed="false">
      <c r="A675" s="100"/>
      <c r="B675" s="101"/>
    </row>
    <row r="676" customFormat="false" ht="13.8" hidden="false" customHeight="false" outlineLevel="0" collapsed="false">
      <c r="A676" s="100"/>
      <c r="B676" s="101"/>
    </row>
    <row r="677" customFormat="false" ht="13.8" hidden="false" customHeight="false" outlineLevel="0" collapsed="false">
      <c r="A677" s="100"/>
      <c r="B677" s="101"/>
    </row>
    <row r="678" customFormat="false" ht="13.8" hidden="false" customHeight="false" outlineLevel="0" collapsed="false">
      <c r="A678" s="100"/>
      <c r="B678" s="101"/>
    </row>
    <row r="679" customFormat="false" ht="13.8" hidden="false" customHeight="false" outlineLevel="0" collapsed="false">
      <c r="A679" s="100"/>
      <c r="B679" s="101"/>
    </row>
    <row r="680" customFormat="false" ht="13.8" hidden="false" customHeight="false" outlineLevel="0" collapsed="false">
      <c r="A680" s="100"/>
      <c r="B680" s="101"/>
    </row>
    <row r="681" customFormat="false" ht="13.8" hidden="false" customHeight="false" outlineLevel="0" collapsed="false">
      <c r="A681" s="100"/>
      <c r="B681" s="101"/>
    </row>
    <row r="682" customFormat="false" ht="13.8" hidden="false" customHeight="false" outlineLevel="0" collapsed="false">
      <c r="A682" s="100"/>
      <c r="B682" s="101"/>
    </row>
    <row r="683" customFormat="false" ht="13.8" hidden="false" customHeight="false" outlineLevel="0" collapsed="false">
      <c r="A683" s="100"/>
      <c r="B683" s="101"/>
    </row>
    <row r="684" customFormat="false" ht="13.8" hidden="false" customHeight="false" outlineLevel="0" collapsed="false">
      <c r="A684" s="100"/>
      <c r="B684" s="101"/>
    </row>
    <row r="685" customFormat="false" ht="13.8" hidden="false" customHeight="false" outlineLevel="0" collapsed="false">
      <c r="A685" s="100"/>
      <c r="B685" s="101"/>
    </row>
    <row r="686" customFormat="false" ht="13.8" hidden="false" customHeight="false" outlineLevel="0" collapsed="false">
      <c r="A686" s="100"/>
      <c r="B686" s="101"/>
    </row>
    <row r="687" customFormat="false" ht="13.8" hidden="false" customHeight="false" outlineLevel="0" collapsed="false">
      <c r="A687" s="100"/>
      <c r="B687" s="101"/>
    </row>
    <row r="688" customFormat="false" ht="13.8" hidden="false" customHeight="false" outlineLevel="0" collapsed="false">
      <c r="A688" s="100"/>
      <c r="B688" s="101"/>
    </row>
    <row r="689" customFormat="false" ht="13.8" hidden="false" customHeight="false" outlineLevel="0" collapsed="false">
      <c r="A689" s="100"/>
      <c r="B689" s="101"/>
    </row>
    <row r="690" customFormat="false" ht="13.8" hidden="false" customHeight="false" outlineLevel="0" collapsed="false">
      <c r="A690" s="100"/>
      <c r="B690" s="101"/>
    </row>
    <row r="691" customFormat="false" ht="13.8" hidden="false" customHeight="false" outlineLevel="0" collapsed="false">
      <c r="A691" s="100"/>
      <c r="B691" s="101"/>
    </row>
    <row r="692" customFormat="false" ht="13.8" hidden="false" customHeight="false" outlineLevel="0" collapsed="false">
      <c r="A692" s="100"/>
      <c r="B692" s="101"/>
    </row>
    <row r="693" customFormat="false" ht="13.8" hidden="false" customHeight="false" outlineLevel="0" collapsed="false">
      <c r="A693" s="100"/>
      <c r="B693" s="101"/>
    </row>
    <row r="694" customFormat="false" ht="13.8" hidden="false" customHeight="false" outlineLevel="0" collapsed="false">
      <c r="A694" s="100"/>
      <c r="B694" s="101"/>
    </row>
    <row r="695" customFormat="false" ht="13.8" hidden="false" customHeight="false" outlineLevel="0" collapsed="false">
      <c r="A695" s="100"/>
      <c r="B695" s="101"/>
    </row>
    <row r="696" customFormat="false" ht="13.8" hidden="false" customHeight="false" outlineLevel="0" collapsed="false">
      <c r="A696" s="100"/>
      <c r="B696" s="101"/>
    </row>
    <row r="697" customFormat="false" ht="13.8" hidden="false" customHeight="false" outlineLevel="0" collapsed="false">
      <c r="A697" s="100"/>
      <c r="B697" s="101"/>
    </row>
    <row r="698" customFormat="false" ht="13.8" hidden="false" customHeight="false" outlineLevel="0" collapsed="false">
      <c r="A698" s="100"/>
      <c r="B698" s="101"/>
    </row>
    <row r="699" customFormat="false" ht="13.8" hidden="false" customHeight="false" outlineLevel="0" collapsed="false">
      <c r="A699" s="100"/>
      <c r="B699" s="101"/>
    </row>
    <row r="700" customFormat="false" ht="13.8" hidden="false" customHeight="false" outlineLevel="0" collapsed="false">
      <c r="A700" s="100"/>
      <c r="B700" s="101"/>
    </row>
    <row r="701" customFormat="false" ht="13.8" hidden="false" customHeight="false" outlineLevel="0" collapsed="false">
      <c r="A701" s="100"/>
      <c r="B701" s="101"/>
    </row>
    <row r="702" customFormat="false" ht="13.8" hidden="false" customHeight="false" outlineLevel="0" collapsed="false">
      <c r="A702" s="100"/>
      <c r="B702" s="101"/>
    </row>
    <row r="703" customFormat="false" ht="13.8" hidden="false" customHeight="false" outlineLevel="0" collapsed="false">
      <c r="A703" s="100"/>
      <c r="B703" s="101"/>
    </row>
    <row r="704" customFormat="false" ht="13.8" hidden="false" customHeight="false" outlineLevel="0" collapsed="false">
      <c r="A704" s="100"/>
      <c r="B704" s="101"/>
    </row>
    <row r="705" customFormat="false" ht="13.8" hidden="false" customHeight="false" outlineLevel="0" collapsed="false">
      <c r="A705" s="100"/>
      <c r="B705" s="101"/>
    </row>
    <row r="706" customFormat="false" ht="13.8" hidden="false" customHeight="false" outlineLevel="0" collapsed="false">
      <c r="A706" s="100"/>
      <c r="B706" s="101"/>
    </row>
    <row r="707" customFormat="false" ht="13.8" hidden="false" customHeight="false" outlineLevel="0" collapsed="false">
      <c r="A707" s="100"/>
      <c r="B707" s="101"/>
    </row>
    <row r="708" customFormat="false" ht="13.8" hidden="false" customHeight="false" outlineLevel="0" collapsed="false">
      <c r="A708" s="100"/>
      <c r="B708" s="101"/>
    </row>
    <row r="709" customFormat="false" ht="13.8" hidden="false" customHeight="false" outlineLevel="0" collapsed="false">
      <c r="A709" s="100"/>
      <c r="B709" s="101"/>
    </row>
    <row r="710" customFormat="false" ht="13.8" hidden="false" customHeight="false" outlineLevel="0" collapsed="false">
      <c r="A710" s="100"/>
      <c r="B710" s="101"/>
    </row>
    <row r="711" customFormat="false" ht="13.8" hidden="false" customHeight="false" outlineLevel="0" collapsed="false">
      <c r="A711" s="100"/>
      <c r="B711" s="101"/>
    </row>
    <row r="712" customFormat="false" ht="13.8" hidden="false" customHeight="false" outlineLevel="0" collapsed="false">
      <c r="A712" s="100"/>
      <c r="B712" s="101"/>
    </row>
    <row r="713" customFormat="false" ht="13.8" hidden="false" customHeight="false" outlineLevel="0" collapsed="false">
      <c r="A713" s="100"/>
      <c r="B713" s="101"/>
    </row>
    <row r="714" customFormat="false" ht="13.8" hidden="false" customHeight="false" outlineLevel="0" collapsed="false">
      <c r="A714" s="100"/>
      <c r="B714" s="101"/>
    </row>
    <row r="715" customFormat="false" ht="13.8" hidden="false" customHeight="false" outlineLevel="0" collapsed="false">
      <c r="A715" s="100"/>
      <c r="B715" s="101"/>
    </row>
    <row r="716" customFormat="false" ht="13.8" hidden="false" customHeight="false" outlineLevel="0" collapsed="false">
      <c r="A716" s="100"/>
      <c r="B716" s="101"/>
    </row>
    <row r="717" customFormat="false" ht="13.8" hidden="false" customHeight="false" outlineLevel="0" collapsed="false">
      <c r="A717" s="100"/>
      <c r="B717" s="101"/>
    </row>
    <row r="718" customFormat="false" ht="13.8" hidden="false" customHeight="false" outlineLevel="0" collapsed="false">
      <c r="A718" s="100"/>
      <c r="B718" s="101"/>
    </row>
    <row r="719" customFormat="false" ht="13.8" hidden="false" customHeight="false" outlineLevel="0" collapsed="false">
      <c r="A719" s="100"/>
      <c r="B719" s="101"/>
    </row>
    <row r="720" customFormat="false" ht="13.8" hidden="false" customHeight="false" outlineLevel="0" collapsed="false">
      <c r="A720" s="100"/>
      <c r="B720" s="101"/>
    </row>
    <row r="721" customFormat="false" ht="13.8" hidden="false" customHeight="false" outlineLevel="0" collapsed="false">
      <c r="A721" s="100"/>
      <c r="B721" s="101"/>
    </row>
    <row r="722" customFormat="false" ht="13.8" hidden="false" customHeight="false" outlineLevel="0" collapsed="false">
      <c r="A722" s="100"/>
      <c r="B722" s="101"/>
    </row>
    <row r="723" customFormat="false" ht="13.8" hidden="false" customHeight="false" outlineLevel="0" collapsed="false">
      <c r="A723" s="100"/>
      <c r="B723" s="101"/>
    </row>
    <row r="724" customFormat="false" ht="13.8" hidden="false" customHeight="false" outlineLevel="0" collapsed="false">
      <c r="A724" s="100"/>
      <c r="B724" s="101"/>
    </row>
    <row r="725" customFormat="false" ht="13.8" hidden="false" customHeight="false" outlineLevel="0" collapsed="false">
      <c r="A725" s="100"/>
      <c r="B725" s="101"/>
    </row>
    <row r="726" customFormat="false" ht="13.8" hidden="false" customHeight="false" outlineLevel="0" collapsed="false">
      <c r="A726" s="100"/>
      <c r="B726" s="101"/>
    </row>
    <row r="727" customFormat="false" ht="13.8" hidden="false" customHeight="false" outlineLevel="0" collapsed="false">
      <c r="A727" s="100"/>
      <c r="B727" s="101"/>
    </row>
    <row r="728" customFormat="false" ht="13.8" hidden="false" customHeight="false" outlineLevel="0" collapsed="false">
      <c r="A728" s="100"/>
      <c r="B728" s="101"/>
    </row>
    <row r="729" customFormat="false" ht="13.8" hidden="false" customHeight="false" outlineLevel="0" collapsed="false">
      <c r="A729" s="100"/>
      <c r="B729" s="101"/>
    </row>
    <row r="730" customFormat="false" ht="13.8" hidden="false" customHeight="false" outlineLevel="0" collapsed="false">
      <c r="A730" s="100"/>
      <c r="B730" s="101"/>
    </row>
    <row r="731" customFormat="false" ht="13.8" hidden="false" customHeight="false" outlineLevel="0" collapsed="false">
      <c r="A731" s="100"/>
      <c r="B731" s="101"/>
    </row>
    <row r="732" customFormat="false" ht="13.8" hidden="false" customHeight="false" outlineLevel="0" collapsed="false">
      <c r="A732" s="100"/>
      <c r="B732" s="101"/>
    </row>
    <row r="733" customFormat="false" ht="13.8" hidden="false" customHeight="false" outlineLevel="0" collapsed="false">
      <c r="A733" s="100"/>
      <c r="B733" s="101"/>
    </row>
    <row r="734" customFormat="false" ht="13.8" hidden="false" customHeight="false" outlineLevel="0" collapsed="false">
      <c r="A734" s="100"/>
      <c r="B734" s="101"/>
    </row>
    <row r="735" customFormat="false" ht="13.8" hidden="false" customHeight="false" outlineLevel="0" collapsed="false">
      <c r="A735" s="100"/>
      <c r="B735" s="101"/>
    </row>
    <row r="736" customFormat="false" ht="13.8" hidden="false" customHeight="false" outlineLevel="0" collapsed="false">
      <c r="A736" s="100"/>
      <c r="B736" s="101"/>
    </row>
    <row r="737" customFormat="false" ht="13.8" hidden="false" customHeight="false" outlineLevel="0" collapsed="false">
      <c r="A737" s="100"/>
      <c r="B737" s="101"/>
    </row>
    <row r="738" customFormat="false" ht="13.8" hidden="false" customHeight="false" outlineLevel="0" collapsed="false">
      <c r="A738" s="100"/>
      <c r="B738" s="101"/>
    </row>
    <row r="739" customFormat="false" ht="13.8" hidden="false" customHeight="false" outlineLevel="0" collapsed="false">
      <c r="A739" s="100"/>
      <c r="B739" s="101"/>
    </row>
    <row r="740" customFormat="false" ht="13.8" hidden="false" customHeight="false" outlineLevel="0" collapsed="false">
      <c r="A740" s="100"/>
      <c r="B740" s="101"/>
    </row>
    <row r="741" customFormat="false" ht="13.8" hidden="false" customHeight="false" outlineLevel="0" collapsed="false">
      <c r="A741" s="100"/>
      <c r="B741" s="101"/>
    </row>
    <row r="742" customFormat="false" ht="13.8" hidden="false" customHeight="false" outlineLevel="0" collapsed="false">
      <c r="A742" s="100"/>
      <c r="B742" s="101"/>
    </row>
    <row r="743" customFormat="false" ht="13.8" hidden="false" customHeight="false" outlineLevel="0" collapsed="false">
      <c r="A743" s="100"/>
      <c r="B743" s="101"/>
    </row>
    <row r="744" customFormat="false" ht="13.8" hidden="false" customHeight="false" outlineLevel="0" collapsed="false">
      <c r="A744" s="100"/>
      <c r="B744" s="101"/>
    </row>
    <row r="745" customFormat="false" ht="13.8" hidden="false" customHeight="false" outlineLevel="0" collapsed="false">
      <c r="A745" s="100"/>
      <c r="B745" s="101"/>
    </row>
    <row r="746" customFormat="false" ht="13.8" hidden="false" customHeight="false" outlineLevel="0" collapsed="false">
      <c r="A746" s="100"/>
      <c r="B746" s="101"/>
    </row>
    <row r="747" customFormat="false" ht="13.8" hidden="false" customHeight="false" outlineLevel="0" collapsed="false">
      <c r="A747" s="100"/>
      <c r="B747" s="101"/>
    </row>
    <row r="748" customFormat="false" ht="13.8" hidden="false" customHeight="false" outlineLevel="0" collapsed="false">
      <c r="A748" s="100"/>
      <c r="B748" s="101"/>
    </row>
    <row r="749" customFormat="false" ht="13.8" hidden="false" customHeight="false" outlineLevel="0" collapsed="false">
      <c r="A749" s="100"/>
      <c r="B749" s="101"/>
    </row>
    <row r="750" customFormat="false" ht="13.8" hidden="false" customHeight="false" outlineLevel="0" collapsed="false">
      <c r="A750" s="100"/>
      <c r="B750" s="101"/>
    </row>
    <row r="751" customFormat="false" ht="13.8" hidden="false" customHeight="false" outlineLevel="0" collapsed="false">
      <c r="A751" s="100"/>
      <c r="B751" s="101"/>
    </row>
    <row r="752" customFormat="false" ht="13.8" hidden="false" customHeight="false" outlineLevel="0" collapsed="false">
      <c r="A752" s="100"/>
      <c r="B752" s="101"/>
    </row>
    <row r="753" customFormat="false" ht="13.8" hidden="false" customHeight="false" outlineLevel="0" collapsed="false">
      <c r="A753" s="100"/>
      <c r="B753" s="101"/>
    </row>
    <row r="754" customFormat="false" ht="13.8" hidden="false" customHeight="false" outlineLevel="0" collapsed="false">
      <c r="A754" s="100"/>
      <c r="B754" s="101"/>
    </row>
    <row r="755" customFormat="false" ht="13.8" hidden="false" customHeight="false" outlineLevel="0" collapsed="false">
      <c r="A755" s="100"/>
      <c r="B755" s="101"/>
    </row>
    <row r="756" customFormat="false" ht="13.8" hidden="false" customHeight="false" outlineLevel="0" collapsed="false">
      <c r="A756" s="100"/>
      <c r="B756" s="101"/>
    </row>
    <row r="757" customFormat="false" ht="13.8" hidden="false" customHeight="false" outlineLevel="0" collapsed="false">
      <c r="A757" s="100"/>
      <c r="B757" s="101"/>
    </row>
    <row r="758" customFormat="false" ht="13.8" hidden="false" customHeight="false" outlineLevel="0" collapsed="false">
      <c r="A758" s="100"/>
      <c r="B758" s="101"/>
    </row>
    <row r="759" customFormat="false" ht="13.8" hidden="false" customHeight="false" outlineLevel="0" collapsed="false">
      <c r="A759" s="100"/>
      <c r="B759" s="101"/>
    </row>
    <row r="760" customFormat="false" ht="13.8" hidden="false" customHeight="false" outlineLevel="0" collapsed="false">
      <c r="A760" s="100"/>
      <c r="B760" s="101"/>
    </row>
    <row r="761" customFormat="false" ht="13.8" hidden="false" customHeight="false" outlineLevel="0" collapsed="false">
      <c r="A761" s="100"/>
      <c r="B761" s="101"/>
    </row>
    <row r="762" customFormat="false" ht="13.8" hidden="false" customHeight="false" outlineLevel="0" collapsed="false">
      <c r="A762" s="100"/>
      <c r="B762" s="101"/>
    </row>
    <row r="763" customFormat="false" ht="13.8" hidden="false" customHeight="false" outlineLevel="0" collapsed="false">
      <c r="A763" s="100"/>
      <c r="B763" s="101"/>
    </row>
    <row r="764" customFormat="false" ht="13.8" hidden="false" customHeight="false" outlineLevel="0" collapsed="false">
      <c r="A764" s="100"/>
      <c r="B764" s="101"/>
    </row>
    <row r="765" customFormat="false" ht="13.8" hidden="false" customHeight="false" outlineLevel="0" collapsed="false">
      <c r="A765" s="100"/>
      <c r="B765" s="101"/>
    </row>
    <row r="766" customFormat="false" ht="13.8" hidden="false" customHeight="false" outlineLevel="0" collapsed="false">
      <c r="A766" s="100"/>
      <c r="B766" s="101"/>
    </row>
    <row r="767" customFormat="false" ht="13.8" hidden="false" customHeight="false" outlineLevel="0" collapsed="false">
      <c r="A767" s="100"/>
      <c r="B767" s="101"/>
    </row>
    <row r="768" customFormat="false" ht="13.8" hidden="false" customHeight="false" outlineLevel="0" collapsed="false">
      <c r="A768" s="100"/>
      <c r="B768" s="101"/>
    </row>
    <row r="769" customFormat="false" ht="13.8" hidden="false" customHeight="false" outlineLevel="0" collapsed="false">
      <c r="A769" s="100"/>
      <c r="B769" s="101"/>
    </row>
    <row r="770" customFormat="false" ht="13.8" hidden="false" customHeight="false" outlineLevel="0" collapsed="false">
      <c r="A770" s="100"/>
      <c r="B770" s="101"/>
    </row>
    <row r="771" customFormat="false" ht="13.8" hidden="false" customHeight="false" outlineLevel="0" collapsed="false">
      <c r="A771" s="100"/>
      <c r="B771" s="101"/>
    </row>
    <row r="772" customFormat="false" ht="13.8" hidden="false" customHeight="false" outlineLevel="0" collapsed="false">
      <c r="A772" s="100"/>
      <c r="B772" s="101"/>
    </row>
    <row r="773" customFormat="false" ht="13.8" hidden="false" customHeight="false" outlineLevel="0" collapsed="false">
      <c r="A773" s="100"/>
      <c r="B773" s="101"/>
    </row>
    <row r="774" customFormat="false" ht="13.8" hidden="false" customHeight="false" outlineLevel="0" collapsed="false">
      <c r="A774" s="100"/>
      <c r="B774" s="101"/>
    </row>
    <row r="775" customFormat="false" ht="13.8" hidden="false" customHeight="false" outlineLevel="0" collapsed="false">
      <c r="A775" s="100"/>
      <c r="B775" s="101"/>
    </row>
    <row r="776" customFormat="false" ht="13.8" hidden="false" customHeight="false" outlineLevel="0" collapsed="false">
      <c r="A776" s="100"/>
      <c r="B776" s="101"/>
    </row>
    <row r="777" customFormat="false" ht="13.8" hidden="false" customHeight="false" outlineLevel="0" collapsed="false">
      <c r="A777" s="100"/>
      <c r="B777" s="101"/>
    </row>
    <row r="778" customFormat="false" ht="13.8" hidden="false" customHeight="false" outlineLevel="0" collapsed="false">
      <c r="A778" s="100"/>
      <c r="B778" s="101"/>
    </row>
    <row r="779" customFormat="false" ht="13.8" hidden="false" customHeight="false" outlineLevel="0" collapsed="false">
      <c r="A779" s="100"/>
      <c r="B779" s="101"/>
    </row>
    <row r="780" customFormat="false" ht="13.8" hidden="false" customHeight="false" outlineLevel="0" collapsed="false">
      <c r="A780" s="100"/>
      <c r="B780" s="101"/>
    </row>
    <row r="781" customFormat="false" ht="13.8" hidden="false" customHeight="false" outlineLevel="0" collapsed="false">
      <c r="A781" s="100"/>
      <c r="B781" s="101"/>
    </row>
    <row r="782" customFormat="false" ht="13.8" hidden="false" customHeight="false" outlineLevel="0" collapsed="false">
      <c r="A782" s="100"/>
      <c r="B782" s="101"/>
    </row>
    <row r="783" customFormat="false" ht="13.8" hidden="false" customHeight="false" outlineLevel="0" collapsed="false">
      <c r="A783" s="100"/>
      <c r="B783" s="101"/>
    </row>
    <row r="784" customFormat="false" ht="13.8" hidden="false" customHeight="false" outlineLevel="0" collapsed="false">
      <c r="A784" s="100"/>
      <c r="B784" s="101"/>
    </row>
    <row r="785" customFormat="false" ht="13.8" hidden="false" customHeight="false" outlineLevel="0" collapsed="false">
      <c r="A785" s="100"/>
      <c r="B785" s="101"/>
    </row>
    <row r="786" customFormat="false" ht="13.8" hidden="false" customHeight="false" outlineLevel="0" collapsed="false">
      <c r="A786" s="100"/>
      <c r="B786" s="101"/>
    </row>
    <row r="787" customFormat="false" ht="13.8" hidden="false" customHeight="false" outlineLevel="0" collapsed="false">
      <c r="A787" s="100"/>
      <c r="B787" s="101"/>
    </row>
    <row r="788" customFormat="false" ht="13.8" hidden="false" customHeight="false" outlineLevel="0" collapsed="false">
      <c r="A788" s="100"/>
      <c r="B788" s="101"/>
    </row>
    <row r="789" customFormat="false" ht="13.8" hidden="false" customHeight="false" outlineLevel="0" collapsed="false">
      <c r="A789" s="100"/>
      <c r="B789" s="101"/>
    </row>
    <row r="790" customFormat="false" ht="13.8" hidden="false" customHeight="false" outlineLevel="0" collapsed="false">
      <c r="A790" s="100"/>
      <c r="B790" s="101"/>
    </row>
    <row r="791" customFormat="false" ht="13.8" hidden="false" customHeight="false" outlineLevel="0" collapsed="false">
      <c r="A791" s="100"/>
      <c r="B791" s="101"/>
    </row>
    <row r="792" customFormat="false" ht="13.8" hidden="false" customHeight="false" outlineLevel="0" collapsed="false">
      <c r="A792" s="100"/>
      <c r="B792" s="101"/>
    </row>
    <row r="793" customFormat="false" ht="13.8" hidden="false" customHeight="false" outlineLevel="0" collapsed="false">
      <c r="A793" s="100"/>
      <c r="B793" s="101"/>
    </row>
    <row r="794" customFormat="false" ht="13.8" hidden="false" customHeight="false" outlineLevel="0" collapsed="false">
      <c r="A794" s="100"/>
      <c r="B794" s="101"/>
    </row>
    <row r="795" customFormat="false" ht="13.8" hidden="false" customHeight="false" outlineLevel="0" collapsed="false">
      <c r="A795" s="100"/>
      <c r="B795" s="101"/>
    </row>
    <row r="796" customFormat="false" ht="13.8" hidden="false" customHeight="false" outlineLevel="0" collapsed="false">
      <c r="A796" s="100"/>
      <c r="B796" s="101"/>
    </row>
    <row r="797" customFormat="false" ht="13.8" hidden="false" customHeight="false" outlineLevel="0" collapsed="false">
      <c r="A797" s="100"/>
      <c r="B797" s="101"/>
    </row>
    <row r="798" customFormat="false" ht="13.8" hidden="false" customHeight="false" outlineLevel="0" collapsed="false">
      <c r="A798" s="100"/>
      <c r="B798" s="101"/>
    </row>
    <row r="799" customFormat="false" ht="13.8" hidden="false" customHeight="false" outlineLevel="0" collapsed="false">
      <c r="A799" s="100"/>
      <c r="B799" s="101"/>
    </row>
    <row r="800" customFormat="false" ht="13.8" hidden="false" customHeight="false" outlineLevel="0" collapsed="false">
      <c r="A800" s="100"/>
      <c r="B800" s="101"/>
    </row>
    <row r="801" customFormat="false" ht="13.8" hidden="false" customHeight="false" outlineLevel="0" collapsed="false">
      <c r="A801" s="100"/>
      <c r="B801" s="101"/>
    </row>
    <row r="802" customFormat="false" ht="13.8" hidden="false" customHeight="false" outlineLevel="0" collapsed="false">
      <c r="A802" s="100"/>
      <c r="B802" s="101"/>
    </row>
    <row r="803" customFormat="false" ht="13.8" hidden="false" customHeight="false" outlineLevel="0" collapsed="false">
      <c r="A803" s="100"/>
      <c r="B803" s="101"/>
    </row>
    <row r="804" customFormat="false" ht="13.8" hidden="false" customHeight="false" outlineLevel="0" collapsed="false">
      <c r="A804" s="100"/>
      <c r="B804" s="101"/>
    </row>
    <row r="805" customFormat="false" ht="13.8" hidden="false" customHeight="false" outlineLevel="0" collapsed="false">
      <c r="A805" s="100"/>
      <c r="B805" s="101"/>
    </row>
    <row r="806" customFormat="false" ht="13.8" hidden="false" customHeight="false" outlineLevel="0" collapsed="false">
      <c r="A806" s="100"/>
      <c r="B806" s="101"/>
    </row>
    <row r="807" customFormat="false" ht="13.8" hidden="false" customHeight="false" outlineLevel="0" collapsed="false">
      <c r="A807" s="100"/>
      <c r="B807" s="101"/>
    </row>
    <row r="808" customFormat="false" ht="13.8" hidden="false" customHeight="false" outlineLevel="0" collapsed="false">
      <c r="A808" s="100"/>
      <c r="B808" s="101"/>
    </row>
    <row r="809" customFormat="false" ht="13.8" hidden="false" customHeight="false" outlineLevel="0" collapsed="false">
      <c r="A809" s="100"/>
      <c r="B809" s="101"/>
    </row>
    <row r="810" customFormat="false" ht="13.8" hidden="false" customHeight="false" outlineLevel="0" collapsed="false">
      <c r="A810" s="100"/>
      <c r="B810" s="101"/>
    </row>
    <row r="811" customFormat="false" ht="13.8" hidden="false" customHeight="false" outlineLevel="0" collapsed="false">
      <c r="A811" s="100"/>
      <c r="B811" s="101"/>
    </row>
    <row r="812" customFormat="false" ht="13.8" hidden="false" customHeight="false" outlineLevel="0" collapsed="false">
      <c r="A812" s="100"/>
      <c r="B812" s="101"/>
    </row>
    <row r="813" customFormat="false" ht="13.8" hidden="false" customHeight="false" outlineLevel="0" collapsed="false">
      <c r="A813" s="100"/>
      <c r="B813" s="101"/>
    </row>
    <row r="814" customFormat="false" ht="13.8" hidden="false" customHeight="false" outlineLevel="0" collapsed="false">
      <c r="A814" s="100"/>
      <c r="B814" s="101"/>
    </row>
    <row r="815" customFormat="false" ht="13.8" hidden="false" customHeight="false" outlineLevel="0" collapsed="false">
      <c r="A815" s="100"/>
      <c r="B815" s="101"/>
    </row>
    <row r="816" customFormat="false" ht="13.8" hidden="false" customHeight="false" outlineLevel="0" collapsed="false">
      <c r="A816" s="100"/>
      <c r="B816" s="101"/>
    </row>
    <row r="817" customFormat="false" ht="13.8" hidden="false" customHeight="false" outlineLevel="0" collapsed="false">
      <c r="A817" s="100"/>
      <c r="B817" s="101"/>
    </row>
    <row r="818" customFormat="false" ht="13.8" hidden="false" customHeight="false" outlineLevel="0" collapsed="false">
      <c r="A818" s="100"/>
      <c r="B818" s="101"/>
    </row>
    <row r="819" customFormat="false" ht="13.8" hidden="false" customHeight="false" outlineLevel="0" collapsed="false">
      <c r="A819" s="100"/>
      <c r="B819" s="101"/>
    </row>
    <row r="820" customFormat="false" ht="13.8" hidden="false" customHeight="false" outlineLevel="0" collapsed="false">
      <c r="A820" s="100"/>
      <c r="B820" s="101"/>
    </row>
    <row r="821" customFormat="false" ht="13.8" hidden="false" customHeight="false" outlineLevel="0" collapsed="false">
      <c r="A821" s="100"/>
      <c r="B821" s="101"/>
    </row>
    <row r="822" customFormat="false" ht="13.8" hidden="false" customHeight="false" outlineLevel="0" collapsed="false">
      <c r="A822" s="100"/>
      <c r="B822" s="101"/>
    </row>
    <row r="823" customFormat="false" ht="13.8" hidden="false" customHeight="false" outlineLevel="0" collapsed="false">
      <c r="A823" s="100"/>
      <c r="B823" s="101"/>
    </row>
    <row r="824" customFormat="false" ht="13.8" hidden="false" customHeight="false" outlineLevel="0" collapsed="false">
      <c r="A824" s="100"/>
      <c r="B824" s="101"/>
    </row>
    <row r="825" customFormat="false" ht="13.8" hidden="false" customHeight="false" outlineLevel="0" collapsed="false">
      <c r="A825" s="100"/>
      <c r="B825" s="101"/>
    </row>
    <row r="826" customFormat="false" ht="13.8" hidden="false" customHeight="false" outlineLevel="0" collapsed="false">
      <c r="A826" s="100"/>
      <c r="B826" s="101"/>
    </row>
    <row r="827" customFormat="false" ht="13.8" hidden="false" customHeight="false" outlineLevel="0" collapsed="false">
      <c r="A827" s="100"/>
      <c r="B827" s="101"/>
    </row>
    <row r="828" customFormat="false" ht="13.8" hidden="false" customHeight="false" outlineLevel="0" collapsed="false">
      <c r="A828" s="100"/>
      <c r="B828" s="101"/>
    </row>
    <row r="829" customFormat="false" ht="13.8" hidden="false" customHeight="false" outlineLevel="0" collapsed="false">
      <c r="A829" s="100"/>
      <c r="B829" s="101"/>
    </row>
    <row r="830" customFormat="false" ht="13.8" hidden="false" customHeight="false" outlineLevel="0" collapsed="false">
      <c r="A830" s="100"/>
      <c r="B830" s="101"/>
    </row>
    <row r="831" customFormat="false" ht="13.8" hidden="false" customHeight="false" outlineLevel="0" collapsed="false">
      <c r="A831" s="100"/>
      <c r="B831" s="101"/>
    </row>
    <row r="832" customFormat="false" ht="13.8" hidden="false" customHeight="false" outlineLevel="0" collapsed="false">
      <c r="A832" s="100"/>
      <c r="B832" s="101"/>
    </row>
    <row r="833" customFormat="false" ht="13.8" hidden="false" customHeight="false" outlineLevel="0" collapsed="false">
      <c r="A833" s="100"/>
      <c r="B833" s="101"/>
    </row>
    <row r="834" customFormat="false" ht="13.8" hidden="false" customHeight="false" outlineLevel="0" collapsed="false">
      <c r="A834" s="100"/>
      <c r="B834" s="101"/>
    </row>
    <row r="835" customFormat="false" ht="13.8" hidden="false" customHeight="false" outlineLevel="0" collapsed="false">
      <c r="A835" s="100"/>
      <c r="B835" s="101"/>
    </row>
    <row r="836" customFormat="false" ht="13.8" hidden="false" customHeight="false" outlineLevel="0" collapsed="false">
      <c r="A836" s="100"/>
      <c r="B836" s="101"/>
    </row>
    <row r="837" customFormat="false" ht="13.8" hidden="false" customHeight="false" outlineLevel="0" collapsed="false">
      <c r="A837" s="100"/>
      <c r="B837" s="101"/>
    </row>
    <row r="838" customFormat="false" ht="13.8" hidden="false" customHeight="false" outlineLevel="0" collapsed="false">
      <c r="A838" s="100"/>
      <c r="B838" s="101"/>
    </row>
    <row r="839" customFormat="false" ht="13.8" hidden="false" customHeight="false" outlineLevel="0" collapsed="false">
      <c r="A839" s="100"/>
      <c r="B839" s="101"/>
    </row>
    <row r="840" customFormat="false" ht="13.8" hidden="false" customHeight="false" outlineLevel="0" collapsed="false">
      <c r="A840" s="100"/>
      <c r="B840" s="101"/>
    </row>
    <row r="841" customFormat="false" ht="13.8" hidden="false" customHeight="false" outlineLevel="0" collapsed="false">
      <c r="A841" s="100"/>
      <c r="B841" s="101"/>
    </row>
    <row r="842" customFormat="false" ht="13.8" hidden="false" customHeight="false" outlineLevel="0" collapsed="false">
      <c r="A842" s="100"/>
      <c r="B842" s="101"/>
    </row>
    <row r="843" customFormat="false" ht="13.8" hidden="false" customHeight="false" outlineLevel="0" collapsed="false">
      <c r="A843" s="100"/>
      <c r="B843" s="101"/>
    </row>
    <row r="844" customFormat="false" ht="13.8" hidden="false" customHeight="false" outlineLevel="0" collapsed="false">
      <c r="A844" s="100"/>
      <c r="B844" s="101"/>
    </row>
    <row r="845" customFormat="false" ht="13.8" hidden="false" customHeight="false" outlineLevel="0" collapsed="false">
      <c r="A845" s="100"/>
      <c r="B845" s="101"/>
    </row>
    <row r="846" customFormat="false" ht="13.8" hidden="false" customHeight="false" outlineLevel="0" collapsed="false">
      <c r="A846" s="100"/>
      <c r="B846" s="101"/>
    </row>
    <row r="847" customFormat="false" ht="13.8" hidden="false" customHeight="false" outlineLevel="0" collapsed="false">
      <c r="A847" s="100"/>
      <c r="B847" s="101"/>
    </row>
    <row r="848" customFormat="false" ht="13.8" hidden="false" customHeight="false" outlineLevel="0" collapsed="false">
      <c r="A848" s="100"/>
      <c r="B848" s="101"/>
    </row>
    <row r="849" customFormat="false" ht="13.8" hidden="false" customHeight="false" outlineLevel="0" collapsed="false">
      <c r="A849" s="100"/>
      <c r="B849" s="101"/>
    </row>
    <row r="850" customFormat="false" ht="13.8" hidden="false" customHeight="false" outlineLevel="0" collapsed="false">
      <c r="A850" s="100"/>
      <c r="B850" s="101"/>
    </row>
    <row r="851" customFormat="false" ht="13.8" hidden="false" customHeight="false" outlineLevel="0" collapsed="false">
      <c r="A851" s="100"/>
      <c r="B851" s="101"/>
    </row>
    <row r="852" customFormat="false" ht="13.8" hidden="false" customHeight="false" outlineLevel="0" collapsed="false">
      <c r="A852" s="100"/>
      <c r="B852" s="101"/>
    </row>
    <row r="853" customFormat="false" ht="13.8" hidden="false" customHeight="false" outlineLevel="0" collapsed="false">
      <c r="A853" s="100"/>
      <c r="B853" s="101"/>
    </row>
    <row r="854" customFormat="false" ht="13.8" hidden="false" customHeight="false" outlineLevel="0" collapsed="false">
      <c r="A854" s="100"/>
      <c r="B854" s="101"/>
    </row>
    <row r="855" customFormat="false" ht="13.8" hidden="false" customHeight="false" outlineLevel="0" collapsed="false">
      <c r="A855" s="100"/>
      <c r="B855" s="101"/>
    </row>
    <row r="856" customFormat="false" ht="13.8" hidden="false" customHeight="false" outlineLevel="0" collapsed="false">
      <c r="A856" s="100"/>
      <c r="B856" s="101"/>
    </row>
    <row r="857" customFormat="false" ht="13.8" hidden="false" customHeight="false" outlineLevel="0" collapsed="false">
      <c r="A857" s="100"/>
      <c r="B857" s="101"/>
    </row>
    <row r="858" customFormat="false" ht="13.8" hidden="false" customHeight="false" outlineLevel="0" collapsed="false">
      <c r="A858" s="100"/>
      <c r="B858" s="101"/>
    </row>
    <row r="859" customFormat="false" ht="13.8" hidden="false" customHeight="false" outlineLevel="0" collapsed="false">
      <c r="A859" s="100"/>
      <c r="B859" s="101"/>
    </row>
    <row r="860" customFormat="false" ht="13.8" hidden="false" customHeight="false" outlineLevel="0" collapsed="false">
      <c r="A860" s="100"/>
      <c r="B860" s="101"/>
    </row>
    <row r="861" customFormat="false" ht="13.8" hidden="false" customHeight="false" outlineLevel="0" collapsed="false">
      <c r="A861" s="100"/>
      <c r="B861" s="101"/>
    </row>
    <row r="862" customFormat="false" ht="13.8" hidden="false" customHeight="false" outlineLevel="0" collapsed="false">
      <c r="A862" s="100"/>
      <c r="B862" s="101"/>
    </row>
    <row r="863" customFormat="false" ht="13.8" hidden="false" customHeight="false" outlineLevel="0" collapsed="false">
      <c r="A863" s="100"/>
      <c r="B863" s="101"/>
    </row>
    <row r="864" customFormat="false" ht="13.8" hidden="false" customHeight="false" outlineLevel="0" collapsed="false">
      <c r="A864" s="100"/>
      <c r="B864" s="101"/>
    </row>
    <row r="865" customFormat="false" ht="13.8" hidden="false" customHeight="false" outlineLevel="0" collapsed="false">
      <c r="A865" s="100"/>
      <c r="B865" s="101"/>
    </row>
    <row r="866" customFormat="false" ht="13.8" hidden="false" customHeight="false" outlineLevel="0" collapsed="false">
      <c r="A866" s="100"/>
      <c r="B866" s="101"/>
    </row>
    <row r="867" customFormat="false" ht="13.8" hidden="false" customHeight="false" outlineLevel="0" collapsed="false">
      <c r="A867" s="100"/>
      <c r="B867" s="101"/>
    </row>
    <row r="868" customFormat="false" ht="13.8" hidden="false" customHeight="false" outlineLevel="0" collapsed="false">
      <c r="A868" s="100"/>
      <c r="B868" s="101"/>
    </row>
    <row r="869" customFormat="false" ht="13.8" hidden="false" customHeight="false" outlineLevel="0" collapsed="false">
      <c r="A869" s="100"/>
      <c r="B869" s="101"/>
    </row>
    <row r="870" customFormat="false" ht="13.8" hidden="false" customHeight="false" outlineLevel="0" collapsed="false">
      <c r="A870" s="100"/>
      <c r="B870" s="101"/>
    </row>
    <row r="871" customFormat="false" ht="13.8" hidden="false" customHeight="false" outlineLevel="0" collapsed="false">
      <c r="A871" s="100"/>
      <c r="B871" s="101"/>
    </row>
    <row r="872" customFormat="false" ht="13.8" hidden="false" customHeight="false" outlineLevel="0" collapsed="false">
      <c r="A872" s="100"/>
      <c r="B872" s="101"/>
    </row>
    <row r="873" customFormat="false" ht="13.8" hidden="false" customHeight="false" outlineLevel="0" collapsed="false">
      <c r="A873" s="100"/>
      <c r="B873" s="101"/>
    </row>
    <row r="874" customFormat="false" ht="13.8" hidden="false" customHeight="false" outlineLevel="0" collapsed="false">
      <c r="A874" s="100"/>
      <c r="B874" s="101"/>
    </row>
    <row r="875" customFormat="false" ht="13.8" hidden="false" customHeight="false" outlineLevel="0" collapsed="false">
      <c r="A875" s="100"/>
      <c r="B875" s="101"/>
    </row>
    <row r="876" customFormat="false" ht="13.8" hidden="false" customHeight="false" outlineLevel="0" collapsed="false">
      <c r="A876" s="100"/>
      <c r="B876" s="101"/>
    </row>
    <row r="877" customFormat="false" ht="13.8" hidden="false" customHeight="false" outlineLevel="0" collapsed="false">
      <c r="A877" s="100"/>
      <c r="B877" s="101"/>
    </row>
    <row r="878" customFormat="false" ht="13.8" hidden="false" customHeight="false" outlineLevel="0" collapsed="false">
      <c r="A878" s="100"/>
      <c r="B878" s="101"/>
    </row>
    <row r="879" customFormat="false" ht="13.8" hidden="false" customHeight="false" outlineLevel="0" collapsed="false">
      <c r="A879" s="100"/>
      <c r="B879" s="101"/>
    </row>
    <row r="880" customFormat="false" ht="13.8" hidden="false" customHeight="false" outlineLevel="0" collapsed="false">
      <c r="A880" s="100"/>
      <c r="B880" s="101"/>
    </row>
    <row r="881" customFormat="false" ht="13.8" hidden="false" customHeight="false" outlineLevel="0" collapsed="false">
      <c r="A881" s="100"/>
      <c r="B881" s="101"/>
    </row>
    <row r="882" customFormat="false" ht="13.8" hidden="false" customHeight="false" outlineLevel="0" collapsed="false">
      <c r="A882" s="100"/>
      <c r="B882" s="101"/>
    </row>
    <row r="883" customFormat="false" ht="13.8" hidden="false" customHeight="false" outlineLevel="0" collapsed="false">
      <c r="A883" s="100"/>
      <c r="B883" s="101"/>
    </row>
    <row r="884" customFormat="false" ht="13.8" hidden="false" customHeight="false" outlineLevel="0" collapsed="false">
      <c r="A884" s="100"/>
      <c r="B884" s="101"/>
    </row>
    <row r="885" customFormat="false" ht="13.8" hidden="false" customHeight="false" outlineLevel="0" collapsed="false">
      <c r="A885" s="100"/>
      <c r="B885" s="101"/>
    </row>
    <row r="886" customFormat="false" ht="13.8" hidden="false" customHeight="false" outlineLevel="0" collapsed="false">
      <c r="A886" s="100"/>
      <c r="B886" s="101"/>
    </row>
    <row r="887" customFormat="false" ht="13.8" hidden="false" customHeight="false" outlineLevel="0" collapsed="false">
      <c r="A887" s="100"/>
      <c r="B887" s="101"/>
    </row>
    <row r="888" customFormat="false" ht="13.8" hidden="false" customHeight="false" outlineLevel="0" collapsed="false">
      <c r="A888" s="100"/>
      <c r="B888" s="101"/>
    </row>
    <row r="889" customFormat="false" ht="13.8" hidden="false" customHeight="false" outlineLevel="0" collapsed="false">
      <c r="A889" s="100"/>
      <c r="B889" s="101"/>
    </row>
    <row r="890" customFormat="false" ht="13.8" hidden="false" customHeight="false" outlineLevel="0" collapsed="false">
      <c r="A890" s="100"/>
      <c r="B890" s="101"/>
    </row>
    <row r="891" customFormat="false" ht="13.8" hidden="false" customHeight="false" outlineLevel="0" collapsed="false">
      <c r="A891" s="100"/>
      <c r="B891" s="101"/>
    </row>
    <row r="892" customFormat="false" ht="13.8" hidden="false" customHeight="false" outlineLevel="0" collapsed="false">
      <c r="A892" s="100"/>
      <c r="B892" s="101"/>
    </row>
    <row r="893" customFormat="false" ht="13.8" hidden="false" customHeight="false" outlineLevel="0" collapsed="false">
      <c r="A893" s="100"/>
      <c r="B893" s="101"/>
    </row>
    <row r="894" customFormat="false" ht="13.8" hidden="false" customHeight="false" outlineLevel="0" collapsed="false">
      <c r="A894" s="100"/>
      <c r="B894" s="101"/>
    </row>
    <row r="895" customFormat="false" ht="13.8" hidden="false" customHeight="false" outlineLevel="0" collapsed="false">
      <c r="A895" s="100"/>
      <c r="B895" s="101"/>
    </row>
    <row r="896" customFormat="false" ht="13.8" hidden="false" customHeight="false" outlineLevel="0" collapsed="false">
      <c r="A896" s="100"/>
      <c r="B896" s="101"/>
    </row>
    <row r="897" customFormat="false" ht="13.8" hidden="false" customHeight="false" outlineLevel="0" collapsed="false">
      <c r="A897" s="100"/>
      <c r="B897" s="101"/>
    </row>
    <row r="898" customFormat="false" ht="13.8" hidden="false" customHeight="false" outlineLevel="0" collapsed="false">
      <c r="A898" s="100"/>
      <c r="B898" s="101"/>
    </row>
    <row r="899" customFormat="false" ht="13.8" hidden="false" customHeight="false" outlineLevel="0" collapsed="false">
      <c r="A899" s="100"/>
      <c r="B899" s="101"/>
    </row>
    <row r="900" customFormat="false" ht="13.8" hidden="false" customHeight="false" outlineLevel="0" collapsed="false">
      <c r="A900" s="100"/>
      <c r="B900" s="101"/>
    </row>
    <row r="901" customFormat="false" ht="13.8" hidden="false" customHeight="false" outlineLevel="0" collapsed="false">
      <c r="A901" s="100"/>
      <c r="B901" s="101"/>
    </row>
    <row r="902" customFormat="false" ht="13.8" hidden="false" customHeight="false" outlineLevel="0" collapsed="false">
      <c r="A902" s="100"/>
      <c r="B902" s="101"/>
    </row>
    <row r="903" customFormat="false" ht="13.8" hidden="false" customHeight="false" outlineLevel="0" collapsed="false">
      <c r="A903" s="100"/>
      <c r="B903" s="101"/>
    </row>
    <row r="904" customFormat="false" ht="13.8" hidden="false" customHeight="false" outlineLevel="0" collapsed="false">
      <c r="A904" s="100"/>
      <c r="B904" s="101"/>
    </row>
    <row r="905" customFormat="false" ht="13.8" hidden="false" customHeight="false" outlineLevel="0" collapsed="false">
      <c r="A905" s="100"/>
      <c r="B905" s="101"/>
    </row>
    <row r="906" customFormat="false" ht="13.8" hidden="false" customHeight="false" outlineLevel="0" collapsed="false">
      <c r="A906" s="100"/>
      <c r="B906" s="101"/>
    </row>
    <row r="907" customFormat="false" ht="13.8" hidden="false" customHeight="false" outlineLevel="0" collapsed="false">
      <c r="A907" s="100"/>
      <c r="B907" s="101"/>
    </row>
    <row r="908" customFormat="false" ht="13.8" hidden="false" customHeight="false" outlineLevel="0" collapsed="false">
      <c r="A908" s="100"/>
      <c r="B908" s="101"/>
    </row>
    <row r="909" customFormat="false" ht="13.8" hidden="false" customHeight="false" outlineLevel="0" collapsed="false">
      <c r="A909" s="100"/>
      <c r="B909" s="101"/>
    </row>
    <row r="910" customFormat="false" ht="13.8" hidden="false" customHeight="false" outlineLevel="0" collapsed="false">
      <c r="A910" s="100"/>
      <c r="B910" s="101"/>
    </row>
    <row r="911" customFormat="false" ht="13.8" hidden="false" customHeight="false" outlineLevel="0" collapsed="false">
      <c r="A911" s="100"/>
      <c r="B911" s="101"/>
    </row>
    <row r="912" customFormat="false" ht="13.8" hidden="false" customHeight="false" outlineLevel="0" collapsed="false">
      <c r="A912" s="100"/>
      <c r="B912" s="101"/>
    </row>
    <row r="913" customFormat="false" ht="13.8" hidden="false" customHeight="false" outlineLevel="0" collapsed="false">
      <c r="A913" s="100"/>
      <c r="B913" s="101"/>
    </row>
    <row r="914" customFormat="false" ht="13.8" hidden="false" customHeight="false" outlineLevel="0" collapsed="false">
      <c r="A914" s="100"/>
      <c r="B914" s="101"/>
    </row>
    <row r="915" customFormat="false" ht="13.8" hidden="false" customHeight="false" outlineLevel="0" collapsed="false">
      <c r="A915" s="100"/>
      <c r="B915" s="101"/>
    </row>
    <row r="916" customFormat="false" ht="13.8" hidden="false" customHeight="false" outlineLevel="0" collapsed="false">
      <c r="A916" s="100"/>
      <c r="B916" s="101"/>
    </row>
    <row r="917" customFormat="false" ht="13.8" hidden="false" customHeight="false" outlineLevel="0" collapsed="false">
      <c r="A917" s="100"/>
      <c r="B917" s="101"/>
    </row>
    <row r="918" customFormat="false" ht="13.8" hidden="false" customHeight="false" outlineLevel="0" collapsed="false">
      <c r="A918" s="100"/>
      <c r="B918" s="101"/>
    </row>
    <row r="919" customFormat="false" ht="13.8" hidden="false" customHeight="false" outlineLevel="0" collapsed="false">
      <c r="A919" s="100"/>
      <c r="B919" s="101"/>
    </row>
    <row r="920" customFormat="false" ht="13.8" hidden="false" customHeight="false" outlineLevel="0" collapsed="false">
      <c r="A920" s="100"/>
      <c r="B920" s="101"/>
    </row>
    <row r="921" customFormat="false" ht="13.8" hidden="false" customHeight="false" outlineLevel="0" collapsed="false">
      <c r="A921" s="100"/>
      <c r="B921" s="101"/>
    </row>
    <row r="922" customFormat="false" ht="13.8" hidden="false" customHeight="false" outlineLevel="0" collapsed="false">
      <c r="A922" s="100"/>
      <c r="B922" s="101"/>
    </row>
    <row r="923" customFormat="false" ht="13.8" hidden="false" customHeight="false" outlineLevel="0" collapsed="false">
      <c r="A923" s="100"/>
      <c r="B923" s="101"/>
    </row>
    <row r="924" customFormat="false" ht="13.8" hidden="false" customHeight="false" outlineLevel="0" collapsed="false">
      <c r="A924" s="100"/>
      <c r="B924" s="101"/>
    </row>
    <row r="925" customFormat="false" ht="13.8" hidden="false" customHeight="false" outlineLevel="0" collapsed="false">
      <c r="A925" s="100"/>
      <c r="B925" s="101"/>
    </row>
    <row r="926" customFormat="false" ht="13.8" hidden="false" customHeight="false" outlineLevel="0" collapsed="false">
      <c r="A926" s="100"/>
      <c r="B926" s="101"/>
    </row>
    <row r="927" customFormat="false" ht="13.8" hidden="false" customHeight="false" outlineLevel="0" collapsed="false">
      <c r="A927" s="100"/>
      <c r="B927" s="101"/>
    </row>
    <row r="928" customFormat="false" ht="13.8" hidden="false" customHeight="false" outlineLevel="0" collapsed="false">
      <c r="A928" s="100"/>
      <c r="B928" s="101"/>
    </row>
    <row r="929" customFormat="false" ht="13.8" hidden="false" customHeight="false" outlineLevel="0" collapsed="false">
      <c r="A929" s="100"/>
      <c r="B929" s="101"/>
    </row>
    <row r="930" customFormat="false" ht="13.8" hidden="false" customHeight="false" outlineLevel="0" collapsed="false">
      <c r="A930" s="100"/>
      <c r="B930" s="101"/>
    </row>
    <row r="931" customFormat="false" ht="13.8" hidden="false" customHeight="false" outlineLevel="0" collapsed="false">
      <c r="A931" s="100"/>
      <c r="B931" s="101"/>
    </row>
    <row r="932" customFormat="false" ht="13.8" hidden="false" customHeight="false" outlineLevel="0" collapsed="false">
      <c r="A932" s="100"/>
      <c r="B932" s="101"/>
    </row>
    <row r="933" customFormat="false" ht="13.8" hidden="false" customHeight="false" outlineLevel="0" collapsed="false">
      <c r="A933" s="100"/>
      <c r="B933" s="101"/>
    </row>
    <row r="934" customFormat="false" ht="13.8" hidden="false" customHeight="false" outlineLevel="0" collapsed="false">
      <c r="A934" s="100"/>
      <c r="B934" s="101"/>
    </row>
    <row r="935" customFormat="false" ht="13.8" hidden="false" customHeight="false" outlineLevel="0" collapsed="false">
      <c r="A935" s="100"/>
      <c r="B935" s="101"/>
    </row>
    <row r="936" customFormat="false" ht="13.8" hidden="false" customHeight="false" outlineLevel="0" collapsed="false">
      <c r="A936" s="100"/>
      <c r="B936" s="101"/>
    </row>
    <row r="937" customFormat="false" ht="13.8" hidden="false" customHeight="false" outlineLevel="0" collapsed="false">
      <c r="A937" s="100"/>
      <c r="B937" s="101"/>
    </row>
    <row r="938" customFormat="false" ht="13.8" hidden="false" customHeight="false" outlineLevel="0" collapsed="false">
      <c r="A938" s="100"/>
      <c r="B938" s="101"/>
    </row>
    <row r="939" customFormat="false" ht="13.8" hidden="false" customHeight="false" outlineLevel="0" collapsed="false">
      <c r="A939" s="100"/>
      <c r="B939" s="101"/>
    </row>
    <row r="940" customFormat="false" ht="13.8" hidden="false" customHeight="false" outlineLevel="0" collapsed="false">
      <c r="A940" s="100"/>
      <c r="B940" s="101"/>
    </row>
    <row r="941" customFormat="false" ht="13.8" hidden="false" customHeight="false" outlineLevel="0" collapsed="false">
      <c r="A941" s="100"/>
      <c r="B941" s="101"/>
    </row>
    <row r="942" customFormat="false" ht="13.8" hidden="false" customHeight="false" outlineLevel="0" collapsed="false">
      <c r="A942" s="100"/>
      <c r="B942" s="101"/>
    </row>
    <row r="943" customFormat="false" ht="13.8" hidden="false" customHeight="false" outlineLevel="0" collapsed="false">
      <c r="A943" s="100"/>
      <c r="B943" s="101"/>
    </row>
    <row r="944" customFormat="false" ht="13.8" hidden="false" customHeight="false" outlineLevel="0" collapsed="false">
      <c r="A944" s="100"/>
      <c r="B944" s="101"/>
    </row>
    <row r="945" customFormat="false" ht="13.8" hidden="false" customHeight="false" outlineLevel="0" collapsed="false">
      <c r="A945" s="100"/>
      <c r="B945" s="101"/>
    </row>
    <row r="946" customFormat="false" ht="13.8" hidden="false" customHeight="false" outlineLevel="0" collapsed="false">
      <c r="A946" s="100"/>
      <c r="B946" s="101"/>
    </row>
    <row r="947" customFormat="false" ht="13.8" hidden="false" customHeight="false" outlineLevel="0" collapsed="false">
      <c r="A947" s="100"/>
      <c r="B947" s="101"/>
    </row>
    <row r="948" customFormat="false" ht="13.8" hidden="false" customHeight="false" outlineLevel="0" collapsed="false">
      <c r="A948" s="100"/>
      <c r="B948" s="101"/>
    </row>
    <row r="949" customFormat="false" ht="13.8" hidden="false" customHeight="false" outlineLevel="0" collapsed="false">
      <c r="A949" s="100"/>
      <c r="B949" s="101"/>
    </row>
    <row r="950" customFormat="false" ht="13.8" hidden="false" customHeight="false" outlineLevel="0" collapsed="false">
      <c r="A950" s="100"/>
      <c r="B950" s="101"/>
    </row>
    <row r="951" customFormat="false" ht="13.8" hidden="false" customHeight="false" outlineLevel="0" collapsed="false">
      <c r="A951" s="100"/>
      <c r="B951" s="101"/>
    </row>
    <row r="952" customFormat="false" ht="13.8" hidden="false" customHeight="false" outlineLevel="0" collapsed="false">
      <c r="A952" s="100"/>
      <c r="B952" s="101"/>
    </row>
    <row r="953" customFormat="false" ht="13.8" hidden="false" customHeight="false" outlineLevel="0" collapsed="false">
      <c r="A953" s="100"/>
      <c r="B953" s="101"/>
    </row>
    <row r="954" customFormat="false" ht="13.8" hidden="false" customHeight="false" outlineLevel="0" collapsed="false">
      <c r="A954" s="100"/>
      <c r="B954" s="101"/>
    </row>
    <row r="955" customFormat="false" ht="13.8" hidden="false" customHeight="false" outlineLevel="0" collapsed="false">
      <c r="A955" s="100"/>
      <c r="B955" s="101"/>
    </row>
    <row r="956" customFormat="false" ht="13.8" hidden="false" customHeight="false" outlineLevel="0" collapsed="false">
      <c r="A956" s="100"/>
      <c r="B956" s="101"/>
    </row>
    <row r="957" customFormat="false" ht="13.8" hidden="false" customHeight="false" outlineLevel="0" collapsed="false">
      <c r="A957" s="100"/>
      <c r="B957" s="101"/>
    </row>
    <row r="958" customFormat="false" ht="13.8" hidden="false" customHeight="false" outlineLevel="0" collapsed="false">
      <c r="A958" s="100"/>
      <c r="B958" s="101"/>
    </row>
    <row r="959" customFormat="false" ht="13.8" hidden="false" customHeight="false" outlineLevel="0" collapsed="false">
      <c r="A959" s="100"/>
      <c r="B959" s="101"/>
    </row>
    <row r="960" customFormat="false" ht="13.8" hidden="false" customHeight="false" outlineLevel="0" collapsed="false">
      <c r="A960" s="100"/>
      <c r="B960" s="101"/>
    </row>
    <row r="961" customFormat="false" ht="13.8" hidden="false" customHeight="false" outlineLevel="0" collapsed="false">
      <c r="A961" s="100"/>
      <c r="B961" s="101"/>
    </row>
    <row r="962" customFormat="false" ht="13.8" hidden="false" customHeight="false" outlineLevel="0" collapsed="false">
      <c r="A962" s="100"/>
      <c r="B962" s="101"/>
    </row>
    <row r="963" customFormat="false" ht="13.8" hidden="false" customHeight="false" outlineLevel="0" collapsed="false">
      <c r="A963" s="100"/>
      <c r="B963" s="101"/>
    </row>
    <row r="964" customFormat="false" ht="13.8" hidden="false" customHeight="false" outlineLevel="0" collapsed="false">
      <c r="A964" s="100"/>
      <c r="B964" s="101"/>
    </row>
    <row r="965" customFormat="false" ht="13.8" hidden="false" customHeight="false" outlineLevel="0" collapsed="false">
      <c r="A965" s="100"/>
      <c r="B965" s="101"/>
    </row>
    <row r="966" customFormat="false" ht="13.8" hidden="false" customHeight="false" outlineLevel="0" collapsed="false">
      <c r="A966" s="100"/>
      <c r="B966" s="101"/>
    </row>
    <row r="967" customFormat="false" ht="13.8" hidden="false" customHeight="false" outlineLevel="0" collapsed="false">
      <c r="A967" s="100"/>
      <c r="B967" s="101"/>
    </row>
    <row r="968" customFormat="false" ht="13.8" hidden="false" customHeight="false" outlineLevel="0" collapsed="false">
      <c r="A968" s="100"/>
      <c r="B968" s="101"/>
    </row>
    <row r="969" customFormat="false" ht="13.8" hidden="false" customHeight="false" outlineLevel="0" collapsed="false">
      <c r="A969" s="100"/>
      <c r="B969" s="101"/>
    </row>
    <row r="970" customFormat="false" ht="13.8" hidden="false" customHeight="false" outlineLevel="0" collapsed="false">
      <c r="A970" s="100"/>
      <c r="B970" s="101"/>
    </row>
    <row r="971" customFormat="false" ht="13.8" hidden="false" customHeight="false" outlineLevel="0" collapsed="false">
      <c r="A971" s="100"/>
      <c r="B971" s="101"/>
    </row>
    <row r="972" customFormat="false" ht="13.8" hidden="false" customHeight="false" outlineLevel="0" collapsed="false">
      <c r="A972" s="100"/>
      <c r="B972" s="101"/>
    </row>
    <row r="973" customFormat="false" ht="13.8" hidden="false" customHeight="false" outlineLevel="0" collapsed="false">
      <c r="A973" s="100"/>
      <c r="B973" s="101"/>
    </row>
    <row r="974" customFormat="false" ht="13.8" hidden="false" customHeight="false" outlineLevel="0" collapsed="false">
      <c r="A974" s="100"/>
      <c r="B974" s="101"/>
    </row>
    <row r="975" customFormat="false" ht="13.8" hidden="false" customHeight="false" outlineLevel="0" collapsed="false">
      <c r="A975" s="100"/>
      <c r="B975" s="101"/>
    </row>
    <row r="976" customFormat="false" ht="13.8" hidden="false" customHeight="false" outlineLevel="0" collapsed="false">
      <c r="A976" s="100"/>
      <c r="B976" s="101"/>
    </row>
    <row r="977" customFormat="false" ht="13.8" hidden="false" customHeight="false" outlineLevel="0" collapsed="false">
      <c r="A977" s="100"/>
      <c r="B977" s="101"/>
    </row>
    <row r="978" customFormat="false" ht="13.8" hidden="false" customHeight="false" outlineLevel="0" collapsed="false">
      <c r="A978" s="100"/>
      <c r="B978" s="101"/>
    </row>
    <row r="979" customFormat="false" ht="13.8" hidden="false" customHeight="false" outlineLevel="0" collapsed="false">
      <c r="A979" s="100"/>
      <c r="B979" s="101"/>
    </row>
    <row r="980" customFormat="false" ht="13.8" hidden="false" customHeight="false" outlineLevel="0" collapsed="false">
      <c r="A980" s="100"/>
      <c r="B980" s="101"/>
    </row>
    <row r="981" customFormat="false" ht="13.8" hidden="false" customHeight="false" outlineLevel="0" collapsed="false">
      <c r="A981" s="100"/>
      <c r="B981" s="101"/>
    </row>
    <row r="982" customFormat="false" ht="13.8" hidden="false" customHeight="false" outlineLevel="0" collapsed="false">
      <c r="A982" s="100"/>
      <c r="B982" s="101"/>
    </row>
    <row r="983" customFormat="false" ht="13.8" hidden="false" customHeight="false" outlineLevel="0" collapsed="false">
      <c r="A983" s="100"/>
      <c r="B983" s="101"/>
    </row>
    <row r="984" customFormat="false" ht="13.8" hidden="false" customHeight="false" outlineLevel="0" collapsed="false">
      <c r="A984" s="100"/>
      <c r="B984" s="101"/>
    </row>
    <row r="985" customFormat="false" ht="13.8" hidden="false" customHeight="false" outlineLevel="0" collapsed="false">
      <c r="A985" s="100"/>
      <c r="B985" s="101"/>
    </row>
    <row r="986" customFormat="false" ht="13.8" hidden="false" customHeight="false" outlineLevel="0" collapsed="false">
      <c r="A986" s="100"/>
      <c r="B986" s="101"/>
    </row>
    <row r="987" customFormat="false" ht="13.8" hidden="false" customHeight="false" outlineLevel="0" collapsed="false">
      <c r="A987" s="100"/>
      <c r="B987" s="101"/>
    </row>
    <row r="988" customFormat="false" ht="13.8" hidden="false" customHeight="false" outlineLevel="0" collapsed="false">
      <c r="A988" s="100"/>
      <c r="B988" s="101"/>
    </row>
    <row r="989" customFormat="false" ht="13.8" hidden="false" customHeight="false" outlineLevel="0" collapsed="false">
      <c r="A989" s="100"/>
      <c r="B989" s="101"/>
    </row>
    <row r="990" customFormat="false" ht="13.8" hidden="false" customHeight="false" outlineLevel="0" collapsed="false">
      <c r="A990" s="100"/>
      <c r="B990" s="101"/>
    </row>
    <row r="991" customFormat="false" ht="13.8" hidden="false" customHeight="false" outlineLevel="0" collapsed="false">
      <c r="A991" s="100"/>
      <c r="B991" s="101"/>
    </row>
    <row r="992" customFormat="false" ht="13.8" hidden="false" customHeight="false" outlineLevel="0" collapsed="false">
      <c r="A992" s="100"/>
      <c r="B992" s="101"/>
    </row>
    <row r="993" customFormat="false" ht="13.8" hidden="false" customHeight="false" outlineLevel="0" collapsed="false">
      <c r="A993" s="100"/>
      <c r="B993" s="101"/>
    </row>
    <row r="994" customFormat="false" ht="13.8" hidden="false" customHeight="false" outlineLevel="0" collapsed="false">
      <c r="A994" s="100"/>
      <c r="B994" s="101"/>
    </row>
    <row r="995" customFormat="false" ht="13.8" hidden="false" customHeight="false" outlineLevel="0" collapsed="false">
      <c r="A995" s="100"/>
      <c r="B995" s="101"/>
    </row>
    <row r="996" customFormat="false" ht="13.8" hidden="false" customHeight="false" outlineLevel="0" collapsed="false">
      <c r="A996" s="100"/>
      <c r="B996" s="101"/>
    </row>
    <row r="997" customFormat="false" ht="13.8" hidden="false" customHeight="false" outlineLevel="0" collapsed="false">
      <c r="A997" s="100"/>
      <c r="B997" s="101"/>
    </row>
    <row r="998" customFormat="false" ht="13.8" hidden="false" customHeight="false" outlineLevel="0" collapsed="false">
      <c r="A998" s="100"/>
      <c r="B998" s="101"/>
    </row>
    <row r="999" customFormat="false" ht="13.8" hidden="false" customHeight="false" outlineLevel="0" collapsed="false">
      <c r="A999" s="100"/>
      <c r="B999" s="101"/>
    </row>
    <row r="1000" customFormat="false" ht="13.8" hidden="false" customHeight="false" outlineLevel="0" collapsed="false">
      <c r="A1000" s="100"/>
      <c r="B1000" s="101"/>
    </row>
    <row r="1001" customFormat="false" ht="13.8" hidden="false" customHeight="false" outlineLevel="0" collapsed="false">
      <c r="A1001" s="100"/>
      <c r="B1001" s="101"/>
    </row>
    <row r="1002" customFormat="false" ht="13.8" hidden="false" customHeight="false" outlineLevel="0" collapsed="false">
      <c r="A1002" s="100"/>
      <c r="B1002" s="101"/>
    </row>
    <row r="1003" customFormat="false" ht="13.8" hidden="false" customHeight="false" outlineLevel="0" collapsed="false">
      <c r="A1003" s="100"/>
      <c r="B1003" s="101"/>
    </row>
    <row r="1004" customFormat="false" ht="13.8" hidden="false" customHeight="false" outlineLevel="0" collapsed="false">
      <c r="A1004" s="100"/>
      <c r="B1004" s="101"/>
    </row>
    <row r="1005" customFormat="false" ht="13.8" hidden="false" customHeight="false" outlineLevel="0" collapsed="false">
      <c r="A1005" s="100"/>
      <c r="B1005" s="101"/>
    </row>
    <row r="1006" customFormat="false" ht="13.8" hidden="false" customHeight="false" outlineLevel="0" collapsed="false">
      <c r="A1006" s="100"/>
      <c r="B1006" s="101"/>
    </row>
    <row r="1007" customFormat="false" ht="13.8" hidden="false" customHeight="false" outlineLevel="0" collapsed="false">
      <c r="A1007" s="100"/>
      <c r="B1007" s="101"/>
    </row>
    <row r="1008" customFormat="false" ht="13.8" hidden="false" customHeight="false" outlineLevel="0" collapsed="false">
      <c r="A1008" s="100"/>
      <c r="B1008" s="101"/>
    </row>
    <row r="1009" customFormat="false" ht="13.8" hidden="false" customHeight="false" outlineLevel="0" collapsed="false">
      <c r="A1009" s="100"/>
      <c r="B1009" s="101"/>
    </row>
    <row r="1010" customFormat="false" ht="13.8" hidden="false" customHeight="false" outlineLevel="0" collapsed="false">
      <c r="A1010" s="100"/>
      <c r="B1010" s="101"/>
    </row>
    <row r="1011" customFormat="false" ht="13.8" hidden="false" customHeight="false" outlineLevel="0" collapsed="false">
      <c r="A1011" s="100"/>
      <c r="B1011" s="101"/>
    </row>
    <row r="1012" customFormat="false" ht="13.8" hidden="false" customHeight="false" outlineLevel="0" collapsed="false">
      <c r="A1012" s="100"/>
      <c r="B1012" s="101"/>
    </row>
    <row r="1013" customFormat="false" ht="13.8" hidden="false" customHeight="false" outlineLevel="0" collapsed="false">
      <c r="A1013" s="100"/>
      <c r="B1013" s="101"/>
    </row>
    <row r="1014" customFormat="false" ht="13.8" hidden="false" customHeight="false" outlineLevel="0" collapsed="false">
      <c r="A1014" s="100"/>
      <c r="B1014" s="101"/>
    </row>
    <row r="1015" customFormat="false" ht="13.8" hidden="false" customHeight="false" outlineLevel="0" collapsed="false">
      <c r="A1015" s="100"/>
      <c r="B1015" s="101"/>
    </row>
    <row r="1016" customFormat="false" ht="13.8" hidden="false" customHeight="false" outlineLevel="0" collapsed="false">
      <c r="A1016" s="100"/>
      <c r="B1016" s="101"/>
    </row>
    <row r="1017" customFormat="false" ht="13.8" hidden="false" customHeight="false" outlineLevel="0" collapsed="false">
      <c r="A1017" s="100"/>
      <c r="B1017" s="101"/>
    </row>
    <row r="1018" customFormat="false" ht="13.8" hidden="false" customHeight="false" outlineLevel="0" collapsed="false">
      <c r="A1018" s="100"/>
      <c r="B1018" s="101"/>
    </row>
    <row r="1019" customFormat="false" ht="13.8" hidden="false" customHeight="false" outlineLevel="0" collapsed="false">
      <c r="A1019" s="100"/>
      <c r="B1019" s="101"/>
    </row>
    <row r="1020" customFormat="false" ht="13.8" hidden="false" customHeight="false" outlineLevel="0" collapsed="false">
      <c r="A1020" s="100"/>
      <c r="B1020" s="101"/>
    </row>
    <row r="1021" customFormat="false" ht="13.8" hidden="false" customHeight="false" outlineLevel="0" collapsed="false">
      <c r="A1021" s="100"/>
      <c r="B1021" s="101"/>
    </row>
    <row r="1022" customFormat="false" ht="13.8" hidden="false" customHeight="false" outlineLevel="0" collapsed="false">
      <c r="A1022" s="100"/>
      <c r="B1022" s="101"/>
    </row>
    <row r="1023" customFormat="false" ht="13.8" hidden="false" customHeight="false" outlineLevel="0" collapsed="false">
      <c r="A1023" s="100"/>
      <c r="B1023" s="101"/>
    </row>
    <row r="1024" customFormat="false" ht="13.8" hidden="false" customHeight="false" outlineLevel="0" collapsed="false">
      <c r="A1024" s="100"/>
      <c r="B1024" s="101"/>
    </row>
    <row r="1025" customFormat="false" ht="13.8" hidden="false" customHeight="false" outlineLevel="0" collapsed="false">
      <c r="A1025" s="100"/>
      <c r="B1025" s="101"/>
    </row>
    <row r="1026" customFormat="false" ht="13.8" hidden="false" customHeight="false" outlineLevel="0" collapsed="false">
      <c r="A1026" s="100"/>
      <c r="B1026" s="101"/>
    </row>
    <row r="1027" customFormat="false" ht="13.8" hidden="false" customHeight="false" outlineLevel="0" collapsed="false">
      <c r="A1027" s="100"/>
      <c r="B1027" s="101"/>
    </row>
    <row r="1028" customFormat="false" ht="13.8" hidden="false" customHeight="false" outlineLevel="0" collapsed="false">
      <c r="A1028" s="100"/>
      <c r="B1028" s="101"/>
    </row>
    <row r="1029" customFormat="false" ht="13.8" hidden="false" customHeight="false" outlineLevel="0" collapsed="false">
      <c r="A1029" s="100"/>
      <c r="B1029" s="101"/>
    </row>
    <row r="1030" customFormat="false" ht="13.8" hidden="false" customHeight="false" outlineLevel="0" collapsed="false">
      <c r="A1030" s="100"/>
      <c r="B1030" s="101"/>
    </row>
    <row r="1031" customFormat="false" ht="13.8" hidden="false" customHeight="false" outlineLevel="0" collapsed="false">
      <c r="A1031" s="100"/>
      <c r="B1031" s="101"/>
    </row>
    <row r="1032" customFormat="false" ht="13.8" hidden="false" customHeight="false" outlineLevel="0" collapsed="false">
      <c r="A1032" s="100"/>
      <c r="B1032" s="101"/>
    </row>
    <row r="1033" customFormat="false" ht="13.8" hidden="false" customHeight="false" outlineLevel="0" collapsed="false">
      <c r="A1033" s="100"/>
      <c r="B1033" s="101"/>
    </row>
    <row r="1034" customFormat="false" ht="13.8" hidden="false" customHeight="false" outlineLevel="0" collapsed="false">
      <c r="A1034" s="100"/>
      <c r="B1034" s="101"/>
    </row>
    <row r="1035" customFormat="false" ht="13.8" hidden="false" customHeight="false" outlineLevel="0" collapsed="false">
      <c r="A1035" s="100"/>
      <c r="B1035" s="101"/>
    </row>
    <row r="1036" customFormat="false" ht="13.8" hidden="false" customHeight="false" outlineLevel="0" collapsed="false">
      <c r="A1036" s="100"/>
      <c r="B1036" s="101"/>
    </row>
    <row r="1037" customFormat="false" ht="13.8" hidden="false" customHeight="false" outlineLevel="0" collapsed="false">
      <c r="A1037" s="100"/>
      <c r="B1037" s="101"/>
    </row>
    <row r="1038" customFormat="false" ht="13.8" hidden="false" customHeight="false" outlineLevel="0" collapsed="false">
      <c r="A1038" s="100"/>
      <c r="B1038" s="101"/>
    </row>
    <row r="1039" customFormat="false" ht="13.8" hidden="false" customHeight="false" outlineLevel="0" collapsed="false">
      <c r="A1039" s="100"/>
      <c r="B1039" s="101"/>
    </row>
    <row r="1040" customFormat="false" ht="13.8" hidden="false" customHeight="false" outlineLevel="0" collapsed="false">
      <c r="A1040" s="100"/>
      <c r="B1040" s="101"/>
    </row>
    <row r="1041" customFormat="false" ht="13.8" hidden="false" customHeight="false" outlineLevel="0" collapsed="false">
      <c r="A1041" s="100"/>
      <c r="B1041" s="101"/>
    </row>
    <row r="1042" customFormat="false" ht="13.8" hidden="false" customHeight="false" outlineLevel="0" collapsed="false">
      <c r="A1042" s="100"/>
      <c r="B1042" s="101"/>
    </row>
    <row r="1043" customFormat="false" ht="13.8" hidden="false" customHeight="false" outlineLevel="0" collapsed="false">
      <c r="A1043" s="100"/>
      <c r="B1043" s="101"/>
    </row>
    <row r="1044" customFormat="false" ht="13.8" hidden="false" customHeight="false" outlineLevel="0" collapsed="false">
      <c r="A1044" s="100"/>
      <c r="B1044" s="101"/>
    </row>
    <row r="1045" customFormat="false" ht="13.8" hidden="false" customHeight="false" outlineLevel="0" collapsed="false">
      <c r="A1045" s="100"/>
      <c r="B1045" s="101"/>
    </row>
    <row r="1046" customFormat="false" ht="13.8" hidden="false" customHeight="false" outlineLevel="0" collapsed="false">
      <c r="A1046" s="100"/>
      <c r="B1046" s="101"/>
    </row>
    <row r="1047" customFormat="false" ht="13.8" hidden="false" customHeight="false" outlineLevel="0" collapsed="false">
      <c r="A1047" s="100"/>
      <c r="B1047" s="101"/>
    </row>
    <row r="1048" customFormat="false" ht="13.8" hidden="false" customHeight="false" outlineLevel="0" collapsed="false">
      <c r="A1048" s="100"/>
      <c r="B1048" s="101"/>
    </row>
    <row r="1049" customFormat="false" ht="13.8" hidden="false" customHeight="false" outlineLevel="0" collapsed="false">
      <c r="A1049" s="100"/>
      <c r="B1049" s="101"/>
    </row>
    <row r="1050" customFormat="false" ht="13.8" hidden="false" customHeight="false" outlineLevel="0" collapsed="false">
      <c r="A1050" s="100"/>
      <c r="B1050" s="101"/>
    </row>
    <row r="1051" customFormat="false" ht="13.8" hidden="false" customHeight="false" outlineLevel="0" collapsed="false">
      <c r="A1051" s="100"/>
      <c r="B1051" s="101"/>
    </row>
    <row r="1052" customFormat="false" ht="13.8" hidden="false" customHeight="false" outlineLevel="0" collapsed="false">
      <c r="A1052" s="100"/>
      <c r="B1052" s="101"/>
    </row>
    <row r="1053" customFormat="false" ht="13.8" hidden="false" customHeight="false" outlineLevel="0" collapsed="false">
      <c r="A1053" s="100"/>
      <c r="B1053" s="101"/>
    </row>
    <row r="1054" customFormat="false" ht="13.8" hidden="false" customHeight="false" outlineLevel="0" collapsed="false">
      <c r="A1054" s="100"/>
      <c r="B1054" s="101"/>
    </row>
    <row r="1055" customFormat="false" ht="13.8" hidden="false" customHeight="false" outlineLevel="0" collapsed="false">
      <c r="A1055" s="100"/>
      <c r="B1055" s="101"/>
    </row>
    <row r="1056" customFormat="false" ht="13.8" hidden="false" customHeight="false" outlineLevel="0" collapsed="false">
      <c r="A1056" s="100"/>
      <c r="B1056" s="101"/>
    </row>
    <row r="1057" customFormat="false" ht="13.8" hidden="false" customHeight="false" outlineLevel="0" collapsed="false">
      <c r="A1057" s="100"/>
      <c r="B1057" s="101"/>
    </row>
    <row r="1058" customFormat="false" ht="13.8" hidden="false" customHeight="false" outlineLevel="0" collapsed="false">
      <c r="A1058" s="100"/>
      <c r="B1058" s="101"/>
    </row>
    <row r="1059" customFormat="false" ht="13.8" hidden="false" customHeight="false" outlineLevel="0" collapsed="false">
      <c r="A1059" s="100"/>
      <c r="B1059" s="101"/>
    </row>
    <row r="1060" customFormat="false" ht="13.8" hidden="false" customHeight="false" outlineLevel="0" collapsed="false">
      <c r="A1060" s="100"/>
      <c r="B1060" s="101"/>
    </row>
    <row r="1061" customFormat="false" ht="13.8" hidden="false" customHeight="false" outlineLevel="0" collapsed="false">
      <c r="A1061" s="100"/>
      <c r="B1061" s="101"/>
    </row>
    <row r="1062" customFormat="false" ht="13.8" hidden="false" customHeight="false" outlineLevel="0" collapsed="false">
      <c r="A1062" s="100"/>
      <c r="B1062" s="101"/>
    </row>
    <row r="1063" customFormat="false" ht="13.8" hidden="false" customHeight="false" outlineLevel="0" collapsed="false">
      <c r="A1063" s="100"/>
      <c r="B1063" s="101"/>
    </row>
    <row r="1064" customFormat="false" ht="13.8" hidden="false" customHeight="false" outlineLevel="0" collapsed="false">
      <c r="A1064" s="100"/>
      <c r="B1064" s="101"/>
    </row>
    <row r="1065" customFormat="false" ht="13.8" hidden="false" customHeight="false" outlineLevel="0" collapsed="false">
      <c r="A1065" s="100"/>
      <c r="B1065" s="101"/>
    </row>
    <row r="1066" customFormat="false" ht="13.8" hidden="false" customHeight="false" outlineLevel="0" collapsed="false">
      <c r="A1066" s="100"/>
      <c r="B1066" s="101"/>
    </row>
    <row r="1067" customFormat="false" ht="13.8" hidden="false" customHeight="false" outlineLevel="0" collapsed="false">
      <c r="A1067" s="100"/>
      <c r="B1067" s="101"/>
    </row>
    <row r="1068" customFormat="false" ht="13.8" hidden="false" customHeight="false" outlineLevel="0" collapsed="false">
      <c r="A1068" s="100"/>
      <c r="B1068" s="101"/>
    </row>
    <row r="1069" customFormat="false" ht="13.8" hidden="false" customHeight="false" outlineLevel="0" collapsed="false">
      <c r="A1069" s="100"/>
      <c r="B1069" s="101"/>
    </row>
    <row r="1070" customFormat="false" ht="13.8" hidden="false" customHeight="false" outlineLevel="0" collapsed="false">
      <c r="A1070" s="100"/>
      <c r="B1070" s="101"/>
    </row>
    <row r="1071" customFormat="false" ht="13.8" hidden="false" customHeight="false" outlineLevel="0" collapsed="false">
      <c r="A1071" s="100"/>
      <c r="B1071" s="101"/>
    </row>
    <row r="1072" customFormat="false" ht="13.8" hidden="false" customHeight="false" outlineLevel="0" collapsed="false">
      <c r="A1072" s="100"/>
      <c r="B1072" s="101"/>
    </row>
    <row r="1073" customFormat="false" ht="13.8" hidden="false" customHeight="false" outlineLevel="0" collapsed="false">
      <c r="A1073" s="100"/>
      <c r="B1073" s="101"/>
    </row>
    <row r="1074" customFormat="false" ht="13.8" hidden="false" customHeight="false" outlineLevel="0" collapsed="false">
      <c r="A1074" s="100"/>
      <c r="B1074" s="101"/>
    </row>
    <row r="1075" customFormat="false" ht="13.8" hidden="false" customHeight="false" outlineLevel="0" collapsed="false">
      <c r="A1075" s="100"/>
      <c r="B1075" s="101"/>
    </row>
    <row r="1076" customFormat="false" ht="13.8" hidden="false" customHeight="false" outlineLevel="0" collapsed="false">
      <c r="A1076" s="100"/>
      <c r="B1076" s="101"/>
    </row>
    <row r="1077" customFormat="false" ht="13.8" hidden="false" customHeight="false" outlineLevel="0" collapsed="false">
      <c r="A1077" s="100"/>
      <c r="B1077" s="101"/>
    </row>
    <row r="1078" customFormat="false" ht="13.8" hidden="false" customHeight="false" outlineLevel="0" collapsed="false">
      <c r="A1078" s="100"/>
      <c r="B1078" s="101"/>
    </row>
    <row r="1079" customFormat="false" ht="13.8" hidden="false" customHeight="false" outlineLevel="0" collapsed="false">
      <c r="A1079" s="100"/>
      <c r="B1079" s="101"/>
    </row>
    <row r="1080" customFormat="false" ht="13.8" hidden="false" customHeight="false" outlineLevel="0" collapsed="false">
      <c r="A1080" s="100"/>
      <c r="B1080" s="101"/>
    </row>
    <row r="1081" customFormat="false" ht="13.8" hidden="false" customHeight="false" outlineLevel="0" collapsed="false">
      <c r="A1081" s="100"/>
      <c r="B1081" s="101"/>
    </row>
    <row r="1082" customFormat="false" ht="13.8" hidden="false" customHeight="false" outlineLevel="0" collapsed="false">
      <c r="A1082" s="100"/>
      <c r="B1082" s="101"/>
    </row>
    <row r="1083" customFormat="false" ht="13.8" hidden="false" customHeight="false" outlineLevel="0" collapsed="false">
      <c r="A1083" s="100"/>
      <c r="B1083" s="101"/>
    </row>
    <row r="1084" customFormat="false" ht="13.8" hidden="false" customHeight="false" outlineLevel="0" collapsed="false">
      <c r="A1084" s="100"/>
      <c r="B1084" s="101"/>
    </row>
    <row r="1085" customFormat="false" ht="13.8" hidden="false" customHeight="false" outlineLevel="0" collapsed="false">
      <c r="A1085" s="100"/>
      <c r="B1085" s="101"/>
    </row>
    <row r="1086" customFormat="false" ht="13.8" hidden="false" customHeight="false" outlineLevel="0" collapsed="false">
      <c r="A1086" s="100"/>
      <c r="B1086" s="101"/>
    </row>
    <row r="1087" customFormat="false" ht="13.8" hidden="false" customHeight="false" outlineLevel="0" collapsed="false">
      <c r="A1087" s="100"/>
      <c r="B1087" s="101"/>
    </row>
    <row r="1088" customFormat="false" ht="13.8" hidden="false" customHeight="false" outlineLevel="0" collapsed="false">
      <c r="A1088" s="100"/>
      <c r="B1088" s="101"/>
    </row>
    <row r="1089" customFormat="false" ht="13.8" hidden="false" customHeight="false" outlineLevel="0" collapsed="false">
      <c r="A1089" s="100"/>
      <c r="B1089" s="101"/>
    </row>
    <row r="1090" customFormat="false" ht="13.8" hidden="false" customHeight="false" outlineLevel="0" collapsed="false">
      <c r="A1090" s="100"/>
      <c r="B1090" s="101"/>
    </row>
    <row r="1091" customFormat="false" ht="13.8" hidden="false" customHeight="false" outlineLevel="0" collapsed="false">
      <c r="A1091" s="100"/>
      <c r="B1091" s="101"/>
    </row>
    <row r="1092" customFormat="false" ht="13.8" hidden="false" customHeight="false" outlineLevel="0" collapsed="false">
      <c r="A1092" s="100"/>
      <c r="B1092" s="101"/>
    </row>
    <row r="1093" customFormat="false" ht="13.8" hidden="false" customHeight="false" outlineLevel="0" collapsed="false">
      <c r="A1093" s="100"/>
      <c r="B1093" s="101"/>
    </row>
    <row r="1094" customFormat="false" ht="13.8" hidden="false" customHeight="false" outlineLevel="0" collapsed="false">
      <c r="A1094" s="100"/>
      <c r="B1094" s="101"/>
    </row>
    <row r="1095" customFormat="false" ht="13.8" hidden="false" customHeight="false" outlineLevel="0" collapsed="false">
      <c r="A1095" s="100"/>
      <c r="B1095" s="101"/>
    </row>
    <row r="1096" customFormat="false" ht="13.8" hidden="false" customHeight="false" outlineLevel="0" collapsed="false">
      <c r="A1096" s="100"/>
      <c r="B1096" s="101"/>
    </row>
    <row r="1097" customFormat="false" ht="13.8" hidden="false" customHeight="false" outlineLevel="0" collapsed="false">
      <c r="A1097" s="100"/>
      <c r="B1097" s="101"/>
    </row>
    <row r="1098" customFormat="false" ht="13.8" hidden="false" customHeight="false" outlineLevel="0" collapsed="false">
      <c r="A1098" s="100"/>
      <c r="B1098" s="101"/>
    </row>
    <row r="1099" customFormat="false" ht="13.8" hidden="false" customHeight="false" outlineLevel="0" collapsed="false">
      <c r="A1099" s="100"/>
      <c r="B1099" s="101"/>
    </row>
    <row r="1100" customFormat="false" ht="13.8" hidden="false" customHeight="false" outlineLevel="0" collapsed="false">
      <c r="A1100" s="100"/>
      <c r="B1100" s="101"/>
    </row>
    <row r="1101" customFormat="false" ht="13.8" hidden="false" customHeight="false" outlineLevel="0" collapsed="false">
      <c r="A1101" s="100"/>
      <c r="B1101" s="101"/>
    </row>
    <row r="1102" customFormat="false" ht="13.8" hidden="false" customHeight="false" outlineLevel="0" collapsed="false">
      <c r="A1102" s="100"/>
      <c r="B1102" s="101"/>
    </row>
    <row r="1103" customFormat="false" ht="13.8" hidden="false" customHeight="false" outlineLevel="0" collapsed="false">
      <c r="A1103" s="100"/>
      <c r="B1103" s="101"/>
    </row>
    <row r="1104" customFormat="false" ht="13.8" hidden="false" customHeight="false" outlineLevel="0" collapsed="false">
      <c r="A1104" s="100"/>
      <c r="B1104" s="101"/>
    </row>
    <row r="1105" customFormat="false" ht="13.8" hidden="false" customHeight="false" outlineLevel="0" collapsed="false">
      <c r="A1105" s="100"/>
      <c r="B1105" s="101"/>
    </row>
    <row r="1106" customFormat="false" ht="13.8" hidden="false" customHeight="false" outlineLevel="0" collapsed="false">
      <c r="A1106" s="100"/>
      <c r="B1106" s="101"/>
    </row>
    <row r="1107" customFormat="false" ht="13.8" hidden="false" customHeight="false" outlineLevel="0" collapsed="false">
      <c r="A1107" s="100"/>
      <c r="B1107" s="101"/>
    </row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2021-02-04T14:41:29Z</dcterms:created>
  <dc:creator>Sandrine HILLION, Brest IRD, 02 98 22 46 64</dc:creator>
  <dc:description/>
  <dc:language>fr-FR</dc:language>
  <cp:lastModifiedBy/>
  <dcterms:modified xsi:type="dcterms:W3CDTF">2024-01-11T13:29:47Z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