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graph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<sst xmlns="http://schemas.openxmlformats.org/spreadsheetml/2006/main" count="330" uniqueCount="246">
  <si>
    <t xml:space="preserve">CAMPAGNE PIRATA FR 23 2013: mai-juin 2013 Atlantique Tropical Est</t>
  </si>
  <si>
    <t xml:space="preserve">ECHANTILLONS DE SURFACE PRIS AVEC LE THERMOSALINOGRAPHE: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</si>
  <si>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</si>
  <si>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</si>
  <si>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</si>
  <si>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</si>
  <si>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</si>
  <si>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</si>
  <si>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</si>
  <si>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</si>
  <si>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</si>
  <si>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</si>
  <si>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</si>
  <si>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</si>
  <si>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</si>
  <si>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</si>
  <si>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</si>
  <si>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</si>
  <si>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</si>
  <si>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</si>
  <si>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</si>
  <si>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</si>
  <si>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</si>
  <si>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</si>
  <si>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</si>
  <si>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</si>
  <si>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</si>
  <si>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 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</si>
  <si>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</si>
  <si>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</si>
  <si>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</si>
  <si>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</si>
  <si>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</si>
  <si>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</si>
  <si>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</si>
  <si>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</si>
  <si>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</si>
  <si>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</si>
  <si>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</si>
  <si>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</si>
  <si>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</si>
  <si>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</si>
  <si>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</si>
  <si>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</si>
  <si>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</si>
  <si>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</si>
  <si>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</si>
  <si>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</si>
  <si>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</si>
  <si>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</si>
  <si>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</si>
  <si>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</si>
  <si>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</si>
  <si>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</si>
  <si>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</si>
  <si>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</si>
  <si>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</si>
  <si>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</si>
  <si>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</si>
  <si>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</si>
  <si>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</si>
  <si>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</si>
  <si>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</si>
  <si>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</si>
  <si>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</si>
  <si>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</si>
  <si>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</si>
  <si>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</si>
  <si>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</si>
  <si>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</si>
  <si>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</si>
  <si>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</si>
  <si>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</si>
  <si>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</si>
  <si>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</si>
  <si>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</si>
  <si>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</si>
  <si>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</si>
  <si>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</si>
  <si>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t xml:space="preserve">µg,l-1</t>
  </si>
  <si>
    <t xml:space="preserve">15h23</t>
  </si>
  <si>
    <t xml:space="preserve">13°58,11 N</t>
  </si>
  <si>
    <t xml:space="preserve">17°39,17 W</t>
  </si>
  <si>
    <t xml:space="preserve">A01</t>
  </si>
  <si>
    <t xml:space="preserve">S1</t>
  </si>
  <si>
    <t xml:space="preserve">AMA472</t>
  </si>
  <si>
    <t xml:space="preserve">02h20</t>
  </si>
  <si>
    <t xml:space="preserve">11°58,48 N</t>
  </si>
  <si>
    <t xml:space="preserve">18°25,59 W</t>
  </si>
  <si>
    <t xml:space="preserve">A02</t>
  </si>
  <si>
    <t xml:space="preserve">S2</t>
  </si>
  <si>
    <t xml:space="preserve">AMA473</t>
  </si>
  <si>
    <t xml:space="preserve">13h26</t>
  </si>
  <si>
    <t xml:space="preserve">9°57,84 N</t>
  </si>
  <si>
    <t xml:space="preserve">19°12,14 W</t>
  </si>
  <si>
    <t xml:space="preserve">A03</t>
  </si>
  <si>
    <t xml:space="preserve">S3</t>
  </si>
  <si>
    <t xml:space="preserve">AMA474</t>
  </si>
  <si>
    <t xml:space="preserve">00h47</t>
  </si>
  <si>
    <t xml:space="preserve">7°57,93 N</t>
  </si>
  <si>
    <t xml:space="preserve">19°58,20 W</t>
  </si>
  <si>
    <t xml:space="preserve">A04</t>
  </si>
  <si>
    <t xml:space="preserve">S4</t>
  </si>
  <si>
    <t xml:space="preserve">AMA475</t>
  </si>
  <si>
    <t xml:space="preserve">14h29</t>
  </si>
  <si>
    <t xml:space="preserve">5°58,13 N</t>
  </si>
  <si>
    <t xml:space="preserve">20°44,02 W</t>
  </si>
  <si>
    <t xml:space="preserve">A05</t>
  </si>
  <si>
    <t xml:space="preserve">S5</t>
  </si>
  <si>
    <t xml:space="preserve">AMA476</t>
  </si>
  <si>
    <t xml:space="preserve">02h36</t>
  </si>
  <si>
    <t xml:space="preserve">3°58,17 N</t>
  </si>
  <si>
    <t xml:space="preserve">21°29,61 W</t>
  </si>
  <si>
    <t xml:space="preserve">A06</t>
  </si>
  <si>
    <t xml:space="preserve">S6</t>
  </si>
  <si>
    <t xml:space="preserve">AMA477</t>
  </si>
  <si>
    <t xml:space="preserve">15h11</t>
  </si>
  <si>
    <t xml:space="preserve">01°57,74 N</t>
  </si>
  <si>
    <t xml:space="preserve">22°15,50 W</t>
  </si>
  <si>
    <t xml:space="preserve">A07</t>
  </si>
  <si>
    <t xml:space="preserve">S7</t>
  </si>
  <si>
    <t xml:space="preserve">AMA478</t>
  </si>
  <si>
    <t xml:space="preserve">18h00</t>
  </si>
  <si>
    <t xml:space="preserve">02°00,65 S</t>
  </si>
  <si>
    <t xml:space="preserve">20°24,00 W</t>
  </si>
  <si>
    <t xml:space="preserve">A08</t>
  </si>
  <si>
    <t xml:space="preserve">S8</t>
  </si>
  <si>
    <t xml:space="preserve">AMA480</t>
  </si>
  <si>
    <t xml:space="preserve">14h49</t>
  </si>
  <si>
    <t xml:space="preserve">04°01,50 S</t>
  </si>
  <si>
    <t xml:space="preserve">17°48,09 W</t>
  </si>
  <si>
    <t xml:space="preserve">A09</t>
  </si>
  <si>
    <t xml:space="preserve">S9</t>
  </si>
  <si>
    <t xml:space="preserve">AMA484</t>
  </si>
  <si>
    <t xml:space="preserve">10h37</t>
  </si>
  <si>
    <t xml:space="preserve">06°01,31 S</t>
  </si>
  <si>
    <t xml:space="preserve">15°11,79 W</t>
  </si>
  <si>
    <t xml:space="preserve">A10</t>
  </si>
  <si>
    <t xml:space="preserve">S10</t>
  </si>
  <si>
    <t xml:space="preserve">AMA482</t>
  </si>
  <si>
    <t xml:space="preserve">07h03</t>
  </si>
  <si>
    <t xml:space="preserve">8°00,00 S</t>
  </si>
  <si>
    <t xml:space="preserve">12°36,00 W</t>
  </si>
  <si>
    <t xml:space="preserve">A11</t>
  </si>
  <si>
    <t xml:space="preserve">S11</t>
  </si>
  <si>
    <t xml:space="preserve">AMA485</t>
  </si>
  <si>
    <t xml:space="preserve">11h52</t>
  </si>
  <si>
    <t xml:space="preserve">2°00,00 N</t>
  </si>
  <si>
    <t xml:space="preserve">9°15,00 W</t>
  </si>
  <si>
    <t xml:space="preserve">D01</t>
  </si>
  <si>
    <t xml:space="preserve">S12</t>
  </si>
  <si>
    <t xml:space="preserve">22h04</t>
  </si>
  <si>
    <t xml:space="preserve">3°00,02 N</t>
  </si>
  <si>
    <t xml:space="preserve">7°35,14 W</t>
  </si>
  <si>
    <t xml:space="preserve">D02</t>
  </si>
  <si>
    <t xml:space="preserve">S13</t>
  </si>
  <si>
    <t xml:space="preserve">09h53</t>
  </si>
  <si>
    <t xml:space="preserve">3°59,86 N</t>
  </si>
  <si>
    <t xml:space="preserve">5°58,45 W</t>
  </si>
  <si>
    <t xml:space="preserve">D03</t>
  </si>
  <si>
    <t xml:space="preserve">S14</t>
  </si>
  <si>
    <t xml:space="preserve">02h42</t>
  </si>
  <si>
    <t xml:space="preserve">4°48,44 N</t>
  </si>
  <si>
    <t xml:space="preserve">4°34,79 W</t>
  </si>
  <si>
    <t xml:space="preserve">D04</t>
  </si>
  <si>
    <t xml:space="preserve">S15</t>
  </si>
  <si>
    <t xml:space="preserve">15h43</t>
  </si>
  <si>
    <t xml:space="preserve">4°20,00 N</t>
  </si>
  <si>
    <t xml:space="preserve">2°55,00 W</t>
  </si>
  <si>
    <t xml:space="preserve">S16</t>
  </si>
  <si>
    <t xml:space="preserve">21h41</t>
  </si>
  <si>
    <t xml:space="preserve">3°35,00 N</t>
  </si>
  <si>
    <t xml:space="preserve">1°57,70 W</t>
  </si>
  <si>
    <t xml:space="preserve">S17</t>
  </si>
  <si>
    <t xml:space="preserve">04h33</t>
  </si>
  <si>
    <t xml:space="preserve">2°48,00 N</t>
  </si>
  <si>
    <t xml:space="preserve">0°58,00 W</t>
  </si>
  <si>
    <t xml:space="preserve">S18</t>
  </si>
  <si>
    <t xml:space="preserve">ama554</t>
  </si>
  <si>
    <t xml:space="preserve">13h32</t>
  </si>
  <si>
    <t xml:space="preserve">0°00,70 S</t>
  </si>
  <si>
    <t xml:space="preserve">5°57,40 W</t>
  </si>
  <si>
    <t xml:space="preserve">S22</t>
  </si>
  <si>
    <t xml:space="preserve">ara12</t>
  </si>
  <si>
    <t xml:space="preserve">10h17</t>
  </si>
  <si>
    <t xml:space="preserve">1°20,70 S</t>
  </si>
  <si>
    <t xml:space="preserve">1°58,30 W</t>
  </si>
  <si>
    <t xml:space="preserve">D05</t>
  </si>
  <si>
    <t xml:space="preserve">S19</t>
  </si>
  <si>
    <t xml:space="preserve">ara13</t>
  </si>
  <si>
    <t xml:space="preserve">09h20</t>
  </si>
  <si>
    <t xml:space="preserve">0°00,00 S</t>
  </si>
  <si>
    <t xml:space="preserve">0°00,00 W</t>
  </si>
  <si>
    <t xml:space="preserve">D06</t>
  </si>
  <si>
    <t xml:space="preserve">S24</t>
  </si>
  <si>
    <t xml:space="preserve">ara16</t>
  </si>
  <si>
    <t xml:space="preserve">22h45</t>
  </si>
  <si>
    <t xml:space="preserve">1°29,97 N</t>
  </si>
  <si>
    <t xml:space="preserve">1°01,00 W</t>
  </si>
  <si>
    <t xml:space="preserve">D07</t>
  </si>
  <si>
    <t xml:space="preserve">S25</t>
  </si>
  <si>
    <t xml:space="preserve">ara17</t>
  </si>
  <si>
    <t xml:space="preserve">1°30,00 N</t>
  </si>
  <si>
    <t xml:space="preserve">2°01,63 W</t>
  </si>
  <si>
    <t xml:space="preserve">D08</t>
  </si>
  <si>
    <t xml:space="preserve">S26</t>
  </si>
  <si>
    <t xml:space="preserve">ARA14</t>
  </si>
  <si>
    <t xml:space="preserve">10h14</t>
  </si>
  <si>
    <t xml:space="preserve">1°29,00 N</t>
  </si>
  <si>
    <t xml:space="preserve">3°00,00 W</t>
  </si>
  <si>
    <t xml:space="preserve">D09</t>
  </si>
  <si>
    <t xml:space="preserve">S27</t>
  </si>
  <si>
    <t xml:space="preserve">ara18</t>
  </si>
  <si>
    <t xml:space="preserve">15h30</t>
  </si>
  <si>
    <t xml:space="preserve">4°01,00 W</t>
  </si>
  <si>
    <t xml:space="preserve">D10</t>
  </si>
  <si>
    <t xml:space="preserve">S28</t>
  </si>
  <si>
    <t xml:space="preserve">ara09</t>
  </si>
  <si>
    <t xml:space="preserve">21h47</t>
  </si>
  <si>
    <t xml:space="preserve">2°30,00 N</t>
  </si>
  <si>
    <t xml:space="preserve">3°59,00 W</t>
  </si>
  <si>
    <t xml:space="preserve">D11</t>
  </si>
  <si>
    <t xml:space="preserve">S29</t>
  </si>
  <si>
    <t xml:space="preserve">ara15</t>
  </si>
  <si>
    <t xml:space="preserve">03h50</t>
  </si>
  <si>
    <t xml:space="preserve">3°31,00 N</t>
  </si>
  <si>
    <t xml:space="preserve">D12</t>
  </si>
  <si>
    <t xml:space="preserve">S30</t>
  </si>
  <si>
    <t xml:space="preserve">ama560</t>
  </si>
  <si>
    <t xml:space="preserve">10h10</t>
  </si>
  <si>
    <t xml:space="preserve">4°30,00 N</t>
  </si>
  <si>
    <t xml:space="preserve">D13</t>
  </si>
  <si>
    <t xml:space="preserve">S31</t>
  </si>
  <si>
    <t xml:space="preserve">ama545</t>
  </si>
  <si>
    <t xml:space="preserve">4 50</t>
  </si>
  <si>
    <t xml:space="preserve">12h15</t>
  </si>
  <si>
    <t xml:space="preserve">4°50,00 N</t>
  </si>
  <si>
    <t xml:space="preserve">3°58,00 W</t>
  </si>
  <si>
    <t xml:space="preserve">D14</t>
  </si>
  <si>
    <t xml:space="preserve">S32</t>
  </si>
  <si>
    <t xml:space="preserve">ama561</t>
  </si>
  <si>
    <t xml:space="preserve">14h20</t>
  </si>
  <si>
    <t xml:space="preserve">5°04,97 N</t>
  </si>
  <si>
    <t xml:space="preserve">3°57,78 W</t>
  </si>
  <si>
    <t xml:space="preserve">XX</t>
  </si>
  <si>
    <t xml:space="preserve">X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</si>
</sst>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0.00"/>
    <numFmt numFmtId="167" formatCode="d/m/yy;@"/>
    <numFmt numFmtId="168" formatCode="h:mm;@"/>
    <numFmt numFmtId="169" formatCode="0"/>
    <numFmt numFmtId="170" formatCode="dd/mm/yy;@"/>
    <numFmt numFmtId="171" formatCode="hh\hmm"/>
    <numFmt numFmtId="172" formatCode="General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sz val="11"/>
      <name val="Times New Roman"/>
      <family val="1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0.7421875" defaultRowHeight="12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.85"/>
    <col collapsed="false" customWidth="true" hidden="false" outlineLevel="0" max="9" min="9" style="0" width="12.71"/>
    <col collapsed="false" customWidth="true" hidden="false" outlineLevel="0" max="12" min="12" style="0" width="13.02"/>
    <col collapsed="false" customWidth="true" hidden="false" outlineLevel="0" max="14" min="14" style="0" width="17"/>
    <col collapsed="false" customWidth="true" hidden="false" outlineLevel="0" max="16" min="16" style="0" width="10.29"/>
    <col collapsed="false" customWidth="true" hidden="false" outlineLevel="0" max="18" min="18" style="0" width="10.12"/>
    <col collapsed="false" customWidth="true" hidden="false" outlineLevel="0" max="22" min="20" style="0" width="9.85"/>
    <col collapsed="false" customWidth="true" hidden="false" outlineLevel="0" max="31" min="26" style="0" width="10.99"/>
    <col collapsed="false" customWidth="true" hidden="false" outlineLevel="0" max="32" min="32" style="0" width="14.28"/>
    <col collapsed="false" customWidth="true" hidden="false" outlineLevel="0" max="33" min="33" style="0" width="11.99"/>
    <col collapsed="false" customWidth="true" hidden="false" outlineLevel="0" max="34" min="34" style="0" width="26.59"/>
    <col collapsed="false" customWidth="true" hidden="false" outlineLevel="0" max="35" min="35" style="0" width="14.43"/>
    <col collapsed="false" customWidth="true" hidden="false" outlineLevel="0" max="36" min="36" style="0" width="11.14"/>
    <col collapsed="false" customWidth="true" hidden="false" outlineLevel="0" max="37" min="37" style="0" width="12.29"/>
    <col collapsed="false" customWidth="true" hidden="false" outlineLevel="0" max="39" min="39" style="0" width="6.28"/>
    <col collapsed="false" customWidth="true" hidden="false" outlineLevel="0" max="40" min="40" style="0" width="19.42"/>
    <col collapsed="false" customWidth="true" hidden="false" outlineLevel="0" max="41" min="41" style="0" width="12.86"/>
    <col collapsed="false" customWidth="true" hidden="false" outlineLevel="0" max="42" min="42" style="0" width="17.59"/>
    <col collapsed="false" customWidth="true" hidden="false" outlineLevel="0" max="43" min="43" style="0" width="14.43"/>
    <col collapsed="false" customWidth="true" hidden="false" outlineLevel="0" max="44" min="44" style="0" width="13.57"/>
    <col collapsed="false" customWidth="true" hidden="false" outlineLevel="0" max="45" min="45" style="0" width="13.7"/>
    <col collapsed="false" customWidth="true" hidden="false" outlineLevel="0" max="46" min="46" style="0" width="19.71"/>
    <col collapsed="false" customWidth="true" hidden="false" outlineLevel="0" max="47" min="47" style="0" width="13.14"/>
    <col collapsed="false" customWidth="true" hidden="false" outlineLevel="0" max="48" min="48" style="0" width="17.4"/>
    <col collapsed="false" customWidth="true" hidden="false" outlineLevel="0" max="49" min="49" style="0" width="13.29"/>
    <col collapsed="false" customWidth="true" hidden="false" outlineLevel="0" max="50" min="50" style="0" width="12.42"/>
  </cols>
  <sheetData>
    <row r="1" customFormat="false" ht="17.35" hidden="false" customHeight="false" outlineLevel="0" collapsed="false">
      <c r="D1" s="1" t="s">
        <v>0</v>
      </c>
    </row>
    <row r="3" customFormat="false" ht="13.8" hidden="false" customHeight="false" outlineLevel="0" collapsed="false">
      <c r="B3" s="2" t="s">
        <v>1</v>
      </c>
    </row>
    <row r="4" customFormat="false" ht="13.8" hidden="false" customHeight="false" outlineLevel="0" collapsed="false">
      <c r="B4" s="2"/>
      <c r="Z4" s="3" t="s">
        <v>2</v>
      </c>
      <c r="AA4" s="3" t="s">
        <v>3</v>
      </c>
      <c r="AB4" s="3" t="s">
        <v>4</v>
      </c>
      <c r="AC4" s="4" t="s">
        <v>5</v>
      </c>
      <c r="AD4" s="3" t="s">
        <v>6</v>
      </c>
      <c r="AE4" s="3" t="s">
        <v>7</v>
      </c>
      <c r="AF4" s="3" t="s">
        <v>8</v>
      </c>
      <c r="AG4" s="3" t="s">
        <v>9</v>
      </c>
      <c r="AH4" s="4" t="s">
        <v>10</v>
      </c>
      <c r="AI4" s="3" t="s">
        <v>11</v>
      </c>
      <c r="AJ4" s="3" t="s">
        <v>12</v>
      </c>
      <c r="AK4" s="3" t="s">
        <v>13</v>
      </c>
      <c r="AL4" s="3" t="s">
        <v>14</v>
      </c>
      <c r="AM4" s="3" t="s">
        <v>15</v>
      </c>
      <c r="AN4" s="4" t="s">
        <v>16</v>
      </c>
      <c r="AO4" s="4" t="s">
        <v>17</v>
      </c>
      <c r="AP4" s="4" t="s">
        <v>18</v>
      </c>
      <c r="AQ4" s="3" t="s">
        <v>19</v>
      </c>
      <c r="AR4" s="3" t="s">
        <v>20</v>
      </c>
      <c r="AS4" s="5" t="s">
        <v>21</v>
      </c>
      <c r="AT4" s="3" t="s">
        <v>22</v>
      </c>
      <c r="AU4" s="3" t="s">
        <v>23</v>
      </c>
      <c r="AV4" s="6" t="s">
        <v>24</v>
      </c>
      <c r="AW4" s="3" t="s">
        <v>25</v>
      </c>
      <c r="AX4" s="7" t="s">
        <v>26</v>
      </c>
    </row>
    <row r="5" customFormat="false" ht="13.8" hidden="false" customHeight="false" outlineLevel="0" collapsed="false">
      <c r="A5" s="8" t="s">
        <v>27</v>
      </c>
      <c r="B5" s="9"/>
      <c r="C5" s="9"/>
      <c r="D5" s="9"/>
      <c r="E5" s="10"/>
      <c r="F5" s="10"/>
      <c r="G5" s="10"/>
      <c r="H5" s="11"/>
      <c r="I5" s="12" t="s">
        <v>28</v>
      </c>
      <c r="J5" s="8"/>
      <c r="K5" s="8"/>
      <c r="L5" s="8"/>
      <c r="M5" s="13"/>
      <c r="N5" s="8"/>
      <c r="O5" s="8"/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  <c r="AE5" s="14" t="s">
        <v>34</v>
      </c>
      <c r="AF5" s="3" t="s">
        <v>35</v>
      </c>
      <c r="AG5" s="14" t="s">
        <v>36</v>
      </c>
      <c r="AH5" s="3" t="s">
        <v>37</v>
      </c>
      <c r="AI5" s="3" t="s">
        <v>38</v>
      </c>
      <c r="AJ5" s="3" t="s">
        <v>39</v>
      </c>
      <c r="AK5" s="3" t="s">
        <v>40</v>
      </c>
      <c r="AL5" s="3" t="s">
        <v>41</v>
      </c>
      <c r="AM5" s="15" t="s">
        <v>42</v>
      </c>
      <c r="AN5" s="3" t="s">
        <v>43</v>
      </c>
      <c r="AO5" s="3" t="s">
        <v>44</v>
      </c>
      <c r="AP5" s="16" t="s">
        <v>45</v>
      </c>
      <c r="AQ5" s="14" t="s">
        <v>46</v>
      </c>
      <c r="AR5" s="14" t="s">
        <v>47</v>
      </c>
      <c r="AS5" s="17" t="s">
        <v>48</v>
      </c>
      <c r="AT5" s="3" t="s">
        <v>49</v>
      </c>
      <c r="AU5" s="3" t="s">
        <v>50</v>
      </c>
      <c r="AV5" s="18" t="s">
        <v>51</v>
      </c>
      <c r="AW5" s="3" t="s">
        <v>52</v>
      </c>
      <c r="AX5" s="19" t="s">
        <v>53</v>
      </c>
    </row>
    <row r="6" customFormat="false" ht="35.05" hidden="false" customHeight="false" outlineLevel="0" collapsed="false">
      <c r="A6" s="20" t="s">
        <v>54</v>
      </c>
      <c r="B6" s="20" t="s">
        <v>55</v>
      </c>
      <c r="C6" s="20" t="s">
        <v>56</v>
      </c>
      <c r="D6" s="21" t="s">
        <v>57</v>
      </c>
      <c r="E6" s="22" t="s">
        <v>58</v>
      </c>
      <c r="F6" s="20" t="s">
        <v>59</v>
      </c>
      <c r="G6" s="20" t="s">
        <v>60</v>
      </c>
      <c r="H6" s="20" t="s">
        <v>61</v>
      </c>
      <c r="I6" s="20" t="s">
        <v>62</v>
      </c>
      <c r="J6" s="20" t="s">
        <v>63</v>
      </c>
      <c r="K6" s="20" t="s">
        <v>64</v>
      </c>
      <c r="L6" s="20" t="s">
        <v>65</v>
      </c>
      <c r="M6" s="20" t="s">
        <v>66</v>
      </c>
      <c r="N6" s="20" t="s">
        <v>67</v>
      </c>
      <c r="O6" s="20" t="s">
        <v>68</v>
      </c>
      <c r="P6" s="23" t="s">
        <v>69</v>
      </c>
      <c r="Q6" s="23" t="s">
        <v>70</v>
      </c>
      <c r="R6" s="23" t="s">
        <v>71</v>
      </c>
      <c r="S6" s="23" t="s">
        <v>72</v>
      </c>
      <c r="T6" s="23" t="s">
        <v>73</v>
      </c>
      <c r="U6" s="23" t="s">
        <v>74</v>
      </c>
      <c r="V6" s="23" t="s">
        <v>75</v>
      </c>
      <c r="W6" s="23" t="s">
        <v>76</v>
      </c>
      <c r="X6" s="23" t="s">
        <v>77</v>
      </c>
      <c r="Y6" s="23" t="s">
        <v>78</v>
      </c>
      <c r="Z6" s="3" t="s">
        <v>79</v>
      </c>
      <c r="AA6" s="3" t="s">
        <v>79</v>
      </c>
      <c r="AB6" s="3" t="s">
        <v>79</v>
      </c>
      <c r="AC6" s="3" t="s">
        <v>79</v>
      </c>
      <c r="AD6" s="3" t="s">
        <v>79</v>
      </c>
      <c r="AE6" s="3" t="s">
        <v>79</v>
      </c>
      <c r="AF6" s="3" t="s">
        <v>79</v>
      </c>
      <c r="AG6" s="3" t="s">
        <v>79</v>
      </c>
      <c r="AH6" s="3" t="s">
        <v>79</v>
      </c>
      <c r="AI6" s="3" t="s">
        <v>79</v>
      </c>
      <c r="AJ6" s="3" t="s">
        <v>79</v>
      </c>
      <c r="AK6" s="3" t="s">
        <v>79</v>
      </c>
      <c r="AL6" s="3" t="s">
        <v>79</v>
      </c>
      <c r="AM6" s="3" t="s">
        <v>79</v>
      </c>
      <c r="AN6" s="3" t="s">
        <v>79</v>
      </c>
      <c r="AO6" s="3" t="s">
        <v>79</v>
      </c>
      <c r="AP6" s="3" t="s">
        <v>79</v>
      </c>
      <c r="AQ6" s="3" t="s">
        <v>79</v>
      </c>
      <c r="AR6" s="3" t="s">
        <v>79</v>
      </c>
      <c r="AS6" s="3" t="s">
        <v>79</v>
      </c>
      <c r="AT6" s="3" t="s">
        <v>79</v>
      </c>
      <c r="AU6" s="3" t="s">
        <v>79</v>
      </c>
      <c r="AV6" s="3" t="s">
        <v>79</v>
      </c>
      <c r="AW6" s="3" t="s">
        <v>79</v>
      </c>
      <c r="AX6" s="3" t="s">
        <v>79</v>
      </c>
    </row>
    <row r="7" customFormat="false" ht="13.8" hidden="false" customHeight="false" outlineLevel="0" collapsed="false">
      <c r="A7" s="24" t="n">
        <v>1</v>
      </c>
      <c r="B7" s="25" t="n">
        <v>14</v>
      </c>
      <c r="C7" s="25" t="n">
        <v>-17.37</v>
      </c>
      <c r="D7" s="26" t="n">
        <v>41405</v>
      </c>
      <c r="E7" s="27" t="s">
        <v>80</v>
      </c>
      <c r="F7" s="28" t="s">
        <v>81</v>
      </c>
      <c r="G7" s="26" t="s">
        <v>82</v>
      </c>
      <c r="H7" s="28" t="n">
        <v>35.691</v>
      </c>
      <c r="I7" s="28" t="n">
        <v>24.022</v>
      </c>
      <c r="J7" s="26" t="s">
        <v>83</v>
      </c>
      <c r="K7" s="26" t="s">
        <v>84</v>
      </c>
      <c r="L7" s="26" t="s">
        <v>85</v>
      </c>
      <c r="M7" s="26" t="s">
        <v>84</v>
      </c>
      <c r="N7" s="29" t="s">
        <v>27</v>
      </c>
      <c r="O7" s="30" t="n">
        <v>35.7271</v>
      </c>
      <c r="P7" s="31" t="n">
        <v>0</v>
      </c>
      <c r="Q7" s="31" t="n">
        <v>0</v>
      </c>
      <c r="R7" s="31" t="n">
        <v>0.09</v>
      </c>
      <c r="S7" s="31" t="n">
        <v>0.09</v>
      </c>
      <c r="T7" s="31" t="n">
        <f aca="false">SUM(P7,R7)</f>
        <v>0.09</v>
      </c>
      <c r="U7" s="31" t="n">
        <f aca="false">SUM(Q7,S7)</f>
        <v>0.09</v>
      </c>
      <c r="V7" s="31" t="n">
        <v>0.14</v>
      </c>
      <c r="W7" s="31" t="n">
        <v>0.13</v>
      </c>
      <c r="X7" s="31" t="n">
        <v>0</v>
      </c>
      <c r="Y7" s="31" t="n">
        <v>0</v>
      </c>
      <c r="Z7" s="32" t="n">
        <v>0.016</v>
      </c>
      <c r="AA7" s="32" t="n">
        <v>0.0216</v>
      </c>
      <c r="AB7" s="32" t="n">
        <v>0.0131</v>
      </c>
      <c r="AC7" s="32" t="n">
        <v>0.0051</v>
      </c>
      <c r="AD7" s="32" t="n">
        <v>0.035</v>
      </c>
      <c r="AE7" s="32" t="n">
        <v>0.002</v>
      </c>
      <c r="AF7" s="32" t="n">
        <v>0.0023</v>
      </c>
      <c r="AG7" s="32" t="n">
        <v>0.0032</v>
      </c>
      <c r="AH7" s="32" t="n">
        <v>0.0526</v>
      </c>
      <c r="AI7" s="32" t="n">
        <v>0.0294</v>
      </c>
      <c r="AJ7" s="32" t="n">
        <v>0.0073</v>
      </c>
      <c r="AK7" s="32" t="n">
        <v>0.0064</v>
      </c>
      <c r="AL7" s="32" t="n">
        <v>0.1863</v>
      </c>
      <c r="AM7" s="32"/>
      <c r="AN7" s="32" t="n">
        <v>0</v>
      </c>
      <c r="AO7" s="32" t="n">
        <v>0.0222</v>
      </c>
      <c r="AP7" s="32"/>
      <c r="AQ7" s="32" t="n">
        <v>-77777</v>
      </c>
      <c r="AR7" s="32" t="n">
        <v>0.035</v>
      </c>
      <c r="AS7" s="32" t="n">
        <v>-99999</v>
      </c>
      <c r="AT7" s="32" t="n">
        <v>-99999</v>
      </c>
      <c r="AU7" s="32" t="n">
        <v>0.3266</v>
      </c>
      <c r="AV7" s="32"/>
      <c r="AW7" s="32" t="n">
        <v>0.0041</v>
      </c>
      <c r="AX7" s="33"/>
    </row>
    <row r="8" customFormat="false" ht="13.8" hidden="false" customHeight="false" outlineLevel="0" collapsed="false">
      <c r="A8" s="24" t="n">
        <f aca="false">A7+1</f>
        <v>2</v>
      </c>
      <c r="B8" s="25" t="n">
        <v>12</v>
      </c>
      <c r="C8" s="25" t="n">
        <v>-18.27</v>
      </c>
      <c r="D8" s="26" t="n">
        <v>41406</v>
      </c>
      <c r="E8" s="27" t="s">
        <v>86</v>
      </c>
      <c r="F8" s="26" t="s">
        <v>87</v>
      </c>
      <c r="G8" s="26" t="s">
        <v>88</v>
      </c>
      <c r="H8" s="28" t="n">
        <v>35.688</v>
      </c>
      <c r="I8" s="28" t="n">
        <v>24.674</v>
      </c>
      <c r="J8" s="26" t="s">
        <v>89</v>
      </c>
      <c r="K8" s="26" t="s">
        <v>90</v>
      </c>
      <c r="L8" s="26" t="s">
        <v>91</v>
      </c>
      <c r="M8" s="26" t="s">
        <v>90</v>
      </c>
      <c r="N8" s="29"/>
      <c r="O8" s="30" t="n">
        <v>35.7342</v>
      </c>
      <c r="P8" s="31" t="n">
        <v>0</v>
      </c>
      <c r="Q8" s="31" t="n">
        <v>0</v>
      </c>
      <c r="R8" s="31" t="n">
        <v>0.11</v>
      </c>
      <c r="S8" s="31" t="n">
        <v>0.11</v>
      </c>
      <c r="T8" s="31" t="n">
        <f aca="false">SUM(P8,R8)</f>
        <v>0.11</v>
      </c>
      <c r="U8" s="31" t="n">
        <f aca="false">SUM(Q8,S8)</f>
        <v>0.11</v>
      </c>
      <c r="V8" s="31" t="n">
        <v>0.16</v>
      </c>
      <c r="W8" s="31" t="n">
        <v>0.16</v>
      </c>
      <c r="X8" s="31" t="n">
        <v>0.21</v>
      </c>
      <c r="Y8" s="31" t="n">
        <v>0.21</v>
      </c>
      <c r="Z8" s="32" t="n">
        <v>0.0088</v>
      </c>
      <c r="AA8" s="32" t="n">
        <v>0.0185</v>
      </c>
      <c r="AB8" s="32" t="n">
        <v>0.0155</v>
      </c>
      <c r="AC8" s="32" t="n">
        <v>0.0062</v>
      </c>
      <c r="AD8" s="32" t="n">
        <v>0.058</v>
      </c>
      <c r="AE8" s="32" t="n">
        <v>0.0065</v>
      </c>
      <c r="AF8" s="32" t="n">
        <v>0.0052</v>
      </c>
      <c r="AG8" s="32" t="n">
        <v>0.0041</v>
      </c>
      <c r="AH8" s="32" t="n">
        <v>0.0363</v>
      </c>
      <c r="AI8" s="32" t="n">
        <v>0.019</v>
      </c>
      <c r="AJ8" s="32" t="n">
        <v>0.0114</v>
      </c>
      <c r="AK8" s="32" t="n">
        <v>0.0031</v>
      </c>
      <c r="AL8" s="32" t="n">
        <v>0.0753</v>
      </c>
      <c r="AM8" s="32"/>
      <c r="AN8" s="32" t="n">
        <v>0</v>
      </c>
      <c r="AO8" s="32" t="n">
        <v>0.0577</v>
      </c>
      <c r="AP8" s="32"/>
      <c r="AQ8" s="32" t="n">
        <v>-77777</v>
      </c>
      <c r="AR8" s="32" t="n">
        <v>0.0328</v>
      </c>
      <c r="AS8" s="32" t="n">
        <v>-99999</v>
      </c>
      <c r="AT8" s="32" t="n">
        <v>-99999</v>
      </c>
      <c r="AU8" s="32" t="n">
        <v>0.3752</v>
      </c>
      <c r="AV8" s="32"/>
      <c r="AW8" s="32" t="n">
        <v>0.0055</v>
      </c>
      <c r="AX8" s="33"/>
    </row>
    <row r="9" customFormat="false" ht="13.8" hidden="false" customHeight="false" outlineLevel="0" collapsed="false">
      <c r="A9" s="24" t="n">
        <f aca="false">A8+1</f>
        <v>3</v>
      </c>
      <c r="B9" s="25" t="n">
        <v>10</v>
      </c>
      <c r="C9" s="25" t="n">
        <v>-19.1</v>
      </c>
      <c r="D9" s="26" t="n">
        <v>41406</v>
      </c>
      <c r="E9" s="27" t="s">
        <v>92</v>
      </c>
      <c r="F9" s="26" t="s">
        <v>93</v>
      </c>
      <c r="G9" s="26" t="s">
        <v>94</v>
      </c>
      <c r="H9" s="28" t="n">
        <v>35.929</v>
      </c>
      <c r="I9" s="28" t="n">
        <v>27.653</v>
      </c>
      <c r="J9" s="26" t="s">
        <v>95</v>
      </c>
      <c r="K9" s="26" t="s">
        <v>96</v>
      </c>
      <c r="L9" s="26" t="s">
        <v>97</v>
      </c>
      <c r="M9" s="26" t="s">
        <v>96</v>
      </c>
      <c r="N9" s="29" t="s">
        <v>27</v>
      </c>
      <c r="O9" s="30" t="n">
        <v>35.9733</v>
      </c>
      <c r="P9" s="31" t="n">
        <v>0.01</v>
      </c>
      <c r="Q9" s="31" t="n">
        <v>0.01</v>
      </c>
      <c r="R9" s="31" t="n">
        <v>0.09</v>
      </c>
      <c r="S9" s="31" t="n">
        <v>0.09</v>
      </c>
      <c r="T9" s="31" t="n">
        <f aca="false">SUM(P9,R9)</f>
        <v>0.1</v>
      </c>
      <c r="U9" s="31" t="n">
        <f aca="false">SUM(Q9,S9)</f>
        <v>0.1</v>
      </c>
      <c r="V9" s="31" t="n">
        <v>0.05</v>
      </c>
      <c r="W9" s="31" t="n">
        <v>0.05</v>
      </c>
      <c r="X9" s="31" t="n">
        <v>1.01</v>
      </c>
      <c r="Y9" s="31" t="n">
        <v>0.99</v>
      </c>
      <c r="Z9" s="32" t="n">
        <v>0.0042</v>
      </c>
      <c r="AA9" s="32" t="n">
        <v>0.0067</v>
      </c>
      <c r="AB9" s="32" t="n">
        <v>0.0056</v>
      </c>
      <c r="AC9" s="32" t="n">
        <v>0.0035</v>
      </c>
      <c r="AD9" s="32" t="n">
        <v>0.0049</v>
      </c>
      <c r="AE9" s="32" t="n">
        <v>-99999</v>
      </c>
      <c r="AF9" s="32" t="n">
        <v>-99999</v>
      </c>
      <c r="AG9" s="32" t="n">
        <v>0.0014</v>
      </c>
      <c r="AH9" s="32" t="n">
        <v>0.0176</v>
      </c>
      <c r="AI9" s="32" t="n">
        <v>0.0136</v>
      </c>
      <c r="AJ9" s="32" t="n">
        <v>-99999</v>
      </c>
      <c r="AK9" s="32" t="n">
        <v>-99999</v>
      </c>
      <c r="AL9" s="32" t="n">
        <v>0.1662</v>
      </c>
      <c r="AM9" s="32"/>
      <c r="AN9" s="32" t="n">
        <v>0.0056</v>
      </c>
      <c r="AO9" s="32" t="n">
        <v>0.0062</v>
      </c>
      <c r="AP9" s="32"/>
      <c r="AQ9" s="32" t="n">
        <v>0.0207</v>
      </c>
      <c r="AR9" s="32" t="n">
        <v>-77777</v>
      </c>
      <c r="AS9" s="32" t="n">
        <v>-99999</v>
      </c>
      <c r="AT9" s="32" t="n">
        <v>0.0952</v>
      </c>
      <c r="AU9" s="32" t="n">
        <v>0.0886</v>
      </c>
      <c r="AV9" s="32"/>
      <c r="AW9" s="32" t="n">
        <v>0.0025</v>
      </c>
      <c r="AX9" s="33"/>
    </row>
    <row r="10" customFormat="false" ht="13.8" hidden="false" customHeight="false" outlineLevel="0" collapsed="false">
      <c r="A10" s="24" t="n">
        <f aca="false">A9+1</f>
        <v>4</v>
      </c>
      <c r="B10" s="25" t="n">
        <v>8</v>
      </c>
      <c r="C10" s="25" t="n">
        <v>-19.57</v>
      </c>
      <c r="D10" s="26" t="n">
        <v>41407</v>
      </c>
      <c r="E10" s="27" t="s">
        <v>98</v>
      </c>
      <c r="F10" s="26" t="s">
        <v>99</v>
      </c>
      <c r="G10" s="26" t="s">
        <v>100</v>
      </c>
      <c r="H10" s="28" t="n">
        <v>35.913</v>
      </c>
      <c r="I10" s="28" t="n">
        <v>27.88</v>
      </c>
      <c r="J10" s="26" t="s">
        <v>101</v>
      </c>
      <c r="K10" s="26" t="s">
        <v>102</v>
      </c>
      <c r="L10" s="26" t="s">
        <v>103</v>
      </c>
      <c r="M10" s="26" t="s">
        <v>102</v>
      </c>
      <c r="N10" s="29" t="s">
        <v>27</v>
      </c>
      <c r="O10" s="30" t="n">
        <v>35.954</v>
      </c>
      <c r="P10" s="31" t="n">
        <v>0</v>
      </c>
      <c r="Q10" s="31" t="n">
        <v>0</v>
      </c>
      <c r="R10" s="31" t="n">
        <v>0.09</v>
      </c>
      <c r="S10" s="31" t="n">
        <v>0.09</v>
      </c>
      <c r="T10" s="31" t="n">
        <f aca="false">SUM(P10,R10)</f>
        <v>0.09</v>
      </c>
      <c r="U10" s="31" t="n">
        <f aca="false">SUM(Q10,S10)</f>
        <v>0.09</v>
      </c>
      <c r="V10" s="31" t="n">
        <v>0.05</v>
      </c>
      <c r="W10" s="31" t="n">
        <v>0.05</v>
      </c>
      <c r="X10" s="31" t="n">
        <v>0.84</v>
      </c>
      <c r="Y10" s="31" t="n">
        <v>0.82</v>
      </c>
      <c r="Z10" s="32" t="n">
        <v>0.0046</v>
      </c>
      <c r="AA10" s="32" t="n">
        <v>0.0076</v>
      </c>
      <c r="AB10" s="32" t="n">
        <v>0.0085</v>
      </c>
      <c r="AC10" s="32" t="n">
        <v>0.0052</v>
      </c>
      <c r="AD10" s="32" t="n">
        <v>0.0058</v>
      </c>
      <c r="AE10" s="32" t="n">
        <v>0.0008</v>
      </c>
      <c r="AF10" s="32" t="n">
        <v>0.0014</v>
      </c>
      <c r="AG10" s="32" t="n">
        <v>-99999</v>
      </c>
      <c r="AH10" s="32" t="n">
        <v>0.0195</v>
      </c>
      <c r="AI10" s="32" t="n">
        <v>0.0072</v>
      </c>
      <c r="AJ10" s="32" t="n">
        <v>-99999</v>
      </c>
      <c r="AK10" s="32" t="n">
        <v>0.0012</v>
      </c>
      <c r="AL10" s="32" t="n">
        <v>0.2016</v>
      </c>
      <c r="AM10" s="32"/>
      <c r="AN10" s="32" t="n">
        <v>0.0065</v>
      </c>
      <c r="AO10" s="32" t="n">
        <v>0.0076</v>
      </c>
      <c r="AP10" s="32"/>
      <c r="AQ10" s="32" t="n">
        <v>0.0279</v>
      </c>
      <c r="AR10" s="32" t="n">
        <v>-77777</v>
      </c>
      <c r="AS10" s="32" t="n">
        <v>-99999</v>
      </c>
      <c r="AT10" s="32" t="n">
        <v>0.0926</v>
      </c>
      <c r="AU10" s="32" t="n">
        <v>0.0963</v>
      </c>
      <c r="AV10" s="32"/>
      <c r="AW10" s="32" t="n">
        <v>0.0016</v>
      </c>
      <c r="AX10" s="33"/>
    </row>
    <row r="11" customFormat="false" ht="13.8" hidden="false" customHeight="false" outlineLevel="0" collapsed="false">
      <c r="A11" s="24" t="n">
        <f aca="false">A10+1</f>
        <v>5</v>
      </c>
      <c r="B11" s="25" t="n">
        <v>6</v>
      </c>
      <c r="C11" s="25" t="n">
        <v>-20.42</v>
      </c>
      <c r="D11" s="26" t="n">
        <v>41407</v>
      </c>
      <c r="E11" s="27" t="s">
        <v>104</v>
      </c>
      <c r="F11" s="26" t="s">
        <v>105</v>
      </c>
      <c r="G11" s="26" t="s">
        <v>106</v>
      </c>
      <c r="H11" s="28" t="n">
        <v>35.144</v>
      </c>
      <c r="I11" s="28" t="n">
        <v>29.166</v>
      </c>
      <c r="J11" s="26" t="s">
        <v>107</v>
      </c>
      <c r="K11" s="26" t="s">
        <v>108</v>
      </c>
      <c r="L11" s="26" t="s">
        <v>109</v>
      </c>
      <c r="M11" s="26" t="s">
        <v>108</v>
      </c>
      <c r="N11" s="29" t="s">
        <v>27</v>
      </c>
      <c r="O11" s="30" t="n">
        <v>35.161</v>
      </c>
      <c r="P11" s="31" t="n">
        <v>0.01</v>
      </c>
      <c r="Q11" s="31" t="n">
        <v>0.01</v>
      </c>
      <c r="R11" s="31" t="n">
        <v>0.09</v>
      </c>
      <c r="S11" s="31" t="n">
        <v>0.09</v>
      </c>
      <c r="T11" s="31" t="n">
        <f aca="false">SUM(P11,R11)</f>
        <v>0.1</v>
      </c>
      <c r="U11" s="31" t="n">
        <f aca="false">SUM(Q11,S11)</f>
        <v>0.1</v>
      </c>
      <c r="V11" s="31" t="n">
        <v>0.01</v>
      </c>
      <c r="W11" s="31" t="n">
        <v>0</v>
      </c>
      <c r="X11" s="31" t="n">
        <v>0.89</v>
      </c>
      <c r="Y11" s="31" t="n">
        <v>0.87</v>
      </c>
      <c r="Z11" s="32" t="n">
        <v>0.0062</v>
      </c>
      <c r="AA11" s="32" t="n">
        <v>0.0094</v>
      </c>
      <c r="AB11" s="32" t="n">
        <v>0.0082</v>
      </c>
      <c r="AC11" s="32" t="n">
        <v>0.0074</v>
      </c>
      <c r="AD11" s="32" t="n">
        <v>0.0092</v>
      </c>
      <c r="AE11" s="32" t="n">
        <v>-99999</v>
      </c>
      <c r="AF11" s="32" t="n">
        <v>-99999</v>
      </c>
      <c r="AG11" s="32" t="n">
        <v>0.0021</v>
      </c>
      <c r="AH11" s="32" t="n">
        <v>0.0252</v>
      </c>
      <c r="AI11" s="32" t="n">
        <v>0.0214</v>
      </c>
      <c r="AJ11" s="32" t="n">
        <v>0.0039</v>
      </c>
      <c r="AK11" s="32" t="n">
        <v>-99999</v>
      </c>
      <c r="AL11" s="32" t="n">
        <v>0.2116</v>
      </c>
      <c r="AM11" s="32"/>
      <c r="AN11" s="32" t="n">
        <v>0.0055</v>
      </c>
      <c r="AO11" s="32" t="n">
        <v>0.0078</v>
      </c>
      <c r="AP11" s="32"/>
      <c r="AQ11" s="32" t="n">
        <v>-77777</v>
      </c>
      <c r="AR11" s="32" t="n">
        <v>0.0326</v>
      </c>
      <c r="AS11" s="32" t="n">
        <v>-99999</v>
      </c>
      <c r="AT11" s="32" t="n">
        <v>0.0862</v>
      </c>
      <c r="AU11" s="32" t="n">
        <v>0.1501</v>
      </c>
      <c r="AV11" s="32"/>
      <c r="AW11" s="32" t="n">
        <v>0.0015</v>
      </c>
      <c r="AX11" s="33"/>
    </row>
    <row r="12" customFormat="false" ht="13.8" hidden="false" customHeight="false" outlineLevel="0" collapsed="false">
      <c r="A12" s="24" t="n">
        <f aca="false">A11+1</f>
        <v>6</v>
      </c>
      <c r="B12" s="25" t="n">
        <v>4</v>
      </c>
      <c r="C12" s="25" t="n">
        <v>-21.28</v>
      </c>
      <c r="D12" s="26" t="n">
        <v>41408</v>
      </c>
      <c r="E12" s="27" t="s">
        <v>110</v>
      </c>
      <c r="F12" s="26" t="s">
        <v>111</v>
      </c>
      <c r="G12" s="26" t="s">
        <v>112</v>
      </c>
      <c r="H12" s="28" t="n">
        <v>34.524</v>
      </c>
      <c r="I12" s="28" t="n">
        <v>29.023</v>
      </c>
      <c r="J12" s="26" t="s">
        <v>113</v>
      </c>
      <c r="K12" s="26" t="s">
        <v>114</v>
      </c>
      <c r="L12" s="26" t="s">
        <v>115</v>
      </c>
      <c r="M12" s="26" t="s">
        <v>114</v>
      </c>
      <c r="N12" s="29" t="s">
        <v>27</v>
      </c>
      <c r="O12" s="30" t="n">
        <v>34.5828</v>
      </c>
      <c r="P12" s="31" t="n">
        <v>0</v>
      </c>
      <c r="Q12" s="31" t="n">
        <v>0</v>
      </c>
      <c r="R12" s="31" t="n">
        <v>0.09</v>
      </c>
      <c r="S12" s="31" t="n">
        <v>0.09</v>
      </c>
      <c r="T12" s="31" t="n">
        <f aca="false">SUM(P12,R12)</f>
        <v>0.09</v>
      </c>
      <c r="U12" s="31" t="n">
        <f aca="false">SUM(Q12,S12)</f>
        <v>0.09</v>
      </c>
      <c r="V12" s="31" t="n">
        <v>0.04</v>
      </c>
      <c r="W12" s="31" t="n">
        <v>0.04</v>
      </c>
      <c r="X12" s="31" t="n">
        <v>0.7</v>
      </c>
      <c r="Y12" s="31" t="n">
        <v>0.68</v>
      </c>
      <c r="Z12" s="32" t="n">
        <v>0.0041</v>
      </c>
      <c r="AA12" s="32" t="n">
        <v>0.0054</v>
      </c>
      <c r="AB12" s="32" t="n">
        <v>0.0048</v>
      </c>
      <c r="AC12" s="32" t="n">
        <v>0.0042</v>
      </c>
      <c r="AD12" s="32" t="n">
        <v>0.0049</v>
      </c>
      <c r="AE12" s="32" t="n">
        <v>-99999</v>
      </c>
      <c r="AF12" s="32" t="n">
        <v>-99999</v>
      </c>
      <c r="AG12" s="32" t="n">
        <v>0.001</v>
      </c>
      <c r="AH12" s="32" t="n">
        <v>0.0171</v>
      </c>
      <c r="AI12" s="32" t="n">
        <v>0.0081</v>
      </c>
      <c r="AJ12" s="32" t="n">
        <v>-99999</v>
      </c>
      <c r="AK12" s="32" t="n">
        <v>-99999</v>
      </c>
      <c r="AL12" s="32" t="n">
        <v>0.13</v>
      </c>
      <c r="AM12" s="32"/>
      <c r="AN12" s="32" t="n">
        <v>0.005</v>
      </c>
      <c r="AO12" s="32" t="n">
        <v>0.006</v>
      </c>
      <c r="AP12" s="32"/>
      <c r="AQ12" s="32" t="n">
        <v>0.0235</v>
      </c>
      <c r="AR12" s="32" t="n">
        <v>-77777</v>
      </c>
      <c r="AS12" s="32" t="n">
        <v>-99999</v>
      </c>
      <c r="AT12" s="32" t="n">
        <v>0.0677</v>
      </c>
      <c r="AU12" s="32" t="n">
        <v>0.0861</v>
      </c>
      <c r="AV12" s="32"/>
      <c r="AW12" s="32" t="n">
        <v>0.0011</v>
      </c>
      <c r="AX12" s="33"/>
    </row>
    <row r="13" customFormat="false" ht="13.8" hidden="false" customHeight="false" outlineLevel="0" collapsed="false">
      <c r="A13" s="24" t="n">
        <f aca="false">A12+1</f>
        <v>7</v>
      </c>
      <c r="B13" s="25" t="n">
        <v>2</v>
      </c>
      <c r="C13" s="25" t="n">
        <v>-22.15</v>
      </c>
      <c r="D13" s="26" t="n">
        <v>41408</v>
      </c>
      <c r="E13" s="27" t="s">
        <v>116</v>
      </c>
      <c r="F13" s="26" t="s">
        <v>117</v>
      </c>
      <c r="G13" s="26" t="s">
        <v>118</v>
      </c>
      <c r="H13" s="28" t="n">
        <v>35.362</v>
      </c>
      <c r="I13" s="28" t="n">
        <v>28.942</v>
      </c>
      <c r="J13" s="26" t="s">
        <v>119</v>
      </c>
      <c r="K13" s="26" t="s">
        <v>120</v>
      </c>
      <c r="L13" s="26" t="s">
        <v>121</v>
      </c>
      <c r="M13" s="26" t="s">
        <v>120</v>
      </c>
      <c r="N13" s="29" t="s">
        <v>27</v>
      </c>
      <c r="O13" s="30" t="n">
        <v>35.387</v>
      </c>
      <c r="P13" s="31" t="n">
        <v>0</v>
      </c>
      <c r="Q13" s="31" t="n">
        <v>0</v>
      </c>
      <c r="R13" s="31" t="n">
        <v>0.09</v>
      </c>
      <c r="S13" s="31" t="n">
        <v>0.09</v>
      </c>
      <c r="T13" s="31" t="n">
        <f aca="false">SUM(P13,R13)</f>
        <v>0.09</v>
      </c>
      <c r="U13" s="31" t="n">
        <f aca="false">SUM(Q13,S13)</f>
        <v>0.09</v>
      </c>
      <c r="V13" s="31" t="n">
        <v>0.01</v>
      </c>
      <c r="W13" s="31" t="n">
        <v>0.01</v>
      </c>
      <c r="X13" s="31" t="n">
        <v>0.79</v>
      </c>
      <c r="Y13" s="31" t="n">
        <v>0.77</v>
      </c>
      <c r="Z13" s="32" t="n">
        <v>0.0056</v>
      </c>
      <c r="AA13" s="32" t="n">
        <v>0.0089</v>
      </c>
      <c r="AB13" s="32" t="n">
        <v>0.0067</v>
      </c>
      <c r="AC13" s="32" t="n">
        <v>0.0055</v>
      </c>
      <c r="AD13" s="32" t="n">
        <v>0.0064</v>
      </c>
      <c r="AE13" s="32" t="n">
        <v>-99999</v>
      </c>
      <c r="AF13" s="32" t="n">
        <v>-99999</v>
      </c>
      <c r="AG13" s="32" t="n">
        <v>0.0013</v>
      </c>
      <c r="AH13" s="32" t="n">
        <v>0.0236</v>
      </c>
      <c r="AI13" s="32" t="n">
        <v>0.0269</v>
      </c>
      <c r="AJ13" s="32" t="n">
        <v>-99999</v>
      </c>
      <c r="AK13" s="32" t="n">
        <v>-99999</v>
      </c>
      <c r="AL13" s="32" t="n">
        <v>0.2031</v>
      </c>
      <c r="AM13" s="32"/>
      <c r="AN13" s="32" t="n">
        <v>0.0053</v>
      </c>
      <c r="AO13" s="32" t="n">
        <v>0.0067</v>
      </c>
      <c r="AP13" s="32"/>
      <c r="AQ13" s="32" t="n">
        <v>-77777</v>
      </c>
      <c r="AR13" s="32" t="n">
        <v>0.0519</v>
      </c>
      <c r="AS13" s="32" t="n">
        <v>-99999</v>
      </c>
      <c r="AT13" s="32" t="n">
        <v>0.0716</v>
      </c>
      <c r="AU13" s="32" t="n">
        <v>0.2428</v>
      </c>
      <c r="AV13" s="32"/>
      <c r="AW13" s="32" t="n">
        <v>0.002</v>
      </c>
      <c r="AX13" s="33"/>
    </row>
    <row r="14" customFormat="false" ht="13.8" hidden="false" customHeight="false" outlineLevel="0" collapsed="false">
      <c r="A14" s="24" t="n">
        <f aca="false">A13+1</f>
        <v>8</v>
      </c>
      <c r="B14" s="25" t="n">
        <v>-2</v>
      </c>
      <c r="C14" s="25" t="n">
        <v>-20.24</v>
      </c>
      <c r="D14" s="26" t="n">
        <v>41410</v>
      </c>
      <c r="E14" s="27" t="s">
        <v>122</v>
      </c>
      <c r="F14" s="26" t="s">
        <v>123</v>
      </c>
      <c r="G14" s="26" t="s">
        <v>124</v>
      </c>
      <c r="H14" s="28" t="n">
        <v>36.106</v>
      </c>
      <c r="I14" s="28" t="n">
        <v>27.71</v>
      </c>
      <c r="J14" s="26" t="s">
        <v>125</v>
      </c>
      <c r="K14" s="26" t="s">
        <v>126</v>
      </c>
      <c r="L14" s="26" t="s">
        <v>127</v>
      </c>
      <c r="M14" s="26" t="s">
        <v>126</v>
      </c>
      <c r="N14" s="29" t="s">
        <v>27</v>
      </c>
      <c r="O14" s="30" t="n">
        <v>36.148</v>
      </c>
      <c r="P14" s="31" t="n">
        <v>0</v>
      </c>
      <c r="Q14" s="31" t="n">
        <v>0</v>
      </c>
      <c r="R14" s="31" t="n">
        <v>0.1</v>
      </c>
      <c r="S14" s="31" t="n">
        <v>0.1</v>
      </c>
      <c r="T14" s="31" t="n">
        <f aca="false">SUM(P14,R14)</f>
        <v>0.1</v>
      </c>
      <c r="U14" s="31" t="n">
        <f aca="false">SUM(Q14,S14)</f>
        <v>0.1</v>
      </c>
      <c r="V14" s="31" t="n">
        <v>0.1</v>
      </c>
      <c r="W14" s="31" t="n">
        <v>0.09</v>
      </c>
      <c r="X14" s="31" t="n">
        <v>1.1</v>
      </c>
      <c r="Y14" s="31" t="n">
        <v>1.07</v>
      </c>
      <c r="Z14" s="32" t="n">
        <v>0.0062</v>
      </c>
      <c r="AA14" s="32" t="n">
        <v>0.0086</v>
      </c>
      <c r="AB14" s="32" t="n">
        <v>0.0071</v>
      </c>
      <c r="AC14" s="32" t="n">
        <v>0.0061</v>
      </c>
      <c r="AD14" s="32" t="n">
        <v>0.0063</v>
      </c>
      <c r="AE14" s="32" t="n">
        <v>-99999</v>
      </c>
      <c r="AF14" s="32" t="n">
        <v>-99999</v>
      </c>
      <c r="AG14" s="32" t="n">
        <v>0.0016</v>
      </c>
      <c r="AH14" s="32" t="n">
        <v>0.0241</v>
      </c>
      <c r="AI14" s="32" t="n">
        <v>0.011</v>
      </c>
      <c r="AJ14" s="32" t="n">
        <v>-99999</v>
      </c>
      <c r="AK14" s="32" t="n">
        <v>0.0022</v>
      </c>
      <c r="AL14" s="32" t="n">
        <v>0.1267</v>
      </c>
      <c r="AM14" s="32"/>
      <c r="AN14" s="32" t="n">
        <v>0.0051</v>
      </c>
      <c r="AO14" s="32" t="n">
        <v>0.0083</v>
      </c>
      <c r="AP14" s="32"/>
      <c r="AQ14" s="32" t="n">
        <v>0.021</v>
      </c>
      <c r="AR14" s="32" t="n">
        <v>-77777</v>
      </c>
      <c r="AS14" s="32" t="n">
        <v>-99999</v>
      </c>
      <c r="AT14" s="32" t="n">
        <v>0.0734</v>
      </c>
      <c r="AU14" s="32" t="n">
        <v>0.0996</v>
      </c>
      <c r="AV14" s="32"/>
      <c r="AW14" s="32" t="n">
        <v>0.0011</v>
      </c>
      <c r="AX14" s="33"/>
    </row>
    <row r="15" customFormat="false" ht="13.8" hidden="false" customHeight="false" outlineLevel="0" collapsed="false">
      <c r="A15" s="24" t="n">
        <f aca="false">A14+1</f>
        <v>9</v>
      </c>
      <c r="B15" s="25" t="n">
        <v>-4</v>
      </c>
      <c r="C15" s="25" t="n">
        <v>-17.48</v>
      </c>
      <c r="D15" s="26" t="n">
        <v>41411</v>
      </c>
      <c r="E15" s="27" t="s">
        <v>128</v>
      </c>
      <c r="F15" s="28" t="s">
        <v>129</v>
      </c>
      <c r="G15" s="26" t="s">
        <v>130</v>
      </c>
      <c r="H15" s="28" t="n">
        <v>35.74</v>
      </c>
      <c r="I15" s="28" t="n">
        <v>27.73</v>
      </c>
      <c r="J15" s="26" t="s">
        <v>131</v>
      </c>
      <c r="K15" s="26" t="s">
        <v>132</v>
      </c>
      <c r="L15" s="26" t="s">
        <v>133</v>
      </c>
      <c r="M15" s="26" t="s">
        <v>132</v>
      </c>
      <c r="N15" s="34" t="s">
        <v>27</v>
      </c>
      <c r="O15" s="30" t="n">
        <v>35.7885</v>
      </c>
      <c r="P15" s="31" t="n">
        <v>0</v>
      </c>
      <c r="Q15" s="31" t="n">
        <v>0</v>
      </c>
      <c r="R15" s="31" t="n">
        <v>0.08</v>
      </c>
      <c r="S15" s="31" t="n">
        <v>0.08</v>
      </c>
      <c r="T15" s="31" t="n">
        <f aca="false">SUM(P15,R15)</f>
        <v>0.08</v>
      </c>
      <c r="U15" s="31" t="n">
        <f aca="false">SUM(Q15,S15)</f>
        <v>0.08</v>
      </c>
      <c r="V15" s="31" t="n">
        <v>0.15</v>
      </c>
      <c r="W15" s="31" t="n">
        <v>0.15</v>
      </c>
      <c r="X15" s="31" t="n">
        <v>1.19</v>
      </c>
      <c r="Y15" s="31" t="n">
        <v>1.16</v>
      </c>
      <c r="Z15" s="32" t="n">
        <v>0.0069</v>
      </c>
      <c r="AA15" s="32" t="n">
        <v>0.0085</v>
      </c>
      <c r="AB15" s="32" t="n">
        <v>0.0053</v>
      </c>
      <c r="AC15" s="32" t="n">
        <v>0.0078</v>
      </c>
      <c r="AD15" s="32" t="n">
        <v>0.0068</v>
      </c>
      <c r="AE15" s="32" t="n">
        <v>-99999</v>
      </c>
      <c r="AF15" s="32" t="n">
        <v>-99999</v>
      </c>
      <c r="AG15" s="32" t="n">
        <v>0.0011</v>
      </c>
      <c r="AH15" s="32" t="n">
        <v>0.0266</v>
      </c>
      <c r="AI15" s="32" t="n">
        <v>0.0132</v>
      </c>
      <c r="AJ15" s="32" t="n">
        <v>-99999</v>
      </c>
      <c r="AK15" s="32" t="n">
        <v>0.006</v>
      </c>
      <c r="AL15" s="32" t="n">
        <v>0.1076</v>
      </c>
      <c r="AM15" s="32"/>
      <c r="AN15" s="32" t="n">
        <v>0.0058</v>
      </c>
      <c r="AO15" s="32" t="n">
        <v>0.0067</v>
      </c>
      <c r="AP15" s="32"/>
      <c r="AQ15" s="32" t="n">
        <v>0.0174</v>
      </c>
      <c r="AR15" s="32" t="n">
        <v>-77777</v>
      </c>
      <c r="AS15" s="32" t="n">
        <v>-99999</v>
      </c>
      <c r="AT15" s="32" t="n">
        <v>0.0789</v>
      </c>
      <c r="AU15" s="32" t="n">
        <v>0.083</v>
      </c>
      <c r="AV15" s="32"/>
      <c r="AW15" s="32" t="n">
        <v>0.001</v>
      </c>
      <c r="AX15" s="33"/>
    </row>
    <row r="16" customFormat="false" ht="13.8" hidden="false" customHeight="false" outlineLevel="0" collapsed="false">
      <c r="A16" s="24" t="n">
        <f aca="false">A15+1</f>
        <v>10</v>
      </c>
      <c r="B16" s="25" t="n">
        <v>-6</v>
      </c>
      <c r="C16" s="25" t="n">
        <v>-15.12</v>
      </c>
      <c r="D16" s="26" t="n">
        <v>41412</v>
      </c>
      <c r="E16" s="27" t="s">
        <v>134</v>
      </c>
      <c r="F16" s="26" t="s">
        <v>135</v>
      </c>
      <c r="G16" s="26" t="s">
        <v>136</v>
      </c>
      <c r="H16" s="28" t="n">
        <v>35.6</v>
      </c>
      <c r="I16" s="28" t="n">
        <v>27.87</v>
      </c>
      <c r="J16" s="26" t="s">
        <v>137</v>
      </c>
      <c r="K16" s="26" t="s">
        <v>138</v>
      </c>
      <c r="L16" s="26" t="s">
        <v>139</v>
      </c>
      <c r="M16" s="26" t="s">
        <v>138</v>
      </c>
      <c r="N16" s="29" t="s">
        <v>27</v>
      </c>
      <c r="O16" s="30" t="n">
        <v>35.6704</v>
      </c>
      <c r="P16" s="31" t="n">
        <v>0</v>
      </c>
      <c r="Q16" s="31" t="n">
        <v>0</v>
      </c>
      <c r="R16" s="31" t="n">
        <v>0.1</v>
      </c>
      <c r="S16" s="31" t="n">
        <v>0.1</v>
      </c>
      <c r="T16" s="31" t="n">
        <f aca="false">SUM(P16,R16)</f>
        <v>0.1</v>
      </c>
      <c r="U16" s="31" t="n">
        <f aca="false">SUM(Q16,S16)</f>
        <v>0.1</v>
      </c>
      <c r="V16" s="31" t="n">
        <v>0.18</v>
      </c>
      <c r="W16" s="31" t="n">
        <v>0.18</v>
      </c>
      <c r="X16" s="31" t="n">
        <v>0.93</v>
      </c>
      <c r="Y16" s="31" t="n">
        <v>0.91</v>
      </c>
      <c r="Z16" s="32" t="n">
        <v>0.0038</v>
      </c>
      <c r="AA16" s="32" t="n">
        <v>0.0052</v>
      </c>
      <c r="AB16" s="32" t="n">
        <v>0.0028</v>
      </c>
      <c r="AC16" s="32" t="n">
        <v>0.0046</v>
      </c>
      <c r="AD16" s="32" t="n">
        <v>0.0043</v>
      </c>
      <c r="AE16" s="32" t="n">
        <v>-99999</v>
      </c>
      <c r="AF16" s="32" t="n">
        <v>-99999</v>
      </c>
      <c r="AG16" s="32" t="n">
        <v>0.001</v>
      </c>
      <c r="AH16" s="32" t="n">
        <v>0.0155</v>
      </c>
      <c r="AI16" s="32" t="n">
        <v>0.0065</v>
      </c>
      <c r="AJ16" s="32" t="n">
        <v>-99999</v>
      </c>
      <c r="AK16" s="32" t="n">
        <v>0.0032</v>
      </c>
      <c r="AL16" s="32" t="n">
        <v>0.0961</v>
      </c>
      <c r="AM16" s="32"/>
      <c r="AN16" s="32" t="n">
        <v>0.0044</v>
      </c>
      <c r="AO16" s="32" t="n">
        <v>0.0061</v>
      </c>
      <c r="AP16" s="32"/>
      <c r="AQ16" s="32" t="n">
        <v>0.013</v>
      </c>
      <c r="AR16" s="32" t="n">
        <v>-77777</v>
      </c>
      <c r="AS16" s="32" t="n">
        <v>-99999</v>
      </c>
      <c r="AT16" s="32" t="n">
        <v>0.0596</v>
      </c>
      <c r="AU16" s="32" t="n">
        <v>0.0548</v>
      </c>
      <c r="AV16" s="32"/>
      <c r="AW16" s="32" t="n">
        <v>0.0008</v>
      </c>
      <c r="AX16" s="33"/>
    </row>
    <row r="17" customFormat="false" ht="13.8" hidden="false" customHeight="false" outlineLevel="0" collapsed="false">
      <c r="A17" s="24" t="n">
        <f aca="false">A16+1</f>
        <v>11</v>
      </c>
      <c r="B17" s="25" t="n">
        <v>-8</v>
      </c>
      <c r="C17" s="25" t="n">
        <v>-12.36</v>
      </c>
      <c r="D17" s="26" t="n">
        <v>41413</v>
      </c>
      <c r="E17" s="27" t="s">
        <v>140</v>
      </c>
      <c r="F17" s="26" t="s">
        <v>141</v>
      </c>
      <c r="G17" s="26" t="s">
        <v>142</v>
      </c>
      <c r="H17" s="28" t="n">
        <v>36.08</v>
      </c>
      <c r="I17" s="28" t="n">
        <v>27.44</v>
      </c>
      <c r="J17" s="26" t="s">
        <v>143</v>
      </c>
      <c r="K17" s="26" t="s">
        <v>144</v>
      </c>
      <c r="L17" s="26" t="s">
        <v>145</v>
      </c>
      <c r="M17" s="26" t="s">
        <v>144</v>
      </c>
      <c r="N17" s="29" t="s">
        <v>27</v>
      </c>
      <c r="O17" s="30" t="n">
        <v>36.1273</v>
      </c>
      <c r="P17" s="31" t="n">
        <v>0</v>
      </c>
      <c r="Q17" s="31" t="n">
        <v>0</v>
      </c>
      <c r="R17" s="31" t="n">
        <v>0.06</v>
      </c>
      <c r="S17" s="31" t="n">
        <v>0.06</v>
      </c>
      <c r="T17" s="31" t="n">
        <f aca="false">SUM(P17,R17)</f>
        <v>0.06</v>
      </c>
      <c r="U17" s="31" t="n">
        <f aca="false">SUM(Q17,S17)</f>
        <v>0.06</v>
      </c>
      <c r="V17" s="31" t="n">
        <v>0.21</v>
      </c>
      <c r="W17" s="31" t="n">
        <v>0.2</v>
      </c>
      <c r="X17" s="31" t="n">
        <v>1</v>
      </c>
      <c r="Y17" s="31" t="n">
        <v>0.98</v>
      </c>
      <c r="Z17" s="32" t="n">
        <v>0.0063</v>
      </c>
      <c r="AA17" s="32" t="n">
        <v>0.0096</v>
      </c>
      <c r="AB17" s="32" t="n">
        <v>0.0041</v>
      </c>
      <c r="AC17" s="32" t="n">
        <v>0.0077</v>
      </c>
      <c r="AD17" s="32" t="n">
        <v>0.0051</v>
      </c>
      <c r="AE17" s="32" t="n">
        <v>-99999</v>
      </c>
      <c r="AF17" s="32" t="n">
        <v>-99999</v>
      </c>
      <c r="AG17" s="32" t="n">
        <v>0.0013</v>
      </c>
      <c r="AH17" s="32" t="n">
        <v>0.0233</v>
      </c>
      <c r="AI17" s="32" t="n">
        <v>0.004</v>
      </c>
      <c r="AJ17" s="32" t="n">
        <v>-99999</v>
      </c>
      <c r="AK17" s="32" t="n">
        <v>0.0004</v>
      </c>
      <c r="AL17" s="32" t="n">
        <v>0.0908</v>
      </c>
      <c r="AM17" s="32"/>
      <c r="AN17" s="32" t="n">
        <v>0.0105</v>
      </c>
      <c r="AO17" s="32" t="n">
        <v>0.0112</v>
      </c>
      <c r="AP17" s="32"/>
      <c r="AQ17" s="32" t="n">
        <v>0.0183</v>
      </c>
      <c r="AR17" s="32" t="n">
        <v>-77777</v>
      </c>
      <c r="AS17" s="32" t="n">
        <v>-99999</v>
      </c>
      <c r="AT17" s="32" t="n">
        <v>0.086</v>
      </c>
      <c r="AU17" s="32" t="n">
        <v>0.0673</v>
      </c>
      <c r="AV17" s="32"/>
      <c r="AW17" s="32" t="n">
        <v>0.001</v>
      </c>
      <c r="AX17" s="33"/>
    </row>
    <row r="18" customFormat="false" ht="13.8" hidden="false" customHeight="false" outlineLevel="0" collapsed="false">
      <c r="A18" s="24" t="n">
        <f aca="false">A17+1</f>
        <v>12</v>
      </c>
      <c r="B18" s="35" t="n">
        <v>2</v>
      </c>
      <c r="C18" s="35" t="n">
        <v>-9.2</v>
      </c>
      <c r="D18" s="26" t="n">
        <v>41421</v>
      </c>
      <c r="E18" s="27" t="s">
        <v>146</v>
      </c>
      <c r="F18" s="26" t="s">
        <v>147</v>
      </c>
      <c r="G18" s="26" t="s">
        <v>148</v>
      </c>
      <c r="H18" s="28" t="n">
        <v>34.141</v>
      </c>
      <c r="I18" s="28" t="n">
        <v>28.82</v>
      </c>
      <c r="J18" s="26" t="s">
        <v>149</v>
      </c>
      <c r="K18" s="26" t="s">
        <v>150</v>
      </c>
      <c r="L18" s="28" t="n">
        <v>42</v>
      </c>
      <c r="M18" s="26" t="s">
        <v>150</v>
      </c>
      <c r="N18" s="29"/>
      <c r="O18" s="30" t="n">
        <v>34.1966</v>
      </c>
      <c r="P18" s="31" t="n">
        <v>0</v>
      </c>
      <c r="Q18" s="31" t="n">
        <v>0</v>
      </c>
      <c r="R18" s="31" t="n">
        <v>0.06</v>
      </c>
      <c r="S18" s="31" t="n">
        <v>0.06</v>
      </c>
      <c r="T18" s="31" t="n">
        <f aca="false">SUM(P18,R18)</f>
        <v>0.06</v>
      </c>
      <c r="U18" s="31" t="n">
        <f aca="false">SUM(Q18,S18)</f>
        <v>0.06</v>
      </c>
      <c r="V18" s="31" t="n">
        <v>0.1</v>
      </c>
      <c r="W18" s="31" t="n">
        <v>0.09</v>
      </c>
      <c r="X18" s="31" t="n">
        <v>0.95</v>
      </c>
      <c r="Y18" s="31" t="n">
        <v>0.93</v>
      </c>
      <c r="Z18" s="32" t="n">
        <v>0.0042</v>
      </c>
      <c r="AA18" s="32" t="n">
        <v>0.0069</v>
      </c>
      <c r="AB18" s="32" t="n">
        <v>0.0071</v>
      </c>
      <c r="AC18" s="32" t="n">
        <v>0.0044</v>
      </c>
      <c r="AD18" s="32" t="n">
        <v>0.0066</v>
      </c>
      <c r="AE18" s="32" t="n">
        <v>-99999</v>
      </c>
      <c r="AF18" s="32" t="n">
        <v>-99999</v>
      </c>
      <c r="AG18" s="32" t="n">
        <v>0.0013</v>
      </c>
      <c r="AH18" s="32" t="n">
        <v>0.0166</v>
      </c>
      <c r="AI18" s="32" t="n">
        <v>0.01</v>
      </c>
      <c r="AJ18" s="32" t="n">
        <v>-99999</v>
      </c>
      <c r="AK18" s="32" t="n">
        <v>0.0062</v>
      </c>
      <c r="AL18" s="32" t="n">
        <v>0.1134</v>
      </c>
      <c r="AM18" s="32"/>
      <c r="AN18" s="32" t="n">
        <v>0.0044</v>
      </c>
      <c r="AO18" s="32" t="n">
        <v>0.007</v>
      </c>
      <c r="AP18" s="32"/>
      <c r="AQ18" s="32" t="n">
        <v>0.0203</v>
      </c>
      <c r="AR18" s="32" t="n">
        <v>-77777</v>
      </c>
      <c r="AS18" s="32" t="n">
        <v>-99999</v>
      </c>
      <c r="AT18" s="32" t="n">
        <v>0.0745</v>
      </c>
      <c r="AU18" s="32" t="n">
        <v>0.0868</v>
      </c>
      <c r="AV18" s="32"/>
      <c r="AW18" s="32" t="n">
        <v>0.0008</v>
      </c>
      <c r="AX18" s="33"/>
    </row>
    <row r="19" customFormat="false" ht="13.8" hidden="false" customHeight="false" outlineLevel="0" collapsed="false">
      <c r="A19" s="24" t="n">
        <f aca="false">A18+1</f>
        <v>13</v>
      </c>
      <c r="B19" s="35" t="n">
        <v>3</v>
      </c>
      <c r="C19" s="35" t="n">
        <v>-7</v>
      </c>
      <c r="D19" s="26" t="n">
        <v>41421</v>
      </c>
      <c r="E19" s="27" t="s">
        <v>151</v>
      </c>
      <c r="F19" s="26" t="s">
        <v>152</v>
      </c>
      <c r="G19" s="26" t="s">
        <v>153</v>
      </c>
      <c r="H19" s="28" t="n">
        <v>34.495</v>
      </c>
      <c r="I19" s="28" t="n">
        <v>29.026</v>
      </c>
      <c r="J19" s="26" t="s">
        <v>154</v>
      </c>
      <c r="K19" s="26" t="s">
        <v>155</v>
      </c>
      <c r="L19" s="28" t="n">
        <v>41</v>
      </c>
      <c r="M19" s="26" t="s">
        <v>155</v>
      </c>
      <c r="N19" s="29"/>
      <c r="O19" s="30" t="n">
        <v>34.5344</v>
      </c>
      <c r="P19" s="31" t="n">
        <v>0</v>
      </c>
      <c r="Q19" s="31" t="n">
        <v>0</v>
      </c>
      <c r="R19" s="31" t="n">
        <v>0.07</v>
      </c>
      <c r="S19" s="31" t="n">
        <v>0.07</v>
      </c>
      <c r="T19" s="31" t="n">
        <f aca="false">SUM(P19,R19)</f>
        <v>0.07</v>
      </c>
      <c r="U19" s="31" t="n">
        <f aca="false">SUM(Q19,S19)</f>
        <v>0.07</v>
      </c>
      <c r="V19" s="31" t="n">
        <v>0.08</v>
      </c>
      <c r="W19" s="31" t="n">
        <v>0.08</v>
      </c>
      <c r="X19" s="31" t="n">
        <v>0.79</v>
      </c>
      <c r="Y19" s="31" t="n">
        <v>0.77</v>
      </c>
      <c r="Z19" s="32" t="n">
        <v>0.0028</v>
      </c>
      <c r="AA19" s="32" t="n">
        <v>0.0065</v>
      </c>
      <c r="AB19" s="32" t="n">
        <v>0.0084</v>
      </c>
      <c r="AC19" s="32" t="n">
        <v>0.0051</v>
      </c>
      <c r="AD19" s="32" t="n">
        <v>0.0071</v>
      </c>
      <c r="AE19" s="32" t="n">
        <v>-99999</v>
      </c>
      <c r="AF19" s="32" t="n">
        <v>-99999</v>
      </c>
      <c r="AG19" s="32" t="n">
        <v>0.0011</v>
      </c>
      <c r="AH19" s="32" t="n">
        <v>0.0197</v>
      </c>
      <c r="AI19" s="32" t="n">
        <v>0.0059</v>
      </c>
      <c r="AJ19" s="32" t="n">
        <v>-99999</v>
      </c>
      <c r="AK19" s="32" t="n">
        <v>0.0007</v>
      </c>
      <c r="AL19" s="32" t="n">
        <v>0.0885</v>
      </c>
      <c r="AM19" s="32"/>
      <c r="AN19" s="32" t="n">
        <v>0.0031</v>
      </c>
      <c r="AO19" s="32" t="n">
        <v>0.0055</v>
      </c>
      <c r="AP19" s="32"/>
      <c r="AQ19" s="32" t="n">
        <v>0.0178</v>
      </c>
      <c r="AR19" s="32" t="n">
        <v>-77777</v>
      </c>
      <c r="AS19" s="32" t="n">
        <v>-99999</v>
      </c>
      <c r="AT19" s="32" t="n">
        <v>0.0548</v>
      </c>
      <c r="AU19" s="32" t="n">
        <v>0.0681</v>
      </c>
      <c r="AV19" s="32"/>
      <c r="AW19" s="32" t="n">
        <v>0.0006</v>
      </c>
      <c r="AX19" s="33"/>
    </row>
    <row r="20" customFormat="false" ht="13.8" hidden="false" customHeight="false" outlineLevel="0" collapsed="false">
      <c r="A20" s="24" t="n">
        <f aca="false">A19+1</f>
        <v>14</v>
      </c>
      <c r="B20" s="35" t="n">
        <v>4</v>
      </c>
      <c r="C20" s="25" t="n">
        <v>-5.4</v>
      </c>
      <c r="D20" s="26" t="n">
        <v>41422</v>
      </c>
      <c r="E20" s="27" t="s">
        <v>156</v>
      </c>
      <c r="F20" s="26" t="s">
        <v>157</v>
      </c>
      <c r="G20" s="26" t="s">
        <v>158</v>
      </c>
      <c r="H20" s="28" t="n">
        <v>34.421</v>
      </c>
      <c r="I20" s="28" t="n">
        <v>28.83</v>
      </c>
      <c r="J20" s="26" t="s">
        <v>159</v>
      </c>
      <c r="K20" s="26" t="s">
        <v>160</v>
      </c>
      <c r="L20" s="28" t="n">
        <v>40</v>
      </c>
      <c r="M20" s="26" t="s">
        <v>160</v>
      </c>
      <c r="N20" s="29"/>
      <c r="O20" s="30" t="n">
        <v>34.4853</v>
      </c>
      <c r="P20" s="31" t="n">
        <v>0</v>
      </c>
      <c r="Q20" s="31" t="n">
        <v>0</v>
      </c>
      <c r="R20" s="31" t="n">
        <v>0.18</v>
      </c>
      <c r="S20" s="31" t="n">
        <v>0.18</v>
      </c>
      <c r="T20" s="31" t="n">
        <f aca="false">SUM(P20,R20)</f>
        <v>0.18</v>
      </c>
      <c r="U20" s="31" t="n">
        <f aca="false">SUM(Q20,S20)</f>
        <v>0.18</v>
      </c>
      <c r="V20" s="31" t="n">
        <v>0.02</v>
      </c>
      <c r="W20" s="31" t="n">
        <v>0.02</v>
      </c>
      <c r="X20" s="31" t="n">
        <v>0.5</v>
      </c>
      <c r="Y20" s="31" t="n">
        <v>0.49</v>
      </c>
      <c r="Z20" s="32" t="n">
        <v>0.0074</v>
      </c>
      <c r="AA20" s="32" t="n">
        <v>0.0105</v>
      </c>
      <c r="AB20" s="32" t="n">
        <v>0.0078</v>
      </c>
      <c r="AC20" s="32" t="n">
        <v>0.0061</v>
      </c>
      <c r="AD20" s="32" t="n">
        <v>0.0067</v>
      </c>
      <c r="AE20" s="32" t="n">
        <v>-99999</v>
      </c>
      <c r="AF20" s="32" t="n">
        <v>-99999</v>
      </c>
      <c r="AG20" s="32" t="n">
        <v>0.0018</v>
      </c>
      <c r="AH20" s="32" t="n">
        <v>0.0297</v>
      </c>
      <c r="AI20" s="32" t="n">
        <v>0.0142</v>
      </c>
      <c r="AJ20" s="32" t="n">
        <v>-99999</v>
      </c>
      <c r="AK20" s="32" t="n">
        <v>0.0021</v>
      </c>
      <c r="AL20" s="32" t="n">
        <v>0.0942</v>
      </c>
      <c r="AM20" s="32"/>
      <c r="AN20" s="32" t="n">
        <v>0.0064</v>
      </c>
      <c r="AO20" s="32" t="n">
        <v>0.0094</v>
      </c>
      <c r="AP20" s="32"/>
      <c r="AQ20" s="32" t="n">
        <v>0.0259</v>
      </c>
      <c r="AR20" s="32" t="n">
        <v>-77777</v>
      </c>
      <c r="AS20" s="32" t="n">
        <v>-99999</v>
      </c>
      <c r="AT20" s="32" t="n">
        <v>0.0882</v>
      </c>
      <c r="AU20" s="32" t="n">
        <v>0.1089</v>
      </c>
      <c r="AV20" s="32"/>
      <c r="AW20" s="32" t="n">
        <v>0.0016</v>
      </c>
      <c r="AX20" s="33"/>
    </row>
    <row r="21" customFormat="false" ht="13.8" hidden="false" customHeight="false" outlineLevel="0" collapsed="false">
      <c r="A21" s="24" t="n">
        <f aca="false">A20+1</f>
        <v>15</v>
      </c>
      <c r="B21" s="35" t="n">
        <v>5</v>
      </c>
      <c r="C21" s="25" t="n">
        <v>-4.2</v>
      </c>
      <c r="D21" s="26" t="n">
        <v>41423</v>
      </c>
      <c r="E21" s="27" t="s">
        <v>161</v>
      </c>
      <c r="F21" s="26" t="s">
        <v>162</v>
      </c>
      <c r="G21" s="26" t="s">
        <v>163</v>
      </c>
      <c r="H21" s="28" t="n">
        <v>34.298</v>
      </c>
      <c r="I21" s="28" t="n">
        <v>28.904</v>
      </c>
      <c r="J21" s="26" t="s">
        <v>164</v>
      </c>
      <c r="K21" s="26" t="s">
        <v>165</v>
      </c>
      <c r="L21" s="28" t="n">
        <v>37</v>
      </c>
      <c r="M21" s="26" t="s">
        <v>165</v>
      </c>
      <c r="N21" s="29"/>
      <c r="O21" s="30" t="n">
        <v>34.3354</v>
      </c>
      <c r="P21" s="31" t="n">
        <v>0</v>
      </c>
      <c r="Q21" s="31" t="n">
        <v>0</v>
      </c>
      <c r="R21" s="31" t="n">
        <v>0.1</v>
      </c>
      <c r="S21" s="31" t="n">
        <v>0.1</v>
      </c>
      <c r="T21" s="31" t="n">
        <f aca="false">SUM(P21,R21)</f>
        <v>0.1</v>
      </c>
      <c r="U21" s="31" t="n">
        <f aca="false">SUM(Q21,S21)</f>
        <v>0.1</v>
      </c>
      <c r="V21" s="31" t="n">
        <v>0</v>
      </c>
      <c r="W21" s="31" t="n">
        <v>0</v>
      </c>
      <c r="X21" s="31" t="n">
        <v>1.34</v>
      </c>
      <c r="Y21" s="31" t="n">
        <v>1.31</v>
      </c>
      <c r="Z21" s="32" t="n">
        <v>0.007</v>
      </c>
      <c r="AA21" s="32" t="n">
        <v>0.0085</v>
      </c>
      <c r="AB21" s="32" t="n">
        <v>0.0085</v>
      </c>
      <c r="AC21" s="32" t="n">
        <v>0.0053</v>
      </c>
      <c r="AD21" s="32" t="n">
        <v>0.0088</v>
      </c>
      <c r="AE21" s="32" t="n">
        <v>0.0006</v>
      </c>
      <c r="AF21" s="32" t="n">
        <v>0.0005</v>
      </c>
      <c r="AG21" s="32" t="n">
        <v>0.0007</v>
      </c>
      <c r="AH21" s="32" t="n">
        <v>0.0258</v>
      </c>
      <c r="AI21" s="32" t="n">
        <v>0.0081</v>
      </c>
      <c r="AJ21" s="32" t="n">
        <v>-99999</v>
      </c>
      <c r="AK21" s="32" t="n">
        <v>0.0007</v>
      </c>
      <c r="AL21" s="32" t="n">
        <v>0.0616</v>
      </c>
      <c r="AM21" s="32"/>
      <c r="AN21" s="32" t="n">
        <v>0.0044</v>
      </c>
      <c r="AO21" s="32" t="n">
        <v>0.0089</v>
      </c>
      <c r="AP21" s="32"/>
      <c r="AQ21" s="32" t="n">
        <v>-77777</v>
      </c>
      <c r="AR21" s="32" t="n">
        <v>0.0216</v>
      </c>
      <c r="AS21" s="32" t="n">
        <v>-99999</v>
      </c>
      <c r="AT21" s="32" t="n">
        <v>0.0447</v>
      </c>
      <c r="AU21" s="32" t="n">
        <v>0.1282</v>
      </c>
      <c r="AV21" s="32"/>
      <c r="AW21" s="32" t="n">
        <v>0.0015</v>
      </c>
      <c r="AX21" s="33"/>
    </row>
    <row r="22" customFormat="false" ht="13.8" hidden="false" customHeight="false" outlineLevel="0" collapsed="false">
      <c r="A22" s="24" t="n">
        <v>16</v>
      </c>
      <c r="B22" s="36" t="n">
        <v>4.25</v>
      </c>
      <c r="C22" s="36" t="n">
        <v>-3</v>
      </c>
      <c r="D22" s="26" t="n">
        <v>41426</v>
      </c>
      <c r="E22" s="27" t="s">
        <v>166</v>
      </c>
      <c r="F22" s="26" t="s">
        <v>167</v>
      </c>
      <c r="G22" s="26" t="s">
        <v>168</v>
      </c>
      <c r="H22" s="28" t="n">
        <v>34.565</v>
      </c>
      <c r="I22" s="28" t="n">
        <v>28.489</v>
      </c>
      <c r="J22" s="26" t="s">
        <v>149</v>
      </c>
      <c r="K22" s="26" t="s">
        <v>169</v>
      </c>
      <c r="L22" s="28" t="n">
        <v>38</v>
      </c>
      <c r="M22" s="26" t="s">
        <v>169</v>
      </c>
      <c r="N22" s="29" t="s">
        <v>27</v>
      </c>
      <c r="O22" s="37" t="n">
        <v>34.6426</v>
      </c>
      <c r="P22" s="31" t="n">
        <v>0</v>
      </c>
      <c r="Q22" s="31" t="n">
        <v>0</v>
      </c>
      <c r="R22" s="31" t="n">
        <v>0.09</v>
      </c>
      <c r="S22" s="31" t="n">
        <v>0.09</v>
      </c>
      <c r="T22" s="31" t="n">
        <f aca="false">SUM(P22,R22)</f>
        <v>0.09</v>
      </c>
      <c r="U22" s="31" t="n">
        <f aca="false">SUM(Q22,S22)</f>
        <v>0.09</v>
      </c>
      <c r="V22" s="31" t="n">
        <v>0.01</v>
      </c>
      <c r="W22" s="31" t="n">
        <v>0.01</v>
      </c>
      <c r="X22" s="31" t="n">
        <v>1.13</v>
      </c>
      <c r="Y22" s="31" t="n">
        <v>1.1</v>
      </c>
      <c r="Z22" s="32" t="n">
        <v>0.0206</v>
      </c>
      <c r="AA22" s="32" t="n">
        <v>0.0249</v>
      </c>
      <c r="AB22" s="32" t="n">
        <v>0.0144</v>
      </c>
      <c r="AC22" s="32" t="n">
        <v>0.0135</v>
      </c>
      <c r="AD22" s="32" t="n">
        <v>0.0174</v>
      </c>
      <c r="AE22" s="32" t="n">
        <v>-99999</v>
      </c>
      <c r="AF22" s="32" t="n">
        <v>0.0007</v>
      </c>
      <c r="AG22" s="32" t="n">
        <v>0.002</v>
      </c>
      <c r="AH22" s="32" t="n">
        <v>0.0725</v>
      </c>
      <c r="AI22" s="32" t="n">
        <v>0.0091</v>
      </c>
      <c r="AJ22" s="32" t="n">
        <v>-99999</v>
      </c>
      <c r="AK22" s="32" t="n">
        <v>-99999</v>
      </c>
      <c r="AL22" s="32" t="n">
        <v>0.0958</v>
      </c>
      <c r="AM22" s="32"/>
      <c r="AN22" s="32" t="n">
        <v>0.02</v>
      </c>
      <c r="AO22" s="32" t="n">
        <v>0.0129</v>
      </c>
      <c r="AP22" s="32"/>
      <c r="AQ22" s="32" t="n">
        <v>0.0383</v>
      </c>
      <c r="AR22" s="32" t="n">
        <v>-77777</v>
      </c>
      <c r="AS22" s="32" t="n">
        <v>-99999</v>
      </c>
      <c r="AT22" s="32" t="n">
        <v>0.1327</v>
      </c>
      <c r="AU22" s="32" t="n">
        <v>0.2473</v>
      </c>
      <c r="AV22" s="32"/>
      <c r="AW22" s="32" t="n">
        <v>0.0031</v>
      </c>
      <c r="AX22" s="33"/>
    </row>
    <row r="23" customFormat="false" ht="13.8" hidden="false" customHeight="false" outlineLevel="0" collapsed="false">
      <c r="A23" s="24" t="n">
        <f aca="false">A22+1</f>
        <v>17</v>
      </c>
      <c r="B23" s="36" t="n">
        <v>3.3</v>
      </c>
      <c r="C23" s="36" t="n">
        <v>-2</v>
      </c>
      <c r="D23" s="26" t="n">
        <v>41426</v>
      </c>
      <c r="E23" s="27" t="s">
        <v>170</v>
      </c>
      <c r="F23" s="26" t="s">
        <v>171</v>
      </c>
      <c r="G23" s="26" t="s">
        <v>172</v>
      </c>
      <c r="H23" s="28" t="n">
        <v>34.046</v>
      </c>
      <c r="I23" s="28" t="n">
        <v>28.179</v>
      </c>
      <c r="J23" s="26" t="s">
        <v>154</v>
      </c>
      <c r="K23" s="26" t="s">
        <v>173</v>
      </c>
      <c r="L23" s="28" t="n">
        <v>39</v>
      </c>
      <c r="M23" s="26" t="s">
        <v>173</v>
      </c>
      <c r="N23" s="29"/>
      <c r="O23" s="37" t="n">
        <v>33.921</v>
      </c>
      <c r="P23" s="31" t="n">
        <v>0</v>
      </c>
      <c r="Q23" s="31" t="n">
        <v>0</v>
      </c>
      <c r="R23" s="31" t="n">
        <v>0.17</v>
      </c>
      <c r="S23" s="31" t="n">
        <v>0.17</v>
      </c>
      <c r="T23" s="31" t="n">
        <f aca="false">SUM(P23,R23)</f>
        <v>0.17</v>
      </c>
      <c r="U23" s="31" t="n">
        <f aca="false">SUM(Q23,S23)</f>
        <v>0.17</v>
      </c>
      <c r="V23" s="31" t="n">
        <v>0.01</v>
      </c>
      <c r="W23" s="31" t="n">
        <v>0.01</v>
      </c>
      <c r="X23" s="31" t="n">
        <v>0.92</v>
      </c>
      <c r="Y23" s="31" t="n">
        <v>0.9</v>
      </c>
      <c r="Z23" s="32" t="n">
        <v>0.0115</v>
      </c>
      <c r="AA23" s="32" t="n">
        <v>0.0132</v>
      </c>
      <c r="AB23" s="32" t="n">
        <v>0.0077</v>
      </c>
      <c r="AC23" s="32" t="n">
        <v>0.0105</v>
      </c>
      <c r="AD23" s="32" t="n">
        <v>0.0124</v>
      </c>
      <c r="AE23" s="32" t="n">
        <v>-99999</v>
      </c>
      <c r="AF23" s="32" t="n">
        <v>-99999</v>
      </c>
      <c r="AG23" s="32" t="n">
        <v>0.0017</v>
      </c>
      <c r="AH23" s="32" t="n">
        <v>0.0371</v>
      </c>
      <c r="AI23" s="32" t="n">
        <v>0.0059</v>
      </c>
      <c r="AJ23" s="32" t="n">
        <v>-99999</v>
      </c>
      <c r="AK23" s="32" t="n">
        <v>-99999</v>
      </c>
      <c r="AL23" s="32" t="n">
        <v>0.0941</v>
      </c>
      <c r="AM23" s="32"/>
      <c r="AN23" s="32" t="n">
        <v>0.0195</v>
      </c>
      <c r="AO23" s="32" t="n">
        <v>0.0105</v>
      </c>
      <c r="AP23" s="32"/>
      <c r="AQ23" s="32" t="n">
        <v>0.0318</v>
      </c>
      <c r="AR23" s="32" t="n">
        <v>-77777</v>
      </c>
      <c r="AS23" s="32" t="n">
        <v>-99999</v>
      </c>
      <c r="AT23" s="32" t="n">
        <v>0.1276</v>
      </c>
      <c r="AU23" s="32" t="n">
        <v>0.1482</v>
      </c>
      <c r="AV23" s="32"/>
      <c r="AW23" s="32" t="n">
        <v>0.0028</v>
      </c>
      <c r="AX23" s="33"/>
    </row>
    <row r="24" customFormat="false" ht="13.8" hidden="false" customHeight="false" outlineLevel="0" collapsed="false">
      <c r="A24" s="24" t="n">
        <f aca="false">A23+1</f>
        <v>18</v>
      </c>
      <c r="B24" s="36" t="n">
        <v>2.45</v>
      </c>
      <c r="C24" s="36" t="n">
        <v>-1</v>
      </c>
      <c r="D24" s="26" t="n">
        <v>41427</v>
      </c>
      <c r="E24" s="27" t="s">
        <v>174</v>
      </c>
      <c r="F24" s="26" t="s">
        <v>175</v>
      </c>
      <c r="G24" s="26" t="s">
        <v>176</v>
      </c>
      <c r="H24" s="28" t="n">
        <v>34.067</v>
      </c>
      <c r="I24" s="28" t="n">
        <v>28.542</v>
      </c>
      <c r="J24" s="26" t="s">
        <v>159</v>
      </c>
      <c r="K24" s="26" t="s">
        <v>177</v>
      </c>
      <c r="L24" s="28" t="s">
        <v>178</v>
      </c>
      <c r="M24" s="26" t="s">
        <v>177</v>
      </c>
      <c r="N24" s="29" t="s">
        <v>27</v>
      </c>
      <c r="O24" s="37" t="n">
        <v>34.1182</v>
      </c>
      <c r="P24" s="31" t="n">
        <v>0</v>
      </c>
      <c r="Q24" s="31" t="n">
        <v>0</v>
      </c>
      <c r="R24" s="31" t="n">
        <v>0.11</v>
      </c>
      <c r="S24" s="31" t="n">
        <v>0.11</v>
      </c>
      <c r="T24" s="31" t="n">
        <f aca="false">SUM(P24,R24)</f>
        <v>0.11</v>
      </c>
      <c r="U24" s="31" t="n">
        <f aca="false">SUM(Q24,S24)</f>
        <v>0.11</v>
      </c>
      <c r="V24" s="31" t="n">
        <v>0.05</v>
      </c>
      <c r="W24" s="31" t="n">
        <v>0.05</v>
      </c>
      <c r="X24" s="31" t="n">
        <v>0.92</v>
      </c>
      <c r="Y24" s="31" t="n">
        <v>0.9</v>
      </c>
      <c r="Z24" s="32" t="n">
        <v>0.0081</v>
      </c>
      <c r="AA24" s="32" t="n">
        <v>0.0117</v>
      </c>
      <c r="AB24" s="32" t="n">
        <v>0.0133</v>
      </c>
      <c r="AC24" s="32" t="n">
        <v>0.0077</v>
      </c>
      <c r="AD24" s="32" t="n">
        <v>0.0078</v>
      </c>
      <c r="AE24" s="32" t="n">
        <v>-99999</v>
      </c>
      <c r="AF24" s="32" t="n">
        <v>-99999</v>
      </c>
      <c r="AG24" s="32" t="n">
        <v>0.0017</v>
      </c>
      <c r="AH24" s="32" t="n">
        <v>0.0276</v>
      </c>
      <c r="AI24" s="32" t="n">
        <v>0.0053</v>
      </c>
      <c r="AJ24" s="32" t="n">
        <v>-99999</v>
      </c>
      <c r="AK24" s="32" t="n">
        <v>-99999</v>
      </c>
      <c r="AL24" s="32" t="n">
        <v>0.0841</v>
      </c>
      <c r="AM24" s="32"/>
      <c r="AN24" s="32" t="n">
        <v>0.0173</v>
      </c>
      <c r="AO24" s="32" t="n">
        <v>0.0076</v>
      </c>
      <c r="AP24" s="32"/>
      <c r="AQ24" s="32" t="n">
        <v>0.0276</v>
      </c>
      <c r="AR24" s="32" t="n">
        <v>-77777</v>
      </c>
      <c r="AS24" s="32" t="n">
        <v>-99999</v>
      </c>
      <c r="AT24" s="32" t="n">
        <v>0.1203</v>
      </c>
      <c r="AU24" s="32" t="n">
        <v>0.118</v>
      </c>
      <c r="AV24" s="32"/>
      <c r="AW24" s="32" t="n">
        <v>0.0028</v>
      </c>
      <c r="AX24" s="33"/>
    </row>
    <row r="25" customFormat="false" ht="13.8" hidden="false" customHeight="false" outlineLevel="0" collapsed="false">
      <c r="A25" s="24" t="n">
        <f aca="false">A24+1</f>
        <v>19</v>
      </c>
      <c r="B25" s="35" t="n">
        <v>0</v>
      </c>
      <c r="C25" s="35" t="n">
        <v>6</v>
      </c>
      <c r="D25" s="26" t="n">
        <v>41439</v>
      </c>
      <c r="E25" s="27" t="s">
        <v>179</v>
      </c>
      <c r="F25" s="26" t="s">
        <v>180</v>
      </c>
      <c r="G25" s="26" t="s">
        <v>181</v>
      </c>
      <c r="H25" s="28" t="n">
        <v>33.299</v>
      </c>
      <c r="I25" s="28" t="n">
        <v>27.081</v>
      </c>
      <c r="J25" s="26" t="s">
        <v>164</v>
      </c>
      <c r="K25" s="26" t="s">
        <v>182</v>
      </c>
      <c r="L25" s="26" t="s">
        <v>183</v>
      </c>
      <c r="M25" s="26" t="s">
        <v>182</v>
      </c>
      <c r="N25" s="29"/>
      <c r="O25" s="37" t="n">
        <v>33.3536</v>
      </c>
      <c r="P25" s="31" t="n">
        <v>0.01</v>
      </c>
      <c r="Q25" s="31" t="n">
        <v>0</v>
      </c>
      <c r="R25" s="31" t="n">
        <v>0.11</v>
      </c>
      <c r="S25" s="31" t="n">
        <v>0.1</v>
      </c>
      <c r="T25" s="31" t="n">
        <f aca="false">SUM(P25,R25)</f>
        <v>0.12</v>
      </c>
      <c r="U25" s="31" t="n">
        <f aca="false">SUM(Q25,S25)</f>
        <v>0.1</v>
      </c>
      <c r="V25" s="31" t="n">
        <v>0.15</v>
      </c>
      <c r="W25" s="31" t="n">
        <v>0.15</v>
      </c>
      <c r="X25" s="31" t="n">
        <v>1.85</v>
      </c>
      <c r="Y25" s="31" t="n">
        <v>1.81</v>
      </c>
      <c r="Z25" s="32" t="n">
        <v>0.0101</v>
      </c>
      <c r="AA25" s="32" t="n">
        <v>0.0225</v>
      </c>
      <c r="AB25" s="32" t="n">
        <v>0.0162</v>
      </c>
      <c r="AC25" s="32" t="n">
        <v>0.0098</v>
      </c>
      <c r="AD25" s="32" t="n">
        <v>0.0393</v>
      </c>
      <c r="AE25" s="32" t="n">
        <v>-99999</v>
      </c>
      <c r="AF25" s="32" t="n">
        <v>-99999</v>
      </c>
      <c r="AG25" s="32" t="n">
        <v>0.0023</v>
      </c>
      <c r="AH25" s="32" t="n">
        <v>0.032</v>
      </c>
      <c r="AI25" s="32" t="n">
        <v>0.0221</v>
      </c>
      <c r="AJ25" s="32" t="n">
        <v>0.0015</v>
      </c>
      <c r="AK25" s="32" t="n">
        <v>0.0049</v>
      </c>
      <c r="AL25" s="32" t="n">
        <v>0.1587</v>
      </c>
      <c r="AM25" s="32"/>
      <c r="AN25" s="32" t="n">
        <v>0.0064</v>
      </c>
      <c r="AO25" s="32" t="n">
        <v>0.0134</v>
      </c>
      <c r="AP25" s="32"/>
      <c r="AQ25" s="32" t="n">
        <v>-77777</v>
      </c>
      <c r="AR25" s="32" t="n">
        <v>0.0369</v>
      </c>
      <c r="AS25" s="32" t="n">
        <v>-99999</v>
      </c>
      <c r="AT25" s="32" t="n">
        <v>0.1114</v>
      </c>
      <c r="AU25" s="32" t="n">
        <v>0.2133</v>
      </c>
      <c r="AV25" s="32"/>
      <c r="AW25" s="32" t="n">
        <v>0.0043</v>
      </c>
      <c r="AX25" s="33"/>
    </row>
    <row r="26" customFormat="false" ht="13.8" hidden="false" customHeight="false" outlineLevel="0" collapsed="false">
      <c r="A26" s="24" t="n">
        <f aca="false">A25+1</f>
        <v>20</v>
      </c>
      <c r="B26" s="35" t="n">
        <v>-1.2</v>
      </c>
      <c r="C26" s="35" t="n">
        <v>2</v>
      </c>
      <c r="D26" s="26" t="n">
        <v>41440</v>
      </c>
      <c r="E26" s="27" t="s">
        <v>184</v>
      </c>
      <c r="F26" s="26" t="s">
        <v>185</v>
      </c>
      <c r="G26" s="26" t="s">
        <v>186</v>
      </c>
      <c r="H26" s="28" t="n">
        <v>35.933</v>
      </c>
      <c r="I26" s="28" t="n">
        <v>24.373</v>
      </c>
      <c r="J26" s="26" t="s">
        <v>187</v>
      </c>
      <c r="K26" s="26" t="s">
        <v>188</v>
      </c>
      <c r="L26" s="26" t="s">
        <v>189</v>
      </c>
      <c r="M26" s="26" t="s">
        <v>188</v>
      </c>
      <c r="N26" s="29" t="s">
        <v>27</v>
      </c>
      <c r="O26" s="37" t="n">
        <v>35.9854</v>
      </c>
      <c r="P26" s="31" t="n">
        <v>0.02</v>
      </c>
      <c r="Q26" s="31" t="n">
        <v>0.02</v>
      </c>
      <c r="R26" s="31" t="n">
        <v>0.3</v>
      </c>
      <c r="S26" s="31" t="n">
        <v>0.29</v>
      </c>
      <c r="T26" s="31" t="n">
        <f aca="false">SUM(P26,R26)</f>
        <v>0.32</v>
      </c>
      <c r="U26" s="31" t="n">
        <f aca="false">SUM(Q26,S26)</f>
        <v>0.31</v>
      </c>
      <c r="V26" s="31" t="n">
        <v>0.26</v>
      </c>
      <c r="W26" s="31" t="n">
        <v>0.25</v>
      </c>
      <c r="X26" s="31" t="n">
        <v>1.78</v>
      </c>
      <c r="Y26" s="31" t="n">
        <v>1.74</v>
      </c>
      <c r="Z26" s="32" t="n">
        <v>0.0441</v>
      </c>
      <c r="AA26" s="32" t="n">
        <v>0.0528</v>
      </c>
      <c r="AB26" s="32" t="n">
        <v>0.0135</v>
      </c>
      <c r="AC26" s="32" t="n">
        <v>0.0608</v>
      </c>
      <c r="AD26" s="32" t="n">
        <v>0.0318</v>
      </c>
      <c r="AE26" s="32" t="n">
        <v>-99999</v>
      </c>
      <c r="AF26" s="32" t="n">
        <v>-99999</v>
      </c>
      <c r="AG26" s="32" t="n">
        <v>0.0029</v>
      </c>
      <c r="AH26" s="32" t="n">
        <v>0.16</v>
      </c>
      <c r="AI26" s="32" t="n">
        <v>0.0614</v>
      </c>
      <c r="AJ26" s="32" t="n">
        <v>0.0021</v>
      </c>
      <c r="AK26" s="32" t="n">
        <v>0.0097</v>
      </c>
      <c r="AL26" s="32" t="n">
        <v>0.0531</v>
      </c>
      <c r="AM26" s="32"/>
      <c r="AN26" s="32" t="n">
        <v>0.0042</v>
      </c>
      <c r="AO26" s="32" t="n">
        <v>0.0255</v>
      </c>
      <c r="AP26" s="32"/>
      <c r="AQ26" s="32" t="n">
        <v>-77777</v>
      </c>
      <c r="AR26" s="32" t="n">
        <v>0.019</v>
      </c>
      <c r="AS26" s="32" t="n">
        <v>-99999</v>
      </c>
      <c r="AT26" s="32" t="n">
        <v>0.0489</v>
      </c>
      <c r="AU26" s="32" t="n">
        <v>0.343</v>
      </c>
      <c r="AV26" s="32"/>
      <c r="AW26" s="32" t="n">
        <v>0.0029</v>
      </c>
      <c r="AX26" s="33"/>
    </row>
    <row r="27" customFormat="false" ht="13.8" hidden="false" customHeight="false" outlineLevel="0" collapsed="false">
      <c r="A27" s="24" t="n">
        <f aca="false">A26+1</f>
        <v>21</v>
      </c>
      <c r="B27" s="35" t="n">
        <v>0</v>
      </c>
      <c r="C27" s="35" t="n">
        <v>0</v>
      </c>
      <c r="D27" s="26" t="n">
        <v>41441</v>
      </c>
      <c r="E27" s="27" t="s">
        <v>190</v>
      </c>
      <c r="F27" s="26" t="s">
        <v>191</v>
      </c>
      <c r="G27" s="26" t="s">
        <v>192</v>
      </c>
      <c r="H27" s="28" t="n">
        <v>35.032</v>
      </c>
      <c r="I27" s="28" t="n">
        <v>25.632</v>
      </c>
      <c r="J27" s="26" t="s">
        <v>193</v>
      </c>
      <c r="K27" s="26" t="s">
        <v>194</v>
      </c>
      <c r="L27" s="26" t="s">
        <v>195</v>
      </c>
      <c r="M27" s="26" t="s">
        <v>194</v>
      </c>
      <c r="N27" s="29" t="s">
        <v>27</v>
      </c>
      <c r="O27" s="37" t="n">
        <v>35.075</v>
      </c>
      <c r="P27" s="31" t="n">
        <v>0.01</v>
      </c>
      <c r="Q27" s="31" t="n">
        <v>0.01</v>
      </c>
      <c r="R27" s="31" t="n">
        <v>0.14</v>
      </c>
      <c r="S27" s="31" t="n">
        <v>0.14</v>
      </c>
      <c r="T27" s="31" t="n">
        <f aca="false">SUM(P27,R27)</f>
        <v>0.15</v>
      </c>
      <c r="U27" s="31" t="n">
        <f aca="false">SUM(Q27,S27)</f>
        <v>0.15</v>
      </c>
      <c r="V27" s="31" t="n">
        <v>0.18</v>
      </c>
      <c r="W27" s="31" t="n">
        <v>0.18</v>
      </c>
      <c r="X27" s="31" t="n">
        <v>1.54</v>
      </c>
      <c r="Y27" s="31" t="n">
        <v>1.5</v>
      </c>
      <c r="Z27" s="32" t="n">
        <v>0.026</v>
      </c>
      <c r="AA27" s="32" t="n">
        <v>0.0342</v>
      </c>
      <c r="AB27" s="32" t="n">
        <v>0.0118</v>
      </c>
      <c r="AC27" s="32" t="n">
        <v>0.0337</v>
      </c>
      <c r="AD27" s="32" t="n">
        <v>0.0233</v>
      </c>
      <c r="AE27" s="32" t="n">
        <v>-99999</v>
      </c>
      <c r="AF27" s="32" t="n">
        <v>-99999</v>
      </c>
      <c r="AG27" s="32" t="n">
        <v>0.0026</v>
      </c>
      <c r="AH27" s="32" t="n">
        <v>0.0832</v>
      </c>
      <c r="AI27" s="32" t="n">
        <v>0.0313</v>
      </c>
      <c r="AJ27" s="32" t="n">
        <v>0.0027</v>
      </c>
      <c r="AK27" s="32" t="n">
        <v>0.0111</v>
      </c>
      <c r="AL27" s="32" t="n">
        <v>0.1925</v>
      </c>
      <c r="AM27" s="32"/>
      <c r="AN27" s="32" t="n">
        <v>0.0132</v>
      </c>
      <c r="AO27" s="32" t="n">
        <v>0.0264</v>
      </c>
      <c r="AP27" s="32"/>
      <c r="AQ27" s="32" t="n">
        <v>0.0446</v>
      </c>
      <c r="AR27" s="32" t="n">
        <v>-77777</v>
      </c>
      <c r="AS27" s="32" t="n">
        <v>-99999</v>
      </c>
      <c r="AT27" s="32" t="n">
        <v>0.1662</v>
      </c>
      <c r="AU27" s="32" t="n">
        <v>0.2926</v>
      </c>
      <c r="AV27" s="32"/>
      <c r="AW27" s="32" t="n">
        <v>0.0046</v>
      </c>
      <c r="AX27" s="33"/>
    </row>
    <row r="28" customFormat="false" ht="13.8" hidden="false" customHeight="false" outlineLevel="0" collapsed="false">
      <c r="A28" s="24" t="n">
        <f aca="false">A27+1</f>
        <v>22</v>
      </c>
      <c r="B28" s="35" t="n">
        <v>1.3</v>
      </c>
      <c r="C28" s="35" t="n">
        <v>-1</v>
      </c>
      <c r="D28" s="26" t="n">
        <v>41441</v>
      </c>
      <c r="E28" s="27" t="s">
        <v>196</v>
      </c>
      <c r="F28" s="26" t="s">
        <v>197</v>
      </c>
      <c r="G28" s="26" t="s">
        <v>198</v>
      </c>
      <c r="H28" s="28" t="n">
        <v>34.271</v>
      </c>
      <c r="I28" s="28" t="n">
        <v>27.403</v>
      </c>
      <c r="J28" s="26" t="s">
        <v>199</v>
      </c>
      <c r="K28" s="26" t="s">
        <v>200</v>
      </c>
      <c r="L28" s="26" t="s">
        <v>201</v>
      </c>
      <c r="M28" s="26" t="s">
        <v>200</v>
      </c>
      <c r="N28" s="29" t="s">
        <v>27</v>
      </c>
      <c r="O28" s="37" t="n">
        <v>34.33</v>
      </c>
      <c r="P28" s="31" t="n">
        <v>0.01</v>
      </c>
      <c r="Q28" s="31" t="n">
        <v>0.01</v>
      </c>
      <c r="R28" s="31" t="n">
        <v>0.09</v>
      </c>
      <c r="S28" s="31" t="n">
        <v>0.09</v>
      </c>
      <c r="T28" s="31" t="n">
        <f aca="false">SUM(P28,R28)</f>
        <v>0.1</v>
      </c>
      <c r="U28" s="31" t="n">
        <f aca="false">SUM(Q28,S28)</f>
        <v>0.1</v>
      </c>
      <c r="V28" s="31" t="n">
        <v>0.1</v>
      </c>
      <c r="W28" s="31" t="n">
        <v>0.1</v>
      </c>
      <c r="X28" s="31" t="n">
        <v>0.75</v>
      </c>
      <c r="Y28" s="31" t="n">
        <v>0.73</v>
      </c>
      <c r="Z28" s="32" t="n">
        <v>0.0057</v>
      </c>
      <c r="AA28" s="32" t="n">
        <v>0.0105</v>
      </c>
      <c r="AB28" s="32" t="n">
        <v>0.0119</v>
      </c>
      <c r="AC28" s="32" t="n">
        <v>0.0079</v>
      </c>
      <c r="AD28" s="32" t="n">
        <v>0.0141</v>
      </c>
      <c r="AE28" s="32" t="n">
        <v>-99999</v>
      </c>
      <c r="AF28" s="32" t="n">
        <v>-99999</v>
      </c>
      <c r="AG28" s="32" t="n">
        <v>0.0015</v>
      </c>
      <c r="AH28" s="32" t="n">
        <v>0.0192</v>
      </c>
      <c r="AI28" s="32" t="n">
        <v>0.0078</v>
      </c>
      <c r="AJ28" s="32" t="n">
        <v>0.0003</v>
      </c>
      <c r="AK28" s="32" t="n">
        <v>0.0018</v>
      </c>
      <c r="AL28" s="32" t="n">
        <v>0.1329</v>
      </c>
      <c r="AM28" s="32"/>
      <c r="AN28" s="32" t="n">
        <v>0.0061</v>
      </c>
      <c r="AO28" s="32" t="n">
        <v>0.0093</v>
      </c>
      <c r="AP28" s="32"/>
      <c r="AQ28" s="32" t="n">
        <v>0.0255</v>
      </c>
      <c r="AR28" s="32" t="n">
        <v>-77777</v>
      </c>
      <c r="AS28" s="32" t="n">
        <v>-99999</v>
      </c>
      <c r="AT28" s="32" t="n">
        <v>0.0899</v>
      </c>
      <c r="AU28" s="32" t="n">
        <v>0.1024</v>
      </c>
      <c r="AV28" s="32"/>
      <c r="AW28" s="32" t="n">
        <v>0.0022</v>
      </c>
      <c r="AX28" s="33"/>
    </row>
    <row r="29" customFormat="false" ht="13.8" hidden="false" customHeight="false" outlineLevel="0" collapsed="false">
      <c r="A29" s="24" t="n">
        <f aca="false">A28+1</f>
        <v>23</v>
      </c>
      <c r="B29" s="35" t="n">
        <v>1.3</v>
      </c>
      <c r="C29" s="35" t="n">
        <v>-2</v>
      </c>
      <c r="D29" s="26" t="n">
        <v>41442</v>
      </c>
      <c r="E29" s="27" t="s">
        <v>174</v>
      </c>
      <c r="F29" s="26" t="s">
        <v>202</v>
      </c>
      <c r="G29" s="26" t="s">
        <v>203</v>
      </c>
      <c r="H29" s="28" t="n">
        <v>34.262</v>
      </c>
      <c r="I29" s="28" t="n">
        <v>27.306</v>
      </c>
      <c r="J29" s="26" t="s">
        <v>204</v>
      </c>
      <c r="K29" s="26" t="s">
        <v>205</v>
      </c>
      <c r="L29" s="26" t="s">
        <v>206</v>
      </c>
      <c r="M29" s="26" t="s">
        <v>205</v>
      </c>
      <c r="N29" s="29" t="s">
        <v>27</v>
      </c>
      <c r="O29" s="37" t="n">
        <v>34.3207</v>
      </c>
      <c r="P29" s="31" t="n">
        <v>0</v>
      </c>
      <c r="Q29" s="31" t="n">
        <v>0</v>
      </c>
      <c r="R29" s="31" t="n">
        <v>0.1</v>
      </c>
      <c r="S29" s="31" t="n">
        <v>0.09</v>
      </c>
      <c r="T29" s="31" t="n">
        <f aca="false">SUM(P29,R29)</f>
        <v>0.1</v>
      </c>
      <c r="U29" s="31" t="n">
        <f aca="false">SUM(Q29,S29)</f>
        <v>0.09</v>
      </c>
      <c r="V29" s="31" t="n">
        <v>0.03</v>
      </c>
      <c r="W29" s="31" t="n">
        <v>0.03</v>
      </c>
      <c r="X29" s="31" t="n">
        <v>0.76</v>
      </c>
      <c r="Y29" s="31" t="n">
        <v>0.74</v>
      </c>
      <c r="Z29" s="32" t="n">
        <v>0.006</v>
      </c>
      <c r="AA29" s="32" t="n">
        <v>0.0089</v>
      </c>
      <c r="AB29" s="32" t="n">
        <v>0.0067</v>
      </c>
      <c r="AC29" s="32" t="n">
        <v>0.0083</v>
      </c>
      <c r="AD29" s="32" t="n">
        <v>0.0092</v>
      </c>
      <c r="AE29" s="32" t="n">
        <v>-99999</v>
      </c>
      <c r="AF29" s="32" t="n">
        <v>-99999</v>
      </c>
      <c r="AG29" s="32" t="n">
        <v>0.0015</v>
      </c>
      <c r="AH29" s="32" t="n">
        <v>0.02</v>
      </c>
      <c r="AI29" s="32" t="n">
        <v>0.0056</v>
      </c>
      <c r="AJ29" s="32" t="n">
        <v>0.0002</v>
      </c>
      <c r="AK29" s="32" t="n">
        <v>0.001</v>
      </c>
      <c r="AL29" s="32" t="n">
        <v>0.1249</v>
      </c>
      <c r="AM29" s="32"/>
      <c r="AN29" s="32" t="n">
        <v>0.0071</v>
      </c>
      <c r="AO29" s="32" t="n">
        <v>0.0102</v>
      </c>
      <c r="AP29" s="32"/>
      <c r="AQ29" s="32" t="n">
        <v>0.0264</v>
      </c>
      <c r="AR29" s="32" t="n">
        <v>-77777</v>
      </c>
      <c r="AS29" s="32" t="n">
        <v>-99999</v>
      </c>
      <c r="AT29" s="32" t="n">
        <v>0.1045</v>
      </c>
      <c r="AU29" s="32" t="n">
        <v>0.0917</v>
      </c>
      <c r="AV29" s="32"/>
      <c r="AW29" s="32" t="n">
        <v>0.0016</v>
      </c>
      <c r="AX29" s="33"/>
    </row>
    <row r="30" customFormat="false" ht="13.8" hidden="false" customHeight="false" outlineLevel="0" collapsed="false">
      <c r="A30" s="24" t="n">
        <f aca="false">A29+1</f>
        <v>24</v>
      </c>
      <c r="B30" s="35" t="n">
        <v>1.3</v>
      </c>
      <c r="C30" s="35" t="n">
        <v>-3</v>
      </c>
      <c r="D30" s="26" t="n">
        <v>41442</v>
      </c>
      <c r="E30" s="27" t="s">
        <v>207</v>
      </c>
      <c r="F30" s="28" t="s">
        <v>208</v>
      </c>
      <c r="G30" s="26" t="s">
        <v>209</v>
      </c>
      <c r="H30" s="28" t="n">
        <v>34.253</v>
      </c>
      <c r="I30" s="28" t="n">
        <v>27.159</v>
      </c>
      <c r="J30" s="26" t="s">
        <v>210</v>
      </c>
      <c r="K30" s="26" t="s">
        <v>211</v>
      </c>
      <c r="L30" s="26" t="s">
        <v>212</v>
      </c>
      <c r="M30" s="26" t="s">
        <v>211</v>
      </c>
      <c r="N30" s="34" t="s">
        <v>27</v>
      </c>
      <c r="O30" s="38" t="n">
        <v>34.3308</v>
      </c>
      <c r="P30" s="31" t="n">
        <v>0</v>
      </c>
      <c r="Q30" s="31" t="n">
        <v>0</v>
      </c>
      <c r="R30" s="31" t="n">
        <v>0.11</v>
      </c>
      <c r="S30" s="31" t="n">
        <v>0.1</v>
      </c>
      <c r="T30" s="31" t="n">
        <f aca="false">SUM(P30,R30)</f>
        <v>0.11</v>
      </c>
      <c r="U30" s="31" t="n">
        <f aca="false">SUM(Q30,S30)</f>
        <v>0.1</v>
      </c>
      <c r="V30" s="31" t="n">
        <v>0.01</v>
      </c>
      <c r="W30" s="31" t="n">
        <v>0</v>
      </c>
      <c r="X30" s="31" t="n">
        <v>0.78</v>
      </c>
      <c r="Y30" s="31" t="n">
        <v>0.76</v>
      </c>
      <c r="Z30" s="32" t="n">
        <v>0.0067</v>
      </c>
      <c r="AA30" s="32" t="n">
        <v>0.0112</v>
      </c>
      <c r="AB30" s="32" t="n">
        <v>0.0103</v>
      </c>
      <c r="AC30" s="32" t="n">
        <v>0.0085</v>
      </c>
      <c r="AD30" s="32" t="n">
        <v>0.009</v>
      </c>
      <c r="AE30" s="32" t="n">
        <v>-99999</v>
      </c>
      <c r="AF30" s="32" t="n">
        <v>-99999</v>
      </c>
      <c r="AG30" s="32" t="n">
        <v>0.002</v>
      </c>
      <c r="AH30" s="32" t="n">
        <v>0.0235</v>
      </c>
      <c r="AI30" s="32" t="n">
        <v>0.0108</v>
      </c>
      <c r="AJ30" s="32" t="n">
        <v>0.0003</v>
      </c>
      <c r="AK30" s="32" t="n">
        <v>0.0036</v>
      </c>
      <c r="AL30" s="32" t="n">
        <v>0.1353</v>
      </c>
      <c r="AM30" s="32"/>
      <c r="AN30" s="32" t="n">
        <v>0.0099</v>
      </c>
      <c r="AO30" s="32" t="n">
        <v>0.0115</v>
      </c>
      <c r="AP30" s="32"/>
      <c r="AQ30" s="32" t="n">
        <v>0.0288</v>
      </c>
      <c r="AR30" s="32" t="n">
        <v>-77777</v>
      </c>
      <c r="AS30" s="32" t="n">
        <v>-99999</v>
      </c>
      <c r="AT30" s="32" t="n">
        <v>0.1368</v>
      </c>
      <c r="AU30" s="32" t="n">
        <v>0.1081</v>
      </c>
      <c r="AV30" s="32"/>
      <c r="AW30" s="32" t="n">
        <v>0.0018</v>
      </c>
      <c r="AX30" s="33"/>
    </row>
    <row r="31" customFormat="false" ht="13.8" hidden="false" customHeight="false" outlineLevel="0" collapsed="false">
      <c r="A31" s="24" t="n">
        <f aca="false">A30+1</f>
        <v>25</v>
      </c>
      <c r="B31" s="35" t="n">
        <v>1.3</v>
      </c>
      <c r="C31" s="35" t="n">
        <v>-4</v>
      </c>
      <c r="D31" s="26" t="n">
        <v>41442</v>
      </c>
      <c r="E31" s="27" t="s">
        <v>213</v>
      </c>
      <c r="F31" s="26" t="s">
        <v>202</v>
      </c>
      <c r="G31" s="26" t="s">
        <v>214</v>
      </c>
      <c r="H31" s="28" t="n">
        <v>34.22</v>
      </c>
      <c r="I31" s="28" t="n">
        <v>27.182</v>
      </c>
      <c r="J31" s="26" t="s">
        <v>215</v>
      </c>
      <c r="K31" s="26" t="s">
        <v>216</v>
      </c>
      <c r="L31" s="26" t="s">
        <v>217</v>
      </c>
      <c r="M31" s="26" t="s">
        <v>126</v>
      </c>
      <c r="N31" s="29" t="s">
        <v>27</v>
      </c>
      <c r="O31" s="37" t="n">
        <v>34.3262</v>
      </c>
      <c r="P31" s="31" t="n">
        <v>0.01</v>
      </c>
      <c r="Q31" s="31" t="n">
        <v>0.01</v>
      </c>
      <c r="R31" s="31" t="n">
        <v>0.1</v>
      </c>
      <c r="S31" s="31" t="n">
        <v>0.1</v>
      </c>
      <c r="T31" s="31" t="n">
        <f aca="false">SUM(P31,R31)</f>
        <v>0.11</v>
      </c>
      <c r="U31" s="31" t="n">
        <f aca="false">SUM(Q31,S31)</f>
        <v>0.11</v>
      </c>
      <c r="V31" s="31" t="n">
        <v>0.01</v>
      </c>
      <c r="W31" s="31" t="n">
        <v>0.01</v>
      </c>
      <c r="X31" s="31" t="n">
        <v>0.65</v>
      </c>
      <c r="Y31" s="31" t="n">
        <v>0.64</v>
      </c>
      <c r="Z31" s="32" t="n">
        <v>0.0047</v>
      </c>
      <c r="AA31" s="32" t="n">
        <v>0.0075</v>
      </c>
      <c r="AB31" s="32" t="n">
        <v>0.0067</v>
      </c>
      <c r="AC31" s="32" t="n">
        <v>0.0062</v>
      </c>
      <c r="AD31" s="32" t="n">
        <v>0.0075</v>
      </c>
      <c r="AE31" s="32" t="n">
        <v>-99999</v>
      </c>
      <c r="AF31" s="32" t="n">
        <v>-99999</v>
      </c>
      <c r="AG31" s="32" t="n">
        <v>0.0016</v>
      </c>
      <c r="AH31" s="32" t="n">
        <v>0.0169</v>
      </c>
      <c r="AI31" s="32" t="n">
        <v>0.0078</v>
      </c>
      <c r="AJ31" s="32" t="n">
        <v>-99999</v>
      </c>
      <c r="AK31" s="32" t="n">
        <v>0.003</v>
      </c>
      <c r="AL31" s="32" t="n">
        <v>0.1377</v>
      </c>
      <c r="AM31" s="32"/>
      <c r="AN31" s="32" t="n">
        <v>0.0063</v>
      </c>
      <c r="AO31" s="32" t="n">
        <v>0.0077</v>
      </c>
      <c r="AP31" s="32"/>
      <c r="AQ31" s="32" t="n">
        <v>0.0235</v>
      </c>
      <c r="AR31" s="32" t="n">
        <v>-77777</v>
      </c>
      <c r="AS31" s="32" t="n">
        <v>-99999</v>
      </c>
      <c r="AT31" s="32" t="n">
        <v>0.1094</v>
      </c>
      <c r="AU31" s="32" t="n">
        <v>0.0775</v>
      </c>
      <c r="AV31" s="32"/>
      <c r="AW31" s="32" t="n">
        <v>0.0014</v>
      </c>
      <c r="AX31" s="33"/>
    </row>
    <row r="32" customFormat="false" ht="13.8" hidden="false" customHeight="false" outlineLevel="0" collapsed="false">
      <c r="A32" s="24" t="n">
        <f aca="false">A31+1</f>
        <v>26</v>
      </c>
      <c r="B32" s="35" t="n">
        <v>2.3</v>
      </c>
      <c r="C32" s="35" t="n">
        <v>-4</v>
      </c>
      <c r="D32" s="26" t="n">
        <v>41442</v>
      </c>
      <c r="E32" s="27" t="s">
        <v>218</v>
      </c>
      <c r="F32" s="26" t="s">
        <v>219</v>
      </c>
      <c r="G32" s="26" t="s">
        <v>220</v>
      </c>
      <c r="H32" s="28" t="n">
        <v>34.606</v>
      </c>
      <c r="I32" s="28" t="n">
        <v>27.866</v>
      </c>
      <c r="J32" s="26" t="s">
        <v>221</v>
      </c>
      <c r="K32" s="26" t="s">
        <v>222</v>
      </c>
      <c r="L32" s="26" t="s">
        <v>223</v>
      </c>
      <c r="M32" s="26" t="s">
        <v>222</v>
      </c>
      <c r="N32" s="29" t="s">
        <v>27</v>
      </c>
      <c r="O32" s="37" t="n">
        <v>34.6703</v>
      </c>
      <c r="P32" s="31" t="n">
        <v>0</v>
      </c>
      <c r="Q32" s="31" t="n">
        <v>0</v>
      </c>
      <c r="R32" s="31" t="n">
        <v>0.12</v>
      </c>
      <c r="S32" s="31" t="n">
        <v>0.11</v>
      </c>
      <c r="T32" s="31" t="n">
        <f aca="false">SUM(P32,R32)</f>
        <v>0.12</v>
      </c>
      <c r="U32" s="31" t="n">
        <f aca="false">SUM(Q32,S32)</f>
        <v>0.11</v>
      </c>
      <c r="V32" s="31" t="n">
        <v>0.01</v>
      </c>
      <c r="W32" s="31" t="n">
        <v>0.01</v>
      </c>
      <c r="X32" s="31" t="n">
        <v>0.54</v>
      </c>
      <c r="Y32" s="31" t="n">
        <v>0.53</v>
      </c>
      <c r="Z32" s="32" t="n">
        <v>0.0052</v>
      </c>
      <c r="AA32" s="32" t="n">
        <v>0.0076</v>
      </c>
      <c r="AB32" s="32" t="n">
        <v>0.0069</v>
      </c>
      <c r="AC32" s="32" t="n">
        <v>0.007</v>
      </c>
      <c r="AD32" s="32" t="n">
        <v>0.009</v>
      </c>
      <c r="AE32" s="32" t="n">
        <v>-99999</v>
      </c>
      <c r="AF32" s="32" t="n">
        <v>-99999</v>
      </c>
      <c r="AG32" s="32" t="n">
        <v>0.0015</v>
      </c>
      <c r="AH32" s="32" t="n">
        <v>0.018</v>
      </c>
      <c r="AI32" s="32" t="n">
        <v>0.0058</v>
      </c>
      <c r="AJ32" s="32" t="n">
        <v>-99999</v>
      </c>
      <c r="AK32" s="32" t="n">
        <v>0.001</v>
      </c>
      <c r="AL32" s="32" t="n">
        <v>0.114</v>
      </c>
      <c r="AM32" s="32"/>
      <c r="AN32" s="32" t="n">
        <v>0.0055</v>
      </c>
      <c r="AO32" s="32" t="n">
        <v>0.0093</v>
      </c>
      <c r="AP32" s="32"/>
      <c r="AQ32" s="32" t="n">
        <v>0.0229</v>
      </c>
      <c r="AR32" s="32" t="n">
        <v>-77777</v>
      </c>
      <c r="AS32" s="32" t="n">
        <v>-99999</v>
      </c>
      <c r="AT32" s="32" t="n">
        <v>0.0789</v>
      </c>
      <c r="AU32" s="32" t="n">
        <v>0.0858</v>
      </c>
      <c r="AV32" s="32"/>
      <c r="AW32" s="32" t="n">
        <v>0.0013</v>
      </c>
      <c r="AX32" s="33"/>
    </row>
    <row r="33" customFormat="false" ht="13.8" hidden="false" customHeight="false" outlineLevel="0" collapsed="false">
      <c r="A33" s="24" t="n">
        <f aca="false">A32+1</f>
        <v>27</v>
      </c>
      <c r="B33" s="35" t="n">
        <v>3.3</v>
      </c>
      <c r="C33" s="35" t="n">
        <v>-4</v>
      </c>
      <c r="D33" s="26" t="n">
        <v>41443</v>
      </c>
      <c r="E33" s="27" t="s">
        <v>224</v>
      </c>
      <c r="F33" s="26" t="s">
        <v>225</v>
      </c>
      <c r="G33" s="26" t="s">
        <v>220</v>
      </c>
      <c r="H33" s="28" t="n">
        <v>34.658</v>
      </c>
      <c r="I33" s="28" t="n">
        <v>27.869</v>
      </c>
      <c r="J33" s="26" t="s">
        <v>226</v>
      </c>
      <c r="K33" s="26" t="s">
        <v>227</v>
      </c>
      <c r="L33" s="26" t="s">
        <v>228</v>
      </c>
      <c r="M33" s="26" t="s">
        <v>227</v>
      </c>
      <c r="N33" s="29"/>
      <c r="O33" s="37" t="n">
        <v>34.7203</v>
      </c>
      <c r="P33" s="31" t="n">
        <v>0</v>
      </c>
      <c r="Q33" s="31" t="n">
        <v>0</v>
      </c>
      <c r="R33" s="31" t="n">
        <v>0.13</v>
      </c>
      <c r="S33" s="31" t="n">
        <v>0.12</v>
      </c>
      <c r="T33" s="31" t="n">
        <f aca="false">SUM(P33,R33)</f>
        <v>0.13</v>
      </c>
      <c r="U33" s="31" t="n">
        <f aca="false">SUM(Q33,S33)</f>
        <v>0.12</v>
      </c>
      <c r="V33" s="31" t="n">
        <v>0.04</v>
      </c>
      <c r="W33" s="31" t="n">
        <v>0.04</v>
      </c>
      <c r="X33" s="31" t="n">
        <v>0.64</v>
      </c>
      <c r="Y33" s="31" t="n">
        <v>0.63</v>
      </c>
      <c r="Z33" s="32" t="n">
        <v>0.0054</v>
      </c>
      <c r="AA33" s="32" t="n">
        <v>0.0074</v>
      </c>
      <c r="AB33" s="32" t="n">
        <v>0.0052</v>
      </c>
      <c r="AC33" s="32" t="n">
        <v>0.0068</v>
      </c>
      <c r="AD33" s="32" t="n">
        <v>0.0086</v>
      </c>
      <c r="AE33" s="32" t="n">
        <v>-99999</v>
      </c>
      <c r="AF33" s="32" t="n">
        <v>-99999</v>
      </c>
      <c r="AG33" s="32" t="n">
        <v>0.0014</v>
      </c>
      <c r="AH33" s="32" t="n">
        <v>0.0169</v>
      </c>
      <c r="AI33" s="32" t="n">
        <v>0.0055</v>
      </c>
      <c r="AJ33" s="32" t="n">
        <v>-99999</v>
      </c>
      <c r="AK33" s="32" t="n">
        <v>0.001</v>
      </c>
      <c r="AL33" s="32" t="n">
        <v>0.0991</v>
      </c>
      <c r="AM33" s="32"/>
      <c r="AN33" s="32" t="n">
        <v>0.0058</v>
      </c>
      <c r="AO33" s="32" t="n">
        <v>0.0103</v>
      </c>
      <c r="AP33" s="32"/>
      <c r="AQ33" s="32" t="n">
        <v>0.0236</v>
      </c>
      <c r="AR33" s="32" t="n">
        <v>-77777</v>
      </c>
      <c r="AS33" s="32" t="n">
        <v>-99999</v>
      </c>
      <c r="AT33" s="32" t="n">
        <v>0.0832</v>
      </c>
      <c r="AU33" s="32" t="n">
        <v>0.0887</v>
      </c>
      <c r="AV33" s="32"/>
      <c r="AW33" s="32" t="n">
        <v>0.0014</v>
      </c>
      <c r="AX33" s="33"/>
    </row>
    <row r="34" customFormat="false" ht="13.8" hidden="false" customHeight="false" outlineLevel="0" collapsed="false">
      <c r="A34" s="24" t="n">
        <f aca="false">A33+1</f>
        <v>28</v>
      </c>
      <c r="B34" s="35" t="n">
        <v>4.3</v>
      </c>
      <c r="C34" s="35" t="n">
        <v>-4</v>
      </c>
      <c r="D34" s="26" t="n">
        <v>41443</v>
      </c>
      <c r="E34" s="27" t="s">
        <v>229</v>
      </c>
      <c r="F34" s="26" t="s">
        <v>230</v>
      </c>
      <c r="G34" s="26" t="s">
        <v>220</v>
      </c>
      <c r="H34" s="28" t="n">
        <v>34.743</v>
      </c>
      <c r="I34" s="28" t="n">
        <v>27.815</v>
      </c>
      <c r="J34" s="26" t="s">
        <v>231</v>
      </c>
      <c r="K34" s="26" t="s">
        <v>232</v>
      </c>
      <c r="L34" s="26" t="s">
        <v>233</v>
      </c>
      <c r="M34" s="26" t="s">
        <v>232</v>
      </c>
      <c r="N34" s="29"/>
      <c r="O34" s="37" t="n">
        <v>34.8029</v>
      </c>
      <c r="P34" s="31" t="n">
        <v>0.01</v>
      </c>
      <c r="Q34" s="31" t="n">
        <v>0.01</v>
      </c>
      <c r="R34" s="31" t="n">
        <v>0.12</v>
      </c>
      <c r="S34" s="31" t="n">
        <v>0.12</v>
      </c>
      <c r="T34" s="31" t="n">
        <f aca="false">SUM(P34,R34)</f>
        <v>0.13</v>
      </c>
      <c r="U34" s="31" t="n">
        <f aca="false">SUM(Q34,S34)</f>
        <v>0.13</v>
      </c>
      <c r="V34" s="31" t="n">
        <v>0.03</v>
      </c>
      <c r="W34" s="31" t="n">
        <v>0.03</v>
      </c>
      <c r="X34" s="31" t="n">
        <v>0.66</v>
      </c>
      <c r="Y34" s="31" t="n">
        <v>0.64</v>
      </c>
      <c r="Z34" s="32" t="n">
        <v>0.0273</v>
      </c>
      <c r="AA34" s="32" t="n">
        <v>0.0288</v>
      </c>
      <c r="AB34" s="32" t="n">
        <v>0.0106</v>
      </c>
      <c r="AC34" s="32" t="n">
        <v>0.0237</v>
      </c>
      <c r="AD34" s="32" t="n">
        <v>0.0385</v>
      </c>
      <c r="AE34" s="32" t="n">
        <v>0.0042</v>
      </c>
      <c r="AF34" s="32" t="n">
        <v>0.0081</v>
      </c>
      <c r="AG34" s="32" t="n">
        <v>0.002</v>
      </c>
      <c r="AH34" s="32" t="n">
        <v>0.0662</v>
      </c>
      <c r="AI34" s="32" t="n">
        <v>0.0342</v>
      </c>
      <c r="AJ34" s="32" t="n">
        <v>0.002</v>
      </c>
      <c r="AK34" s="32" t="n">
        <v>0.0074</v>
      </c>
      <c r="AL34" s="32" t="n">
        <v>0.116</v>
      </c>
      <c r="AM34" s="32"/>
      <c r="AN34" s="32" t="n">
        <v>0.0075</v>
      </c>
      <c r="AO34" s="32" t="n">
        <v>0.0442</v>
      </c>
      <c r="AP34" s="32"/>
      <c r="AQ34" s="32" t="n">
        <v>-77777</v>
      </c>
      <c r="AR34" s="32" t="n">
        <v>0.0449</v>
      </c>
      <c r="AS34" s="32" t="n">
        <v>-99999</v>
      </c>
      <c r="AT34" s="32" t="n">
        <v>0.0977</v>
      </c>
      <c r="AU34" s="32" t="n">
        <v>0.3614</v>
      </c>
      <c r="AV34" s="32"/>
      <c r="AW34" s="32" t="n">
        <v>0.0032</v>
      </c>
      <c r="AX34" s="33"/>
    </row>
    <row r="35" customFormat="false" ht="13.8" hidden="false" customHeight="false" outlineLevel="0" collapsed="false">
      <c r="A35" s="24" t="n">
        <f aca="false">A34+1</f>
        <v>29</v>
      </c>
      <c r="B35" s="35" t="s">
        <v>234</v>
      </c>
      <c r="C35" s="35" t="n">
        <v>-3.58</v>
      </c>
      <c r="D35" s="26" t="n">
        <v>41443</v>
      </c>
      <c r="E35" s="27" t="s">
        <v>235</v>
      </c>
      <c r="F35" s="26" t="s">
        <v>236</v>
      </c>
      <c r="G35" s="26" t="s">
        <v>237</v>
      </c>
      <c r="H35" s="28" t="n">
        <v>34.639</v>
      </c>
      <c r="I35" s="28" t="n">
        <v>27.658</v>
      </c>
      <c r="J35" s="26" t="s">
        <v>238</v>
      </c>
      <c r="K35" s="26" t="s">
        <v>239</v>
      </c>
      <c r="L35" s="26" t="s">
        <v>240</v>
      </c>
      <c r="M35" s="26" t="s">
        <v>239</v>
      </c>
      <c r="N35" s="29" t="s">
        <v>27</v>
      </c>
      <c r="O35" s="37" t="n">
        <v>34.6931</v>
      </c>
      <c r="P35" s="31" t="n">
        <v>0.01</v>
      </c>
      <c r="Q35" s="31" t="n">
        <v>0.01</v>
      </c>
      <c r="R35" s="31" t="n">
        <v>0.13</v>
      </c>
      <c r="S35" s="31" t="n">
        <v>0.13</v>
      </c>
      <c r="T35" s="31" t="n">
        <f aca="false">SUM(P35,R35)</f>
        <v>0.14</v>
      </c>
      <c r="U35" s="31" t="n">
        <f aca="false">SUM(Q35,S35)</f>
        <v>0.14</v>
      </c>
      <c r="V35" s="31" t="n">
        <v>0.02</v>
      </c>
      <c r="W35" s="31" t="n">
        <v>0.01</v>
      </c>
      <c r="X35" s="31" t="n">
        <v>0.61</v>
      </c>
      <c r="Y35" s="31" t="n">
        <v>0.6</v>
      </c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3"/>
    </row>
    <row r="36" customFormat="false" ht="13.8" hidden="false" customHeight="false" outlineLevel="0" collapsed="false">
      <c r="A36" s="39" t="n">
        <f aca="false">A35+1</f>
        <v>30</v>
      </c>
      <c r="B36" s="40" t="n">
        <v>5.05</v>
      </c>
      <c r="C36" s="40" t="n">
        <v>-3.57</v>
      </c>
      <c r="D36" s="41" t="n">
        <v>41443</v>
      </c>
      <c r="E36" s="42" t="s">
        <v>241</v>
      </c>
      <c r="F36" s="41" t="s">
        <v>242</v>
      </c>
      <c r="G36" s="41" t="s">
        <v>243</v>
      </c>
      <c r="H36" s="43" t="n">
        <v>32.933</v>
      </c>
      <c r="I36" s="43" t="n">
        <v>26.643</v>
      </c>
      <c r="J36" s="41" t="s">
        <v>244</v>
      </c>
      <c r="K36" s="41" t="s">
        <v>244</v>
      </c>
      <c r="L36" s="41" t="s">
        <v>244</v>
      </c>
      <c r="M36" s="41" t="s">
        <v>244</v>
      </c>
      <c r="N36" s="44"/>
      <c r="O36" s="45" t="s">
        <v>245</v>
      </c>
      <c r="P36" s="33"/>
      <c r="Q36" s="33"/>
      <c r="R36" s="33"/>
      <c r="S36" s="33"/>
      <c r="T36" s="31"/>
      <c r="U36" s="33"/>
      <c r="V36" s="33"/>
      <c r="W36" s="33"/>
      <c r="X36" s="33"/>
      <c r="Y36" s="33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3"/>
    </row>
    <row r="37" customFormat="false" ht="12.8" hidden="false" customHeight="fals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46"/>
      <c r="L37" s="33"/>
      <c r="M37" s="33"/>
      <c r="N37" s="33"/>
      <c r="O37" s="47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3"/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  <Company>IFREMER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2011-05-12T15:50:09Z</dcterms:created>
  <dc:creator>cdaallad</dc:creator>
  <dc:description/>
  <dc:language>fr-FR</dc:language>
  <cp:lastModifiedBy/>
  <dcterms:modified xsi:type="dcterms:W3CDTF">2022-09-29T14:51:42Z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IFREMER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