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<sst xmlns="http://schemas.openxmlformats.org/spreadsheetml/2006/main" count="197" uniqueCount="169">
  <si>
    <t xml:space="preserve">CAMPAGNE  EGEE 2</t>
  </si>
  <si>
    <t xml:space="preserve">ECHANTILLONS DE SURFACE </t>
  </si>
  <si>
    <t xml:space="preserve">Ces échantillons de surface sont prélevés à partir du thermosalinographe quand il n'y a pas de station CTD,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</si>
  <si>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</si>
  <si>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</si>
  <si>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</si>
  <si>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</si>
  <si>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</si>
  <si>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</si>
  <si>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</si>
  <si>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</si>
  <si>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</si>
  <si>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</si>
  <si>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</si>
  <si>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</si>
  <si>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</si>
  <si>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</si>
  <si>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</si>
  <si>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</si>
  <si>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</si>
  <si>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</si>
  <si>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</si>
  <si>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</si>
  <si>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</si>
  <si>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</si>
  <si>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</si>
  <si>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</si>
  <si>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</si>
  <si>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</si>
  <si>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</si>
  <si>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</si>
  <si>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</si>
  <si>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</si>
  <si>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</si>
  <si>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</si>
  <si>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</si>
  <si>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</si>
  <si>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</si>
  <si>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</si>
  <si>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</si>
  <si>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</si>
  <si>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</si>
  <si>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</si>
  <si>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</si>
  <si>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</si>
  <si>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</si>
  <si>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</si>
  <si>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</si>
  <si>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</si>
  <si>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</si>
  <si>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</si>
  <si>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</si>
  <si>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</si>
  <si>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</si>
  <si>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</si>
  <si>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</si>
  <si>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</si>
  <si>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</si>
  <si>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</si>
  <si>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</si>
  <si>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</si>
  <si>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</si>
  <si>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</si>
  <si>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</si>
  <si>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</si>
  <si>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</si>
  <si>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</si>
  <si>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</si>
  <si>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</si>
  <si>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</si>
  <si>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</si>
  <si>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</si>
  <si>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</si>
  <si>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</si>
  <si>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</si>
  <si>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</si>
  <si>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</si>
  <si>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</si>
  <si>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</si>
  <si>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t xml:space="preserve">µg,l-1</t>
  </si>
  <si>
    <t xml:space="preserve">21h58</t>
  </si>
  <si>
    <t xml:space="preserve">04°58,57 N</t>
  </si>
  <si>
    <t xml:space="preserve">01°56,32 E</t>
  </si>
  <si>
    <t xml:space="preserve">TSG-1</t>
  </si>
  <si>
    <t xml:space="preserve">05h54</t>
  </si>
  <si>
    <t xml:space="preserve">03°59,06 N</t>
  </si>
  <si>
    <t xml:space="preserve">01°33,02'E</t>
  </si>
  <si>
    <t xml:space="preserve">TSG-2</t>
  </si>
  <si>
    <t xml:space="preserve">14h27</t>
  </si>
  <si>
    <t xml:space="preserve">02°58,72 N</t>
  </si>
  <si>
    <t xml:space="preserve">01°09,26 E</t>
  </si>
  <si>
    <t xml:space="preserve">TSG-3</t>
  </si>
  <si>
    <t xml:space="preserve">21h48</t>
  </si>
  <si>
    <t xml:space="preserve">02°00,25 N</t>
  </si>
  <si>
    <t xml:space="preserve">00°46,70 E</t>
  </si>
  <si>
    <t xml:space="preserve">TSG-4</t>
  </si>
  <si>
    <t xml:space="preserve">05h17</t>
  </si>
  <si>
    <t xml:space="preserve">00°58,60 N</t>
  </si>
  <si>
    <t xml:space="preserve">00°22,70 E</t>
  </si>
  <si>
    <t xml:space="preserve">TSG-5</t>
  </si>
  <si>
    <t xml:space="preserve">03h47</t>
  </si>
  <si>
    <t xml:space="preserve">01°00,66 S</t>
  </si>
  <si>
    <t xml:space="preserve">01°04,02 W</t>
  </si>
  <si>
    <t xml:space="preserve">TSG-6</t>
  </si>
  <si>
    <t xml:space="preserve">13h54</t>
  </si>
  <si>
    <t xml:space="preserve">02°01,70 S</t>
  </si>
  <si>
    <t xml:space="preserve">02°04,30 W</t>
  </si>
  <si>
    <t xml:space="preserve">TSG-7</t>
  </si>
  <si>
    <t xml:space="preserve">22h47</t>
  </si>
  <si>
    <t xml:space="preserve">02°58,66 S</t>
  </si>
  <si>
    <t xml:space="preserve">03°00,73 W</t>
  </si>
  <si>
    <t xml:space="preserve">TSG-8</t>
  </si>
  <si>
    <t xml:space="preserve">08h18</t>
  </si>
  <si>
    <t xml:space="preserve">03°58,40 S</t>
  </si>
  <si>
    <t xml:space="preserve">03°59,88 W</t>
  </si>
  <si>
    <t xml:space="preserve">TSG-9</t>
  </si>
  <si>
    <t xml:space="preserve">17h30</t>
  </si>
  <si>
    <t xml:space="preserve">05°01,85 S</t>
  </si>
  <si>
    <t xml:space="preserve">05°07,23 W</t>
  </si>
  <si>
    <t xml:space="preserve">TSG-10</t>
  </si>
  <si>
    <t xml:space="preserve">02h07</t>
  </si>
  <si>
    <t xml:space="preserve">06°01,90 S</t>
  </si>
  <si>
    <t xml:space="preserve">06°02,40 W</t>
  </si>
  <si>
    <t xml:space="preserve">TSG-11</t>
  </si>
  <si>
    <t xml:space="preserve">19h51</t>
  </si>
  <si>
    <t xml:space="preserve">07°59,81 S</t>
  </si>
  <si>
    <t xml:space="preserve">07°59,76 W</t>
  </si>
  <si>
    <t xml:space="preserve">TSG-12</t>
  </si>
  <si>
    <t xml:space="preserve">03h31</t>
  </si>
  <si>
    <t xml:space="preserve">08°59,42 S</t>
  </si>
  <si>
    <t xml:space="preserve">08°59,31 W</t>
  </si>
  <si>
    <t xml:space="preserve">TSG-13</t>
  </si>
  <si>
    <t xml:space="preserve">17h45</t>
  </si>
  <si>
    <t xml:space="preserve">01°29,99 N</t>
  </si>
  <si>
    <t xml:space="preserve">08°58,94 W</t>
  </si>
  <si>
    <t xml:space="preserve">D 14</t>
  </si>
  <si>
    <t xml:space="preserve">TSG-14</t>
  </si>
  <si>
    <t xml:space="preserve">13h31</t>
  </si>
  <si>
    <t xml:space="preserve">02°00,00 N</t>
  </si>
  <si>
    <t xml:space="preserve">05°58,20 W</t>
  </si>
  <si>
    <t xml:space="preserve">F 23</t>
  </si>
  <si>
    <t xml:space="preserve">TSG-15</t>
  </si>
  <si>
    <t xml:space="preserve">19h36</t>
  </si>
  <si>
    <t xml:space="preserve">04°58,15 W</t>
  </si>
  <si>
    <t xml:space="preserve">F 24</t>
  </si>
  <si>
    <t xml:space="preserve">TSG-16</t>
  </si>
  <si>
    <t xml:space="preserve">01h27</t>
  </si>
  <si>
    <t xml:space="preserve">03°57,83 W</t>
  </si>
  <si>
    <t xml:space="preserve">F 25</t>
  </si>
  <si>
    <t xml:space="preserve">TSG-17</t>
  </si>
  <si>
    <t xml:space="preserve">07h06</t>
  </si>
  <si>
    <t xml:space="preserve">02°59,52 W</t>
  </si>
  <si>
    <t xml:space="preserve">D 2</t>
  </si>
  <si>
    <t xml:space="preserve">TSG-18</t>
  </si>
  <si>
    <t xml:space="preserve"> </t>
  </si>
  <si>
    <t xml:space="preserve">12h57</t>
  </si>
  <si>
    <t xml:space="preserve">02°01,79 W</t>
  </si>
  <si>
    <t xml:space="preserve">D 3</t>
  </si>
  <si>
    <t xml:space="preserve">TSG-19</t>
  </si>
  <si>
    <t xml:space="preserve">23h33</t>
  </si>
  <si>
    <t xml:space="preserve">02°59,90 N</t>
  </si>
  <si>
    <t xml:space="preserve">01°00,10 W</t>
  </si>
  <si>
    <t xml:space="preserve">D 15</t>
  </si>
  <si>
    <t xml:space="preserve">TSG-20</t>
  </si>
  <si>
    <t xml:space="preserve">07h48</t>
  </si>
  <si>
    <t xml:space="preserve">03°59,70 N</t>
  </si>
  <si>
    <t xml:space="preserve">0°00,25 W</t>
  </si>
  <si>
    <t xml:space="preserve">D 16</t>
  </si>
  <si>
    <t xml:space="preserve">TSG-21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</si>
</sst>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/m/yy;@"/>
    <numFmt numFmtId="166" formatCode="h:mm;@"/>
    <numFmt numFmtId="167" formatCode="0"/>
    <numFmt numFmtId="168" formatCode="0.0000"/>
    <numFmt numFmtId="169" formatCode="0.00"/>
    <numFmt numFmtId="170" formatCode="dd/mm/yyyy"/>
    <numFmt numFmtId="171" formatCode="hh\hmm"/>
    <numFmt numFmtId="172" formatCode="0.000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2" width="8.86"/>
    <col collapsed="false" customWidth="true" hidden="false" outlineLevel="0" max="3" min="3" style="2" width="10"/>
    <col collapsed="false" customWidth="true" hidden="false" outlineLevel="0" max="4" min="4" style="2" width="13.47"/>
    <col collapsed="false" customWidth="true" hidden="false" outlineLevel="0" max="5" min="5" style="3" width="7.57"/>
    <col collapsed="false" customWidth="true" hidden="false" outlineLevel="0" max="6" min="6" style="3" width="9.85"/>
    <col collapsed="false" customWidth="true" hidden="false" outlineLevel="0" max="7" min="7" style="3" width="23.08"/>
    <col collapsed="false" customWidth="true" hidden="false" outlineLevel="0" max="8" min="8" style="1" width="7.87"/>
    <col collapsed="false" customWidth="true" hidden="false" outlineLevel="0" max="9" min="9" style="1" width="8.86"/>
    <col collapsed="false" customWidth="true" hidden="false" outlineLevel="0" max="10" min="10" style="4" width="8.86"/>
    <col collapsed="false" customWidth="true" hidden="false" outlineLevel="0" max="11" min="11" style="4" width="8.57"/>
    <col collapsed="false" customWidth="true" hidden="false" outlineLevel="0" max="12" min="12" style="4" width="8.29"/>
    <col collapsed="false" customWidth="true" hidden="false" outlineLevel="0" max="13" min="13" style="5" width="9.71"/>
    <col collapsed="false" customWidth="true" hidden="false" outlineLevel="0" max="14" min="14" style="1" width="26.13"/>
    <col collapsed="false" customWidth="false" hidden="false" outlineLevel="0" max="16" min="15" style="1" width="10.99"/>
    <col collapsed="false" customWidth="true" hidden="false" outlineLevel="0" max="17" min="17" style="1" width="21.26"/>
    <col collapsed="false" customWidth="true" hidden="false" outlineLevel="0" max="18" min="18" style="1" width="10.71"/>
    <col collapsed="false" customWidth="false" hidden="false" outlineLevel="0" max="19" min="19" style="1" width="10.99"/>
    <col collapsed="false" customWidth="true" hidden="false" outlineLevel="0" max="22" min="20" style="1" width="10"/>
    <col collapsed="false" customWidth="false" hidden="false" outlineLevel="0" max="25" min="23" style="1" width="10.99"/>
    <col collapsed="false" customWidth="true" hidden="false" outlineLevel="0" max="26" min="26" style="1" width="13.57"/>
    <col collapsed="false" customWidth="true" hidden="false" outlineLevel="0" max="27" min="27" style="1" width="16.57"/>
    <col collapsed="false" customWidth="true" hidden="false" outlineLevel="0" max="28" min="28" style="1" width="9.13"/>
    <col collapsed="false" customWidth="true" hidden="false" outlineLevel="0" max="29" min="29" style="1" width="26.13"/>
    <col collapsed="false" customWidth="true" hidden="false" outlineLevel="0" max="30" min="30" style="1" width="12.71"/>
    <col collapsed="false" customWidth="true" hidden="false" outlineLevel="0" max="31" min="31" style="1" width="11.14"/>
    <col collapsed="false" customWidth="true" hidden="false" outlineLevel="0" max="32" min="32" style="1" width="14.28"/>
    <col collapsed="false" customWidth="true" hidden="false" outlineLevel="0" max="33" min="33" style="1" width="11.99"/>
    <col collapsed="false" customWidth="true" hidden="false" outlineLevel="0" max="34" min="34" style="1" width="26.59"/>
    <col collapsed="false" customWidth="true" hidden="false" outlineLevel="0" max="35" min="35" style="1" width="14.43"/>
    <col collapsed="false" customWidth="true" hidden="false" outlineLevel="0" max="36" min="36" style="1" width="11.14"/>
    <col collapsed="false" customWidth="true" hidden="false" outlineLevel="0" max="37" min="37" style="1" width="12.29"/>
    <col collapsed="false" customWidth="true" hidden="false" outlineLevel="0" max="38" min="38" style="1" width="11.14"/>
    <col collapsed="false" customWidth="true" hidden="false" outlineLevel="0" max="39" min="39" style="1" width="6.28"/>
    <col collapsed="false" customWidth="true" hidden="false" outlineLevel="0" max="40" min="40" style="1" width="19.42"/>
    <col collapsed="false" customWidth="true" hidden="false" outlineLevel="0" max="41" min="41" style="1" width="12.86"/>
    <col collapsed="false" customWidth="true" hidden="false" outlineLevel="0" max="42" min="42" style="1" width="17.59"/>
    <col collapsed="false" customWidth="true" hidden="false" outlineLevel="0" max="43" min="43" style="1" width="14.43"/>
    <col collapsed="false" customWidth="true" hidden="false" outlineLevel="0" max="44" min="44" style="1" width="13.57"/>
    <col collapsed="false" customWidth="true" hidden="false" outlineLevel="0" max="45" min="45" style="1" width="13.7"/>
    <col collapsed="false" customWidth="true" hidden="false" outlineLevel="0" max="46" min="46" style="1" width="19.71"/>
    <col collapsed="false" customWidth="true" hidden="false" outlineLevel="0" max="47" min="47" style="1" width="13.14"/>
    <col collapsed="false" customWidth="true" hidden="false" outlineLevel="0" max="48" min="48" style="1" width="17.4"/>
    <col collapsed="false" customWidth="true" hidden="false" outlineLevel="0" max="49" min="49" style="1" width="13.29"/>
    <col collapsed="false" customWidth="true" hidden="false" outlineLevel="0" max="50" min="50" style="1" width="12.42"/>
    <col collapsed="false" customWidth="false" hidden="false" outlineLevel="0" max="1022" min="51" style="1" width="10.99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7.35" hidden="false" customHeight="fals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8" customFormat="true" ht="25.5" hidden="false" customHeight="true" outlineLevel="0" collapsed="false">
      <c r="A3" s="8" t="s">
        <v>2</v>
      </c>
      <c r="B3" s="9"/>
      <c r="C3" s="9"/>
      <c r="D3" s="9"/>
      <c r="E3" s="10"/>
      <c r="F3" s="10"/>
      <c r="G3" s="10"/>
      <c r="M3" s="11"/>
      <c r="AMI3" s="0"/>
      <c r="AMJ3" s="0"/>
    </row>
    <row r="4" s="8" customFormat="true" ht="25.5" hidden="false" customHeight="true" outlineLevel="0" collapsed="false">
      <c r="B4" s="9"/>
      <c r="C4" s="9"/>
      <c r="D4" s="9"/>
      <c r="E4" s="10"/>
      <c r="F4" s="10"/>
      <c r="G4" s="10"/>
      <c r="M4" s="11"/>
      <c r="Z4" s="12" t="s">
        <v>3</v>
      </c>
      <c r="AA4" s="12" t="s">
        <v>4</v>
      </c>
      <c r="AB4" s="12" t="s">
        <v>5</v>
      </c>
      <c r="AC4" s="13" t="s">
        <v>6</v>
      </c>
      <c r="AD4" s="12" t="s">
        <v>7</v>
      </c>
      <c r="AE4" s="12" t="s">
        <v>8</v>
      </c>
      <c r="AF4" s="12" t="s">
        <v>9</v>
      </c>
      <c r="AG4" s="12" t="s">
        <v>10</v>
      </c>
      <c r="AH4" s="13" t="s">
        <v>11</v>
      </c>
      <c r="AI4" s="12" t="s">
        <v>12</v>
      </c>
      <c r="AJ4" s="12" t="s">
        <v>13</v>
      </c>
      <c r="AK4" s="12" t="s">
        <v>14</v>
      </c>
      <c r="AL4" s="12" t="s">
        <v>15</v>
      </c>
      <c r="AM4" s="12" t="s">
        <v>16</v>
      </c>
      <c r="AN4" s="13" t="s">
        <v>17</v>
      </c>
      <c r="AO4" s="13" t="s">
        <v>18</v>
      </c>
      <c r="AP4" s="13" t="s">
        <v>19</v>
      </c>
      <c r="AQ4" s="12" t="s">
        <v>20</v>
      </c>
      <c r="AR4" s="12" t="s">
        <v>21</v>
      </c>
      <c r="AS4" s="14" t="s">
        <v>22</v>
      </c>
      <c r="AT4" s="12" t="s">
        <v>23</v>
      </c>
      <c r="AU4" s="12" t="s">
        <v>24</v>
      </c>
      <c r="AV4" s="15" t="s">
        <v>25</v>
      </c>
      <c r="AW4" s="12" t="s">
        <v>26</v>
      </c>
      <c r="AX4" s="16" t="s">
        <v>27</v>
      </c>
      <c r="AMI4" s="0"/>
      <c r="AMJ4" s="0"/>
    </row>
    <row r="5" s="17" customFormat="true" ht="25.5" hidden="false" customHeight="true" outlineLevel="0" collapsed="false">
      <c r="B5" s="18"/>
      <c r="C5" s="18"/>
      <c r="D5" s="18"/>
      <c r="E5" s="19"/>
      <c r="F5" s="19"/>
      <c r="G5" s="19"/>
      <c r="H5" s="20"/>
      <c r="I5" s="21" t="s">
        <v>28</v>
      </c>
      <c r="M5" s="22"/>
      <c r="P5" s="23"/>
      <c r="Q5" s="23"/>
      <c r="R5" s="23"/>
      <c r="S5" s="23"/>
      <c r="T5" s="23"/>
      <c r="U5" s="23"/>
      <c r="V5" s="23"/>
      <c r="W5" s="23"/>
      <c r="X5" s="23"/>
      <c r="Y5" s="23"/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24" t="s">
        <v>34</v>
      </c>
      <c r="AF5" s="12" t="s">
        <v>35</v>
      </c>
      <c r="AG5" s="24" t="s">
        <v>36</v>
      </c>
      <c r="AH5" s="12" t="s">
        <v>37</v>
      </c>
      <c r="AI5" s="12" t="s">
        <v>38</v>
      </c>
      <c r="AJ5" s="12" t="s">
        <v>39</v>
      </c>
      <c r="AK5" s="12" t="s">
        <v>40</v>
      </c>
      <c r="AL5" s="12" t="s">
        <v>41</v>
      </c>
      <c r="AM5" s="25" t="s">
        <v>42</v>
      </c>
      <c r="AN5" s="12" t="s">
        <v>43</v>
      </c>
      <c r="AO5" s="12" t="s">
        <v>44</v>
      </c>
      <c r="AP5" s="26" t="s">
        <v>45</v>
      </c>
      <c r="AQ5" s="24" t="s">
        <v>46</v>
      </c>
      <c r="AR5" s="24" t="s">
        <v>47</v>
      </c>
      <c r="AS5" s="27" t="s">
        <v>48</v>
      </c>
      <c r="AT5" s="12" t="s">
        <v>49</v>
      </c>
      <c r="AU5" s="12" t="s">
        <v>50</v>
      </c>
      <c r="AV5" s="28" t="s">
        <v>51</v>
      </c>
      <c r="AW5" s="12" t="s">
        <v>52</v>
      </c>
      <c r="AX5" s="29" t="s">
        <v>53</v>
      </c>
      <c r="AMI5" s="0"/>
      <c r="AMJ5" s="0"/>
    </row>
    <row r="6" customFormat="false" ht="45.75" hidden="false" customHeight="true" outlineLevel="0" collapsed="false">
      <c r="A6" s="30" t="s">
        <v>54</v>
      </c>
      <c r="B6" s="30" t="s">
        <v>55</v>
      </c>
      <c r="C6" s="30" t="s">
        <v>56</v>
      </c>
      <c r="D6" s="31" t="s">
        <v>57</v>
      </c>
      <c r="E6" s="32" t="s">
        <v>58</v>
      </c>
      <c r="F6" s="30" t="s">
        <v>59</v>
      </c>
      <c r="G6" s="30" t="s">
        <v>60</v>
      </c>
      <c r="H6" s="30" t="s">
        <v>61</v>
      </c>
      <c r="I6" s="30" t="s">
        <v>62</v>
      </c>
      <c r="J6" s="30" t="s">
        <v>63</v>
      </c>
      <c r="K6" s="30" t="s">
        <v>64</v>
      </c>
      <c r="L6" s="30" t="s">
        <v>65</v>
      </c>
      <c r="M6" s="30" t="s">
        <v>66</v>
      </c>
      <c r="N6" s="30" t="s">
        <v>67</v>
      </c>
      <c r="O6" s="30" t="s">
        <v>68</v>
      </c>
      <c r="P6" s="33" t="s">
        <v>69</v>
      </c>
      <c r="Q6" s="33" t="s">
        <v>70</v>
      </c>
      <c r="R6" s="33" t="s">
        <v>71</v>
      </c>
      <c r="S6" s="33" t="s">
        <v>72</v>
      </c>
      <c r="T6" s="33" t="s">
        <v>73</v>
      </c>
      <c r="U6" s="33" t="s">
        <v>74</v>
      </c>
      <c r="V6" s="33" t="s">
        <v>75</v>
      </c>
      <c r="W6" s="33" t="s">
        <v>76</v>
      </c>
      <c r="X6" s="33" t="s">
        <v>77</v>
      </c>
      <c r="Y6" s="33" t="s">
        <v>78</v>
      </c>
      <c r="Z6" s="12" t="s">
        <v>79</v>
      </c>
      <c r="AA6" s="12" t="s">
        <v>79</v>
      </c>
      <c r="AB6" s="12" t="s">
        <v>79</v>
      </c>
      <c r="AC6" s="12" t="s">
        <v>79</v>
      </c>
      <c r="AD6" s="12" t="s">
        <v>79</v>
      </c>
      <c r="AE6" s="12" t="s">
        <v>79</v>
      </c>
      <c r="AF6" s="12" t="s">
        <v>79</v>
      </c>
      <c r="AG6" s="12" t="s">
        <v>79</v>
      </c>
      <c r="AH6" s="12" t="s">
        <v>79</v>
      </c>
      <c r="AI6" s="12" t="s">
        <v>79</v>
      </c>
      <c r="AJ6" s="12" t="s">
        <v>79</v>
      </c>
      <c r="AK6" s="12" t="s">
        <v>79</v>
      </c>
      <c r="AL6" s="12" t="s">
        <v>79</v>
      </c>
      <c r="AM6" s="12" t="s">
        <v>79</v>
      </c>
      <c r="AN6" s="12" t="s">
        <v>79</v>
      </c>
      <c r="AO6" s="12" t="s">
        <v>79</v>
      </c>
      <c r="AP6" s="12" t="s">
        <v>79</v>
      </c>
      <c r="AQ6" s="12" t="s">
        <v>79</v>
      </c>
      <c r="AR6" s="12" t="s">
        <v>79</v>
      </c>
      <c r="AS6" s="12" t="s">
        <v>79</v>
      </c>
      <c r="AT6" s="12" t="s">
        <v>79</v>
      </c>
      <c r="AU6" s="12" t="s">
        <v>79</v>
      </c>
      <c r="AV6" s="12" t="s">
        <v>79</v>
      </c>
      <c r="AW6" s="12" t="s">
        <v>79</v>
      </c>
      <c r="AX6" s="12" t="s">
        <v>79</v>
      </c>
    </row>
    <row r="7" customFormat="false" ht="12.8" hidden="false" customHeight="false" outlineLevel="0" collapsed="false">
      <c r="A7" s="34" t="n">
        <v>1</v>
      </c>
      <c r="B7" s="35"/>
      <c r="C7" s="35"/>
      <c r="D7" s="36" t="n">
        <v>38598</v>
      </c>
      <c r="E7" s="37" t="s">
        <v>80</v>
      </c>
      <c r="F7" s="38" t="s">
        <v>81</v>
      </c>
      <c r="G7" s="38" t="s">
        <v>82</v>
      </c>
      <c r="H7" s="35"/>
      <c r="I7" s="35"/>
      <c r="J7" s="39" t="n">
        <v>1</v>
      </c>
      <c r="K7" s="40" t="s">
        <v>83</v>
      </c>
      <c r="L7" s="35"/>
      <c r="M7" s="41"/>
      <c r="N7" s="35"/>
      <c r="O7" s="35" t="n">
        <v>35.2167</v>
      </c>
      <c r="P7" s="42" t="n">
        <v>0.036</v>
      </c>
      <c r="Q7" s="42" t="n">
        <v>0.0351788187238012</v>
      </c>
      <c r="R7" s="42" t="n">
        <v>0.074</v>
      </c>
      <c r="S7" s="42" t="n">
        <v>0.0723120162655913</v>
      </c>
      <c r="T7" s="42" t="n">
        <f aca="false">SUM(P7,R7)</f>
        <v>0.11</v>
      </c>
      <c r="U7" s="42" t="n">
        <f aca="false">SUM(Q7,S7)</f>
        <v>0.107490834989393</v>
      </c>
      <c r="V7" s="42" t="n">
        <v>0.17</v>
      </c>
      <c r="W7" s="42" t="n">
        <v>0.166122199529061</v>
      </c>
      <c r="X7" s="42" t="n">
        <v>0.57</v>
      </c>
      <c r="Y7" s="42" t="n">
        <v>0.556997963126852</v>
      </c>
      <c r="Z7" s="41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customFormat="false" ht="12.8" hidden="false" customHeight="false" outlineLevel="0" collapsed="false">
      <c r="A8" s="34" t="n">
        <f aca="false">A7+1</f>
        <v>2</v>
      </c>
      <c r="B8" s="35"/>
      <c r="C8" s="35"/>
      <c r="D8" s="36" t="n">
        <v>38599</v>
      </c>
      <c r="E8" s="37" t="s">
        <v>84</v>
      </c>
      <c r="F8" s="38" t="s">
        <v>85</v>
      </c>
      <c r="G8" s="38" t="s">
        <v>86</v>
      </c>
      <c r="H8" s="40" t="n">
        <v>34.978</v>
      </c>
      <c r="I8" s="40" t="n">
        <v>23.236</v>
      </c>
      <c r="J8" s="39" t="n">
        <v>2</v>
      </c>
      <c r="K8" s="40" t="s">
        <v>87</v>
      </c>
      <c r="L8" s="40" t="n">
        <v>204</v>
      </c>
      <c r="M8" s="41"/>
      <c r="N8" s="35"/>
      <c r="O8" s="35" t="n">
        <v>34.9817</v>
      </c>
      <c r="P8" s="42" t="n">
        <v>0</v>
      </c>
      <c r="Q8" s="42" t="n">
        <v>0</v>
      </c>
      <c r="R8" s="42" t="n">
        <v>0.08</v>
      </c>
      <c r="S8" s="42" t="n">
        <v>0.0781751527195582</v>
      </c>
      <c r="T8" s="42" t="n">
        <f aca="false">SUM(P8,R8)</f>
        <v>0.08</v>
      </c>
      <c r="U8" s="42" t="n">
        <f aca="false">SUM(Q8,S8)</f>
        <v>0.0781751527195582</v>
      </c>
      <c r="V8" s="42" t="n">
        <v>0.107</v>
      </c>
      <c r="W8" s="42" t="n">
        <v>0.104559266762409</v>
      </c>
      <c r="X8" s="42" t="n">
        <v>0.53</v>
      </c>
      <c r="Y8" s="42" t="n">
        <v>0.517910386767073</v>
      </c>
      <c r="Z8" s="41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customFormat="false" ht="12.8" hidden="false" customHeight="false" outlineLevel="0" collapsed="false">
      <c r="A9" s="34" t="n">
        <f aca="false">A8+1</f>
        <v>3</v>
      </c>
      <c r="B9" s="35"/>
      <c r="C9" s="35"/>
      <c r="D9" s="36" t="n">
        <v>38599</v>
      </c>
      <c r="E9" s="37" t="s">
        <v>88</v>
      </c>
      <c r="F9" s="38" t="s">
        <v>89</v>
      </c>
      <c r="G9" s="38" t="s">
        <v>90</v>
      </c>
      <c r="H9" s="35"/>
      <c r="I9" s="35"/>
      <c r="J9" s="39" t="n">
        <v>3</v>
      </c>
      <c r="K9" s="40" t="s">
        <v>91</v>
      </c>
      <c r="L9" s="40"/>
      <c r="M9" s="41"/>
      <c r="N9" s="35"/>
      <c r="O9" s="35" t="n">
        <v>35.2511</v>
      </c>
      <c r="P9" s="42" t="n">
        <v>0.012</v>
      </c>
      <c r="Q9" s="42" t="n">
        <v>0.0117262729079337</v>
      </c>
      <c r="R9" s="42" t="n">
        <v>0.108</v>
      </c>
      <c r="S9" s="42" t="n">
        <v>0.105536456171404</v>
      </c>
      <c r="T9" s="42" t="n">
        <f aca="false">SUM(P9,R9)</f>
        <v>0.12</v>
      </c>
      <c r="U9" s="42" t="n">
        <f aca="false">SUM(Q9,S9)</f>
        <v>0.117262729079338</v>
      </c>
      <c r="V9" s="42" t="n">
        <v>0.075</v>
      </c>
      <c r="W9" s="42" t="n">
        <v>0.0732892056745858</v>
      </c>
      <c r="X9" s="42" t="n">
        <v>0.55</v>
      </c>
      <c r="Y9" s="42" t="n">
        <v>0.537454174946963</v>
      </c>
      <c r="Z9" s="41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customFormat="false" ht="12.8" hidden="false" customHeight="false" outlineLevel="0" collapsed="false">
      <c r="A10" s="34" t="n">
        <f aca="false">A9+1</f>
        <v>4</v>
      </c>
      <c r="B10" s="35"/>
      <c r="C10" s="35"/>
      <c r="D10" s="36" t="n">
        <v>38599</v>
      </c>
      <c r="E10" s="37" t="s">
        <v>92</v>
      </c>
      <c r="F10" s="38" t="s">
        <v>93</v>
      </c>
      <c r="G10" s="38" t="s">
        <v>94</v>
      </c>
      <c r="H10" s="40" t="n">
        <v>35.352</v>
      </c>
      <c r="I10" s="40" t="n">
        <v>25.797</v>
      </c>
      <c r="J10" s="39" t="n">
        <v>4</v>
      </c>
      <c r="K10" s="40" t="s">
        <v>95</v>
      </c>
      <c r="L10" s="40" t="n">
        <v>205</v>
      </c>
      <c r="M10" s="41"/>
      <c r="N10" s="35"/>
      <c r="O10" s="35" t="n">
        <v>35.374</v>
      </c>
      <c r="P10" s="42" t="n">
        <v>0.003</v>
      </c>
      <c r="Q10" s="42" t="n">
        <v>0.00293156822698343</v>
      </c>
      <c r="R10" s="42" t="n">
        <v>0.097</v>
      </c>
      <c r="S10" s="42" t="n">
        <v>0.0947873726724643</v>
      </c>
      <c r="T10" s="42" t="n">
        <f aca="false">SUM(P10,R10)</f>
        <v>0.1</v>
      </c>
      <c r="U10" s="42" t="n">
        <f aca="false">SUM(Q10,S10)</f>
        <v>0.0977189408994477</v>
      </c>
      <c r="V10" s="42" t="n">
        <v>0.057</v>
      </c>
      <c r="W10" s="42" t="n">
        <v>0.0556997963126852</v>
      </c>
      <c r="X10" s="42" t="n">
        <v>0.51</v>
      </c>
      <c r="Y10" s="42" t="n">
        <v>0.498366598587183</v>
      </c>
      <c r="Z10" s="41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customFormat="false" ht="12.8" hidden="false" customHeight="false" outlineLevel="0" collapsed="false">
      <c r="A11" s="34" t="n">
        <f aca="false">A10+1</f>
        <v>5</v>
      </c>
      <c r="B11" s="35"/>
      <c r="C11" s="35"/>
      <c r="D11" s="36" t="n">
        <v>38600</v>
      </c>
      <c r="E11" s="37" t="s">
        <v>96</v>
      </c>
      <c r="F11" s="38" t="s">
        <v>97</v>
      </c>
      <c r="G11" s="38" t="s">
        <v>98</v>
      </c>
      <c r="H11" s="35"/>
      <c r="I11" s="35"/>
      <c r="J11" s="39" t="n">
        <v>5</v>
      </c>
      <c r="K11" s="40" t="s">
        <v>99</v>
      </c>
      <c r="L11" s="40"/>
      <c r="M11" s="41"/>
      <c r="N11" s="35"/>
      <c r="O11" s="35" t="n">
        <v>35.5781</v>
      </c>
      <c r="P11" s="42" t="n">
        <v>0.013</v>
      </c>
      <c r="Q11" s="42" t="n">
        <v>0.0127034623169282</v>
      </c>
      <c r="R11" s="42" t="n">
        <v>0.097</v>
      </c>
      <c r="S11" s="42" t="n">
        <v>0.0947873726724643</v>
      </c>
      <c r="T11" s="42" t="n">
        <f aca="false">SUM(P11,R11)</f>
        <v>0.11</v>
      </c>
      <c r="U11" s="42" t="n">
        <f aca="false">SUM(Q11,S11)</f>
        <v>0.107490834989393</v>
      </c>
      <c r="V11" s="42" t="n">
        <v>0.078</v>
      </c>
      <c r="W11" s="42" t="n">
        <v>0.0762207739015692</v>
      </c>
      <c r="X11" s="42" t="n">
        <v>0.82</v>
      </c>
      <c r="Y11" s="42" t="n">
        <v>0.801295315375472</v>
      </c>
      <c r="Z11" s="41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customFormat="false" ht="12.8" hidden="false" customHeight="false" outlineLevel="0" collapsed="false">
      <c r="A12" s="34" t="n">
        <f aca="false">A11+1</f>
        <v>6</v>
      </c>
      <c r="B12" s="35"/>
      <c r="C12" s="35"/>
      <c r="D12" s="36" t="n">
        <v>38601</v>
      </c>
      <c r="E12" s="37" t="s">
        <v>100</v>
      </c>
      <c r="F12" s="38" t="s">
        <v>101</v>
      </c>
      <c r="G12" s="38" t="s">
        <v>102</v>
      </c>
      <c r="H12" s="35"/>
      <c r="I12" s="35"/>
      <c r="J12" s="39" t="n">
        <v>6</v>
      </c>
      <c r="K12" s="40" t="s">
        <v>103</v>
      </c>
      <c r="L12" s="35"/>
      <c r="M12" s="41"/>
      <c r="N12" s="35"/>
      <c r="O12" s="35" t="n">
        <v>35.6976</v>
      </c>
      <c r="P12" s="42" t="n">
        <v>0.019</v>
      </c>
      <c r="Q12" s="42" t="n">
        <v>0.0185665987708951</v>
      </c>
      <c r="R12" s="42" t="n">
        <v>0.141</v>
      </c>
      <c r="S12" s="42" t="n">
        <v>0.137783706668221</v>
      </c>
      <c r="T12" s="42" t="n">
        <f aca="false">SUM(P12,R12)</f>
        <v>0.16</v>
      </c>
      <c r="U12" s="42" t="n">
        <f aca="false">SUM(Q12,S12)</f>
        <v>0.156350305439116</v>
      </c>
      <c r="V12" s="42" t="n">
        <v>0.102</v>
      </c>
      <c r="W12" s="42" t="n">
        <v>0.0996733197174367</v>
      </c>
      <c r="X12" s="42" t="n">
        <v>0.97</v>
      </c>
      <c r="Y12" s="42" t="n">
        <v>0.947873726724643</v>
      </c>
      <c r="Z12" s="41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customFormat="false" ht="12.8" hidden="false" customHeight="false" outlineLevel="0" collapsed="false">
      <c r="A13" s="34" t="n">
        <f aca="false">A12+1</f>
        <v>7</v>
      </c>
      <c r="B13" s="35"/>
      <c r="C13" s="35"/>
      <c r="D13" s="36" t="n">
        <v>38601</v>
      </c>
      <c r="E13" s="37" t="s">
        <v>104</v>
      </c>
      <c r="F13" s="38" t="s">
        <v>105</v>
      </c>
      <c r="G13" s="38" t="s">
        <v>106</v>
      </c>
      <c r="H13" s="40" t="n">
        <v>35.662</v>
      </c>
      <c r="I13" s="40" t="n">
        <v>23.3</v>
      </c>
      <c r="J13" s="39" t="n">
        <v>7</v>
      </c>
      <c r="K13" s="40" t="s">
        <v>107</v>
      </c>
      <c r="L13" s="40" t="n">
        <v>214</v>
      </c>
      <c r="M13" s="41"/>
      <c r="N13" s="35"/>
      <c r="O13" s="35" t="n">
        <v>35.6858</v>
      </c>
      <c r="P13" s="42" t="n">
        <v>0.11</v>
      </c>
      <c r="Q13" s="42" t="n">
        <v>0.107490834989393</v>
      </c>
      <c r="R13" s="42" t="n">
        <v>1.18</v>
      </c>
      <c r="S13" s="42" t="n">
        <v>1.15308350261348</v>
      </c>
      <c r="T13" s="42" t="n">
        <f aca="false">SUM(P13,R13)</f>
        <v>1.29</v>
      </c>
      <c r="U13" s="42" t="n">
        <f aca="false">SUM(Q13,S13)</f>
        <v>1.26057433760287</v>
      </c>
      <c r="V13" s="42" t="n">
        <v>0.297</v>
      </c>
      <c r="W13" s="42" t="n">
        <v>0.29022525447136</v>
      </c>
      <c r="X13" s="42" t="n">
        <v>1.58</v>
      </c>
      <c r="Y13" s="42" t="n">
        <v>1.54395926621127</v>
      </c>
      <c r="Z13" s="41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customFormat="false" ht="12.8" hidden="false" customHeight="false" outlineLevel="0" collapsed="false">
      <c r="A14" s="34" t="n">
        <f aca="false">A13+1</f>
        <v>8</v>
      </c>
      <c r="B14" s="35"/>
      <c r="C14" s="35"/>
      <c r="D14" s="36" t="n">
        <v>38602</v>
      </c>
      <c r="E14" s="37" t="s">
        <v>108</v>
      </c>
      <c r="F14" s="38" t="s">
        <v>109</v>
      </c>
      <c r="G14" s="38" t="s">
        <v>110</v>
      </c>
      <c r="H14" s="35"/>
      <c r="I14" s="35"/>
      <c r="J14" s="39" t="n">
        <v>8</v>
      </c>
      <c r="K14" s="40" t="s">
        <v>111</v>
      </c>
      <c r="L14" s="35"/>
      <c r="M14" s="41"/>
      <c r="N14" s="35"/>
      <c r="O14" s="35" t="n">
        <v>35.7918</v>
      </c>
      <c r="P14" s="42" t="n">
        <v>0.127</v>
      </c>
      <c r="Q14" s="42" t="n">
        <v>0.124103054942299</v>
      </c>
      <c r="R14" s="42" t="n">
        <v>0.823</v>
      </c>
      <c r="S14" s="42" t="n">
        <v>0.804226883602455</v>
      </c>
      <c r="T14" s="42" t="n">
        <f aca="false">SUM(P14,R14)</f>
        <v>0.95</v>
      </c>
      <c r="U14" s="42" t="n">
        <f aca="false">SUM(Q14,S14)</f>
        <v>0.928329938544754</v>
      </c>
      <c r="V14" s="42" t="n">
        <v>0.339</v>
      </c>
      <c r="W14" s="42" t="n">
        <v>0.331267209649128</v>
      </c>
      <c r="X14" s="42" t="n">
        <v>1.66</v>
      </c>
      <c r="Y14" s="42" t="n">
        <v>1.62213441893083</v>
      </c>
      <c r="Z14" s="41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customFormat="false" ht="12.8" hidden="false" customHeight="false" outlineLevel="0" collapsed="false">
      <c r="A15" s="34" t="n">
        <f aca="false">A14+1</f>
        <v>9</v>
      </c>
      <c r="B15" s="35"/>
      <c r="C15" s="35"/>
      <c r="D15" s="36" t="n">
        <v>38602</v>
      </c>
      <c r="E15" s="37" t="s">
        <v>112</v>
      </c>
      <c r="F15" s="38" t="s">
        <v>113</v>
      </c>
      <c r="G15" s="38" t="s">
        <v>114</v>
      </c>
      <c r="H15" s="40" t="n">
        <v>35.789</v>
      </c>
      <c r="I15" s="43" t="n">
        <v>23.075</v>
      </c>
      <c r="J15" s="39" t="n">
        <v>9</v>
      </c>
      <c r="K15" s="40" t="s">
        <v>115</v>
      </c>
      <c r="L15" s="40" t="n">
        <v>218</v>
      </c>
      <c r="M15" s="41"/>
      <c r="N15" s="35"/>
      <c r="O15" s="35" t="n">
        <v>35.787</v>
      </c>
      <c r="P15" s="42" t="n">
        <v>0.076</v>
      </c>
      <c r="Q15" s="42" t="n">
        <v>0.0742663950835803</v>
      </c>
      <c r="R15" s="42" t="n">
        <v>1.434</v>
      </c>
      <c r="S15" s="42" t="n">
        <v>1.40128961249808</v>
      </c>
      <c r="T15" s="42" t="n">
        <f aca="false">SUM(P15,R15)</f>
        <v>1.51</v>
      </c>
      <c r="U15" s="42" t="n">
        <f aca="false">SUM(Q15,S15)</f>
        <v>1.47555600758166</v>
      </c>
      <c r="V15" s="42" t="n">
        <v>0.347</v>
      </c>
      <c r="W15" s="42" t="n">
        <v>0.339084724921084</v>
      </c>
      <c r="X15" s="42" t="n">
        <v>1.75</v>
      </c>
      <c r="Y15" s="42" t="n">
        <v>1.71008146574034</v>
      </c>
      <c r="Z15" s="41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customFormat="false" ht="12.8" hidden="false" customHeight="false" outlineLevel="0" collapsed="false">
      <c r="A16" s="34" t="n">
        <f aca="false">A15+1</f>
        <v>10</v>
      </c>
      <c r="B16" s="35"/>
      <c r="C16" s="35"/>
      <c r="D16" s="36" t="n">
        <v>38602</v>
      </c>
      <c r="E16" s="37" t="s">
        <v>116</v>
      </c>
      <c r="F16" s="38" t="s">
        <v>117</v>
      </c>
      <c r="G16" s="38" t="s">
        <v>118</v>
      </c>
      <c r="H16" s="35"/>
      <c r="I16" s="35"/>
      <c r="J16" s="39" t="n">
        <v>10</v>
      </c>
      <c r="K16" s="40" t="s">
        <v>119</v>
      </c>
      <c r="L16" s="35"/>
      <c r="M16" s="41"/>
      <c r="N16" s="35"/>
      <c r="O16" s="35" t="n">
        <v>35.9513</v>
      </c>
      <c r="P16" s="42" t="n">
        <v>0.041</v>
      </c>
      <c r="Q16" s="42" t="n">
        <v>0.0400647657687736</v>
      </c>
      <c r="R16" s="42" t="n">
        <v>0.039</v>
      </c>
      <c r="S16" s="42" t="n">
        <v>0.0381103869507846</v>
      </c>
      <c r="T16" s="42" t="n">
        <f aca="false">SUM(P16,R16)</f>
        <v>0.08</v>
      </c>
      <c r="U16" s="42" t="n">
        <f aca="false">SUM(Q16,S16)</f>
        <v>0.0781751527195582</v>
      </c>
      <c r="V16" s="42" t="n">
        <v>0.347</v>
      </c>
      <c r="W16" s="42" t="n">
        <v>0.339084724921084</v>
      </c>
      <c r="X16" s="42" t="n">
        <v>2.29</v>
      </c>
      <c r="Y16" s="42" t="n">
        <v>2.23776374659735</v>
      </c>
      <c r="Z16" s="41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customFormat="false" ht="12.8" hidden="false" customHeight="false" outlineLevel="0" collapsed="false">
      <c r="A17" s="34" t="n">
        <f aca="false">A16+1</f>
        <v>11</v>
      </c>
      <c r="B17" s="35"/>
      <c r="C17" s="35"/>
      <c r="D17" s="36" t="n">
        <v>38603</v>
      </c>
      <c r="E17" s="37" t="s">
        <v>120</v>
      </c>
      <c r="F17" s="38" t="s">
        <v>121</v>
      </c>
      <c r="G17" s="38" t="s">
        <v>122</v>
      </c>
      <c r="H17" s="40" t="n">
        <v>35.992</v>
      </c>
      <c r="I17" s="43" t="n">
        <v>23.402</v>
      </c>
      <c r="J17" s="39" t="n">
        <v>11</v>
      </c>
      <c r="K17" s="40" t="s">
        <v>123</v>
      </c>
      <c r="L17" s="40" t="n">
        <v>219</v>
      </c>
      <c r="M17" s="41"/>
      <c r="N17" s="35"/>
      <c r="O17" s="35" t="n">
        <v>36.0139</v>
      </c>
      <c r="P17" s="42" t="n">
        <v>0.03</v>
      </c>
      <c r="Q17" s="42" t="n">
        <v>0.0293156822698343</v>
      </c>
      <c r="R17" s="42" t="n">
        <v>0.39</v>
      </c>
      <c r="S17" s="42" t="n">
        <v>0.381103869507846</v>
      </c>
      <c r="T17" s="42" t="n">
        <f aca="false">SUM(P17,R17)</f>
        <v>0.42</v>
      </c>
      <c r="U17" s="42" t="n">
        <f aca="false">SUM(Q17,S17)</f>
        <v>0.41041955177768</v>
      </c>
      <c r="V17" s="42" t="n">
        <v>0.306</v>
      </c>
      <c r="W17" s="42" t="n">
        <v>0.29901995915231</v>
      </c>
      <c r="X17" s="42" t="n">
        <v>1.08</v>
      </c>
      <c r="Y17" s="42" t="n">
        <v>1.05536456171404</v>
      </c>
      <c r="Z17" s="41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</row>
    <row r="18" customFormat="false" ht="12.8" hidden="false" customHeight="false" outlineLevel="0" collapsed="false">
      <c r="A18" s="44" t="n">
        <v>12</v>
      </c>
      <c r="B18" s="35"/>
      <c r="C18" s="35"/>
      <c r="D18" s="36" t="n">
        <v>38603</v>
      </c>
      <c r="E18" s="37" t="s">
        <v>124</v>
      </c>
      <c r="F18" s="38" t="s">
        <v>125</v>
      </c>
      <c r="G18" s="38" t="s">
        <v>126</v>
      </c>
      <c r="H18" s="40" t="n">
        <v>35.927</v>
      </c>
      <c r="I18" s="43" t="n">
        <v>23.485</v>
      </c>
      <c r="J18" s="39" t="n">
        <v>12</v>
      </c>
      <c r="K18" s="40" t="s">
        <v>127</v>
      </c>
      <c r="L18" s="40" t="n">
        <v>229</v>
      </c>
      <c r="M18" s="41"/>
      <c r="N18" s="35"/>
      <c r="O18" s="35" t="n">
        <v>35.9514</v>
      </c>
      <c r="P18" s="42" t="n">
        <v>0.093</v>
      </c>
      <c r="Q18" s="42" t="n">
        <v>0.0908786150364864</v>
      </c>
      <c r="R18" s="42" t="n">
        <v>0.457</v>
      </c>
      <c r="S18" s="42" t="n">
        <v>0.446575559910476</v>
      </c>
      <c r="T18" s="42" t="n">
        <f aca="false">SUM(P18,R18)</f>
        <v>0.55</v>
      </c>
      <c r="U18" s="42" t="n">
        <f aca="false">SUM(Q18,S18)</f>
        <v>0.537454174946962</v>
      </c>
      <c r="V18" s="42" t="n">
        <v>0.29</v>
      </c>
      <c r="W18" s="42" t="n">
        <v>0.283384928608398</v>
      </c>
      <c r="X18" s="42" t="n">
        <v>1.17</v>
      </c>
      <c r="Y18" s="42" t="n">
        <v>1.14331160852354</v>
      </c>
      <c r="Z18" s="41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</row>
    <row r="19" customFormat="false" ht="12.8" hidden="false" customHeight="false" outlineLevel="0" collapsed="false">
      <c r="A19" s="44" t="n">
        <v>13</v>
      </c>
      <c r="B19" s="35"/>
      <c r="C19" s="35"/>
      <c r="D19" s="36" t="n">
        <v>38604</v>
      </c>
      <c r="E19" s="37" t="s">
        <v>128</v>
      </c>
      <c r="F19" s="38" t="s">
        <v>129</v>
      </c>
      <c r="G19" s="38" t="s">
        <v>130</v>
      </c>
      <c r="H19" s="35"/>
      <c r="I19" s="35"/>
      <c r="J19" s="39" t="n">
        <v>13</v>
      </c>
      <c r="K19" s="40" t="s">
        <v>131</v>
      </c>
      <c r="L19" s="35"/>
      <c r="M19" s="41"/>
      <c r="N19" s="35"/>
      <c r="O19" s="35" t="n">
        <v>36.0112</v>
      </c>
      <c r="P19" s="42" t="n">
        <v>0.099</v>
      </c>
      <c r="Q19" s="42" t="n">
        <v>0.0967417514904533</v>
      </c>
      <c r="R19" s="42" t="n">
        <v>0.051</v>
      </c>
      <c r="S19" s="42" t="n">
        <v>0.0498366598587183</v>
      </c>
      <c r="T19" s="42" t="n">
        <f aca="false">SUM(P19,R19)</f>
        <v>0.15</v>
      </c>
      <c r="U19" s="42" t="n">
        <f aca="false">SUM(Q19,S19)</f>
        <v>0.146578411349172</v>
      </c>
      <c r="V19" s="42" t="n">
        <v>0.296</v>
      </c>
      <c r="W19" s="42" t="n">
        <v>0.289248065062365</v>
      </c>
      <c r="X19" s="42" t="n">
        <v>1.22</v>
      </c>
      <c r="Y19" s="42" t="n">
        <v>1.19217107897326</v>
      </c>
      <c r="Z19" s="41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</row>
    <row r="20" customFormat="false" ht="12.8" hidden="false" customHeight="false" outlineLevel="0" collapsed="false">
      <c r="A20" s="44" t="n">
        <v>14</v>
      </c>
      <c r="B20" s="35"/>
      <c r="C20" s="35"/>
      <c r="D20" s="36" t="n">
        <v>38609</v>
      </c>
      <c r="E20" s="37" t="s">
        <v>132</v>
      </c>
      <c r="F20" s="38" t="s">
        <v>133</v>
      </c>
      <c r="G20" s="38" t="s">
        <v>134</v>
      </c>
      <c r="H20" s="35"/>
      <c r="I20" s="35"/>
      <c r="J20" s="39" t="s">
        <v>135</v>
      </c>
      <c r="K20" s="40" t="s">
        <v>136</v>
      </c>
      <c r="L20" s="35"/>
      <c r="M20" s="41"/>
      <c r="N20" s="35"/>
      <c r="O20" s="35" t="n">
        <v>35.7153</v>
      </c>
      <c r="P20" s="42" t="n">
        <v>0.027</v>
      </c>
      <c r="Q20" s="42" t="n">
        <v>0.0263841140428509</v>
      </c>
      <c r="R20" s="42" t="n">
        <v>0.053</v>
      </c>
      <c r="S20" s="42" t="n">
        <v>0.0517910386767073</v>
      </c>
      <c r="T20" s="42" t="n">
        <f aca="false">SUM(P20,R20)</f>
        <v>0.08</v>
      </c>
      <c r="U20" s="42" t="n">
        <f aca="false">SUM(Q20,S20)</f>
        <v>0.0781751527195582</v>
      </c>
      <c r="V20" s="42" t="n">
        <v>0.134</v>
      </c>
      <c r="W20" s="42" t="n">
        <v>0.13094338080526</v>
      </c>
      <c r="X20" s="42" t="n">
        <v>1.19</v>
      </c>
      <c r="Y20" s="42" t="n">
        <v>1.16285539670343</v>
      </c>
      <c r="Z20" s="41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</row>
    <row r="21" customFormat="false" ht="12.8" hidden="false" customHeight="false" outlineLevel="0" collapsed="false">
      <c r="A21" s="44" t="n">
        <v>15</v>
      </c>
      <c r="B21" s="35"/>
      <c r="C21" s="35"/>
      <c r="D21" s="36" t="n">
        <v>38610</v>
      </c>
      <c r="E21" s="37" t="s">
        <v>137</v>
      </c>
      <c r="F21" s="38" t="s">
        <v>138</v>
      </c>
      <c r="G21" s="38" t="s">
        <v>139</v>
      </c>
      <c r="H21" s="40" t="n">
        <v>35.657</v>
      </c>
      <c r="I21" s="43" t="n">
        <v>25.777</v>
      </c>
      <c r="J21" s="39" t="s">
        <v>140</v>
      </c>
      <c r="K21" s="40" t="s">
        <v>141</v>
      </c>
      <c r="L21" s="40" t="n">
        <v>187</v>
      </c>
      <c r="M21" s="41"/>
      <c r="N21" s="35"/>
      <c r="O21" s="35" t="n">
        <v>35.6839</v>
      </c>
      <c r="P21" s="42" t="n">
        <v>0.002</v>
      </c>
      <c r="Q21" s="42" t="n">
        <v>0.00195437881798896</v>
      </c>
      <c r="R21" s="42" t="n">
        <v>0.018</v>
      </c>
      <c r="S21" s="42" t="n">
        <v>0.0175894093619006</v>
      </c>
      <c r="T21" s="42" t="n">
        <f aca="false">SUM(P21,R21)</f>
        <v>0.02</v>
      </c>
      <c r="U21" s="42" t="n">
        <f aca="false">SUM(Q21,S21)</f>
        <v>0.0195437881798896</v>
      </c>
      <c r="V21" s="42" t="n">
        <v>0.073</v>
      </c>
      <c r="W21" s="42" t="n">
        <v>0.0713348268565968</v>
      </c>
      <c r="X21" s="42" t="n">
        <v>0.81</v>
      </c>
      <c r="Y21" s="42" t="n">
        <v>0.791523421285527</v>
      </c>
      <c r="Z21" s="41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</row>
    <row r="22" customFormat="false" ht="12.8" hidden="false" customHeight="false" outlineLevel="0" collapsed="false">
      <c r="A22" s="44" t="n">
        <v>16</v>
      </c>
      <c r="B22" s="35"/>
      <c r="C22" s="35"/>
      <c r="D22" s="36" t="n">
        <v>38610</v>
      </c>
      <c r="E22" s="37" t="s">
        <v>142</v>
      </c>
      <c r="F22" s="38" t="s">
        <v>138</v>
      </c>
      <c r="G22" s="38" t="s">
        <v>143</v>
      </c>
      <c r="H22" s="35"/>
      <c r="I22" s="35"/>
      <c r="J22" s="39" t="s">
        <v>144</v>
      </c>
      <c r="K22" s="40" t="s">
        <v>145</v>
      </c>
      <c r="L22" s="40"/>
      <c r="M22" s="41"/>
      <c r="N22" s="35"/>
      <c r="O22" s="35" t="n">
        <v>35.684</v>
      </c>
      <c r="P22" s="42" t="n">
        <v>0.002</v>
      </c>
      <c r="Q22" s="42" t="n">
        <v>0.00195437881798896</v>
      </c>
      <c r="R22" s="42" t="n">
        <v>0.128</v>
      </c>
      <c r="S22" s="42" t="n">
        <v>0.125080244351293</v>
      </c>
      <c r="T22" s="42" t="n">
        <f aca="false">SUM(P22,R22)</f>
        <v>0.13</v>
      </c>
      <c r="U22" s="42" t="n">
        <f aca="false">SUM(Q22,S22)</f>
        <v>0.127034623169282</v>
      </c>
      <c r="V22" s="42" t="n">
        <v>0.083</v>
      </c>
      <c r="W22" s="42" t="n">
        <v>0.0811067209465416</v>
      </c>
      <c r="X22" s="42" t="n">
        <v>0.77</v>
      </c>
      <c r="Y22" s="42" t="n">
        <v>0.752435844925748</v>
      </c>
      <c r="Z22" s="41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</row>
    <row r="23" customFormat="false" ht="12.8" hidden="false" customHeight="false" outlineLevel="0" collapsed="false">
      <c r="A23" s="44" t="n">
        <v>17</v>
      </c>
      <c r="B23" s="35"/>
      <c r="C23" s="35"/>
      <c r="D23" s="36" t="n">
        <v>38611</v>
      </c>
      <c r="E23" s="37" t="s">
        <v>146</v>
      </c>
      <c r="F23" s="38" t="s">
        <v>138</v>
      </c>
      <c r="G23" s="38" t="s">
        <v>147</v>
      </c>
      <c r="H23" s="40" t="n">
        <v>35.676</v>
      </c>
      <c r="I23" s="43" t="n">
        <v>24.747</v>
      </c>
      <c r="J23" s="39" t="s">
        <v>148</v>
      </c>
      <c r="K23" s="40" t="s">
        <v>149</v>
      </c>
      <c r="L23" s="40" t="n">
        <v>188</v>
      </c>
      <c r="M23" s="41"/>
      <c r="N23" s="35"/>
      <c r="O23" s="35" t="n">
        <v>35.699</v>
      </c>
      <c r="P23" s="42" t="n">
        <v>0.019</v>
      </c>
      <c r="Q23" s="42" t="n">
        <v>0.0185665987708951</v>
      </c>
      <c r="R23" s="42" t="n">
        <v>0.061</v>
      </c>
      <c r="S23" s="42" t="n">
        <v>0.0596085539486631</v>
      </c>
      <c r="T23" s="42" t="n">
        <f aca="false">SUM(P23,R23)</f>
        <v>0.08</v>
      </c>
      <c r="U23" s="42" t="n">
        <f aca="false">SUM(Q23,S23)</f>
        <v>0.0781751527195582</v>
      </c>
      <c r="V23" s="42" t="n">
        <v>0.12</v>
      </c>
      <c r="W23" s="42" t="n">
        <v>0.117262729079337</v>
      </c>
      <c r="X23" s="42" t="n">
        <v>0.85</v>
      </c>
      <c r="Y23" s="42" t="n">
        <v>0.830610997645306</v>
      </c>
      <c r="Z23" s="41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</row>
    <row r="24" customFormat="false" ht="12.8" hidden="false" customHeight="false" outlineLevel="0" collapsed="false">
      <c r="A24" s="44" t="n">
        <v>18</v>
      </c>
      <c r="B24" s="35"/>
      <c r="C24" s="35"/>
      <c r="D24" s="36" t="n">
        <v>38611</v>
      </c>
      <c r="E24" s="37" t="s">
        <v>150</v>
      </c>
      <c r="F24" s="38" t="s">
        <v>138</v>
      </c>
      <c r="G24" s="38" t="s">
        <v>151</v>
      </c>
      <c r="H24" s="35"/>
      <c r="I24" s="35"/>
      <c r="J24" s="39" t="s">
        <v>152</v>
      </c>
      <c r="K24" s="40" t="s">
        <v>153</v>
      </c>
      <c r="L24" s="40"/>
      <c r="M24" s="41"/>
      <c r="N24" s="35" t="s">
        <v>154</v>
      </c>
      <c r="O24" s="35" t="n">
        <v>35.5685</v>
      </c>
      <c r="P24" s="42" t="n">
        <v>0</v>
      </c>
      <c r="Q24" s="42" t="n">
        <v>0</v>
      </c>
      <c r="R24" s="42" t="n">
        <v>0.11</v>
      </c>
      <c r="S24" s="42" t="n">
        <v>0.107490834989393</v>
      </c>
      <c r="T24" s="42" t="n">
        <f aca="false">SUM(P24,R24)</f>
        <v>0.11</v>
      </c>
      <c r="U24" s="42" t="n">
        <f aca="false">SUM(Q24,S24)</f>
        <v>0.107490834989393</v>
      </c>
      <c r="V24" s="42" t="n">
        <v>0.059</v>
      </c>
      <c r="W24" s="42" t="n">
        <v>0.0576541751306742</v>
      </c>
      <c r="X24" s="42" t="n">
        <v>0.7</v>
      </c>
      <c r="Y24" s="42" t="n">
        <v>0.684032586296134</v>
      </c>
      <c r="Z24" s="41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</row>
    <row r="25" customFormat="false" ht="12.8" hidden="false" customHeight="false" outlineLevel="0" collapsed="false">
      <c r="A25" s="44" t="n">
        <v>19</v>
      </c>
      <c r="B25" s="35"/>
      <c r="C25" s="35"/>
      <c r="D25" s="36" t="n">
        <v>38611</v>
      </c>
      <c r="E25" s="37" t="s">
        <v>155</v>
      </c>
      <c r="F25" s="38" t="s">
        <v>138</v>
      </c>
      <c r="G25" s="38" t="s">
        <v>156</v>
      </c>
      <c r="H25" s="40" t="n">
        <v>35.432</v>
      </c>
      <c r="I25" s="43" t="n">
        <v>26.313</v>
      </c>
      <c r="J25" s="39" t="s">
        <v>157</v>
      </c>
      <c r="K25" s="40" t="s">
        <v>158</v>
      </c>
      <c r="L25" s="40" t="n">
        <v>189</v>
      </c>
      <c r="M25" s="41"/>
      <c r="N25" s="35"/>
      <c r="O25" s="35" t="n">
        <v>35.4459</v>
      </c>
      <c r="P25" s="42" t="n">
        <v>0</v>
      </c>
      <c r="Q25" s="42" t="n">
        <v>0</v>
      </c>
      <c r="R25" s="42" t="n">
        <v>0.12</v>
      </c>
      <c r="S25" s="42" t="n">
        <v>0.117262729079337</v>
      </c>
      <c r="T25" s="42" t="n">
        <f aca="false">SUM(P25,R25)</f>
        <v>0.12</v>
      </c>
      <c r="U25" s="42" t="n">
        <f aca="false">SUM(Q25,S25)</f>
        <v>0.117262729079337</v>
      </c>
      <c r="V25" s="42" t="n">
        <v>0.115</v>
      </c>
      <c r="W25" s="42" t="n">
        <v>0.112376782034365</v>
      </c>
      <c r="X25" s="42" t="n">
        <v>0.52</v>
      </c>
      <c r="Y25" s="42" t="n">
        <v>0.508138492677128</v>
      </c>
      <c r="Z25" s="41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</row>
    <row r="26" customFormat="false" ht="12.8" hidden="false" customHeight="false" outlineLevel="0" collapsed="false">
      <c r="A26" s="44" t="n">
        <v>20</v>
      </c>
      <c r="B26" s="35"/>
      <c r="C26" s="35"/>
      <c r="D26" s="36" t="n">
        <v>38611</v>
      </c>
      <c r="E26" s="37" t="s">
        <v>159</v>
      </c>
      <c r="F26" s="38" t="s">
        <v>160</v>
      </c>
      <c r="G26" s="38" t="s">
        <v>161</v>
      </c>
      <c r="H26" s="35"/>
      <c r="I26" s="35"/>
      <c r="J26" s="39" t="s">
        <v>162</v>
      </c>
      <c r="K26" s="40" t="s">
        <v>163</v>
      </c>
      <c r="L26" s="40"/>
      <c r="M26" s="41"/>
      <c r="N26" s="35"/>
      <c r="O26" s="35" t="n">
        <v>35.253</v>
      </c>
      <c r="P26" s="42" t="n">
        <v>0</v>
      </c>
      <c r="Q26" s="42" t="n">
        <v>0</v>
      </c>
      <c r="R26" s="42" t="n">
        <v>0.1</v>
      </c>
      <c r="S26" s="42" t="n">
        <v>0.0977189408994478</v>
      </c>
      <c r="T26" s="42" t="n">
        <f aca="false">SUM(P26,R26)</f>
        <v>0.1</v>
      </c>
      <c r="U26" s="42" t="n">
        <f aca="false">SUM(Q26,S26)</f>
        <v>0.0977189408994478</v>
      </c>
      <c r="V26" s="42" t="n">
        <v>0.075</v>
      </c>
      <c r="W26" s="42" t="n">
        <v>0.0732892056745858</v>
      </c>
      <c r="X26" s="42" t="n">
        <v>0.16</v>
      </c>
      <c r="Y26" s="42" t="n">
        <v>0.156350305439116</v>
      </c>
      <c r="Z26" s="41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</row>
    <row r="27" customFormat="false" ht="12.8" hidden="false" customHeight="false" outlineLevel="0" collapsed="false">
      <c r="A27" s="34" t="n">
        <v>21</v>
      </c>
      <c r="B27" s="35"/>
      <c r="C27" s="35"/>
      <c r="D27" s="36" t="n">
        <v>38612</v>
      </c>
      <c r="E27" s="37" t="s">
        <v>164</v>
      </c>
      <c r="F27" s="38" t="s">
        <v>165</v>
      </c>
      <c r="G27" s="38" t="s">
        <v>166</v>
      </c>
      <c r="H27" s="40" t="n">
        <v>34.759</v>
      </c>
      <c r="I27" s="43" t="n">
        <v>25.378</v>
      </c>
      <c r="J27" s="39" t="s">
        <v>167</v>
      </c>
      <c r="K27" s="40" t="s">
        <v>168</v>
      </c>
      <c r="L27" s="40" t="n">
        <v>191</v>
      </c>
      <c r="M27" s="41"/>
      <c r="N27" s="35"/>
      <c r="O27" s="41" t="n">
        <v>34.7844</v>
      </c>
      <c r="P27" s="42" t="n">
        <v>0</v>
      </c>
      <c r="Q27" s="42" t="n">
        <v>0</v>
      </c>
      <c r="R27" s="42" t="n">
        <v>0</v>
      </c>
      <c r="S27" s="42" t="n">
        <v>0</v>
      </c>
      <c r="T27" s="42" t="n">
        <f aca="false">SUM(P27,R27)</f>
        <v>0</v>
      </c>
      <c r="U27" s="42" t="n">
        <f aca="false">SUM(Q27,S27)</f>
        <v>0</v>
      </c>
      <c r="V27" s="42" t="n">
        <v>0.152</v>
      </c>
      <c r="W27" s="42" t="n">
        <v>0.148532790167161</v>
      </c>
      <c r="X27" s="42" t="n">
        <v>0.23</v>
      </c>
      <c r="Y27" s="42" t="n">
        <v>0.22475356406873</v>
      </c>
      <c r="Z27" s="41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</row>
  </sheetData>
  <mergeCells count="6">
    <mergeCell ref="A1:M1"/>
    <mergeCell ref="A2:M2"/>
    <mergeCell ref="P5:Q5"/>
    <mergeCell ref="R5:S5"/>
    <mergeCell ref="V5:W5"/>
    <mergeCell ref="X5:Y5"/>
  </mergeCells>
  <printOptions headings="false" gridLines="false" gridLinesSet="true" horizontalCentered="false" verticalCentered="false"/>
  <pageMargins left="0.0784722222222222" right="0.0784722222222222" top="0.354166666666667" bottom="0.354166666666667" header="0.511805555555555" footer="0.511805555555555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2012-03-24T09:32:01Z</cp:lastPrinted>
  <dcterms:modified xsi:type="dcterms:W3CDTF">2022-09-29T15:26:04Z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