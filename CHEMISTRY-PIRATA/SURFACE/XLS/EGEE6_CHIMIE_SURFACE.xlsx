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<sst xmlns="http://schemas.openxmlformats.org/spreadsheetml/2006/main" count="176" uniqueCount="138">
  <si>
    <t xml:space="preserve">CAMPAGNE EGEE 6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</si>
  <si>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</si>
  <si>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</si>
  <si>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</si>
  <si>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</si>
  <si>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</si>
  <si>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</si>
  <si>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</si>
  <si>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</si>
  <si>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</si>
  <si>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</si>
  <si>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</si>
  <si>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</si>
  <si>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</si>
  <si>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</si>
  <si>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</si>
  <si>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</si>
  <si>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</si>
  <si>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</si>
  <si>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</si>
  <si>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</si>
  <si>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</si>
  <si>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</si>
  <si>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</si>
  <si>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</si>
  <si>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</si>
  <si>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</si>
  <si>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</si>
  <si>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</si>
  <si>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</si>
  <si>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</si>
  <si>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</si>
  <si>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</si>
  <si>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</si>
  <si>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</si>
  <si>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</si>
  <si>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</si>
  <si>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</si>
  <si>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</si>
  <si>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</si>
  <si>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</si>
  <si>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</si>
  <si>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</si>
  <si>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</si>
  <si>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</si>
  <si>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</si>
  <si>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</si>
  <si>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</si>
  <si>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</si>
  <si>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</si>
  <si>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</si>
  <si>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</si>
  <si>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</si>
  <si>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</si>
  <si>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</si>
  <si>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</si>
  <si>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</si>
  <si>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</si>
  <si>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</si>
  <si>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</si>
  <si>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</si>
  <si>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</si>
  <si>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</si>
  <si>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</si>
  <si>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</si>
  <si>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</si>
  <si>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</si>
  <si>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</si>
  <si>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</si>
  <si>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</si>
  <si>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</si>
  <si>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</si>
  <si>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</si>
  <si>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</si>
  <si>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</si>
  <si>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</si>
  <si>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</si>
  <si>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</si>
  <si>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</si>
  <si>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</si>
  <si>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10h17</t>
  </si>
  <si>
    <t xml:space="preserve">0°30 S</t>
  </si>
  <si>
    <t xml:space="preserve">4°49,9 E</t>
  </si>
  <si>
    <t xml:space="preserve">S 6</t>
  </si>
  <si>
    <t xml:space="preserve"> </t>
  </si>
  <si>
    <t xml:space="preserve">15h20</t>
  </si>
  <si>
    <t xml:space="preserve">0°0,100 S</t>
  </si>
  <si>
    <t xml:space="preserve">4°15,09 E</t>
  </si>
  <si>
    <t xml:space="preserve">S 7</t>
  </si>
  <si>
    <t xml:space="preserve">01h31</t>
  </si>
  <si>
    <t xml:space="preserve">1°0,030 N</t>
  </si>
  <si>
    <t xml:space="preserve">3°5,079 E</t>
  </si>
  <si>
    <t xml:space="preserve">S 8</t>
  </si>
  <si>
    <t xml:space="preserve">14h00</t>
  </si>
  <si>
    <t xml:space="preserve">0°59,91 N</t>
  </si>
  <si>
    <t xml:space="preserve">2°30,56 E</t>
  </si>
  <si>
    <t xml:space="preserve">02h30</t>
  </si>
  <si>
    <t xml:space="preserve">3°03,8 S</t>
  </si>
  <si>
    <t xml:space="preserve">1°24,2E</t>
  </si>
  <si>
    <t xml:space="preserve">S 12</t>
  </si>
  <si>
    <t xml:space="preserve">18h50</t>
  </si>
  <si>
    <t xml:space="preserve">5°016 S</t>
  </si>
  <si>
    <t xml:space="preserve">0°0,25 W</t>
  </si>
  <si>
    <t xml:space="preserve">11h51</t>
  </si>
  <si>
    <t xml:space="preserve">5°0,3 N</t>
  </si>
  <si>
    <t xml:space="preserve">0°57,829 E</t>
  </si>
  <si>
    <t xml:space="preserve">S 23</t>
  </si>
  <si>
    <t xml:space="preserve">22h30</t>
  </si>
  <si>
    <t xml:space="preserve">3°59 N</t>
  </si>
  <si>
    <t xml:space="preserve">0°09,4 E</t>
  </si>
  <si>
    <t xml:space="preserve">S 24</t>
  </si>
  <si>
    <t xml:space="preserve">08h54</t>
  </si>
  <si>
    <t xml:space="preserve">2°59 N</t>
  </si>
  <si>
    <t xml:space="preserve">1°14,4 E</t>
  </si>
  <si>
    <t xml:space="preserve">S 25</t>
  </si>
  <si>
    <t xml:space="preserve">22h14</t>
  </si>
  <si>
    <t xml:space="preserve">1°59 N</t>
  </si>
  <si>
    <t xml:space="preserve">2°42,6 E</t>
  </si>
  <si>
    <t xml:space="preserve">S 26</t>
  </si>
  <si>
    <t xml:space="preserve">11h31</t>
  </si>
  <si>
    <t xml:space="preserve">1°00 N</t>
  </si>
  <si>
    <t xml:space="preserve">4°08,6 W</t>
  </si>
  <si>
    <t xml:space="preserve">S 27</t>
  </si>
  <si>
    <t xml:space="preserve">00h14</t>
  </si>
  <si>
    <t xml:space="preserve">0°00,1 S</t>
  </si>
  <si>
    <t xml:space="preserve">5°36,58 W</t>
  </si>
  <si>
    <t xml:space="preserve">S 28</t>
  </si>
  <si>
    <t xml:space="preserve">12h39</t>
  </si>
  <si>
    <t xml:space="preserve">1°0,170 S</t>
  </si>
  <si>
    <t xml:space="preserve">7°3,671 W</t>
  </si>
  <si>
    <t xml:space="preserve">S 29</t>
  </si>
  <si>
    <t xml:space="preserve">01h27</t>
  </si>
  <si>
    <t xml:space="preserve">2°2,610 S</t>
  </si>
  <si>
    <t xml:space="preserve">8°35,411 W</t>
  </si>
  <si>
    <t xml:space="preserve">S 30</t>
  </si>
  <si>
    <t xml:space="preserve">17h38</t>
  </si>
  <si>
    <t xml:space="preserve">2°1,390 N</t>
  </si>
  <si>
    <t xml:space="preserve">8°40,890 W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</si>
</sst>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;@"/>
    <numFmt numFmtId="171" formatCode="hh\hmm"/>
    <numFmt numFmtId="172" formatCode="dd/mm/yyyy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3"/>
    <col collapsed="false" customWidth="true" hidden="false" outlineLevel="0" max="2" min="2" style="2" width="10.12"/>
    <col collapsed="false" customWidth="true" hidden="false" outlineLevel="0" max="3" min="3" style="2" width="9.78"/>
    <col collapsed="false" customWidth="true" hidden="false" outlineLevel="0" max="4" min="4" style="2" width="11.99"/>
    <col collapsed="false" customWidth="true" hidden="false" outlineLevel="0" max="5" min="5" style="3" width="7.56"/>
    <col collapsed="false" customWidth="true" hidden="false" outlineLevel="0" max="6" min="6" style="3" width="11.77"/>
    <col collapsed="false" customWidth="true" hidden="false" outlineLevel="0" max="7" min="7" style="3" width="13.02"/>
    <col collapsed="false" customWidth="true" hidden="false" outlineLevel="0" max="8" min="8" style="1" width="7.34"/>
    <col collapsed="false" customWidth="true" hidden="false" outlineLevel="0" max="9" min="9" style="1" width="7.8"/>
    <col collapsed="false" customWidth="true" hidden="false" outlineLevel="0" max="10" min="10" style="4" width="8.89"/>
    <col collapsed="false" customWidth="true" hidden="false" outlineLevel="0" max="11" min="11" style="4" width="8.56"/>
    <col collapsed="false" customWidth="true" hidden="false" outlineLevel="0" max="12" min="12" style="4" width="8.33"/>
    <col collapsed="false" customWidth="true" hidden="false" outlineLevel="0" max="13" min="13" style="5" width="9.66"/>
    <col collapsed="false" customWidth="true" hidden="false" outlineLevel="0" max="14" min="14" style="1" width="18.66"/>
    <col collapsed="false" customWidth="false" hidden="false" outlineLevel="0" max="17" min="15" style="1" width="10.99"/>
    <col collapsed="false" customWidth="true" hidden="false" outlineLevel="0" max="18" min="18" style="1" width="10.65"/>
    <col collapsed="false" customWidth="false" hidden="false" outlineLevel="0" max="19" min="19" style="1" width="10.99"/>
    <col collapsed="false" customWidth="true" hidden="false" outlineLevel="0" max="22" min="20" style="1" width="10"/>
    <col collapsed="false" customWidth="false" hidden="false" outlineLevel="0" max="25" min="23" style="1" width="10.99"/>
    <col collapsed="false" customWidth="true" hidden="false" outlineLevel="0" max="26" min="26" style="1" width="13.55"/>
    <col collapsed="false" customWidth="true" hidden="false" outlineLevel="0" max="27" min="27" style="1" width="16.56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66"/>
    <col collapsed="false" customWidth="true" hidden="false" outlineLevel="0" max="31" min="31" style="1" width="11.11"/>
    <col collapsed="false" customWidth="true" hidden="false" outlineLevel="0" max="32" min="32" style="1" width="14.35"/>
    <col collapsed="false" customWidth="true" hidden="false" outlineLevel="0" max="33" min="33" style="1" width="11.99"/>
    <col collapsed="false" customWidth="true" hidden="false" outlineLevel="0" max="34" min="34" style="1" width="26.56"/>
    <col collapsed="false" customWidth="true" hidden="false" outlineLevel="0" max="35" min="35" style="1" width="14.43"/>
    <col collapsed="false" customWidth="true" hidden="false" outlineLevel="0" max="36" min="36" style="1" width="11.11"/>
    <col collapsed="false" customWidth="true" hidden="false" outlineLevel="0" max="37" min="37" style="1" width="12.33"/>
    <col collapsed="false" customWidth="true" hidden="false" outlineLevel="0" max="38" min="38" style="1" width="11.11"/>
    <col collapsed="false" customWidth="true" hidden="false" outlineLevel="0" max="39" min="39" style="1" width="6.35"/>
    <col collapsed="false" customWidth="true" hidden="false" outlineLevel="0" max="40" min="40" style="1" width="19.45"/>
    <col collapsed="false" customWidth="true" hidden="false" outlineLevel="0" max="41" min="41" style="1" width="12.89"/>
    <col collapsed="false" customWidth="true" hidden="false" outlineLevel="0" max="42" min="42" style="1" width="17.56"/>
    <col collapsed="false" customWidth="true" hidden="false" outlineLevel="0" max="43" min="43" style="1" width="14.43"/>
    <col collapsed="false" customWidth="true" hidden="false" outlineLevel="0" max="44" min="44" style="1" width="13.55"/>
    <col collapsed="false" customWidth="true" hidden="false" outlineLevel="0" max="45" min="45" style="1" width="13.66"/>
    <col collapsed="false" customWidth="true" hidden="false" outlineLevel="0" max="46" min="46" style="1" width="19.65"/>
    <col collapsed="false" customWidth="true" hidden="false" outlineLevel="0" max="47" min="47" style="1" width="13.1"/>
    <col collapsed="false" customWidth="true" hidden="false" outlineLevel="0" max="48" min="48" style="1" width="17.44"/>
    <col collapsed="false" customWidth="true" hidden="false" outlineLevel="0" max="49" min="49" style="1" width="13.33"/>
    <col collapsed="false" customWidth="true" hidden="false" outlineLevel="0" max="50" min="50" style="1" width="12.44"/>
    <col collapsed="false" customWidth="false" hidden="false" outlineLevel="0" max="1023" min="51" style="1" width="10.99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G3" s="10"/>
      <c r="M3" s="11"/>
      <c r="AMJ3" s="0"/>
    </row>
    <row r="4" s="8" customFormat="true" ht="25.5" hidden="false" customHeight="true" outlineLevel="0" collapsed="false">
      <c r="B4" s="9"/>
      <c r="C4" s="9"/>
      <c r="D4" s="9"/>
      <c r="E4" s="10"/>
      <c r="F4" s="10"/>
      <c r="G4" s="10"/>
      <c r="M4" s="11"/>
      <c r="Z4" s="12" t="s">
        <v>3</v>
      </c>
      <c r="AA4" s="12" t="s">
        <v>4</v>
      </c>
      <c r="AB4" s="12" t="s">
        <v>5</v>
      </c>
      <c r="AC4" s="13" t="s">
        <v>6</v>
      </c>
      <c r="AD4" s="12" t="s">
        <v>7</v>
      </c>
      <c r="AE4" s="12" t="s">
        <v>8</v>
      </c>
      <c r="AF4" s="12" t="s">
        <v>9</v>
      </c>
      <c r="AG4" s="12" t="s">
        <v>10</v>
      </c>
      <c r="AH4" s="13" t="s">
        <v>11</v>
      </c>
      <c r="AI4" s="12" t="s">
        <v>12</v>
      </c>
      <c r="AJ4" s="12" t="s">
        <v>13</v>
      </c>
      <c r="AK4" s="12" t="s">
        <v>14</v>
      </c>
      <c r="AL4" s="12" t="s">
        <v>15</v>
      </c>
      <c r="AM4" s="12" t="s">
        <v>16</v>
      </c>
      <c r="AN4" s="13" t="s">
        <v>17</v>
      </c>
      <c r="AO4" s="13" t="s">
        <v>18</v>
      </c>
      <c r="AP4" s="13" t="s">
        <v>19</v>
      </c>
      <c r="AQ4" s="12" t="s">
        <v>20</v>
      </c>
      <c r="AR4" s="12" t="s">
        <v>21</v>
      </c>
      <c r="AS4" s="14" t="s">
        <v>22</v>
      </c>
      <c r="AT4" s="12" t="s">
        <v>23</v>
      </c>
      <c r="AU4" s="12" t="s">
        <v>24</v>
      </c>
      <c r="AV4" s="15" t="s">
        <v>25</v>
      </c>
      <c r="AW4" s="12" t="s">
        <v>26</v>
      </c>
      <c r="AX4" s="16" t="s">
        <v>27</v>
      </c>
      <c r="AMJ4" s="0"/>
    </row>
    <row r="5" s="17" customFormat="true" ht="25.5" hidden="false" customHeight="true" outlineLevel="0" collapsed="false">
      <c r="B5" s="18"/>
      <c r="C5" s="18"/>
      <c r="D5" s="18"/>
      <c r="E5" s="19"/>
      <c r="F5" s="19"/>
      <c r="G5" s="19"/>
      <c r="H5" s="20"/>
      <c r="I5" s="21" t="s">
        <v>28</v>
      </c>
      <c r="M5" s="22"/>
      <c r="P5" s="23"/>
      <c r="Q5" s="23"/>
      <c r="R5" s="23"/>
      <c r="S5" s="23"/>
      <c r="T5" s="24"/>
      <c r="U5" s="24"/>
      <c r="V5" s="23"/>
      <c r="W5" s="23"/>
      <c r="X5" s="23"/>
      <c r="Y5" s="23"/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25" t="s">
        <v>34</v>
      </c>
      <c r="AF5" s="12" t="s">
        <v>35</v>
      </c>
      <c r="AG5" s="25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26" t="s">
        <v>42</v>
      </c>
      <c r="AN5" s="12" t="s">
        <v>43</v>
      </c>
      <c r="AO5" s="12" t="s">
        <v>44</v>
      </c>
      <c r="AP5" s="27" t="s">
        <v>45</v>
      </c>
      <c r="AQ5" s="25" t="s">
        <v>46</v>
      </c>
      <c r="AR5" s="25" t="s">
        <v>47</v>
      </c>
      <c r="AS5" s="28" t="s">
        <v>48</v>
      </c>
      <c r="AT5" s="12" t="s">
        <v>49</v>
      </c>
      <c r="AU5" s="12" t="s">
        <v>50</v>
      </c>
      <c r="AV5" s="29" t="s">
        <v>51</v>
      </c>
      <c r="AW5" s="12" t="s">
        <v>52</v>
      </c>
      <c r="AX5" s="30" t="s">
        <v>53</v>
      </c>
      <c r="AMJ5" s="0"/>
    </row>
    <row r="6" customFormat="false" ht="45.75" hidden="false" customHeight="true" outlineLevel="0" collapsed="false">
      <c r="A6" s="31" t="s">
        <v>54</v>
      </c>
      <c r="B6" s="31" t="s">
        <v>55</v>
      </c>
      <c r="C6" s="31" t="s">
        <v>56</v>
      </c>
      <c r="D6" s="32" t="s">
        <v>57</v>
      </c>
      <c r="E6" s="33" t="s">
        <v>58</v>
      </c>
      <c r="F6" s="31" t="s">
        <v>59</v>
      </c>
      <c r="G6" s="31" t="s">
        <v>60</v>
      </c>
      <c r="H6" s="31" t="s">
        <v>61</v>
      </c>
      <c r="I6" s="31" t="s">
        <v>62</v>
      </c>
      <c r="J6" s="31" t="s">
        <v>63</v>
      </c>
      <c r="K6" s="31" t="s">
        <v>64</v>
      </c>
      <c r="L6" s="31" t="s">
        <v>65</v>
      </c>
      <c r="M6" s="31" t="s">
        <v>66</v>
      </c>
      <c r="N6" s="31" t="s">
        <v>67</v>
      </c>
      <c r="O6" s="31" t="s">
        <v>68</v>
      </c>
      <c r="P6" s="34" t="s">
        <v>69</v>
      </c>
      <c r="Q6" s="34" t="s">
        <v>70</v>
      </c>
      <c r="R6" s="34" t="s">
        <v>71</v>
      </c>
      <c r="S6" s="34" t="s">
        <v>72</v>
      </c>
      <c r="T6" s="34" t="s">
        <v>73</v>
      </c>
      <c r="U6" s="34" t="s">
        <v>74</v>
      </c>
      <c r="V6" s="34" t="s">
        <v>75</v>
      </c>
      <c r="W6" s="34" t="s">
        <v>76</v>
      </c>
      <c r="X6" s="34" t="s">
        <v>77</v>
      </c>
      <c r="Y6" s="34" t="s">
        <v>78</v>
      </c>
      <c r="Z6" s="12" t="s">
        <v>79</v>
      </c>
      <c r="AA6" s="12" t="s">
        <v>79</v>
      </c>
      <c r="AB6" s="12" t="s">
        <v>79</v>
      </c>
      <c r="AC6" s="12" t="s">
        <v>79</v>
      </c>
      <c r="AD6" s="12" t="s">
        <v>79</v>
      </c>
      <c r="AE6" s="12" t="s">
        <v>79</v>
      </c>
      <c r="AF6" s="12" t="s">
        <v>79</v>
      </c>
      <c r="AG6" s="12" t="s">
        <v>79</v>
      </c>
      <c r="AH6" s="12" t="s">
        <v>79</v>
      </c>
      <c r="AI6" s="12" t="s">
        <v>79</v>
      </c>
      <c r="AJ6" s="12" t="s">
        <v>79</v>
      </c>
      <c r="AK6" s="12" t="s">
        <v>79</v>
      </c>
      <c r="AL6" s="12" t="s">
        <v>79</v>
      </c>
      <c r="AM6" s="12" t="s">
        <v>79</v>
      </c>
      <c r="AN6" s="12" t="s">
        <v>79</v>
      </c>
      <c r="AO6" s="12" t="s">
        <v>79</v>
      </c>
      <c r="AP6" s="12" t="s">
        <v>79</v>
      </c>
      <c r="AQ6" s="12" t="s">
        <v>79</v>
      </c>
      <c r="AR6" s="12" t="s">
        <v>79</v>
      </c>
      <c r="AS6" s="12" t="s">
        <v>79</v>
      </c>
      <c r="AT6" s="12" t="s">
        <v>79</v>
      </c>
      <c r="AU6" s="12" t="s">
        <v>79</v>
      </c>
      <c r="AV6" s="12" t="s">
        <v>79</v>
      </c>
      <c r="AW6" s="12" t="s">
        <v>79</v>
      </c>
      <c r="AX6" s="12" t="s">
        <v>79</v>
      </c>
    </row>
    <row r="7" customFormat="false" ht="13.8" hidden="false" customHeight="false" outlineLevel="0" collapsed="false">
      <c r="A7" s="35" t="n">
        <v>1</v>
      </c>
      <c r="B7" s="36"/>
      <c r="C7" s="36"/>
      <c r="D7" s="37" t="n">
        <v>39331</v>
      </c>
      <c r="E7" s="38" t="s">
        <v>80</v>
      </c>
      <c r="F7" s="39" t="s">
        <v>81</v>
      </c>
      <c r="G7" s="40" t="s">
        <v>82</v>
      </c>
      <c r="H7" s="39" t="n">
        <v>35.35</v>
      </c>
      <c r="I7" s="39" t="n">
        <v>25.75</v>
      </c>
      <c r="J7" s="39" t="n">
        <v>169</v>
      </c>
      <c r="K7" s="39" t="s">
        <v>83</v>
      </c>
      <c r="L7" s="39" t="n">
        <v>177</v>
      </c>
      <c r="M7" s="36"/>
      <c r="N7" s="41" t="s">
        <v>84</v>
      </c>
      <c r="O7" s="42" t="n">
        <v>35.3562</v>
      </c>
      <c r="P7" s="43" t="n">
        <v>0</v>
      </c>
      <c r="Q7" s="44" t="n">
        <v>0</v>
      </c>
      <c r="R7" s="44" t="n">
        <v>0.08</v>
      </c>
      <c r="S7" s="44" t="n">
        <v>0.0781751527195582</v>
      </c>
      <c r="T7" s="44" t="n">
        <f aca="false">SUM(P7,R7)</f>
        <v>0.08</v>
      </c>
      <c r="U7" s="44" t="n">
        <f aca="false">SUM(Q7,S7)</f>
        <v>0.0781751527195582</v>
      </c>
      <c r="V7" s="44" t="n">
        <v>0.041</v>
      </c>
      <c r="W7" s="44" t="n">
        <v>0.0400647657687736</v>
      </c>
      <c r="X7" s="44" t="n">
        <v>0.64</v>
      </c>
      <c r="Y7" s="44" t="n">
        <v>0.625401221756466</v>
      </c>
      <c r="Z7" s="45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</row>
    <row r="8" customFormat="false" ht="13.8" hidden="false" customHeight="false" outlineLevel="0" collapsed="false">
      <c r="A8" s="35" t="n">
        <f aca="false">A7+1</f>
        <v>2</v>
      </c>
      <c r="B8" s="36"/>
      <c r="C8" s="36"/>
      <c r="D8" s="37" t="n">
        <v>39331</v>
      </c>
      <c r="E8" s="38" t="s">
        <v>85</v>
      </c>
      <c r="F8" s="39" t="s">
        <v>86</v>
      </c>
      <c r="G8" s="40" t="s">
        <v>87</v>
      </c>
      <c r="H8" s="39" t="n">
        <v>35.3</v>
      </c>
      <c r="I8" s="39" t="n">
        <v>26.57</v>
      </c>
      <c r="J8" s="39" t="n">
        <v>170</v>
      </c>
      <c r="K8" s="39" t="s">
        <v>88</v>
      </c>
      <c r="L8" s="39" t="n">
        <v>178</v>
      </c>
      <c r="M8" s="36"/>
      <c r="N8" s="41" t="s">
        <v>84</v>
      </c>
      <c r="O8" s="42" t="n">
        <v>35.3031</v>
      </c>
      <c r="P8" s="43" t="n">
        <v>0</v>
      </c>
      <c r="Q8" s="44" t="n">
        <v>0</v>
      </c>
      <c r="R8" s="44" t="n">
        <v>0.14</v>
      </c>
      <c r="S8" s="44" t="n">
        <v>0.136806517259227</v>
      </c>
      <c r="T8" s="44" t="n">
        <f aca="false">SUM(P8,R8)</f>
        <v>0.14</v>
      </c>
      <c r="U8" s="44" t="n">
        <f aca="false">SUM(Q8,S8)</f>
        <v>0.136806517259227</v>
      </c>
      <c r="V8" s="44" t="n">
        <v>0.06</v>
      </c>
      <c r="W8" s="44" t="n">
        <v>0.0586313645396686</v>
      </c>
      <c r="X8" s="44" t="n">
        <v>0.55</v>
      </c>
      <c r="Y8" s="44" t="n">
        <v>0.537454174946963</v>
      </c>
      <c r="Z8" s="45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</row>
    <row r="9" customFormat="false" ht="13.8" hidden="false" customHeight="false" outlineLevel="0" collapsed="false">
      <c r="A9" s="35" t="n">
        <f aca="false">A8+1</f>
        <v>3</v>
      </c>
      <c r="B9" s="36"/>
      <c r="C9" s="36"/>
      <c r="D9" s="37" t="n">
        <v>39332</v>
      </c>
      <c r="E9" s="38" t="s">
        <v>89</v>
      </c>
      <c r="F9" s="39" t="s">
        <v>90</v>
      </c>
      <c r="G9" s="40" t="s">
        <v>91</v>
      </c>
      <c r="H9" s="39" t="n">
        <v>35.42</v>
      </c>
      <c r="I9" s="39" t="n">
        <v>26.37</v>
      </c>
      <c r="J9" s="39" t="n">
        <v>171</v>
      </c>
      <c r="K9" s="39" t="s">
        <v>92</v>
      </c>
      <c r="L9" s="39" t="n">
        <v>179</v>
      </c>
      <c r="M9" s="36"/>
      <c r="N9" s="41" t="s">
        <v>84</v>
      </c>
      <c r="O9" s="42" t="n">
        <v>35.4352</v>
      </c>
      <c r="P9" s="43" t="n">
        <v>0</v>
      </c>
      <c r="Q9" s="44" t="n">
        <v>0</v>
      </c>
      <c r="R9" s="44" t="n">
        <v>0.16</v>
      </c>
      <c r="S9" s="44" t="n">
        <v>0.156350305439116</v>
      </c>
      <c r="T9" s="44" t="n">
        <f aca="false">SUM(P9,R9)</f>
        <v>0.16</v>
      </c>
      <c r="U9" s="44" t="n">
        <f aca="false">SUM(Q9,S9)</f>
        <v>0.156350305439116</v>
      </c>
      <c r="V9" s="44" t="n">
        <v>0.048</v>
      </c>
      <c r="W9" s="44" t="n">
        <v>0.0469050916317349</v>
      </c>
      <c r="X9" s="44" t="n">
        <v>0.41</v>
      </c>
      <c r="Y9" s="44" t="n">
        <v>0.400647657687736</v>
      </c>
      <c r="Z9" s="45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</row>
    <row r="10" customFormat="false" ht="13.8" hidden="false" customHeight="false" outlineLevel="0" collapsed="false">
      <c r="A10" s="35" t="n">
        <f aca="false">A9+1</f>
        <v>4</v>
      </c>
      <c r="B10" s="36"/>
      <c r="C10" s="36"/>
      <c r="D10" s="37" t="n">
        <v>39332</v>
      </c>
      <c r="E10" s="38" t="s">
        <v>93</v>
      </c>
      <c r="F10" s="39" t="s">
        <v>94</v>
      </c>
      <c r="G10" s="40" t="s">
        <v>95</v>
      </c>
      <c r="H10" s="39" t="n">
        <v>35.38</v>
      </c>
      <c r="I10" s="39" t="n">
        <v>26.76</v>
      </c>
      <c r="J10" s="39" t="n">
        <v>172</v>
      </c>
      <c r="K10" s="39"/>
      <c r="L10" s="39" t="n">
        <v>180</v>
      </c>
      <c r="M10" s="36"/>
      <c r="N10" s="41" t="s">
        <v>84</v>
      </c>
      <c r="O10" s="42" t="n">
        <v>35.446</v>
      </c>
      <c r="P10" s="36"/>
      <c r="Q10" s="36"/>
      <c r="R10" s="36"/>
      <c r="S10" s="36"/>
      <c r="T10" s="44" t="n">
        <f aca="false">SUM(P10,R10)</f>
        <v>0</v>
      </c>
      <c r="U10" s="44" t="n">
        <f aca="false">SUM(Q10,S10)</f>
        <v>0</v>
      </c>
      <c r="V10" s="36"/>
      <c r="W10" s="36"/>
      <c r="X10" s="36"/>
      <c r="Y10" s="36"/>
      <c r="Z10" s="45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</row>
    <row r="11" customFormat="false" ht="13.8" hidden="false" customHeight="false" outlineLevel="0" collapsed="false">
      <c r="A11" s="35" t="n">
        <f aca="false">A10+1</f>
        <v>5</v>
      </c>
      <c r="B11" s="36"/>
      <c r="C11" s="36"/>
      <c r="D11" s="37" t="n">
        <v>39334</v>
      </c>
      <c r="E11" s="38" t="s">
        <v>96</v>
      </c>
      <c r="F11" s="39" t="s">
        <v>97</v>
      </c>
      <c r="G11" s="40" t="s">
        <v>98</v>
      </c>
      <c r="H11" s="39" t="n">
        <v>35.55</v>
      </c>
      <c r="I11" s="39" t="n">
        <v>24.31</v>
      </c>
      <c r="J11" s="39" t="n">
        <v>169</v>
      </c>
      <c r="K11" s="39" t="s">
        <v>99</v>
      </c>
      <c r="L11" s="39" t="n">
        <v>183</v>
      </c>
      <c r="M11" s="36"/>
      <c r="N11" s="41" t="s">
        <v>84</v>
      </c>
      <c r="O11" s="42" t="n">
        <v>35.6138</v>
      </c>
      <c r="P11" s="43" t="n">
        <v>0.003</v>
      </c>
      <c r="Q11" s="44" t="n">
        <v>0.00293156822698343</v>
      </c>
      <c r="R11" s="44" t="n">
        <v>0.157</v>
      </c>
      <c r="S11" s="44" t="n">
        <v>0.153418737212133</v>
      </c>
      <c r="T11" s="44" t="n">
        <f aca="false">SUM(P11,R11)</f>
        <v>0.16</v>
      </c>
      <c r="U11" s="44" t="n">
        <f aca="false">SUM(Q11,S11)</f>
        <v>0.156350305439116</v>
      </c>
      <c r="V11" s="44" t="n">
        <v>0.231</v>
      </c>
      <c r="W11" s="44" t="n">
        <v>0.225730753477724</v>
      </c>
      <c r="X11" s="44" t="n">
        <v>0.64</v>
      </c>
      <c r="Y11" s="44" t="n">
        <v>0.625401221756466</v>
      </c>
      <c r="Z11" s="45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</row>
    <row r="12" customFormat="false" ht="13.8" hidden="false" customHeight="false" outlineLevel="0" collapsed="false">
      <c r="A12" s="35" t="n">
        <f aca="false">A11+1</f>
        <v>6</v>
      </c>
      <c r="B12" s="36"/>
      <c r="C12" s="36"/>
      <c r="D12" s="37" t="n">
        <v>39334</v>
      </c>
      <c r="E12" s="38" t="s">
        <v>100</v>
      </c>
      <c r="F12" s="39" t="s">
        <v>101</v>
      </c>
      <c r="G12" s="40" t="s">
        <v>102</v>
      </c>
      <c r="H12" s="39" t="n">
        <v>35.66</v>
      </c>
      <c r="I12" s="39" t="n">
        <v>23.78</v>
      </c>
      <c r="J12" s="39" t="n">
        <v>170</v>
      </c>
      <c r="K12" s="39"/>
      <c r="L12" s="39" t="n">
        <v>185</v>
      </c>
      <c r="M12" s="36"/>
      <c r="N12" s="41" t="s">
        <v>84</v>
      </c>
      <c r="O12" s="42" t="n">
        <v>35.6629</v>
      </c>
      <c r="P12" s="36"/>
      <c r="Q12" s="36"/>
      <c r="R12" s="36"/>
      <c r="S12" s="36"/>
      <c r="T12" s="44" t="n">
        <f aca="false">SUM(P12,R12)</f>
        <v>0</v>
      </c>
      <c r="U12" s="44" t="n">
        <f aca="false">SUM(Q12,S12)</f>
        <v>0</v>
      </c>
      <c r="V12" s="36"/>
      <c r="W12" s="36"/>
      <c r="X12" s="36"/>
      <c r="Y12" s="36"/>
      <c r="Z12" s="45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</row>
    <row r="13" customFormat="false" ht="13.8" hidden="false" customHeight="false" outlineLevel="0" collapsed="false">
      <c r="A13" s="35" t="n">
        <f aca="false">A12+1</f>
        <v>7</v>
      </c>
      <c r="B13" s="36"/>
      <c r="C13" s="36"/>
      <c r="D13" s="37" t="n">
        <v>39342</v>
      </c>
      <c r="E13" s="38" t="s">
        <v>103</v>
      </c>
      <c r="F13" s="39" t="s">
        <v>104</v>
      </c>
      <c r="G13" s="40" t="s">
        <v>105</v>
      </c>
      <c r="H13" s="39" t="n">
        <v>35.34</v>
      </c>
      <c r="I13" s="39" t="n">
        <v>26.14</v>
      </c>
      <c r="J13" s="39" t="n">
        <v>171</v>
      </c>
      <c r="K13" s="39" t="s">
        <v>106</v>
      </c>
      <c r="L13" s="39" t="n">
        <v>202</v>
      </c>
      <c r="M13" s="36"/>
      <c r="N13" s="41" t="s">
        <v>84</v>
      </c>
      <c r="O13" s="42" t="n">
        <v>35.3232</v>
      </c>
      <c r="P13" s="43" t="n">
        <v>0</v>
      </c>
      <c r="Q13" s="44" t="n">
        <v>0</v>
      </c>
      <c r="R13" s="44" t="n">
        <v>0.12</v>
      </c>
      <c r="S13" s="44" t="n">
        <v>0.117262729079337</v>
      </c>
      <c r="T13" s="44" t="n">
        <f aca="false">SUM(P13,R13)</f>
        <v>0.12</v>
      </c>
      <c r="U13" s="44" t="n">
        <f aca="false">SUM(Q13,S13)</f>
        <v>0.117262729079337</v>
      </c>
      <c r="V13" s="44" t="n">
        <v>0.172</v>
      </c>
      <c r="W13" s="44" t="n">
        <v>0.16807657834705</v>
      </c>
      <c r="X13" s="44" t="n">
        <v>0.43</v>
      </c>
      <c r="Y13" s="44" t="n">
        <v>0.420191445867625</v>
      </c>
      <c r="Z13" s="45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</row>
    <row r="14" customFormat="false" ht="13.8" hidden="false" customHeight="false" outlineLevel="0" collapsed="false">
      <c r="A14" s="35" t="n">
        <f aca="false">A13+1</f>
        <v>8</v>
      </c>
      <c r="B14" s="36"/>
      <c r="C14" s="36"/>
      <c r="D14" s="37" t="n">
        <v>39342</v>
      </c>
      <c r="E14" s="38" t="s">
        <v>107</v>
      </c>
      <c r="F14" s="39" t="s">
        <v>108</v>
      </c>
      <c r="G14" s="40" t="s">
        <v>109</v>
      </c>
      <c r="H14" s="39" t="n">
        <v>34.97</v>
      </c>
      <c r="I14" s="47" t="n">
        <v>25.59</v>
      </c>
      <c r="J14" s="39" t="n">
        <v>172</v>
      </c>
      <c r="K14" s="39" t="s">
        <v>110</v>
      </c>
      <c r="L14" s="39" t="n">
        <v>203</v>
      </c>
      <c r="M14" s="36"/>
      <c r="N14" s="41" t="s">
        <v>84</v>
      </c>
      <c r="O14" s="42" t="n">
        <v>35.0109</v>
      </c>
      <c r="P14" s="43" t="n">
        <v>0.019</v>
      </c>
      <c r="Q14" s="44" t="n">
        <v>0.0185665987708951</v>
      </c>
      <c r="R14" s="44" t="n">
        <v>0.131</v>
      </c>
      <c r="S14" s="44" t="n">
        <v>0.128011812578277</v>
      </c>
      <c r="T14" s="44" t="n">
        <f aca="false">SUM(P14,R14)</f>
        <v>0.15</v>
      </c>
      <c r="U14" s="44" t="n">
        <f aca="false">SUM(Q14,S14)</f>
        <v>0.146578411349172</v>
      </c>
      <c r="V14" s="44" t="n">
        <v>0.143</v>
      </c>
      <c r="W14" s="44" t="n">
        <v>0.13973808548621</v>
      </c>
      <c r="X14" s="44" t="n">
        <v>0.51</v>
      </c>
      <c r="Y14" s="44" t="n">
        <v>0.498366598587183</v>
      </c>
      <c r="Z14" s="45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</row>
    <row r="15" customFormat="false" ht="13.8" hidden="false" customHeight="false" outlineLevel="0" collapsed="false">
      <c r="A15" s="35" t="n">
        <f aca="false">A14+1</f>
        <v>9</v>
      </c>
      <c r="B15" s="36"/>
      <c r="C15" s="36"/>
      <c r="D15" s="37" t="n">
        <v>39343</v>
      </c>
      <c r="E15" s="38" t="s">
        <v>111</v>
      </c>
      <c r="F15" s="39" t="s">
        <v>112</v>
      </c>
      <c r="G15" s="40" t="s">
        <v>113</v>
      </c>
      <c r="H15" s="39" t="n">
        <v>34.76</v>
      </c>
      <c r="I15" s="39" t="n">
        <v>26.49</v>
      </c>
      <c r="J15" s="39" t="n">
        <v>173</v>
      </c>
      <c r="K15" s="39" t="s">
        <v>114</v>
      </c>
      <c r="L15" s="39"/>
      <c r="M15" s="36"/>
      <c r="N15" s="41" t="s">
        <v>84</v>
      </c>
      <c r="O15" s="42" t="n">
        <v>35.253</v>
      </c>
      <c r="P15" s="43" t="n">
        <v>0</v>
      </c>
      <c r="Q15" s="44" t="n">
        <v>0</v>
      </c>
      <c r="R15" s="44" t="n">
        <v>0.07</v>
      </c>
      <c r="S15" s="44" t="n">
        <v>0.0684032586296134</v>
      </c>
      <c r="T15" s="44" t="n">
        <f aca="false">SUM(P15,R15)</f>
        <v>0.07</v>
      </c>
      <c r="U15" s="44" t="n">
        <f aca="false">SUM(Q15,S15)</f>
        <v>0.0684032586296134</v>
      </c>
      <c r="V15" s="44" t="n">
        <v>0.058</v>
      </c>
      <c r="W15" s="44" t="n">
        <v>0.0566769857216797</v>
      </c>
      <c r="X15" s="44" t="n">
        <v>0.44</v>
      </c>
      <c r="Y15" s="44" t="n">
        <v>0.42996333995757</v>
      </c>
      <c r="Z15" s="45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</row>
    <row r="16" customFormat="false" ht="13.8" hidden="false" customHeight="false" outlineLevel="0" collapsed="false">
      <c r="A16" s="35" t="n">
        <f aca="false">A15+1</f>
        <v>10</v>
      </c>
      <c r="B16" s="36"/>
      <c r="C16" s="36"/>
      <c r="D16" s="37" t="n">
        <v>39343</v>
      </c>
      <c r="E16" s="38" t="s">
        <v>115</v>
      </c>
      <c r="F16" s="39" t="s">
        <v>116</v>
      </c>
      <c r="G16" s="40" t="s">
        <v>117</v>
      </c>
      <c r="H16" s="39" t="n">
        <v>35.33</v>
      </c>
      <c r="I16" s="39" t="n">
        <v>26.4</v>
      </c>
      <c r="J16" s="39" t="n">
        <v>174</v>
      </c>
      <c r="K16" s="39" t="s">
        <v>118</v>
      </c>
      <c r="L16" s="39" t="n">
        <v>204</v>
      </c>
      <c r="M16" s="36"/>
      <c r="N16" s="41" t="s">
        <v>84</v>
      </c>
      <c r="O16" s="42" t="n">
        <v>35.3548</v>
      </c>
      <c r="P16" s="43" t="n">
        <v>0</v>
      </c>
      <c r="Q16" s="44" t="n">
        <v>0</v>
      </c>
      <c r="R16" s="44" t="n">
        <v>0.13</v>
      </c>
      <c r="S16" s="44" t="n">
        <v>0.127034623169282</v>
      </c>
      <c r="T16" s="44" t="n">
        <f aca="false">SUM(P16,R16)</f>
        <v>0.13</v>
      </c>
      <c r="U16" s="44" t="n">
        <f aca="false">SUM(Q16,S16)</f>
        <v>0.127034623169282</v>
      </c>
      <c r="V16" s="44" t="n">
        <v>0.021</v>
      </c>
      <c r="W16" s="44" t="n">
        <v>0.020520977588884</v>
      </c>
      <c r="X16" s="44" t="n">
        <v>0.89</v>
      </c>
      <c r="Y16" s="44" t="n">
        <v>0.869698574005085</v>
      </c>
      <c r="Z16" s="45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</row>
    <row r="17" customFormat="false" ht="13.8" hidden="false" customHeight="false" outlineLevel="0" collapsed="false">
      <c r="A17" s="35" t="n">
        <f aca="false">A16+1</f>
        <v>11</v>
      </c>
      <c r="B17" s="36"/>
      <c r="C17" s="36"/>
      <c r="D17" s="37" t="n">
        <v>39344</v>
      </c>
      <c r="E17" s="38" t="s">
        <v>119</v>
      </c>
      <c r="F17" s="39" t="s">
        <v>120</v>
      </c>
      <c r="G17" s="40" t="s">
        <v>121</v>
      </c>
      <c r="H17" s="39" t="n">
        <v>35.36</v>
      </c>
      <c r="I17" s="39" t="n">
        <v>26.17</v>
      </c>
      <c r="J17" s="39" t="n">
        <v>175</v>
      </c>
      <c r="K17" s="39" t="s">
        <v>122</v>
      </c>
      <c r="L17" s="39"/>
      <c r="M17" s="36"/>
      <c r="N17" s="41" t="s">
        <v>84</v>
      </c>
      <c r="O17" s="42" t="n">
        <v>35.4652</v>
      </c>
      <c r="P17" s="43" t="n">
        <v>0</v>
      </c>
      <c r="Q17" s="44" t="n">
        <v>0</v>
      </c>
      <c r="R17" s="44" t="n">
        <v>0.06</v>
      </c>
      <c r="S17" s="44" t="n">
        <v>0.0586313645396686</v>
      </c>
      <c r="T17" s="44" t="n">
        <f aca="false">SUM(P17,R17)</f>
        <v>0.06</v>
      </c>
      <c r="U17" s="44" t="n">
        <f aca="false">SUM(Q17,S17)</f>
        <v>0.0586313645396686</v>
      </c>
      <c r="V17" s="44" t="n">
        <v>0.066</v>
      </c>
      <c r="W17" s="44" t="n">
        <v>0.0644945009936355</v>
      </c>
      <c r="X17" s="44" t="n">
        <v>0.84</v>
      </c>
      <c r="Y17" s="44" t="n">
        <v>0.820839103555361</v>
      </c>
      <c r="Z17" s="45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</row>
    <row r="18" customFormat="false" ht="13.8" hidden="false" customHeight="false" outlineLevel="0" collapsed="false">
      <c r="A18" s="35" t="n">
        <f aca="false">A17+1</f>
        <v>12</v>
      </c>
      <c r="B18" s="36"/>
      <c r="C18" s="36"/>
      <c r="D18" s="37" t="n">
        <v>39345</v>
      </c>
      <c r="E18" s="38" t="s">
        <v>123</v>
      </c>
      <c r="F18" s="48" t="s">
        <v>124</v>
      </c>
      <c r="G18" s="40" t="s">
        <v>125</v>
      </c>
      <c r="H18" s="39" t="n">
        <v>35.51</v>
      </c>
      <c r="I18" s="39" t="n">
        <v>25.13</v>
      </c>
      <c r="J18" s="39" t="n">
        <v>176</v>
      </c>
      <c r="K18" s="39" t="s">
        <v>126</v>
      </c>
      <c r="L18" s="39" t="n">
        <v>206</v>
      </c>
      <c r="M18" s="36"/>
      <c r="N18" s="41" t="s">
        <v>84</v>
      </c>
      <c r="O18" s="42" t="n">
        <v>35.5915</v>
      </c>
      <c r="P18" s="43" t="n">
        <v>0.009</v>
      </c>
      <c r="Q18" s="44" t="n">
        <v>0.0087947046809503</v>
      </c>
      <c r="R18" s="44" t="n">
        <v>0.151</v>
      </c>
      <c r="S18" s="44" t="n">
        <v>0.147555600758166</v>
      </c>
      <c r="T18" s="44" t="n">
        <f aca="false">SUM(P18,R18)</f>
        <v>0.16</v>
      </c>
      <c r="U18" s="44" t="n">
        <f aca="false">SUM(Q18,S18)</f>
        <v>0.156350305439116</v>
      </c>
      <c r="V18" s="44" t="n">
        <v>0.109</v>
      </c>
      <c r="W18" s="44" t="n">
        <v>0.106513645580398</v>
      </c>
      <c r="X18" s="44" t="n">
        <v>1.05</v>
      </c>
      <c r="Y18" s="44" t="n">
        <v>1.0260488794442</v>
      </c>
      <c r="Z18" s="45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</row>
    <row r="19" customFormat="false" ht="13.8" hidden="false" customHeight="false" outlineLevel="0" collapsed="false">
      <c r="A19" s="35" t="n">
        <f aca="false">A18+1</f>
        <v>13</v>
      </c>
      <c r="B19" s="36"/>
      <c r="C19" s="36"/>
      <c r="D19" s="37" t="n">
        <v>39345</v>
      </c>
      <c r="E19" s="38" t="s">
        <v>127</v>
      </c>
      <c r="F19" s="39" t="s">
        <v>128</v>
      </c>
      <c r="G19" s="40" t="s">
        <v>129</v>
      </c>
      <c r="H19" s="39" t="n">
        <v>35.41</v>
      </c>
      <c r="I19" s="39" t="n">
        <v>25.15</v>
      </c>
      <c r="J19" s="39" t="n">
        <v>177</v>
      </c>
      <c r="K19" s="39" t="s">
        <v>130</v>
      </c>
      <c r="L19" s="39"/>
      <c r="M19" s="36"/>
      <c r="N19" s="41" t="s">
        <v>84</v>
      </c>
      <c r="O19" s="42" t="n">
        <v>35.6454</v>
      </c>
      <c r="P19" s="43" t="n">
        <v>0.033</v>
      </c>
      <c r="Q19" s="44" t="n">
        <v>0.0322472504968177</v>
      </c>
      <c r="R19" s="44" t="n">
        <v>0.067</v>
      </c>
      <c r="S19" s="44" t="n">
        <v>0.06547169040263</v>
      </c>
      <c r="T19" s="44" t="n">
        <f aca="false">SUM(P19,R19)</f>
        <v>0.1</v>
      </c>
      <c r="U19" s="44" t="n">
        <f aca="false">SUM(Q19,S19)</f>
        <v>0.0977189408994478</v>
      </c>
      <c r="V19" s="44" t="n">
        <v>0.13</v>
      </c>
      <c r="W19" s="44" t="n">
        <v>0.127034623169282</v>
      </c>
      <c r="X19" s="44" t="n">
        <v>1.02</v>
      </c>
      <c r="Y19" s="44" t="n">
        <v>0.996733197174367</v>
      </c>
      <c r="Z19" s="45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</row>
    <row r="20" customFormat="false" ht="13.8" hidden="false" customHeight="false" outlineLevel="0" collapsed="false">
      <c r="A20" s="35" t="n">
        <f aca="false">A19+1</f>
        <v>14</v>
      </c>
      <c r="B20" s="36"/>
      <c r="C20" s="36"/>
      <c r="D20" s="37" t="n">
        <v>39346</v>
      </c>
      <c r="E20" s="38" t="s">
        <v>131</v>
      </c>
      <c r="F20" s="39" t="s">
        <v>132</v>
      </c>
      <c r="G20" s="40" t="s">
        <v>133</v>
      </c>
      <c r="H20" s="39" t="n">
        <v>35.52</v>
      </c>
      <c r="I20" s="39" t="n">
        <v>24.74</v>
      </c>
      <c r="J20" s="39" t="n">
        <v>178</v>
      </c>
      <c r="K20" s="39" t="s">
        <v>134</v>
      </c>
      <c r="L20" s="39" t="n">
        <v>207</v>
      </c>
      <c r="M20" s="36"/>
      <c r="N20" s="41" t="s">
        <v>84</v>
      </c>
      <c r="O20" s="42" t="n">
        <v>35.6723</v>
      </c>
      <c r="P20" s="43" t="n">
        <v>0.041</v>
      </c>
      <c r="Q20" s="44" t="n">
        <v>0.0400647657687736</v>
      </c>
      <c r="R20" s="44" t="n">
        <v>0.329</v>
      </c>
      <c r="S20" s="44" t="n">
        <v>0.321495315559183</v>
      </c>
      <c r="T20" s="44" t="n">
        <f aca="false">SUM(P20,R20)</f>
        <v>0.37</v>
      </c>
      <c r="U20" s="44" t="n">
        <f aca="false">SUM(Q20,S20)</f>
        <v>0.361560081327957</v>
      </c>
      <c r="V20" s="44" t="n">
        <v>0.183</v>
      </c>
      <c r="W20" s="44" t="n">
        <v>0.178825661845989</v>
      </c>
      <c r="X20" s="44" t="n">
        <v>1.08</v>
      </c>
      <c r="Y20" s="44" t="n">
        <v>1.05536456171404</v>
      </c>
      <c r="Z20" s="45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</row>
    <row r="21" customFormat="false" ht="13.8" hidden="false" customHeight="false" outlineLevel="0" collapsed="false">
      <c r="A21" s="35" t="n">
        <f aca="false">A20+1</f>
        <v>15</v>
      </c>
      <c r="B21" s="36"/>
      <c r="C21" s="36"/>
      <c r="D21" s="37" t="n">
        <v>39349</v>
      </c>
      <c r="E21" s="38" t="s">
        <v>135</v>
      </c>
      <c r="F21" s="39" t="s">
        <v>136</v>
      </c>
      <c r="G21" s="40" t="s">
        <v>137</v>
      </c>
      <c r="H21" s="39" t="n">
        <v>35.53</v>
      </c>
      <c r="I21" s="39" t="n">
        <v>27.15</v>
      </c>
      <c r="J21" s="39" t="n">
        <v>1</v>
      </c>
      <c r="K21" s="39"/>
      <c r="L21" s="39" t="n">
        <v>237</v>
      </c>
      <c r="M21" s="36"/>
      <c r="N21" s="41" t="s">
        <v>84</v>
      </c>
      <c r="O21" s="42" t="n">
        <v>35.5453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45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</row>
  </sheetData>
  <mergeCells count="6">
    <mergeCell ref="A1:M1"/>
    <mergeCell ref="A2:M2"/>
    <mergeCell ref="P5:Q5"/>
    <mergeCell ref="R5:S5"/>
    <mergeCell ref="V5:W5"/>
    <mergeCell ref="X5:Y5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2012-03-24T09:32:01Z</cp:lastPrinted>
  <dcterms:modified xsi:type="dcterms:W3CDTF">2022-09-29T15:25:21Z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