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<sst xmlns="http://schemas.openxmlformats.org/spreadsheetml/2006/main" count="395" uniqueCount="288">
  <si>
    <t xml:space="preserve">CAMPAGNE PIRATA FR 21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</si>
  <si>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</si>
  <si>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</si>
  <si>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</si>
  <si>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</si>
  <si>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</si>
  <si>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</si>
  <si>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</si>
  <si>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</si>
  <si>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</si>
  <si>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</si>
  <si>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</si>
  <si>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</si>
  <si>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</si>
  <si>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</si>
  <si>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</si>
  <si>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</si>
  <si>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</si>
  <si>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</si>
  <si>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</si>
  <si>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</si>
  <si>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</si>
  <si>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</si>
  <si>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</si>
  <si>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</si>
  <si>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</si>
  <si>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</si>
  <si>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</si>
  <si>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</si>
  <si>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</si>
  <si>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</si>
  <si>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</si>
  <si>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</si>
  <si>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</si>
  <si>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</si>
  <si>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</si>
  <si>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</si>
  <si>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</si>
  <si>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</si>
  <si>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</si>
  <si>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</si>
  <si>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</si>
  <si>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</si>
  <si>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</si>
  <si>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</si>
  <si>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</si>
  <si>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</si>
  <si>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</si>
  <si>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</si>
  <si>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</si>
  <si>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</si>
  <si>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</si>
  <si>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</si>
  <si>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</si>
  <si>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</si>
  <si>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</si>
  <si>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</si>
  <si>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</si>
  <si>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</si>
  <si>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</si>
  <si>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</si>
  <si>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</si>
  <si>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</si>
  <si>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</si>
  <si>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</si>
  <si>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</si>
  <si>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</si>
  <si>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</si>
  <si>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</si>
  <si>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</si>
  <si>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</si>
  <si>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</si>
  <si>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</si>
  <si>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</si>
  <si>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</si>
  <si>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</si>
  <si>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</si>
  <si>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</si>
  <si>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</si>
  <si>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</si>
  <si>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19h01</t>
  </si>
  <si>
    <t xml:space="preserve">5°04.00 N</t>
  </si>
  <si>
    <t xml:space="preserve">2°00,00 E</t>
  </si>
  <si>
    <t xml:space="preserve">34.822</t>
  </si>
  <si>
    <t xml:space="preserve">29.33</t>
  </si>
  <si>
    <t xml:space="preserve">S01</t>
  </si>
  <si>
    <t xml:space="preserve">Flacon S Coriolis +0.15ml HgCL2 pour CO2</t>
  </si>
  <si>
    <t xml:space="preserve">02h48</t>
  </si>
  <si>
    <t xml:space="preserve">5°21,00 N</t>
  </si>
  <si>
    <t xml:space="preserve">1°00,00 E</t>
  </si>
  <si>
    <t xml:space="preserve">34.555</t>
  </si>
  <si>
    <t xml:space="preserve">29.31</t>
  </si>
  <si>
    <t xml:space="preserve">S02</t>
  </si>
  <si>
    <t xml:space="preserve">Flacon S Coriolis +0.10ml HgCL2 pour CO2</t>
  </si>
  <si>
    <t xml:space="preserve">10h10</t>
  </si>
  <si>
    <t xml:space="preserve">5°00,00 N</t>
  </si>
  <si>
    <t xml:space="preserve">0°00,00 E</t>
  </si>
  <si>
    <t xml:space="preserve">S03</t>
  </si>
  <si>
    <t xml:space="preserve">18h50</t>
  </si>
  <si>
    <t xml:space="preserve">4°00,00 N</t>
  </si>
  <si>
    <t xml:space="preserve">1°00,00 W</t>
  </si>
  <si>
    <t xml:space="preserve">34.381</t>
  </si>
  <si>
    <t xml:space="preserve">29.44</t>
  </si>
  <si>
    <t xml:space="preserve">S04</t>
  </si>
  <si>
    <t xml:space="preserve">Flacon S Coriolis +0.20ml HgCL2 pour CO2</t>
  </si>
  <si>
    <t xml:space="preserve">03h32</t>
  </si>
  <si>
    <t xml:space="preserve">3°18,00 N</t>
  </si>
  <si>
    <t xml:space="preserve">2°00,00 W</t>
  </si>
  <si>
    <t xml:space="preserve">34.548</t>
  </si>
  <si>
    <t xml:space="preserve">29.42</t>
  </si>
  <si>
    <t xml:space="preserve">S05</t>
  </si>
  <si>
    <t xml:space="preserve">idem; désormais systématiquement 0.2ml</t>
  </si>
  <si>
    <t xml:space="preserve">21h38</t>
  </si>
  <si>
    <t xml:space="preserve">1°30,00 N</t>
  </si>
  <si>
    <t xml:space="preserve">4°00,00 W</t>
  </si>
  <si>
    <t xml:space="preserve">34.034</t>
  </si>
  <si>
    <t xml:space="preserve">28.96</t>
  </si>
  <si>
    <t xml:space="preserve">S06</t>
  </si>
  <si>
    <t xml:space="preserve">idem</t>
  </si>
  <si>
    <t xml:space="preserve">02h52</t>
  </si>
  <si>
    <t xml:space="preserve">5°00,00 W</t>
  </si>
  <si>
    <t xml:space="preserve">34.178</t>
  </si>
  <si>
    <t xml:space="preserve">29.41</t>
  </si>
  <si>
    <t xml:space="preserve">S07</t>
  </si>
  <si>
    <t xml:space="preserve">idem </t>
  </si>
  <si>
    <t xml:space="preserve">08h04</t>
  </si>
  <si>
    <t xml:space="preserve">6°00,00 W</t>
  </si>
  <si>
    <t xml:space="preserve">34.193</t>
  </si>
  <si>
    <t xml:space="preserve">S08</t>
  </si>
  <si>
    <t xml:space="preserve">13h12</t>
  </si>
  <si>
    <t xml:space="preserve">7°00,00 W</t>
  </si>
  <si>
    <t xml:space="preserve">34.197</t>
  </si>
  <si>
    <t xml:space="preserve">S09</t>
  </si>
  <si>
    <t xml:space="preserve">18h24</t>
  </si>
  <si>
    <t xml:space="preserve">8°00,00 W</t>
  </si>
  <si>
    <t xml:space="preserve">34.170</t>
  </si>
  <si>
    <t xml:space="preserve">S10</t>
  </si>
  <si>
    <t xml:space="preserve">23h33</t>
  </si>
  <si>
    <t xml:space="preserve">9°00,00 W</t>
  </si>
  <si>
    <t xml:space="preserve">34.387</t>
  </si>
  <si>
    <t xml:space="preserve">28.69</t>
  </si>
  <si>
    <t xml:space="preserve">S11</t>
  </si>
  <si>
    <t xml:space="preserve">20h45</t>
  </si>
  <si>
    <t xml:space="preserve">8°56,00 S</t>
  </si>
  <si>
    <t xml:space="preserve">8°56,00 W</t>
  </si>
  <si>
    <t xml:space="preserve">S12</t>
  </si>
  <si>
    <t xml:space="preserve">05h18</t>
  </si>
  <si>
    <t xml:space="preserve">7°58,00 S</t>
  </si>
  <si>
    <t xml:space="preserve">7°58,00 W</t>
  </si>
  <si>
    <t xml:space="preserve">J23</t>
  </si>
  <si>
    <t xml:space="preserve">S13</t>
  </si>
  <si>
    <t xml:space="preserve">13h35</t>
  </si>
  <si>
    <t xml:space="preserve">6°58,00 S</t>
  </si>
  <si>
    <t xml:space="preserve">6°58,00 W</t>
  </si>
  <si>
    <t xml:space="preserve">J24</t>
  </si>
  <si>
    <t xml:space="preserve">S14</t>
  </si>
  <si>
    <t xml:space="preserve">10h21</t>
  </si>
  <si>
    <t xml:space="preserve">4°57,00 S</t>
  </si>
  <si>
    <t xml:space="preserve">4°57,00 W</t>
  </si>
  <si>
    <t xml:space="preserve">S15</t>
  </si>
  <si>
    <t xml:space="preserve">05h30</t>
  </si>
  <si>
    <t xml:space="preserve">3°02,00 S</t>
  </si>
  <si>
    <t xml:space="preserve">3°01,00 W</t>
  </si>
  <si>
    <t xml:space="preserve">GS</t>
  </si>
  <si>
    <t xml:space="preserve">S16</t>
  </si>
  <si>
    <t xml:space="preserve">00h16</t>
  </si>
  <si>
    <t xml:space="preserve">0°57,00 S</t>
  </si>
  <si>
    <t xml:space="preserve">0°57,00 W</t>
  </si>
  <si>
    <t xml:space="preserve">S17</t>
  </si>
  <si>
    <t xml:space="preserve">22h46</t>
  </si>
  <si>
    <t xml:space="preserve">1°02,00 N</t>
  </si>
  <si>
    <t xml:space="preserve">0°25,00 E</t>
  </si>
  <si>
    <t xml:space="preserve">S18</t>
  </si>
  <si>
    <t xml:space="preserve">12h58</t>
  </si>
  <si>
    <t xml:space="preserve">3°00,00 N</t>
  </si>
  <si>
    <t xml:space="preserve">1°12,00 E</t>
  </si>
  <si>
    <t xml:space="preserve">S19</t>
  </si>
  <si>
    <t xml:space="preserve">19h48</t>
  </si>
  <si>
    <t xml:space="preserve">4°03,00 N</t>
  </si>
  <si>
    <t xml:space="preserve">1°36,00 E</t>
  </si>
  <si>
    <t xml:space="preserve">S20</t>
  </si>
  <si>
    <t xml:space="preserve">01h38</t>
  </si>
  <si>
    <t xml:space="preserve">1°58,00 E</t>
  </si>
  <si>
    <t xml:space="preserve">S21</t>
  </si>
  <si>
    <t xml:space="preserve">11h10</t>
  </si>
  <si>
    <t xml:space="preserve">5°58,00 N</t>
  </si>
  <si>
    <t xml:space="preserve">2°11,00 E</t>
  </si>
  <si>
    <t xml:space="preserve">S22</t>
  </si>
  <si>
    <t xml:space="preserve">14h53</t>
  </si>
  <si>
    <t xml:space="preserve">5°29,00 N</t>
  </si>
  <si>
    <t xml:space="preserve">1°46,00 E</t>
  </si>
  <si>
    <t xml:space="preserve">S23</t>
  </si>
  <si>
    <t xml:space="preserve">18h35</t>
  </si>
  <si>
    <t xml:space="preserve">4°58,00 N</t>
  </si>
  <si>
    <t xml:space="preserve">1°23,00 E</t>
  </si>
  <si>
    <t xml:space="preserve">S24</t>
  </si>
  <si>
    <t xml:space="preserve">22h13</t>
  </si>
  <si>
    <t xml:space="preserve">4°29,00 N</t>
  </si>
  <si>
    <t xml:space="preserve">0°59,00 E</t>
  </si>
  <si>
    <t xml:space="preserve">S25</t>
  </si>
  <si>
    <t xml:space="preserve">02h02</t>
  </si>
  <si>
    <t xml:space="preserve">3°58,00 N</t>
  </si>
  <si>
    <t xml:space="preserve">0°35,00 E</t>
  </si>
  <si>
    <t xml:space="preserve">S26</t>
  </si>
  <si>
    <t xml:space="preserve">05h40</t>
  </si>
  <si>
    <t xml:space="preserve">3°27,00 N</t>
  </si>
  <si>
    <t xml:space="preserve">0°10,00 E</t>
  </si>
  <si>
    <t xml:space="preserve">S27</t>
  </si>
  <si>
    <t xml:space="preserve">09h25</t>
  </si>
  <si>
    <t xml:space="preserve">2°58,00 N</t>
  </si>
  <si>
    <t xml:space="preserve">0°13,00 W</t>
  </si>
  <si>
    <t xml:space="preserve">S28</t>
  </si>
  <si>
    <t xml:space="preserve">13h04</t>
  </si>
  <si>
    <t xml:space="preserve">2°29,00 N</t>
  </si>
  <si>
    <t xml:space="preserve">0°37,00 W</t>
  </si>
  <si>
    <t xml:space="preserve">S29</t>
  </si>
  <si>
    <t xml:space="preserve">21h32</t>
  </si>
  <si>
    <t xml:space="preserve">1°00,00 S</t>
  </si>
  <si>
    <t xml:space="preserve">0°35,00 W</t>
  </si>
  <si>
    <t xml:space="preserve">S30</t>
  </si>
  <si>
    <t xml:space="preserve">03h25</t>
  </si>
  <si>
    <t xml:space="preserve">0°00,00 N</t>
  </si>
  <si>
    <t xml:space="preserve">0°10,00 W</t>
  </si>
  <si>
    <t xml:space="preserve">S31</t>
  </si>
  <si>
    <t xml:space="preserve">09h28</t>
  </si>
  <si>
    <t xml:space="preserve">1°00,00 N</t>
  </si>
  <si>
    <t xml:space="preserve">0°14,00 W</t>
  </si>
  <si>
    <t xml:space="preserve">S32</t>
  </si>
  <si>
    <t xml:space="preserve">15h28</t>
  </si>
  <si>
    <t xml:space="preserve">2°06,00 N</t>
  </si>
  <si>
    <t xml:space="preserve">0°38,00 W</t>
  </si>
  <si>
    <t xml:space="preserve">S33</t>
  </si>
  <si>
    <t xml:space="preserve">21h15</t>
  </si>
  <si>
    <t xml:space="preserve">1°39,00 E</t>
  </si>
  <si>
    <t xml:space="preserve">S34</t>
  </si>
  <si>
    <t xml:space="preserve">03h21</t>
  </si>
  <si>
    <t xml:space="preserve">3°59,00 N</t>
  </si>
  <si>
    <t xml:space="preserve">1°29,00 E</t>
  </si>
  <si>
    <t xml:space="preserve">S35</t>
  </si>
  <si>
    <t xml:space="preserve">09h30</t>
  </si>
  <si>
    <t xml:space="preserve">4°59,00 N</t>
  </si>
  <si>
    <t xml:space="preserve">1°54,00 E</t>
  </si>
  <si>
    <t xml:space="preserve">S36</t>
  </si>
  <si>
    <t xml:space="preserve">17h35</t>
  </si>
  <si>
    <t xml:space="preserve">6°10,00 N</t>
  </si>
  <si>
    <t xml:space="preserve">2°20,00 E</t>
  </si>
  <si>
    <t xml:space="preserve">S37</t>
  </si>
  <si>
    <t xml:space="preserve">20h20</t>
  </si>
  <si>
    <t xml:space="preserve">0°30,00 S</t>
  </si>
  <si>
    <t xml:space="preserve">2°30,00 W</t>
  </si>
  <si>
    <t xml:space="preserve">S38</t>
  </si>
  <si>
    <t xml:space="preserve">X</t>
  </si>
  <si>
    <t xml:space="preserve">fuite sur entonoir pigment</t>
  </si>
  <si>
    <t xml:space="preserve">06h13</t>
  </si>
  <si>
    <t xml:space="preserve">4°18,00 W</t>
  </si>
  <si>
    <t xml:space="preserve">S39</t>
  </si>
  <si>
    <t xml:space="preserve">Pas de prélevements</t>
  </si>
  <si>
    <t xml:space="preserve">02h30</t>
  </si>
  <si>
    <t xml:space="preserve">8°18,00 W</t>
  </si>
  <si>
    <t xml:space="preserve">S41</t>
  </si>
  <si>
    <t xml:space="preserve">02h10</t>
  </si>
  <si>
    <t xml:space="preserve">12°24,00 W</t>
  </si>
  <si>
    <t xml:space="preserve">S42</t>
  </si>
  <si>
    <t xml:space="preserve">temporairement 400mbar</t>
  </si>
  <si>
    <t xml:space="preserve">12h20</t>
  </si>
  <si>
    <t xml:space="preserve">14°02,00 W</t>
  </si>
  <si>
    <t xml:space="preserve">S43</t>
  </si>
  <si>
    <t xml:space="preserve">22h16</t>
  </si>
  <si>
    <t xml:space="preserve">16°02,00 W</t>
  </si>
  <si>
    <t xml:space="preserve">S44</t>
  </si>
  <si>
    <t xml:space="preserve">08h32</t>
  </si>
  <si>
    <t xml:space="preserve">18°02,00 W</t>
  </si>
  <si>
    <t xml:space="preserve">S45</t>
  </si>
  <si>
    <t xml:space="preserve">pigment triplés</t>
  </si>
  <si>
    <t xml:space="preserve">18h58</t>
  </si>
  <si>
    <t xml:space="preserve">20°03,00 W</t>
  </si>
  <si>
    <t xml:space="preserve">S46</t>
  </si>
  <si>
    <t xml:space="preserve">05h10</t>
  </si>
  <si>
    <t xml:space="preserve">22°01,00 W</t>
  </si>
  <si>
    <t xml:space="preserve">S47</t>
  </si>
  <si>
    <t xml:space="preserve">12h45</t>
  </si>
  <si>
    <t xml:space="preserve">2°09,00 N</t>
  </si>
  <si>
    <t xml:space="preserve">22°14,00 W</t>
  </si>
  <si>
    <t xml:space="preserve">S48</t>
  </si>
  <si>
    <t xml:space="preserve">17h57</t>
  </si>
  <si>
    <t xml:space="preserve">6°02,00 N</t>
  </si>
  <si>
    <t xml:space="preserve">20°43,00 W</t>
  </si>
  <si>
    <t xml:space="preserve">S49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</si>
</sst>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  <numFmt numFmtId="172" formatCode="0.0"/>
  </numFmts>
  <fonts count="1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C6D9F1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7"/>
    <col collapsed="false" customWidth="true" hidden="false" outlineLevel="0" max="6" min="6" style="3" width="19.17"/>
    <col collapsed="false" customWidth="true" hidden="false" outlineLevel="0" max="7" min="7" style="3" width="14.43"/>
    <col collapsed="false" customWidth="true" hidden="false" outlineLevel="0" max="8" min="8" style="1" width="5.86"/>
    <col collapsed="false" customWidth="true" hidden="false" outlineLevel="0" max="9" min="9" style="1" width="5.7"/>
    <col collapsed="false" customWidth="true" hidden="false" outlineLevel="0" max="10" min="10" style="4" width="8.86"/>
    <col collapsed="false" customWidth="true" hidden="false" outlineLevel="0" max="11" min="11" style="4" width="8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35.85"/>
    <col collapsed="false" customWidth="false" hidden="false" outlineLevel="0" max="17" min="15" style="1" width="10.99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2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I3" s="0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I4" s="0"/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4" t="s">
        <v>34</v>
      </c>
      <c r="AF5" s="12" t="s">
        <v>35</v>
      </c>
      <c r="AG5" s="24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5" t="s">
        <v>42</v>
      </c>
      <c r="AN5" s="12" t="s">
        <v>43</v>
      </c>
      <c r="AO5" s="12" t="s">
        <v>44</v>
      </c>
      <c r="AP5" s="26" t="s">
        <v>45</v>
      </c>
      <c r="AQ5" s="24" t="s">
        <v>46</v>
      </c>
      <c r="AR5" s="24" t="s">
        <v>47</v>
      </c>
      <c r="AS5" s="27" t="s">
        <v>48</v>
      </c>
      <c r="AT5" s="12" t="s">
        <v>49</v>
      </c>
      <c r="AU5" s="12" t="s">
        <v>50</v>
      </c>
      <c r="AV5" s="28" t="s">
        <v>51</v>
      </c>
      <c r="AW5" s="12" t="s">
        <v>52</v>
      </c>
      <c r="AX5" s="29" t="s">
        <v>53</v>
      </c>
      <c r="AMI5" s="0"/>
      <c r="AMJ5" s="0"/>
    </row>
    <row r="6" customFormat="false" ht="45.75" hidden="false" customHeight="true" outlineLevel="0" collapsed="false">
      <c r="A6" s="30" t="s">
        <v>54</v>
      </c>
      <c r="B6" s="30" t="s">
        <v>55</v>
      </c>
      <c r="C6" s="30" t="s">
        <v>56</v>
      </c>
      <c r="D6" s="31" t="s">
        <v>57</v>
      </c>
      <c r="E6" s="32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3" t="s">
        <v>69</v>
      </c>
      <c r="Q6" s="33" t="s">
        <v>70</v>
      </c>
      <c r="R6" s="33" t="s">
        <v>71</v>
      </c>
      <c r="S6" s="33" t="s">
        <v>72</v>
      </c>
      <c r="T6" s="33" t="s">
        <v>73</v>
      </c>
      <c r="U6" s="33" t="s">
        <v>74</v>
      </c>
      <c r="V6" s="33" t="s">
        <v>75</v>
      </c>
      <c r="W6" s="33" t="s">
        <v>76</v>
      </c>
      <c r="X6" s="33" t="s">
        <v>77</v>
      </c>
      <c r="Y6" s="33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3.8" hidden="false" customHeight="false" outlineLevel="0" collapsed="false">
      <c r="A7" s="34" t="n">
        <v>1</v>
      </c>
      <c r="B7" s="35" t="n">
        <v>5.4</v>
      </c>
      <c r="C7" s="35" t="n">
        <v>2</v>
      </c>
      <c r="D7" s="36" t="n">
        <v>40666</v>
      </c>
      <c r="E7" s="37" t="s">
        <v>80</v>
      </c>
      <c r="F7" s="38" t="s">
        <v>81</v>
      </c>
      <c r="G7" s="38" t="s">
        <v>82</v>
      </c>
      <c r="H7" s="39" t="s">
        <v>83</v>
      </c>
      <c r="I7" s="39" t="s">
        <v>84</v>
      </c>
      <c r="J7" s="39" t="n">
        <v>313</v>
      </c>
      <c r="K7" s="40" t="s">
        <v>85</v>
      </c>
      <c r="L7" s="39" t="n">
        <v>418</v>
      </c>
      <c r="M7" s="41" t="s">
        <v>85</v>
      </c>
      <c r="N7" s="42" t="s">
        <v>86</v>
      </c>
      <c r="O7" s="43" t="n">
        <v>34.8605</v>
      </c>
      <c r="P7" s="44" t="n">
        <v>0</v>
      </c>
      <c r="Q7" s="44" t="n">
        <v>0</v>
      </c>
      <c r="R7" s="45" t="n">
        <v>0</v>
      </c>
      <c r="S7" s="45" t="n">
        <v>0</v>
      </c>
      <c r="T7" s="45" t="n">
        <f aca="false">SUM(P7,R7)</f>
        <v>0</v>
      </c>
      <c r="U7" s="45" t="n">
        <f aca="false">SUM(Q7,S7)</f>
        <v>0</v>
      </c>
      <c r="V7" s="44" t="n">
        <v>0</v>
      </c>
      <c r="W7" s="44" t="n">
        <v>0</v>
      </c>
      <c r="X7" s="45" t="n">
        <v>1.5</v>
      </c>
      <c r="Y7" s="45" t="n">
        <v>1.5</v>
      </c>
      <c r="Z7" s="46" t="n">
        <v>0.0054</v>
      </c>
      <c r="AA7" s="46" t="n">
        <v>0.0105</v>
      </c>
      <c r="AB7" s="46" t="n">
        <v>0.0076</v>
      </c>
      <c r="AC7" s="46" t="n">
        <v>0.0055</v>
      </c>
      <c r="AD7" s="46" t="n">
        <v>0.0189</v>
      </c>
      <c r="AE7" s="47" t="n">
        <v>-99999</v>
      </c>
      <c r="AF7" s="47" t="n">
        <v>-99999</v>
      </c>
      <c r="AG7" s="47" t="n">
        <v>-99999</v>
      </c>
      <c r="AH7" s="46" t="n">
        <v>0.0238</v>
      </c>
      <c r="AI7" s="46" t="n">
        <v>0.0128</v>
      </c>
      <c r="AJ7" s="47" t="n">
        <v>-99999</v>
      </c>
      <c r="AK7" s="46" t="n">
        <v>0.0017</v>
      </c>
      <c r="AL7" s="46" t="n">
        <v>0.1137</v>
      </c>
      <c r="AM7" s="46"/>
      <c r="AN7" s="47" t="n">
        <v>-99999</v>
      </c>
      <c r="AO7" s="46" t="n">
        <v>0.0083</v>
      </c>
      <c r="AP7" s="46"/>
      <c r="AQ7" s="47" t="n">
        <v>-99999</v>
      </c>
      <c r="AR7" s="46" t="n">
        <v>0.0005</v>
      </c>
      <c r="AS7" s="46"/>
      <c r="AT7" s="46" t="n">
        <v>0.0717</v>
      </c>
      <c r="AU7" s="46" t="n">
        <v>0.1475</v>
      </c>
      <c r="AV7" s="46"/>
      <c r="AW7" s="47" t="n">
        <v>-99999</v>
      </c>
      <c r="AX7" s="47" t="n">
        <v>-99999</v>
      </c>
    </row>
    <row r="8" customFormat="false" ht="13.8" hidden="false" customHeight="false" outlineLevel="0" collapsed="false">
      <c r="A8" s="34" t="n">
        <f aca="false">A7+1</f>
        <v>2</v>
      </c>
      <c r="B8" s="35" t="n">
        <v>5.2</v>
      </c>
      <c r="C8" s="48" t="n">
        <v>1</v>
      </c>
      <c r="D8" s="36" t="n">
        <v>40667</v>
      </c>
      <c r="E8" s="37" t="s">
        <v>87</v>
      </c>
      <c r="F8" s="38" t="s">
        <v>88</v>
      </c>
      <c r="G8" s="38" t="s">
        <v>89</v>
      </c>
      <c r="H8" s="39" t="s">
        <v>90</v>
      </c>
      <c r="I8" s="39" t="s">
        <v>91</v>
      </c>
      <c r="J8" s="39" t="n">
        <v>314</v>
      </c>
      <c r="K8" s="49" t="s">
        <v>92</v>
      </c>
      <c r="L8" s="39" t="n">
        <v>419</v>
      </c>
      <c r="M8" s="41" t="s">
        <v>92</v>
      </c>
      <c r="N8" s="42" t="s">
        <v>93</v>
      </c>
      <c r="O8" s="43" t="n">
        <v>34.585</v>
      </c>
      <c r="P8" s="44" t="n">
        <v>0</v>
      </c>
      <c r="Q8" s="44" t="n">
        <v>0</v>
      </c>
      <c r="R8" s="45" t="n">
        <v>0</v>
      </c>
      <c r="S8" s="45" t="n">
        <v>0</v>
      </c>
      <c r="T8" s="45" t="n">
        <f aca="false">SUM(P8,R8)</f>
        <v>0</v>
      </c>
      <c r="U8" s="45" t="n">
        <f aca="false">SUM(Q8,S8)</f>
        <v>0</v>
      </c>
      <c r="V8" s="44" t="n">
        <v>0</v>
      </c>
      <c r="W8" s="44" t="n">
        <v>0</v>
      </c>
      <c r="X8" s="45" t="n">
        <v>0.9</v>
      </c>
      <c r="Y8" s="45" t="n">
        <v>0.9</v>
      </c>
      <c r="Z8" s="46" t="n">
        <v>0.0028</v>
      </c>
      <c r="AA8" s="46" t="n">
        <v>0.005</v>
      </c>
      <c r="AB8" s="46" t="n">
        <v>0.0038</v>
      </c>
      <c r="AC8" s="46" t="n">
        <v>0.0024</v>
      </c>
      <c r="AD8" s="46" t="n">
        <v>0.0061</v>
      </c>
      <c r="AE8" s="47" t="n">
        <v>-99999</v>
      </c>
      <c r="AF8" s="47" t="n">
        <v>-99999</v>
      </c>
      <c r="AG8" s="47" t="n">
        <v>-99999</v>
      </c>
      <c r="AH8" s="46" t="n">
        <v>0.0138</v>
      </c>
      <c r="AI8" s="46" t="n">
        <v>0.0059</v>
      </c>
      <c r="AJ8" s="47" t="n">
        <v>-99999</v>
      </c>
      <c r="AK8" s="46" t="n">
        <v>0.0007</v>
      </c>
      <c r="AL8" s="46" t="n">
        <v>0.0726</v>
      </c>
      <c r="AM8" s="46"/>
      <c r="AN8" s="47" t="n">
        <v>-99999</v>
      </c>
      <c r="AO8" s="46" t="n">
        <v>0.0048</v>
      </c>
      <c r="AP8" s="46"/>
      <c r="AQ8" s="47" t="n">
        <v>-99999</v>
      </c>
      <c r="AR8" s="47" t="n">
        <v>-99999</v>
      </c>
      <c r="AS8" s="47"/>
      <c r="AT8" s="46" t="n">
        <v>0.0692</v>
      </c>
      <c r="AU8" s="46" t="n">
        <v>0.0677</v>
      </c>
      <c r="AV8" s="46"/>
      <c r="AW8" s="47" t="n">
        <v>-99999</v>
      </c>
      <c r="AX8" s="47" t="n">
        <v>-99999</v>
      </c>
    </row>
    <row r="9" customFormat="false" ht="13.8" hidden="false" customHeight="false" outlineLevel="0" collapsed="false">
      <c r="A9" s="34" t="n">
        <f aca="false">A8+1</f>
        <v>3</v>
      </c>
      <c r="B9" s="35" t="n">
        <v>5</v>
      </c>
      <c r="C9" s="48" t="n">
        <v>0</v>
      </c>
      <c r="D9" s="36" t="n">
        <v>40667</v>
      </c>
      <c r="E9" s="37" t="s">
        <v>94</v>
      </c>
      <c r="F9" s="38" t="s">
        <v>95</v>
      </c>
      <c r="G9" s="38" t="s">
        <v>96</v>
      </c>
      <c r="H9" s="39" t="n">
        <v>34.523</v>
      </c>
      <c r="I9" s="39" t="n">
        <v>29.43</v>
      </c>
      <c r="J9" s="39" t="n">
        <v>315</v>
      </c>
      <c r="K9" s="41" t="s">
        <v>97</v>
      </c>
      <c r="L9" s="39" t="n">
        <v>420</v>
      </c>
      <c r="M9" s="41" t="s">
        <v>97</v>
      </c>
      <c r="N9" s="42" t="s">
        <v>93</v>
      </c>
      <c r="O9" s="43" t="n">
        <v>34.5306</v>
      </c>
      <c r="P9" s="44" t="n">
        <v>0</v>
      </c>
      <c r="Q9" s="44" t="n">
        <v>0</v>
      </c>
      <c r="R9" s="45" t="n">
        <v>0</v>
      </c>
      <c r="S9" s="45" t="n">
        <v>0</v>
      </c>
      <c r="T9" s="45" t="n">
        <f aca="false">SUM(P9,R9)</f>
        <v>0</v>
      </c>
      <c r="U9" s="45" t="n">
        <f aca="false">SUM(Q9,S9)</f>
        <v>0</v>
      </c>
      <c r="V9" s="44" t="n">
        <v>0</v>
      </c>
      <c r="W9" s="44" t="n">
        <v>0</v>
      </c>
      <c r="X9" s="45" t="n">
        <v>0.7</v>
      </c>
      <c r="Y9" s="45" t="n">
        <v>0.7</v>
      </c>
      <c r="Z9" s="46" t="n">
        <v>0.0075</v>
      </c>
      <c r="AA9" s="46" t="n">
        <v>0.0117</v>
      </c>
      <c r="AB9" s="46" t="n">
        <v>0.007</v>
      </c>
      <c r="AC9" s="46" t="n">
        <v>0.0068</v>
      </c>
      <c r="AD9" s="46" t="n">
        <v>0.0057</v>
      </c>
      <c r="AE9" s="47" t="n">
        <v>-99999</v>
      </c>
      <c r="AF9" s="47" t="n">
        <v>-99999</v>
      </c>
      <c r="AG9" s="47" t="n">
        <v>-99999</v>
      </c>
      <c r="AH9" s="46" t="n">
        <v>0.0319</v>
      </c>
      <c r="AI9" s="46" t="n">
        <v>0.007</v>
      </c>
      <c r="AJ9" s="47" t="n">
        <v>-99999</v>
      </c>
      <c r="AK9" s="47" t="n">
        <v>-99999</v>
      </c>
      <c r="AL9" s="46" t="n">
        <v>0.0474</v>
      </c>
      <c r="AM9" s="46"/>
      <c r="AN9" s="47" t="n">
        <v>-99999</v>
      </c>
      <c r="AO9" s="46" t="n">
        <v>0.0087</v>
      </c>
      <c r="AP9" s="46"/>
      <c r="AQ9" s="47" t="n">
        <v>-99999</v>
      </c>
      <c r="AR9" s="46" t="n">
        <v>0.0144</v>
      </c>
      <c r="AS9" s="46"/>
      <c r="AT9" s="46" t="n">
        <v>0.0703</v>
      </c>
      <c r="AU9" s="46" t="n">
        <v>0.1127</v>
      </c>
      <c r="AV9" s="46"/>
      <c r="AW9" s="47" t="n">
        <v>-99999</v>
      </c>
      <c r="AX9" s="47" t="n">
        <v>-99999</v>
      </c>
    </row>
    <row r="10" customFormat="false" ht="13.8" hidden="false" customHeight="false" outlineLevel="0" collapsed="false">
      <c r="A10" s="34" t="n">
        <f aca="false">A9+1</f>
        <v>4</v>
      </c>
      <c r="B10" s="35" t="n">
        <v>4.15</v>
      </c>
      <c r="C10" s="48" t="n">
        <v>-1</v>
      </c>
      <c r="D10" s="36" t="n">
        <v>40667</v>
      </c>
      <c r="E10" s="37" t="s">
        <v>98</v>
      </c>
      <c r="F10" s="38" t="s">
        <v>99</v>
      </c>
      <c r="G10" s="38" t="s">
        <v>100</v>
      </c>
      <c r="H10" s="39" t="s">
        <v>101</v>
      </c>
      <c r="I10" s="39" t="s">
        <v>102</v>
      </c>
      <c r="J10" s="39" t="n">
        <v>316</v>
      </c>
      <c r="K10" s="41" t="s">
        <v>103</v>
      </c>
      <c r="L10" s="39" t="n">
        <v>421</v>
      </c>
      <c r="M10" s="41" t="s">
        <v>103</v>
      </c>
      <c r="N10" s="42" t="s">
        <v>104</v>
      </c>
      <c r="O10" s="43" t="n">
        <v>34.39</v>
      </c>
      <c r="P10" s="44" t="n">
        <v>0</v>
      </c>
      <c r="Q10" s="44" t="n">
        <v>0</v>
      </c>
      <c r="R10" s="45" t="n">
        <v>0</v>
      </c>
      <c r="S10" s="45" t="n">
        <v>0</v>
      </c>
      <c r="T10" s="45" t="n">
        <f aca="false">SUM(P10,R10)</f>
        <v>0</v>
      </c>
      <c r="U10" s="45" t="n">
        <f aca="false">SUM(Q10,S10)</f>
        <v>0</v>
      </c>
      <c r="V10" s="44" t="n">
        <v>0</v>
      </c>
      <c r="W10" s="44" t="n">
        <v>0</v>
      </c>
      <c r="X10" s="45" t="n">
        <v>0.6</v>
      </c>
      <c r="Y10" s="45" t="n">
        <v>0.6</v>
      </c>
      <c r="Z10" s="46" t="n">
        <v>0.0087</v>
      </c>
      <c r="AA10" s="46" t="n">
        <v>0.0132</v>
      </c>
      <c r="AB10" s="46" t="n">
        <v>0.0084</v>
      </c>
      <c r="AC10" s="46" t="n">
        <v>0.0084</v>
      </c>
      <c r="AD10" s="46" t="n">
        <v>0.0068</v>
      </c>
      <c r="AE10" s="47" t="n">
        <v>-99999</v>
      </c>
      <c r="AF10" s="47" t="n">
        <v>-99999</v>
      </c>
      <c r="AG10" s="47" t="n">
        <v>-99999</v>
      </c>
      <c r="AH10" s="46" t="n">
        <v>0.0366</v>
      </c>
      <c r="AI10" s="46" t="n">
        <v>0.0073</v>
      </c>
      <c r="AJ10" s="47" t="n">
        <v>-99999</v>
      </c>
      <c r="AK10" s="46" t="n">
        <v>0.0009</v>
      </c>
      <c r="AL10" s="46" t="n">
        <v>0.1068</v>
      </c>
      <c r="AM10" s="46"/>
      <c r="AN10" s="47" t="n">
        <v>-99999</v>
      </c>
      <c r="AO10" s="46" t="n">
        <v>0.0117</v>
      </c>
      <c r="AP10" s="46"/>
      <c r="AQ10" s="47" t="n">
        <v>-99999</v>
      </c>
      <c r="AR10" s="47" t="n">
        <v>-99999</v>
      </c>
      <c r="AS10" s="47"/>
      <c r="AT10" s="46" t="n">
        <v>0.1629</v>
      </c>
      <c r="AU10" s="46" t="n">
        <v>0.1398</v>
      </c>
      <c r="AV10" s="46"/>
      <c r="AW10" s="46" t="n">
        <v>0.0025</v>
      </c>
      <c r="AX10" s="47" t="n">
        <v>-99999</v>
      </c>
    </row>
    <row r="11" customFormat="false" ht="13.8" hidden="false" customHeight="false" outlineLevel="0" collapsed="false">
      <c r="A11" s="34" t="n">
        <f aca="false">A10+1</f>
        <v>5</v>
      </c>
      <c r="B11" s="35" t="n">
        <v>3.3</v>
      </c>
      <c r="C11" s="48" t="n">
        <v>-2</v>
      </c>
      <c r="D11" s="36" t="n">
        <v>40668</v>
      </c>
      <c r="E11" s="37" t="s">
        <v>105</v>
      </c>
      <c r="F11" s="38" t="s">
        <v>106</v>
      </c>
      <c r="G11" s="38" t="s">
        <v>107</v>
      </c>
      <c r="H11" s="39" t="s">
        <v>108</v>
      </c>
      <c r="I11" s="39" t="s">
        <v>109</v>
      </c>
      <c r="J11" s="39" t="n">
        <v>317</v>
      </c>
      <c r="K11" s="41" t="s">
        <v>110</v>
      </c>
      <c r="L11" s="39" t="n">
        <v>422</v>
      </c>
      <c r="M11" s="41" t="s">
        <v>110</v>
      </c>
      <c r="N11" s="42" t="s">
        <v>111</v>
      </c>
      <c r="O11" s="43" t="n">
        <v>34.5725</v>
      </c>
      <c r="P11" s="44" t="n">
        <v>0</v>
      </c>
      <c r="Q11" s="44" t="n">
        <v>0</v>
      </c>
      <c r="R11" s="45" t="n">
        <v>0</v>
      </c>
      <c r="S11" s="45" t="n">
        <v>0</v>
      </c>
      <c r="T11" s="45" t="n">
        <f aca="false">SUM(P11,R11)</f>
        <v>0</v>
      </c>
      <c r="U11" s="45" t="n">
        <f aca="false">SUM(Q11,S11)</f>
        <v>0</v>
      </c>
      <c r="V11" s="44" t="n">
        <v>0</v>
      </c>
      <c r="W11" s="44" t="n">
        <v>0</v>
      </c>
      <c r="X11" s="45" t="n">
        <v>0.6</v>
      </c>
      <c r="Y11" s="45" t="n">
        <v>0.6</v>
      </c>
      <c r="Z11" s="46" t="n">
        <v>0.007</v>
      </c>
      <c r="AA11" s="46" t="n">
        <v>0.0117</v>
      </c>
      <c r="AB11" s="46" t="n">
        <v>0.0086</v>
      </c>
      <c r="AC11" s="46" t="n">
        <v>0.0073</v>
      </c>
      <c r="AD11" s="46" t="n">
        <v>0.0062</v>
      </c>
      <c r="AE11" s="47" t="n">
        <v>-99999</v>
      </c>
      <c r="AF11" s="47" t="n">
        <v>-99999</v>
      </c>
      <c r="AG11" s="47" t="n">
        <v>-99999</v>
      </c>
      <c r="AH11" s="46" t="n">
        <v>0.0271</v>
      </c>
      <c r="AI11" s="46" t="n">
        <v>0.0056</v>
      </c>
      <c r="AJ11" s="47" t="n">
        <v>-99999</v>
      </c>
      <c r="AK11" s="47" t="n">
        <v>-99999</v>
      </c>
      <c r="AL11" s="46" t="n">
        <v>0.0846</v>
      </c>
      <c r="AM11" s="46"/>
      <c r="AN11" s="47" t="n">
        <v>-99999</v>
      </c>
      <c r="AO11" s="46" t="n">
        <v>0.0098</v>
      </c>
      <c r="AP11" s="46"/>
      <c r="AQ11" s="47" t="n">
        <v>-99999</v>
      </c>
      <c r="AR11" s="47" t="n">
        <v>-99999</v>
      </c>
      <c r="AS11" s="47"/>
      <c r="AT11" s="46" t="n">
        <v>0.1694</v>
      </c>
      <c r="AU11" s="46" t="n">
        <v>0.0997</v>
      </c>
      <c r="AV11" s="46"/>
      <c r="AW11" s="47" t="n">
        <v>-99999</v>
      </c>
      <c r="AX11" s="47" t="n">
        <v>-99999</v>
      </c>
    </row>
    <row r="12" customFormat="false" ht="13.8" hidden="false" customHeight="false" outlineLevel="0" collapsed="false">
      <c r="A12" s="34" t="n">
        <f aca="false">A11+1</f>
        <v>6</v>
      </c>
      <c r="B12" s="35" t="n">
        <v>1.3</v>
      </c>
      <c r="C12" s="35" t="n">
        <v>-4</v>
      </c>
      <c r="D12" s="36" t="n">
        <v>40668</v>
      </c>
      <c r="E12" s="37" t="s">
        <v>112</v>
      </c>
      <c r="F12" s="38" t="s">
        <v>113</v>
      </c>
      <c r="G12" s="38" t="s">
        <v>114</v>
      </c>
      <c r="H12" s="39" t="s">
        <v>115</v>
      </c>
      <c r="I12" s="39" t="s">
        <v>116</v>
      </c>
      <c r="J12" s="39" t="n">
        <v>318</v>
      </c>
      <c r="K12" s="41" t="s">
        <v>117</v>
      </c>
      <c r="L12" s="39" t="n">
        <v>424</v>
      </c>
      <c r="M12" s="41" t="s">
        <v>117</v>
      </c>
      <c r="N12" s="42" t="s">
        <v>118</v>
      </c>
      <c r="O12" s="43" t="n">
        <v>34.042</v>
      </c>
      <c r="P12" s="44" t="n">
        <v>0</v>
      </c>
      <c r="Q12" s="44" t="n">
        <v>0</v>
      </c>
      <c r="R12" s="45" t="n">
        <v>0</v>
      </c>
      <c r="S12" s="45" t="n">
        <v>0</v>
      </c>
      <c r="T12" s="45" t="n">
        <f aca="false">SUM(P12,R12)</f>
        <v>0</v>
      </c>
      <c r="U12" s="45" t="n">
        <f aca="false">SUM(Q12,S12)</f>
        <v>0</v>
      </c>
      <c r="V12" s="44" t="n">
        <v>0</v>
      </c>
      <c r="W12" s="44" t="n">
        <v>0</v>
      </c>
      <c r="X12" s="45" t="n">
        <v>0.6</v>
      </c>
      <c r="Y12" s="45" t="n">
        <v>0.6</v>
      </c>
      <c r="Z12" s="46" t="n">
        <v>0.0026</v>
      </c>
      <c r="AA12" s="46" t="n">
        <v>0.0061</v>
      </c>
      <c r="AB12" s="46" t="n">
        <v>0.0049</v>
      </c>
      <c r="AC12" s="46" t="n">
        <v>0.0036</v>
      </c>
      <c r="AD12" s="46" t="n">
        <v>0.0054</v>
      </c>
      <c r="AE12" s="47" t="n">
        <v>-99999</v>
      </c>
      <c r="AF12" s="47" t="n">
        <v>-99999</v>
      </c>
      <c r="AG12" s="47" t="n">
        <v>-99999</v>
      </c>
      <c r="AH12" s="46" t="n">
        <v>0.0136</v>
      </c>
      <c r="AI12" s="46" t="n">
        <v>0.0059</v>
      </c>
      <c r="AJ12" s="47" t="n">
        <v>-99999</v>
      </c>
      <c r="AK12" s="46" t="n">
        <v>0.0014</v>
      </c>
      <c r="AL12" s="46" t="n">
        <v>0.0954</v>
      </c>
      <c r="AM12" s="46"/>
      <c r="AN12" s="47" t="n">
        <v>-99999</v>
      </c>
      <c r="AO12" s="46" t="n">
        <v>0.0047</v>
      </c>
      <c r="AP12" s="46"/>
      <c r="AQ12" s="47" t="n">
        <v>-99999</v>
      </c>
      <c r="AR12" s="47" t="n">
        <v>-99999</v>
      </c>
      <c r="AS12" s="47"/>
      <c r="AT12" s="46" t="n">
        <v>0.0947</v>
      </c>
      <c r="AU12" s="46" t="n">
        <v>0.0613</v>
      </c>
      <c r="AV12" s="46"/>
      <c r="AW12" s="47" t="n">
        <v>-99999</v>
      </c>
      <c r="AX12" s="47" t="n">
        <v>-99999</v>
      </c>
    </row>
    <row r="13" customFormat="false" ht="13.8" hidden="false" customHeight="false" outlineLevel="0" collapsed="false">
      <c r="A13" s="34" t="n">
        <f aca="false">A12+1</f>
        <v>7</v>
      </c>
      <c r="B13" s="35" t="n">
        <v>1.3</v>
      </c>
      <c r="C13" s="35" t="n">
        <v>-5</v>
      </c>
      <c r="D13" s="36" t="n">
        <v>40669</v>
      </c>
      <c r="E13" s="37" t="s">
        <v>119</v>
      </c>
      <c r="F13" s="38" t="s">
        <v>113</v>
      </c>
      <c r="G13" s="38" t="s">
        <v>120</v>
      </c>
      <c r="H13" s="39" t="s">
        <v>121</v>
      </c>
      <c r="I13" s="39" t="s">
        <v>122</v>
      </c>
      <c r="J13" s="39" t="n">
        <v>319</v>
      </c>
      <c r="K13" s="41" t="s">
        <v>123</v>
      </c>
      <c r="L13" s="39" t="n">
        <v>425</v>
      </c>
      <c r="M13" s="41" t="s">
        <v>123</v>
      </c>
      <c r="N13" s="42" t="s">
        <v>124</v>
      </c>
      <c r="O13" s="43" t="n">
        <v>34.1829</v>
      </c>
      <c r="P13" s="44" t="n">
        <v>0</v>
      </c>
      <c r="Q13" s="44" t="n">
        <v>0</v>
      </c>
      <c r="R13" s="45" t="n">
        <v>0</v>
      </c>
      <c r="S13" s="45" t="n">
        <v>0</v>
      </c>
      <c r="T13" s="45" t="n">
        <f aca="false">SUM(P13,R13)</f>
        <v>0</v>
      </c>
      <c r="U13" s="45" t="n">
        <f aca="false">SUM(Q13,S13)</f>
        <v>0</v>
      </c>
      <c r="V13" s="44" t="n">
        <v>0</v>
      </c>
      <c r="W13" s="44" t="n">
        <v>0</v>
      </c>
      <c r="X13" s="45" t="n">
        <v>0.7</v>
      </c>
      <c r="Y13" s="45" t="n">
        <v>0.7</v>
      </c>
      <c r="Z13" s="46" t="n">
        <v>0.0028</v>
      </c>
      <c r="AA13" s="46" t="n">
        <v>0.0051</v>
      </c>
      <c r="AB13" s="46" t="n">
        <v>0.0047</v>
      </c>
      <c r="AC13" s="46" t="n">
        <v>0.0038</v>
      </c>
      <c r="AD13" s="46" t="n">
        <v>0.0041</v>
      </c>
      <c r="AE13" s="47" t="n">
        <v>-99999</v>
      </c>
      <c r="AF13" s="47" t="n">
        <v>-99999</v>
      </c>
      <c r="AG13" s="47" t="n">
        <v>-99999</v>
      </c>
      <c r="AH13" s="46" t="n">
        <v>0.0151</v>
      </c>
      <c r="AI13" s="46" t="n">
        <v>0.0056</v>
      </c>
      <c r="AJ13" s="47" t="n">
        <v>-99999</v>
      </c>
      <c r="AK13" s="47" t="n">
        <v>-99999</v>
      </c>
      <c r="AL13" s="46" t="n">
        <v>0.091</v>
      </c>
      <c r="AM13" s="46"/>
      <c r="AN13" s="47" t="n">
        <v>-99999</v>
      </c>
      <c r="AO13" s="46" t="n">
        <v>0.0052</v>
      </c>
      <c r="AP13" s="46"/>
      <c r="AQ13" s="47" t="n">
        <v>-99999</v>
      </c>
      <c r="AR13" s="47" t="n">
        <v>-99999</v>
      </c>
      <c r="AS13" s="47"/>
      <c r="AT13" s="46" t="n">
        <v>0.0814</v>
      </c>
      <c r="AU13" s="46" t="n">
        <v>0.0532</v>
      </c>
      <c r="AV13" s="46"/>
      <c r="AW13" s="47" t="n">
        <v>-99999</v>
      </c>
      <c r="AX13" s="47" t="n">
        <v>-99999</v>
      </c>
    </row>
    <row r="14" customFormat="false" ht="13.8" hidden="false" customHeight="false" outlineLevel="0" collapsed="false">
      <c r="A14" s="34" t="n">
        <f aca="false">A13+1</f>
        <v>8</v>
      </c>
      <c r="B14" s="35" t="n">
        <v>1.3</v>
      </c>
      <c r="C14" s="35" t="n">
        <v>-6</v>
      </c>
      <c r="D14" s="36" t="n">
        <v>40669</v>
      </c>
      <c r="E14" s="37" t="s">
        <v>125</v>
      </c>
      <c r="F14" s="38" t="s">
        <v>113</v>
      </c>
      <c r="G14" s="38" t="s">
        <v>126</v>
      </c>
      <c r="H14" s="39" t="s">
        <v>127</v>
      </c>
      <c r="I14" s="39" t="n">
        <v>29.42</v>
      </c>
      <c r="J14" s="39" t="n">
        <v>320</v>
      </c>
      <c r="K14" s="41" t="s">
        <v>128</v>
      </c>
      <c r="L14" s="39" t="n">
        <v>426</v>
      </c>
      <c r="M14" s="41" t="s">
        <v>128</v>
      </c>
      <c r="N14" s="42" t="s">
        <v>124</v>
      </c>
      <c r="O14" s="43" t="n">
        <v>34.2005</v>
      </c>
      <c r="P14" s="44" t="n">
        <v>0</v>
      </c>
      <c r="Q14" s="44" t="n">
        <v>0</v>
      </c>
      <c r="R14" s="45" t="n">
        <v>0</v>
      </c>
      <c r="S14" s="45" t="n">
        <v>0</v>
      </c>
      <c r="T14" s="45" t="n">
        <f aca="false">SUM(P14,R14)</f>
        <v>0</v>
      </c>
      <c r="U14" s="45" t="n">
        <f aca="false">SUM(Q14,S14)</f>
        <v>0</v>
      </c>
      <c r="V14" s="44" t="n">
        <v>0</v>
      </c>
      <c r="W14" s="44" t="n">
        <v>0</v>
      </c>
      <c r="X14" s="45" t="n">
        <v>0.6</v>
      </c>
      <c r="Y14" s="45" t="n">
        <v>0.6</v>
      </c>
      <c r="Z14" s="46" t="n">
        <v>0.0035</v>
      </c>
      <c r="AA14" s="46" t="n">
        <v>0.0083</v>
      </c>
      <c r="AB14" s="46" t="n">
        <v>0.0043</v>
      </c>
      <c r="AC14" s="46" t="n">
        <v>0.0052</v>
      </c>
      <c r="AD14" s="46" t="n">
        <v>0.0048</v>
      </c>
      <c r="AE14" s="47" t="n">
        <v>-99999</v>
      </c>
      <c r="AF14" s="47" t="n">
        <v>-99999</v>
      </c>
      <c r="AG14" s="47" t="n">
        <v>-99999</v>
      </c>
      <c r="AH14" s="46" t="n">
        <v>0.0196</v>
      </c>
      <c r="AI14" s="46" t="n">
        <v>0.007</v>
      </c>
      <c r="AJ14" s="47" t="n">
        <v>-99999</v>
      </c>
      <c r="AK14" s="47" t="n">
        <v>-99999</v>
      </c>
      <c r="AL14" s="46" t="n">
        <v>0.0872</v>
      </c>
      <c r="AM14" s="46"/>
      <c r="AN14" s="47" t="n">
        <v>-99999</v>
      </c>
      <c r="AO14" s="46" t="n">
        <v>0.0064</v>
      </c>
      <c r="AP14" s="46"/>
      <c r="AQ14" s="47" t="n">
        <v>-99999</v>
      </c>
      <c r="AR14" s="47" t="n">
        <v>-99999</v>
      </c>
      <c r="AS14" s="47"/>
      <c r="AT14" s="46" t="n">
        <v>0.1162</v>
      </c>
      <c r="AU14" s="46" t="n">
        <v>0.0732</v>
      </c>
      <c r="AV14" s="46"/>
      <c r="AW14" s="47" t="n">
        <v>-99999</v>
      </c>
      <c r="AX14" s="47" t="n">
        <v>-99999</v>
      </c>
    </row>
    <row r="15" customFormat="false" ht="13.8" hidden="false" customHeight="false" outlineLevel="0" collapsed="false">
      <c r="A15" s="34" t="n">
        <f aca="false">A14+1</f>
        <v>9</v>
      </c>
      <c r="B15" s="35" t="n">
        <v>1.3</v>
      </c>
      <c r="C15" s="35" t="n">
        <v>-7</v>
      </c>
      <c r="D15" s="36" t="n">
        <v>40669</v>
      </c>
      <c r="E15" s="37" t="s">
        <v>129</v>
      </c>
      <c r="F15" s="38" t="s">
        <v>113</v>
      </c>
      <c r="G15" s="38" t="s">
        <v>130</v>
      </c>
      <c r="H15" s="39" t="s">
        <v>131</v>
      </c>
      <c r="I15" s="39" t="n">
        <v>29.52</v>
      </c>
      <c r="J15" s="39" t="n">
        <v>321</v>
      </c>
      <c r="K15" s="41" t="s">
        <v>132</v>
      </c>
      <c r="L15" s="39" t="n">
        <v>427</v>
      </c>
      <c r="M15" s="41" t="s">
        <v>132</v>
      </c>
      <c r="N15" s="42" t="s">
        <v>124</v>
      </c>
      <c r="O15" s="43" t="n">
        <v>34.2057</v>
      </c>
      <c r="P15" s="44" t="n">
        <v>0</v>
      </c>
      <c r="Q15" s="44" t="n">
        <v>0</v>
      </c>
      <c r="R15" s="45" t="n">
        <v>0</v>
      </c>
      <c r="S15" s="45" t="n">
        <v>0</v>
      </c>
      <c r="T15" s="45" t="n">
        <f aca="false">SUM(P15,R15)</f>
        <v>0</v>
      </c>
      <c r="U15" s="45" t="n">
        <f aca="false">SUM(Q15,S15)</f>
        <v>0</v>
      </c>
      <c r="V15" s="44" t="n">
        <v>0</v>
      </c>
      <c r="W15" s="44" t="n">
        <v>0</v>
      </c>
      <c r="X15" s="45" t="n">
        <v>0.7</v>
      </c>
      <c r="Y15" s="45" t="n">
        <v>0.7</v>
      </c>
      <c r="Z15" s="46" t="n">
        <v>0.0023</v>
      </c>
      <c r="AA15" s="46" t="n">
        <v>0.0049</v>
      </c>
      <c r="AB15" s="46" t="n">
        <v>0.0023</v>
      </c>
      <c r="AC15" s="46" t="n">
        <v>0.0039</v>
      </c>
      <c r="AD15" s="46" t="n">
        <v>0.0037</v>
      </c>
      <c r="AE15" s="47" t="n">
        <v>-99999</v>
      </c>
      <c r="AF15" s="47" t="n">
        <v>-99999</v>
      </c>
      <c r="AG15" s="47" t="n">
        <v>-99999</v>
      </c>
      <c r="AH15" s="46" t="n">
        <v>0.014</v>
      </c>
      <c r="AI15" s="46" t="n">
        <v>0.0083</v>
      </c>
      <c r="AJ15" s="47" t="n">
        <v>-99999</v>
      </c>
      <c r="AK15" s="46" t="n">
        <v>0.0059</v>
      </c>
      <c r="AL15" s="46" t="n">
        <v>0.0827</v>
      </c>
      <c r="AM15" s="46"/>
      <c r="AN15" s="47" t="n">
        <v>-99999</v>
      </c>
      <c r="AO15" s="46" t="n">
        <v>0.0044</v>
      </c>
      <c r="AP15" s="46"/>
      <c r="AQ15" s="47" t="n">
        <v>-99999</v>
      </c>
      <c r="AR15" s="47" t="n">
        <v>-99999</v>
      </c>
      <c r="AS15" s="47"/>
      <c r="AT15" s="46" t="n">
        <v>0.0799</v>
      </c>
      <c r="AU15" s="46" t="n">
        <v>0.0562</v>
      </c>
      <c r="AV15" s="46"/>
      <c r="AW15" s="47" t="n">
        <v>-99999</v>
      </c>
      <c r="AX15" s="47" t="n">
        <v>-99999</v>
      </c>
    </row>
    <row r="16" customFormat="false" ht="13.8" hidden="false" customHeight="false" outlineLevel="0" collapsed="false">
      <c r="A16" s="34" t="n">
        <f aca="false">A15+1</f>
        <v>10</v>
      </c>
      <c r="B16" s="35" t="n">
        <v>1.3</v>
      </c>
      <c r="C16" s="35" t="n">
        <v>-8</v>
      </c>
      <c r="D16" s="36" t="n">
        <v>40669</v>
      </c>
      <c r="E16" s="37" t="s">
        <v>133</v>
      </c>
      <c r="F16" s="38" t="s">
        <v>113</v>
      </c>
      <c r="G16" s="38" t="s">
        <v>134</v>
      </c>
      <c r="H16" s="39" t="s">
        <v>135</v>
      </c>
      <c r="I16" s="39" t="s">
        <v>84</v>
      </c>
      <c r="J16" s="39" t="n">
        <v>322</v>
      </c>
      <c r="K16" s="41" t="s">
        <v>136</v>
      </c>
      <c r="L16" s="39" t="n">
        <v>428</v>
      </c>
      <c r="M16" s="41" t="s">
        <v>136</v>
      </c>
      <c r="N16" s="42" t="s">
        <v>118</v>
      </c>
      <c r="O16" s="43" t="n">
        <v>34.1758</v>
      </c>
      <c r="P16" s="44" t="n">
        <v>0</v>
      </c>
      <c r="Q16" s="44" t="n">
        <v>0</v>
      </c>
      <c r="R16" s="45" t="n">
        <v>0</v>
      </c>
      <c r="S16" s="45" t="n">
        <v>0</v>
      </c>
      <c r="T16" s="45" t="n">
        <f aca="false">SUM(P16,R16)</f>
        <v>0</v>
      </c>
      <c r="U16" s="45" t="n">
        <f aca="false">SUM(Q16,S16)</f>
        <v>0</v>
      </c>
      <c r="V16" s="44" t="n">
        <v>0</v>
      </c>
      <c r="W16" s="44" t="n">
        <v>0</v>
      </c>
      <c r="X16" s="45" t="n">
        <v>0.7</v>
      </c>
      <c r="Y16" s="45" t="n">
        <v>0.7</v>
      </c>
      <c r="Z16" s="46" t="n">
        <v>0.0029</v>
      </c>
      <c r="AA16" s="46" t="n">
        <v>0.0065</v>
      </c>
      <c r="AB16" s="46" t="n">
        <v>0.003</v>
      </c>
      <c r="AC16" s="46" t="n">
        <v>0.0058</v>
      </c>
      <c r="AD16" s="46" t="n">
        <v>0.0056</v>
      </c>
      <c r="AE16" s="47" t="n">
        <v>-99999</v>
      </c>
      <c r="AF16" s="47" t="n">
        <v>-99999</v>
      </c>
      <c r="AG16" s="47" t="n">
        <v>-99999</v>
      </c>
      <c r="AH16" s="46" t="n">
        <v>0.0161</v>
      </c>
      <c r="AI16" s="46" t="n">
        <v>0.0068</v>
      </c>
      <c r="AJ16" s="47" t="n">
        <v>-99999</v>
      </c>
      <c r="AK16" s="46" t="n">
        <v>0.0014</v>
      </c>
      <c r="AL16" s="46" t="n">
        <v>0.1058</v>
      </c>
      <c r="AM16" s="46"/>
      <c r="AN16" s="47" t="n">
        <v>-99999</v>
      </c>
      <c r="AO16" s="46" t="n">
        <v>0.0056</v>
      </c>
      <c r="AP16" s="46"/>
      <c r="AQ16" s="47" t="n">
        <v>-99999</v>
      </c>
      <c r="AR16" s="47" t="n">
        <v>-99999</v>
      </c>
      <c r="AS16" s="47"/>
      <c r="AT16" s="46" t="n">
        <v>0.0938</v>
      </c>
      <c r="AU16" s="46" t="n">
        <v>0.0625</v>
      </c>
      <c r="AV16" s="46"/>
      <c r="AW16" s="47" t="n">
        <v>-99999</v>
      </c>
      <c r="AX16" s="47" t="n">
        <v>-99999</v>
      </c>
    </row>
    <row r="17" customFormat="false" ht="13.8" hidden="false" customHeight="false" outlineLevel="0" collapsed="false">
      <c r="A17" s="34" t="n">
        <f aca="false">A16+1</f>
        <v>11</v>
      </c>
      <c r="B17" s="35" t="n">
        <v>1.3</v>
      </c>
      <c r="C17" s="35" t="n">
        <v>-9</v>
      </c>
      <c r="D17" s="36" t="n">
        <v>40669</v>
      </c>
      <c r="E17" s="37" t="s">
        <v>137</v>
      </c>
      <c r="F17" s="38" t="s">
        <v>113</v>
      </c>
      <c r="G17" s="38" t="s">
        <v>138</v>
      </c>
      <c r="H17" s="39" t="s">
        <v>139</v>
      </c>
      <c r="I17" s="39" t="s">
        <v>140</v>
      </c>
      <c r="J17" s="39" t="n">
        <v>323</v>
      </c>
      <c r="K17" s="41" t="s">
        <v>141</v>
      </c>
      <c r="L17" s="39" t="n">
        <v>429</v>
      </c>
      <c r="M17" s="41" t="s">
        <v>141</v>
      </c>
      <c r="N17" s="42" t="s">
        <v>118</v>
      </c>
      <c r="O17" s="43" t="n">
        <v>34.3954</v>
      </c>
      <c r="P17" s="44" t="n">
        <v>0</v>
      </c>
      <c r="Q17" s="44" t="n">
        <v>0</v>
      </c>
      <c r="R17" s="45" t="n">
        <v>0</v>
      </c>
      <c r="S17" s="45" t="n">
        <v>0</v>
      </c>
      <c r="T17" s="45" t="n">
        <f aca="false">SUM(P17,R17)</f>
        <v>0</v>
      </c>
      <c r="U17" s="45" t="n">
        <f aca="false">SUM(Q17,S17)</f>
        <v>0</v>
      </c>
      <c r="V17" s="44" t="n">
        <v>0</v>
      </c>
      <c r="W17" s="44" t="n">
        <v>0</v>
      </c>
      <c r="X17" s="45" t="n">
        <v>0.7</v>
      </c>
      <c r="Y17" s="45" t="n">
        <v>0.7</v>
      </c>
      <c r="Z17" s="46" t="n">
        <v>0.0034</v>
      </c>
      <c r="AA17" s="46" t="n">
        <v>0.0068</v>
      </c>
      <c r="AB17" s="46" t="n">
        <v>0.005</v>
      </c>
      <c r="AC17" s="46" t="n">
        <v>0.0057</v>
      </c>
      <c r="AD17" s="46" t="n">
        <v>0.0063</v>
      </c>
      <c r="AE17" s="47" t="n">
        <v>-99999</v>
      </c>
      <c r="AF17" s="47" t="n">
        <v>-99999</v>
      </c>
      <c r="AG17" s="47" t="n">
        <v>-99999</v>
      </c>
      <c r="AH17" s="46" t="n">
        <v>0.0158</v>
      </c>
      <c r="AI17" s="46" t="n">
        <v>0.0063</v>
      </c>
      <c r="AJ17" s="47" t="n">
        <v>-99999</v>
      </c>
      <c r="AK17" s="47" t="n">
        <v>-99999</v>
      </c>
      <c r="AL17" s="46" t="n">
        <v>0.0935</v>
      </c>
      <c r="AM17" s="46"/>
      <c r="AN17" s="47" t="n">
        <v>-99999</v>
      </c>
      <c r="AO17" s="46" t="n">
        <v>0.0076</v>
      </c>
      <c r="AP17" s="46"/>
      <c r="AQ17" s="47" t="n">
        <v>-99999</v>
      </c>
      <c r="AR17" s="47" t="n">
        <v>-99999</v>
      </c>
      <c r="AS17" s="47"/>
      <c r="AT17" s="46" t="n">
        <v>0.0883</v>
      </c>
      <c r="AU17" s="46" t="n">
        <v>0.0654</v>
      </c>
      <c r="AV17" s="46"/>
      <c r="AW17" s="47" t="n">
        <v>-99999</v>
      </c>
      <c r="AX17" s="47" t="n">
        <v>-99999</v>
      </c>
    </row>
    <row r="18" customFormat="false" ht="13.8" hidden="false" customHeight="false" outlineLevel="0" collapsed="false">
      <c r="A18" s="50" t="n">
        <v>12</v>
      </c>
      <c r="B18" s="35" t="n">
        <v>-9</v>
      </c>
      <c r="C18" s="35" t="n">
        <v>-9</v>
      </c>
      <c r="D18" s="36" t="n">
        <v>40676</v>
      </c>
      <c r="E18" s="51" t="s">
        <v>142</v>
      </c>
      <c r="F18" s="52" t="s">
        <v>143</v>
      </c>
      <c r="G18" s="52" t="s">
        <v>144</v>
      </c>
      <c r="H18" s="52" t="n">
        <v>36.405</v>
      </c>
      <c r="I18" s="52" t="n">
        <v>27.43</v>
      </c>
      <c r="J18" s="52" t="n">
        <v>248</v>
      </c>
      <c r="K18" s="52" t="s">
        <v>145</v>
      </c>
      <c r="L18" s="52" t="n">
        <v>443</v>
      </c>
      <c r="M18" s="52" t="s">
        <v>145</v>
      </c>
      <c r="N18" s="52"/>
      <c r="O18" s="52" t="n">
        <v>36.4155</v>
      </c>
      <c r="P18" s="44" t="n">
        <v>0</v>
      </c>
      <c r="Q18" s="44" t="n">
        <v>0</v>
      </c>
      <c r="R18" s="45" t="n">
        <v>0</v>
      </c>
      <c r="S18" s="45" t="n">
        <v>0</v>
      </c>
      <c r="T18" s="45" t="n">
        <f aca="false">SUM(P18,R18)</f>
        <v>0</v>
      </c>
      <c r="U18" s="45" t="n">
        <f aca="false">SUM(Q18,S18)</f>
        <v>0</v>
      </c>
      <c r="V18" s="44" t="n">
        <v>0.07</v>
      </c>
      <c r="W18" s="44" t="n">
        <v>0.07</v>
      </c>
      <c r="X18" s="45" t="n">
        <v>0.6</v>
      </c>
      <c r="Y18" s="45" t="n">
        <v>0.6</v>
      </c>
      <c r="Z18" s="46" t="n">
        <v>0.0019</v>
      </c>
      <c r="AA18" s="46" t="n">
        <v>0.0042</v>
      </c>
      <c r="AB18" s="46" t="n">
        <v>0.0014</v>
      </c>
      <c r="AC18" s="46" t="n">
        <v>0.0032</v>
      </c>
      <c r="AD18" s="46" t="n">
        <v>0.0037</v>
      </c>
      <c r="AE18" s="47" t="n">
        <v>-99999</v>
      </c>
      <c r="AF18" s="47" t="n">
        <v>-99999</v>
      </c>
      <c r="AG18" s="47" t="n">
        <v>-99999</v>
      </c>
      <c r="AH18" s="46" t="n">
        <v>0.0108</v>
      </c>
      <c r="AI18" s="46" t="n">
        <v>0.0032</v>
      </c>
      <c r="AJ18" s="47" t="n">
        <v>-99999</v>
      </c>
      <c r="AK18" s="46" t="n">
        <v>0.0006</v>
      </c>
      <c r="AL18" s="46" t="n">
        <v>0.074</v>
      </c>
      <c r="AM18" s="46"/>
      <c r="AN18" s="47" t="n">
        <v>-99999</v>
      </c>
      <c r="AO18" s="46" t="n">
        <v>0.0037</v>
      </c>
      <c r="AP18" s="46"/>
      <c r="AQ18" s="47" t="n">
        <v>-99999</v>
      </c>
      <c r="AR18" s="47" t="n">
        <v>-99999</v>
      </c>
      <c r="AS18" s="47"/>
      <c r="AT18" s="46" t="n">
        <v>0.0686</v>
      </c>
      <c r="AU18" s="46" t="n">
        <v>0.0368</v>
      </c>
      <c r="AV18" s="46"/>
      <c r="AW18" s="47" t="n">
        <v>-99999</v>
      </c>
      <c r="AX18" s="47" t="n">
        <v>-99999</v>
      </c>
    </row>
    <row r="19" customFormat="false" ht="13.8" hidden="false" customHeight="false" outlineLevel="0" collapsed="false">
      <c r="A19" s="50" t="n">
        <v>13</v>
      </c>
      <c r="B19" s="35" t="n">
        <v>-8</v>
      </c>
      <c r="C19" s="35" t="n">
        <v>-8</v>
      </c>
      <c r="D19" s="36" t="n">
        <v>40677</v>
      </c>
      <c r="E19" s="51" t="s">
        <v>146</v>
      </c>
      <c r="F19" s="52" t="s">
        <v>147</v>
      </c>
      <c r="G19" s="52" t="s">
        <v>148</v>
      </c>
      <c r="H19" s="52" t="n">
        <v>36.155</v>
      </c>
      <c r="I19" s="52" t="n">
        <v>27.745</v>
      </c>
      <c r="J19" s="52" t="s">
        <v>149</v>
      </c>
      <c r="K19" s="52" t="s">
        <v>150</v>
      </c>
      <c r="L19" s="52" t="n">
        <v>449</v>
      </c>
      <c r="M19" s="52" t="s">
        <v>150</v>
      </c>
      <c r="N19" s="52"/>
      <c r="O19" s="52" t="n">
        <v>36.1623</v>
      </c>
      <c r="P19" s="44" t="n">
        <v>0</v>
      </c>
      <c r="Q19" s="44" t="n">
        <v>0</v>
      </c>
      <c r="R19" s="45" t="n">
        <v>0</v>
      </c>
      <c r="S19" s="45" t="n">
        <v>0</v>
      </c>
      <c r="T19" s="45" t="n">
        <f aca="false">SUM(P19,R19)</f>
        <v>0</v>
      </c>
      <c r="U19" s="45" t="n">
        <f aca="false">SUM(Q19,S19)</f>
        <v>0</v>
      </c>
      <c r="V19" s="44" t="n">
        <v>0.06</v>
      </c>
      <c r="W19" s="44" t="n">
        <v>0.06</v>
      </c>
      <c r="X19" s="45" t="n">
        <v>0.6</v>
      </c>
      <c r="Y19" s="45" t="n">
        <v>0.5</v>
      </c>
      <c r="Z19" s="46" t="n">
        <v>0.0043</v>
      </c>
      <c r="AA19" s="46" t="n">
        <v>0.0068</v>
      </c>
      <c r="AB19" s="46" t="n">
        <v>0.0018</v>
      </c>
      <c r="AC19" s="46" t="n">
        <v>0.0055</v>
      </c>
      <c r="AD19" s="46" t="n">
        <v>0.0033</v>
      </c>
      <c r="AE19" s="47" t="n">
        <v>-99999</v>
      </c>
      <c r="AF19" s="47" t="n">
        <v>-99999</v>
      </c>
      <c r="AG19" s="47" t="n">
        <v>-99999</v>
      </c>
      <c r="AH19" s="46" t="n">
        <v>0.0185</v>
      </c>
      <c r="AI19" s="46" t="n">
        <v>0.0035</v>
      </c>
      <c r="AJ19" s="47" t="n">
        <v>-99999</v>
      </c>
      <c r="AK19" s="47" t="n">
        <v>-99999</v>
      </c>
      <c r="AL19" s="46" t="n">
        <v>0.0702</v>
      </c>
      <c r="AM19" s="46"/>
      <c r="AN19" s="47" t="n">
        <v>-99999</v>
      </c>
      <c r="AO19" s="46" t="n">
        <v>0.0074</v>
      </c>
      <c r="AP19" s="46"/>
      <c r="AQ19" s="47" t="n">
        <v>-99999</v>
      </c>
      <c r="AR19" s="47" t="n">
        <v>-99999</v>
      </c>
      <c r="AS19" s="47"/>
      <c r="AT19" s="46" t="n">
        <v>0.1371</v>
      </c>
      <c r="AU19" s="46" t="n">
        <v>0.0503</v>
      </c>
      <c r="AV19" s="46"/>
      <c r="AW19" s="47" t="n">
        <v>-99999</v>
      </c>
      <c r="AX19" s="47" t="n">
        <v>-99999</v>
      </c>
    </row>
    <row r="20" customFormat="false" ht="13.8" hidden="false" customHeight="false" outlineLevel="0" collapsed="false">
      <c r="A20" s="50" t="n">
        <v>14</v>
      </c>
      <c r="B20" s="35" t="n">
        <v>-7</v>
      </c>
      <c r="C20" s="35" t="n">
        <v>-7</v>
      </c>
      <c r="D20" s="36" t="n">
        <v>40677</v>
      </c>
      <c r="E20" s="51" t="s">
        <v>151</v>
      </c>
      <c r="F20" s="52" t="s">
        <v>152</v>
      </c>
      <c r="G20" s="52" t="s">
        <v>153</v>
      </c>
      <c r="H20" s="52" t="n">
        <v>35.778</v>
      </c>
      <c r="I20" s="52" t="n">
        <v>28.18</v>
      </c>
      <c r="J20" s="52" t="s">
        <v>154</v>
      </c>
      <c r="K20" s="52" t="s">
        <v>155</v>
      </c>
      <c r="L20" s="52" t="n">
        <v>446</v>
      </c>
      <c r="M20" s="52" t="s">
        <v>155</v>
      </c>
      <c r="N20" s="52"/>
      <c r="O20" s="52" t="n">
        <v>35.7528</v>
      </c>
      <c r="P20" s="44" t="n">
        <v>0</v>
      </c>
      <c r="Q20" s="44" t="n">
        <v>0</v>
      </c>
      <c r="R20" s="45" t="n">
        <v>0</v>
      </c>
      <c r="S20" s="45" t="n">
        <v>0</v>
      </c>
      <c r="T20" s="45" t="n">
        <f aca="false">SUM(P20,R20)</f>
        <v>0</v>
      </c>
      <c r="U20" s="45" t="n">
        <f aca="false">SUM(Q20,S20)</f>
        <v>0</v>
      </c>
      <c r="V20" s="44" t="n">
        <v>0.04</v>
      </c>
      <c r="W20" s="44" t="n">
        <v>0.04</v>
      </c>
      <c r="X20" s="45" t="n">
        <v>0.6</v>
      </c>
      <c r="Y20" s="45" t="n">
        <v>0.6</v>
      </c>
      <c r="Z20" s="46" t="n">
        <v>0.0043</v>
      </c>
      <c r="AA20" s="46" t="n">
        <v>0.0074</v>
      </c>
      <c r="AB20" s="46" t="n">
        <v>0.0035</v>
      </c>
      <c r="AC20" s="46" t="n">
        <v>0.005</v>
      </c>
      <c r="AD20" s="46" t="n">
        <v>0.0039</v>
      </c>
      <c r="AE20" s="47" t="n">
        <v>-99999</v>
      </c>
      <c r="AF20" s="47" t="n">
        <v>-99999</v>
      </c>
      <c r="AG20" s="47" t="n">
        <v>-99999</v>
      </c>
      <c r="AH20" s="46" t="n">
        <v>0.02</v>
      </c>
      <c r="AI20" s="46" t="n">
        <v>0.0097</v>
      </c>
      <c r="AJ20" s="47" t="n">
        <v>-99999</v>
      </c>
      <c r="AK20" s="46" t="n">
        <v>0.0037</v>
      </c>
      <c r="AL20" s="46" t="n">
        <v>0.0951</v>
      </c>
      <c r="AM20" s="46"/>
      <c r="AN20" s="47" t="n">
        <v>-99999</v>
      </c>
      <c r="AO20" s="46" t="n">
        <v>0.0084</v>
      </c>
      <c r="AP20" s="46"/>
      <c r="AQ20" s="47" t="n">
        <v>-99999</v>
      </c>
      <c r="AR20" s="47" t="n">
        <v>-99999</v>
      </c>
      <c r="AS20" s="47"/>
      <c r="AT20" s="46" t="n">
        <v>0.1341</v>
      </c>
      <c r="AU20" s="46" t="n">
        <v>0.0675</v>
      </c>
      <c r="AV20" s="46"/>
      <c r="AW20" s="47" t="n">
        <v>-99999</v>
      </c>
      <c r="AX20" s="47" t="n">
        <v>-99999</v>
      </c>
    </row>
    <row r="21" customFormat="false" ht="13.8" hidden="false" customHeight="false" outlineLevel="0" collapsed="false">
      <c r="A21" s="50" t="n">
        <v>15</v>
      </c>
      <c r="B21" s="35" t="n">
        <v>-5</v>
      </c>
      <c r="C21" s="35" t="n">
        <v>-5</v>
      </c>
      <c r="D21" s="36" t="n">
        <v>40678</v>
      </c>
      <c r="E21" s="51" t="s">
        <v>156</v>
      </c>
      <c r="F21" s="52" t="s">
        <v>157</v>
      </c>
      <c r="G21" s="52" t="s">
        <v>158</v>
      </c>
      <c r="H21" s="52" t="n">
        <v>34.5</v>
      </c>
      <c r="I21" s="52" t="n">
        <v>27.98</v>
      </c>
      <c r="J21" s="52" t="n">
        <v>262</v>
      </c>
      <c r="K21" s="52" t="s">
        <v>159</v>
      </c>
      <c r="L21" s="52" t="n">
        <v>450</v>
      </c>
      <c r="M21" s="52" t="s">
        <v>159</v>
      </c>
      <c r="N21" s="52"/>
      <c r="O21" s="52" t="n">
        <v>34.5092</v>
      </c>
      <c r="P21" s="44" t="n">
        <v>0</v>
      </c>
      <c r="Q21" s="44" t="n">
        <v>0</v>
      </c>
      <c r="R21" s="45" t="n">
        <v>0</v>
      </c>
      <c r="S21" s="45" t="n">
        <v>0</v>
      </c>
      <c r="T21" s="45" t="n">
        <f aca="false">SUM(P21,R21)</f>
        <v>0</v>
      </c>
      <c r="U21" s="45" t="n">
        <f aca="false">SUM(Q21,S21)</f>
        <v>0</v>
      </c>
      <c r="V21" s="44" t="n">
        <v>0.03</v>
      </c>
      <c r="W21" s="44" t="n">
        <v>0.03</v>
      </c>
      <c r="X21" s="45" t="n">
        <v>0.6</v>
      </c>
      <c r="Y21" s="45" t="n">
        <v>0.5</v>
      </c>
      <c r="Z21" s="46" t="n">
        <v>0.006</v>
      </c>
      <c r="AA21" s="46" t="n">
        <v>0.0181</v>
      </c>
      <c r="AB21" s="46" t="n">
        <v>0.0108</v>
      </c>
      <c r="AC21" s="46" t="n">
        <v>0.0077</v>
      </c>
      <c r="AD21" s="46" t="n">
        <v>0.0152</v>
      </c>
      <c r="AE21" s="47" t="n">
        <v>-99999</v>
      </c>
      <c r="AF21" s="47" t="n">
        <v>-99999</v>
      </c>
      <c r="AG21" s="47" t="n">
        <v>-99999</v>
      </c>
      <c r="AH21" s="46" t="n">
        <v>0.0261</v>
      </c>
      <c r="AI21" s="46" t="n">
        <v>0.0188</v>
      </c>
      <c r="AJ21" s="47" t="n">
        <v>-99999</v>
      </c>
      <c r="AK21" s="46" t="n">
        <v>0.003</v>
      </c>
      <c r="AL21" s="46" t="n">
        <v>0.1043</v>
      </c>
      <c r="AM21" s="46"/>
      <c r="AN21" s="47" t="n">
        <v>-99999</v>
      </c>
      <c r="AO21" s="46" t="n">
        <v>0.0122</v>
      </c>
      <c r="AP21" s="46"/>
      <c r="AQ21" s="47" t="n">
        <v>-99999</v>
      </c>
      <c r="AR21" s="47" t="n">
        <v>-99999</v>
      </c>
      <c r="AS21" s="47"/>
      <c r="AT21" s="46" t="n">
        <v>0.1752</v>
      </c>
      <c r="AU21" s="46" t="n">
        <v>0.1407</v>
      </c>
      <c r="AV21" s="46"/>
      <c r="AW21" s="46" t="n">
        <v>0.0035</v>
      </c>
      <c r="AX21" s="47" t="n">
        <v>-99999</v>
      </c>
    </row>
    <row r="22" customFormat="false" ht="13.8" hidden="false" customHeight="false" outlineLevel="0" collapsed="false">
      <c r="A22" s="50" t="n">
        <v>16</v>
      </c>
      <c r="B22" s="35" t="n">
        <v>-3</v>
      </c>
      <c r="C22" s="35" t="n">
        <v>-3</v>
      </c>
      <c r="D22" s="36" t="n">
        <v>40679</v>
      </c>
      <c r="E22" s="51" t="s">
        <v>160</v>
      </c>
      <c r="F22" s="52" t="s">
        <v>161</v>
      </c>
      <c r="G22" s="52" t="s">
        <v>162</v>
      </c>
      <c r="H22" s="52" t="n">
        <v>35.33</v>
      </c>
      <c r="I22" s="52" t="n">
        <v>27.05</v>
      </c>
      <c r="J22" s="52" t="s">
        <v>163</v>
      </c>
      <c r="K22" s="52" t="s">
        <v>164</v>
      </c>
      <c r="L22" s="52" t="n">
        <v>438</v>
      </c>
      <c r="M22" s="52" t="s">
        <v>164</v>
      </c>
      <c r="N22" s="52"/>
      <c r="O22" s="52" t="n">
        <v>35.0425</v>
      </c>
      <c r="P22" s="44" t="n">
        <v>0</v>
      </c>
      <c r="Q22" s="44" t="n">
        <v>0</v>
      </c>
      <c r="R22" s="45" t="n">
        <v>0</v>
      </c>
      <c r="S22" s="45" t="n">
        <v>0</v>
      </c>
      <c r="T22" s="45" t="n">
        <f aca="false">SUM(P22,R22)</f>
        <v>0</v>
      </c>
      <c r="U22" s="45" t="n">
        <f aca="false">SUM(Q22,S22)</f>
        <v>0</v>
      </c>
      <c r="V22" s="44" t="n">
        <v>0.09</v>
      </c>
      <c r="W22" s="44" t="n">
        <v>0.09</v>
      </c>
      <c r="X22" s="45" t="n">
        <v>1</v>
      </c>
      <c r="Y22" s="45" t="n">
        <v>0.9</v>
      </c>
      <c r="Z22" s="46" t="n">
        <v>0.0048</v>
      </c>
      <c r="AA22" s="46" t="n">
        <v>0.0107</v>
      </c>
      <c r="AB22" s="46" t="n">
        <v>0.0092</v>
      </c>
      <c r="AC22" s="46" t="n">
        <v>0.005</v>
      </c>
      <c r="AD22" s="46" t="n">
        <v>0.0075</v>
      </c>
      <c r="AE22" s="47" t="n">
        <v>-99999</v>
      </c>
      <c r="AF22" s="47" t="n">
        <v>-99999</v>
      </c>
      <c r="AG22" s="47" t="n">
        <v>-99999</v>
      </c>
      <c r="AH22" s="46" t="n">
        <v>0.0198</v>
      </c>
      <c r="AI22" s="46" t="n">
        <v>0.0071</v>
      </c>
      <c r="AJ22" s="46" t="n">
        <v>0.0007</v>
      </c>
      <c r="AK22" s="46" t="n">
        <v>0.0011</v>
      </c>
      <c r="AL22" s="46" t="n">
        <v>0.0773</v>
      </c>
      <c r="AM22" s="46"/>
      <c r="AN22" s="47" t="n">
        <v>-99999</v>
      </c>
      <c r="AO22" s="46" t="n">
        <v>0.0107</v>
      </c>
      <c r="AP22" s="46"/>
      <c r="AQ22" s="47" t="n">
        <v>-99999</v>
      </c>
      <c r="AR22" s="47" t="n">
        <v>-99999</v>
      </c>
      <c r="AS22" s="47"/>
      <c r="AT22" s="46" t="n">
        <v>0.1288</v>
      </c>
      <c r="AU22" s="46" t="n">
        <v>0.1195</v>
      </c>
      <c r="AV22" s="46"/>
      <c r="AW22" s="46" t="n">
        <v>0.0031</v>
      </c>
      <c r="AX22" s="47" t="n">
        <v>-99999</v>
      </c>
    </row>
    <row r="23" customFormat="false" ht="13.8" hidden="false" customHeight="false" outlineLevel="0" collapsed="false">
      <c r="A23" s="50" t="n">
        <v>17</v>
      </c>
      <c r="B23" s="35" t="n">
        <v>-1</v>
      </c>
      <c r="C23" s="35" t="n">
        <v>-1</v>
      </c>
      <c r="D23" s="36" t="n">
        <v>40680</v>
      </c>
      <c r="E23" s="51" t="s">
        <v>165</v>
      </c>
      <c r="F23" s="52" t="s">
        <v>166</v>
      </c>
      <c r="G23" s="52" t="s">
        <v>167</v>
      </c>
      <c r="H23" s="52" t="n">
        <v>35.47</v>
      </c>
      <c r="I23" s="52" t="n">
        <v>26.73</v>
      </c>
      <c r="J23" s="52" t="n">
        <v>704</v>
      </c>
      <c r="K23" s="52" t="s">
        <v>168</v>
      </c>
      <c r="L23" s="52" t="n">
        <v>441</v>
      </c>
      <c r="M23" s="52" t="s">
        <v>168</v>
      </c>
      <c r="N23" s="52"/>
      <c r="O23" s="52" t="n">
        <v>35.4659</v>
      </c>
      <c r="P23" s="44" t="n">
        <v>0</v>
      </c>
      <c r="Q23" s="44" t="n">
        <v>0</v>
      </c>
      <c r="R23" s="45" t="n">
        <v>0</v>
      </c>
      <c r="S23" s="45" t="n">
        <v>0</v>
      </c>
      <c r="T23" s="45" t="n">
        <f aca="false">SUM(P23,R23)</f>
        <v>0</v>
      </c>
      <c r="U23" s="45" t="n">
        <f aca="false">SUM(Q23,S23)</f>
        <v>0</v>
      </c>
      <c r="V23" s="44" t="n">
        <v>0.08</v>
      </c>
      <c r="W23" s="44" t="n">
        <v>0.08</v>
      </c>
      <c r="X23" s="45" t="n">
        <v>0.8</v>
      </c>
      <c r="Y23" s="45" t="n">
        <v>0.8</v>
      </c>
      <c r="Z23" s="46" t="n">
        <v>0.0027</v>
      </c>
      <c r="AA23" s="46" t="n">
        <v>0.0075</v>
      </c>
      <c r="AB23" s="46" t="n">
        <v>0.0051</v>
      </c>
      <c r="AC23" s="46" t="n">
        <v>0.0035</v>
      </c>
      <c r="AD23" s="46" t="n">
        <v>0.0064</v>
      </c>
      <c r="AE23" s="47" t="n">
        <v>-99999</v>
      </c>
      <c r="AF23" s="47" t="n">
        <v>-99999</v>
      </c>
      <c r="AG23" s="47" t="n">
        <v>-99999</v>
      </c>
      <c r="AH23" s="46" t="n">
        <v>0.0125</v>
      </c>
      <c r="AI23" s="46" t="n">
        <v>0.0051</v>
      </c>
      <c r="AJ23" s="47" t="n">
        <v>-99999</v>
      </c>
      <c r="AK23" s="46" t="n">
        <v>0.0009</v>
      </c>
      <c r="AL23" s="46" t="n">
        <v>0.0848</v>
      </c>
      <c r="AM23" s="46"/>
      <c r="AN23" s="47" t="n">
        <v>-99999</v>
      </c>
      <c r="AO23" s="46" t="n">
        <v>0.0058</v>
      </c>
      <c r="AP23" s="46"/>
      <c r="AQ23" s="47" t="n">
        <v>-99999</v>
      </c>
      <c r="AR23" s="47" t="n">
        <v>-99999</v>
      </c>
      <c r="AS23" s="47"/>
      <c r="AT23" s="46" t="n">
        <v>0.09</v>
      </c>
      <c r="AU23" s="46" t="n">
        <v>0.0689</v>
      </c>
      <c r="AV23" s="46"/>
      <c r="AW23" s="47" t="n">
        <v>-99999</v>
      </c>
      <c r="AX23" s="47" t="n">
        <v>-99999</v>
      </c>
    </row>
    <row r="24" customFormat="false" ht="13.8" hidden="false" customHeight="false" outlineLevel="0" collapsed="false">
      <c r="A24" s="50" t="n">
        <v>18</v>
      </c>
      <c r="B24" s="35" t="n">
        <v>1</v>
      </c>
      <c r="C24" s="35" t="n">
        <v>0.24</v>
      </c>
      <c r="D24" s="36" t="n">
        <v>40681</v>
      </c>
      <c r="E24" s="51" t="s">
        <v>169</v>
      </c>
      <c r="F24" s="52" t="s">
        <v>170</v>
      </c>
      <c r="G24" s="52" t="s">
        <v>171</v>
      </c>
      <c r="H24" s="52" t="n">
        <v>34.26</v>
      </c>
      <c r="I24" s="52" t="n">
        <v>29.04</v>
      </c>
      <c r="J24" s="52" t="n">
        <v>256</v>
      </c>
      <c r="K24" s="52" t="s">
        <v>172</v>
      </c>
      <c r="L24" s="52" t="n">
        <v>453</v>
      </c>
      <c r="M24" s="52" t="s">
        <v>172</v>
      </c>
      <c r="N24" s="52"/>
      <c r="O24" s="52" t="n">
        <v>34.3303</v>
      </c>
      <c r="P24" s="44" t="n">
        <v>0</v>
      </c>
      <c r="Q24" s="44" t="n">
        <v>0</v>
      </c>
      <c r="R24" s="45" t="n">
        <v>0</v>
      </c>
      <c r="S24" s="45" t="n">
        <v>0</v>
      </c>
      <c r="T24" s="45" t="n">
        <f aca="false">SUM(P24,R24)</f>
        <v>0</v>
      </c>
      <c r="U24" s="45" t="n">
        <f aca="false">SUM(Q24,S24)</f>
        <v>0</v>
      </c>
      <c r="V24" s="44" t="n">
        <v>0.02</v>
      </c>
      <c r="W24" s="44" t="n">
        <v>0.02</v>
      </c>
      <c r="X24" s="45" t="n">
        <v>0.6</v>
      </c>
      <c r="Y24" s="45" t="n">
        <v>0.5</v>
      </c>
      <c r="Z24" s="46" t="n">
        <v>0.0027</v>
      </c>
      <c r="AA24" s="46" t="n">
        <v>0.0074</v>
      </c>
      <c r="AB24" s="46" t="n">
        <v>0.0069</v>
      </c>
      <c r="AC24" s="46" t="n">
        <v>0.0029</v>
      </c>
      <c r="AD24" s="46" t="n">
        <v>0.0071</v>
      </c>
      <c r="AE24" s="47" t="n">
        <v>-99999</v>
      </c>
      <c r="AF24" s="47" t="n">
        <v>-99999</v>
      </c>
      <c r="AG24" s="47" t="n">
        <v>-99999</v>
      </c>
      <c r="AH24" s="46" t="n">
        <v>0.0138</v>
      </c>
      <c r="AI24" s="46" t="n">
        <v>0.0062</v>
      </c>
      <c r="AJ24" s="46" t="n">
        <v>0.0005</v>
      </c>
      <c r="AK24" s="46" t="n">
        <v>0.0014</v>
      </c>
      <c r="AL24" s="46" t="n">
        <v>0.111</v>
      </c>
      <c r="AM24" s="46"/>
      <c r="AN24" s="47" t="n">
        <v>-99999</v>
      </c>
      <c r="AO24" s="46" t="n">
        <v>0.0067</v>
      </c>
      <c r="AP24" s="46"/>
      <c r="AQ24" s="47" t="n">
        <v>-99999</v>
      </c>
      <c r="AR24" s="47" t="n">
        <v>-99999</v>
      </c>
      <c r="AS24" s="47"/>
      <c r="AT24" s="46" t="n">
        <v>0.0999</v>
      </c>
      <c r="AU24" s="46" t="n">
        <v>0.075</v>
      </c>
      <c r="AV24" s="46"/>
      <c r="AW24" s="47" t="n">
        <v>-99999</v>
      </c>
      <c r="AX24" s="47" t="n">
        <v>-99999</v>
      </c>
    </row>
    <row r="25" customFormat="false" ht="13.8" hidden="false" customHeight="false" outlineLevel="0" collapsed="false">
      <c r="A25" s="50" t="n">
        <v>19</v>
      </c>
      <c r="B25" s="35" t="n">
        <v>3</v>
      </c>
      <c r="C25" s="35" t="n">
        <v>1.12</v>
      </c>
      <c r="D25" s="36" t="n">
        <v>40682</v>
      </c>
      <c r="E25" s="51" t="s">
        <v>173</v>
      </c>
      <c r="F25" s="52" t="s">
        <v>174</v>
      </c>
      <c r="G25" s="52" t="s">
        <v>175</v>
      </c>
      <c r="H25" s="52" t="n">
        <v>34.37</v>
      </c>
      <c r="I25" s="52" t="n">
        <v>29.567</v>
      </c>
      <c r="J25" s="52" t="n">
        <v>255</v>
      </c>
      <c r="K25" s="52" t="s">
        <v>176</v>
      </c>
      <c r="L25" s="52" t="n">
        <v>489</v>
      </c>
      <c r="M25" s="52" t="s">
        <v>176</v>
      </c>
      <c r="N25" s="52"/>
      <c r="O25" s="52" t="n">
        <v>34.3848</v>
      </c>
      <c r="P25" s="44" t="n">
        <v>0</v>
      </c>
      <c r="Q25" s="44" t="n">
        <v>0</v>
      </c>
      <c r="R25" s="45" t="n">
        <v>0</v>
      </c>
      <c r="S25" s="45" t="n">
        <v>0</v>
      </c>
      <c r="T25" s="45" t="n">
        <f aca="false">SUM(P25,R25)</f>
        <v>0</v>
      </c>
      <c r="U25" s="45" t="n">
        <f aca="false">SUM(Q25,S25)</f>
        <v>0</v>
      </c>
      <c r="V25" s="44" t="n">
        <v>0.01</v>
      </c>
      <c r="W25" s="44" t="n">
        <v>0.01</v>
      </c>
      <c r="X25" s="45" t="n">
        <v>0.6</v>
      </c>
      <c r="Y25" s="45" t="n">
        <v>0.6</v>
      </c>
      <c r="Z25" s="46" t="n">
        <v>0.0024</v>
      </c>
      <c r="AA25" s="46" t="n">
        <v>0.0062</v>
      </c>
      <c r="AB25" s="46" t="n">
        <v>0.0041</v>
      </c>
      <c r="AC25" s="46" t="n">
        <v>0.0036</v>
      </c>
      <c r="AD25" s="46" t="n">
        <v>0.0044</v>
      </c>
      <c r="AE25" s="47" t="n">
        <v>-99999</v>
      </c>
      <c r="AF25" s="47" t="n">
        <v>-99999</v>
      </c>
      <c r="AG25" s="47" t="n">
        <v>-99999</v>
      </c>
      <c r="AH25" s="46" t="n">
        <v>0.0134</v>
      </c>
      <c r="AI25" s="46" t="n">
        <v>0.0098</v>
      </c>
      <c r="AJ25" s="47" t="n">
        <v>-99999</v>
      </c>
      <c r="AK25" s="46" t="n">
        <v>0.002</v>
      </c>
      <c r="AL25" s="46" t="n">
        <v>0.0753</v>
      </c>
      <c r="AM25" s="46"/>
      <c r="AN25" s="47" t="n">
        <v>-99999</v>
      </c>
      <c r="AO25" s="46" t="n">
        <v>0.0052</v>
      </c>
      <c r="AP25" s="46"/>
      <c r="AQ25" s="47" t="n">
        <v>-99999</v>
      </c>
      <c r="AR25" s="47" t="n">
        <v>-99999</v>
      </c>
      <c r="AS25" s="47"/>
      <c r="AT25" s="46" t="n">
        <v>0.0942</v>
      </c>
      <c r="AU25" s="46" t="n">
        <v>0.0588</v>
      </c>
      <c r="AV25" s="46"/>
      <c r="AW25" s="47" t="n">
        <v>-99999</v>
      </c>
      <c r="AX25" s="47" t="n">
        <v>-99999</v>
      </c>
    </row>
    <row r="26" customFormat="false" ht="13.8" hidden="false" customHeight="false" outlineLevel="0" collapsed="false">
      <c r="A26" s="50" t="n">
        <v>20</v>
      </c>
      <c r="B26" s="35" t="n">
        <v>4</v>
      </c>
      <c r="C26" s="35" t="n">
        <v>1.36</v>
      </c>
      <c r="D26" s="36" t="n">
        <v>40682</v>
      </c>
      <c r="E26" s="51" t="s">
        <v>177</v>
      </c>
      <c r="F26" s="52" t="s">
        <v>178</v>
      </c>
      <c r="G26" s="52" t="s">
        <v>179</v>
      </c>
      <c r="H26" s="52" t="n">
        <v>34.3</v>
      </c>
      <c r="I26" s="52" t="n">
        <v>29.37</v>
      </c>
      <c r="J26" s="52" t="n">
        <v>264</v>
      </c>
      <c r="K26" s="52" t="s">
        <v>180</v>
      </c>
      <c r="L26" s="52" t="n">
        <v>474</v>
      </c>
      <c r="M26" s="52" t="s">
        <v>180</v>
      </c>
      <c r="N26" s="52"/>
      <c r="O26" s="52" t="n">
        <v>34.4147</v>
      </c>
      <c r="P26" s="44" t="n">
        <v>0</v>
      </c>
      <c r="Q26" s="44" t="n">
        <v>0</v>
      </c>
      <c r="R26" s="45" t="n">
        <v>0</v>
      </c>
      <c r="S26" s="45" t="n">
        <v>0</v>
      </c>
      <c r="T26" s="45" t="n">
        <f aca="false">SUM(P26,R26)</f>
        <v>0</v>
      </c>
      <c r="U26" s="45" t="n">
        <f aca="false">SUM(Q26,S26)</f>
        <v>0</v>
      </c>
      <c r="V26" s="44" t="n">
        <v>0</v>
      </c>
      <c r="W26" s="44" t="n">
        <v>0</v>
      </c>
      <c r="X26" s="45" t="n">
        <v>0.5</v>
      </c>
      <c r="Y26" s="45" t="n">
        <v>0.5</v>
      </c>
      <c r="Z26" s="46" t="n">
        <v>0.0037</v>
      </c>
      <c r="AA26" s="46" t="n">
        <v>0.0079</v>
      </c>
      <c r="AB26" s="46" t="n">
        <v>0.0054</v>
      </c>
      <c r="AC26" s="46" t="n">
        <v>0.0045</v>
      </c>
      <c r="AD26" s="46" t="n">
        <v>0.0044</v>
      </c>
      <c r="AE26" s="47" t="n">
        <v>-99999</v>
      </c>
      <c r="AF26" s="47" t="n">
        <v>-99999</v>
      </c>
      <c r="AG26" s="47" t="n">
        <v>-99999</v>
      </c>
      <c r="AH26" s="46" t="n">
        <v>0.0212</v>
      </c>
      <c r="AI26" s="46" t="n">
        <v>0.0064</v>
      </c>
      <c r="AJ26" s="47" t="n">
        <v>-99999</v>
      </c>
      <c r="AK26" s="46" t="n">
        <v>0.0013</v>
      </c>
      <c r="AL26" s="46" t="n">
        <v>0.0851</v>
      </c>
      <c r="AM26" s="46"/>
      <c r="AN26" s="47" t="n">
        <v>-99999</v>
      </c>
      <c r="AO26" s="46" t="n">
        <v>0.0055</v>
      </c>
      <c r="AP26" s="46"/>
      <c r="AQ26" s="47" t="n">
        <v>-99999</v>
      </c>
      <c r="AR26" s="47" t="n">
        <v>-99999</v>
      </c>
      <c r="AS26" s="47"/>
      <c r="AT26" s="46" t="n">
        <v>0.098</v>
      </c>
      <c r="AU26" s="46" t="n">
        <v>0.0682</v>
      </c>
      <c r="AV26" s="46"/>
      <c r="AW26" s="47" t="n">
        <v>-99999</v>
      </c>
      <c r="AX26" s="47" t="n">
        <v>-99999</v>
      </c>
    </row>
    <row r="27" customFormat="false" ht="13.8" hidden="false" customHeight="false" outlineLevel="0" collapsed="false">
      <c r="A27" s="53" t="n">
        <v>21</v>
      </c>
      <c r="B27" s="35" t="n">
        <v>5</v>
      </c>
      <c r="C27" s="35" t="n">
        <v>2</v>
      </c>
      <c r="D27" s="36" t="n">
        <v>40683</v>
      </c>
      <c r="E27" s="37" t="s">
        <v>181</v>
      </c>
      <c r="F27" s="38" t="s">
        <v>95</v>
      </c>
      <c r="G27" s="38" t="s">
        <v>182</v>
      </c>
      <c r="H27" s="39" t="n">
        <v>33.92</v>
      </c>
      <c r="I27" s="39" t="n">
        <v>29.23</v>
      </c>
      <c r="J27" s="41" t="n">
        <v>261</v>
      </c>
      <c r="K27" s="41" t="s">
        <v>183</v>
      </c>
      <c r="L27" s="39" t="n">
        <v>485</v>
      </c>
      <c r="M27" s="41" t="s">
        <v>183</v>
      </c>
      <c r="N27" s="42"/>
      <c r="O27" s="39" t="n">
        <v>33.9075</v>
      </c>
      <c r="P27" s="44" t="n">
        <v>0</v>
      </c>
      <c r="Q27" s="44" t="n">
        <v>0</v>
      </c>
      <c r="R27" s="45" t="n">
        <v>0</v>
      </c>
      <c r="S27" s="45" t="n">
        <v>0</v>
      </c>
      <c r="T27" s="45" t="n">
        <f aca="false">SUM(P27,R27)</f>
        <v>0</v>
      </c>
      <c r="U27" s="45" t="n">
        <f aca="false">SUM(Q27,S27)</f>
        <v>0</v>
      </c>
      <c r="V27" s="44" t="n">
        <v>0.01</v>
      </c>
      <c r="W27" s="44" t="n">
        <v>0</v>
      </c>
      <c r="X27" s="45" t="n">
        <v>3.1</v>
      </c>
      <c r="Y27" s="45" t="n">
        <v>3</v>
      </c>
      <c r="Z27" s="46" t="n">
        <v>0.0045</v>
      </c>
      <c r="AA27" s="46" t="n">
        <v>0.0086</v>
      </c>
      <c r="AB27" s="46" t="n">
        <v>0.0036</v>
      </c>
      <c r="AC27" s="46" t="n">
        <v>0.0044</v>
      </c>
      <c r="AD27" s="46" t="n">
        <v>0.0168</v>
      </c>
      <c r="AE27" s="47" t="n">
        <v>-99999</v>
      </c>
      <c r="AF27" s="47" t="n">
        <v>-99999</v>
      </c>
      <c r="AG27" s="47" t="n">
        <v>-99999</v>
      </c>
      <c r="AH27" s="46" t="n">
        <v>0.0209</v>
      </c>
      <c r="AI27" s="46" t="n">
        <v>0.0113</v>
      </c>
      <c r="AJ27" s="47" t="n">
        <v>-99999</v>
      </c>
      <c r="AK27" s="46" t="n">
        <v>0.001</v>
      </c>
      <c r="AL27" s="46" t="n">
        <v>0.1047</v>
      </c>
      <c r="AM27" s="46"/>
      <c r="AN27" s="47" t="n">
        <v>-99999</v>
      </c>
      <c r="AO27" s="46" t="n">
        <v>0.0078</v>
      </c>
      <c r="AP27" s="46"/>
      <c r="AQ27" s="47" t="n">
        <v>-99999</v>
      </c>
      <c r="AR27" s="47" t="n">
        <v>-99999</v>
      </c>
      <c r="AS27" s="47"/>
      <c r="AT27" s="46" t="n">
        <v>0.0985</v>
      </c>
      <c r="AU27" s="46" t="n">
        <v>0.1371</v>
      </c>
      <c r="AV27" s="46"/>
      <c r="AW27" s="46" t="n">
        <v>0.0025</v>
      </c>
      <c r="AX27" s="47" t="n">
        <v>-99999</v>
      </c>
    </row>
    <row r="28" customFormat="false" ht="13.8" hidden="false" customHeight="false" outlineLevel="0" collapsed="false">
      <c r="A28" s="50" t="n">
        <v>22</v>
      </c>
      <c r="B28" s="35" t="n">
        <v>6</v>
      </c>
      <c r="C28" s="35" t="n">
        <v>2.13</v>
      </c>
      <c r="D28" s="54" t="n">
        <v>40686</v>
      </c>
      <c r="E28" s="37" t="s">
        <v>184</v>
      </c>
      <c r="F28" s="38" t="s">
        <v>185</v>
      </c>
      <c r="G28" s="38" t="s">
        <v>186</v>
      </c>
      <c r="H28" s="42" t="n">
        <v>34.491</v>
      </c>
      <c r="I28" s="42" t="n">
        <v>29.54</v>
      </c>
      <c r="J28" s="39" t="n">
        <v>697</v>
      </c>
      <c r="K28" s="39" t="s">
        <v>187</v>
      </c>
      <c r="L28" s="39" t="n">
        <v>472</v>
      </c>
      <c r="M28" s="39" t="s">
        <v>187</v>
      </c>
      <c r="N28" s="42"/>
      <c r="O28" s="43" t="n">
        <v>34.4818</v>
      </c>
      <c r="P28" s="44" t="n">
        <v>0</v>
      </c>
      <c r="Q28" s="44" t="n">
        <v>0</v>
      </c>
      <c r="R28" s="45" t="n">
        <v>0</v>
      </c>
      <c r="S28" s="45" t="n">
        <v>0</v>
      </c>
      <c r="T28" s="45" t="n">
        <f aca="false">SUM(P28,R28)</f>
        <v>0</v>
      </c>
      <c r="U28" s="45" t="n">
        <f aca="false">SUM(Q28,S28)</f>
        <v>0</v>
      </c>
      <c r="V28" s="44" t="n">
        <v>0</v>
      </c>
      <c r="W28" s="44" t="n">
        <v>0</v>
      </c>
      <c r="X28" s="45" t="n">
        <v>2</v>
      </c>
      <c r="Y28" s="45" t="n">
        <v>1.9</v>
      </c>
      <c r="Z28" s="46" t="n">
        <v>0.0037</v>
      </c>
      <c r="AA28" s="46" t="n">
        <v>0.0095</v>
      </c>
      <c r="AB28" s="46" t="n">
        <v>0.0045</v>
      </c>
      <c r="AC28" s="46" t="n">
        <v>0.0045</v>
      </c>
      <c r="AD28" s="46" t="n">
        <v>0.0112</v>
      </c>
      <c r="AE28" s="47" t="n">
        <v>-99999</v>
      </c>
      <c r="AF28" s="47" t="n">
        <v>-99999</v>
      </c>
      <c r="AG28" s="47" t="n">
        <v>-99999</v>
      </c>
      <c r="AH28" s="46" t="n">
        <v>0.0197</v>
      </c>
      <c r="AI28" s="46" t="n">
        <v>0.0144</v>
      </c>
      <c r="AJ28" s="47" t="n">
        <v>-99999</v>
      </c>
      <c r="AK28" s="46" t="n">
        <v>0.004</v>
      </c>
      <c r="AL28" s="46" t="n">
        <v>0.1011</v>
      </c>
      <c r="AM28" s="46"/>
      <c r="AN28" s="47" t="n">
        <v>-99999</v>
      </c>
      <c r="AO28" s="46" t="n">
        <v>0.0062</v>
      </c>
      <c r="AP28" s="46"/>
      <c r="AQ28" s="47" t="n">
        <v>-99999</v>
      </c>
      <c r="AR28" s="47" t="n">
        <v>-99999</v>
      </c>
      <c r="AS28" s="47"/>
      <c r="AT28" s="46" t="n">
        <v>0.1487</v>
      </c>
      <c r="AU28" s="46" t="n">
        <v>0.1192</v>
      </c>
      <c r="AV28" s="46"/>
      <c r="AW28" s="47" t="n">
        <v>-99999</v>
      </c>
      <c r="AX28" s="47" t="n">
        <v>-99999</v>
      </c>
    </row>
    <row r="29" customFormat="false" ht="13.8" hidden="false" customHeight="false" outlineLevel="0" collapsed="false">
      <c r="A29" s="50" t="n">
        <f aca="false">A28+1</f>
        <v>23</v>
      </c>
      <c r="B29" s="35" t="n">
        <v>5.3</v>
      </c>
      <c r="C29" s="35" t="n">
        <v>1.48</v>
      </c>
      <c r="D29" s="54" t="n">
        <v>40686</v>
      </c>
      <c r="E29" s="37" t="s">
        <v>188</v>
      </c>
      <c r="F29" s="38" t="s">
        <v>189</v>
      </c>
      <c r="G29" s="38" t="s">
        <v>190</v>
      </c>
      <c r="H29" s="42" t="n">
        <v>34.361</v>
      </c>
      <c r="I29" s="42" t="n">
        <v>29.406</v>
      </c>
      <c r="J29" s="39" t="n">
        <v>698</v>
      </c>
      <c r="K29" s="39" t="s">
        <v>191</v>
      </c>
      <c r="L29" s="39" t="n">
        <v>473</v>
      </c>
      <c r="M29" s="39" t="s">
        <v>191</v>
      </c>
      <c r="N29" s="42"/>
      <c r="O29" s="43" t="n">
        <v>34.3515</v>
      </c>
      <c r="P29" s="44" t="n">
        <v>0</v>
      </c>
      <c r="Q29" s="44" t="n">
        <v>0</v>
      </c>
      <c r="R29" s="45" t="n">
        <v>0</v>
      </c>
      <c r="S29" s="45" t="n">
        <v>0</v>
      </c>
      <c r="T29" s="45" t="n">
        <f aca="false">SUM(P29,R29)</f>
        <v>0</v>
      </c>
      <c r="U29" s="45" t="n">
        <f aca="false">SUM(Q29,S29)</f>
        <v>0</v>
      </c>
      <c r="V29" s="44" t="n">
        <v>0.01</v>
      </c>
      <c r="W29" s="44" t="n">
        <v>0.01</v>
      </c>
      <c r="X29" s="45" t="n">
        <v>2.7</v>
      </c>
      <c r="Y29" s="45" t="n">
        <v>2.6</v>
      </c>
      <c r="Z29" s="46" t="n">
        <v>0.0038</v>
      </c>
      <c r="AA29" s="46" t="n">
        <v>0.012</v>
      </c>
      <c r="AB29" s="46" t="n">
        <v>0.0078</v>
      </c>
      <c r="AC29" s="46" t="n">
        <v>0.0052</v>
      </c>
      <c r="AD29" s="46" t="n">
        <v>0.019</v>
      </c>
      <c r="AE29" s="47" t="n">
        <v>-99999</v>
      </c>
      <c r="AF29" s="47" t="n">
        <v>-99999</v>
      </c>
      <c r="AG29" s="47" t="n">
        <v>-99999</v>
      </c>
      <c r="AH29" s="46" t="n">
        <v>0.0203</v>
      </c>
      <c r="AI29" s="46" t="n">
        <v>0.0127</v>
      </c>
      <c r="AJ29" s="47" t="n">
        <v>-99999</v>
      </c>
      <c r="AK29" s="46" t="n">
        <v>0.0044</v>
      </c>
      <c r="AL29" s="46" t="n">
        <v>0.1223</v>
      </c>
      <c r="AM29" s="46"/>
      <c r="AN29" s="47" t="n">
        <v>-99999</v>
      </c>
      <c r="AO29" s="46" t="n">
        <v>0.0093</v>
      </c>
      <c r="AP29" s="46"/>
      <c r="AQ29" s="47" t="n">
        <v>-99999</v>
      </c>
      <c r="AR29" s="46" t="n">
        <v>0.0257</v>
      </c>
      <c r="AS29" s="46"/>
      <c r="AT29" s="46" t="n">
        <v>0.1439</v>
      </c>
      <c r="AU29" s="46" t="n">
        <v>0.1493</v>
      </c>
      <c r="AV29" s="46"/>
      <c r="AW29" s="47" t="n">
        <v>-99999</v>
      </c>
      <c r="AX29" s="47" t="n">
        <v>-99999</v>
      </c>
    </row>
    <row r="30" customFormat="false" ht="13.8" hidden="false" customHeight="false" outlineLevel="0" collapsed="false">
      <c r="A30" s="50" t="n">
        <f aca="false">A29+1</f>
        <v>24</v>
      </c>
      <c r="B30" s="35" t="n">
        <v>5</v>
      </c>
      <c r="C30" s="35" t="n">
        <v>1.24</v>
      </c>
      <c r="D30" s="54" t="n">
        <v>40686</v>
      </c>
      <c r="E30" s="37" t="s">
        <v>192</v>
      </c>
      <c r="F30" s="38" t="s">
        <v>193</v>
      </c>
      <c r="G30" s="38" t="s">
        <v>194</v>
      </c>
      <c r="H30" s="42" t="n">
        <v>34.604</v>
      </c>
      <c r="I30" s="42" t="n">
        <v>29.381</v>
      </c>
      <c r="J30" s="39" t="n">
        <v>699</v>
      </c>
      <c r="K30" s="39" t="s">
        <v>195</v>
      </c>
      <c r="L30" s="39" t="n">
        <v>474</v>
      </c>
      <c r="M30" s="39" t="s">
        <v>195</v>
      </c>
      <c r="N30" s="42"/>
      <c r="O30" s="43" t="n">
        <v>34.6104</v>
      </c>
      <c r="P30" s="44" t="n">
        <v>0</v>
      </c>
      <c r="Q30" s="44" t="n">
        <v>0</v>
      </c>
      <c r="R30" s="45" t="n">
        <v>0</v>
      </c>
      <c r="S30" s="45" t="n">
        <v>0</v>
      </c>
      <c r="T30" s="45" t="n">
        <f aca="false">SUM(P30,R30)</f>
        <v>0</v>
      </c>
      <c r="U30" s="45" t="n">
        <f aca="false">SUM(Q30,S30)</f>
        <v>0</v>
      </c>
      <c r="V30" s="44" t="n">
        <v>0.01</v>
      </c>
      <c r="W30" s="44" t="n">
        <v>0.01</v>
      </c>
      <c r="X30" s="45" t="n">
        <v>0.8</v>
      </c>
      <c r="Y30" s="45" t="n">
        <v>0.7</v>
      </c>
      <c r="Z30" s="46" t="n">
        <v>0.0029</v>
      </c>
      <c r="AA30" s="46" t="n">
        <v>0.0059</v>
      </c>
      <c r="AB30" s="46" t="n">
        <v>0.004</v>
      </c>
      <c r="AC30" s="46" t="n">
        <v>0.0049</v>
      </c>
      <c r="AD30" s="46" t="n">
        <v>0.0058</v>
      </c>
      <c r="AE30" s="47" t="n">
        <v>-99999</v>
      </c>
      <c r="AF30" s="47" t="n">
        <v>-99999</v>
      </c>
      <c r="AG30" s="47" t="n">
        <v>-99999</v>
      </c>
      <c r="AH30" s="46" t="n">
        <v>0.0154</v>
      </c>
      <c r="AI30" s="46" t="n">
        <v>0.0054</v>
      </c>
      <c r="AJ30" s="47" t="n">
        <v>-99999</v>
      </c>
      <c r="AK30" s="46" t="n">
        <v>0.001</v>
      </c>
      <c r="AL30" s="46" t="n">
        <v>0.0945</v>
      </c>
      <c r="AM30" s="46"/>
      <c r="AN30" s="47" t="n">
        <v>-99999</v>
      </c>
      <c r="AO30" s="46" t="n">
        <v>0.0058</v>
      </c>
      <c r="AP30" s="46"/>
      <c r="AQ30" s="47" t="n">
        <v>-99999</v>
      </c>
      <c r="AR30" s="47" t="n">
        <v>-99999</v>
      </c>
      <c r="AS30" s="47"/>
      <c r="AT30" s="46" t="n">
        <v>0.0957</v>
      </c>
      <c r="AU30" s="46" t="n">
        <v>0.0641</v>
      </c>
      <c r="AV30" s="46"/>
      <c r="AW30" s="47" t="n">
        <v>-99999</v>
      </c>
      <c r="AX30" s="47" t="n">
        <v>-99999</v>
      </c>
    </row>
    <row r="31" customFormat="false" ht="13.8" hidden="false" customHeight="false" outlineLevel="0" collapsed="false">
      <c r="A31" s="50" t="n">
        <f aca="false">A30+1</f>
        <v>25</v>
      </c>
      <c r="B31" s="35" t="n">
        <v>4.3</v>
      </c>
      <c r="C31" s="35" t="n">
        <v>1</v>
      </c>
      <c r="D31" s="54" t="n">
        <v>40686</v>
      </c>
      <c r="E31" s="37" t="s">
        <v>196</v>
      </c>
      <c r="F31" s="38" t="s">
        <v>197</v>
      </c>
      <c r="G31" s="38" t="s">
        <v>198</v>
      </c>
      <c r="H31" s="42" t="n">
        <v>34.499</v>
      </c>
      <c r="I31" s="42" t="n">
        <v>29.34</v>
      </c>
      <c r="J31" s="39" t="n">
        <v>700</v>
      </c>
      <c r="K31" s="39" t="s">
        <v>199</v>
      </c>
      <c r="L31" s="39" t="n">
        <v>475</v>
      </c>
      <c r="M31" s="39" t="s">
        <v>199</v>
      </c>
      <c r="N31" s="42"/>
      <c r="O31" s="43" t="n">
        <v>34.5136</v>
      </c>
      <c r="P31" s="44" t="n">
        <v>0</v>
      </c>
      <c r="Q31" s="44" t="n">
        <v>0</v>
      </c>
      <c r="R31" s="45" t="n">
        <v>0</v>
      </c>
      <c r="S31" s="45" t="n">
        <v>0</v>
      </c>
      <c r="T31" s="45" t="n">
        <f aca="false">SUM(P31,R31)</f>
        <v>0</v>
      </c>
      <c r="U31" s="45" t="n">
        <f aca="false">SUM(Q31,S31)</f>
        <v>0</v>
      </c>
      <c r="V31" s="44" t="n">
        <v>0</v>
      </c>
      <c r="W31" s="44" t="n">
        <v>0</v>
      </c>
      <c r="X31" s="45" t="n">
        <v>0.6</v>
      </c>
      <c r="Y31" s="45" t="n">
        <v>0.6</v>
      </c>
      <c r="Z31" s="46" t="n">
        <v>0.0029</v>
      </c>
      <c r="AA31" s="46" t="n">
        <v>0.0057</v>
      </c>
      <c r="AB31" s="46" t="n">
        <v>0.0056</v>
      </c>
      <c r="AC31" s="46" t="n">
        <v>0.0032</v>
      </c>
      <c r="AD31" s="46" t="n">
        <v>0.004</v>
      </c>
      <c r="AE31" s="47" t="n">
        <v>-99999</v>
      </c>
      <c r="AF31" s="47" t="n">
        <v>-99999</v>
      </c>
      <c r="AG31" s="47" t="n">
        <v>-99999</v>
      </c>
      <c r="AH31" s="46" t="n">
        <v>0.0162</v>
      </c>
      <c r="AI31" s="46" t="n">
        <v>0.0056</v>
      </c>
      <c r="AJ31" s="47" t="n">
        <v>-99999</v>
      </c>
      <c r="AK31" s="47" t="n">
        <v>-99999</v>
      </c>
      <c r="AL31" s="46" t="n">
        <v>0.0893</v>
      </c>
      <c r="AM31" s="46"/>
      <c r="AN31" s="47" t="n">
        <v>-99999</v>
      </c>
      <c r="AO31" s="46" t="n">
        <v>0.0069</v>
      </c>
      <c r="AP31" s="46"/>
      <c r="AQ31" s="47" t="n">
        <v>-99999</v>
      </c>
      <c r="AR31" s="47" t="n">
        <v>-99999</v>
      </c>
      <c r="AS31" s="47"/>
      <c r="AT31" s="46" t="n">
        <v>0.0919</v>
      </c>
      <c r="AU31" s="46" t="n">
        <v>0.0571</v>
      </c>
      <c r="AV31" s="46"/>
      <c r="AW31" s="47" t="n">
        <v>-99999</v>
      </c>
      <c r="AX31" s="47" t="n">
        <v>-99999</v>
      </c>
    </row>
    <row r="32" customFormat="false" ht="13.8" hidden="false" customHeight="false" outlineLevel="0" collapsed="false">
      <c r="A32" s="50" t="n">
        <f aca="false">A31+1</f>
        <v>26</v>
      </c>
      <c r="B32" s="35" t="n">
        <v>4</v>
      </c>
      <c r="C32" s="35" t="n">
        <v>0.36</v>
      </c>
      <c r="D32" s="54" t="n">
        <v>40687</v>
      </c>
      <c r="E32" s="37" t="s">
        <v>200</v>
      </c>
      <c r="F32" s="38" t="s">
        <v>201</v>
      </c>
      <c r="G32" s="38" t="s">
        <v>202</v>
      </c>
      <c r="H32" s="42" t="n">
        <v>34.293</v>
      </c>
      <c r="I32" s="42" t="n">
        <v>29.07</v>
      </c>
      <c r="J32" s="39" t="n">
        <v>701</v>
      </c>
      <c r="K32" s="39" t="s">
        <v>203</v>
      </c>
      <c r="L32" s="39" t="n">
        <v>476</v>
      </c>
      <c r="M32" s="39" t="s">
        <v>203</v>
      </c>
      <c r="N32" s="42"/>
      <c r="O32" s="43" t="n">
        <v>34.3002</v>
      </c>
      <c r="P32" s="44" t="n">
        <v>0</v>
      </c>
      <c r="Q32" s="44" t="n">
        <v>0</v>
      </c>
      <c r="R32" s="45" t="n">
        <v>0</v>
      </c>
      <c r="S32" s="45" t="n">
        <v>0</v>
      </c>
      <c r="T32" s="45" t="n">
        <f aca="false">SUM(P32,R32)</f>
        <v>0</v>
      </c>
      <c r="U32" s="45" t="n">
        <f aca="false">SUM(Q32,S32)</f>
        <v>0</v>
      </c>
      <c r="V32" s="44" t="n">
        <v>0</v>
      </c>
      <c r="W32" s="44" t="n">
        <v>0</v>
      </c>
      <c r="X32" s="45" t="n">
        <v>0.6</v>
      </c>
      <c r="Y32" s="45" t="n">
        <v>0.6</v>
      </c>
      <c r="Z32" s="46" t="n">
        <v>0.0039</v>
      </c>
      <c r="AA32" s="46" t="n">
        <v>0.0067</v>
      </c>
      <c r="AB32" s="46" t="n">
        <v>0.0057</v>
      </c>
      <c r="AC32" s="46" t="n">
        <v>0.0051</v>
      </c>
      <c r="AD32" s="46" t="n">
        <v>0.0054</v>
      </c>
      <c r="AE32" s="47" t="n">
        <v>-99999</v>
      </c>
      <c r="AF32" s="47" t="n">
        <v>-99999</v>
      </c>
      <c r="AG32" s="47" t="n">
        <v>-99999</v>
      </c>
      <c r="AH32" s="46" t="n">
        <v>0.018</v>
      </c>
      <c r="AI32" s="46" t="n">
        <v>0.0057</v>
      </c>
      <c r="AJ32" s="47" t="n">
        <v>-99999</v>
      </c>
      <c r="AK32" s="46" t="n">
        <v>0.0008</v>
      </c>
      <c r="AL32" s="46" t="n">
        <v>0.091</v>
      </c>
      <c r="AM32" s="46"/>
      <c r="AN32" s="47" t="n">
        <v>-99999</v>
      </c>
      <c r="AO32" s="46" t="n">
        <v>0.0106</v>
      </c>
      <c r="AP32" s="46"/>
      <c r="AQ32" s="47" t="n">
        <v>-99999</v>
      </c>
      <c r="AR32" s="47" t="n">
        <v>-99999</v>
      </c>
      <c r="AS32" s="47"/>
      <c r="AT32" s="46" t="n">
        <v>0.115</v>
      </c>
      <c r="AU32" s="46" t="n">
        <v>0.0698</v>
      </c>
      <c r="AV32" s="46"/>
      <c r="AW32" s="47" t="n">
        <v>-99999</v>
      </c>
      <c r="AX32" s="47" t="n">
        <v>-99999</v>
      </c>
    </row>
    <row r="33" customFormat="false" ht="13.8" hidden="false" customHeight="false" outlineLevel="0" collapsed="false">
      <c r="A33" s="50" t="n">
        <f aca="false">A32+1</f>
        <v>27</v>
      </c>
      <c r="B33" s="35" t="n">
        <v>3.3</v>
      </c>
      <c r="C33" s="35" t="n">
        <v>0.12</v>
      </c>
      <c r="D33" s="54" t="n">
        <v>40687</v>
      </c>
      <c r="E33" s="37" t="s">
        <v>204</v>
      </c>
      <c r="F33" s="38" t="s">
        <v>205</v>
      </c>
      <c r="G33" s="38" t="s">
        <v>206</v>
      </c>
      <c r="H33" s="42" t="n">
        <v>34.166</v>
      </c>
      <c r="I33" s="42" t="n">
        <v>28.98</v>
      </c>
      <c r="J33" s="39" t="n">
        <v>702</v>
      </c>
      <c r="K33" s="39" t="s">
        <v>207</v>
      </c>
      <c r="L33" s="39" t="n">
        <v>477</v>
      </c>
      <c r="M33" s="39" t="s">
        <v>207</v>
      </c>
      <c r="N33" s="42"/>
      <c r="O33" s="43" t="n">
        <v>34.1728</v>
      </c>
      <c r="P33" s="44" t="n">
        <v>0</v>
      </c>
      <c r="Q33" s="44" t="n">
        <v>0</v>
      </c>
      <c r="R33" s="45" t="n">
        <v>0</v>
      </c>
      <c r="S33" s="45" t="n">
        <v>0</v>
      </c>
      <c r="T33" s="45" t="n">
        <f aca="false">SUM(P33,R33)</f>
        <v>0</v>
      </c>
      <c r="U33" s="45" t="n">
        <f aca="false">SUM(Q33,S33)</f>
        <v>0</v>
      </c>
      <c r="V33" s="44" t="n">
        <v>0</v>
      </c>
      <c r="W33" s="44" t="n">
        <v>0</v>
      </c>
      <c r="X33" s="45" t="n">
        <v>0.5</v>
      </c>
      <c r="Y33" s="45" t="n">
        <v>0.5</v>
      </c>
      <c r="Z33" s="46" t="n">
        <v>0.0071</v>
      </c>
      <c r="AA33" s="46" t="n">
        <v>0.0116</v>
      </c>
      <c r="AB33" s="46" t="n">
        <v>0.0081</v>
      </c>
      <c r="AC33" s="46" t="n">
        <v>0.0075</v>
      </c>
      <c r="AD33" s="46" t="n">
        <v>0.007</v>
      </c>
      <c r="AE33" s="47" t="n">
        <v>-99999</v>
      </c>
      <c r="AF33" s="47" t="n">
        <v>-99999</v>
      </c>
      <c r="AG33" s="47" t="n">
        <v>-99999</v>
      </c>
      <c r="AH33" s="46" t="n">
        <v>0.0277</v>
      </c>
      <c r="AI33" s="46" t="n">
        <v>0.0065</v>
      </c>
      <c r="AJ33" s="47" t="n">
        <v>-99999</v>
      </c>
      <c r="AK33" s="47" t="n">
        <v>-99999</v>
      </c>
      <c r="AL33" s="46" t="n">
        <v>0.0827</v>
      </c>
      <c r="AM33" s="46"/>
      <c r="AN33" s="47" t="n">
        <v>-99999</v>
      </c>
      <c r="AO33" s="46" t="n">
        <v>0.013</v>
      </c>
      <c r="AP33" s="46"/>
      <c r="AQ33" s="47" t="n">
        <v>-99999</v>
      </c>
      <c r="AR33" s="47" t="n">
        <v>-99999</v>
      </c>
      <c r="AS33" s="47"/>
      <c r="AT33" s="46" t="n">
        <v>0.1654</v>
      </c>
      <c r="AU33" s="46" t="n">
        <v>0.1033</v>
      </c>
      <c r="AV33" s="46"/>
      <c r="AW33" s="47" t="n">
        <v>-99999</v>
      </c>
      <c r="AX33" s="47" t="n">
        <v>-99999</v>
      </c>
    </row>
    <row r="34" customFormat="false" ht="13.8" hidden="false" customHeight="false" outlineLevel="0" collapsed="false">
      <c r="A34" s="50" t="n">
        <f aca="false">A33+1</f>
        <v>28</v>
      </c>
      <c r="B34" s="35" t="n">
        <v>3</v>
      </c>
      <c r="C34" s="35" t="n">
        <v>-0.12</v>
      </c>
      <c r="D34" s="54" t="n">
        <v>40687</v>
      </c>
      <c r="E34" s="37" t="s">
        <v>208</v>
      </c>
      <c r="F34" s="38" t="s">
        <v>209</v>
      </c>
      <c r="G34" s="38" t="s">
        <v>210</v>
      </c>
      <c r="H34" s="42"/>
      <c r="I34" s="42"/>
      <c r="J34" s="39" t="n">
        <v>703</v>
      </c>
      <c r="K34" s="39" t="s">
        <v>211</v>
      </c>
      <c r="L34" s="39" t="n">
        <v>478</v>
      </c>
      <c r="M34" s="39" t="s">
        <v>211</v>
      </c>
      <c r="N34" s="42"/>
      <c r="O34" s="43" t="n">
        <v>34.125</v>
      </c>
      <c r="P34" s="44" t="n">
        <v>0</v>
      </c>
      <c r="Q34" s="44" t="n">
        <v>0</v>
      </c>
      <c r="R34" s="45" t="n">
        <v>0</v>
      </c>
      <c r="S34" s="45" t="n">
        <v>0</v>
      </c>
      <c r="T34" s="45" t="n">
        <f aca="false">SUM(P34,R34)</f>
        <v>0</v>
      </c>
      <c r="U34" s="45" t="n">
        <f aca="false">SUM(Q34,S34)</f>
        <v>0</v>
      </c>
      <c r="V34" s="44" t="n">
        <v>0</v>
      </c>
      <c r="W34" s="44" t="n">
        <v>0</v>
      </c>
      <c r="X34" s="45" t="n">
        <v>0.5</v>
      </c>
      <c r="Y34" s="45" t="n">
        <v>0.5</v>
      </c>
      <c r="Z34" s="46" t="n">
        <v>0.007</v>
      </c>
      <c r="AA34" s="46" t="n">
        <v>0.0112</v>
      </c>
      <c r="AB34" s="46" t="n">
        <v>0.0068</v>
      </c>
      <c r="AC34" s="46" t="n">
        <v>0.0078</v>
      </c>
      <c r="AD34" s="46" t="n">
        <v>0.0073</v>
      </c>
      <c r="AE34" s="47" t="n">
        <v>-99999</v>
      </c>
      <c r="AF34" s="47" t="n">
        <v>-99999</v>
      </c>
      <c r="AG34" s="47" t="n">
        <v>-99999</v>
      </c>
      <c r="AH34" s="46" t="n">
        <v>0.0306</v>
      </c>
      <c r="AI34" s="46" t="n">
        <v>0.0139</v>
      </c>
      <c r="AJ34" s="47" t="n">
        <v>-99999</v>
      </c>
      <c r="AK34" s="46" t="n">
        <v>0.004</v>
      </c>
      <c r="AL34" s="46" t="n">
        <v>0.1043</v>
      </c>
      <c r="AM34" s="46"/>
      <c r="AN34" s="47" t="n">
        <v>-99999</v>
      </c>
      <c r="AO34" s="46" t="n">
        <v>0.0129</v>
      </c>
      <c r="AP34" s="46"/>
      <c r="AQ34" s="47" t="n">
        <v>-99999</v>
      </c>
      <c r="AR34" s="47" t="n">
        <v>-99999</v>
      </c>
      <c r="AS34" s="47"/>
      <c r="AT34" s="46" t="n">
        <v>0.1724</v>
      </c>
      <c r="AU34" s="46" t="n">
        <v>0.1282</v>
      </c>
      <c r="AV34" s="46"/>
      <c r="AW34" s="47" t="n">
        <v>-99999</v>
      </c>
      <c r="AX34" s="47" t="n">
        <v>-99999</v>
      </c>
    </row>
    <row r="35" customFormat="false" ht="13.8" hidden="false" customHeight="false" outlineLevel="0" collapsed="false">
      <c r="A35" s="50" t="n">
        <f aca="false">A34+1</f>
        <v>29</v>
      </c>
      <c r="B35" s="35" t="n">
        <v>2.3</v>
      </c>
      <c r="C35" s="35" t="n">
        <v>-0.36</v>
      </c>
      <c r="D35" s="54" t="n">
        <v>40687</v>
      </c>
      <c r="E35" s="37" t="s">
        <v>212</v>
      </c>
      <c r="F35" s="38" t="s">
        <v>213</v>
      </c>
      <c r="G35" s="38" t="s">
        <v>214</v>
      </c>
      <c r="H35" s="42" t="n">
        <v>34.203</v>
      </c>
      <c r="I35" s="42" t="n">
        <v>29.153</v>
      </c>
      <c r="J35" s="39" t="n">
        <v>704</v>
      </c>
      <c r="K35" s="39" t="s">
        <v>215</v>
      </c>
      <c r="L35" s="39" t="n">
        <v>479</v>
      </c>
      <c r="M35" s="39" t="s">
        <v>215</v>
      </c>
      <c r="N35" s="42"/>
      <c r="O35" s="43" t="n">
        <v>34.2876</v>
      </c>
      <c r="P35" s="44" t="n">
        <v>0</v>
      </c>
      <c r="Q35" s="44" t="n">
        <v>0</v>
      </c>
      <c r="R35" s="45" t="n">
        <v>0</v>
      </c>
      <c r="S35" s="45" t="n">
        <v>0</v>
      </c>
      <c r="T35" s="45" t="n">
        <f aca="false">SUM(P35,R35)</f>
        <v>0</v>
      </c>
      <c r="U35" s="45" t="n">
        <f aca="false">SUM(Q35,S35)</f>
        <v>0</v>
      </c>
      <c r="V35" s="44" t="n">
        <v>0</v>
      </c>
      <c r="W35" s="44" t="n">
        <v>0</v>
      </c>
      <c r="X35" s="45" t="n">
        <v>0.5</v>
      </c>
      <c r="Y35" s="45" t="n">
        <v>0.5</v>
      </c>
      <c r="Z35" s="46" t="n">
        <v>0.0046</v>
      </c>
      <c r="AA35" s="46" t="n">
        <v>0.0102</v>
      </c>
      <c r="AB35" s="46" t="n">
        <v>0.0065</v>
      </c>
      <c r="AC35" s="46" t="n">
        <v>0.006</v>
      </c>
      <c r="AD35" s="46" t="n">
        <v>0.0071</v>
      </c>
      <c r="AE35" s="47" t="n">
        <v>-99999</v>
      </c>
      <c r="AF35" s="47" t="n">
        <v>-99999</v>
      </c>
      <c r="AG35" s="47" t="n">
        <v>-99999</v>
      </c>
      <c r="AH35" s="46" t="n">
        <v>0.0277</v>
      </c>
      <c r="AI35" s="46" t="n">
        <v>0.016</v>
      </c>
      <c r="AJ35" s="47" t="n">
        <v>-99999</v>
      </c>
      <c r="AK35" s="46" t="n">
        <v>0.0059</v>
      </c>
      <c r="AL35" s="46" t="n">
        <v>0.1142</v>
      </c>
      <c r="AM35" s="46"/>
      <c r="AN35" s="47" t="n">
        <v>-99999</v>
      </c>
      <c r="AO35" s="46" t="n">
        <v>0.0093</v>
      </c>
      <c r="AP35" s="46"/>
      <c r="AQ35" s="47" t="n">
        <v>-99999</v>
      </c>
      <c r="AR35" s="47" t="n">
        <v>-99999</v>
      </c>
      <c r="AS35" s="47"/>
      <c r="AT35" s="46" t="n">
        <v>0.1493</v>
      </c>
      <c r="AU35" s="46" t="n">
        <v>0.1153</v>
      </c>
      <c r="AV35" s="46"/>
      <c r="AW35" s="47" t="n">
        <v>-99999</v>
      </c>
      <c r="AX35" s="47" t="n">
        <v>-99999</v>
      </c>
    </row>
    <row r="36" customFormat="false" ht="13.8" hidden="false" customHeight="false" outlineLevel="0" collapsed="false">
      <c r="A36" s="50" t="n">
        <f aca="false">A35+1</f>
        <v>30</v>
      </c>
      <c r="B36" s="35" t="n">
        <v>-1</v>
      </c>
      <c r="C36" s="35" t="n">
        <v>-0.35</v>
      </c>
      <c r="D36" s="54" t="n">
        <v>40689</v>
      </c>
      <c r="E36" s="37" t="s">
        <v>216</v>
      </c>
      <c r="F36" s="38" t="s">
        <v>217</v>
      </c>
      <c r="G36" s="38" t="s">
        <v>218</v>
      </c>
      <c r="H36" s="42" t="n">
        <v>35.72</v>
      </c>
      <c r="I36" s="42" t="n">
        <v>25.8</v>
      </c>
      <c r="J36" s="39" t="n">
        <v>705</v>
      </c>
      <c r="K36" s="39" t="s">
        <v>219</v>
      </c>
      <c r="L36" s="39"/>
      <c r="M36" s="39" t="s">
        <v>219</v>
      </c>
      <c r="N36" s="42"/>
      <c r="O36" s="43" t="n">
        <v>35.7405</v>
      </c>
      <c r="P36" s="44" t="n">
        <v>0</v>
      </c>
      <c r="Q36" s="44" t="n">
        <v>0</v>
      </c>
      <c r="R36" s="45" t="n">
        <v>0</v>
      </c>
      <c r="S36" s="45" t="n">
        <v>0</v>
      </c>
      <c r="T36" s="45" t="n">
        <f aca="false">SUM(P36,R36)</f>
        <v>0</v>
      </c>
      <c r="U36" s="45" t="n">
        <f aca="false">SUM(Q36,S36)</f>
        <v>0</v>
      </c>
      <c r="V36" s="44" t="n">
        <v>0.15</v>
      </c>
      <c r="W36" s="44" t="n">
        <v>0.14</v>
      </c>
      <c r="X36" s="45" t="n">
        <v>0.9</v>
      </c>
      <c r="Y36" s="45" t="n">
        <v>0.9</v>
      </c>
      <c r="Z36" s="46" t="n">
        <v>0.0084</v>
      </c>
      <c r="AA36" s="46" t="n">
        <v>0.0139</v>
      </c>
      <c r="AB36" s="46" t="n">
        <v>0.0054</v>
      </c>
      <c r="AC36" s="46" t="n">
        <v>0.0117</v>
      </c>
      <c r="AD36" s="46" t="n">
        <v>0.0084</v>
      </c>
      <c r="AE36" s="47" t="n">
        <v>-99999</v>
      </c>
      <c r="AF36" s="47" t="n">
        <v>-99999</v>
      </c>
      <c r="AG36" s="47" t="n">
        <v>-99999</v>
      </c>
      <c r="AH36" s="46" t="n">
        <v>0.0408</v>
      </c>
      <c r="AI36" s="46" t="n">
        <v>0.0114</v>
      </c>
      <c r="AJ36" s="47" t="n">
        <v>-99999</v>
      </c>
      <c r="AK36" s="46" t="n">
        <v>0.0018</v>
      </c>
      <c r="AL36" s="46" t="n">
        <v>0.0889</v>
      </c>
      <c r="AM36" s="46"/>
      <c r="AN36" s="47" t="n">
        <v>-99999</v>
      </c>
      <c r="AO36" s="46" t="n">
        <v>0.0115</v>
      </c>
      <c r="AP36" s="46"/>
      <c r="AQ36" s="47" t="n">
        <v>-99999</v>
      </c>
      <c r="AR36" s="47" t="n">
        <v>-99999</v>
      </c>
      <c r="AS36" s="47"/>
      <c r="AT36" s="46" t="n">
        <v>0.0993</v>
      </c>
      <c r="AU36" s="46" t="n">
        <v>0.1059</v>
      </c>
      <c r="AV36" s="46"/>
      <c r="AW36" s="47" t="n">
        <v>-99999</v>
      </c>
      <c r="AX36" s="47" t="n">
        <v>-99999</v>
      </c>
    </row>
    <row r="37" customFormat="false" ht="13.8" hidden="false" customHeight="false" outlineLevel="0" collapsed="false">
      <c r="A37" s="50" t="n">
        <f aca="false">A36+1</f>
        <v>31</v>
      </c>
      <c r="B37" s="35" t="n">
        <v>0</v>
      </c>
      <c r="C37" s="35" t="n">
        <v>-0.1</v>
      </c>
      <c r="D37" s="54" t="n">
        <v>40690</v>
      </c>
      <c r="E37" s="37" t="s">
        <v>220</v>
      </c>
      <c r="F37" s="38" t="s">
        <v>221</v>
      </c>
      <c r="G37" s="38" t="s">
        <v>222</v>
      </c>
      <c r="H37" s="42" t="n">
        <v>35.67</v>
      </c>
      <c r="I37" s="42" t="n">
        <v>26.013</v>
      </c>
      <c r="J37" s="39" t="n">
        <v>706</v>
      </c>
      <c r="K37" s="39" t="s">
        <v>223</v>
      </c>
      <c r="L37" s="39"/>
      <c r="M37" s="39" t="s">
        <v>223</v>
      </c>
      <c r="N37" s="42"/>
      <c r="O37" s="43" t="n">
        <v>35.6761</v>
      </c>
      <c r="P37" s="44" t="n">
        <v>0</v>
      </c>
      <c r="Q37" s="44" t="n">
        <v>0</v>
      </c>
      <c r="R37" s="45" t="n">
        <v>0</v>
      </c>
      <c r="S37" s="45" t="n">
        <v>0</v>
      </c>
      <c r="T37" s="45" t="n">
        <f aca="false">SUM(P37,R37)</f>
        <v>0</v>
      </c>
      <c r="U37" s="45" t="n">
        <f aca="false">SUM(Q37,S37)</f>
        <v>0</v>
      </c>
      <c r="V37" s="44" t="n">
        <v>0.1</v>
      </c>
      <c r="W37" s="44" t="n">
        <v>0.1</v>
      </c>
      <c r="X37" s="45" t="n">
        <v>0.9</v>
      </c>
      <c r="Y37" s="45" t="n">
        <v>0.9</v>
      </c>
      <c r="Z37" s="46" t="n">
        <v>0.0062</v>
      </c>
      <c r="AA37" s="46" t="n">
        <v>0.0109</v>
      </c>
      <c r="AB37" s="46" t="n">
        <v>0.0046</v>
      </c>
      <c r="AC37" s="46" t="n">
        <v>0.0087</v>
      </c>
      <c r="AD37" s="46" t="n">
        <v>0.0058</v>
      </c>
      <c r="AE37" s="47" t="n">
        <v>-99999</v>
      </c>
      <c r="AF37" s="47" t="n">
        <v>-99999</v>
      </c>
      <c r="AG37" s="47" t="n">
        <v>-99999</v>
      </c>
      <c r="AH37" s="46" t="n">
        <v>0.0282</v>
      </c>
      <c r="AI37" s="46" t="n">
        <v>0.0068</v>
      </c>
      <c r="AJ37" s="46" t="n">
        <v>0.001</v>
      </c>
      <c r="AK37" s="46" t="n">
        <v>0.0009</v>
      </c>
      <c r="AL37" s="46" t="n">
        <v>0.0962</v>
      </c>
      <c r="AM37" s="46"/>
      <c r="AN37" s="47" t="n">
        <v>-99999</v>
      </c>
      <c r="AO37" s="46" t="n">
        <v>0.0098</v>
      </c>
      <c r="AP37" s="46"/>
      <c r="AQ37" s="47" t="n">
        <v>-99999</v>
      </c>
      <c r="AR37" s="47" t="n">
        <v>-99999</v>
      </c>
      <c r="AS37" s="47"/>
      <c r="AT37" s="46" t="n">
        <v>0.1528</v>
      </c>
      <c r="AU37" s="46" t="n">
        <v>0.1005</v>
      </c>
      <c r="AV37" s="46"/>
      <c r="AW37" s="47" t="n">
        <v>-99999</v>
      </c>
      <c r="AX37" s="47" t="n">
        <v>-99999</v>
      </c>
    </row>
    <row r="38" customFormat="false" ht="13.8" hidden="false" customHeight="false" outlineLevel="0" collapsed="false">
      <c r="A38" s="50" t="n">
        <f aca="false">A37+1</f>
        <v>32</v>
      </c>
      <c r="B38" s="35" t="n">
        <v>1</v>
      </c>
      <c r="C38" s="35" t="n">
        <v>-0.15</v>
      </c>
      <c r="D38" s="54" t="n">
        <v>40690</v>
      </c>
      <c r="E38" s="37" t="s">
        <v>224</v>
      </c>
      <c r="F38" s="38" t="s">
        <v>225</v>
      </c>
      <c r="G38" s="38" t="s">
        <v>226</v>
      </c>
      <c r="H38" s="42" t="n">
        <v>34.56</v>
      </c>
      <c r="I38" s="42" t="n">
        <v>28.25</v>
      </c>
      <c r="J38" s="39" t="n">
        <v>707</v>
      </c>
      <c r="K38" s="39" t="s">
        <v>227</v>
      </c>
      <c r="L38" s="39"/>
      <c r="M38" s="39" t="s">
        <v>227</v>
      </c>
      <c r="N38" s="42"/>
      <c r="O38" s="43" t="n">
        <v>34.5677</v>
      </c>
      <c r="P38" s="44" t="n">
        <v>0</v>
      </c>
      <c r="Q38" s="44" t="n">
        <v>0</v>
      </c>
      <c r="R38" s="45" t="n">
        <v>0</v>
      </c>
      <c r="S38" s="45" t="n">
        <v>0</v>
      </c>
      <c r="T38" s="45" t="n">
        <f aca="false">SUM(P38,R38)</f>
        <v>0</v>
      </c>
      <c r="U38" s="45" t="n">
        <f aca="false">SUM(Q38,S38)</f>
        <v>0</v>
      </c>
      <c r="V38" s="44" t="n">
        <v>0</v>
      </c>
      <c r="W38" s="44" t="n">
        <v>0</v>
      </c>
      <c r="X38" s="45" t="n">
        <v>0.7</v>
      </c>
      <c r="Y38" s="45" t="n">
        <v>0.7</v>
      </c>
      <c r="Z38" s="46" t="n">
        <v>0.0033</v>
      </c>
      <c r="AA38" s="46" t="n">
        <v>0.0094</v>
      </c>
      <c r="AB38" s="46" t="n">
        <v>0.0071</v>
      </c>
      <c r="AC38" s="46" t="n">
        <v>0.0045</v>
      </c>
      <c r="AD38" s="46" t="n">
        <v>0.0071</v>
      </c>
      <c r="AE38" s="47" t="n">
        <v>-99999</v>
      </c>
      <c r="AF38" s="47" t="n">
        <v>-99999</v>
      </c>
      <c r="AG38" s="47" t="n">
        <v>-99999</v>
      </c>
      <c r="AH38" s="46" t="n">
        <v>0.0189</v>
      </c>
      <c r="AI38" s="46" t="n">
        <v>0.0142</v>
      </c>
      <c r="AJ38" s="47" t="n">
        <v>-99999</v>
      </c>
      <c r="AK38" s="46" t="n">
        <v>0.0034</v>
      </c>
      <c r="AL38" s="46" t="n">
        <v>0.1068</v>
      </c>
      <c r="AM38" s="46"/>
      <c r="AN38" s="47" t="n">
        <v>-99999</v>
      </c>
      <c r="AO38" s="46" t="n">
        <v>0.0068</v>
      </c>
      <c r="AP38" s="46"/>
      <c r="AQ38" s="47" t="n">
        <v>-99999</v>
      </c>
      <c r="AR38" s="47" t="n">
        <v>-99999</v>
      </c>
      <c r="AS38" s="47"/>
      <c r="AT38" s="46" t="n">
        <v>0.1498</v>
      </c>
      <c r="AU38" s="46" t="n">
        <v>0.1097</v>
      </c>
      <c r="AV38" s="46"/>
      <c r="AW38" s="47" t="n">
        <v>-99999</v>
      </c>
      <c r="AX38" s="47" t="n">
        <v>-99999</v>
      </c>
    </row>
    <row r="39" customFormat="false" ht="13.8" hidden="false" customHeight="false" outlineLevel="0" collapsed="false">
      <c r="A39" s="50" t="n">
        <f aca="false">A38+1</f>
        <v>33</v>
      </c>
      <c r="B39" s="35" t="n">
        <v>2</v>
      </c>
      <c r="C39" s="35" t="n">
        <v>-0.4</v>
      </c>
      <c r="D39" s="54" t="n">
        <v>40690</v>
      </c>
      <c r="E39" s="37" t="s">
        <v>228</v>
      </c>
      <c r="F39" s="38" t="s">
        <v>229</v>
      </c>
      <c r="G39" s="38" t="s">
        <v>230</v>
      </c>
      <c r="H39" s="42" t="n">
        <v>34.43</v>
      </c>
      <c r="I39" s="42" t="n">
        <v>29.05</v>
      </c>
      <c r="J39" s="39" t="n">
        <v>708</v>
      </c>
      <c r="K39" s="39" t="s">
        <v>231</v>
      </c>
      <c r="L39" s="39"/>
      <c r="M39" s="39" t="s">
        <v>231</v>
      </c>
      <c r="N39" s="42"/>
      <c r="O39" s="43" t="n">
        <v>34.4418</v>
      </c>
      <c r="P39" s="44" t="n">
        <v>0</v>
      </c>
      <c r="Q39" s="44" t="n">
        <v>0</v>
      </c>
      <c r="R39" s="45" t="n">
        <v>0</v>
      </c>
      <c r="S39" s="45" t="n">
        <v>0</v>
      </c>
      <c r="T39" s="45" t="n">
        <f aca="false">SUM(P39,R39)</f>
        <v>0</v>
      </c>
      <c r="U39" s="45" t="n">
        <f aca="false">SUM(Q39,S39)</f>
        <v>0</v>
      </c>
      <c r="V39" s="44" t="n">
        <v>0</v>
      </c>
      <c r="W39" s="44" t="n">
        <v>0</v>
      </c>
      <c r="X39" s="45" t="n">
        <v>0.5</v>
      </c>
      <c r="Y39" s="45" t="n">
        <v>0.5</v>
      </c>
      <c r="Z39" s="46" t="n">
        <v>0.0022</v>
      </c>
      <c r="AA39" s="46" t="n">
        <v>0.0056</v>
      </c>
      <c r="AB39" s="46" t="n">
        <v>0.0057</v>
      </c>
      <c r="AC39" s="46" t="n">
        <v>0.0037</v>
      </c>
      <c r="AD39" s="46" t="n">
        <v>0.0041</v>
      </c>
      <c r="AE39" s="47" t="n">
        <v>-99999</v>
      </c>
      <c r="AF39" s="47" t="n">
        <v>-99999</v>
      </c>
      <c r="AG39" s="47" t="n">
        <v>-99999</v>
      </c>
      <c r="AH39" s="46" t="n">
        <v>0.013</v>
      </c>
      <c r="AI39" s="46" t="n">
        <v>0.008</v>
      </c>
      <c r="AJ39" s="47" t="n">
        <v>-99999</v>
      </c>
      <c r="AK39" s="46" t="n">
        <v>0.0028</v>
      </c>
      <c r="AL39" s="46" t="n">
        <v>0.0833</v>
      </c>
      <c r="AM39" s="46"/>
      <c r="AN39" s="47" t="n">
        <v>-99999</v>
      </c>
      <c r="AO39" s="46" t="n">
        <v>0.0049</v>
      </c>
      <c r="AP39" s="46"/>
      <c r="AQ39" s="47" t="n">
        <v>-99999</v>
      </c>
      <c r="AR39" s="47" t="n">
        <v>-99999</v>
      </c>
      <c r="AS39" s="47"/>
      <c r="AT39" s="46" t="n">
        <v>0.0831</v>
      </c>
      <c r="AU39" s="46" t="n">
        <v>0.0596</v>
      </c>
      <c r="AV39" s="46"/>
      <c r="AW39" s="47" t="n">
        <v>-99999</v>
      </c>
      <c r="AX39" s="47" t="n">
        <v>-99999</v>
      </c>
    </row>
    <row r="40" customFormat="false" ht="13.8" hidden="false" customHeight="false" outlineLevel="0" collapsed="false">
      <c r="A40" s="50" t="n">
        <f aca="false">A39+1</f>
        <v>34</v>
      </c>
      <c r="B40" s="35" t="n">
        <v>3</v>
      </c>
      <c r="C40" s="35" t="n">
        <v>1.05</v>
      </c>
      <c r="D40" s="54" t="n">
        <v>40690</v>
      </c>
      <c r="E40" s="37" t="s">
        <v>232</v>
      </c>
      <c r="F40" s="38" t="s">
        <v>209</v>
      </c>
      <c r="G40" s="38" t="s">
        <v>233</v>
      </c>
      <c r="H40" s="42" t="n">
        <v>34.29</v>
      </c>
      <c r="I40" s="42" t="n">
        <v>28.96</v>
      </c>
      <c r="J40" s="39" t="n">
        <v>709</v>
      </c>
      <c r="K40" s="39" t="s">
        <v>234</v>
      </c>
      <c r="L40" s="39"/>
      <c r="M40" s="39" t="s">
        <v>234</v>
      </c>
      <c r="N40" s="42"/>
      <c r="O40" s="43" t="n">
        <v>34.306</v>
      </c>
      <c r="P40" s="44" t="n">
        <v>0</v>
      </c>
      <c r="Q40" s="44" t="n">
        <v>0</v>
      </c>
      <c r="R40" s="45" t="n">
        <v>0</v>
      </c>
      <c r="S40" s="45" t="n">
        <v>0</v>
      </c>
      <c r="T40" s="45" t="n">
        <f aca="false">SUM(P40,R40)</f>
        <v>0</v>
      </c>
      <c r="U40" s="45" t="n">
        <f aca="false">SUM(Q40,S40)</f>
        <v>0</v>
      </c>
      <c r="V40" s="44" t="n">
        <v>0</v>
      </c>
      <c r="W40" s="44" t="n">
        <v>0</v>
      </c>
      <c r="X40" s="45" t="n">
        <v>0.5</v>
      </c>
      <c r="Y40" s="45" t="n">
        <v>0.5</v>
      </c>
      <c r="Z40" s="46" t="n">
        <v>0.0027</v>
      </c>
      <c r="AA40" s="46" t="n">
        <v>0.0046</v>
      </c>
      <c r="AB40" s="46" t="n">
        <v>0.0034</v>
      </c>
      <c r="AC40" s="46" t="n">
        <v>0.0033</v>
      </c>
      <c r="AD40" s="46" t="n">
        <v>0.004</v>
      </c>
      <c r="AE40" s="47" t="n">
        <v>-99999</v>
      </c>
      <c r="AF40" s="47" t="n">
        <v>-99999</v>
      </c>
      <c r="AG40" s="47" t="n">
        <v>-99999</v>
      </c>
      <c r="AH40" s="46" t="n">
        <v>0.0141</v>
      </c>
      <c r="AI40" s="46" t="n">
        <v>0.0051</v>
      </c>
      <c r="AJ40" s="47" t="n">
        <v>-99999</v>
      </c>
      <c r="AK40" s="46" t="n">
        <v>0.0014</v>
      </c>
      <c r="AL40" s="46" t="n">
        <v>0.0776</v>
      </c>
      <c r="AM40" s="46"/>
      <c r="AN40" s="47" t="n">
        <v>-99999</v>
      </c>
      <c r="AO40" s="46" t="n">
        <v>0.0054</v>
      </c>
      <c r="AP40" s="46"/>
      <c r="AQ40" s="47" t="n">
        <v>-99999</v>
      </c>
      <c r="AR40" s="47" t="n">
        <v>-99999</v>
      </c>
      <c r="AS40" s="47"/>
      <c r="AT40" s="46" t="n">
        <v>0.0724</v>
      </c>
      <c r="AU40" s="46" t="n">
        <v>0.0514</v>
      </c>
      <c r="AV40" s="46"/>
      <c r="AW40" s="47" t="n">
        <v>-99999</v>
      </c>
      <c r="AX40" s="47" t="n">
        <v>-99999</v>
      </c>
    </row>
    <row r="41" customFormat="false" ht="13.8" hidden="false" customHeight="false" outlineLevel="0" collapsed="false">
      <c r="A41" s="50" t="n">
        <f aca="false">A40+1</f>
        <v>35</v>
      </c>
      <c r="B41" s="35" t="n">
        <v>4</v>
      </c>
      <c r="C41" s="35" t="n">
        <v>1.3</v>
      </c>
      <c r="D41" s="54" t="n">
        <v>40691</v>
      </c>
      <c r="E41" s="37" t="s">
        <v>235</v>
      </c>
      <c r="F41" s="38" t="s">
        <v>236</v>
      </c>
      <c r="G41" s="38" t="s">
        <v>237</v>
      </c>
      <c r="H41" s="42" t="n">
        <v>34.37</v>
      </c>
      <c r="I41" s="42" t="n">
        <v>29</v>
      </c>
      <c r="J41" s="39" t="n">
        <v>710</v>
      </c>
      <c r="K41" s="39" t="s">
        <v>238</v>
      </c>
      <c r="L41" s="39"/>
      <c r="M41" s="41" t="s">
        <v>238</v>
      </c>
      <c r="N41" s="42"/>
      <c r="O41" s="43" t="n">
        <v>34.3928</v>
      </c>
      <c r="P41" s="44" t="n">
        <v>0</v>
      </c>
      <c r="Q41" s="44" t="n">
        <v>0</v>
      </c>
      <c r="R41" s="45" t="n">
        <v>0</v>
      </c>
      <c r="S41" s="45" t="n">
        <v>0</v>
      </c>
      <c r="T41" s="45" t="n">
        <f aca="false">SUM(P41,R41)</f>
        <v>0</v>
      </c>
      <c r="U41" s="45" t="n">
        <f aca="false">SUM(Q41,S41)</f>
        <v>0</v>
      </c>
      <c r="V41" s="44" t="n">
        <v>0.01</v>
      </c>
      <c r="W41" s="44" t="n">
        <v>0.01</v>
      </c>
      <c r="X41" s="45" t="n">
        <v>0.5</v>
      </c>
      <c r="Y41" s="45" t="n">
        <v>0.5</v>
      </c>
      <c r="Z41" s="46" t="n">
        <v>0.0027</v>
      </c>
      <c r="AA41" s="46" t="n">
        <v>0.0061</v>
      </c>
      <c r="AB41" s="46" t="n">
        <v>0.0036</v>
      </c>
      <c r="AC41" s="46" t="n">
        <v>0.0036</v>
      </c>
      <c r="AD41" s="46" t="n">
        <v>0.0046</v>
      </c>
      <c r="AE41" s="47" t="n">
        <v>-99999</v>
      </c>
      <c r="AF41" s="47" t="n">
        <v>-99999</v>
      </c>
      <c r="AG41" s="47" t="n">
        <v>-99999</v>
      </c>
      <c r="AH41" s="46" t="n">
        <v>0.0141</v>
      </c>
      <c r="AI41" s="46" t="n">
        <v>0.0045</v>
      </c>
      <c r="AJ41" s="47" t="n">
        <v>-99999</v>
      </c>
      <c r="AK41" s="47" t="n">
        <v>-99999</v>
      </c>
      <c r="AL41" s="46" t="n">
        <v>0.0763</v>
      </c>
      <c r="AM41" s="46"/>
      <c r="AN41" s="47" t="n">
        <v>-99999</v>
      </c>
      <c r="AO41" s="46" t="n">
        <v>0.0071</v>
      </c>
      <c r="AP41" s="46"/>
      <c r="AQ41" s="47" t="n">
        <v>-99999</v>
      </c>
      <c r="AR41" s="47" t="n">
        <v>-99999</v>
      </c>
      <c r="AS41" s="47"/>
      <c r="AT41" s="46" t="n">
        <v>0.0847</v>
      </c>
      <c r="AU41" s="46" t="n">
        <v>0.0597</v>
      </c>
      <c r="AV41" s="46"/>
      <c r="AW41" s="47" t="n">
        <v>-99999</v>
      </c>
      <c r="AX41" s="47" t="n">
        <v>-99999</v>
      </c>
    </row>
    <row r="42" customFormat="false" ht="13.8" hidden="false" customHeight="false" outlineLevel="0" collapsed="false">
      <c r="A42" s="50" t="n">
        <f aca="false">A41+1</f>
        <v>36</v>
      </c>
      <c r="B42" s="35" t="n">
        <v>5</v>
      </c>
      <c r="C42" s="35" t="n">
        <v>1.54</v>
      </c>
      <c r="D42" s="54" t="n">
        <v>40691</v>
      </c>
      <c r="E42" s="37" t="s">
        <v>239</v>
      </c>
      <c r="F42" s="38" t="s">
        <v>240</v>
      </c>
      <c r="G42" s="38" t="s">
        <v>241</v>
      </c>
      <c r="H42" s="42" t="n">
        <v>34.601</v>
      </c>
      <c r="I42" s="42" t="n">
        <v>29</v>
      </c>
      <c r="J42" s="39" t="n">
        <v>711</v>
      </c>
      <c r="K42" s="39" t="s">
        <v>242</v>
      </c>
      <c r="L42" s="39"/>
      <c r="M42" s="41" t="s">
        <v>242</v>
      </c>
      <c r="N42" s="42"/>
      <c r="O42" s="43" t="n">
        <v>34.6135</v>
      </c>
      <c r="P42" s="44" t="n">
        <v>0</v>
      </c>
      <c r="Q42" s="44" t="n">
        <v>0</v>
      </c>
      <c r="R42" s="45" t="n">
        <v>0</v>
      </c>
      <c r="S42" s="45" t="n">
        <v>0</v>
      </c>
      <c r="T42" s="45" t="n">
        <f aca="false">SUM(P42,R42)</f>
        <v>0</v>
      </c>
      <c r="U42" s="45" t="n">
        <f aca="false">SUM(Q42,S42)</f>
        <v>0</v>
      </c>
      <c r="V42" s="44" t="n">
        <v>0</v>
      </c>
      <c r="W42" s="44" t="n">
        <v>0</v>
      </c>
      <c r="X42" s="45" t="n">
        <v>0.7</v>
      </c>
      <c r="Y42" s="45" t="n">
        <v>0.7</v>
      </c>
      <c r="Z42" s="46" t="n">
        <v>0.0036</v>
      </c>
      <c r="AA42" s="46" t="n">
        <v>0.0116</v>
      </c>
      <c r="AB42" s="46" t="n">
        <v>0.0108</v>
      </c>
      <c r="AC42" s="46" t="n">
        <v>0.0047</v>
      </c>
      <c r="AD42" s="46" t="n">
        <v>0.0181</v>
      </c>
      <c r="AE42" s="47" t="n">
        <v>-99999</v>
      </c>
      <c r="AF42" s="47" t="n">
        <v>-99999</v>
      </c>
      <c r="AG42" s="47" t="n">
        <v>-99999</v>
      </c>
      <c r="AH42" s="46" t="n">
        <v>0.0198</v>
      </c>
      <c r="AI42" s="46" t="n">
        <v>0.0174</v>
      </c>
      <c r="AJ42" s="47" t="n">
        <v>-99999</v>
      </c>
      <c r="AK42" s="46" t="n">
        <v>0.0046</v>
      </c>
      <c r="AL42" s="46" t="n">
        <v>0.089</v>
      </c>
      <c r="AM42" s="46"/>
      <c r="AN42" s="47" t="n">
        <v>-99999</v>
      </c>
      <c r="AO42" s="46" t="n">
        <v>0.0074</v>
      </c>
      <c r="AP42" s="46"/>
      <c r="AQ42" s="47" t="n">
        <v>-99999</v>
      </c>
      <c r="AR42" s="47" t="n">
        <v>-99999</v>
      </c>
      <c r="AS42" s="47"/>
      <c r="AT42" s="46" t="n">
        <v>0.119</v>
      </c>
      <c r="AU42" s="46" t="n">
        <v>0.147</v>
      </c>
      <c r="AV42" s="46"/>
      <c r="AW42" s="46" t="n">
        <v>0.0022</v>
      </c>
      <c r="AX42" s="47" t="n">
        <v>-99999</v>
      </c>
    </row>
    <row r="43" customFormat="false" ht="13.8" hidden="false" customHeight="false" outlineLevel="0" collapsed="false">
      <c r="A43" s="50" t="n">
        <f aca="false">A42+1</f>
        <v>37</v>
      </c>
      <c r="B43" s="35" t="n">
        <v>6</v>
      </c>
      <c r="C43" s="35" t="n">
        <v>2.26</v>
      </c>
      <c r="D43" s="54" t="n">
        <v>40691</v>
      </c>
      <c r="E43" s="37" t="s">
        <v>243</v>
      </c>
      <c r="F43" s="38" t="s">
        <v>244</v>
      </c>
      <c r="G43" s="38" t="s">
        <v>245</v>
      </c>
      <c r="H43" s="42" t="n">
        <v>34.466</v>
      </c>
      <c r="I43" s="42" t="n">
        <v>29.191</v>
      </c>
      <c r="J43" s="39" t="n">
        <v>712</v>
      </c>
      <c r="K43" s="39" t="s">
        <v>246</v>
      </c>
      <c r="L43" s="39"/>
      <c r="M43" s="41" t="s">
        <v>246</v>
      </c>
      <c r="N43" s="42"/>
      <c r="O43" s="43" t="n">
        <v>34.4795</v>
      </c>
      <c r="P43" s="44" t="n">
        <v>0.03</v>
      </c>
      <c r="Q43" s="44" t="n">
        <v>0.03</v>
      </c>
      <c r="R43" s="45" t="n">
        <v>0</v>
      </c>
      <c r="S43" s="45" t="n">
        <v>0</v>
      </c>
      <c r="T43" s="45" t="n">
        <f aca="false">SUM(P43,R43)</f>
        <v>0.03</v>
      </c>
      <c r="U43" s="45" t="n">
        <f aca="false">SUM(Q43,S43)</f>
        <v>0.03</v>
      </c>
      <c r="V43" s="44" t="n">
        <v>0</v>
      </c>
      <c r="W43" s="44" t="n">
        <v>0</v>
      </c>
      <c r="X43" s="45" t="n">
        <v>2.3</v>
      </c>
      <c r="Y43" s="45" t="n">
        <v>2.3</v>
      </c>
      <c r="Z43" s="46" t="n">
        <v>0.0099</v>
      </c>
      <c r="AA43" s="46" t="n">
        <v>0.0186</v>
      </c>
      <c r="AB43" s="46" t="n">
        <v>0.0108</v>
      </c>
      <c r="AC43" s="46" t="n">
        <v>0.0089</v>
      </c>
      <c r="AD43" s="46" t="n">
        <v>0.0245</v>
      </c>
      <c r="AE43" s="47" t="n">
        <v>-99999</v>
      </c>
      <c r="AF43" s="47" t="n">
        <v>-99999</v>
      </c>
      <c r="AG43" s="47" t="n">
        <v>-99999</v>
      </c>
      <c r="AH43" s="46" t="n">
        <v>0.0342</v>
      </c>
      <c r="AI43" s="46" t="n">
        <v>0.0165</v>
      </c>
      <c r="AJ43" s="47" t="n">
        <v>-99999</v>
      </c>
      <c r="AK43" s="45" t="n">
        <v>-99999</v>
      </c>
      <c r="AL43" s="46" t="n">
        <v>0.1358</v>
      </c>
      <c r="AM43" s="46"/>
      <c r="AN43" s="47" t="n">
        <v>-99999</v>
      </c>
      <c r="AO43" s="46" t="n">
        <v>0.0187</v>
      </c>
      <c r="AP43" s="46"/>
      <c r="AQ43" s="47" t="n">
        <v>-99999</v>
      </c>
      <c r="AR43" s="46" t="n">
        <v>0.0351</v>
      </c>
      <c r="AS43" s="46"/>
      <c r="AT43" s="46" t="n">
        <v>0.1968</v>
      </c>
      <c r="AU43" s="46" t="n">
        <v>0.2062</v>
      </c>
      <c r="AV43" s="46"/>
      <c r="AW43" s="47" t="n">
        <v>-99999</v>
      </c>
      <c r="AX43" s="47" t="n">
        <v>-99999</v>
      </c>
    </row>
    <row r="44" customFormat="false" ht="13.8" hidden="false" customHeight="false" outlineLevel="0" collapsed="false">
      <c r="A44" s="50" t="n">
        <v>38</v>
      </c>
      <c r="B44" s="35" t="n">
        <v>-0.3</v>
      </c>
      <c r="C44" s="35" t="n">
        <v>-2</v>
      </c>
      <c r="D44" s="54" t="n">
        <v>40696</v>
      </c>
      <c r="E44" s="37" t="s">
        <v>247</v>
      </c>
      <c r="F44" s="38" t="s">
        <v>248</v>
      </c>
      <c r="G44" s="38" t="s">
        <v>249</v>
      </c>
      <c r="H44" s="42" t="n">
        <v>35.902</v>
      </c>
      <c r="I44" s="42" t="n">
        <v>24.618</v>
      </c>
      <c r="J44" s="39" t="n">
        <v>241</v>
      </c>
      <c r="K44" s="39" t="s">
        <v>250</v>
      </c>
      <c r="L44" s="39" t="s">
        <v>251</v>
      </c>
      <c r="M44" s="39" t="s">
        <v>250</v>
      </c>
      <c r="N44" s="42" t="s">
        <v>252</v>
      </c>
      <c r="O44" s="39" t="n">
        <v>35.9141</v>
      </c>
      <c r="P44" s="44" t="n">
        <v>0.04</v>
      </c>
      <c r="Q44" s="44" t="n">
        <v>0.04</v>
      </c>
      <c r="R44" s="45" t="n">
        <v>0.7</v>
      </c>
      <c r="S44" s="45" t="n">
        <v>0.7</v>
      </c>
      <c r="T44" s="45" t="n">
        <f aca="false">SUM(P44,R44)</f>
        <v>0.74</v>
      </c>
      <c r="U44" s="45" t="n">
        <f aca="false">SUM(Q44,S44)</f>
        <v>0.74</v>
      </c>
      <c r="V44" s="44" t="n">
        <v>0.16</v>
      </c>
      <c r="W44" s="44" t="n">
        <v>0.15</v>
      </c>
      <c r="X44" s="45" t="n">
        <v>1.2</v>
      </c>
      <c r="Y44" s="45" t="n">
        <v>1.1</v>
      </c>
      <c r="Z44" s="46" t="n">
        <v>0.013</v>
      </c>
      <c r="AA44" s="46" t="n">
        <v>0.0241</v>
      </c>
      <c r="AB44" s="46" t="n">
        <v>0.0064</v>
      </c>
      <c r="AC44" s="46" t="n">
        <v>0.0219</v>
      </c>
      <c r="AD44" s="46" t="n">
        <v>0.0258</v>
      </c>
      <c r="AE44" s="47" t="n">
        <v>-99999</v>
      </c>
      <c r="AF44" s="47" t="n">
        <v>-99999</v>
      </c>
      <c r="AG44" s="47" t="n">
        <v>-99999</v>
      </c>
      <c r="AH44" s="46" t="n">
        <v>0.0459</v>
      </c>
      <c r="AI44" s="46" t="n">
        <v>0.014</v>
      </c>
      <c r="AJ44" s="46" t="n">
        <v>0.0008</v>
      </c>
      <c r="AK44" s="46" t="n">
        <v>0.004</v>
      </c>
      <c r="AL44" s="46" t="n">
        <v>0.0581</v>
      </c>
      <c r="AM44" s="46"/>
      <c r="AN44" s="47" t="n">
        <v>-99999</v>
      </c>
      <c r="AO44" s="46" t="n">
        <v>0.0098</v>
      </c>
      <c r="AP44" s="46"/>
      <c r="AQ44" s="47" t="n">
        <v>-99999</v>
      </c>
      <c r="AR44" s="47" t="n">
        <v>-99999</v>
      </c>
      <c r="AS44" s="47"/>
      <c r="AT44" s="46" t="n">
        <v>0.0614</v>
      </c>
      <c r="AU44" s="46" t="n">
        <v>0.1391</v>
      </c>
      <c r="AV44" s="46"/>
      <c r="AW44" s="47" t="n">
        <v>-99999</v>
      </c>
      <c r="AX44" s="47" t="n">
        <v>-99999</v>
      </c>
    </row>
    <row r="45" customFormat="false" ht="13.8" hidden="false" customHeight="false" outlineLevel="0" collapsed="false">
      <c r="A45" s="50" t="n">
        <v>39</v>
      </c>
      <c r="B45" s="35" t="n">
        <v>-0.3</v>
      </c>
      <c r="C45" s="35" t="n">
        <v>-4</v>
      </c>
      <c r="D45" s="54" t="n">
        <v>40697</v>
      </c>
      <c r="E45" s="37" t="s">
        <v>253</v>
      </c>
      <c r="F45" s="38" t="s">
        <v>248</v>
      </c>
      <c r="G45" s="38" t="s">
        <v>254</v>
      </c>
      <c r="H45" s="42" t="n">
        <v>35.879</v>
      </c>
      <c r="I45" s="42" t="n">
        <v>24.61</v>
      </c>
      <c r="J45" s="39" t="n">
        <v>242</v>
      </c>
      <c r="K45" s="39" t="s">
        <v>255</v>
      </c>
      <c r="L45" s="39" t="s">
        <v>251</v>
      </c>
      <c r="M45" s="39" t="s">
        <v>255</v>
      </c>
      <c r="N45" s="42"/>
      <c r="O45" s="39" t="n">
        <v>35.8852</v>
      </c>
      <c r="P45" s="44" t="n">
        <v>0.04</v>
      </c>
      <c r="Q45" s="44" t="n">
        <v>0.04</v>
      </c>
      <c r="R45" s="45" t="n">
        <v>0.8</v>
      </c>
      <c r="S45" s="45" t="n">
        <v>0.8</v>
      </c>
      <c r="T45" s="45" t="n">
        <f aca="false">SUM(P45,R45)</f>
        <v>0.84</v>
      </c>
      <c r="U45" s="45" t="n">
        <f aca="false">SUM(Q45,S45)</f>
        <v>0.84</v>
      </c>
      <c r="V45" s="44" t="n">
        <v>0.14</v>
      </c>
      <c r="W45" s="44" t="n">
        <v>0.14</v>
      </c>
      <c r="X45" s="45" t="n">
        <v>1.1</v>
      </c>
      <c r="Y45" s="45" t="n">
        <v>1.1</v>
      </c>
      <c r="Z45" s="46" t="n">
        <v>0.0185</v>
      </c>
      <c r="AA45" s="46" t="n">
        <v>0.0258</v>
      </c>
      <c r="AB45" s="46" t="n">
        <v>0.0082</v>
      </c>
      <c r="AC45" s="46" t="n">
        <v>0.0266</v>
      </c>
      <c r="AD45" s="46" t="n">
        <v>0.0182</v>
      </c>
      <c r="AE45" s="47" t="n">
        <v>-99999</v>
      </c>
      <c r="AF45" s="47" t="n">
        <v>-99999</v>
      </c>
      <c r="AG45" s="47" t="n">
        <v>-99999</v>
      </c>
      <c r="AH45" s="46" t="n">
        <v>0.0712</v>
      </c>
      <c r="AI45" s="46" t="n">
        <v>0.0111</v>
      </c>
      <c r="AJ45" s="46" t="n">
        <v>0.0009</v>
      </c>
      <c r="AK45" s="46" t="n">
        <v>0.0022</v>
      </c>
      <c r="AL45" s="46" t="n">
        <v>0.0391</v>
      </c>
      <c r="AM45" s="46"/>
      <c r="AN45" s="47" t="n">
        <v>-99999</v>
      </c>
      <c r="AO45" s="46" t="n">
        <v>0.0133</v>
      </c>
      <c r="AP45" s="46"/>
      <c r="AQ45" s="47" t="n">
        <v>-99999</v>
      </c>
      <c r="AR45" s="47" t="n">
        <v>-99999</v>
      </c>
      <c r="AS45" s="47"/>
      <c r="AT45" s="46" t="n">
        <v>0.0606</v>
      </c>
      <c r="AU45" s="46" t="n">
        <v>0.1663</v>
      </c>
      <c r="AV45" s="46"/>
      <c r="AW45" s="47" t="n">
        <v>-99999</v>
      </c>
      <c r="AX45" s="47" t="n">
        <v>-99999</v>
      </c>
    </row>
    <row r="46" customFormat="false" ht="13.8" hidden="false" customHeight="false" outlineLevel="0" collapsed="false">
      <c r="A46" s="50" t="n">
        <v>40</v>
      </c>
      <c r="B46" s="35" t="n">
        <v>-0.3</v>
      </c>
      <c r="C46" s="35" t="n">
        <v>-6</v>
      </c>
      <c r="D46" s="54" t="n">
        <v>40697</v>
      </c>
      <c r="E46" s="37" t="s">
        <v>253</v>
      </c>
      <c r="F46" s="38" t="s">
        <v>248</v>
      </c>
      <c r="G46" s="38" t="s">
        <v>254</v>
      </c>
      <c r="H46" s="42"/>
      <c r="I46" s="42"/>
      <c r="J46" s="39"/>
      <c r="K46" s="39"/>
      <c r="L46" s="39" t="s">
        <v>251</v>
      </c>
      <c r="M46" s="39"/>
      <c r="N46" s="42" t="s">
        <v>256</v>
      </c>
      <c r="O46" s="39"/>
      <c r="P46" s="44" t="n">
        <v>0.06</v>
      </c>
      <c r="Q46" s="44" t="n">
        <v>0.06</v>
      </c>
      <c r="R46" s="45" t="n">
        <v>1.8</v>
      </c>
      <c r="S46" s="45" t="n">
        <v>1.7</v>
      </c>
      <c r="T46" s="45" t="n">
        <f aca="false">SUM(P46,R46)</f>
        <v>1.86</v>
      </c>
      <c r="U46" s="45" t="n">
        <f aca="false">SUM(Q46,S46)</f>
        <v>1.76</v>
      </c>
      <c r="V46" s="44" t="n">
        <v>0.28</v>
      </c>
      <c r="W46" s="44" t="n">
        <v>0.28</v>
      </c>
      <c r="X46" s="45" t="n">
        <v>1.3</v>
      </c>
      <c r="Y46" s="45" t="n">
        <v>1.3</v>
      </c>
      <c r="Z46" s="55"/>
      <c r="AA46" s="55"/>
      <c r="AB46" s="55"/>
      <c r="AC46" s="55"/>
      <c r="AD46" s="55"/>
      <c r="AE46" s="47"/>
      <c r="AF46" s="47"/>
      <c r="AG46" s="47"/>
      <c r="AH46" s="46"/>
      <c r="AI46" s="46"/>
      <c r="AJ46" s="46"/>
      <c r="AK46" s="46"/>
      <c r="AL46" s="46"/>
      <c r="AM46" s="46"/>
      <c r="AN46" s="47"/>
      <c r="AO46" s="46"/>
      <c r="AP46" s="46"/>
      <c r="AQ46" s="47"/>
      <c r="AR46" s="46"/>
      <c r="AS46" s="46"/>
      <c r="AT46" s="46"/>
      <c r="AU46" s="46"/>
      <c r="AV46" s="46"/>
      <c r="AW46" s="47"/>
      <c r="AX46" s="47"/>
    </row>
    <row r="47" customFormat="false" ht="13.8" hidden="false" customHeight="false" outlineLevel="0" collapsed="false">
      <c r="A47" s="50" t="n">
        <v>41</v>
      </c>
      <c r="B47" s="35" t="n">
        <v>-0.3</v>
      </c>
      <c r="C47" s="35" t="n">
        <v>-8</v>
      </c>
      <c r="D47" s="54" t="n">
        <v>40698</v>
      </c>
      <c r="E47" s="37" t="s">
        <v>257</v>
      </c>
      <c r="F47" s="38" t="s">
        <v>248</v>
      </c>
      <c r="G47" s="38" t="s">
        <v>258</v>
      </c>
      <c r="H47" s="42" t="n">
        <v>35.979</v>
      </c>
      <c r="I47" s="42" t="n">
        <v>23.725</v>
      </c>
      <c r="J47" s="39" t="n">
        <v>243</v>
      </c>
      <c r="K47" s="39" t="s">
        <v>259</v>
      </c>
      <c r="L47" s="39" t="s">
        <v>251</v>
      </c>
      <c r="M47" s="39" t="s">
        <v>259</v>
      </c>
      <c r="N47" s="42"/>
      <c r="O47" s="39" t="n">
        <v>35.9892</v>
      </c>
      <c r="P47" s="44" t="n">
        <v>0.06</v>
      </c>
      <c r="Q47" s="44" t="n">
        <v>0.05</v>
      </c>
      <c r="R47" s="45" t="n">
        <v>1.3</v>
      </c>
      <c r="S47" s="45" t="n">
        <v>1.3</v>
      </c>
      <c r="T47" s="45" t="n">
        <f aca="false">SUM(P47,R47)</f>
        <v>1.36</v>
      </c>
      <c r="U47" s="45" t="n">
        <f aca="false">SUM(Q47,S47)</f>
        <v>1.35</v>
      </c>
      <c r="V47" s="44" t="n">
        <v>0.22</v>
      </c>
      <c r="W47" s="44" t="n">
        <v>0.21</v>
      </c>
      <c r="X47" s="45" t="n">
        <v>1.4</v>
      </c>
      <c r="Y47" s="45" t="n">
        <v>1.4</v>
      </c>
      <c r="Z47" s="46" t="n">
        <v>0.0228</v>
      </c>
      <c r="AA47" s="46" t="n">
        <v>0.025</v>
      </c>
      <c r="AB47" s="46" t="n">
        <v>0.0056</v>
      </c>
      <c r="AC47" s="46" t="n">
        <v>0.036</v>
      </c>
      <c r="AD47" s="46" t="n">
        <v>0.0208</v>
      </c>
      <c r="AE47" s="47" t="n">
        <v>-99999</v>
      </c>
      <c r="AF47" s="47" t="n">
        <v>-99999</v>
      </c>
      <c r="AG47" s="47" t="n">
        <v>-99999</v>
      </c>
      <c r="AH47" s="46" t="n">
        <v>0.0595</v>
      </c>
      <c r="AI47" s="46" t="n">
        <v>0.0111</v>
      </c>
      <c r="AJ47" s="46" t="n">
        <v>0.0008</v>
      </c>
      <c r="AK47" s="46" t="n">
        <v>0.0027</v>
      </c>
      <c r="AL47" s="46" t="n">
        <v>0.0113</v>
      </c>
      <c r="AM47" s="46"/>
      <c r="AN47" s="47" t="n">
        <v>-99999</v>
      </c>
      <c r="AO47" s="46" t="n">
        <v>0.0095</v>
      </c>
      <c r="AP47" s="46"/>
      <c r="AQ47" s="47" t="n">
        <v>-99999</v>
      </c>
      <c r="AR47" s="46" t="n">
        <v>0.0076</v>
      </c>
      <c r="AS47" s="46"/>
      <c r="AT47" s="46" t="n">
        <v>0.014</v>
      </c>
      <c r="AU47" s="46" t="n">
        <v>0.1616</v>
      </c>
      <c r="AV47" s="46"/>
      <c r="AW47" s="47" t="n">
        <v>-99999</v>
      </c>
      <c r="AX47" s="47" t="n">
        <v>-99999</v>
      </c>
    </row>
    <row r="48" customFormat="false" ht="13.8" hidden="false" customHeight="false" outlineLevel="0" collapsed="false">
      <c r="A48" s="50" t="n">
        <v>42</v>
      </c>
      <c r="B48" s="35" t="n">
        <v>0</v>
      </c>
      <c r="C48" s="35" t="n">
        <v>-12</v>
      </c>
      <c r="D48" s="54" t="n">
        <v>40700</v>
      </c>
      <c r="E48" s="37" t="s">
        <v>260</v>
      </c>
      <c r="F48" s="38" t="s">
        <v>221</v>
      </c>
      <c r="G48" s="38" t="s">
        <v>261</v>
      </c>
      <c r="H48" s="42" t="n">
        <v>35.816</v>
      </c>
      <c r="I48" s="42" t="n">
        <v>24.403</v>
      </c>
      <c r="J48" s="39" t="n">
        <v>244</v>
      </c>
      <c r="K48" s="39" t="s">
        <v>262</v>
      </c>
      <c r="L48" s="39" t="s">
        <v>251</v>
      </c>
      <c r="M48" s="39" t="s">
        <v>262</v>
      </c>
      <c r="N48" s="42" t="s">
        <v>263</v>
      </c>
      <c r="O48" s="39" t="n">
        <v>35.827</v>
      </c>
      <c r="P48" s="44" t="n">
        <v>0.04</v>
      </c>
      <c r="Q48" s="44" t="n">
        <v>0.04</v>
      </c>
      <c r="R48" s="45" t="n">
        <v>0.5</v>
      </c>
      <c r="S48" s="45" t="n">
        <v>0.5</v>
      </c>
      <c r="T48" s="45" t="n">
        <f aca="false">SUM(P48,R48)</f>
        <v>0.54</v>
      </c>
      <c r="U48" s="45" t="n">
        <f aca="false">SUM(Q48,S48)</f>
        <v>0.54</v>
      </c>
      <c r="V48" s="44" t="n">
        <v>0.16</v>
      </c>
      <c r="W48" s="44" t="n">
        <v>0.16</v>
      </c>
      <c r="X48" s="45" t="n">
        <v>1.1</v>
      </c>
      <c r="Y48" s="45" t="n">
        <v>1.1</v>
      </c>
      <c r="Z48" s="46" t="n">
        <v>0.0468</v>
      </c>
      <c r="AA48" s="46" t="n">
        <v>0.0758</v>
      </c>
      <c r="AB48" s="46" t="n">
        <v>0.019</v>
      </c>
      <c r="AC48" s="46" t="n">
        <v>0.05</v>
      </c>
      <c r="AD48" s="46" t="n">
        <v>0.0631</v>
      </c>
      <c r="AE48" s="47" t="n">
        <v>-99999</v>
      </c>
      <c r="AF48" s="47" t="n">
        <v>-99999</v>
      </c>
      <c r="AG48" s="47" t="n">
        <v>-99999</v>
      </c>
      <c r="AH48" s="46" t="n">
        <v>0.1877</v>
      </c>
      <c r="AI48" s="46" t="n">
        <v>0.0366</v>
      </c>
      <c r="AJ48" s="46" t="n">
        <v>0.0035</v>
      </c>
      <c r="AK48" s="46" t="n">
        <v>0.0049</v>
      </c>
      <c r="AL48" s="46" t="n">
        <v>0.1731</v>
      </c>
      <c r="AM48" s="46"/>
      <c r="AN48" s="47" t="n">
        <v>-99999</v>
      </c>
      <c r="AO48" s="46" t="n">
        <v>0.0392</v>
      </c>
      <c r="AP48" s="46"/>
      <c r="AQ48" s="47"/>
      <c r="AR48" s="47" t="n">
        <v>-99999</v>
      </c>
      <c r="AS48" s="47"/>
      <c r="AT48" s="46" t="n">
        <v>0.2292</v>
      </c>
      <c r="AU48" s="46" t="n">
        <v>0.4577</v>
      </c>
      <c r="AV48" s="46"/>
      <c r="AW48" s="47" t="n">
        <v>-99999</v>
      </c>
      <c r="AX48" s="47"/>
    </row>
    <row r="49" customFormat="false" ht="13.8" hidden="false" customHeight="false" outlineLevel="0" collapsed="false">
      <c r="A49" s="50" t="n">
        <v>43</v>
      </c>
      <c r="B49" s="35" t="n">
        <v>0</v>
      </c>
      <c r="C49" s="35" t="n">
        <v>-14</v>
      </c>
      <c r="D49" s="54" t="n">
        <v>40700</v>
      </c>
      <c r="E49" s="37" t="s">
        <v>264</v>
      </c>
      <c r="F49" s="38" t="s">
        <v>221</v>
      </c>
      <c r="G49" s="38" t="s">
        <v>265</v>
      </c>
      <c r="H49" s="42" t="n">
        <v>35.928</v>
      </c>
      <c r="I49" s="42" t="n">
        <v>25.157</v>
      </c>
      <c r="J49" s="39" t="n">
        <v>245</v>
      </c>
      <c r="K49" s="39" t="s">
        <v>266</v>
      </c>
      <c r="L49" s="39" t="s">
        <v>251</v>
      </c>
      <c r="M49" s="39" t="s">
        <v>266</v>
      </c>
      <c r="N49" s="42"/>
      <c r="O49" s="39" t="n">
        <v>35.9398</v>
      </c>
      <c r="P49" s="44" t="n">
        <v>0.03</v>
      </c>
      <c r="Q49" s="44" t="n">
        <v>0.03</v>
      </c>
      <c r="R49" s="45" t="n">
        <v>0.1</v>
      </c>
      <c r="S49" s="45" t="n">
        <v>0.1</v>
      </c>
      <c r="T49" s="45" t="n">
        <f aca="false">SUM(P49,R49)</f>
        <v>0.13</v>
      </c>
      <c r="U49" s="45" t="n">
        <f aca="false">SUM(Q49,S49)</f>
        <v>0.13</v>
      </c>
      <c r="V49" s="44" t="n">
        <v>0.15</v>
      </c>
      <c r="W49" s="44" t="n">
        <v>0.15</v>
      </c>
      <c r="X49" s="45" t="n">
        <v>0.9</v>
      </c>
      <c r="Y49" s="45" t="n">
        <v>0.8</v>
      </c>
      <c r="Z49" s="46" t="n">
        <v>0.0486</v>
      </c>
      <c r="AA49" s="46" t="n">
        <v>0.0624</v>
      </c>
      <c r="AB49" s="46" t="n">
        <v>0.0084</v>
      </c>
      <c r="AC49" s="46" t="n">
        <v>0.0604</v>
      </c>
      <c r="AD49" s="46" t="n">
        <v>0.0482</v>
      </c>
      <c r="AE49" s="47" t="n">
        <v>-99999</v>
      </c>
      <c r="AF49" s="47" t="n">
        <v>-99999</v>
      </c>
      <c r="AG49" s="47" t="n">
        <v>-99999</v>
      </c>
      <c r="AH49" s="46" t="n">
        <v>0.207</v>
      </c>
      <c r="AI49" s="46" t="n">
        <v>0.1124</v>
      </c>
      <c r="AJ49" s="47" t="n">
        <v>-99999</v>
      </c>
      <c r="AK49" s="46" t="n">
        <v>0.0389</v>
      </c>
      <c r="AL49" s="46" t="n">
        <v>0.0693</v>
      </c>
      <c r="AM49" s="46"/>
      <c r="AN49" s="47" t="n">
        <v>-99999</v>
      </c>
      <c r="AO49" s="46" t="n">
        <v>0.0246</v>
      </c>
      <c r="AP49" s="46"/>
      <c r="AQ49" s="47" t="n">
        <v>-99999</v>
      </c>
      <c r="AR49" s="46" t="n">
        <v>0.0231</v>
      </c>
      <c r="AS49" s="46"/>
      <c r="AT49" s="46" t="n">
        <v>0.0909</v>
      </c>
      <c r="AU49" s="46" t="n">
        <v>0.4495</v>
      </c>
      <c r="AV49" s="46"/>
      <c r="AW49" s="47" t="n">
        <v>-99999</v>
      </c>
      <c r="AX49" s="47"/>
    </row>
    <row r="50" customFormat="false" ht="13.8" hidden="false" customHeight="false" outlineLevel="0" collapsed="false">
      <c r="A50" s="50" t="n">
        <v>44</v>
      </c>
      <c r="B50" s="35" t="n">
        <v>0</v>
      </c>
      <c r="C50" s="56" t="n">
        <v>-16</v>
      </c>
      <c r="D50" s="54" t="n">
        <v>40700</v>
      </c>
      <c r="E50" s="37" t="s">
        <v>267</v>
      </c>
      <c r="F50" s="38" t="s">
        <v>221</v>
      </c>
      <c r="G50" s="38" t="s">
        <v>268</v>
      </c>
      <c r="H50" s="42" t="n">
        <v>36.124</v>
      </c>
      <c r="I50" s="42" t="n">
        <v>25.254</v>
      </c>
      <c r="J50" s="39" t="n">
        <v>246</v>
      </c>
      <c r="K50" s="39" t="s">
        <v>269</v>
      </c>
      <c r="L50" s="39" t="s">
        <v>251</v>
      </c>
      <c r="M50" s="39" t="s">
        <v>269</v>
      </c>
      <c r="N50" s="42"/>
      <c r="O50" s="39" t="n">
        <v>36.1378</v>
      </c>
      <c r="P50" s="44" t="n">
        <v>0</v>
      </c>
      <c r="Q50" s="44" t="n">
        <v>0</v>
      </c>
      <c r="R50" s="45" t="n">
        <v>0</v>
      </c>
      <c r="S50" s="45" t="n">
        <v>0</v>
      </c>
      <c r="T50" s="45" t="n">
        <f aca="false">SUM(P50,R50)</f>
        <v>0</v>
      </c>
      <c r="U50" s="45" t="n">
        <f aca="false">SUM(Q50,S50)</f>
        <v>0</v>
      </c>
      <c r="V50" s="44" t="n">
        <v>0.12</v>
      </c>
      <c r="W50" s="44" t="n">
        <v>0.11</v>
      </c>
      <c r="X50" s="45" t="n">
        <v>0.8</v>
      </c>
      <c r="Y50" s="45" t="n">
        <v>0.8</v>
      </c>
      <c r="Z50" s="46" t="n">
        <v>0.0338</v>
      </c>
      <c r="AA50" s="46" t="n">
        <v>0.0477</v>
      </c>
      <c r="AB50" s="46" t="n">
        <v>0.0095</v>
      </c>
      <c r="AC50" s="46" t="n">
        <v>0.0455</v>
      </c>
      <c r="AD50" s="46" t="n">
        <v>0.0474</v>
      </c>
      <c r="AE50" s="47" t="n">
        <v>-99999</v>
      </c>
      <c r="AF50" s="47" t="n">
        <v>-99999</v>
      </c>
      <c r="AG50" s="47" t="n">
        <v>-99999</v>
      </c>
      <c r="AH50" s="46" t="n">
        <v>0.1352</v>
      </c>
      <c r="AI50" s="46" t="n">
        <v>0.0275</v>
      </c>
      <c r="AJ50" s="47" t="n">
        <v>-99999</v>
      </c>
      <c r="AK50" s="46" t="n">
        <v>0.0049</v>
      </c>
      <c r="AL50" s="46" t="n">
        <v>0.0526</v>
      </c>
      <c r="AM50" s="46"/>
      <c r="AN50" s="47" t="n">
        <v>-99999</v>
      </c>
      <c r="AO50" s="46" t="n">
        <v>0.0182</v>
      </c>
      <c r="AP50" s="46"/>
      <c r="AQ50" s="47" t="n">
        <v>-99999</v>
      </c>
      <c r="AR50" s="46" t="n">
        <v>0.0149</v>
      </c>
      <c r="AS50" s="46"/>
      <c r="AT50" s="46" t="n">
        <v>0.0619</v>
      </c>
      <c r="AU50" s="46" t="n">
        <v>0.2898</v>
      </c>
      <c r="AV50" s="46"/>
      <c r="AW50" s="47" t="n">
        <v>-99999</v>
      </c>
      <c r="AX50" s="47" t="n">
        <v>-99999</v>
      </c>
    </row>
    <row r="51" customFormat="false" ht="13.8" hidden="false" customHeight="false" outlineLevel="0" collapsed="false">
      <c r="A51" s="50" t="n">
        <v>45</v>
      </c>
      <c r="B51" s="35" t="n">
        <v>0</v>
      </c>
      <c r="C51" s="56" t="n">
        <v>-18</v>
      </c>
      <c r="D51" s="54" t="n">
        <v>40701</v>
      </c>
      <c r="E51" s="37" t="s">
        <v>270</v>
      </c>
      <c r="F51" s="38" t="s">
        <v>221</v>
      </c>
      <c r="G51" s="38" t="s">
        <v>271</v>
      </c>
      <c r="H51" s="42" t="n">
        <v>36.204</v>
      </c>
      <c r="I51" s="42" t="n">
        <v>25.412</v>
      </c>
      <c r="J51" s="39" t="n">
        <v>247</v>
      </c>
      <c r="K51" s="39" t="s">
        <v>272</v>
      </c>
      <c r="L51" s="39" t="s">
        <v>251</v>
      </c>
      <c r="M51" s="39" t="s">
        <v>272</v>
      </c>
      <c r="N51" s="42" t="s">
        <v>273</v>
      </c>
      <c r="O51" s="39" t="n">
        <v>36.2159</v>
      </c>
      <c r="P51" s="44" t="n">
        <v>0</v>
      </c>
      <c r="Q51" s="44" t="n">
        <v>0</v>
      </c>
      <c r="R51" s="45" t="n">
        <v>0</v>
      </c>
      <c r="S51" s="45" t="n">
        <v>0</v>
      </c>
      <c r="T51" s="45" t="n">
        <f aca="false">SUM(P51,R51)</f>
        <v>0</v>
      </c>
      <c r="U51" s="45" t="n">
        <f aca="false">SUM(Q51,S51)</f>
        <v>0</v>
      </c>
      <c r="V51" s="44" t="n">
        <v>0.13</v>
      </c>
      <c r="W51" s="44" t="n">
        <v>0.13</v>
      </c>
      <c r="X51" s="45" t="n">
        <v>0.7</v>
      </c>
      <c r="Y51" s="45" t="n">
        <v>0.7</v>
      </c>
      <c r="Z51" s="46" t="n">
        <v>0.0208</v>
      </c>
      <c r="AA51" s="46" t="n">
        <v>0.0384</v>
      </c>
      <c r="AB51" s="46" t="n">
        <v>0.0071</v>
      </c>
      <c r="AC51" s="46" t="n">
        <v>0.0228</v>
      </c>
      <c r="AD51" s="46" t="n">
        <v>0.0329</v>
      </c>
      <c r="AE51" s="47" t="n">
        <v>-99999</v>
      </c>
      <c r="AF51" s="47" t="n">
        <v>-99999</v>
      </c>
      <c r="AG51" s="47" t="n">
        <v>-99999</v>
      </c>
      <c r="AH51" s="46" t="n">
        <v>0.079</v>
      </c>
      <c r="AI51" s="46" t="n">
        <v>0.0223</v>
      </c>
      <c r="AJ51" s="47" t="n">
        <v>-99999</v>
      </c>
      <c r="AK51" s="46" t="n">
        <v>0.0034</v>
      </c>
      <c r="AL51" s="46" t="n">
        <v>0.1597</v>
      </c>
      <c r="AM51" s="46"/>
      <c r="AN51" s="47" t="n">
        <v>-99999</v>
      </c>
      <c r="AO51" s="46" t="n">
        <v>0.0278</v>
      </c>
      <c r="AP51" s="46"/>
      <c r="AQ51" s="47" t="n">
        <v>-99999</v>
      </c>
      <c r="AR51" s="47" t="n">
        <v>-99999</v>
      </c>
      <c r="AS51" s="47"/>
      <c r="AT51" s="46" t="n">
        <v>0.2741</v>
      </c>
      <c r="AU51" s="46" t="n">
        <v>0.2281</v>
      </c>
      <c r="AV51" s="46"/>
      <c r="AW51" s="47" t="n">
        <v>-99999</v>
      </c>
      <c r="AX51" s="47" t="n">
        <v>-99999</v>
      </c>
    </row>
    <row r="52" customFormat="false" ht="13.8" hidden="false" customHeight="false" outlineLevel="0" collapsed="false">
      <c r="A52" s="50" t="n">
        <v>46</v>
      </c>
      <c r="B52" s="35" t="n">
        <v>0</v>
      </c>
      <c r="C52" s="56" t="n">
        <v>-20</v>
      </c>
      <c r="D52" s="54" t="n">
        <v>40701</v>
      </c>
      <c r="E52" s="37" t="s">
        <v>274</v>
      </c>
      <c r="F52" s="38" t="s">
        <v>221</v>
      </c>
      <c r="G52" s="38" t="s">
        <v>275</v>
      </c>
      <c r="H52" s="42" t="n">
        <v>36.33</v>
      </c>
      <c r="I52" s="42" t="n">
        <v>25.92</v>
      </c>
      <c r="J52" s="39" t="n">
        <v>248</v>
      </c>
      <c r="K52" s="39" t="s">
        <v>276</v>
      </c>
      <c r="L52" s="39" t="s">
        <v>251</v>
      </c>
      <c r="M52" s="39" t="s">
        <v>276</v>
      </c>
      <c r="N52" s="42"/>
      <c r="O52" s="39" t="n">
        <v>36.3422</v>
      </c>
      <c r="P52" s="44" t="n">
        <v>0</v>
      </c>
      <c r="Q52" s="44" t="n">
        <v>0</v>
      </c>
      <c r="R52" s="45" t="n">
        <v>0</v>
      </c>
      <c r="S52" s="45" t="n">
        <v>0</v>
      </c>
      <c r="T52" s="45" t="n">
        <f aca="false">SUM(P52,R52)</f>
        <v>0</v>
      </c>
      <c r="U52" s="45" t="n">
        <f aca="false">SUM(Q52,S52)</f>
        <v>0</v>
      </c>
      <c r="V52" s="44" t="n">
        <v>0.13</v>
      </c>
      <c r="W52" s="44" t="n">
        <v>0.13</v>
      </c>
      <c r="X52" s="45" t="n">
        <v>0.6</v>
      </c>
      <c r="Y52" s="45" t="n">
        <v>0.6</v>
      </c>
      <c r="Z52" s="46" t="n">
        <v>0.0175</v>
      </c>
      <c r="AA52" s="46" t="n">
        <v>0.0288</v>
      </c>
      <c r="AB52" s="46" t="n">
        <v>0.0079</v>
      </c>
      <c r="AC52" s="46" t="n">
        <v>0.0247</v>
      </c>
      <c r="AD52" s="46" t="n">
        <v>0.0279</v>
      </c>
      <c r="AE52" s="47" t="n">
        <v>-99999</v>
      </c>
      <c r="AF52" s="47" t="n">
        <v>-99999</v>
      </c>
      <c r="AG52" s="47" t="n">
        <v>-99999</v>
      </c>
      <c r="AH52" s="46" t="n">
        <v>0.0727</v>
      </c>
      <c r="AI52" s="46" t="n">
        <v>0.0162</v>
      </c>
      <c r="AJ52" s="47" t="n">
        <v>-99999</v>
      </c>
      <c r="AK52" s="46" t="n">
        <v>0.0036</v>
      </c>
      <c r="AL52" s="46" t="n">
        <v>0.0271</v>
      </c>
      <c r="AM52" s="46"/>
      <c r="AN52" s="47" t="n">
        <v>-99999</v>
      </c>
      <c r="AO52" s="46" t="n">
        <v>0.0065</v>
      </c>
      <c r="AP52" s="46"/>
      <c r="AQ52" s="47" t="n">
        <v>-99999</v>
      </c>
      <c r="AR52" s="47" t="n">
        <v>-99999</v>
      </c>
      <c r="AS52" s="47"/>
      <c r="AT52" s="46" t="n">
        <v>0.026</v>
      </c>
      <c r="AU52" s="46" t="n">
        <v>0.1812</v>
      </c>
      <c r="AV52" s="46"/>
      <c r="AW52" s="47" t="n">
        <v>-99999</v>
      </c>
      <c r="AX52" s="47" t="n">
        <v>-99999</v>
      </c>
    </row>
    <row r="53" customFormat="false" ht="13.8" hidden="false" customHeight="false" outlineLevel="0" collapsed="false">
      <c r="A53" s="50" t="n">
        <v>47</v>
      </c>
      <c r="B53" s="35" t="n">
        <v>0</v>
      </c>
      <c r="C53" s="56" t="n">
        <v>-22</v>
      </c>
      <c r="D53" s="54" t="n">
        <v>40702</v>
      </c>
      <c r="E53" s="37" t="s">
        <v>277</v>
      </c>
      <c r="F53" s="38" t="s">
        <v>221</v>
      </c>
      <c r="G53" s="38" t="s">
        <v>278</v>
      </c>
      <c r="H53" s="42" t="n">
        <v>36.405</v>
      </c>
      <c r="I53" s="42" t="n">
        <v>25.86</v>
      </c>
      <c r="J53" s="39" t="n">
        <v>249</v>
      </c>
      <c r="K53" s="39" t="s">
        <v>279</v>
      </c>
      <c r="L53" s="39" t="s">
        <v>251</v>
      </c>
      <c r="M53" s="39" t="s">
        <v>279</v>
      </c>
      <c r="N53" s="42"/>
      <c r="O53" s="39" t="n">
        <v>36.4193</v>
      </c>
      <c r="P53" s="44" t="n">
        <v>0</v>
      </c>
      <c r="Q53" s="44" t="n">
        <v>0</v>
      </c>
      <c r="R53" s="45" t="n">
        <v>0</v>
      </c>
      <c r="S53" s="45" t="n">
        <v>0</v>
      </c>
      <c r="T53" s="45" t="n">
        <f aca="false">SUM(P53,R53)</f>
        <v>0</v>
      </c>
      <c r="U53" s="45" t="n">
        <f aca="false">SUM(Q53,S53)</f>
        <v>0</v>
      </c>
      <c r="V53" s="44" t="n">
        <v>0.03</v>
      </c>
      <c r="W53" s="44" t="n">
        <v>0.03</v>
      </c>
      <c r="X53" s="45" t="n">
        <v>0.4</v>
      </c>
      <c r="Y53" s="45" t="n">
        <v>0.4</v>
      </c>
      <c r="Z53" s="46" t="n">
        <v>0.0125</v>
      </c>
      <c r="AA53" s="46" t="n">
        <v>0.0158</v>
      </c>
      <c r="AB53" s="46" t="n">
        <v>0.0083</v>
      </c>
      <c r="AC53" s="46" t="n">
        <v>0.0167</v>
      </c>
      <c r="AD53" s="46" t="n">
        <v>0.0122</v>
      </c>
      <c r="AE53" s="47" t="n">
        <v>-99999</v>
      </c>
      <c r="AF53" s="47" t="n">
        <v>-99999</v>
      </c>
      <c r="AG53" s="47" t="n">
        <v>-99999</v>
      </c>
      <c r="AH53" s="46" t="n">
        <v>0.0503</v>
      </c>
      <c r="AI53" s="46" t="n">
        <v>0.0105</v>
      </c>
      <c r="AJ53" s="47" t="n">
        <v>-99999</v>
      </c>
      <c r="AK53" s="46" t="n">
        <v>0.0019</v>
      </c>
      <c r="AL53" s="46" t="n">
        <v>0.0258</v>
      </c>
      <c r="AM53" s="46"/>
      <c r="AN53" s="47" t="n">
        <v>-99999</v>
      </c>
      <c r="AO53" s="46" t="n">
        <v>0.006</v>
      </c>
      <c r="AP53" s="46"/>
      <c r="AQ53" s="47" t="n">
        <v>-99999</v>
      </c>
      <c r="AR53" s="46" t="n">
        <v>0.0099</v>
      </c>
      <c r="AS53" s="46"/>
      <c r="AT53" s="46" t="n">
        <v>0.0379</v>
      </c>
      <c r="AU53" s="46" t="n">
        <v>0.1133</v>
      </c>
      <c r="AV53" s="46"/>
      <c r="AW53" s="47" t="n">
        <v>-99999</v>
      </c>
      <c r="AX53" s="47" t="n">
        <v>-99999</v>
      </c>
    </row>
    <row r="54" customFormat="false" ht="13.8" hidden="false" customHeight="false" outlineLevel="0" collapsed="false">
      <c r="A54" s="50" t="n">
        <v>48</v>
      </c>
      <c r="B54" s="35" t="n">
        <v>-0.2</v>
      </c>
      <c r="C54" s="56" t="n">
        <v>-22.15</v>
      </c>
      <c r="D54" s="54" t="n">
        <v>40703</v>
      </c>
      <c r="E54" s="37" t="s">
        <v>280</v>
      </c>
      <c r="F54" s="38" t="s">
        <v>281</v>
      </c>
      <c r="G54" s="38" t="s">
        <v>282</v>
      </c>
      <c r="H54" s="42" t="n">
        <v>35.14</v>
      </c>
      <c r="I54" s="42" t="n">
        <v>27.92</v>
      </c>
      <c r="J54" s="39" t="n">
        <v>250</v>
      </c>
      <c r="K54" s="39" t="s">
        <v>283</v>
      </c>
      <c r="L54" s="39" t="s">
        <v>251</v>
      </c>
      <c r="M54" s="39" t="s">
        <v>283</v>
      </c>
      <c r="N54" s="42"/>
      <c r="O54" s="39" t="n">
        <v>35.1555</v>
      </c>
      <c r="P54" s="44" t="n">
        <v>0</v>
      </c>
      <c r="Q54" s="44" t="n">
        <v>0</v>
      </c>
      <c r="R54" s="45" t="n">
        <v>0</v>
      </c>
      <c r="S54" s="45" t="n">
        <v>0</v>
      </c>
      <c r="T54" s="45" t="n">
        <f aca="false">SUM(P54,R54)</f>
        <v>0</v>
      </c>
      <c r="U54" s="45" t="n">
        <f aca="false">SUM(Q54,S54)</f>
        <v>0</v>
      </c>
      <c r="V54" s="44" t="n">
        <v>0</v>
      </c>
      <c r="W54" s="44" t="n">
        <v>0</v>
      </c>
      <c r="X54" s="45" t="n">
        <v>0.3</v>
      </c>
      <c r="Y54" s="45" t="n">
        <v>0.2</v>
      </c>
      <c r="Z54" s="46" t="n">
        <v>-99999</v>
      </c>
      <c r="AA54" s="46" t="n">
        <v>0.0053</v>
      </c>
      <c r="AB54" s="46" t="n">
        <v>0.0031</v>
      </c>
      <c r="AC54" s="46" t="n">
        <v>0.0032</v>
      </c>
      <c r="AD54" s="46" t="n">
        <v>0.0051</v>
      </c>
      <c r="AE54" s="47" t="n">
        <v>-99999</v>
      </c>
      <c r="AF54" s="47" t="n">
        <v>-99999</v>
      </c>
      <c r="AG54" s="47" t="n">
        <v>-99999</v>
      </c>
      <c r="AH54" s="46" t="n">
        <v>0.013</v>
      </c>
      <c r="AI54" s="46" t="n">
        <v>0.0113</v>
      </c>
      <c r="AJ54" s="47" t="n">
        <v>-99999</v>
      </c>
      <c r="AK54" s="46" t="n">
        <v>0.0065</v>
      </c>
      <c r="AL54" s="46" t="n">
        <v>0.1238</v>
      </c>
      <c r="AM54" s="46"/>
      <c r="AN54" s="47" t="n">
        <v>-99999</v>
      </c>
      <c r="AO54" s="46" t="n">
        <v>0.0048</v>
      </c>
      <c r="AP54" s="46"/>
      <c r="AQ54" s="47" t="n">
        <v>-99999</v>
      </c>
      <c r="AR54" s="47" t="n">
        <v>-99999</v>
      </c>
      <c r="AS54" s="47"/>
      <c r="AT54" s="46" t="n">
        <v>0.1529</v>
      </c>
      <c r="AU54" s="46" t="n">
        <v>0.0669</v>
      </c>
      <c r="AV54" s="46"/>
      <c r="AW54" s="47" t="n">
        <v>-99999</v>
      </c>
      <c r="AX54" s="47" t="n">
        <v>-99999</v>
      </c>
    </row>
    <row r="55" customFormat="false" ht="13.8" hidden="false" customHeight="false" outlineLevel="0" collapsed="false">
      <c r="A55" s="50" t="n">
        <v>49</v>
      </c>
      <c r="B55" s="35" t="n">
        <v>-0.4</v>
      </c>
      <c r="C55" s="56" t="n">
        <v>-21.3</v>
      </c>
      <c r="D55" s="54" t="n">
        <v>40704</v>
      </c>
      <c r="E55" s="37" t="s">
        <v>284</v>
      </c>
      <c r="F55" s="38" t="s">
        <v>285</v>
      </c>
      <c r="G55" s="38" t="s">
        <v>286</v>
      </c>
      <c r="H55" s="42" t="n">
        <v>35.08</v>
      </c>
      <c r="I55" s="42" t="n">
        <v>28.81</v>
      </c>
      <c r="J55" s="39" t="n">
        <v>251</v>
      </c>
      <c r="K55" s="39" t="s">
        <v>287</v>
      </c>
      <c r="L55" s="39" t="s">
        <v>251</v>
      </c>
      <c r="M55" s="39" t="s">
        <v>287</v>
      </c>
      <c r="N55" s="42"/>
      <c r="O55" s="39" t="n">
        <v>35.1007</v>
      </c>
      <c r="P55" s="44" t="n">
        <v>0</v>
      </c>
      <c r="Q55" s="44" t="n">
        <v>0</v>
      </c>
      <c r="R55" s="45" t="n">
        <v>0</v>
      </c>
      <c r="S55" s="45" t="n">
        <v>0</v>
      </c>
      <c r="T55" s="45" t="n">
        <f aca="false">SUM(P55,R55)</f>
        <v>0</v>
      </c>
      <c r="U55" s="45" t="n">
        <f aca="false">SUM(Q55,S55)</f>
        <v>0</v>
      </c>
      <c r="V55" s="44" t="n">
        <v>0</v>
      </c>
      <c r="W55" s="44" t="n">
        <v>0</v>
      </c>
      <c r="X55" s="45" t="n">
        <v>0.3</v>
      </c>
      <c r="Y55" s="45" t="n">
        <v>0.2</v>
      </c>
      <c r="Z55" s="46" t="n">
        <v>0.004</v>
      </c>
      <c r="AA55" s="46" t="n">
        <v>0.0085</v>
      </c>
      <c r="AB55" s="46" t="n">
        <v>0.0059</v>
      </c>
      <c r="AC55" s="46" t="n">
        <v>0.0063</v>
      </c>
      <c r="AD55" s="46" t="n">
        <v>0.0058</v>
      </c>
      <c r="AE55" s="47" t="n">
        <v>-99999</v>
      </c>
      <c r="AF55" s="47" t="n">
        <v>-99999</v>
      </c>
      <c r="AG55" s="47" t="n">
        <v>-99999</v>
      </c>
      <c r="AH55" s="46" t="n">
        <v>0.0235</v>
      </c>
      <c r="AI55" s="46" t="n">
        <v>0.0124</v>
      </c>
      <c r="AJ55" s="47" t="n">
        <v>-99999</v>
      </c>
      <c r="AK55" s="46" t="n">
        <v>0.0031</v>
      </c>
      <c r="AL55" s="46" t="n">
        <v>0.1201</v>
      </c>
      <c r="AM55" s="46"/>
      <c r="AN55" s="47" t="n">
        <v>-99999</v>
      </c>
      <c r="AO55" s="46" t="n">
        <v>0.008</v>
      </c>
      <c r="AP55" s="46"/>
      <c r="AQ55" s="47" t="n">
        <v>-99999</v>
      </c>
      <c r="AR55" s="46" t="n">
        <v>0.0208</v>
      </c>
      <c r="AS55" s="46"/>
      <c r="AT55" s="46" t="n">
        <v>0.0929</v>
      </c>
      <c r="AU55" s="46" t="n">
        <v>0.1259</v>
      </c>
      <c r="AV55" s="46"/>
      <c r="AW55" s="47" t="n">
        <v>-99999</v>
      </c>
      <c r="AX55" s="47" t="n">
        <v>-99999</v>
      </c>
    </row>
    <row r="56" customFormat="false" ht="13.8" hidden="false" customHeight="false" outlineLevel="0" collapsed="false">
      <c r="A56" s="50"/>
      <c r="B56" s="35"/>
      <c r="C56" s="56"/>
      <c r="D56" s="54"/>
      <c r="E56" s="57"/>
      <c r="F56" s="42"/>
      <c r="G56" s="42"/>
      <c r="H56" s="42"/>
      <c r="I56" s="42"/>
      <c r="J56" s="39"/>
      <c r="K56" s="39"/>
      <c r="L56" s="39"/>
      <c r="M56" s="39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2022-09-29T14:53:21Z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