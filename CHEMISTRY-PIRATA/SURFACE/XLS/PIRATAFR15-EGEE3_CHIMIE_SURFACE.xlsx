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face" sheetId="1" state="visible" r:id="rId2"/>
  </sheets>
  <definedNames>
    <definedName function="false" hidden="false" name="H" vbProcedure="false">#REF!</definedName>
    <definedName function="false" hidden="false" name="H___0" vbProcedure="false">surface!#ref!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<sst xmlns="http://schemas.openxmlformats.org/spreadsheetml/2006/main" count="438" uniqueCount="338">
  <si>
    <t xml:space="preserve">CAMPAGNE PIRATA FR 15 - EGEE 3</t>
  </si>
  <si>
    <t xml:space="preserve">ECHANTILLONS DE SURFACE </t>
  </si>
  <si>
    <t xml:space="preserve">Ces échantillons de surface sont prélevés à partir du thermosalinographe quand il n'y a pas de station CTD.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</si>
  <si>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</si>
  <si>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</si>
  <si>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</si>
  <si>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</si>
  <si>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</si>
  <si>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</si>
  <si>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</si>
  <si>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</si>
  <si>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</si>
  <si>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</si>
  <si>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</si>
  <si>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</si>
  <si>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</si>
  <si>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</si>
  <si>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</si>
  <si>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</si>
  <si>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</si>
  <si>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</si>
  <si>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</si>
  <si>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</si>
  <si>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</si>
  <si>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</si>
  <si>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</si>
  <si>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</si>
  <si>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</si>
  <si>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Tsgraph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</si>
  <si>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</si>
  <si>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</si>
  <si>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</si>
  <si>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</si>
  <si>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</si>
  <si>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NXAP</t>
  </si>
  <si>
    <t xml:space="preserve">PXAP</t>
  </si>
  <si>
    <t xml:space="preserve">VXAP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</si>
  <si>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</si>
  <si>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</si>
  <si>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</si>
  <si>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</si>
  <si>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</si>
  <si>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LUTP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</si>
  <si>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</si>
  <si>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</si>
  <si>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</si>
  <si>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</si>
  <si>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</si>
  <si>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</si>
  <si>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</si>
  <si>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</si>
  <si>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</si>
  <si>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</si>
  <si>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</si>
  <si>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 échantillon de surface</t>
  </si>
  <si>
    <t xml:space="preserve">Latitude prévue</t>
  </si>
  <si>
    <t xml:space="preserve">Longitude prévue</t>
  </si>
  <si>
    <t xml:space="preserve">Date </t>
  </si>
  <si>
    <t xml:space="preserve">Heure TU</t>
  </si>
  <si>
    <t xml:space="preserve">Latitude </t>
  </si>
  <si>
    <t xml:space="preserve">Longitude </t>
  </si>
  <si>
    <t xml:space="preserve">SSS</t>
  </si>
  <si>
    <t xml:space="preserve">SST</t>
  </si>
  <si>
    <t xml:space="preserve">Numéro Flacon Salinité</t>
  </si>
  <si>
    <t xml:space="preserve">Numéro Flacon Sels Nut</t>
  </si>
  <si>
    <t xml:space="preserve">Numéro Flacon CO2</t>
  </si>
  <si>
    <t xml:space="preserve">Numéro Flacon Pigments</t>
  </si>
  <si>
    <t xml:space="preserve">Commentaires</t>
  </si>
  <si>
    <t xml:space="preserve">Résultats analyses SSS</t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</si>
  <si>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
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</si>
  <si>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2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</si>
  <si>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</si>
  <si>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</si>
  <si>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</si>
  <si>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NO2 + NO</t>
    </r>
    <r>
      <rPr>
        <b val="true"/>
        <vertAlign val="subscript"/>
        <sz val="10"/>
        <rFont val="Arial"/>
        <family val="2"/>
        <charset val="1"/>
      </rPr>
      <t xml:space="preserve">3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</si>
  <si>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</si>
  <si>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PO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</si>
  <si>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µmol/l</t>
    </r>
  </si>
  <si>
    <r>
      <rPr>
        <b val="true"/>
        <sz val="10"/>
        <rFont val="Arial"/>
        <family val="2"/>
        <charset val="1"/>
      </rPr>
      <t xml:space="preserve">Si(OH)</t>
    </r>
    <r>
      <rPr>
        <b val="true"/>
        <vertAlign val="subscript"/>
        <sz val="10"/>
        <rFont val="Arial"/>
        <family val="2"/>
        <charset val="1"/>
      </rPr>
      <t xml:space="preserve">4</t>
    </r>
    <r>
      <rPr>
        <b val="true"/>
        <sz val="10"/>
        <rFont val="Arial"/>
        <family val="2"/>
        <charset val="1"/>
      </rPr>
      <t xml:space="preserve">  µmol/kg</t>
    </r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</si>
  <si>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</si>
  <si>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01h15</t>
  </si>
  <si>
    <t xml:space="preserve">4°56 N</t>
  </si>
  <si>
    <t xml:space="preserve">1°54.0 E</t>
  </si>
  <si>
    <t xml:space="preserve">F1</t>
  </si>
  <si>
    <t xml:space="preserve">S1</t>
  </si>
  <si>
    <t xml:space="preserve">06h41</t>
  </si>
  <si>
    <t xml:space="preserve">4°01 N</t>
  </si>
  <si>
    <t xml:space="preserve">1°32.8 E</t>
  </si>
  <si>
    <t xml:space="preserve">F2</t>
  </si>
  <si>
    <t xml:space="preserve">S2</t>
  </si>
  <si>
    <t xml:space="preserve">12h41</t>
  </si>
  <si>
    <t xml:space="preserve">2°58 N</t>
  </si>
  <si>
    <t xml:space="preserve">1°08.8 E</t>
  </si>
  <si>
    <t xml:space="preserve">F3</t>
  </si>
  <si>
    <t xml:space="preserve">S3</t>
  </si>
  <si>
    <t xml:space="preserve">18h30</t>
  </si>
  <si>
    <t xml:space="preserve">1°58 N</t>
  </si>
  <si>
    <t xml:space="preserve">0°45.8 E</t>
  </si>
  <si>
    <t xml:space="preserve">F4</t>
  </si>
  <si>
    <t xml:space="preserve">S4</t>
  </si>
  <si>
    <t xml:space="preserve">00h39</t>
  </si>
  <si>
    <t xml:space="preserve">0°59 N</t>
  </si>
  <si>
    <t xml:space="preserve">0°22.7 E</t>
  </si>
  <si>
    <t xml:space="preserve">F5</t>
  </si>
  <si>
    <t xml:space="preserve">S5</t>
  </si>
  <si>
    <t xml:space="preserve">12h53</t>
  </si>
  <si>
    <t xml:space="preserve">0°00 N</t>
  </si>
  <si>
    <t xml:space="preserve">1°15.52 W</t>
  </si>
  <si>
    <t xml:space="preserve">F6</t>
  </si>
  <si>
    <t xml:space="preserve">S6</t>
  </si>
  <si>
    <t xml:space="preserve">20h09</t>
  </si>
  <si>
    <t xml:space="preserve">0°00.102 S</t>
  </si>
  <si>
    <t xml:space="preserve">2°30.074 W</t>
  </si>
  <si>
    <t xml:space="preserve">F7</t>
  </si>
  <si>
    <t xml:space="preserve">S7</t>
  </si>
  <si>
    <t xml:space="preserve">01h38</t>
  </si>
  <si>
    <t xml:space="preserve">0°00.009 S</t>
  </si>
  <si>
    <t xml:space="preserve"> 3°46.342 W</t>
  </si>
  <si>
    <t xml:space="preserve">F8</t>
  </si>
  <si>
    <t xml:space="preserve">S8</t>
  </si>
  <si>
    <t xml:space="preserve">07h48</t>
  </si>
  <si>
    <t xml:space="preserve">0°00.234 S</t>
  </si>
  <si>
    <t xml:space="preserve">5°01.621 W</t>
  </si>
  <si>
    <t xml:space="preserve">F9</t>
  </si>
  <si>
    <t xml:space="preserve">S9</t>
  </si>
  <si>
    <t xml:space="preserve">13h37</t>
  </si>
  <si>
    <t xml:space="preserve">0°00.007 S</t>
  </si>
  <si>
    <t xml:space="preserve">6°15.160 W</t>
  </si>
  <si>
    <t xml:space="preserve">F10</t>
  </si>
  <si>
    <t xml:space="preserve">S10</t>
  </si>
  <si>
    <t xml:space="preserve">19h52</t>
  </si>
  <si>
    <t xml:space="preserve">0°00.187 S</t>
  </si>
  <si>
    <t xml:space="preserve">7°29.854 W</t>
  </si>
  <si>
    <t xml:space="preserve">F11</t>
  </si>
  <si>
    <t xml:space="preserve">S11</t>
  </si>
  <si>
    <t xml:space="preserve">03h03</t>
  </si>
  <si>
    <t xml:space="preserve">0°44.960 N</t>
  </si>
  <si>
    <t xml:space="preserve">8°44.975 W</t>
  </si>
  <si>
    <t xml:space="preserve">F12</t>
  </si>
  <si>
    <t xml:space="preserve">S12</t>
  </si>
  <si>
    <t xml:space="preserve">04h24</t>
  </si>
  <si>
    <t xml:space="preserve">0°54.010 N</t>
  </si>
  <si>
    <t xml:space="preserve">9°00.030 W</t>
  </si>
  <si>
    <t xml:space="preserve">F13</t>
  </si>
  <si>
    <t xml:space="preserve">S13</t>
  </si>
  <si>
    <t xml:space="preserve">06h23</t>
  </si>
  <si>
    <t xml:space="preserve">8°56.22 S</t>
  </si>
  <si>
    <t xml:space="preserve">8°56.13 W</t>
  </si>
  <si>
    <t xml:space="preserve">S14</t>
  </si>
  <si>
    <t xml:space="preserve">13h26</t>
  </si>
  <si>
    <t xml:space="preserve">7°59.245 S</t>
  </si>
  <si>
    <t xml:space="preserve">7°58.444 W</t>
  </si>
  <si>
    <t xml:space="preserve">S15</t>
  </si>
  <si>
    <t xml:space="preserve">21h00</t>
  </si>
  <si>
    <t xml:space="preserve">7°01.281 S</t>
  </si>
  <si>
    <t xml:space="preserve">7°00.062 W</t>
  </si>
  <si>
    <t xml:space="preserve">S16</t>
  </si>
  <si>
    <t xml:space="preserve">05h05</t>
  </si>
  <si>
    <t xml:space="preserve">5°59.029 S</t>
  </si>
  <si>
    <t xml:space="preserve">5°57.891 W</t>
  </si>
  <si>
    <t xml:space="preserve">S17</t>
  </si>
  <si>
    <t xml:space="preserve">12h40</t>
  </si>
  <si>
    <t xml:space="preserve">5°01.232 S</t>
  </si>
  <si>
    <t xml:space="preserve">5°00.269 W</t>
  </si>
  <si>
    <t xml:space="preserve">S18</t>
  </si>
  <si>
    <t xml:space="preserve"> </t>
  </si>
  <si>
    <t xml:space="preserve">22h00</t>
  </si>
  <si>
    <t xml:space="preserve">3°59.780 S</t>
  </si>
  <si>
    <t xml:space="preserve">3°58.800 W</t>
  </si>
  <si>
    <t xml:space="preserve">S19</t>
  </si>
  <si>
    <t xml:space="preserve">05h57</t>
  </si>
  <si>
    <t xml:space="preserve">2°59.476 S</t>
  </si>
  <si>
    <t xml:space="preserve">2°58.992 W</t>
  </si>
  <si>
    <t xml:space="preserve">S20</t>
  </si>
  <si>
    <t xml:space="preserve">15h05</t>
  </si>
  <si>
    <t xml:space="preserve">1°58.619 S</t>
  </si>
  <si>
    <t xml:space="preserve">1°58.128 W</t>
  </si>
  <si>
    <t xml:space="preserve">S21</t>
  </si>
  <si>
    <t xml:space="preserve">22h43</t>
  </si>
  <si>
    <t xml:space="preserve">0°59.421 S</t>
  </si>
  <si>
    <t xml:space="preserve">0°59.090 W</t>
  </si>
  <si>
    <t xml:space="preserve">S22</t>
  </si>
  <si>
    <t xml:space="preserve">04h19</t>
  </si>
  <si>
    <t xml:space="preserve">1°33.900 N</t>
  </si>
  <si>
    <t xml:space="preserve">2°49.970 E</t>
  </si>
  <si>
    <t xml:space="preserve">S23</t>
  </si>
  <si>
    <t xml:space="preserve">06h38</t>
  </si>
  <si>
    <t xml:space="preserve">1°58.900 N</t>
  </si>
  <si>
    <t xml:space="preserve">2°50.154 E</t>
  </si>
  <si>
    <t xml:space="preserve">S24</t>
  </si>
  <si>
    <t xml:space="preserve">S25</t>
  </si>
  <si>
    <t xml:space="preserve">10h42</t>
  </si>
  <si>
    <t xml:space="preserve">5°33.104 N</t>
  </si>
  <si>
    <t xml:space="preserve">2°35.684 E</t>
  </si>
  <si>
    <t xml:space="preserve">21h38</t>
  </si>
  <si>
    <t xml:space="preserve">0°30.874 S</t>
  </si>
  <si>
    <t xml:space="preserve">6°30.032 E</t>
  </si>
  <si>
    <t xml:space="preserve">S27</t>
  </si>
  <si>
    <t xml:space="preserve">02h59</t>
  </si>
  <si>
    <t xml:space="preserve">0°59.99 S</t>
  </si>
  <si>
    <t xml:space="preserve">6°33.1 E</t>
  </si>
  <si>
    <t xml:space="preserve">S28</t>
  </si>
  <si>
    <t xml:space="preserve">05h30</t>
  </si>
  <si>
    <t xml:space="preserve">0°59.994</t>
  </si>
  <si>
    <t xml:space="preserve">7°02.09 E</t>
  </si>
  <si>
    <t xml:space="preserve">S29</t>
  </si>
  <si>
    <t xml:space="preserve">02h50</t>
  </si>
  <si>
    <t xml:space="preserve">6°00.063</t>
  </si>
  <si>
    <t xml:space="preserve">6°56.432 E</t>
  </si>
  <si>
    <t xml:space="preserve">S30</t>
  </si>
  <si>
    <t xml:space="preserve">16h38</t>
  </si>
  <si>
    <t xml:space="preserve">6°00.119 S</t>
  </si>
  <si>
    <t xml:space="preserve">4°57.298 E</t>
  </si>
  <si>
    <t xml:space="preserve">S31</t>
  </si>
  <si>
    <t xml:space="preserve">21h37</t>
  </si>
  <si>
    <t xml:space="preserve">5°59.99 S</t>
  </si>
  <si>
    <t xml:space="preserve">3°59.311 E</t>
  </si>
  <si>
    <t xml:space="preserve">S32</t>
  </si>
  <si>
    <t xml:space="preserve">21h41</t>
  </si>
  <si>
    <t xml:space="preserve">3°00.013 S</t>
  </si>
  <si>
    <t xml:space="preserve">2°49.377 E</t>
  </si>
  <si>
    <t xml:space="preserve">S33</t>
  </si>
  <si>
    <t xml:space="preserve">02h00</t>
  </si>
  <si>
    <t xml:space="preserve">2°30.01 S</t>
  </si>
  <si>
    <t xml:space="preserve">2°49.85 E</t>
  </si>
  <si>
    <t xml:space="preserve">S34</t>
  </si>
  <si>
    <t xml:space="preserve">06h52</t>
  </si>
  <si>
    <t xml:space="preserve">2°00,353 S</t>
  </si>
  <si>
    <t xml:space="preserve">2°49.418 E</t>
  </si>
  <si>
    <t xml:space="preserve">S35</t>
  </si>
  <si>
    <t xml:space="preserve">14h39</t>
  </si>
  <si>
    <t xml:space="preserve">0°59.409 S</t>
  </si>
  <si>
    <t xml:space="preserve">2°49.563 E</t>
  </si>
  <si>
    <t xml:space="preserve">S36</t>
  </si>
  <si>
    <t xml:space="preserve">20h48</t>
  </si>
  <si>
    <t xml:space="preserve">0°29.797 S</t>
  </si>
  <si>
    <t xml:space="preserve">2°49.422 E</t>
  </si>
  <si>
    <t xml:space="preserve">S37</t>
  </si>
  <si>
    <t xml:space="preserve">00h29</t>
  </si>
  <si>
    <t xml:space="preserve">0°00.000 S</t>
  </si>
  <si>
    <t xml:space="preserve">2°49.914 E </t>
  </si>
  <si>
    <t xml:space="preserve">S38</t>
  </si>
  <si>
    <t xml:space="preserve">02h24</t>
  </si>
  <si>
    <t xml:space="preserve">0°17.96 N </t>
  </si>
  <si>
    <t xml:space="preserve">2°50.039 E</t>
  </si>
  <si>
    <t xml:space="preserve">F14</t>
  </si>
  <si>
    <t xml:space="preserve">04h25</t>
  </si>
  <si>
    <t xml:space="preserve">0°29.729  N</t>
  </si>
  <si>
    <t xml:space="preserve">2°49.974  E</t>
  </si>
  <si>
    <t xml:space="preserve">F15</t>
  </si>
  <si>
    <t xml:space="preserve">S40</t>
  </si>
  <si>
    <t xml:space="preserve">06h20</t>
  </si>
  <si>
    <t xml:space="preserve">0°47.325 N</t>
  </si>
  <si>
    <t xml:space="preserve">2°50.122 E</t>
  </si>
  <si>
    <t xml:space="preserve">F16</t>
  </si>
  <si>
    <t xml:space="preserve">S41</t>
  </si>
  <si>
    <t xml:space="preserve">09h43</t>
  </si>
  <si>
    <t xml:space="preserve">0°56.418 N</t>
  </si>
  <si>
    <t xml:space="preserve">2°49.737 E</t>
  </si>
  <si>
    <t xml:space="preserve">F17</t>
  </si>
  <si>
    <t xml:space="preserve">S42</t>
  </si>
  <si>
    <t xml:space="preserve">11h13</t>
  </si>
  <si>
    <t xml:space="preserve">0°43.481 N</t>
  </si>
  <si>
    <t xml:space="preserve">2°49.949 E</t>
  </si>
  <si>
    <t xml:space="preserve">F18</t>
  </si>
  <si>
    <t xml:space="preserve">S43</t>
  </si>
  <si>
    <t xml:space="preserve">14h59</t>
  </si>
  <si>
    <t xml:space="preserve">0°29.24 N</t>
  </si>
  <si>
    <t xml:space="preserve">2°50.01 E</t>
  </si>
  <si>
    <t xml:space="preserve">F19</t>
  </si>
  <si>
    <t xml:space="preserve">S44</t>
  </si>
  <si>
    <t xml:space="preserve">15h15</t>
  </si>
  <si>
    <t xml:space="preserve">0°23.221 N</t>
  </si>
  <si>
    <t xml:space="preserve">2°50.022 E</t>
  </si>
  <si>
    <t xml:space="preserve">F20</t>
  </si>
  <si>
    <t xml:space="preserve">S45</t>
  </si>
  <si>
    <t xml:space="preserve">17h40</t>
  </si>
  <si>
    <t xml:space="preserve">0°49.309 N</t>
  </si>
  <si>
    <t xml:space="preserve">2°49.873 E</t>
  </si>
  <si>
    <t xml:space="preserve">F21</t>
  </si>
  <si>
    <t xml:space="preserve">S46</t>
  </si>
  <si>
    <t xml:space="preserve">18h47</t>
  </si>
  <si>
    <t xml:space="preserve">1°01.654 N</t>
  </si>
  <si>
    <t xml:space="preserve">2°49.991 E</t>
  </si>
  <si>
    <t xml:space="preserve">F22</t>
  </si>
  <si>
    <t xml:space="preserve">S47</t>
  </si>
  <si>
    <t xml:space="preserve">20h03</t>
  </si>
  <si>
    <t xml:space="preserve">1°16.309 N</t>
  </si>
  <si>
    <t xml:space="preserve">2°50.043 E</t>
  </si>
  <si>
    <t xml:space="preserve">F23</t>
  </si>
  <si>
    <t xml:space="preserve">S48</t>
  </si>
  <si>
    <t xml:space="preserve">22h19</t>
  </si>
  <si>
    <t xml:space="preserve">1°30.05 N</t>
  </si>
  <si>
    <t xml:space="preserve">2°49.81 E</t>
  </si>
  <si>
    <t xml:space="preserve">F24</t>
  </si>
  <si>
    <t xml:space="preserve">S49</t>
  </si>
  <si>
    <t xml:space="preserve">01h31</t>
  </si>
  <si>
    <t xml:space="preserve">1°47.254 N</t>
  </si>
  <si>
    <t xml:space="preserve">F25</t>
  </si>
  <si>
    <t xml:space="preserve">S50</t>
  </si>
  <si>
    <t xml:space="preserve">02h56</t>
  </si>
  <si>
    <t xml:space="preserve">2°00.276 N</t>
  </si>
  <si>
    <t xml:space="preserve">2°49.965 E</t>
  </si>
  <si>
    <t xml:space="preserve">C1</t>
  </si>
  <si>
    <t xml:space="preserve">S51</t>
  </si>
  <si>
    <t xml:space="preserve">09h55</t>
  </si>
  <si>
    <t xml:space="preserve">2°30.9 N</t>
  </si>
  <si>
    <t xml:space="preserve">2°49.79 E</t>
  </si>
  <si>
    <t xml:space="preserve">C2</t>
  </si>
  <si>
    <t xml:space="preserve">S52</t>
  </si>
  <si>
    <t xml:space="preserve">11h39</t>
  </si>
  <si>
    <t xml:space="preserve">2°51.00 N</t>
  </si>
  <si>
    <t xml:space="preserve">2°49.951 E</t>
  </si>
  <si>
    <t xml:space="preserve">C3</t>
  </si>
  <si>
    <t xml:space="preserve">S53</t>
  </si>
  <si>
    <t xml:space="preserve">12h32</t>
  </si>
  <si>
    <t xml:space="preserve">3°00.748 N</t>
  </si>
  <si>
    <t xml:space="preserve">2°50.184 E</t>
  </si>
  <si>
    <t xml:space="preserve">C4</t>
  </si>
  <si>
    <t xml:space="preserve">S54</t>
  </si>
  <si>
    <t xml:space="preserve">15h20</t>
  </si>
  <si>
    <t xml:space="preserve">3°17.373 N</t>
  </si>
  <si>
    <t xml:space="preserve">2°49.998 E</t>
  </si>
  <si>
    <t xml:space="preserve">C5</t>
  </si>
  <si>
    <t xml:space="preserve">S55</t>
  </si>
  <si>
    <t xml:space="preserve">18h04</t>
  </si>
  <si>
    <t xml:space="preserve">3°31.423 N</t>
  </si>
  <si>
    <t xml:space="preserve">2°50.134 E</t>
  </si>
  <si>
    <t xml:space="preserve">C6</t>
  </si>
  <si>
    <t xml:space="preserve">S56</t>
  </si>
  <si>
    <t xml:space="preserve">19h24</t>
  </si>
  <si>
    <t xml:space="preserve">3°46.86 N</t>
  </si>
  <si>
    <t xml:space="preserve">2°49.954 E</t>
  </si>
  <si>
    <t xml:space="preserve">C7</t>
  </si>
  <si>
    <t xml:space="preserve">21h52</t>
  </si>
  <si>
    <t xml:space="preserve">3°59.182 N</t>
  </si>
  <si>
    <t xml:space="preserve">2°49.898 E</t>
  </si>
  <si>
    <t xml:space="preserve">C8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</si>
</sst>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/m/yy;@"/>
    <numFmt numFmtId="166" formatCode="h:mm;@"/>
    <numFmt numFmtId="167" formatCode="0"/>
    <numFmt numFmtId="168" formatCode="0.0000"/>
    <numFmt numFmtId="169" formatCode="0.00"/>
    <numFmt numFmtId="170" formatCode="dd/mm/yy;@"/>
    <numFmt numFmtId="171" formatCode="hh\hmm"/>
    <numFmt numFmtId="172" formatCode="0.000"/>
    <numFmt numFmtId="173" formatCode="0.0"/>
  </numFmts>
  <fonts count="1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vertAlign val="subscript"/>
      <sz val="10"/>
      <name val="Arial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:H"/>
    </sheetView>
  </sheetViews>
  <sheetFormatPr defaultColWidth="11.00390625" defaultRowHeight="12.8" zeroHeight="false" outlineLevelRow="0" outlineLevelCol="0"/>
  <cols>
    <col collapsed="false" customWidth="true" hidden="false" outlineLevel="0" max="1" min="1" style="1" width="11.33"/>
    <col collapsed="false" customWidth="true" hidden="false" outlineLevel="0" max="2" min="2" style="2" width="8.89"/>
    <col collapsed="false" customWidth="true" hidden="false" outlineLevel="0" max="3" min="3" style="2" width="10"/>
    <col collapsed="false" customWidth="true" hidden="false" outlineLevel="0" max="4" min="4" style="2" width="10.12"/>
    <col collapsed="false" customWidth="true" hidden="false" outlineLevel="0" max="5" min="5" style="3" width="7.56"/>
    <col collapsed="false" customWidth="true" hidden="false" outlineLevel="0" max="6" min="6" style="3" width="11.77"/>
    <col collapsed="false" customWidth="true" hidden="false" outlineLevel="0" max="7" min="7" style="3" width="13.02"/>
    <col collapsed="false" customWidth="true" hidden="false" outlineLevel="0" max="8" min="8" style="1" width="7.34"/>
    <col collapsed="false" customWidth="true" hidden="false" outlineLevel="0" max="9" min="9" style="1" width="7.8"/>
    <col collapsed="false" customWidth="true" hidden="false" outlineLevel="0" max="10" min="10" style="4" width="8.89"/>
    <col collapsed="false" customWidth="true" hidden="false" outlineLevel="0" max="11" min="11" style="4" width="8.56"/>
    <col collapsed="false" customWidth="true" hidden="false" outlineLevel="0" max="12" min="12" style="4" width="8.33"/>
    <col collapsed="false" customWidth="true" hidden="false" outlineLevel="0" max="13" min="13" style="5" width="9.66"/>
    <col collapsed="false" customWidth="true" hidden="false" outlineLevel="0" max="14" min="14" style="1" width="24.11"/>
    <col collapsed="false" customWidth="false" hidden="false" outlineLevel="0" max="17" min="15" style="1" width="10.99"/>
    <col collapsed="false" customWidth="true" hidden="false" outlineLevel="0" max="18" min="18" style="1" width="10.65"/>
    <col collapsed="false" customWidth="false" hidden="false" outlineLevel="0" max="19" min="19" style="1" width="10.99"/>
    <col collapsed="false" customWidth="true" hidden="false" outlineLevel="0" max="22" min="20" style="1" width="10"/>
    <col collapsed="false" customWidth="false" hidden="false" outlineLevel="0" max="25" min="23" style="1" width="10.99"/>
    <col collapsed="false" customWidth="true" hidden="false" outlineLevel="0" max="26" min="26" style="1" width="13.55"/>
    <col collapsed="false" customWidth="true" hidden="false" outlineLevel="0" max="27" min="27" style="1" width="16.56"/>
    <col collapsed="false" customWidth="true" hidden="false" outlineLevel="0" max="28" min="28" style="1" width="9.13"/>
    <col collapsed="false" customWidth="true" hidden="false" outlineLevel="0" max="29" min="29" style="1" width="26.13"/>
    <col collapsed="false" customWidth="true" hidden="false" outlineLevel="0" max="30" min="30" style="1" width="12.66"/>
    <col collapsed="false" customWidth="true" hidden="false" outlineLevel="0" max="31" min="31" style="1" width="11.11"/>
    <col collapsed="false" customWidth="true" hidden="false" outlineLevel="0" max="32" min="32" style="1" width="14.35"/>
    <col collapsed="false" customWidth="true" hidden="false" outlineLevel="0" max="33" min="33" style="1" width="11.99"/>
    <col collapsed="false" customWidth="true" hidden="false" outlineLevel="0" max="34" min="34" style="1" width="26.56"/>
    <col collapsed="false" customWidth="true" hidden="false" outlineLevel="0" max="35" min="35" style="1" width="14.43"/>
    <col collapsed="false" customWidth="true" hidden="false" outlineLevel="0" max="36" min="36" style="1" width="11.11"/>
    <col collapsed="false" customWidth="true" hidden="false" outlineLevel="0" max="37" min="37" style="1" width="12.33"/>
    <col collapsed="false" customWidth="true" hidden="false" outlineLevel="0" max="38" min="38" style="1" width="11.11"/>
    <col collapsed="false" customWidth="true" hidden="false" outlineLevel="0" max="39" min="39" style="1" width="6.35"/>
    <col collapsed="false" customWidth="true" hidden="false" outlineLevel="0" max="40" min="40" style="1" width="19.45"/>
    <col collapsed="false" customWidth="true" hidden="false" outlineLevel="0" max="41" min="41" style="1" width="12.89"/>
    <col collapsed="false" customWidth="true" hidden="false" outlineLevel="0" max="42" min="42" style="1" width="17.56"/>
    <col collapsed="false" customWidth="true" hidden="false" outlineLevel="0" max="43" min="43" style="1" width="14.43"/>
    <col collapsed="false" customWidth="true" hidden="false" outlineLevel="0" max="44" min="44" style="1" width="13.55"/>
    <col collapsed="false" customWidth="true" hidden="false" outlineLevel="0" max="45" min="45" style="1" width="13.66"/>
    <col collapsed="false" customWidth="true" hidden="false" outlineLevel="0" max="46" min="46" style="1" width="19.65"/>
    <col collapsed="false" customWidth="true" hidden="false" outlineLevel="0" max="47" min="47" style="1" width="13.1"/>
    <col collapsed="false" customWidth="true" hidden="false" outlineLevel="0" max="48" min="48" style="1" width="17.44"/>
    <col collapsed="false" customWidth="true" hidden="false" outlineLevel="0" max="49" min="49" style="1" width="13.33"/>
    <col collapsed="false" customWidth="true" hidden="false" outlineLevel="0" max="50" min="50" style="1" width="12.44"/>
    <col collapsed="false" customWidth="false" hidden="false" outlineLevel="0" max="1022" min="51" style="1" width="10.99"/>
  </cols>
  <sheetData>
    <row r="1" customFormat="false" ht="17.3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7.35" hidden="false" customHeight="false" outlineLevel="0" collapsed="false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="8" customFormat="true" ht="25.5" hidden="false" customHeight="true" outlineLevel="0" collapsed="false">
      <c r="A3" s="8" t="s">
        <v>2</v>
      </c>
      <c r="B3" s="9"/>
      <c r="C3" s="9"/>
      <c r="D3" s="9"/>
      <c r="E3" s="10"/>
      <c r="F3" s="10"/>
      <c r="G3" s="10"/>
      <c r="M3" s="11"/>
      <c r="AMI3" s="0"/>
      <c r="AMJ3" s="0"/>
    </row>
    <row r="4" s="8" customFormat="true" ht="25.5" hidden="false" customHeight="true" outlineLevel="0" collapsed="false">
      <c r="B4" s="9"/>
      <c r="C4" s="9"/>
      <c r="D4" s="9"/>
      <c r="E4" s="10"/>
      <c r="F4" s="10"/>
      <c r="G4" s="10"/>
      <c r="M4" s="11"/>
      <c r="Z4" s="12" t="s">
        <v>3</v>
      </c>
      <c r="AA4" s="12" t="s">
        <v>4</v>
      </c>
      <c r="AB4" s="12" t="s">
        <v>5</v>
      </c>
      <c r="AC4" s="13" t="s">
        <v>6</v>
      </c>
      <c r="AD4" s="12" t="s">
        <v>7</v>
      </c>
      <c r="AE4" s="12" t="s">
        <v>8</v>
      </c>
      <c r="AF4" s="12" t="s">
        <v>9</v>
      </c>
      <c r="AG4" s="12" t="s">
        <v>10</v>
      </c>
      <c r="AH4" s="13" t="s">
        <v>11</v>
      </c>
      <c r="AI4" s="12" t="s">
        <v>12</v>
      </c>
      <c r="AJ4" s="12" t="s">
        <v>13</v>
      </c>
      <c r="AK4" s="12" t="s">
        <v>14</v>
      </c>
      <c r="AL4" s="12" t="s">
        <v>15</v>
      </c>
      <c r="AM4" s="12" t="s">
        <v>16</v>
      </c>
      <c r="AN4" s="13" t="s">
        <v>17</v>
      </c>
      <c r="AO4" s="13" t="s">
        <v>18</v>
      </c>
      <c r="AP4" s="13" t="s">
        <v>19</v>
      </c>
      <c r="AQ4" s="12" t="s">
        <v>20</v>
      </c>
      <c r="AR4" s="12" t="s">
        <v>21</v>
      </c>
      <c r="AS4" s="14" t="s">
        <v>22</v>
      </c>
      <c r="AT4" s="12" t="s">
        <v>23</v>
      </c>
      <c r="AU4" s="12" t="s">
        <v>24</v>
      </c>
      <c r="AV4" s="15" t="s">
        <v>25</v>
      </c>
      <c r="AW4" s="12" t="s">
        <v>26</v>
      </c>
      <c r="AX4" s="16" t="s">
        <v>27</v>
      </c>
      <c r="AMI4" s="0"/>
      <c r="AMJ4" s="0"/>
    </row>
    <row r="5" s="17" customFormat="true" ht="25.5" hidden="false" customHeight="true" outlineLevel="0" collapsed="false">
      <c r="B5" s="18"/>
      <c r="C5" s="18"/>
      <c r="D5" s="18"/>
      <c r="E5" s="19"/>
      <c r="F5" s="19"/>
      <c r="G5" s="19"/>
      <c r="H5" s="20"/>
      <c r="I5" s="21" t="s">
        <v>28</v>
      </c>
      <c r="M5" s="22"/>
      <c r="P5" s="23"/>
      <c r="Q5" s="23"/>
      <c r="R5" s="23"/>
      <c r="S5" s="23"/>
      <c r="T5" s="23"/>
      <c r="U5" s="23"/>
      <c r="V5" s="23"/>
      <c r="W5" s="23"/>
      <c r="X5" s="23"/>
      <c r="Y5" s="23"/>
      <c r="Z5" s="12" t="s">
        <v>29</v>
      </c>
      <c r="AA5" s="12" t="s">
        <v>30</v>
      </c>
      <c r="AB5" s="12" t="s">
        <v>31</v>
      </c>
      <c r="AC5" s="12" t="s">
        <v>32</v>
      </c>
      <c r="AD5" s="12" t="s">
        <v>33</v>
      </c>
      <c r="AE5" s="24" t="s">
        <v>34</v>
      </c>
      <c r="AF5" s="12" t="s">
        <v>35</v>
      </c>
      <c r="AG5" s="24" t="s">
        <v>36</v>
      </c>
      <c r="AH5" s="12" t="s">
        <v>37</v>
      </c>
      <c r="AI5" s="12" t="s">
        <v>38</v>
      </c>
      <c r="AJ5" s="12" t="s">
        <v>39</v>
      </c>
      <c r="AK5" s="12" t="s">
        <v>40</v>
      </c>
      <c r="AL5" s="12" t="s">
        <v>41</v>
      </c>
      <c r="AM5" s="25" t="s">
        <v>42</v>
      </c>
      <c r="AN5" s="12" t="s">
        <v>43</v>
      </c>
      <c r="AO5" s="12" t="s">
        <v>44</v>
      </c>
      <c r="AP5" s="26" t="s">
        <v>45</v>
      </c>
      <c r="AQ5" s="24" t="s">
        <v>46</v>
      </c>
      <c r="AR5" s="24" t="s">
        <v>47</v>
      </c>
      <c r="AS5" s="27" t="s">
        <v>48</v>
      </c>
      <c r="AT5" s="12" t="s">
        <v>49</v>
      </c>
      <c r="AU5" s="12" t="s">
        <v>50</v>
      </c>
      <c r="AV5" s="28" t="s">
        <v>51</v>
      </c>
      <c r="AW5" s="12" t="s">
        <v>52</v>
      </c>
      <c r="AX5" s="29" t="s">
        <v>53</v>
      </c>
      <c r="AMI5" s="0"/>
      <c r="AMJ5" s="0"/>
    </row>
    <row r="6" customFormat="false" ht="45.75" hidden="false" customHeight="true" outlineLevel="0" collapsed="false">
      <c r="A6" s="30" t="s">
        <v>54</v>
      </c>
      <c r="B6" s="30" t="s">
        <v>55</v>
      </c>
      <c r="C6" s="30" t="s">
        <v>56</v>
      </c>
      <c r="D6" s="31" t="s">
        <v>57</v>
      </c>
      <c r="E6" s="32" t="s">
        <v>58</v>
      </c>
      <c r="F6" s="30" t="s">
        <v>59</v>
      </c>
      <c r="G6" s="30" t="s">
        <v>60</v>
      </c>
      <c r="H6" s="30" t="s">
        <v>61</v>
      </c>
      <c r="I6" s="30" t="s">
        <v>62</v>
      </c>
      <c r="J6" s="30" t="s">
        <v>63</v>
      </c>
      <c r="K6" s="30" t="s">
        <v>64</v>
      </c>
      <c r="L6" s="30" t="s">
        <v>65</v>
      </c>
      <c r="M6" s="30" t="s">
        <v>66</v>
      </c>
      <c r="N6" s="30" t="s">
        <v>67</v>
      </c>
      <c r="O6" s="30" t="s">
        <v>68</v>
      </c>
      <c r="P6" s="33" t="s">
        <v>69</v>
      </c>
      <c r="Q6" s="33" t="s">
        <v>70</v>
      </c>
      <c r="R6" s="33" t="s">
        <v>71</v>
      </c>
      <c r="S6" s="33" t="s">
        <v>72</v>
      </c>
      <c r="T6" s="33" t="s">
        <v>73</v>
      </c>
      <c r="U6" s="33" t="s">
        <v>74</v>
      </c>
      <c r="V6" s="33" t="s">
        <v>75</v>
      </c>
      <c r="W6" s="33" t="s">
        <v>76</v>
      </c>
      <c r="X6" s="33" t="s">
        <v>77</v>
      </c>
      <c r="Y6" s="33" t="s">
        <v>78</v>
      </c>
      <c r="Z6" s="12" t="s">
        <v>79</v>
      </c>
      <c r="AA6" s="12" t="s">
        <v>79</v>
      </c>
      <c r="AB6" s="12" t="s">
        <v>79</v>
      </c>
      <c r="AC6" s="12" t="s">
        <v>79</v>
      </c>
      <c r="AD6" s="12" t="s">
        <v>79</v>
      </c>
      <c r="AE6" s="12" t="s">
        <v>79</v>
      </c>
      <c r="AF6" s="12" t="s">
        <v>79</v>
      </c>
      <c r="AG6" s="12" t="s">
        <v>79</v>
      </c>
      <c r="AH6" s="12" t="s">
        <v>79</v>
      </c>
      <c r="AI6" s="12" t="s">
        <v>79</v>
      </c>
      <c r="AJ6" s="12" t="s">
        <v>79</v>
      </c>
      <c r="AK6" s="12" t="s">
        <v>79</v>
      </c>
      <c r="AL6" s="12" t="s">
        <v>79</v>
      </c>
      <c r="AM6" s="12" t="s">
        <v>79</v>
      </c>
      <c r="AN6" s="12" t="s">
        <v>79</v>
      </c>
      <c r="AO6" s="12" t="s">
        <v>79</v>
      </c>
      <c r="AP6" s="12" t="s">
        <v>79</v>
      </c>
      <c r="AQ6" s="12" t="s">
        <v>79</v>
      </c>
      <c r="AR6" s="12" t="s">
        <v>79</v>
      </c>
      <c r="AS6" s="12" t="s">
        <v>79</v>
      </c>
      <c r="AT6" s="12" t="s">
        <v>79</v>
      </c>
      <c r="AU6" s="12" t="s">
        <v>79</v>
      </c>
      <c r="AV6" s="12" t="s">
        <v>79</v>
      </c>
      <c r="AW6" s="12" t="s">
        <v>79</v>
      </c>
      <c r="AX6" s="12" t="s">
        <v>79</v>
      </c>
    </row>
    <row r="7" customFormat="false" ht="14.15" hidden="false" customHeight="false" outlineLevel="0" collapsed="false">
      <c r="A7" s="34" t="n">
        <v>1</v>
      </c>
      <c r="B7" s="35"/>
      <c r="C7" s="35"/>
      <c r="D7" s="36" t="n">
        <v>38864</v>
      </c>
      <c r="E7" s="37" t="s">
        <v>80</v>
      </c>
      <c r="F7" s="38" t="s">
        <v>81</v>
      </c>
      <c r="G7" s="38" t="s">
        <v>82</v>
      </c>
      <c r="H7" s="39" t="n">
        <v>35.07</v>
      </c>
      <c r="I7" s="40" t="n">
        <v>28.3</v>
      </c>
      <c r="J7" s="41" t="s">
        <v>83</v>
      </c>
      <c r="K7" s="41" t="s">
        <v>84</v>
      </c>
      <c r="L7" s="42"/>
      <c r="M7" s="35"/>
      <c r="N7" s="35"/>
      <c r="O7" s="39" t="n">
        <v>34.718</v>
      </c>
      <c r="P7" s="43" t="n">
        <v>0.059</v>
      </c>
      <c r="Q7" s="44" t="n">
        <v>0.0576541751306742</v>
      </c>
      <c r="R7" s="43" t="n">
        <v>0.301</v>
      </c>
      <c r="S7" s="44" t="n">
        <v>0.294134012107338</v>
      </c>
      <c r="T7" s="44" t="n">
        <f aca="false">SUM(P7,R7)</f>
        <v>0.36</v>
      </c>
      <c r="U7" s="44" t="n">
        <f aca="false">SUM(Q7,S7)</f>
        <v>0.351788187238012</v>
      </c>
      <c r="V7" s="43" t="n">
        <v>0.012</v>
      </c>
      <c r="W7" s="44" t="n">
        <v>0.0117262729079337</v>
      </c>
      <c r="X7" s="43" t="n">
        <v>0.92</v>
      </c>
      <c r="Y7" s="44" t="n">
        <v>0.899014256274919</v>
      </c>
      <c r="Z7" s="42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customFormat="false" ht="14.15" hidden="false" customHeight="false" outlineLevel="0" collapsed="false">
      <c r="A8" s="34" t="n">
        <f aca="false">A7+1</f>
        <v>2</v>
      </c>
      <c r="B8" s="35"/>
      <c r="C8" s="35"/>
      <c r="D8" s="36" t="n">
        <v>38864</v>
      </c>
      <c r="E8" s="37" t="s">
        <v>85</v>
      </c>
      <c r="F8" s="38" t="s">
        <v>86</v>
      </c>
      <c r="G8" s="38" t="s">
        <v>87</v>
      </c>
      <c r="H8" s="39" t="n">
        <v>34.904</v>
      </c>
      <c r="I8" s="40" t="n">
        <v>29</v>
      </c>
      <c r="J8" s="41" t="s">
        <v>88</v>
      </c>
      <c r="K8" s="41" t="s">
        <v>89</v>
      </c>
      <c r="L8" s="45" t="n">
        <v>100</v>
      </c>
      <c r="M8" s="35"/>
      <c r="N8" s="35"/>
      <c r="O8" s="39" t="n">
        <v>34.569</v>
      </c>
      <c r="P8" s="44" t="n">
        <v>0.051</v>
      </c>
      <c r="Q8" s="44" t="n">
        <v>0.0498366598587183</v>
      </c>
      <c r="R8" s="44" t="n">
        <v>0.279</v>
      </c>
      <c r="S8" s="44" t="n">
        <v>0.272635845109459</v>
      </c>
      <c r="T8" s="44" t="n">
        <f aca="false">SUM(P8,R8)</f>
        <v>0.33</v>
      </c>
      <c r="U8" s="44" t="n">
        <f aca="false">SUM(Q8,S8)</f>
        <v>0.322472504968177</v>
      </c>
      <c r="V8" s="44" t="n">
        <v>0.014</v>
      </c>
      <c r="W8" s="44" t="n">
        <v>0.0136806517259227</v>
      </c>
      <c r="X8" s="44" t="n">
        <v>0.73</v>
      </c>
      <c r="Y8" s="44" t="n">
        <v>0.713348268565969</v>
      </c>
      <c r="Z8" s="42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customFormat="false" ht="14.15" hidden="false" customHeight="false" outlineLevel="0" collapsed="false">
      <c r="A9" s="34" t="n">
        <f aca="false">A8+1</f>
        <v>3</v>
      </c>
      <c r="B9" s="35"/>
      <c r="C9" s="35"/>
      <c r="D9" s="36" t="n">
        <v>38864</v>
      </c>
      <c r="E9" s="37" t="s">
        <v>90</v>
      </c>
      <c r="F9" s="38" t="s">
        <v>91</v>
      </c>
      <c r="G9" s="38" t="s">
        <v>92</v>
      </c>
      <c r="H9" s="39" t="n">
        <v>34.94</v>
      </c>
      <c r="I9" s="40" t="n">
        <v>29.2</v>
      </c>
      <c r="J9" s="41" t="s">
        <v>93</v>
      </c>
      <c r="K9" s="41" t="s">
        <v>94</v>
      </c>
      <c r="L9" s="42"/>
      <c r="M9" s="35"/>
      <c r="N9" s="35"/>
      <c r="O9" s="39" t="n">
        <v>34.561</v>
      </c>
      <c r="P9" s="44" t="n">
        <v>0.055</v>
      </c>
      <c r="Q9" s="44" t="n">
        <v>0.0537454174946963</v>
      </c>
      <c r="R9" s="44" t="n">
        <v>0.265</v>
      </c>
      <c r="S9" s="44" t="n">
        <v>0.258955193383536</v>
      </c>
      <c r="T9" s="44" t="n">
        <f aca="false">SUM(P9,R9)</f>
        <v>0.32</v>
      </c>
      <c r="U9" s="44" t="n">
        <f aca="false">SUM(Q9,S9)</f>
        <v>0.312700610878232</v>
      </c>
      <c r="V9" s="44" t="n">
        <v>0.02</v>
      </c>
      <c r="W9" s="44" t="n">
        <v>0.0195437881798895</v>
      </c>
      <c r="X9" s="44" t="n">
        <v>0.68</v>
      </c>
      <c r="Y9" s="44" t="n">
        <v>0.664488798116245</v>
      </c>
      <c r="Z9" s="42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customFormat="false" ht="14.15" hidden="false" customHeight="false" outlineLevel="0" collapsed="false">
      <c r="A10" s="34" t="n">
        <f aca="false">A9+1</f>
        <v>4</v>
      </c>
      <c r="B10" s="35"/>
      <c r="C10" s="35"/>
      <c r="D10" s="36" t="n">
        <v>38864</v>
      </c>
      <c r="E10" s="37" t="s">
        <v>95</v>
      </c>
      <c r="F10" s="38" t="s">
        <v>96</v>
      </c>
      <c r="G10" s="38" t="s">
        <v>97</v>
      </c>
      <c r="H10" s="39" t="n">
        <v>35.015</v>
      </c>
      <c r="I10" s="40" t="n">
        <v>29.2</v>
      </c>
      <c r="J10" s="41" t="s">
        <v>98</v>
      </c>
      <c r="K10" s="41" t="s">
        <v>99</v>
      </c>
      <c r="L10" s="45" t="n">
        <v>101</v>
      </c>
      <c r="M10" s="35"/>
      <c r="N10" s="35"/>
      <c r="O10" s="39" t="n">
        <v>34.607</v>
      </c>
      <c r="P10" s="44" t="n">
        <v>0.049</v>
      </c>
      <c r="Q10" s="44" t="n">
        <v>0.0478822810407294</v>
      </c>
      <c r="R10" s="44" t="n">
        <v>0.241</v>
      </c>
      <c r="S10" s="44" t="n">
        <v>0.235502647567669</v>
      </c>
      <c r="T10" s="44" t="n">
        <f aca="false">SUM(P10,R10)</f>
        <v>0.29</v>
      </c>
      <c r="U10" s="44" t="n">
        <f aca="false">SUM(Q10,S10)</f>
        <v>0.283384928608398</v>
      </c>
      <c r="V10" s="44" t="n">
        <v>0.029</v>
      </c>
      <c r="W10" s="44" t="n">
        <v>0.0283384928608398</v>
      </c>
      <c r="X10" s="44" t="n">
        <v>0.64</v>
      </c>
      <c r="Y10" s="44" t="n">
        <v>0.625401221756466</v>
      </c>
      <c r="Z10" s="42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customFormat="false" ht="14.15" hidden="false" customHeight="false" outlineLevel="0" collapsed="false">
      <c r="A11" s="34" t="n">
        <f aca="false">A10+1</f>
        <v>5</v>
      </c>
      <c r="B11" s="35"/>
      <c r="C11" s="35"/>
      <c r="D11" s="36" t="n">
        <v>38865</v>
      </c>
      <c r="E11" s="37" t="s">
        <v>100</v>
      </c>
      <c r="F11" s="38" t="s">
        <v>101</v>
      </c>
      <c r="G11" s="38" t="s">
        <v>102</v>
      </c>
      <c r="H11" s="39" t="n">
        <v>35.204</v>
      </c>
      <c r="I11" s="40" t="n">
        <v>28.9</v>
      </c>
      <c r="J11" s="41" t="s">
        <v>103</v>
      </c>
      <c r="K11" s="41" t="s">
        <v>104</v>
      </c>
      <c r="L11" s="42"/>
      <c r="M11" s="35"/>
      <c r="N11" s="35"/>
      <c r="O11" s="39" t="n">
        <v>34.843</v>
      </c>
      <c r="P11" s="44" t="n">
        <v>0.046</v>
      </c>
      <c r="Q11" s="44" t="n">
        <v>0.044950712813746</v>
      </c>
      <c r="R11" s="44" t="n">
        <v>0.224</v>
      </c>
      <c r="S11" s="44" t="n">
        <v>0.218890427614763</v>
      </c>
      <c r="T11" s="44" t="n">
        <f aca="false">SUM(P11,R11)</f>
        <v>0.27</v>
      </c>
      <c r="U11" s="44" t="n">
        <f aca="false">SUM(Q11,S11)</f>
        <v>0.263841140428509</v>
      </c>
      <c r="V11" s="44" t="n">
        <v>0.019</v>
      </c>
      <c r="W11" s="44" t="n">
        <v>0.0185665987708951</v>
      </c>
      <c r="X11" s="44" t="n">
        <v>0.72</v>
      </c>
      <c r="Y11" s="44" t="n">
        <v>0.703576374476024</v>
      </c>
      <c r="Z11" s="42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customFormat="false" ht="14.15" hidden="false" customHeight="false" outlineLevel="0" collapsed="false">
      <c r="A12" s="34" t="n">
        <f aca="false">A11+1</f>
        <v>6</v>
      </c>
      <c r="B12" s="35"/>
      <c r="C12" s="35"/>
      <c r="D12" s="36" t="n">
        <v>38867</v>
      </c>
      <c r="E12" s="37" t="s">
        <v>105</v>
      </c>
      <c r="F12" s="38" t="s">
        <v>106</v>
      </c>
      <c r="G12" s="38" t="s">
        <v>107</v>
      </c>
      <c r="H12" s="39" t="n">
        <v>35.264</v>
      </c>
      <c r="I12" s="40" t="n">
        <v>27.08</v>
      </c>
      <c r="J12" s="41" t="s">
        <v>108</v>
      </c>
      <c r="K12" s="41" t="s">
        <v>109</v>
      </c>
      <c r="L12" s="42"/>
      <c r="M12" s="35"/>
      <c r="N12" s="35"/>
      <c r="O12" s="39" t="n">
        <v>35.239</v>
      </c>
      <c r="P12" s="44" t="n">
        <v>0.056</v>
      </c>
      <c r="Q12" s="44" t="n">
        <v>0.0547226069036907</v>
      </c>
      <c r="R12" s="44" t="n">
        <v>0.264</v>
      </c>
      <c r="S12" s="44" t="n">
        <v>0.257978003974542</v>
      </c>
      <c r="T12" s="44" t="n">
        <f aca="false">SUM(P12,R12)</f>
        <v>0.32</v>
      </c>
      <c r="U12" s="44" t="n">
        <f aca="false">SUM(Q12,S12)</f>
        <v>0.312700610878233</v>
      </c>
      <c r="V12" s="44" t="n">
        <v>0.119</v>
      </c>
      <c r="W12" s="44" t="n">
        <v>0.116285539670343</v>
      </c>
      <c r="X12" s="44" t="n">
        <v>1.34</v>
      </c>
      <c r="Y12" s="44" t="n">
        <v>1.3094338080526</v>
      </c>
      <c r="Z12" s="42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customFormat="false" ht="14.15" hidden="false" customHeight="false" outlineLevel="0" collapsed="false">
      <c r="A13" s="34" t="n">
        <f aca="false">A12+1</f>
        <v>7</v>
      </c>
      <c r="B13" s="35"/>
      <c r="C13" s="35"/>
      <c r="D13" s="36" t="n">
        <v>38867</v>
      </c>
      <c r="E13" s="37" t="s">
        <v>110</v>
      </c>
      <c r="F13" s="38" t="s">
        <v>111</v>
      </c>
      <c r="G13" s="38" t="s">
        <v>112</v>
      </c>
      <c r="H13" s="39" t="n">
        <v>35.209</v>
      </c>
      <c r="I13" s="40" t="n">
        <v>27.2</v>
      </c>
      <c r="J13" s="41" t="s">
        <v>113</v>
      </c>
      <c r="K13" s="41" t="s">
        <v>114</v>
      </c>
      <c r="L13" s="45" t="n">
        <v>102</v>
      </c>
      <c r="M13" s="35"/>
      <c r="N13" s="35"/>
      <c r="O13" s="39" t="n">
        <v>35.185</v>
      </c>
      <c r="P13" s="44" t="n">
        <v>0.076</v>
      </c>
      <c r="Q13" s="44" t="n">
        <v>0.0742663950835803</v>
      </c>
      <c r="R13" s="44" t="n">
        <v>0.244</v>
      </c>
      <c r="S13" s="44" t="n">
        <v>0.238434215794652</v>
      </c>
      <c r="T13" s="44" t="n">
        <f aca="false">SUM(P13,R13)</f>
        <v>0.32</v>
      </c>
      <c r="U13" s="44" t="n">
        <f aca="false">SUM(Q13,S13)</f>
        <v>0.312700610878232</v>
      </c>
      <c r="V13" s="44" t="n">
        <v>0.104</v>
      </c>
      <c r="W13" s="44" t="n">
        <v>0.101627698535426</v>
      </c>
      <c r="X13" s="44" t="n">
        <v>1.17</v>
      </c>
      <c r="Y13" s="44" t="n">
        <v>1.14331160852354</v>
      </c>
      <c r="Z13" s="42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customFormat="false" ht="14.15" hidden="false" customHeight="false" outlineLevel="0" collapsed="false">
      <c r="A14" s="34" t="n">
        <f aca="false">A13+1</f>
        <v>8</v>
      </c>
      <c r="B14" s="35"/>
      <c r="C14" s="35"/>
      <c r="D14" s="36" t="n">
        <v>38868</v>
      </c>
      <c r="E14" s="37" t="s">
        <v>115</v>
      </c>
      <c r="F14" s="38" t="s">
        <v>116</v>
      </c>
      <c r="G14" s="38" t="s">
        <v>117</v>
      </c>
      <c r="H14" s="39" t="n">
        <v>35.136</v>
      </c>
      <c r="I14" s="40" t="n">
        <v>27.2</v>
      </c>
      <c r="J14" s="41" t="s">
        <v>118</v>
      </c>
      <c r="K14" s="41" t="s">
        <v>119</v>
      </c>
      <c r="L14" s="42"/>
      <c r="M14" s="35"/>
      <c r="N14" s="35"/>
      <c r="O14" s="39" t="n">
        <v>35.104</v>
      </c>
      <c r="P14" s="44" t="n">
        <v>0.047</v>
      </c>
      <c r="Q14" s="44" t="n">
        <v>0.0459279022227404</v>
      </c>
      <c r="R14" s="44" t="n">
        <v>0.233</v>
      </c>
      <c r="S14" s="44" t="n">
        <v>0.227685132295713</v>
      </c>
      <c r="T14" s="44" t="n">
        <f aca="false">SUM(P14,R14)</f>
        <v>0.28</v>
      </c>
      <c r="U14" s="44" t="n">
        <f aca="false">SUM(Q14,S14)</f>
        <v>0.273613034518453</v>
      </c>
      <c r="V14" s="44" t="n">
        <v>0.089</v>
      </c>
      <c r="W14" s="44" t="n">
        <v>0.0869698574005085</v>
      </c>
      <c r="X14" s="44" t="n">
        <v>0.89</v>
      </c>
      <c r="Y14" s="44" t="n">
        <v>0.869698574005085</v>
      </c>
      <c r="Z14" s="42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customFormat="false" ht="14.15" hidden="false" customHeight="false" outlineLevel="0" collapsed="false">
      <c r="A15" s="34" t="n">
        <f aca="false">A14+1</f>
        <v>9</v>
      </c>
      <c r="B15" s="35"/>
      <c r="C15" s="35"/>
      <c r="D15" s="36" t="n">
        <v>38868</v>
      </c>
      <c r="E15" s="37" t="s">
        <v>120</v>
      </c>
      <c r="F15" s="38" t="s">
        <v>121</v>
      </c>
      <c r="G15" s="38" t="s">
        <v>122</v>
      </c>
      <c r="H15" s="39" t="n">
        <v>35.189</v>
      </c>
      <c r="I15" s="40" t="n">
        <v>27.1</v>
      </c>
      <c r="J15" s="41" t="s">
        <v>123</v>
      </c>
      <c r="K15" s="41" t="s">
        <v>124</v>
      </c>
      <c r="L15" s="45" t="n">
        <v>105</v>
      </c>
      <c r="M15" s="35"/>
      <c r="N15" s="35"/>
      <c r="O15" s="39" t="n">
        <v>35.169</v>
      </c>
      <c r="P15" s="44" t="n">
        <v>0.054</v>
      </c>
      <c r="Q15" s="44" t="n">
        <v>0.0527682280857018</v>
      </c>
      <c r="R15" s="44" t="n">
        <v>0.246</v>
      </c>
      <c r="S15" s="44" t="n">
        <v>0.240388594612641</v>
      </c>
      <c r="T15" s="44" t="n">
        <f aca="false">SUM(P15,R15)</f>
        <v>0.3</v>
      </c>
      <c r="U15" s="44" t="n">
        <f aca="false">SUM(Q15,S15)</f>
        <v>0.293156822698343</v>
      </c>
      <c r="V15" s="44" t="n">
        <v>0.086</v>
      </c>
      <c r="W15" s="44" t="n">
        <v>0.0840382891735251</v>
      </c>
      <c r="X15" s="44" t="n">
        <v>0.84</v>
      </c>
      <c r="Y15" s="44" t="n">
        <v>0.820839103555361</v>
      </c>
      <c r="Z15" s="42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customFormat="false" ht="14.15" hidden="false" customHeight="false" outlineLevel="0" collapsed="false">
      <c r="A16" s="34" t="n">
        <f aca="false">A15+1</f>
        <v>10</v>
      </c>
      <c r="B16" s="35"/>
      <c r="C16" s="35"/>
      <c r="D16" s="36" t="n">
        <v>38868</v>
      </c>
      <c r="E16" s="37" t="s">
        <v>125</v>
      </c>
      <c r="F16" s="38" t="s">
        <v>126</v>
      </c>
      <c r="G16" s="38" t="s">
        <v>127</v>
      </c>
      <c r="H16" s="39" t="n">
        <v>35.59</v>
      </c>
      <c r="I16" s="40" t="n">
        <v>26.6</v>
      </c>
      <c r="J16" s="41" t="s">
        <v>128</v>
      </c>
      <c r="K16" s="41" t="s">
        <v>129</v>
      </c>
      <c r="L16" s="42"/>
      <c r="M16" s="35"/>
      <c r="N16" s="35"/>
      <c r="O16" s="39" t="n">
        <v>35.556</v>
      </c>
      <c r="P16" s="44" t="n">
        <v>0.058</v>
      </c>
      <c r="Q16" s="44" t="n">
        <v>0.0566769857216797</v>
      </c>
      <c r="R16" s="44" t="n">
        <v>0.262</v>
      </c>
      <c r="S16" s="44" t="n">
        <v>0.256023625156553</v>
      </c>
      <c r="T16" s="44" t="n">
        <f aca="false">SUM(P16,R16)</f>
        <v>0.32</v>
      </c>
      <c r="U16" s="44" t="n">
        <f aca="false">SUM(Q16,S16)</f>
        <v>0.312700610878233</v>
      </c>
      <c r="V16" s="44" t="n">
        <v>0.081</v>
      </c>
      <c r="W16" s="44" t="n">
        <v>0.0791523421285527</v>
      </c>
      <c r="X16" s="44" t="n">
        <v>1.02</v>
      </c>
      <c r="Y16" s="44" t="n">
        <v>0.996733197174367</v>
      </c>
      <c r="Z16" s="42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customFormat="false" ht="14.15" hidden="false" customHeight="false" outlineLevel="0" collapsed="false">
      <c r="A17" s="34" t="n">
        <f aca="false">A16+1</f>
        <v>11</v>
      </c>
      <c r="B17" s="35"/>
      <c r="C17" s="35"/>
      <c r="D17" s="36" t="n">
        <v>38868</v>
      </c>
      <c r="E17" s="37" t="s">
        <v>130</v>
      </c>
      <c r="F17" s="38" t="s">
        <v>131</v>
      </c>
      <c r="G17" s="38" t="s">
        <v>132</v>
      </c>
      <c r="H17" s="39" t="n">
        <v>35.589</v>
      </c>
      <c r="I17" s="40" t="n">
        <v>26.6</v>
      </c>
      <c r="J17" s="41" t="s">
        <v>133</v>
      </c>
      <c r="K17" s="41" t="s">
        <v>134</v>
      </c>
      <c r="L17" s="45" t="n">
        <v>104</v>
      </c>
      <c r="M17" s="35"/>
      <c r="N17" s="35"/>
      <c r="O17" s="39" t="n">
        <v>35.56</v>
      </c>
      <c r="P17" s="44" t="n">
        <v>0.048</v>
      </c>
      <c r="Q17" s="44" t="n">
        <v>0.0469050916317349</v>
      </c>
      <c r="R17" s="44" t="n">
        <v>0.232</v>
      </c>
      <c r="S17" s="44" t="n">
        <v>0.226707942886719</v>
      </c>
      <c r="T17" s="44" t="n">
        <f aca="false">SUM(P17,R17)</f>
        <v>0.28</v>
      </c>
      <c r="U17" s="44" t="n">
        <f aca="false">SUM(Q17,S17)</f>
        <v>0.273613034518454</v>
      </c>
      <c r="V17" s="44" t="n">
        <v>0.095</v>
      </c>
      <c r="W17" s="44" t="n">
        <v>0.0928329938544754</v>
      </c>
      <c r="X17" s="44" t="n">
        <v>1.16</v>
      </c>
      <c r="Y17" s="44" t="n">
        <v>1.13353971443359</v>
      </c>
      <c r="Z17" s="42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</row>
    <row r="18" customFormat="false" ht="14.15" hidden="false" customHeight="false" outlineLevel="0" collapsed="false">
      <c r="A18" s="46" t="n">
        <v>12</v>
      </c>
      <c r="B18" s="35"/>
      <c r="C18" s="35"/>
      <c r="D18" s="36" t="n">
        <v>38869</v>
      </c>
      <c r="E18" s="37" t="s">
        <v>135</v>
      </c>
      <c r="F18" s="38" t="s">
        <v>136</v>
      </c>
      <c r="G18" s="38" t="s">
        <v>137</v>
      </c>
      <c r="H18" s="39" t="n">
        <v>34.851</v>
      </c>
      <c r="I18" s="40" t="n">
        <v>28</v>
      </c>
      <c r="J18" s="41" t="s">
        <v>138</v>
      </c>
      <c r="K18" s="41" t="s">
        <v>139</v>
      </c>
      <c r="L18" s="42"/>
      <c r="M18" s="35"/>
      <c r="N18" s="35"/>
      <c r="O18" s="39" t="n">
        <v>34.828</v>
      </c>
      <c r="P18" s="44" t="n">
        <v>0.051</v>
      </c>
      <c r="Q18" s="44" t="n">
        <v>0.0498366598587183</v>
      </c>
      <c r="R18" s="44" t="n">
        <v>0.269</v>
      </c>
      <c r="S18" s="44" t="n">
        <v>0.262863951019514</v>
      </c>
      <c r="T18" s="44" t="n">
        <f aca="false">SUM(P18,R18)</f>
        <v>0.32</v>
      </c>
      <c r="U18" s="44" t="n">
        <f aca="false">SUM(Q18,S18)</f>
        <v>0.312700610878232</v>
      </c>
      <c r="V18" s="44" t="n">
        <v>0.094</v>
      </c>
      <c r="W18" s="44" t="n">
        <v>0.0918558044454809</v>
      </c>
      <c r="X18" s="44" t="n">
        <v>1.27</v>
      </c>
      <c r="Y18" s="44" t="n">
        <v>1.24103054942299</v>
      </c>
      <c r="Z18" s="42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</row>
    <row r="19" customFormat="false" ht="14.15" hidden="false" customHeight="false" outlineLevel="0" collapsed="false">
      <c r="A19" s="46" t="n">
        <v>13</v>
      </c>
      <c r="B19" s="35"/>
      <c r="C19" s="35"/>
      <c r="D19" s="36" t="n">
        <v>38869</v>
      </c>
      <c r="E19" s="37" t="s">
        <v>140</v>
      </c>
      <c r="F19" s="38" t="s">
        <v>141</v>
      </c>
      <c r="G19" s="38" t="s">
        <v>142</v>
      </c>
      <c r="H19" s="39" t="n">
        <v>34.774</v>
      </c>
      <c r="I19" s="40" t="n">
        <v>28.1</v>
      </c>
      <c r="J19" s="41" t="s">
        <v>143</v>
      </c>
      <c r="K19" s="41" t="s">
        <v>144</v>
      </c>
      <c r="L19" s="42"/>
      <c r="M19" s="35"/>
      <c r="N19" s="35"/>
      <c r="O19" s="39" t="n">
        <v>34.749</v>
      </c>
      <c r="P19" s="44" t="n">
        <v>0.052</v>
      </c>
      <c r="Q19" s="44" t="n">
        <v>0.0508138492677128</v>
      </c>
      <c r="R19" s="44" t="n">
        <v>0.238</v>
      </c>
      <c r="S19" s="44" t="n">
        <v>0.232571079340686</v>
      </c>
      <c r="T19" s="44" t="n">
        <f aca="false">SUM(P19,R19)</f>
        <v>0.29</v>
      </c>
      <c r="U19" s="44" t="n">
        <f aca="false">SUM(Q19,S19)</f>
        <v>0.283384928608399</v>
      </c>
      <c r="V19" s="44" t="n">
        <v>0.071</v>
      </c>
      <c r="W19" s="44" t="n">
        <v>0.0693804480386079</v>
      </c>
      <c r="X19" s="44" t="n">
        <v>0.88</v>
      </c>
      <c r="Y19" s="44" t="n">
        <v>0.85992667991514</v>
      </c>
      <c r="Z19" s="42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</row>
    <row r="20" customFormat="false" ht="13.8" hidden="false" customHeight="false" outlineLevel="0" collapsed="false">
      <c r="A20" s="46" t="n">
        <v>14</v>
      </c>
      <c r="B20" s="35"/>
      <c r="C20" s="35"/>
      <c r="D20" s="47" t="n">
        <v>38879</v>
      </c>
      <c r="E20" s="48" t="s">
        <v>145</v>
      </c>
      <c r="F20" s="45" t="s">
        <v>146</v>
      </c>
      <c r="G20" s="45" t="s">
        <v>147</v>
      </c>
      <c r="H20" s="49" t="n">
        <v>36.237</v>
      </c>
      <c r="I20" s="50" t="n">
        <v>26.9</v>
      </c>
      <c r="J20" s="51" t="s">
        <v>83</v>
      </c>
      <c r="K20" s="51" t="s">
        <v>148</v>
      </c>
      <c r="L20" s="42"/>
      <c r="M20" s="35"/>
      <c r="N20" s="35"/>
      <c r="O20" s="49" t="n">
        <v>36.212</v>
      </c>
      <c r="P20" s="44" t="n">
        <v>0.057</v>
      </c>
      <c r="Q20" s="44" t="n">
        <v>0.0556997963126852</v>
      </c>
      <c r="R20" s="44" t="n">
        <v>0.243</v>
      </c>
      <c r="S20" s="44" t="n">
        <v>0.237457026385658</v>
      </c>
      <c r="T20" s="44" t="n">
        <f aca="false">SUM(P20,R20)</f>
        <v>0.3</v>
      </c>
      <c r="U20" s="44" t="n">
        <f aca="false">SUM(Q20,S20)</f>
        <v>0.293156822698343</v>
      </c>
      <c r="V20" s="44" t="n">
        <v>0.058</v>
      </c>
      <c r="W20" s="44" t="n">
        <v>0.0566769857216797</v>
      </c>
      <c r="X20" s="44" t="n">
        <v>0.84</v>
      </c>
      <c r="Y20" s="44" t="n">
        <v>0.820839103555361</v>
      </c>
      <c r="Z20" s="42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</row>
    <row r="21" customFormat="false" ht="13.8" hidden="false" customHeight="false" outlineLevel="0" collapsed="false">
      <c r="A21" s="46" t="n">
        <v>15</v>
      </c>
      <c r="B21" s="35"/>
      <c r="C21" s="35"/>
      <c r="D21" s="47" t="n">
        <v>38879</v>
      </c>
      <c r="E21" s="48" t="s">
        <v>149</v>
      </c>
      <c r="F21" s="45" t="s">
        <v>150</v>
      </c>
      <c r="G21" s="52" t="s">
        <v>151</v>
      </c>
      <c r="H21" s="49" t="n">
        <v>36.244</v>
      </c>
      <c r="I21" s="50" t="n">
        <v>26.7</v>
      </c>
      <c r="J21" s="51" t="s">
        <v>88</v>
      </c>
      <c r="K21" s="51" t="s">
        <v>152</v>
      </c>
      <c r="L21" s="45" t="n">
        <v>113</v>
      </c>
      <c r="M21" s="35"/>
      <c r="N21" s="35"/>
      <c r="O21" s="49" t="n">
        <v>36.216</v>
      </c>
      <c r="P21" s="44" t="n">
        <v>0.036</v>
      </c>
      <c r="Q21" s="44" t="n">
        <v>0.0351788187238012</v>
      </c>
      <c r="R21" s="44" t="n">
        <v>0.164</v>
      </c>
      <c r="S21" s="44" t="n">
        <v>0.160259063075094</v>
      </c>
      <c r="T21" s="44" t="n">
        <f aca="false">SUM(P21,R21)</f>
        <v>0.2</v>
      </c>
      <c r="U21" s="44" t="n">
        <f aca="false">SUM(Q21,S21)</f>
        <v>0.195437881798895</v>
      </c>
      <c r="V21" s="44" t="n">
        <v>0.082</v>
      </c>
      <c r="W21" s="44" t="n">
        <v>0.0801295315375472</v>
      </c>
      <c r="X21" s="44" t="n">
        <v>0.77</v>
      </c>
      <c r="Y21" s="44" t="n">
        <v>0.752435844925748</v>
      </c>
      <c r="Z21" s="42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</row>
    <row r="22" customFormat="false" ht="13.8" hidden="false" customHeight="false" outlineLevel="0" collapsed="false">
      <c r="A22" s="46" t="n">
        <v>16</v>
      </c>
      <c r="B22" s="35"/>
      <c r="C22" s="35"/>
      <c r="D22" s="47" t="n">
        <v>38879</v>
      </c>
      <c r="E22" s="48" t="s">
        <v>153</v>
      </c>
      <c r="F22" s="45" t="s">
        <v>154</v>
      </c>
      <c r="G22" s="45" t="s">
        <v>155</v>
      </c>
      <c r="H22" s="49" t="n">
        <v>36.135</v>
      </c>
      <c r="I22" s="50" t="n">
        <v>26.7</v>
      </c>
      <c r="J22" s="51" t="s">
        <v>93</v>
      </c>
      <c r="K22" s="51" t="s">
        <v>156</v>
      </c>
      <c r="L22" s="42"/>
      <c r="M22" s="35"/>
      <c r="N22" s="35"/>
      <c r="O22" s="49" t="n">
        <v>36.087</v>
      </c>
      <c r="P22" s="44" t="n">
        <v>0.045</v>
      </c>
      <c r="Q22" s="44" t="n">
        <v>0.0439735234047515</v>
      </c>
      <c r="R22" s="44" t="n">
        <v>0.165</v>
      </c>
      <c r="S22" s="44" t="n">
        <v>0.161236252484089</v>
      </c>
      <c r="T22" s="44" t="n">
        <f aca="false">SUM(P22,R22)</f>
        <v>0.21</v>
      </c>
      <c r="U22" s="44" t="n">
        <f aca="false">SUM(Q22,S22)</f>
        <v>0.20520977588884</v>
      </c>
      <c r="V22" s="44" t="n">
        <v>0.09</v>
      </c>
      <c r="W22" s="44" t="n">
        <v>0.087947046809503</v>
      </c>
      <c r="X22" s="44" t="n">
        <v>0.67</v>
      </c>
      <c r="Y22" s="44" t="n">
        <v>0.6547169040263</v>
      </c>
      <c r="Z22" s="42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</row>
    <row r="23" customFormat="false" ht="13.8" hidden="false" customHeight="false" outlineLevel="0" collapsed="false">
      <c r="A23" s="46" t="n">
        <v>17</v>
      </c>
      <c r="B23" s="35"/>
      <c r="C23" s="35"/>
      <c r="D23" s="47" t="n">
        <v>38880</v>
      </c>
      <c r="E23" s="48" t="s">
        <v>157</v>
      </c>
      <c r="F23" s="45" t="s">
        <v>158</v>
      </c>
      <c r="G23" s="45" t="s">
        <v>159</v>
      </c>
      <c r="H23" s="49" t="n">
        <v>35.746</v>
      </c>
      <c r="I23" s="50" t="n">
        <v>26.9</v>
      </c>
      <c r="J23" s="51" t="s">
        <v>98</v>
      </c>
      <c r="K23" s="51" t="s">
        <v>160</v>
      </c>
      <c r="L23" s="45" t="n">
        <v>114</v>
      </c>
      <c r="M23" s="35"/>
      <c r="N23" s="35"/>
      <c r="O23" s="49" t="n">
        <v>35.724</v>
      </c>
      <c r="P23" s="44" t="n">
        <v>0.031</v>
      </c>
      <c r="Q23" s="44" t="n">
        <v>0.0302928716788288</v>
      </c>
      <c r="R23" s="44" t="n">
        <v>0.149</v>
      </c>
      <c r="S23" s="44" t="n">
        <v>0.145601221940177</v>
      </c>
      <c r="T23" s="44" t="n">
        <f aca="false">SUM(P23,R23)</f>
        <v>0.18</v>
      </c>
      <c r="U23" s="44" t="n">
        <f aca="false">SUM(Q23,S23)</f>
        <v>0.175894093619006</v>
      </c>
      <c r="V23" s="44" t="n">
        <v>0.091</v>
      </c>
      <c r="W23" s="44" t="n">
        <v>0.0889242362184975</v>
      </c>
      <c r="X23" s="44" t="n">
        <v>0.59</v>
      </c>
      <c r="Y23" s="44" t="n">
        <v>0.576541751306742</v>
      </c>
      <c r="Z23" s="42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</row>
    <row r="24" customFormat="false" ht="13.8" hidden="false" customHeight="false" outlineLevel="0" collapsed="false">
      <c r="A24" s="46" t="n">
        <v>18</v>
      </c>
      <c r="B24" s="35"/>
      <c r="C24" s="35"/>
      <c r="D24" s="47" t="n">
        <v>38880</v>
      </c>
      <c r="E24" s="48" t="s">
        <v>161</v>
      </c>
      <c r="F24" s="45" t="s">
        <v>162</v>
      </c>
      <c r="G24" s="45" t="s">
        <v>163</v>
      </c>
      <c r="H24" s="49" t="n">
        <v>35.373</v>
      </c>
      <c r="I24" s="50" t="n">
        <v>27</v>
      </c>
      <c r="J24" s="51" t="s">
        <v>103</v>
      </c>
      <c r="K24" s="51" t="s">
        <v>164</v>
      </c>
      <c r="L24" s="42"/>
      <c r="M24" s="35"/>
      <c r="N24" s="35" t="s">
        <v>165</v>
      </c>
      <c r="O24" s="49" t="n">
        <v>35.355</v>
      </c>
      <c r="P24" s="44" t="n">
        <v>0.044</v>
      </c>
      <c r="Q24" s="44" t="n">
        <v>0.042996333995757</v>
      </c>
      <c r="R24" s="44" t="n">
        <v>0.186</v>
      </c>
      <c r="S24" s="44" t="n">
        <v>0.181757230072973</v>
      </c>
      <c r="T24" s="44" t="n">
        <f aca="false">SUM(P24,R24)</f>
        <v>0.23</v>
      </c>
      <c r="U24" s="44" t="n">
        <f aca="false">SUM(Q24,S24)</f>
        <v>0.22475356406873</v>
      </c>
      <c r="V24" s="44" t="n">
        <v>0.099</v>
      </c>
      <c r="W24" s="44" t="n">
        <v>0.0967417514904533</v>
      </c>
      <c r="X24" s="44" t="n">
        <v>0.84</v>
      </c>
      <c r="Y24" s="44" t="n">
        <v>0.820839103555361</v>
      </c>
      <c r="Z24" s="42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</row>
    <row r="25" customFormat="false" ht="13.8" hidden="false" customHeight="false" outlineLevel="0" collapsed="false">
      <c r="A25" s="46" t="n">
        <v>19</v>
      </c>
      <c r="B25" s="35"/>
      <c r="C25" s="35"/>
      <c r="D25" s="47" t="n">
        <v>38880</v>
      </c>
      <c r="E25" s="48" t="s">
        <v>166</v>
      </c>
      <c r="F25" s="45" t="s">
        <v>167</v>
      </c>
      <c r="G25" s="45" t="s">
        <v>168</v>
      </c>
      <c r="H25" s="49" t="n">
        <v>35.743</v>
      </c>
      <c r="I25" s="50" t="n">
        <v>26.1</v>
      </c>
      <c r="J25" s="51" t="s">
        <v>108</v>
      </c>
      <c r="K25" s="51" t="s">
        <v>169</v>
      </c>
      <c r="L25" s="45" t="n">
        <v>115</v>
      </c>
      <c r="M25" s="35"/>
      <c r="N25" s="35"/>
      <c r="O25" s="49" t="n">
        <v>35.73</v>
      </c>
      <c r="P25" s="44" t="n">
        <v>0.055</v>
      </c>
      <c r="Q25" s="44" t="n">
        <v>0.0537454174946963</v>
      </c>
      <c r="R25" s="44" t="n">
        <v>0.205</v>
      </c>
      <c r="S25" s="44" t="n">
        <v>0.200323828843868</v>
      </c>
      <c r="T25" s="44" t="n">
        <f aca="false">SUM(P25,R25)</f>
        <v>0.26</v>
      </c>
      <c r="U25" s="44" t="n">
        <f aca="false">SUM(Q25,S25)</f>
        <v>0.254069246338564</v>
      </c>
      <c r="V25" s="44" t="n">
        <v>0.11</v>
      </c>
      <c r="W25" s="44" t="n">
        <v>0.107490834989393</v>
      </c>
      <c r="X25" s="44" t="n">
        <v>0.95</v>
      </c>
      <c r="Y25" s="44" t="n">
        <v>0.928329938544754</v>
      </c>
      <c r="Z25" s="42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</row>
    <row r="26" customFormat="false" ht="13.8" hidden="false" customHeight="false" outlineLevel="0" collapsed="false">
      <c r="A26" s="46" t="n">
        <v>20</v>
      </c>
      <c r="B26" s="35"/>
      <c r="C26" s="35"/>
      <c r="D26" s="47" t="n">
        <v>38881</v>
      </c>
      <c r="E26" s="48" t="s">
        <v>170</v>
      </c>
      <c r="F26" s="45" t="s">
        <v>171</v>
      </c>
      <c r="G26" s="45" t="s">
        <v>172</v>
      </c>
      <c r="H26" s="49" t="n">
        <v>35.745</v>
      </c>
      <c r="I26" s="50" t="n">
        <v>25.8</v>
      </c>
      <c r="J26" s="51" t="s">
        <v>113</v>
      </c>
      <c r="K26" s="51" t="s">
        <v>173</v>
      </c>
      <c r="L26" s="42"/>
      <c r="M26" s="35"/>
      <c r="N26" s="35"/>
      <c r="O26" s="49" t="n">
        <v>35.712</v>
      </c>
      <c r="P26" s="44" t="n">
        <v>0.06</v>
      </c>
      <c r="Q26" s="44" t="n">
        <v>0.0586313645396686</v>
      </c>
      <c r="R26" s="44" t="n">
        <v>0.21</v>
      </c>
      <c r="S26" s="44" t="n">
        <v>0.20520977588884</v>
      </c>
      <c r="T26" s="44" t="n">
        <f aca="false">SUM(P26,R26)</f>
        <v>0.27</v>
      </c>
      <c r="U26" s="44" t="n">
        <f aca="false">SUM(Q26,S26)</f>
        <v>0.263841140428509</v>
      </c>
      <c r="V26" s="44" t="n">
        <v>0.134</v>
      </c>
      <c r="W26" s="44" t="n">
        <v>0.13094338080526</v>
      </c>
      <c r="X26" s="44" t="n">
        <v>1.19</v>
      </c>
      <c r="Y26" s="44" t="n">
        <v>1.16285539670343</v>
      </c>
      <c r="Z26" s="42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customFormat="false" ht="13.8" hidden="false" customHeight="false" outlineLevel="0" collapsed="false">
      <c r="A27" s="53" t="n">
        <v>21</v>
      </c>
      <c r="B27" s="35"/>
      <c r="C27" s="35"/>
      <c r="D27" s="47" t="n">
        <v>38881</v>
      </c>
      <c r="E27" s="48" t="s">
        <v>174</v>
      </c>
      <c r="F27" s="45" t="s">
        <v>175</v>
      </c>
      <c r="G27" s="45" t="s">
        <v>176</v>
      </c>
      <c r="H27" s="49" t="n">
        <v>35.773</v>
      </c>
      <c r="I27" s="50" t="n">
        <v>26.1</v>
      </c>
      <c r="J27" s="51" t="s">
        <v>118</v>
      </c>
      <c r="K27" s="51" t="s">
        <v>177</v>
      </c>
      <c r="L27" s="45" t="n">
        <v>116</v>
      </c>
      <c r="M27" s="35"/>
      <c r="N27" s="35"/>
      <c r="O27" s="49" t="n">
        <v>35.752</v>
      </c>
      <c r="P27" s="44" t="n">
        <v>0.094</v>
      </c>
      <c r="Q27" s="44" t="n">
        <v>0.0918558044454809</v>
      </c>
      <c r="R27" s="44" t="n">
        <v>0.296</v>
      </c>
      <c r="S27" s="44" t="n">
        <v>0.289248065062365</v>
      </c>
      <c r="T27" s="44" t="n">
        <f aca="false">SUM(P27,R27)</f>
        <v>0.39</v>
      </c>
      <c r="U27" s="44" t="n">
        <f aca="false">SUM(Q27,S27)</f>
        <v>0.381103869507846</v>
      </c>
      <c r="V27" s="44" t="n">
        <v>0.138</v>
      </c>
      <c r="W27" s="44" t="n">
        <v>0.134852138441238</v>
      </c>
      <c r="X27" s="44" t="n">
        <v>1.04</v>
      </c>
      <c r="Y27" s="44" t="n">
        <v>1.01627698535426</v>
      </c>
      <c r="Z27" s="42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</row>
    <row r="28" customFormat="false" ht="13.8" hidden="false" customHeight="false" outlineLevel="0" collapsed="false">
      <c r="A28" s="46" t="n">
        <v>22</v>
      </c>
      <c r="B28" s="35"/>
      <c r="C28" s="35"/>
      <c r="D28" s="47" t="n">
        <v>38881</v>
      </c>
      <c r="E28" s="48" t="s">
        <v>178</v>
      </c>
      <c r="F28" s="45" t="s">
        <v>179</v>
      </c>
      <c r="G28" s="45" t="s">
        <v>180</v>
      </c>
      <c r="H28" s="49" t="n">
        <v>35.733</v>
      </c>
      <c r="I28" s="50" t="n">
        <v>26.7</v>
      </c>
      <c r="J28" s="51" t="s">
        <v>123</v>
      </c>
      <c r="K28" s="51" t="s">
        <v>181</v>
      </c>
      <c r="L28" s="42"/>
      <c r="M28" s="35"/>
      <c r="N28" s="35"/>
      <c r="O28" s="49" t="n">
        <v>35.713</v>
      </c>
      <c r="P28" s="43" t="n">
        <v>0.059</v>
      </c>
      <c r="Q28" s="44" t="n">
        <v>0.0576541751306742</v>
      </c>
      <c r="R28" s="44" t="n">
        <v>0.241</v>
      </c>
      <c r="S28" s="44" t="n">
        <v>0.235502647567669</v>
      </c>
      <c r="T28" s="44" t="n">
        <f aca="false">SUM(P28,R28)</f>
        <v>0.3</v>
      </c>
      <c r="U28" s="44" t="n">
        <f aca="false">SUM(Q28,S28)</f>
        <v>0.293156822698343</v>
      </c>
      <c r="V28" s="43" t="n">
        <v>0.174</v>
      </c>
      <c r="W28" s="44" t="n">
        <v>0.170030957165039</v>
      </c>
      <c r="X28" s="43" t="n">
        <v>0.98</v>
      </c>
      <c r="Y28" s="44" t="n">
        <v>0.957645620814588</v>
      </c>
      <c r="Z28" s="42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</row>
    <row r="29" customFormat="false" ht="13.8" hidden="false" customHeight="false" outlineLevel="0" collapsed="false">
      <c r="A29" s="46" t="n">
        <f aca="false">A28+1</f>
        <v>23</v>
      </c>
      <c r="B29" s="35"/>
      <c r="C29" s="35"/>
      <c r="D29" s="47" t="n">
        <v>38883</v>
      </c>
      <c r="E29" s="48" t="s">
        <v>182</v>
      </c>
      <c r="F29" s="45" t="s">
        <v>183</v>
      </c>
      <c r="G29" s="45" t="s">
        <v>184</v>
      </c>
      <c r="H29" s="49" t="n">
        <v>34.776</v>
      </c>
      <c r="I29" s="50" t="n">
        <v>28.5</v>
      </c>
      <c r="J29" s="51" t="s">
        <v>128</v>
      </c>
      <c r="K29" s="51" t="s">
        <v>185</v>
      </c>
      <c r="L29" s="42"/>
      <c r="M29" s="35"/>
      <c r="N29" s="35"/>
      <c r="O29" s="49" t="n">
        <v>34.748</v>
      </c>
      <c r="P29" s="43" t="n">
        <v>0.063</v>
      </c>
      <c r="Q29" s="44" t="n">
        <v>0.0615629327666521</v>
      </c>
      <c r="R29" s="44" t="n">
        <v>0.197</v>
      </c>
      <c r="S29" s="44" t="n">
        <v>0.192506313571912</v>
      </c>
      <c r="T29" s="44" t="n">
        <f aca="false">SUM(P29,R29)</f>
        <v>0.26</v>
      </c>
      <c r="U29" s="44" t="n">
        <f aca="false">SUM(Q29,S29)</f>
        <v>0.254069246338564</v>
      </c>
      <c r="V29" s="43" t="n">
        <v>0.136</v>
      </c>
      <c r="W29" s="44" t="n">
        <v>0.132897759623249</v>
      </c>
      <c r="X29" s="43" t="n">
        <v>1.14</v>
      </c>
      <c r="Y29" s="44" t="n">
        <v>1.1139959262537</v>
      </c>
      <c r="Z29" s="42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</row>
    <row r="30" customFormat="false" ht="13.8" hidden="false" customHeight="false" outlineLevel="0" collapsed="false">
      <c r="A30" s="46" t="n">
        <f aca="false">A29+1</f>
        <v>24</v>
      </c>
      <c r="B30" s="35"/>
      <c r="C30" s="35"/>
      <c r="D30" s="47" t="n">
        <v>38883</v>
      </c>
      <c r="E30" s="48" t="s">
        <v>186</v>
      </c>
      <c r="F30" s="45" t="s">
        <v>187</v>
      </c>
      <c r="G30" s="45" t="s">
        <v>188</v>
      </c>
      <c r="H30" s="49" t="n">
        <v>34.673</v>
      </c>
      <c r="I30" s="50" t="n">
        <v>28.6</v>
      </c>
      <c r="J30" s="51" t="s">
        <v>133</v>
      </c>
      <c r="K30" s="51" t="s">
        <v>189</v>
      </c>
      <c r="L30" s="54" t="s">
        <v>165</v>
      </c>
      <c r="M30" s="35"/>
      <c r="N30" s="35"/>
      <c r="O30" s="49" t="n">
        <v>34.642</v>
      </c>
      <c r="P30" s="43" t="n">
        <v>0.062</v>
      </c>
      <c r="Q30" s="44" t="n">
        <v>0.0605857433576576</v>
      </c>
      <c r="R30" s="44" t="n">
        <v>0.228</v>
      </c>
      <c r="S30" s="44" t="n">
        <v>0.222799185250741</v>
      </c>
      <c r="T30" s="44" t="n">
        <f aca="false">SUM(P30,R30)</f>
        <v>0.29</v>
      </c>
      <c r="U30" s="44" t="n">
        <f aca="false">SUM(Q30,S30)</f>
        <v>0.283384928608399</v>
      </c>
      <c r="V30" s="43" t="n">
        <v>0.078</v>
      </c>
      <c r="W30" s="44" t="n">
        <v>0.0762207739015692</v>
      </c>
      <c r="X30" s="43" t="n">
        <v>0.97</v>
      </c>
      <c r="Y30" s="44" t="n">
        <v>0.947873726724643</v>
      </c>
      <c r="Z30" s="42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</row>
    <row r="31" customFormat="false" ht="13.8" hidden="false" customHeight="false" outlineLevel="0" collapsed="false">
      <c r="A31" s="46" t="n">
        <f aca="false">A30+1</f>
        <v>25</v>
      </c>
      <c r="B31" s="35"/>
      <c r="C31" s="35"/>
      <c r="D31" s="47" t="n">
        <v>38883</v>
      </c>
      <c r="E31" s="48" t="s">
        <v>186</v>
      </c>
      <c r="F31" s="45" t="s">
        <v>187</v>
      </c>
      <c r="G31" s="45" t="s">
        <v>188</v>
      </c>
      <c r="H31" s="49" t="n">
        <v>34.676</v>
      </c>
      <c r="I31" s="50" t="n">
        <v>28.6</v>
      </c>
      <c r="J31" s="51" t="s">
        <v>138</v>
      </c>
      <c r="K31" s="51" t="s">
        <v>190</v>
      </c>
      <c r="L31" s="54" t="s">
        <v>165</v>
      </c>
      <c r="M31" s="35"/>
      <c r="N31" s="35"/>
      <c r="O31" s="49" t="n">
        <v>34.65</v>
      </c>
      <c r="P31" s="43" t="n">
        <v>0.075</v>
      </c>
      <c r="Q31" s="44" t="n">
        <v>0.0732892056745858</v>
      </c>
      <c r="R31" s="44" t="n">
        <v>0.265</v>
      </c>
      <c r="S31" s="44" t="n">
        <v>0.258955193383536</v>
      </c>
      <c r="T31" s="44" t="n">
        <f aca="false">SUM(P31,R31)</f>
        <v>0.34</v>
      </c>
      <c r="U31" s="44" t="n">
        <f aca="false">SUM(Q31,S31)</f>
        <v>0.332244399058122</v>
      </c>
      <c r="V31" s="43" t="n">
        <v>0.07</v>
      </c>
      <c r="W31" s="44" t="n">
        <v>0.0684032586296134</v>
      </c>
      <c r="X31" s="43" t="n">
        <v>0.91</v>
      </c>
      <c r="Y31" s="44" t="n">
        <v>0.889242362184974</v>
      </c>
      <c r="Z31" s="42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</row>
    <row r="32" customFormat="false" ht="13.8" hidden="false" customHeight="false" outlineLevel="0" collapsed="false">
      <c r="A32" s="46" t="n">
        <f aca="false">A31+1</f>
        <v>26</v>
      </c>
      <c r="B32" s="35"/>
      <c r="C32" s="35"/>
      <c r="D32" s="47" t="n">
        <v>38884</v>
      </c>
      <c r="E32" s="48" t="s">
        <v>191</v>
      </c>
      <c r="F32" s="45" t="s">
        <v>192</v>
      </c>
      <c r="G32" s="45" t="s">
        <v>193</v>
      </c>
      <c r="H32" s="49" t="n">
        <v>34.446</v>
      </c>
      <c r="I32" s="50" t="n">
        <v>28.7</v>
      </c>
      <c r="J32" s="51" t="s">
        <v>143</v>
      </c>
      <c r="K32" s="51" t="s">
        <v>165</v>
      </c>
      <c r="L32" s="54" t="s">
        <v>165</v>
      </c>
      <c r="M32" s="35"/>
      <c r="N32" s="35"/>
      <c r="O32" s="49" t="n">
        <v>34.412</v>
      </c>
      <c r="P32" s="55" t="s">
        <v>165</v>
      </c>
      <c r="Q32" s="56" t="s">
        <v>165</v>
      </c>
      <c r="R32" s="56" t="s">
        <v>165</v>
      </c>
      <c r="S32" s="56" t="s">
        <v>165</v>
      </c>
      <c r="T32" s="44" t="n">
        <f aca="false">SUM(P32,R32)</f>
        <v>0</v>
      </c>
      <c r="U32" s="44" t="n">
        <f aca="false">SUM(Q32,S32)</f>
        <v>0</v>
      </c>
      <c r="V32" s="55" t="s">
        <v>165</v>
      </c>
      <c r="W32" s="56" t="s">
        <v>165</v>
      </c>
      <c r="X32" s="55" t="s">
        <v>165</v>
      </c>
      <c r="Y32" s="56" t="s">
        <v>165</v>
      </c>
      <c r="Z32" s="42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</row>
    <row r="33" customFormat="false" ht="13.8" hidden="false" customHeight="false" outlineLevel="0" collapsed="false">
      <c r="A33" s="46" t="n">
        <f aca="false">A32+1</f>
        <v>27</v>
      </c>
      <c r="B33" s="35"/>
      <c r="C33" s="35"/>
      <c r="D33" s="47" t="n">
        <v>38891</v>
      </c>
      <c r="E33" s="48" t="s">
        <v>194</v>
      </c>
      <c r="F33" s="45" t="s">
        <v>195</v>
      </c>
      <c r="G33" s="45" t="s">
        <v>196</v>
      </c>
      <c r="H33" s="49" t="n">
        <v>34.07</v>
      </c>
      <c r="I33" s="50" t="n">
        <v>27.4</v>
      </c>
      <c r="J33" s="51" t="s">
        <v>83</v>
      </c>
      <c r="K33" s="51" t="s">
        <v>197</v>
      </c>
      <c r="L33" s="42"/>
      <c r="M33" s="35"/>
      <c r="N33" s="35"/>
      <c r="O33" s="49" t="n">
        <v>34.075</v>
      </c>
      <c r="P33" s="44" t="n">
        <v>0.06</v>
      </c>
      <c r="Q33" s="44" t="n">
        <v>0.0586313645396686</v>
      </c>
      <c r="R33" s="43" t="n">
        <v>0.2</v>
      </c>
      <c r="S33" s="44" t="n">
        <v>0.195437881798895</v>
      </c>
      <c r="T33" s="44" t="n">
        <f aca="false">SUM(P33,R33)</f>
        <v>0.26</v>
      </c>
      <c r="U33" s="44" t="n">
        <f aca="false">SUM(Q33,S33)</f>
        <v>0.254069246338564</v>
      </c>
      <c r="V33" s="43" t="n">
        <v>0.012</v>
      </c>
      <c r="W33" s="44" t="n">
        <v>0.0117262729079337</v>
      </c>
      <c r="X33" s="43" t="n">
        <v>1.48</v>
      </c>
      <c r="Y33" s="44" t="n">
        <v>1.44624032531183</v>
      </c>
      <c r="Z33" s="42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</row>
    <row r="34" customFormat="false" ht="13.8" hidden="false" customHeight="false" outlineLevel="0" collapsed="false">
      <c r="A34" s="46" t="n">
        <f aca="false">A33+1</f>
        <v>28</v>
      </c>
      <c r="B34" s="35"/>
      <c r="C34" s="35"/>
      <c r="D34" s="47" t="n">
        <v>36701</v>
      </c>
      <c r="E34" s="48" t="s">
        <v>198</v>
      </c>
      <c r="F34" s="45" t="s">
        <v>199</v>
      </c>
      <c r="G34" s="45" t="s">
        <v>200</v>
      </c>
      <c r="H34" s="49" t="n">
        <v>34.151</v>
      </c>
      <c r="I34" s="50" t="n">
        <v>27.4</v>
      </c>
      <c r="J34" s="51" t="s">
        <v>88</v>
      </c>
      <c r="K34" s="51" t="s">
        <v>201</v>
      </c>
      <c r="L34" s="42"/>
      <c r="M34" s="35"/>
      <c r="N34" s="35"/>
      <c r="O34" s="49" t="n">
        <v>34.164</v>
      </c>
      <c r="P34" s="44" t="n">
        <v>0.065</v>
      </c>
      <c r="Q34" s="44" t="n">
        <v>0.063517311584641</v>
      </c>
      <c r="R34" s="43" t="n">
        <v>0.195</v>
      </c>
      <c r="S34" s="44" t="n">
        <v>0.190551934753923</v>
      </c>
      <c r="T34" s="44" t="n">
        <f aca="false">SUM(P34,R34)</f>
        <v>0.26</v>
      </c>
      <c r="U34" s="44" t="n">
        <f aca="false">SUM(Q34,S34)</f>
        <v>0.254069246338564</v>
      </c>
      <c r="V34" s="43" t="n">
        <v>0.014</v>
      </c>
      <c r="W34" s="44" t="n">
        <v>0.0136806517259227</v>
      </c>
      <c r="X34" s="43" t="n">
        <v>1.31</v>
      </c>
      <c r="Y34" s="44" t="n">
        <v>1.28011812578277</v>
      </c>
      <c r="Z34" s="42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</row>
    <row r="35" customFormat="false" ht="13.8" hidden="false" customHeight="false" outlineLevel="0" collapsed="false">
      <c r="A35" s="46" t="n">
        <f aca="false">A34+1</f>
        <v>29</v>
      </c>
      <c r="B35" s="35"/>
      <c r="C35" s="35"/>
      <c r="D35" s="47" t="n">
        <v>38892</v>
      </c>
      <c r="E35" s="48" t="s">
        <v>202</v>
      </c>
      <c r="F35" s="45" t="s">
        <v>203</v>
      </c>
      <c r="G35" s="45" t="s">
        <v>204</v>
      </c>
      <c r="H35" s="49" t="n">
        <v>34.195</v>
      </c>
      <c r="I35" s="50" t="n">
        <v>27.4</v>
      </c>
      <c r="J35" s="51" t="s">
        <v>93</v>
      </c>
      <c r="K35" s="51" t="s">
        <v>205</v>
      </c>
      <c r="L35" s="45" t="s">
        <v>165</v>
      </c>
      <c r="M35" s="35"/>
      <c r="N35" s="35"/>
      <c r="O35" s="49" t="n">
        <v>34.173</v>
      </c>
      <c r="P35" s="44" t="n">
        <v>0.065</v>
      </c>
      <c r="Q35" s="44" t="n">
        <v>0.063517311584641</v>
      </c>
      <c r="R35" s="43" t="n">
        <v>0.215</v>
      </c>
      <c r="S35" s="44" t="n">
        <v>0.210095722933813</v>
      </c>
      <c r="T35" s="44" t="n">
        <f aca="false">SUM(P35,R35)</f>
        <v>0.28</v>
      </c>
      <c r="U35" s="44" t="n">
        <f aca="false">SUM(Q35,S35)</f>
        <v>0.273613034518454</v>
      </c>
      <c r="V35" s="43" t="n">
        <v>0.027</v>
      </c>
      <c r="W35" s="44" t="n">
        <v>0.0263841140428509</v>
      </c>
      <c r="X35" s="43" t="n">
        <v>1.24</v>
      </c>
      <c r="Y35" s="44" t="n">
        <v>1.21171486715315</v>
      </c>
      <c r="Z35" s="42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</row>
    <row r="36" customFormat="false" ht="13.8" hidden="false" customHeight="false" outlineLevel="0" collapsed="false">
      <c r="A36" s="46" t="n">
        <f aca="false">A35+1</f>
        <v>30</v>
      </c>
      <c r="B36" s="35"/>
      <c r="C36" s="35"/>
      <c r="D36" s="47" t="n">
        <v>38897</v>
      </c>
      <c r="E36" s="48" t="s">
        <v>206</v>
      </c>
      <c r="F36" s="45" t="s">
        <v>207</v>
      </c>
      <c r="G36" s="45" t="s">
        <v>208</v>
      </c>
      <c r="H36" s="49" t="n">
        <v>35.781</v>
      </c>
      <c r="I36" s="50" t="n">
        <v>24.8</v>
      </c>
      <c r="J36" s="51" t="s">
        <v>98</v>
      </c>
      <c r="K36" s="51" t="s">
        <v>209</v>
      </c>
      <c r="L36" s="42"/>
      <c r="M36" s="35"/>
      <c r="N36" s="35"/>
      <c r="O36" s="49" t="n">
        <v>35.728</v>
      </c>
      <c r="P36" s="44" t="n">
        <v>0.109</v>
      </c>
      <c r="Q36" s="44" t="n">
        <v>0.106513645580398</v>
      </c>
      <c r="R36" s="43" t="n">
        <v>0.311</v>
      </c>
      <c r="S36" s="44" t="n">
        <v>0.303905906197282</v>
      </c>
      <c r="T36" s="44" t="n">
        <f aca="false">SUM(P36,R36)</f>
        <v>0.42</v>
      </c>
      <c r="U36" s="44" t="n">
        <f aca="false">SUM(Q36,S36)</f>
        <v>0.41041955177768</v>
      </c>
      <c r="V36" s="43" t="n">
        <v>0.187</v>
      </c>
      <c r="W36" s="44" t="n">
        <v>0.182734419481967</v>
      </c>
      <c r="X36" s="43" t="n">
        <v>2.01</v>
      </c>
      <c r="Y36" s="44" t="n">
        <v>1.9641507120789</v>
      </c>
      <c r="Z36" s="42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</row>
    <row r="37" customFormat="false" ht="13.8" hidden="false" customHeight="false" outlineLevel="0" collapsed="false">
      <c r="A37" s="46" t="n">
        <f aca="false">A36+1</f>
        <v>31</v>
      </c>
      <c r="B37" s="35"/>
      <c r="C37" s="35"/>
      <c r="D37" s="47" t="n">
        <v>38897</v>
      </c>
      <c r="E37" s="48" t="s">
        <v>210</v>
      </c>
      <c r="F37" s="45" t="s">
        <v>211</v>
      </c>
      <c r="G37" s="45" t="s">
        <v>212</v>
      </c>
      <c r="H37" s="49" t="n">
        <v>35.462</v>
      </c>
      <c r="I37" s="50" t="n">
        <v>25.1</v>
      </c>
      <c r="J37" s="51" t="s">
        <v>103</v>
      </c>
      <c r="K37" s="51" t="s">
        <v>213</v>
      </c>
      <c r="L37" s="42"/>
      <c r="M37" s="35"/>
      <c r="N37" s="35"/>
      <c r="O37" s="49" t="n">
        <v>35.419</v>
      </c>
      <c r="P37" s="44" t="n">
        <v>0.122</v>
      </c>
      <c r="Q37" s="44" t="n">
        <v>0.119217107897326</v>
      </c>
      <c r="R37" s="43" t="n">
        <v>0.328</v>
      </c>
      <c r="S37" s="44" t="n">
        <v>0.320518126150189</v>
      </c>
      <c r="T37" s="44" t="n">
        <f aca="false">SUM(P37,R37)</f>
        <v>0.45</v>
      </c>
      <c r="U37" s="44" t="n">
        <f aca="false">SUM(Q37,S37)</f>
        <v>0.439735234047515</v>
      </c>
      <c r="V37" s="43" t="n">
        <v>0.2</v>
      </c>
      <c r="W37" s="44" t="n">
        <v>0.195437881798895</v>
      </c>
      <c r="X37" s="43" t="n">
        <v>2.23</v>
      </c>
      <c r="Y37" s="44" t="n">
        <v>2.17913238205768</v>
      </c>
      <c r="Z37" s="42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</row>
    <row r="38" customFormat="false" ht="13.8" hidden="false" customHeight="false" outlineLevel="0" collapsed="false">
      <c r="A38" s="46" t="n">
        <f aca="false">A37+1</f>
        <v>32</v>
      </c>
      <c r="B38" s="35"/>
      <c r="C38" s="35"/>
      <c r="D38" s="47" t="n">
        <v>38897</v>
      </c>
      <c r="E38" s="48" t="s">
        <v>214</v>
      </c>
      <c r="F38" s="45" t="s">
        <v>215</v>
      </c>
      <c r="G38" s="45" t="s">
        <v>216</v>
      </c>
      <c r="H38" s="49" t="n">
        <v>35.32</v>
      </c>
      <c r="I38" s="50" t="n">
        <v>25.6</v>
      </c>
      <c r="J38" s="51" t="s">
        <v>108</v>
      </c>
      <c r="K38" s="51" t="s">
        <v>217</v>
      </c>
      <c r="L38" s="42"/>
      <c r="M38" s="35"/>
      <c r="N38" s="35"/>
      <c r="O38" s="49" t="n">
        <v>35.346</v>
      </c>
      <c r="P38" s="44" t="n">
        <v>0.108</v>
      </c>
      <c r="Q38" s="44" t="n">
        <v>0.105536456171404</v>
      </c>
      <c r="R38" s="43" t="n">
        <v>0.332</v>
      </c>
      <c r="S38" s="44" t="n">
        <v>0.324426883786166</v>
      </c>
      <c r="T38" s="44" t="n">
        <f aca="false">SUM(P38,R38)</f>
        <v>0.44</v>
      </c>
      <c r="U38" s="44" t="n">
        <f aca="false">SUM(Q38,S38)</f>
        <v>0.42996333995757</v>
      </c>
      <c r="V38" s="43" t="n">
        <v>0.16</v>
      </c>
      <c r="W38" s="44" t="n">
        <v>0.156350305439116</v>
      </c>
      <c r="X38" s="43" t="n">
        <v>2.12</v>
      </c>
      <c r="Y38" s="44" t="n">
        <v>2.07164154706829</v>
      </c>
      <c r="Z38" s="42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</row>
    <row r="39" customFormat="false" ht="13.8" hidden="false" customHeight="false" outlineLevel="0" collapsed="false">
      <c r="A39" s="46" t="n">
        <f aca="false">A38+1</f>
        <v>33</v>
      </c>
      <c r="B39" s="35"/>
      <c r="C39" s="35"/>
      <c r="D39" s="47" t="n">
        <v>38899</v>
      </c>
      <c r="E39" s="48" t="s">
        <v>218</v>
      </c>
      <c r="F39" s="45" t="s">
        <v>219</v>
      </c>
      <c r="G39" s="45" t="s">
        <v>220</v>
      </c>
      <c r="H39" s="49" t="n">
        <v>36.06</v>
      </c>
      <c r="I39" s="50" t="n">
        <v>24.9</v>
      </c>
      <c r="J39" s="51" t="s">
        <v>113</v>
      </c>
      <c r="K39" s="51" t="s">
        <v>221</v>
      </c>
      <c r="L39" s="42"/>
      <c r="M39" s="35"/>
      <c r="N39" s="35"/>
      <c r="O39" s="49" t="n">
        <v>36.049</v>
      </c>
      <c r="P39" s="44" t="n">
        <v>0.13</v>
      </c>
      <c r="Q39" s="44" t="n">
        <v>0.127034623169282</v>
      </c>
      <c r="R39" s="43" t="n">
        <v>0.41</v>
      </c>
      <c r="S39" s="44" t="n">
        <v>0.400647657687736</v>
      </c>
      <c r="T39" s="44" t="n">
        <f aca="false">SUM(P39,R39)</f>
        <v>0.54</v>
      </c>
      <c r="U39" s="44" t="n">
        <f aca="false">SUM(Q39,S39)</f>
        <v>0.527682280857018</v>
      </c>
      <c r="V39" s="43" t="n">
        <v>0.323</v>
      </c>
      <c r="W39" s="44" t="n">
        <v>0.315632179105216</v>
      </c>
      <c r="X39" s="43" t="n">
        <v>2.06</v>
      </c>
      <c r="Y39" s="44" t="n">
        <v>2.01301018252862</v>
      </c>
      <c r="Z39" s="42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</row>
    <row r="40" customFormat="false" ht="13.8" hidden="false" customHeight="false" outlineLevel="0" collapsed="false">
      <c r="A40" s="46" t="n">
        <f aca="false">A39+1</f>
        <v>34</v>
      </c>
      <c r="B40" s="35"/>
      <c r="C40" s="35"/>
      <c r="D40" s="47" t="n">
        <v>38900</v>
      </c>
      <c r="E40" s="48" t="s">
        <v>222</v>
      </c>
      <c r="F40" s="45" t="s">
        <v>223</v>
      </c>
      <c r="G40" s="45" t="s">
        <v>224</v>
      </c>
      <c r="H40" s="49" t="n">
        <v>36.066</v>
      </c>
      <c r="I40" s="50" t="n">
        <v>25.1</v>
      </c>
      <c r="J40" s="51" t="s">
        <v>118</v>
      </c>
      <c r="K40" s="51" t="s">
        <v>225</v>
      </c>
      <c r="L40" s="42"/>
      <c r="M40" s="35"/>
      <c r="N40" s="35"/>
      <c r="O40" s="49" t="n">
        <v>36.056</v>
      </c>
      <c r="P40" s="44" t="n">
        <v>0.125</v>
      </c>
      <c r="Q40" s="44" t="n">
        <v>0.12214867612431</v>
      </c>
      <c r="R40" s="43" t="n">
        <v>0.395</v>
      </c>
      <c r="S40" s="44" t="n">
        <v>0.385989816552819</v>
      </c>
      <c r="T40" s="44" t="n">
        <f aca="false">SUM(P40,R40)</f>
        <v>0.52</v>
      </c>
      <c r="U40" s="44" t="n">
        <f aca="false">SUM(Q40,S40)</f>
        <v>0.508138492677129</v>
      </c>
      <c r="V40" s="43" t="n">
        <v>0.238</v>
      </c>
      <c r="W40" s="44" t="n">
        <v>0.232571079340686</v>
      </c>
      <c r="X40" s="43" t="n">
        <v>1.96</v>
      </c>
      <c r="Y40" s="44" t="n">
        <v>1.91529124162918</v>
      </c>
      <c r="Z40" s="42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</row>
    <row r="41" customFormat="false" ht="13.8" hidden="false" customHeight="false" outlineLevel="0" collapsed="false">
      <c r="A41" s="46" t="n">
        <f aca="false">A40+1</f>
        <v>35</v>
      </c>
      <c r="B41" s="35"/>
      <c r="C41" s="35"/>
      <c r="D41" s="47" t="n">
        <v>38900</v>
      </c>
      <c r="E41" s="48" t="s">
        <v>226</v>
      </c>
      <c r="F41" s="45" t="s">
        <v>227</v>
      </c>
      <c r="G41" s="45" t="s">
        <v>228</v>
      </c>
      <c r="H41" s="49" t="n">
        <v>35.997</v>
      </c>
      <c r="I41" s="50" t="n">
        <v>25.1</v>
      </c>
      <c r="J41" s="51" t="s">
        <v>128</v>
      </c>
      <c r="K41" s="51" t="s">
        <v>229</v>
      </c>
      <c r="L41" s="42"/>
      <c r="M41" s="35"/>
      <c r="N41" s="35"/>
      <c r="O41" s="49" t="n">
        <v>35.984</v>
      </c>
      <c r="P41" s="44" t="n">
        <v>0.124</v>
      </c>
      <c r="Q41" s="44" t="n">
        <v>0.121171486715315</v>
      </c>
      <c r="R41" s="43" t="n">
        <v>0.366</v>
      </c>
      <c r="S41" s="44" t="n">
        <v>0.357651323691979</v>
      </c>
      <c r="T41" s="44" t="n">
        <f aca="false">SUM(P41,R41)</f>
        <v>0.49</v>
      </c>
      <c r="U41" s="44" t="n">
        <f aca="false">SUM(Q41,S41)</f>
        <v>0.478822810407294</v>
      </c>
      <c r="V41" s="43" t="n">
        <v>0.211</v>
      </c>
      <c r="W41" s="44" t="n">
        <v>0.206186965297835</v>
      </c>
      <c r="X41" s="43" t="n">
        <v>1.85</v>
      </c>
      <c r="Y41" s="44" t="n">
        <v>1.80780040663978</v>
      </c>
      <c r="Z41" s="42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</row>
    <row r="42" customFormat="false" ht="13.8" hidden="false" customHeight="false" outlineLevel="0" collapsed="false">
      <c r="A42" s="46" t="n">
        <f aca="false">A41+1</f>
        <v>36</v>
      </c>
      <c r="B42" s="35"/>
      <c r="C42" s="35"/>
      <c r="D42" s="47" t="n">
        <v>38900</v>
      </c>
      <c r="E42" s="48" t="s">
        <v>230</v>
      </c>
      <c r="F42" s="45" t="s">
        <v>231</v>
      </c>
      <c r="G42" s="45" t="s">
        <v>232</v>
      </c>
      <c r="H42" s="49" t="n">
        <v>36.007</v>
      </c>
      <c r="I42" s="50" t="n">
        <v>25</v>
      </c>
      <c r="J42" s="51" t="s">
        <v>133</v>
      </c>
      <c r="K42" s="51" t="s">
        <v>233</v>
      </c>
      <c r="L42" s="42"/>
      <c r="M42" s="35"/>
      <c r="N42" s="35"/>
      <c r="O42" s="49" t="n">
        <v>36</v>
      </c>
      <c r="P42" s="43" t="n">
        <v>0.126</v>
      </c>
      <c r="Q42" s="44" t="n">
        <v>0.123125865533304</v>
      </c>
      <c r="R42" s="43" t="n">
        <v>0.414</v>
      </c>
      <c r="S42" s="44" t="n">
        <v>0.404556415323714</v>
      </c>
      <c r="T42" s="44" t="n">
        <f aca="false">SUM(P42,R42)</f>
        <v>0.54</v>
      </c>
      <c r="U42" s="44" t="n">
        <f aca="false">SUM(Q42,S42)</f>
        <v>0.527682280857018</v>
      </c>
      <c r="V42" s="43" t="n">
        <v>0.225</v>
      </c>
      <c r="W42" s="44" t="n">
        <v>0.219867617023757</v>
      </c>
      <c r="X42" s="43" t="n">
        <v>1.87</v>
      </c>
      <c r="Y42" s="44" t="n">
        <v>1.82734419481967</v>
      </c>
      <c r="Z42" s="42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</row>
    <row r="43" customFormat="false" ht="13.8" hidden="false" customHeight="false" outlineLevel="0" collapsed="false">
      <c r="A43" s="46" t="n">
        <f aca="false">A42+1</f>
        <v>37</v>
      </c>
      <c r="B43" s="35"/>
      <c r="C43" s="35"/>
      <c r="D43" s="47" t="n">
        <v>38900</v>
      </c>
      <c r="E43" s="48" t="s">
        <v>234</v>
      </c>
      <c r="F43" s="45" t="s">
        <v>235</v>
      </c>
      <c r="G43" s="45" t="s">
        <v>236</v>
      </c>
      <c r="H43" s="49" t="n">
        <v>35.98</v>
      </c>
      <c r="I43" s="50" t="n">
        <v>24.9</v>
      </c>
      <c r="J43" s="51" t="s">
        <v>138</v>
      </c>
      <c r="K43" s="51" t="s">
        <v>237</v>
      </c>
      <c r="L43" s="42"/>
      <c r="M43" s="35"/>
      <c r="N43" s="35"/>
      <c r="O43" s="49" t="n">
        <v>35.966</v>
      </c>
      <c r="P43" s="43" t="n">
        <v>0.138</v>
      </c>
      <c r="Q43" s="44" t="n">
        <v>0.134852138441238</v>
      </c>
      <c r="R43" s="43" t="n">
        <v>0.462</v>
      </c>
      <c r="S43" s="44" t="n">
        <v>0.451461506955449</v>
      </c>
      <c r="T43" s="44" t="n">
        <f aca="false">SUM(P43,R43)</f>
        <v>0.6</v>
      </c>
      <c r="U43" s="44" t="n">
        <f aca="false">SUM(Q43,S43)</f>
        <v>0.586313645396687</v>
      </c>
      <c r="V43" s="43" t="n">
        <v>0.213</v>
      </c>
      <c r="W43" s="44" t="n">
        <v>0.208141344115824</v>
      </c>
      <c r="X43" s="43" t="n">
        <v>1.79</v>
      </c>
      <c r="Y43" s="44" t="n">
        <v>1.74916904210011</v>
      </c>
      <c r="Z43" s="42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</row>
    <row r="44" customFormat="false" ht="13.8" hidden="false" customHeight="false" outlineLevel="0" collapsed="false">
      <c r="A44" s="46" t="n">
        <f aca="false">A43+1</f>
        <v>38</v>
      </c>
      <c r="B44" s="35"/>
      <c r="C44" s="35"/>
      <c r="D44" s="47" t="n">
        <v>38901</v>
      </c>
      <c r="E44" s="48" t="s">
        <v>238</v>
      </c>
      <c r="F44" s="45" t="s">
        <v>239</v>
      </c>
      <c r="G44" s="45" t="s">
        <v>240</v>
      </c>
      <c r="H44" s="49" t="n">
        <v>35.908</v>
      </c>
      <c r="I44" s="50" t="n">
        <v>24.7</v>
      </c>
      <c r="J44" s="51" t="s">
        <v>143</v>
      </c>
      <c r="K44" s="51" t="s">
        <v>241</v>
      </c>
      <c r="L44" s="45" t="n">
        <v>125</v>
      </c>
      <c r="M44" s="35"/>
      <c r="N44" s="35"/>
      <c r="O44" s="49" t="n">
        <v>35.903</v>
      </c>
      <c r="P44" s="43" t="n">
        <v>0.148</v>
      </c>
      <c r="Q44" s="44" t="n">
        <v>0.144624032531183</v>
      </c>
      <c r="R44" s="43" t="n">
        <v>0.752</v>
      </c>
      <c r="S44" s="44" t="n">
        <v>0.734846435563847</v>
      </c>
      <c r="T44" s="44" t="n">
        <f aca="false">SUM(P44,R44)</f>
        <v>0.9</v>
      </c>
      <c r="U44" s="44" t="n">
        <f aca="false">SUM(Q44,S44)</f>
        <v>0.87947046809503</v>
      </c>
      <c r="V44" s="43" t="n">
        <v>0.224</v>
      </c>
      <c r="W44" s="44" t="n">
        <v>0.218890427614763</v>
      </c>
      <c r="X44" s="43" t="n">
        <v>1.83</v>
      </c>
      <c r="Y44" s="44" t="n">
        <v>1.78825661845989</v>
      </c>
      <c r="Z44" s="42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</row>
    <row r="45" customFormat="false" ht="13.8" hidden="false" customHeight="false" outlineLevel="0" collapsed="false">
      <c r="A45" s="46" t="n">
        <f aca="false">A44+1</f>
        <v>39</v>
      </c>
      <c r="B45" s="35"/>
      <c r="C45" s="35"/>
      <c r="D45" s="47" t="n">
        <v>38901</v>
      </c>
      <c r="E45" s="48" t="s">
        <v>242</v>
      </c>
      <c r="F45" s="45" t="s">
        <v>243</v>
      </c>
      <c r="G45" s="45" t="s">
        <v>244</v>
      </c>
      <c r="H45" s="49" t="n">
        <v>35.904</v>
      </c>
      <c r="I45" s="50" t="n">
        <v>24.3</v>
      </c>
      <c r="J45" s="51" t="s">
        <v>245</v>
      </c>
      <c r="K45" s="51" t="s">
        <v>165</v>
      </c>
      <c r="L45" s="42"/>
      <c r="M45" s="35"/>
      <c r="N45" s="35"/>
      <c r="O45" s="49" t="n">
        <v>35.854</v>
      </c>
      <c r="P45" s="55" t="s">
        <v>165</v>
      </c>
      <c r="Q45" s="56" t="s">
        <v>165</v>
      </c>
      <c r="R45" s="56" t="s">
        <v>165</v>
      </c>
      <c r="S45" s="56" t="s">
        <v>165</v>
      </c>
      <c r="T45" s="44" t="n">
        <f aca="false">SUM(P45,R45)</f>
        <v>0</v>
      </c>
      <c r="U45" s="44" t="n">
        <f aca="false">SUM(Q45,S45)</f>
        <v>0</v>
      </c>
      <c r="V45" s="55" t="s">
        <v>165</v>
      </c>
      <c r="W45" s="56" t="s">
        <v>165</v>
      </c>
      <c r="X45" s="55" t="s">
        <v>165</v>
      </c>
      <c r="Y45" s="56" t="s">
        <v>165</v>
      </c>
      <c r="Z45" s="42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</row>
    <row r="46" customFormat="false" ht="13.8" hidden="false" customHeight="false" outlineLevel="0" collapsed="false">
      <c r="A46" s="46" t="n">
        <f aca="false">A45+1</f>
        <v>40</v>
      </c>
      <c r="B46" s="35"/>
      <c r="C46" s="35"/>
      <c r="D46" s="47" t="n">
        <v>38901</v>
      </c>
      <c r="E46" s="48" t="s">
        <v>246</v>
      </c>
      <c r="F46" s="45" t="s">
        <v>247</v>
      </c>
      <c r="G46" s="45" t="s">
        <v>248</v>
      </c>
      <c r="H46" s="49" t="n">
        <v>35.803</v>
      </c>
      <c r="I46" s="50" t="n">
        <v>24.3</v>
      </c>
      <c r="J46" s="51" t="s">
        <v>249</v>
      </c>
      <c r="K46" s="51" t="s">
        <v>250</v>
      </c>
      <c r="L46" s="42"/>
      <c r="M46" s="35"/>
      <c r="N46" s="35"/>
      <c r="O46" s="49" t="n">
        <v>35.805</v>
      </c>
      <c r="P46" s="43" t="n">
        <v>0.18</v>
      </c>
      <c r="Q46" s="44" t="n">
        <v>0.175894093619006</v>
      </c>
      <c r="R46" s="43" t="n">
        <v>1.17</v>
      </c>
      <c r="S46" s="44" t="n">
        <v>1.14331160852354</v>
      </c>
      <c r="T46" s="44" t="n">
        <f aca="false">SUM(P46,R46)</f>
        <v>1.35</v>
      </c>
      <c r="U46" s="44" t="n">
        <f aca="false">SUM(Q46,S46)</f>
        <v>1.31920570214255</v>
      </c>
      <c r="V46" s="43" t="n">
        <v>0.252</v>
      </c>
      <c r="W46" s="44" t="n">
        <v>0.246251731066608</v>
      </c>
      <c r="X46" s="43" t="n">
        <v>1.96</v>
      </c>
      <c r="Y46" s="44" t="n">
        <v>1.91529124162918</v>
      </c>
      <c r="Z46" s="42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</row>
    <row r="47" customFormat="false" ht="13.8" hidden="false" customHeight="false" outlineLevel="0" collapsed="false">
      <c r="A47" s="46" t="n">
        <f aca="false">A46+1</f>
        <v>41</v>
      </c>
      <c r="B47" s="35"/>
      <c r="C47" s="35"/>
      <c r="D47" s="47" t="n">
        <v>38901</v>
      </c>
      <c r="E47" s="48" t="s">
        <v>251</v>
      </c>
      <c r="F47" s="45" t="s">
        <v>252</v>
      </c>
      <c r="G47" s="45" t="s">
        <v>253</v>
      </c>
      <c r="H47" s="49" t="n">
        <v>34.578</v>
      </c>
      <c r="I47" s="50" t="n">
        <v>26.8</v>
      </c>
      <c r="J47" s="51" t="s">
        <v>254</v>
      </c>
      <c r="K47" s="51" t="s">
        <v>255</v>
      </c>
      <c r="L47" s="42"/>
      <c r="M47" s="35"/>
      <c r="N47" s="35"/>
      <c r="O47" s="49" t="n">
        <v>34.5</v>
      </c>
      <c r="P47" s="43" t="n">
        <v>0.146</v>
      </c>
      <c r="Q47" s="44" t="n">
        <v>0.142669653713194</v>
      </c>
      <c r="R47" s="43" t="n">
        <v>0.404</v>
      </c>
      <c r="S47" s="44" t="n">
        <v>0.394784521233769</v>
      </c>
      <c r="T47" s="44" t="n">
        <f aca="false">SUM(P47,R47)</f>
        <v>0.55</v>
      </c>
      <c r="U47" s="44" t="n">
        <f aca="false">SUM(Q47,S47)</f>
        <v>0.537454174946963</v>
      </c>
      <c r="V47" s="43" t="n">
        <v>0.114</v>
      </c>
      <c r="W47" s="44" t="n">
        <v>0.11139959262537</v>
      </c>
      <c r="X47" s="43" t="n">
        <v>1.3</v>
      </c>
      <c r="Y47" s="44" t="n">
        <v>1.27034623169282</v>
      </c>
      <c r="Z47" s="42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</row>
    <row r="48" customFormat="false" ht="13.8" hidden="false" customHeight="false" outlineLevel="0" collapsed="false">
      <c r="A48" s="46" t="n">
        <f aca="false">A47+1</f>
        <v>42</v>
      </c>
      <c r="B48" s="35"/>
      <c r="C48" s="35"/>
      <c r="D48" s="47" t="n">
        <v>38901</v>
      </c>
      <c r="E48" s="48" t="s">
        <v>256</v>
      </c>
      <c r="F48" s="45" t="s">
        <v>257</v>
      </c>
      <c r="G48" s="45" t="s">
        <v>258</v>
      </c>
      <c r="H48" s="49" t="n">
        <v>34.52</v>
      </c>
      <c r="I48" s="50" t="n">
        <v>27</v>
      </c>
      <c r="J48" s="51" t="s">
        <v>259</v>
      </c>
      <c r="K48" s="51" t="s">
        <v>260</v>
      </c>
      <c r="L48" s="45" t="n">
        <v>126</v>
      </c>
      <c r="M48" s="35"/>
      <c r="N48" s="35"/>
      <c r="O48" s="49" t="n">
        <v>34.493</v>
      </c>
      <c r="P48" s="43" t="n">
        <v>0.146</v>
      </c>
      <c r="Q48" s="44" t="n">
        <v>0.142669653713194</v>
      </c>
      <c r="R48" s="43" t="n">
        <v>0.444</v>
      </c>
      <c r="S48" s="44" t="n">
        <v>0.433872097593548</v>
      </c>
      <c r="T48" s="44" t="n">
        <f aca="false">SUM(P48,R48)</f>
        <v>0.59</v>
      </c>
      <c r="U48" s="44" t="n">
        <f aca="false">SUM(Q48,S48)</f>
        <v>0.576541751306742</v>
      </c>
      <c r="V48" s="43" t="n">
        <v>0.085</v>
      </c>
      <c r="W48" s="44" t="n">
        <v>0.0830610997645306</v>
      </c>
      <c r="X48" s="43" t="n">
        <v>1.24</v>
      </c>
      <c r="Y48" s="44" t="n">
        <v>1.21171486715315</v>
      </c>
      <c r="Z48" s="42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</row>
    <row r="49" customFormat="false" ht="13.8" hidden="false" customHeight="false" outlineLevel="0" collapsed="false">
      <c r="A49" s="46" t="n">
        <f aca="false">A48+1</f>
        <v>43</v>
      </c>
      <c r="B49" s="35"/>
      <c r="C49" s="35"/>
      <c r="D49" s="47" t="n">
        <v>38901</v>
      </c>
      <c r="E49" s="48" t="s">
        <v>261</v>
      </c>
      <c r="F49" s="45" t="s">
        <v>262</v>
      </c>
      <c r="G49" s="45" t="s">
        <v>263</v>
      </c>
      <c r="H49" s="49" t="n">
        <v>34.514</v>
      </c>
      <c r="I49" s="50" t="n">
        <v>26.9</v>
      </c>
      <c r="J49" s="51" t="s">
        <v>264</v>
      </c>
      <c r="K49" s="51" t="s">
        <v>265</v>
      </c>
      <c r="L49" s="42"/>
      <c r="M49" s="35"/>
      <c r="N49" s="35"/>
      <c r="O49" s="49" t="n">
        <v>34.469</v>
      </c>
      <c r="P49" s="43" t="n">
        <v>0.133</v>
      </c>
      <c r="Q49" s="44" t="n">
        <v>0.129966191396265</v>
      </c>
      <c r="R49" s="43" t="n">
        <v>0.387</v>
      </c>
      <c r="S49" s="44" t="n">
        <v>0.378172301280863</v>
      </c>
      <c r="T49" s="44" t="n">
        <f aca="false">SUM(P49,R49)</f>
        <v>0.52</v>
      </c>
      <c r="U49" s="44" t="n">
        <f aca="false">SUM(Q49,S49)</f>
        <v>0.508138492677128</v>
      </c>
      <c r="V49" s="43" t="n">
        <v>0.088</v>
      </c>
      <c r="W49" s="44" t="n">
        <v>0.085992667991514</v>
      </c>
      <c r="X49" s="43" t="n">
        <v>1.33</v>
      </c>
      <c r="Y49" s="44" t="n">
        <v>1.29966191396266</v>
      </c>
      <c r="Z49" s="42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</row>
    <row r="50" customFormat="false" ht="13.8" hidden="false" customHeight="false" outlineLevel="0" collapsed="false">
      <c r="A50" s="46" t="n">
        <f aca="false">A49+1</f>
        <v>44</v>
      </c>
      <c r="B50" s="35"/>
      <c r="C50" s="35"/>
      <c r="D50" s="47" t="n">
        <v>38901</v>
      </c>
      <c r="E50" s="48" t="s">
        <v>266</v>
      </c>
      <c r="F50" s="45" t="s">
        <v>267</v>
      </c>
      <c r="G50" s="45" t="s">
        <v>268</v>
      </c>
      <c r="H50" s="49" t="n">
        <v>34.575</v>
      </c>
      <c r="I50" s="50" t="n">
        <v>27.7</v>
      </c>
      <c r="J50" s="51" t="s">
        <v>269</v>
      </c>
      <c r="K50" s="51" t="s">
        <v>270</v>
      </c>
      <c r="L50" s="42"/>
      <c r="M50" s="35"/>
      <c r="N50" s="35" t="s">
        <v>165</v>
      </c>
      <c r="O50" s="49" t="n">
        <v>34.579</v>
      </c>
      <c r="P50" s="43" t="n">
        <v>0.143</v>
      </c>
      <c r="Q50" s="44" t="n">
        <v>0.13973808548621</v>
      </c>
      <c r="R50" s="43" t="n">
        <v>0.397</v>
      </c>
      <c r="S50" s="44" t="n">
        <v>0.387944195370807</v>
      </c>
      <c r="T50" s="44" t="n">
        <f aca="false">SUM(P50,R50)</f>
        <v>0.54</v>
      </c>
      <c r="U50" s="44" t="n">
        <f aca="false">SUM(Q50,S50)</f>
        <v>0.527682280857017</v>
      </c>
      <c r="V50" s="43" t="n">
        <v>0.081</v>
      </c>
      <c r="W50" s="44" t="n">
        <v>0.0791523421285527</v>
      </c>
      <c r="X50" s="43" t="n">
        <v>1.33</v>
      </c>
      <c r="Y50" s="44" t="n">
        <v>1.29966191396266</v>
      </c>
      <c r="Z50" s="42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</row>
    <row r="51" customFormat="false" ht="13.8" hidden="false" customHeight="false" outlineLevel="0" collapsed="false">
      <c r="A51" s="46" t="n">
        <f aca="false">A50+1</f>
        <v>45</v>
      </c>
      <c r="B51" s="35"/>
      <c r="C51" s="35"/>
      <c r="D51" s="47" t="n">
        <v>38901</v>
      </c>
      <c r="E51" s="48" t="s">
        <v>271</v>
      </c>
      <c r="F51" s="45" t="s">
        <v>272</v>
      </c>
      <c r="G51" s="45" t="s">
        <v>273</v>
      </c>
      <c r="H51" s="49" t="n">
        <v>35.44</v>
      </c>
      <c r="I51" s="50" t="n">
        <v>24.4</v>
      </c>
      <c r="J51" s="51" t="s">
        <v>274</v>
      </c>
      <c r="K51" s="51" t="s">
        <v>275</v>
      </c>
      <c r="L51" s="42"/>
      <c r="M51" s="35"/>
      <c r="N51" s="35"/>
      <c r="O51" s="49" t="n">
        <v>35.71</v>
      </c>
      <c r="P51" s="43" t="n">
        <v>0.168</v>
      </c>
      <c r="Q51" s="44" t="n">
        <v>0.164167820711072</v>
      </c>
      <c r="R51" s="43" t="n">
        <v>1.052</v>
      </c>
      <c r="S51" s="44" t="n">
        <v>1.02800325826219</v>
      </c>
      <c r="T51" s="44" t="n">
        <f aca="false">SUM(P51,R51)</f>
        <v>1.22</v>
      </c>
      <c r="U51" s="44" t="n">
        <f aca="false">SUM(Q51,S51)</f>
        <v>1.19217107897326</v>
      </c>
      <c r="V51" s="43" t="n">
        <v>0.174</v>
      </c>
      <c r="W51" s="44" t="n">
        <v>0.170030957165039</v>
      </c>
      <c r="X51" s="43" t="n">
        <v>1.81</v>
      </c>
      <c r="Y51" s="44" t="n">
        <v>1.76871283028</v>
      </c>
      <c r="Z51" s="42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</row>
    <row r="52" customFormat="false" ht="13.8" hidden="false" customHeight="false" outlineLevel="0" collapsed="false">
      <c r="A52" s="46" t="n">
        <f aca="false">A51+1</f>
        <v>46</v>
      </c>
      <c r="B52" s="35"/>
      <c r="C52" s="35"/>
      <c r="D52" s="47" t="n">
        <v>38901</v>
      </c>
      <c r="E52" s="48" t="s">
        <v>276</v>
      </c>
      <c r="F52" s="45" t="s">
        <v>277</v>
      </c>
      <c r="G52" s="45" t="s">
        <v>278</v>
      </c>
      <c r="H52" s="49" t="n">
        <v>34.485</v>
      </c>
      <c r="I52" s="50" t="n">
        <v>27</v>
      </c>
      <c r="J52" s="51" t="s">
        <v>279</v>
      </c>
      <c r="K52" s="51" t="s">
        <v>280</v>
      </c>
      <c r="L52" s="42"/>
      <c r="M52" s="35"/>
      <c r="N52" s="35"/>
      <c r="O52" s="49" t="n">
        <v>34.465</v>
      </c>
      <c r="P52" s="43" t="n">
        <v>0.139</v>
      </c>
      <c r="Q52" s="44" t="n">
        <v>0.135829327850232</v>
      </c>
      <c r="R52" s="43" t="n">
        <v>0.391</v>
      </c>
      <c r="S52" s="44" t="n">
        <v>0.382081058916841</v>
      </c>
      <c r="T52" s="44" t="n">
        <f aca="false">SUM(P52,R52)</f>
        <v>0.53</v>
      </c>
      <c r="U52" s="44" t="n">
        <f aca="false">SUM(Q52,S52)</f>
        <v>0.517910386767073</v>
      </c>
      <c r="V52" s="43" t="n">
        <v>0.134</v>
      </c>
      <c r="W52" s="44" t="n">
        <v>0.13094338080526</v>
      </c>
      <c r="X52" s="43" t="n">
        <v>1.28</v>
      </c>
      <c r="Y52" s="44" t="n">
        <v>1.25080244351293</v>
      </c>
      <c r="Z52" s="42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</row>
    <row r="53" customFormat="false" ht="13.8" hidden="false" customHeight="false" outlineLevel="0" collapsed="false">
      <c r="A53" s="46" t="n">
        <f aca="false">A52+1</f>
        <v>47</v>
      </c>
      <c r="B53" s="35"/>
      <c r="C53" s="35"/>
      <c r="D53" s="47" t="n">
        <v>38901</v>
      </c>
      <c r="E53" s="48" t="s">
        <v>281</v>
      </c>
      <c r="F53" s="45" t="s">
        <v>282</v>
      </c>
      <c r="G53" s="45" t="s">
        <v>283</v>
      </c>
      <c r="H53" s="49" t="n">
        <v>34.51</v>
      </c>
      <c r="I53" s="50" t="n">
        <v>27.1</v>
      </c>
      <c r="J53" s="51" t="s">
        <v>284</v>
      </c>
      <c r="K53" s="51" t="s">
        <v>285</v>
      </c>
      <c r="L53" s="42"/>
      <c r="M53" s="35"/>
      <c r="N53" s="35"/>
      <c r="O53" s="49" t="n">
        <v>34.521</v>
      </c>
      <c r="P53" s="43" t="n">
        <v>0.125</v>
      </c>
      <c r="Q53" s="44" t="n">
        <v>0.12214867612431</v>
      </c>
      <c r="R53" s="43" t="n">
        <v>0.375</v>
      </c>
      <c r="S53" s="44" t="n">
        <v>0.366446028372929</v>
      </c>
      <c r="T53" s="44" t="n">
        <f aca="false">SUM(P53,R53)</f>
        <v>0.5</v>
      </c>
      <c r="U53" s="44" t="n">
        <f aca="false">SUM(Q53,S53)</f>
        <v>0.488594704497239</v>
      </c>
      <c r="V53" s="43" t="n">
        <v>0.069</v>
      </c>
      <c r="W53" s="44" t="n">
        <v>0.0674260692206189</v>
      </c>
      <c r="X53" s="43" t="n">
        <v>1.14</v>
      </c>
      <c r="Y53" s="44" t="n">
        <v>1.1139959262537</v>
      </c>
      <c r="Z53" s="42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</row>
    <row r="54" customFormat="false" ht="13.8" hidden="false" customHeight="false" outlineLevel="0" collapsed="false">
      <c r="A54" s="46" t="n">
        <f aca="false">A53+1</f>
        <v>48</v>
      </c>
      <c r="B54" s="35"/>
      <c r="C54" s="35"/>
      <c r="D54" s="47" t="n">
        <v>38901</v>
      </c>
      <c r="E54" s="48" t="s">
        <v>286</v>
      </c>
      <c r="F54" s="45" t="s">
        <v>287</v>
      </c>
      <c r="G54" s="45" t="s">
        <v>288</v>
      </c>
      <c r="H54" s="49" t="n">
        <v>34.63</v>
      </c>
      <c r="I54" s="50" t="n">
        <v>27.4</v>
      </c>
      <c r="J54" s="51" t="s">
        <v>289</v>
      </c>
      <c r="K54" s="51" t="s">
        <v>290</v>
      </c>
      <c r="L54" s="42"/>
      <c r="M54" s="35"/>
      <c r="N54" s="35"/>
      <c r="O54" s="49" t="n">
        <v>34.662</v>
      </c>
      <c r="P54" s="43" t="n">
        <v>0.12</v>
      </c>
      <c r="Q54" s="44" t="n">
        <v>0.117262729079337</v>
      </c>
      <c r="R54" s="43" t="n">
        <v>0.38</v>
      </c>
      <c r="S54" s="44" t="n">
        <v>0.371331975417901</v>
      </c>
      <c r="T54" s="44" t="n">
        <f aca="false">SUM(P54,R54)</f>
        <v>0.5</v>
      </c>
      <c r="U54" s="44" t="n">
        <f aca="false">SUM(Q54,S54)</f>
        <v>0.488594704497238</v>
      </c>
      <c r="V54" s="43" t="n">
        <v>0.066</v>
      </c>
      <c r="W54" s="44" t="n">
        <v>0.0644945009936355</v>
      </c>
      <c r="X54" s="43" t="n">
        <v>0.94</v>
      </c>
      <c r="Y54" s="44" t="n">
        <v>0.918558044454809</v>
      </c>
      <c r="Z54" s="42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</row>
    <row r="55" customFormat="false" ht="13.8" hidden="false" customHeight="false" outlineLevel="0" collapsed="false">
      <c r="A55" s="46" t="n">
        <f aca="false">A54+1</f>
        <v>49</v>
      </c>
      <c r="B55" s="35"/>
      <c r="C55" s="35"/>
      <c r="D55" s="47" t="n">
        <v>38901</v>
      </c>
      <c r="E55" s="48" t="s">
        <v>291</v>
      </c>
      <c r="F55" s="45" t="s">
        <v>292</v>
      </c>
      <c r="G55" s="45" t="s">
        <v>293</v>
      </c>
      <c r="H55" s="49" t="n">
        <v>34.68</v>
      </c>
      <c r="I55" s="50" t="n">
        <v>27.5</v>
      </c>
      <c r="J55" s="51" t="s">
        <v>294</v>
      </c>
      <c r="K55" s="51" t="s">
        <v>295</v>
      </c>
      <c r="L55" s="42"/>
      <c r="M55" s="35"/>
      <c r="N55" s="35"/>
      <c r="O55" s="49" t="n">
        <v>34.635</v>
      </c>
      <c r="P55" s="43" t="n">
        <v>0.13</v>
      </c>
      <c r="Q55" s="44" t="n">
        <v>0.127034623169282</v>
      </c>
      <c r="R55" s="43" t="n">
        <v>0.4</v>
      </c>
      <c r="S55" s="44" t="n">
        <v>0.390875763597791</v>
      </c>
      <c r="T55" s="44" t="n">
        <f aca="false">SUM(P55,R55)</f>
        <v>0.53</v>
      </c>
      <c r="U55" s="44" t="n">
        <f aca="false">SUM(Q55,S55)</f>
        <v>0.517910386767073</v>
      </c>
      <c r="V55" s="43" t="n">
        <v>0.057</v>
      </c>
      <c r="W55" s="44" t="n">
        <v>0.0556997963126852</v>
      </c>
      <c r="X55" s="43" t="n">
        <v>0.87</v>
      </c>
      <c r="Y55" s="44" t="n">
        <v>0.850154785825195</v>
      </c>
      <c r="Z55" s="42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</row>
    <row r="56" customFormat="false" ht="13.8" hidden="false" customHeight="false" outlineLevel="0" collapsed="false">
      <c r="A56" s="46" t="n">
        <f aca="false">A55+1</f>
        <v>50</v>
      </c>
      <c r="B56" s="35"/>
      <c r="C56" s="35"/>
      <c r="D56" s="47" t="n">
        <v>38902</v>
      </c>
      <c r="E56" s="48" t="s">
        <v>296</v>
      </c>
      <c r="F56" s="45" t="s">
        <v>297</v>
      </c>
      <c r="G56" s="45" t="s">
        <v>283</v>
      </c>
      <c r="H56" s="49" t="n">
        <v>34.557</v>
      </c>
      <c r="I56" s="50" t="n">
        <v>27.6</v>
      </c>
      <c r="J56" s="51" t="s">
        <v>298</v>
      </c>
      <c r="K56" s="51" t="s">
        <v>299</v>
      </c>
      <c r="L56" s="45" t="n">
        <v>127</v>
      </c>
      <c r="M56" s="35"/>
      <c r="N56" s="35"/>
      <c r="O56" s="49" t="n">
        <v>34.571</v>
      </c>
      <c r="P56" s="43" t="n">
        <v>0.125</v>
      </c>
      <c r="Q56" s="44" t="n">
        <v>0.12214867612431</v>
      </c>
      <c r="R56" s="43" t="n">
        <v>0.375</v>
      </c>
      <c r="S56" s="44" t="n">
        <v>0.366446028372929</v>
      </c>
      <c r="T56" s="44" t="n">
        <f aca="false">SUM(P56,R56)</f>
        <v>0.5</v>
      </c>
      <c r="U56" s="44" t="n">
        <f aca="false">SUM(Q56,S56)</f>
        <v>0.488594704497239</v>
      </c>
      <c r="V56" s="43" t="n">
        <v>0.062</v>
      </c>
      <c r="W56" s="44" t="n">
        <v>0.0605857433576576</v>
      </c>
      <c r="X56" s="43" t="n">
        <v>0.87</v>
      </c>
      <c r="Y56" s="44" t="n">
        <v>0.850154785825195</v>
      </c>
      <c r="Z56" s="42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</row>
    <row r="57" customFormat="false" ht="13.8" hidden="false" customHeight="false" outlineLevel="0" collapsed="false">
      <c r="A57" s="46" t="n">
        <f aca="false">A56+1</f>
        <v>51</v>
      </c>
      <c r="B57" s="35"/>
      <c r="C57" s="35"/>
      <c r="D57" s="47" t="n">
        <v>38902</v>
      </c>
      <c r="E57" s="48" t="s">
        <v>300</v>
      </c>
      <c r="F57" s="45" t="s">
        <v>301</v>
      </c>
      <c r="G57" s="45" t="s">
        <v>302</v>
      </c>
      <c r="H57" s="49" t="n">
        <v>34.549</v>
      </c>
      <c r="I57" s="50" t="n">
        <v>27.7</v>
      </c>
      <c r="J57" s="51" t="s">
        <v>303</v>
      </c>
      <c r="K57" s="51" t="s">
        <v>304</v>
      </c>
      <c r="L57" s="54" t="s">
        <v>165</v>
      </c>
      <c r="M57" s="35"/>
      <c r="N57" s="35"/>
      <c r="O57" s="49" t="n">
        <v>34.561</v>
      </c>
      <c r="P57" s="43" t="n">
        <v>0.135</v>
      </c>
      <c r="Q57" s="44" t="n">
        <v>0.131920570214254</v>
      </c>
      <c r="R57" s="43" t="n">
        <v>0.415</v>
      </c>
      <c r="S57" s="44" t="n">
        <v>0.405533604732708</v>
      </c>
      <c r="T57" s="44" t="n">
        <f aca="false">SUM(P57,R57)</f>
        <v>0.55</v>
      </c>
      <c r="U57" s="44" t="n">
        <f aca="false">SUM(Q57,S57)</f>
        <v>0.537454174946962</v>
      </c>
      <c r="V57" s="43" t="n">
        <v>0.047</v>
      </c>
      <c r="W57" s="44" t="n">
        <v>0.0459279022227404</v>
      </c>
      <c r="X57" s="43" t="n">
        <v>0.99</v>
      </c>
      <c r="Y57" s="44" t="n">
        <v>0.967417514904533</v>
      </c>
      <c r="Z57" s="42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</row>
    <row r="58" customFormat="false" ht="13.8" hidden="false" customHeight="false" outlineLevel="0" collapsed="false">
      <c r="A58" s="46" t="n">
        <f aca="false">A57+1</f>
        <v>52</v>
      </c>
      <c r="B58" s="35"/>
      <c r="C58" s="35"/>
      <c r="D58" s="47" t="n">
        <v>38902</v>
      </c>
      <c r="E58" s="48" t="s">
        <v>305</v>
      </c>
      <c r="F58" s="45" t="s">
        <v>306</v>
      </c>
      <c r="G58" s="45" t="s">
        <v>307</v>
      </c>
      <c r="H58" s="49" t="n">
        <v>34.787</v>
      </c>
      <c r="I58" s="50" t="n">
        <v>27.6</v>
      </c>
      <c r="J58" s="51" t="s">
        <v>308</v>
      </c>
      <c r="K58" s="51" t="s">
        <v>309</v>
      </c>
      <c r="L58" s="54" t="s">
        <v>165</v>
      </c>
      <c r="M58" s="35"/>
      <c r="N58" s="35"/>
      <c r="O58" s="49" t="n">
        <v>34.759</v>
      </c>
      <c r="P58" s="43" t="n">
        <v>0.125</v>
      </c>
      <c r="Q58" s="44" t="n">
        <v>0.12214867612431</v>
      </c>
      <c r="R58" s="43" t="n">
        <v>0.375</v>
      </c>
      <c r="S58" s="44" t="n">
        <v>0.366446028372929</v>
      </c>
      <c r="T58" s="44" t="n">
        <f aca="false">SUM(P58,R58)</f>
        <v>0.5</v>
      </c>
      <c r="U58" s="44" t="n">
        <f aca="false">SUM(Q58,S58)</f>
        <v>0.488594704497239</v>
      </c>
      <c r="V58" s="43" t="n">
        <v>0.043</v>
      </c>
      <c r="W58" s="44" t="n">
        <v>0.0420191445867625</v>
      </c>
      <c r="X58" s="43" t="n">
        <v>0.9</v>
      </c>
      <c r="Y58" s="44" t="n">
        <v>0.87947046809503</v>
      </c>
      <c r="Z58" s="42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</row>
    <row r="59" customFormat="false" ht="13.8" hidden="false" customHeight="false" outlineLevel="0" collapsed="false">
      <c r="A59" s="46" t="n">
        <f aca="false">A58+1</f>
        <v>53</v>
      </c>
      <c r="B59" s="35"/>
      <c r="C59" s="35"/>
      <c r="D59" s="47" t="n">
        <v>38902</v>
      </c>
      <c r="E59" s="48" t="s">
        <v>310</v>
      </c>
      <c r="F59" s="45" t="s">
        <v>311</v>
      </c>
      <c r="G59" s="45" t="s">
        <v>312</v>
      </c>
      <c r="H59" s="49" t="n">
        <v>34.593</v>
      </c>
      <c r="I59" s="50" t="n">
        <v>27.7</v>
      </c>
      <c r="J59" s="51" t="s">
        <v>313</v>
      </c>
      <c r="K59" s="51" t="s">
        <v>314</v>
      </c>
      <c r="L59" s="54" t="s">
        <v>165</v>
      </c>
      <c r="M59" s="35"/>
      <c r="N59" s="35"/>
      <c r="O59" s="49" t="n">
        <v>34.518</v>
      </c>
      <c r="P59" s="43" t="n">
        <v>0.128</v>
      </c>
      <c r="Q59" s="44" t="n">
        <v>0.125080244351293</v>
      </c>
      <c r="R59" s="43" t="n">
        <v>0.392</v>
      </c>
      <c r="S59" s="44" t="n">
        <v>0.383058248325835</v>
      </c>
      <c r="T59" s="44" t="n">
        <f aca="false">SUM(P59,R59)</f>
        <v>0.52</v>
      </c>
      <c r="U59" s="44" t="n">
        <f aca="false">SUM(Q59,S59)</f>
        <v>0.508138492677128</v>
      </c>
      <c r="V59" s="43" t="n">
        <v>0.042</v>
      </c>
      <c r="W59" s="44" t="n">
        <v>0.0410419551777681</v>
      </c>
      <c r="X59" s="43" t="n">
        <v>1.13</v>
      </c>
      <c r="Y59" s="44" t="n">
        <v>1.10422403216376</v>
      </c>
      <c r="Z59" s="42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</row>
    <row r="60" customFormat="false" ht="13.8" hidden="false" customHeight="false" outlineLevel="0" collapsed="false">
      <c r="A60" s="46" t="n">
        <f aca="false">A59+1</f>
        <v>54</v>
      </c>
      <c r="B60" s="35"/>
      <c r="C60" s="35"/>
      <c r="D60" s="47" t="n">
        <v>38902</v>
      </c>
      <c r="E60" s="48" t="s">
        <v>315</v>
      </c>
      <c r="F60" s="45" t="s">
        <v>316</v>
      </c>
      <c r="G60" s="45" t="s">
        <v>317</v>
      </c>
      <c r="H60" s="49" t="n">
        <v>34.438</v>
      </c>
      <c r="I60" s="50" t="n">
        <v>27.7</v>
      </c>
      <c r="J60" s="51" t="s">
        <v>318</v>
      </c>
      <c r="K60" s="51" t="s">
        <v>319</v>
      </c>
      <c r="L60" s="45" t="n">
        <v>128</v>
      </c>
      <c r="M60" s="35"/>
      <c r="N60" s="35"/>
      <c r="O60" s="49" t="n">
        <v>34.418</v>
      </c>
      <c r="P60" s="43" t="n">
        <v>0.146</v>
      </c>
      <c r="Q60" s="44" t="n">
        <v>0.142669653713194</v>
      </c>
      <c r="R60" s="43" t="n">
        <v>0.434</v>
      </c>
      <c r="S60" s="44" t="n">
        <v>0.424100203503603</v>
      </c>
      <c r="T60" s="44" t="n">
        <f aca="false">SUM(P60,R60)</f>
        <v>0.58</v>
      </c>
      <c r="U60" s="44" t="n">
        <f aca="false">SUM(Q60,S60)</f>
        <v>0.566769857216797</v>
      </c>
      <c r="V60" s="43" t="n">
        <v>0.019</v>
      </c>
      <c r="W60" s="44" t="n">
        <v>0.0185665987708951</v>
      </c>
      <c r="X60" s="43" t="n">
        <v>1.56</v>
      </c>
      <c r="Y60" s="44" t="n">
        <v>1.52441547803138</v>
      </c>
      <c r="Z60" s="42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</row>
    <row r="61" customFormat="false" ht="13.8" hidden="false" customHeight="false" outlineLevel="0" collapsed="false">
      <c r="A61" s="46" t="n">
        <f aca="false">A60+1</f>
        <v>55</v>
      </c>
      <c r="B61" s="35"/>
      <c r="C61" s="35"/>
      <c r="D61" s="47" t="n">
        <v>38902</v>
      </c>
      <c r="E61" s="48" t="s">
        <v>320</v>
      </c>
      <c r="F61" s="45" t="s">
        <v>321</v>
      </c>
      <c r="G61" s="45" t="s">
        <v>322</v>
      </c>
      <c r="H61" s="49" t="n">
        <v>34.2</v>
      </c>
      <c r="I61" s="50" t="n">
        <v>27.7</v>
      </c>
      <c r="J61" s="51" t="s">
        <v>323</v>
      </c>
      <c r="K61" s="51" t="s">
        <v>324</v>
      </c>
      <c r="L61" s="54" t="s">
        <v>165</v>
      </c>
      <c r="M61" s="35"/>
      <c r="N61" s="35"/>
      <c r="O61" s="49" t="n">
        <v>34.014</v>
      </c>
      <c r="P61" s="43" t="n">
        <v>0.146</v>
      </c>
      <c r="Q61" s="44" t="n">
        <v>0.142669653713194</v>
      </c>
      <c r="R61" s="43" t="n">
        <v>0.454</v>
      </c>
      <c r="S61" s="44" t="n">
        <v>0.443643991683493</v>
      </c>
      <c r="T61" s="44" t="n">
        <f aca="false">SUM(P61,R61)</f>
        <v>0.6</v>
      </c>
      <c r="U61" s="44" t="n">
        <f aca="false">SUM(Q61,S61)</f>
        <v>0.586313645396687</v>
      </c>
      <c r="V61" s="43" t="n">
        <v>0.017</v>
      </c>
      <c r="W61" s="44" t="n">
        <v>0.0166122199529061</v>
      </c>
      <c r="X61" s="43" t="n">
        <v>1.54</v>
      </c>
      <c r="Y61" s="44" t="n">
        <v>1.5048716898515</v>
      </c>
      <c r="Z61" s="42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</row>
    <row r="62" customFormat="false" ht="13.8" hidden="false" customHeight="false" outlineLevel="0" collapsed="false">
      <c r="A62" s="46" t="n">
        <f aca="false">A61+1</f>
        <v>56</v>
      </c>
      <c r="B62" s="35"/>
      <c r="C62" s="35"/>
      <c r="D62" s="47" t="n">
        <v>38902</v>
      </c>
      <c r="E62" s="48" t="s">
        <v>325</v>
      </c>
      <c r="F62" s="45" t="s">
        <v>326</v>
      </c>
      <c r="G62" s="45" t="s">
        <v>327</v>
      </c>
      <c r="H62" s="49" t="n">
        <v>33.854</v>
      </c>
      <c r="I62" s="50" t="n">
        <v>27.6</v>
      </c>
      <c r="J62" s="51" t="s">
        <v>328</v>
      </c>
      <c r="K62" s="51" t="s">
        <v>329</v>
      </c>
      <c r="L62" s="54" t="s">
        <v>165</v>
      </c>
      <c r="M62" s="35"/>
      <c r="N62" s="35"/>
      <c r="O62" s="49" t="n">
        <v>33.847</v>
      </c>
      <c r="P62" s="43" t="n">
        <v>0.162</v>
      </c>
      <c r="Q62" s="44" t="n">
        <v>0.158304684257105</v>
      </c>
      <c r="R62" s="43" t="n">
        <v>0.548</v>
      </c>
      <c r="S62" s="44" t="n">
        <v>0.535499796128974</v>
      </c>
      <c r="T62" s="44" t="n">
        <f aca="false">SUM(P62,R62)</f>
        <v>0.71</v>
      </c>
      <c r="U62" s="44" t="n">
        <f aca="false">SUM(Q62,S62)</f>
        <v>0.693804480386079</v>
      </c>
      <c r="V62" s="43" t="n">
        <v>0.034</v>
      </c>
      <c r="W62" s="44" t="n">
        <v>0.0332244399058122</v>
      </c>
      <c r="X62" s="43" t="n">
        <v>1.18</v>
      </c>
      <c r="Y62" s="44" t="n">
        <v>1.15308350261348</v>
      </c>
      <c r="Z62" s="42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</row>
    <row r="63" customFormat="false" ht="13.8" hidden="false" customHeight="false" outlineLevel="0" collapsed="false">
      <c r="A63" s="46" t="n">
        <f aca="false">A62+1</f>
        <v>57</v>
      </c>
      <c r="B63" s="35"/>
      <c r="C63" s="35"/>
      <c r="D63" s="47" t="n">
        <v>38902</v>
      </c>
      <c r="E63" s="48" t="s">
        <v>330</v>
      </c>
      <c r="F63" s="45" t="s">
        <v>331</v>
      </c>
      <c r="G63" s="45" t="s">
        <v>332</v>
      </c>
      <c r="H63" s="49" t="n">
        <v>33.9</v>
      </c>
      <c r="I63" s="50" t="n">
        <v>27.7</v>
      </c>
      <c r="J63" s="51" t="s">
        <v>333</v>
      </c>
      <c r="K63" s="51" t="s">
        <v>165</v>
      </c>
      <c r="L63" s="54" t="s">
        <v>165</v>
      </c>
      <c r="M63" s="35"/>
      <c r="N63" s="35"/>
      <c r="O63" s="49" t="n">
        <v>34.235</v>
      </c>
      <c r="P63" s="55" t="s">
        <v>165</v>
      </c>
      <c r="Q63" s="56" t="s">
        <v>165</v>
      </c>
      <c r="R63" s="56" t="s">
        <v>165</v>
      </c>
      <c r="S63" s="56" t="s">
        <v>165</v>
      </c>
      <c r="T63" s="44"/>
      <c r="U63" s="56"/>
      <c r="V63" s="55" t="s">
        <v>165</v>
      </c>
      <c r="W63" s="56" t="s">
        <v>165</v>
      </c>
      <c r="X63" s="55" t="s">
        <v>165</v>
      </c>
      <c r="Y63" s="56" t="s">
        <v>165</v>
      </c>
      <c r="Z63" s="42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</row>
    <row r="64" customFormat="false" ht="13.8" hidden="false" customHeight="false" outlineLevel="0" collapsed="false">
      <c r="A64" s="46" t="n">
        <f aca="false">A63+1</f>
        <v>58</v>
      </c>
      <c r="B64" s="35"/>
      <c r="C64" s="35"/>
      <c r="D64" s="47" t="n">
        <v>38902</v>
      </c>
      <c r="E64" s="48" t="s">
        <v>334</v>
      </c>
      <c r="F64" s="45" t="s">
        <v>335</v>
      </c>
      <c r="G64" s="45" t="s">
        <v>336</v>
      </c>
      <c r="H64" s="49" t="n">
        <v>34.3</v>
      </c>
      <c r="I64" s="50" t="n">
        <v>27.8</v>
      </c>
      <c r="J64" s="51" t="s">
        <v>337</v>
      </c>
      <c r="K64" s="51" t="s">
        <v>165</v>
      </c>
      <c r="L64" s="45" t="n">
        <v>129</v>
      </c>
      <c r="M64" s="35"/>
      <c r="N64" s="35"/>
      <c r="O64" s="49" t="n">
        <v>34.49</v>
      </c>
      <c r="P64" s="55" t="s">
        <v>165</v>
      </c>
      <c r="Q64" s="56" t="s">
        <v>165</v>
      </c>
      <c r="R64" s="56" t="s">
        <v>165</v>
      </c>
      <c r="S64" s="56" t="s">
        <v>165</v>
      </c>
      <c r="T64" s="44"/>
      <c r="U64" s="56"/>
      <c r="V64" s="55" t="s">
        <v>165</v>
      </c>
      <c r="W64" s="56" t="s">
        <v>165</v>
      </c>
      <c r="X64" s="55" t="s">
        <v>165</v>
      </c>
      <c r="Y64" s="56" t="s">
        <v>165</v>
      </c>
      <c r="Z64" s="42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</row>
  </sheetData>
  <mergeCells count="6">
    <mergeCell ref="A1:M1"/>
    <mergeCell ref="A2:M2"/>
    <mergeCell ref="P5:Q5"/>
    <mergeCell ref="R5:S5"/>
    <mergeCell ref="V5:W5"/>
    <mergeCell ref="X5:Y5"/>
  </mergeCells>
  <printOptions headings="false" gridLines="false" gridLinesSet="true" horizontalCentered="false" verticalCentered="false"/>
  <pageMargins left="0.0784722222222222" right="0.0784722222222222" top="0.354166666666667" bottom="0.354166666666667" header="0.511805555555555" footer="0.511805555555555"/>
  <pageSetup paperSize="77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2004-02-17T15:14:19Z</dcterms:created>
  <dc:creator>fmarin</dc:creator>
  <dc:description/>
  <dc:language>fr-FR</dc:language>
  <cp:lastModifiedBy/>
  <cp:lastPrinted>2012-03-24T09:32:01Z</cp:lastPrinted>
  <dcterms:modified xsi:type="dcterms:W3CDTF">2022-09-29T15:22:25Z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