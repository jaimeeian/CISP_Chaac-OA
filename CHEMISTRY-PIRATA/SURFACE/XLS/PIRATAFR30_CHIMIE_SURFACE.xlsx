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X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1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1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1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18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2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2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2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2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2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3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3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3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3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3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4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4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4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4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4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5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5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5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5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58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60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6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6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6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69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71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7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75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7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78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  <comment ref="AX80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Non Déterminé</t>
        </r>
      </text>
    </comment>
  </commentList>
</comments>
</file>

<file path=xl/sharedStrings.xml><?xml version="1.0" encoding="utf-8"?>
<sst xmlns="http://schemas.openxmlformats.org/spreadsheetml/2006/main" count="599" uniqueCount="346">
  <si>
    <t xml:space="preserve">CAMPAGNE PIRATA FR 30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</si>
  <si>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</si>
  <si>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</si>
  <si>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</si>
  <si>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</si>
  <si>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</si>
  <si>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</si>
  <si>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</si>
  <si>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</si>
  <si>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</si>
  <si>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19'-:exanoyloxyfucoxanthin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</si>
  <si>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</si>
  <si>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</si>
  <si>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</si>
  <si>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</si>
  <si>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</si>
  <si>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</si>
  <si>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</si>
  <si>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</si>
  <si>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</si>
  <si>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</si>
  <si>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</si>
  <si>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</si>
  <si>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</si>
  <si>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</si>
  <si>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</si>
  <si>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</si>
  <si>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thermosalinographe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</si>
  <si>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</si>
  <si>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</si>
  <si>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</si>
  <si>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</si>
  <si>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</si>
  <si>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</si>
  <si>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</si>
  <si>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</si>
  <si>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</si>
  <si>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</si>
  <si>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</si>
  <si>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</si>
  <si>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</si>
  <si>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</si>
  <si>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</si>
  <si>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</si>
  <si>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</si>
  <si>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</si>
  <si>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</si>
  <si>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</si>
  <si>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</si>
  <si>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</si>
  <si>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</si>
  <si>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</si>
  <si>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</si>
  <si>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</si>
  <si>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</si>
  <si>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</si>
  <si>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</si>
  <si>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</si>
  <si>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</si>
  <si>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</si>
  <si>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</si>
  <si>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</si>
  <si>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</si>
  <si>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</si>
  <si>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</si>
  <si>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</si>
  <si>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</si>
  <si>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</si>
  <si>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</si>
  <si>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Lat. prévue</t>
  </si>
  <si>
    <t xml:space="preserve">Lon.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</si>
  <si>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</si>
  <si>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</si>
  <si>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</si>
  <si>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</si>
  <si>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</si>
  <si>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</si>
  <si>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</si>
  <si>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</si>
  <si>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</si>
  <si>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</si>
  <si>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</si>
  <si>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</si>
  <si>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</si>
  <si>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</si>
  <si>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</si>
  <si>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16°06.488 N</t>
  </si>
  <si>
    <t xml:space="preserve">24°41.525 W</t>
  </si>
  <si>
    <t xml:space="preserve">15h25</t>
  </si>
  <si>
    <t xml:space="preserve">S1</t>
  </si>
  <si>
    <t xml:space="preserve">ND</t>
  </si>
  <si>
    <t xml:space="preserve">14°58.8 N</t>
  </si>
  <si>
    <t xml:space="preserve">24°02.200 W</t>
  </si>
  <si>
    <t xml:space="preserve">22h47</t>
  </si>
  <si>
    <t xml:space="preserve">NON</t>
  </si>
  <si>
    <t xml:space="preserve">14°02.815 N</t>
  </si>
  <si>
    <t xml:space="preserve">23°40.286 W</t>
  </si>
  <si>
    <t xml:space="preserve">04h06</t>
  </si>
  <si>
    <t xml:space="preserve">S3</t>
  </si>
  <si>
    <t xml:space="preserve">13°00.095 N</t>
  </si>
  <si>
    <t xml:space="preserve">23°18.151 W</t>
  </si>
  <si>
    <t xml:space="preserve">10h05</t>
  </si>
  <si>
    <t xml:space="preserve">12°00.905 N</t>
  </si>
  <si>
    <t xml:space="preserve">23°00.312 W</t>
  </si>
  <si>
    <t xml:space="preserve">15h18</t>
  </si>
  <si>
    <t xml:space="preserve">S5</t>
  </si>
  <si>
    <t xml:space="preserve">10°59.766 N</t>
  </si>
  <si>
    <t xml:space="preserve">22°25.455 W</t>
  </si>
  <si>
    <t xml:space="preserve">02h58</t>
  </si>
  <si>
    <t xml:space="preserve">07°00.455 N</t>
  </si>
  <si>
    <t xml:space="preserve">17°57.129 W</t>
  </si>
  <si>
    <t xml:space="preserve">16h08</t>
  </si>
  <si>
    <t xml:space="preserve">06°00.569 N</t>
  </si>
  <si>
    <t xml:space="preserve">16°57.508 W</t>
  </si>
  <si>
    <t xml:space="preserve">23h50</t>
  </si>
  <si>
    <t xml:space="preserve">S8</t>
  </si>
  <si>
    <t xml:space="preserve">04°58.882 N</t>
  </si>
  <si>
    <t xml:space="preserve">15°56.351 W</t>
  </si>
  <si>
    <t xml:space="preserve">08h15</t>
  </si>
  <si>
    <t xml:space="preserve">03°52.590 N</t>
  </si>
  <si>
    <t xml:space="preserve">14°57.587 W</t>
  </si>
  <si>
    <t xml:space="preserve">16h40</t>
  </si>
  <si>
    <t xml:space="preserve">S10</t>
  </si>
  <si>
    <t xml:space="preserve">03°01.26 N</t>
  </si>
  <si>
    <t xml:space="preserve">14°03.51 W</t>
  </si>
  <si>
    <t xml:space="preserve">00h10</t>
  </si>
  <si>
    <t xml:space="preserve">1°59.166 N</t>
  </si>
  <si>
    <t xml:space="preserve">13°08.984 W</t>
  </si>
  <si>
    <t xml:space="preserve">07h18</t>
  </si>
  <si>
    <t xml:space="preserve">S12</t>
  </si>
  <si>
    <t xml:space="preserve">00°59.57 N</t>
  </si>
  <si>
    <t xml:space="preserve">12°16.56 W</t>
  </si>
  <si>
    <t xml:space="preserve">16h27</t>
  </si>
  <si>
    <t xml:space="preserve">00°00.043 N</t>
  </si>
  <si>
    <t xml:space="preserve">09°01.495 W</t>
  </si>
  <si>
    <t xml:space="preserve">04h26</t>
  </si>
  <si>
    <t xml:space="preserve">00°00.09 S</t>
  </si>
  <si>
    <t xml:space="preserve">07°57.359 W</t>
  </si>
  <si>
    <t xml:space="preserve">10h44</t>
  </si>
  <si>
    <t xml:space="preserve">S15</t>
  </si>
  <si>
    <t xml:space="preserve">00°00.046 N</t>
  </si>
  <si>
    <t xml:space="preserve">07°00.798 W</t>
  </si>
  <si>
    <t xml:space="preserve">15h58</t>
  </si>
  <si>
    <t xml:space="preserve">00°00.08 S</t>
  </si>
  <si>
    <t xml:space="preserve">05°57.461 W</t>
  </si>
  <si>
    <t xml:space="preserve">21h30</t>
  </si>
  <si>
    <t xml:space="preserve">S17</t>
  </si>
  <si>
    <t xml:space="preserve">00°00.056 S</t>
  </si>
  <si>
    <t xml:space="preserve">04°59.849 W</t>
  </si>
  <si>
    <t xml:space="preserve">03h01</t>
  </si>
  <si>
    <t xml:space="preserve">00°00.019 N</t>
  </si>
  <si>
    <t xml:space="preserve">03°58.368 W</t>
  </si>
  <si>
    <t xml:space="preserve">08h43</t>
  </si>
  <si>
    <t xml:space="preserve">S19</t>
  </si>
  <si>
    <t xml:space="preserve">00°00.008 N</t>
  </si>
  <si>
    <t xml:space="preserve">02°59.595 W</t>
  </si>
  <si>
    <t xml:space="preserve">13h52</t>
  </si>
  <si>
    <t xml:space="preserve">00°00.074 N</t>
  </si>
  <si>
    <t xml:space="preserve">01°58.771 W</t>
  </si>
  <si>
    <t xml:space="preserve">19h16</t>
  </si>
  <si>
    <t xml:space="preserve">S21</t>
  </si>
  <si>
    <t xml:space="preserve">00°00.125 N</t>
  </si>
  <si>
    <t xml:space="preserve">01°01.909 W</t>
  </si>
  <si>
    <t xml:space="preserve">00h19</t>
  </si>
  <si>
    <t xml:space="preserve">04°01.144 S</t>
  </si>
  <si>
    <t xml:space="preserve">00°28.653 W</t>
  </si>
  <si>
    <t xml:space="preserve">01h16</t>
  </si>
  <si>
    <t xml:space="preserve">S23</t>
  </si>
  <si>
    <t xml:space="preserve">05°00.6 S</t>
  </si>
  <si>
    <t xml:space="preserve">00°56.3 W</t>
  </si>
  <si>
    <t xml:space="preserve">07h22</t>
  </si>
  <si>
    <t xml:space="preserve">06°00.795 S</t>
  </si>
  <si>
    <t xml:space="preserve">01°24.394 W</t>
  </si>
  <si>
    <t xml:space="preserve">13h28</t>
  </si>
  <si>
    <t xml:space="preserve">S25</t>
  </si>
  <si>
    <t xml:space="preserve">07°00.070 S</t>
  </si>
  <si>
    <t xml:space="preserve">01°52.104 W</t>
  </si>
  <si>
    <t xml:space="preserve">19h45</t>
  </si>
  <si>
    <t xml:space="preserve">08°01.147 S</t>
  </si>
  <si>
    <t xml:space="preserve">02°22.476 W</t>
  </si>
  <si>
    <t xml:space="preserve">02h12</t>
  </si>
  <si>
    <t xml:space="preserve">S27</t>
  </si>
  <si>
    <t xml:space="preserve">08°59.931 S</t>
  </si>
  <si>
    <t xml:space="preserve">02°48.048 W</t>
  </si>
  <si>
    <t xml:space="preserve">08h00</t>
  </si>
  <si>
    <t xml:space="preserve">10°01.142 S</t>
  </si>
  <si>
    <t xml:space="preserve">03°16.430 W</t>
  </si>
  <si>
    <t xml:space="preserve">14h14</t>
  </si>
  <si>
    <t xml:space="preserve">S29</t>
  </si>
  <si>
    <t xml:space="preserve">10°59.327 S</t>
  </si>
  <si>
    <t xml:space="preserve">03°41.361 W</t>
  </si>
  <si>
    <t xml:space="preserve">20h07</t>
  </si>
  <si>
    <t xml:space="preserve">12°00.705 S</t>
  </si>
  <si>
    <t xml:space="preserve">04°06.319 W</t>
  </si>
  <si>
    <t xml:space="preserve">03h31</t>
  </si>
  <si>
    <t xml:space="preserve">S31</t>
  </si>
  <si>
    <t xml:space="preserve">12°59.610 S</t>
  </si>
  <si>
    <t xml:space="preserve">04°30.638 W</t>
  </si>
  <si>
    <t xml:space="preserve">10h52</t>
  </si>
  <si>
    <t xml:space="preserve">14°01.195 S</t>
  </si>
  <si>
    <t xml:space="preserve">04°56.120 W</t>
  </si>
  <si>
    <t xml:space="preserve">18h30</t>
  </si>
  <si>
    <t xml:space="preserve">S33</t>
  </si>
  <si>
    <t xml:space="preserve">15°01.102 S</t>
  </si>
  <si>
    <t xml:space="preserve">05°20.624 W</t>
  </si>
  <si>
    <t xml:space="preserve">02h06</t>
  </si>
  <si>
    <t xml:space="preserve">16°00.861 S</t>
  </si>
  <si>
    <t xml:space="preserve">05°53.254 W</t>
  </si>
  <si>
    <t xml:space="preserve">16h11</t>
  </si>
  <si>
    <t xml:space="preserve">S35</t>
  </si>
  <si>
    <t xml:space="preserve">17°01.329 S</t>
  </si>
  <si>
    <t xml:space="preserve">06°59.719 W</t>
  </si>
  <si>
    <t xml:space="preserve">23h57</t>
  </si>
  <si>
    <t xml:space="preserve">18°00.174 S</t>
  </si>
  <si>
    <t xml:space="preserve">08°00.095 W</t>
  </si>
  <si>
    <t xml:space="preserve">07h33</t>
  </si>
  <si>
    <t xml:space="preserve">S37</t>
  </si>
  <si>
    <t xml:space="preserve">18°59.719 S</t>
  </si>
  <si>
    <t xml:space="preserve">09°01.636 W</t>
  </si>
  <si>
    <t xml:space="preserve">14h54</t>
  </si>
  <si>
    <t xml:space="preserve">19°00.571 S</t>
  </si>
  <si>
    <t xml:space="preserve">09°59.940 W</t>
  </si>
  <si>
    <t xml:space="preserve">18h26</t>
  </si>
  <si>
    <t xml:space="preserve">S39</t>
  </si>
  <si>
    <t xml:space="preserve">17°57.800 S</t>
  </si>
  <si>
    <t xml:space="preserve">10°00.09 W</t>
  </si>
  <si>
    <t xml:space="preserve">23h40</t>
  </si>
  <si>
    <t xml:space="preserve">17°00.961 S</t>
  </si>
  <si>
    <t xml:space="preserve">9°59.954 W</t>
  </si>
  <si>
    <t xml:space="preserve">04h28</t>
  </si>
  <si>
    <t xml:space="preserve">S41</t>
  </si>
  <si>
    <t xml:space="preserve">16°00.734 S</t>
  </si>
  <si>
    <t xml:space="preserve">10°00.064 W</t>
  </si>
  <si>
    <t xml:space="preserve">09h30</t>
  </si>
  <si>
    <t xml:space="preserve">15°01.810 S</t>
  </si>
  <si>
    <t xml:space="preserve">09°59.999 W</t>
  </si>
  <si>
    <t xml:space="preserve">14h23</t>
  </si>
  <si>
    <t xml:space="preserve">S43</t>
  </si>
  <si>
    <t xml:space="preserve">14°00.520 S</t>
  </si>
  <si>
    <t xml:space="preserve">10°00.114 W</t>
  </si>
  <si>
    <t xml:space="preserve">19h31</t>
  </si>
  <si>
    <t xml:space="preserve">13°02.127 S</t>
  </si>
  <si>
    <t xml:space="preserve">09°59.817 W</t>
  </si>
  <si>
    <t xml:space="preserve">00h20</t>
  </si>
  <si>
    <t xml:space="preserve">S45</t>
  </si>
  <si>
    <t xml:space="preserve">11°59.980 S</t>
  </si>
  <si>
    <t xml:space="preserve">10°00.072 W</t>
  </si>
  <si>
    <t xml:space="preserve">05h33</t>
  </si>
  <si>
    <t xml:space="preserve">11°00.000 S</t>
  </si>
  <si>
    <t xml:space="preserve">10°00.624 W</t>
  </si>
  <si>
    <t xml:space="preserve">10h53</t>
  </si>
  <si>
    <t xml:space="preserve">S47</t>
  </si>
  <si>
    <t xml:space="preserve">00°44.5 N</t>
  </si>
  <si>
    <t xml:space="preserve">11°00.63 W</t>
  </si>
  <si>
    <t xml:space="preserve">08h36</t>
  </si>
  <si>
    <t xml:space="preserve">S48</t>
  </si>
  <si>
    <t xml:space="preserve">00°00.035 N</t>
  </si>
  <si>
    <t xml:space="preserve">12°00.05 W</t>
  </si>
  <si>
    <t xml:space="preserve">15h06</t>
  </si>
  <si>
    <t xml:space="preserve">00°00.059 N</t>
  </si>
  <si>
    <t xml:space="preserve">12°59.125 W</t>
  </si>
  <si>
    <t xml:space="preserve">20h25</t>
  </si>
  <si>
    <t xml:space="preserve">S50</t>
  </si>
  <si>
    <t xml:space="preserve">00°00.31 S</t>
  </si>
  <si>
    <t xml:space="preserve">13°59.922 W</t>
  </si>
  <si>
    <t xml:space="preserve">00h45</t>
  </si>
  <si>
    <t xml:space="preserve">00°00.027 N</t>
  </si>
  <si>
    <t xml:space="preserve">14°58.831 W</t>
  </si>
  <si>
    <t xml:space="preserve">07h06</t>
  </si>
  <si>
    <t xml:space="preserve">S52</t>
  </si>
  <si>
    <t xml:space="preserve">00°00.10 S</t>
  </si>
  <si>
    <t xml:space="preserve">16°00.5 W</t>
  </si>
  <si>
    <t xml:space="preserve">12h44</t>
  </si>
  <si>
    <t xml:space="preserve">00°00.038 N</t>
  </si>
  <si>
    <t xml:space="preserve">16°59.910 W</t>
  </si>
  <si>
    <t xml:space="preserve">18h14</t>
  </si>
  <si>
    <t xml:space="preserve">S54</t>
  </si>
  <si>
    <t xml:space="preserve">00°00.101 N</t>
  </si>
  <si>
    <t xml:space="preserve">17°58.858 W</t>
  </si>
  <si>
    <t xml:space="preserve">23h38</t>
  </si>
  <si>
    <t xml:space="preserve">00°00.033 S</t>
  </si>
  <si>
    <t xml:space="preserve">18°59.467 W</t>
  </si>
  <si>
    <t xml:space="preserve">05h07</t>
  </si>
  <si>
    <t xml:space="preserve">S56</t>
  </si>
  <si>
    <t xml:space="preserve">00°00.012 N</t>
  </si>
  <si>
    <t xml:space="preserve">20°00.54 W</t>
  </si>
  <si>
    <t xml:space="preserve">10h46</t>
  </si>
  <si>
    <t xml:space="preserve">00°00.932 S</t>
  </si>
  <si>
    <t xml:space="preserve">21°00.633 W</t>
  </si>
  <si>
    <t xml:space="preserve">16h02</t>
  </si>
  <si>
    <t xml:space="preserve">S58</t>
  </si>
  <si>
    <t xml:space="preserve">00°00,009 S</t>
  </si>
  <si>
    <t xml:space="preserve">21°59,851 W</t>
  </si>
  <si>
    <t xml:space="preserve">21h26</t>
  </si>
  <si>
    <t xml:space="preserve">00°30,132 N</t>
  </si>
  <si>
    <t xml:space="preserve">022°53,394 W</t>
  </si>
  <si>
    <t xml:space="preserve">20h09</t>
  </si>
  <si>
    <t xml:space="preserve">00°59,576 N</t>
  </si>
  <si>
    <t xml:space="preserve">022°46,982 W</t>
  </si>
  <si>
    <t xml:space="preserve">21h47</t>
  </si>
  <si>
    <t xml:space="preserve">S61</t>
  </si>
  <si>
    <t xml:space="preserve">01°28,228 N</t>
  </si>
  <si>
    <t xml:space="preserve">022°40,75 W</t>
  </si>
  <si>
    <t xml:space="preserve">01h20</t>
  </si>
  <si>
    <t xml:space="preserve">01°58,426 N</t>
  </si>
  <si>
    <t xml:space="preserve">022°34,161 W</t>
  </si>
  <si>
    <t xml:space="preserve">04h04</t>
  </si>
  <si>
    <t xml:space="preserve">S63</t>
  </si>
  <si>
    <t xml:space="preserve">03°00,0 N</t>
  </si>
  <si>
    <t xml:space="preserve">022°20,0 W</t>
  </si>
  <si>
    <t xml:space="preserve">10h08</t>
  </si>
  <si>
    <t xml:space="preserve">03°59,590 N</t>
  </si>
  <si>
    <t xml:space="preserve">022°07,668 W</t>
  </si>
  <si>
    <t xml:space="preserve">16h45</t>
  </si>
  <si>
    <t xml:space="preserve">S65</t>
  </si>
  <si>
    <t xml:space="preserve">05°00,435 N</t>
  </si>
  <si>
    <t xml:space="preserve">021°54,423 W</t>
  </si>
  <si>
    <t xml:space="preserve">23h16</t>
  </si>
  <si>
    <t xml:space="preserve">05°58,489 N</t>
  </si>
  <si>
    <t xml:space="preserve">021°41,583 W</t>
  </si>
  <si>
    <t xml:space="preserve">05h05</t>
  </si>
  <si>
    <t xml:space="preserve">S67</t>
  </si>
  <si>
    <t xml:space="preserve">07°00,607 N</t>
  </si>
  <si>
    <t xml:space="preserve">021°28,007 W</t>
  </si>
  <si>
    <t xml:space="preserve">12h01</t>
  </si>
  <si>
    <t xml:space="preserve">07°59,787 N</t>
  </si>
  <si>
    <t xml:space="preserve">021°14,951 W</t>
  </si>
  <si>
    <t xml:space="preserve">18h55</t>
  </si>
  <si>
    <t xml:space="preserve">S69</t>
  </si>
  <si>
    <t xml:space="preserve">08°59,483 N</t>
  </si>
  <si>
    <t xml:space="preserve">021°01,894 W</t>
  </si>
  <si>
    <t xml:space="preserve">01h46</t>
  </si>
  <si>
    <t xml:space="preserve">09°59,363 N</t>
  </si>
  <si>
    <t xml:space="preserve">020°48,580 W</t>
  </si>
  <si>
    <t xml:space="preserve">08h31</t>
  </si>
  <si>
    <t xml:space="preserve">S71</t>
  </si>
  <si>
    <t xml:space="preserve">10°59,835 N</t>
  </si>
  <si>
    <t xml:space="preserve">020°35,170 W</t>
  </si>
  <si>
    <t xml:space="preserve">15h16</t>
  </si>
  <si>
    <t xml:space="preserve">11°59,420 N</t>
  </si>
  <si>
    <t xml:space="preserve">020°22,021 W</t>
  </si>
  <si>
    <t xml:space="preserve">22h07</t>
  </si>
  <si>
    <t xml:space="preserve">S73</t>
  </si>
  <si>
    <t xml:space="preserve">12°59,88 N</t>
  </si>
  <si>
    <t xml:space="preserve">020°08,268 W</t>
  </si>
  <si>
    <t xml:space="preserve">05h28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</si>
</sst>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0.0000"/>
    <numFmt numFmtId="167" formatCode="0.00"/>
    <numFmt numFmtId="168" formatCode="d/m/yy;@"/>
    <numFmt numFmtId="169" formatCode="h:mm;@"/>
    <numFmt numFmtId="170" formatCode="0"/>
    <numFmt numFmtId="171" formatCode="dd/mm/yy"/>
    <numFmt numFmtId="172" formatCode="hh\hmm"/>
    <numFmt numFmtId="173" formatCode="[$-40C]dd/mm/yyyy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4"/>
      <name val="Arial"/>
      <family val="2"/>
      <charset val="1"/>
    </font>
    <font>
      <sz val="9"/>
      <color rgb="FF00000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O7" activeCellId="0" sqref="O7:O80"/>
    </sheetView>
  </sheetViews>
  <sheetFormatPr defaultColWidth="10.54296875" defaultRowHeight="13.8" zeroHeight="false" outlineLevelRow="0" outlineLevelCol="0"/>
  <cols>
    <col collapsed="false" customWidth="true" hidden="false" outlineLevel="0" max="4" min="1" style="0" width="14"/>
    <col collapsed="false" customWidth="true" hidden="false" outlineLevel="0" max="10" min="10" style="1" width="6.79"/>
    <col collapsed="false" customWidth="true" hidden="false" outlineLevel="0" max="11" min="11" style="1" width="7.69"/>
    <col collapsed="false" customWidth="true" hidden="false" outlineLevel="0" max="12" min="12" style="2" width="5.14"/>
    <col collapsed="false" customWidth="true" hidden="false" outlineLevel="0" max="272" min="272" style="0" width="14"/>
    <col collapsed="false" customWidth="true" hidden="false" outlineLevel="0" max="528" min="528" style="0" width="14"/>
    <col collapsed="false" customWidth="true" hidden="false" outlineLevel="0" max="784" min="784" style="0" width="14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17.3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 t="s">
        <v>2</v>
      </c>
      <c r="AA2" s="6" t="s">
        <v>3</v>
      </c>
      <c r="AB2" s="6" t="s">
        <v>4</v>
      </c>
      <c r="AC2" s="7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7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7" t="s">
        <v>16</v>
      </c>
      <c r="AO2" s="7" t="s">
        <v>17</v>
      </c>
      <c r="AP2" s="7" t="s">
        <v>18</v>
      </c>
      <c r="AQ2" s="6" t="s">
        <v>19</v>
      </c>
      <c r="AR2" s="6" t="s">
        <v>20</v>
      </c>
      <c r="AS2" s="8" t="s">
        <v>21</v>
      </c>
      <c r="AT2" s="6" t="s">
        <v>22</v>
      </c>
      <c r="AU2" s="6" t="s">
        <v>23</v>
      </c>
      <c r="AV2" s="7" t="s">
        <v>24</v>
      </c>
      <c r="AW2" s="6" t="s">
        <v>25</v>
      </c>
      <c r="AX2" s="9" t="s">
        <v>26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5" customFormat="true" ht="25.5" hidden="false" customHeight="true" outlineLevel="0" collapsed="false">
      <c r="A3" s="10" t="s">
        <v>27</v>
      </c>
      <c r="B3" s="11"/>
      <c r="C3" s="11"/>
      <c r="D3" s="12"/>
      <c r="E3" s="12"/>
      <c r="F3" s="12"/>
      <c r="G3" s="13"/>
      <c r="H3" s="13"/>
      <c r="I3" s="10"/>
      <c r="J3" s="10"/>
      <c r="K3" s="10"/>
      <c r="L3" s="14"/>
      <c r="M3" s="10"/>
      <c r="N3" s="13"/>
      <c r="O3" s="10"/>
      <c r="P3" s="10"/>
      <c r="Q3" s="10"/>
      <c r="R3" s="10"/>
      <c r="S3" s="10"/>
      <c r="T3" s="10"/>
      <c r="U3" s="10"/>
      <c r="V3" s="10"/>
      <c r="W3" s="10"/>
      <c r="Z3" s="6"/>
      <c r="AA3" s="6"/>
      <c r="AB3" s="6"/>
      <c r="AC3" s="7"/>
      <c r="AD3" s="6"/>
      <c r="AE3" s="6"/>
      <c r="AF3" s="6"/>
      <c r="AG3" s="6"/>
      <c r="AH3" s="7"/>
      <c r="AI3" s="6"/>
      <c r="AJ3" s="6"/>
      <c r="AK3" s="6"/>
      <c r="AL3" s="6"/>
      <c r="AM3" s="6"/>
      <c r="AN3" s="7"/>
      <c r="AO3" s="7"/>
      <c r="AP3" s="7"/>
      <c r="AQ3" s="6"/>
      <c r="AR3" s="6"/>
      <c r="AS3" s="8"/>
      <c r="AT3" s="6"/>
      <c r="AU3" s="6"/>
      <c r="AV3" s="7"/>
      <c r="AW3" s="6"/>
      <c r="AX3" s="9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5.75" hidden="false" customHeight="true" outlineLevel="0" collapsed="false">
      <c r="A4" s="15"/>
      <c r="B4" s="16"/>
      <c r="C4" s="16"/>
      <c r="D4" s="17"/>
      <c r="E4" s="17"/>
      <c r="F4" s="17"/>
      <c r="G4" s="18"/>
      <c r="H4" s="18"/>
      <c r="I4" s="15"/>
      <c r="J4" s="15"/>
      <c r="K4" s="15"/>
      <c r="L4" s="19"/>
      <c r="M4" s="15"/>
      <c r="N4" s="20"/>
      <c r="O4" s="15"/>
      <c r="P4" s="21" t="s">
        <v>28</v>
      </c>
      <c r="Q4" s="21"/>
      <c r="R4" s="21" t="s">
        <v>29</v>
      </c>
      <c r="S4" s="21"/>
      <c r="T4" s="21" t="s">
        <v>30</v>
      </c>
      <c r="U4" s="21"/>
      <c r="V4" s="21" t="s">
        <v>31</v>
      </c>
      <c r="W4" s="21"/>
      <c r="X4" s="21" t="s">
        <v>32</v>
      </c>
      <c r="Y4" s="21"/>
      <c r="Z4" s="22"/>
      <c r="AA4" s="22"/>
      <c r="AB4" s="22"/>
      <c r="AC4" s="22"/>
      <c r="AD4" s="22"/>
      <c r="AE4" s="23"/>
      <c r="AF4" s="22"/>
      <c r="AG4" s="23"/>
      <c r="AH4" s="22"/>
      <c r="AI4" s="22"/>
      <c r="AJ4" s="22"/>
      <c r="AK4" s="22"/>
      <c r="AL4" s="22"/>
      <c r="AM4" s="23"/>
      <c r="AN4" s="22"/>
      <c r="AO4" s="22"/>
      <c r="AP4" s="23"/>
      <c r="AQ4" s="24"/>
      <c r="AR4" s="24"/>
      <c r="AS4" s="24"/>
      <c r="AT4" s="22"/>
      <c r="AU4" s="22"/>
      <c r="AV4" s="22"/>
      <c r="AW4" s="22"/>
      <c r="AX4" s="25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</row>
    <row r="5" customFormat="false" ht="39.55" hidden="false" customHeight="true" outlineLevel="0" collapsed="false">
      <c r="D5" s="26"/>
      <c r="E5" s="26"/>
      <c r="F5" s="26"/>
      <c r="G5" s="26"/>
      <c r="H5" s="26"/>
      <c r="I5" s="26"/>
      <c r="J5" s="27"/>
      <c r="K5" s="27"/>
      <c r="L5" s="28"/>
      <c r="M5" s="26"/>
      <c r="N5" s="26"/>
      <c r="O5" s="26"/>
      <c r="P5" s="29" t="s">
        <v>33</v>
      </c>
      <c r="Q5" s="29" t="s">
        <v>34</v>
      </c>
      <c r="R5" s="29" t="s">
        <v>35</v>
      </c>
      <c r="S5" s="29" t="s">
        <v>36</v>
      </c>
      <c r="T5" s="29" t="s">
        <v>37</v>
      </c>
      <c r="U5" s="29" t="s">
        <v>38</v>
      </c>
      <c r="V5" s="29" t="s">
        <v>39</v>
      </c>
      <c r="W5" s="29" t="s">
        <v>40</v>
      </c>
      <c r="X5" s="29" t="s">
        <v>41</v>
      </c>
      <c r="Y5" s="30" t="s">
        <v>42</v>
      </c>
      <c r="Z5" s="31" t="s">
        <v>43</v>
      </c>
      <c r="AA5" s="31" t="s">
        <v>44</v>
      </c>
      <c r="AB5" s="31" t="s">
        <v>45</v>
      </c>
      <c r="AC5" s="31" t="s">
        <v>46</v>
      </c>
      <c r="AD5" s="31" t="s">
        <v>47</v>
      </c>
      <c r="AE5" s="32" t="s">
        <v>48</v>
      </c>
      <c r="AF5" s="31" t="s">
        <v>49</v>
      </c>
      <c r="AG5" s="32" t="s">
        <v>50</v>
      </c>
      <c r="AH5" s="31" t="s">
        <v>51</v>
      </c>
      <c r="AI5" s="31" t="s">
        <v>52</v>
      </c>
      <c r="AJ5" s="31" t="s">
        <v>53</v>
      </c>
      <c r="AK5" s="31" t="s">
        <v>54</v>
      </c>
      <c r="AL5" s="31" t="s">
        <v>55</v>
      </c>
      <c r="AM5" s="32" t="s">
        <v>56</v>
      </c>
      <c r="AN5" s="31" t="s">
        <v>57</v>
      </c>
      <c r="AO5" s="31" t="s">
        <v>58</v>
      </c>
      <c r="AP5" s="32" t="s">
        <v>59</v>
      </c>
      <c r="AQ5" s="33" t="s">
        <v>60</v>
      </c>
      <c r="AR5" s="33" t="s">
        <v>61</v>
      </c>
      <c r="AS5" s="33" t="s">
        <v>62</v>
      </c>
      <c r="AT5" s="31" t="s">
        <v>63</v>
      </c>
      <c r="AU5" s="31" t="s">
        <v>64</v>
      </c>
      <c r="AV5" s="31" t="s">
        <v>65</v>
      </c>
      <c r="AW5" s="31" t="s">
        <v>66</v>
      </c>
      <c r="AX5" s="34" t="s">
        <v>67</v>
      </c>
    </row>
    <row r="6" customFormat="false" ht="48.5" hidden="false" customHeight="true" outlineLevel="0" collapsed="false">
      <c r="A6" s="35" t="s">
        <v>68</v>
      </c>
      <c r="B6" s="36" t="s">
        <v>69</v>
      </c>
      <c r="C6" s="37" t="s">
        <v>70</v>
      </c>
      <c r="D6" s="38" t="s">
        <v>71</v>
      </c>
      <c r="E6" s="39" t="s">
        <v>72</v>
      </c>
      <c r="F6" s="39" t="s">
        <v>73</v>
      </c>
      <c r="G6" s="39" t="s">
        <v>74</v>
      </c>
      <c r="H6" s="38" t="s">
        <v>75</v>
      </c>
      <c r="I6" s="38" t="s">
        <v>76</v>
      </c>
      <c r="J6" s="27" t="s">
        <v>77</v>
      </c>
      <c r="K6" s="27" t="s">
        <v>78</v>
      </c>
      <c r="L6" s="27" t="s">
        <v>79</v>
      </c>
      <c r="M6" s="38" t="s">
        <v>80</v>
      </c>
      <c r="N6" s="27" t="s">
        <v>81</v>
      </c>
      <c r="O6" s="40" t="s">
        <v>82</v>
      </c>
      <c r="P6" s="41" t="s">
        <v>83</v>
      </c>
      <c r="Q6" s="41" t="s">
        <v>84</v>
      </c>
      <c r="R6" s="41" t="s">
        <v>83</v>
      </c>
      <c r="S6" s="41" t="s">
        <v>84</v>
      </c>
      <c r="T6" s="41" t="s">
        <v>83</v>
      </c>
      <c r="U6" s="41" t="s">
        <v>84</v>
      </c>
      <c r="V6" s="41" t="s">
        <v>83</v>
      </c>
      <c r="W6" s="41" t="s">
        <v>84</v>
      </c>
      <c r="X6" s="41" t="s">
        <v>83</v>
      </c>
      <c r="Y6" s="42" t="s">
        <v>84</v>
      </c>
      <c r="Z6" s="43" t="s">
        <v>85</v>
      </c>
      <c r="AA6" s="43" t="s">
        <v>85</v>
      </c>
      <c r="AB6" s="43" t="s">
        <v>85</v>
      </c>
      <c r="AC6" s="43" t="s">
        <v>85</v>
      </c>
      <c r="AD6" s="43" t="s">
        <v>85</v>
      </c>
      <c r="AE6" s="43" t="s">
        <v>85</v>
      </c>
      <c r="AF6" s="43" t="s">
        <v>85</v>
      </c>
      <c r="AG6" s="43" t="s">
        <v>85</v>
      </c>
      <c r="AH6" s="43" t="s">
        <v>85</v>
      </c>
      <c r="AI6" s="43" t="s">
        <v>85</v>
      </c>
      <c r="AJ6" s="43" t="s">
        <v>85</v>
      </c>
      <c r="AK6" s="43" t="s">
        <v>85</v>
      </c>
      <c r="AL6" s="43" t="s">
        <v>85</v>
      </c>
      <c r="AM6" s="43" t="s">
        <v>85</v>
      </c>
      <c r="AN6" s="43" t="s">
        <v>85</v>
      </c>
      <c r="AO6" s="43" t="s">
        <v>85</v>
      </c>
      <c r="AP6" s="43" t="s">
        <v>85</v>
      </c>
      <c r="AQ6" s="43" t="s">
        <v>85</v>
      </c>
      <c r="AR6" s="43" t="s">
        <v>85</v>
      </c>
      <c r="AS6" s="43" t="s">
        <v>85</v>
      </c>
      <c r="AT6" s="43" t="s">
        <v>85</v>
      </c>
      <c r="AU6" s="43" t="s">
        <v>85</v>
      </c>
      <c r="AV6" s="43" t="s">
        <v>85</v>
      </c>
      <c r="AW6" s="43" t="s">
        <v>85</v>
      </c>
      <c r="AX6" s="43" t="s">
        <v>85</v>
      </c>
    </row>
    <row r="7" customFormat="false" ht="17.35" hidden="false" customHeight="false" outlineLevel="0" collapsed="false">
      <c r="A7" s="44" t="n">
        <v>1</v>
      </c>
      <c r="B7" s="45" t="s">
        <v>86</v>
      </c>
      <c r="C7" s="46" t="s">
        <v>87</v>
      </c>
      <c r="D7" s="47" t="n">
        <v>43878</v>
      </c>
      <c r="E7" s="48" t="s">
        <v>88</v>
      </c>
      <c r="F7" s="45" t="s">
        <v>86</v>
      </c>
      <c r="G7" s="46" t="s">
        <v>87</v>
      </c>
      <c r="H7" s="45" t="n">
        <v>35.794</v>
      </c>
      <c r="I7" s="45" t="n">
        <v>22.96</v>
      </c>
      <c r="J7" s="49"/>
      <c r="K7" s="50"/>
      <c r="L7" s="0"/>
      <c r="M7" s="51" t="s">
        <v>89</v>
      </c>
      <c r="N7" s="45"/>
      <c r="O7" s="45" t="n">
        <v>35.794</v>
      </c>
      <c r="P7" s="52" t="n">
        <v>0.02</v>
      </c>
      <c r="Q7" s="52" t="n">
        <v>0.02</v>
      </c>
      <c r="R7" s="52" t="n">
        <v>0.12</v>
      </c>
      <c r="S7" s="52" t="n">
        <v>0.12</v>
      </c>
      <c r="T7" s="52" t="n">
        <v>0.1</v>
      </c>
      <c r="U7" s="52" t="n">
        <v>0.1</v>
      </c>
      <c r="V7" s="52" t="n">
        <v>0.12</v>
      </c>
      <c r="W7" s="52" t="n">
        <v>0.12</v>
      </c>
      <c r="X7" s="52" t="n">
        <v>0.73</v>
      </c>
      <c r="Y7" s="52" t="n">
        <v>0.71</v>
      </c>
      <c r="Z7" s="53" t="n">
        <v>0.0247</v>
      </c>
      <c r="AA7" s="53" t="n">
        <v>0.0132</v>
      </c>
      <c r="AB7" s="53" t="n">
        <v>0.0012</v>
      </c>
      <c r="AC7" s="53" t="n">
        <v>0.0335</v>
      </c>
      <c r="AD7" s="53" t="n">
        <v>0.0076</v>
      </c>
      <c r="AE7" s="53" t="n">
        <v>-9999.9999</v>
      </c>
      <c r="AF7" s="53" t="n">
        <v>0.001</v>
      </c>
      <c r="AG7" s="53" t="n">
        <v>0.001</v>
      </c>
      <c r="AH7" s="53" t="n">
        <v>0.0347</v>
      </c>
      <c r="AI7" s="53" t="n">
        <v>0.0035</v>
      </c>
      <c r="AJ7" s="53" t="n">
        <v>-9999.9999</v>
      </c>
      <c r="AK7" s="53" t="n">
        <v>-9999.9999</v>
      </c>
      <c r="AL7" s="53" t="n">
        <v>0.0114</v>
      </c>
      <c r="AM7" s="53" t="n">
        <v>-9999.9999</v>
      </c>
      <c r="AN7" s="53" t="n">
        <v>-9999.9999</v>
      </c>
      <c r="AO7" s="53" t="n">
        <v>0.0179</v>
      </c>
      <c r="AP7" s="53" t="n">
        <f aca="false">AO7</f>
        <v>0.0179</v>
      </c>
      <c r="AQ7" s="53" t="n">
        <v>-9999.9999</v>
      </c>
      <c r="AR7" s="53" t="n">
        <v>0.0119</v>
      </c>
      <c r="AS7" s="53" t="n">
        <v>-9999.9999</v>
      </c>
      <c r="AT7" s="53" t="n">
        <v>0.0343</v>
      </c>
      <c r="AU7" s="53" t="n">
        <v>0.0721</v>
      </c>
      <c r="AV7" s="53" t="n">
        <f aca="false">AT7+AU7</f>
        <v>0.1064</v>
      </c>
      <c r="AW7" s="53" t="n">
        <v>-9999.9999</v>
      </c>
      <c r="AX7" s="53" t="s">
        <v>90</v>
      </c>
    </row>
    <row r="8" customFormat="false" ht="17.35" hidden="false" customHeight="false" outlineLevel="0" collapsed="false">
      <c r="A8" s="54" t="n">
        <v>2</v>
      </c>
      <c r="B8" s="55" t="s">
        <v>91</v>
      </c>
      <c r="C8" s="56" t="s">
        <v>92</v>
      </c>
      <c r="D8" s="57" t="n">
        <v>43878</v>
      </c>
      <c r="E8" s="58" t="s">
        <v>93</v>
      </c>
      <c r="F8" s="55" t="s">
        <v>91</v>
      </c>
      <c r="G8" s="56" t="s">
        <v>92</v>
      </c>
      <c r="H8" s="55" t="n">
        <v>35.821</v>
      </c>
      <c r="I8" s="55" t="n">
        <v>22.7</v>
      </c>
      <c r="J8" s="49"/>
      <c r="K8" s="59"/>
      <c r="L8" s="0"/>
      <c r="M8" s="60" t="s">
        <v>94</v>
      </c>
      <c r="N8" s="55"/>
      <c r="O8" s="55" t="n">
        <v>35.821</v>
      </c>
      <c r="P8" s="52" t="n">
        <v>0.01</v>
      </c>
      <c r="Q8" s="52" t="n">
        <v>0.01</v>
      </c>
      <c r="R8" s="52" t="n">
        <v>0.45</v>
      </c>
      <c r="S8" s="52" t="n">
        <v>0.44</v>
      </c>
      <c r="T8" s="52" t="n">
        <v>0.44</v>
      </c>
      <c r="U8" s="52" t="n">
        <v>0.43</v>
      </c>
      <c r="V8" s="52" t="n">
        <v>0.24</v>
      </c>
      <c r="W8" s="52" t="n">
        <v>0.23</v>
      </c>
      <c r="X8" s="52" t="n">
        <v>1.2</v>
      </c>
      <c r="Y8" s="52" t="n">
        <v>1.17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</row>
    <row r="9" customFormat="false" ht="17.35" hidden="false" customHeight="false" outlineLevel="0" collapsed="false">
      <c r="A9" s="54" t="n">
        <v>3</v>
      </c>
      <c r="B9" s="55" t="s">
        <v>95</v>
      </c>
      <c r="C9" s="56" t="s">
        <v>96</v>
      </c>
      <c r="D9" s="57" t="n">
        <v>43879</v>
      </c>
      <c r="E9" s="58" t="s">
        <v>97</v>
      </c>
      <c r="F9" s="55" t="s">
        <v>95</v>
      </c>
      <c r="G9" s="56" t="s">
        <v>96</v>
      </c>
      <c r="H9" s="55" t="n">
        <v>35.732</v>
      </c>
      <c r="I9" s="55" t="n">
        <v>23.813</v>
      </c>
      <c r="J9" s="49"/>
      <c r="K9" s="59"/>
      <c r="L9" s="0"/>
      <c r="M9" s="61" t="s">
        <v>98</v>
      </c>
      <c r="N9" s="55"/>
      <c r="O9" s="55" t="n">
        <v>35.732</v>
      </c>
      <c r="P9" s="52" t="n">
        <v>0.01</v>
      </c>
      <c r="Q9" s="52" t="n">
        <v>0.01</v>
      </c>
      <c r="R9" s="52" t="n">
        <v>0.99</v>
      </c>
      <c r="S9" s="52" t="n">
        <v>0.97</v>
      </c>
      <c r="T9" s="52" t="n">
        <v>0.98</v>
      </c>
      <c r="U9" s="52" t="n">
        <v>0.96</v>
      </c>
      <c r="V9" s="52" t="n">
        <v>0.47</v>
      </c>
      <c r="W9" s="52" t="n">
        <v>0.46</v>
      </c>
      <c r="X9" s="52" t="n">
        <v>2.69</v>
      </c>
      <c r="Y9" s="52" t="n">
        <v>2.63</v>
      </c>
      <c r="Z9" s="53" t="n">
        <v>0.0242</v>
      </c>
      <c r="AA9" s="53" t="n">
        <v>0.0233</v>
      </c>
      <c r="AB9" s="53" t="n">
        <v>0.003</v>
      </c>
      <c r="AC9" s="53" t="n">
        <v>0.0165</v>
      </c>
      <c r="AD9" s="53" t="n">
        <v>0.0615</v>
      </c>
      <c r="AE9" s="53" t="n">
        <v>0.0038</v>
      </c>
      <c r="AF9" s="53" t="n">
        <v>0.0056</v>
      </c>
      <c r="AG9" s="53" t="n">
        <v>0.0026</v>
      </c>
      <c r="AH9" s="53" t="n">
        <v>0.0402</v>
      </c>
      <c r="AI9" s="53" t="n">
        <v>0.0088</v>
      </c>
      <c r="AJ9" s="53" t="n">
        <v>0.0014</v>
      </c>
      <c r="AK9" s="53" t="n">
        <v>0.0059</v>
      </c>
      <c r="AL9" s="53" t="n">
        <v>0.0231</v>
      </c>
      <c r="AM9" s="53" t="n">
        <v>0.0021</v>
      </c>
      <c r="AN9" s="53" t="n">
        <v>-9999.9999</v>
      </c>
      <c r="AO9" s="53" t="n">
        <v>0.0308</v>
      </c>
      <c r="AP9" s="53" t="n">
        <f aca="false">AO9</f>
        <v>0.0308</v>
      </c>
      <c r="AQ9" s="53" t="n">
        <v>-9999.9999</v>
      </c>
      <c r="AR9" s="53" t="n">
        <v>0.0112</v>
      </c>
      <c r="AS9" s="53" t="n">
        <v>-9999.9999</v>
      </c>
      <c r="AT9" s="53" t="n">
        <v>0.0125</v>
      </c>
      <c r="AU9" s="53" t="n">
        <v>0.2046</v>
      </c>
      <c r="AV9" s="53" t="n">
        <f aca="false">AT9+AU9</f>
        <v>0.2171</v>
      </c>
      <c r="AW9" s="53" t="n">
        <v>0.0036</v>
      </c>
      <c r="AX9" s="53" t="s">
        <v>90</v>
      </c>
    </row>
    <row r="10" customFormat="false" ht="17.35" hidden="false" customHeight="false" outlineLevel="0" collapsed="false">
      <c r="A10" s="54" t="n">
        <v>4</v>
      </c>
      <c r="B10" s="55" t="s">
        <v>99</v>
      </c>
      <c r="C10" s="56" t="s">
        <v>100</v>
      </c>
      <c r="D10" s="57" t="n">
        <v>43879</v>
      </c>
      <c r="E10" s="58" t="s">
        <v>101</v>
      </c>
      <c r="F10" s="55" t="s">
        <v>99</v>
      </c>
      <c r="G10" s="56" t="s">
        <v>100</v>
      </c>
      <c r="H10" s="55" t="n">
        <v>35.737</v>
      </c>
      <c r="I10" s="55" t="n">
        <v>24.132</v>
      </c>
      <c r="J10" s="49"/>
      <c r="K10" s="59"/>
      <c r="L10" s="0"/>
      <c r="M10" s="60" t="s">
        <v>94</v>
      </c>
      <c r="N10" s="55"/>
      <c r="O10" s="55" t="n">
        <v>35.737</v>
      </c>
      <c r="P10" s="52" t="n">
        <v>0</v>
      </c>
      <c r="Q10" s="52" t="n">
        <v>0</v>
      </c>
      <c r="R10" s="52" t="n">
        <v>0.35</v>
      </c>
      <c r="S10" s="52" t="n">
        <v>0.34</v>
      </c>
      <c r="T10" s="52" t="n">
        <v>0.35</v>
      </c>
      <c r="U10" s="52" t="n">
        <v>0.34</v>
      </c>
      <c r="V10" s="52" t="n">
        <v>0.3</v>
      </c>
      <c r="W10" s="52" t="n">
        <v>0.29</v>
      </c>
      <c r="X10" s="52" t="n">
        <v>1.38</v>
      </c>
      <c r="Y10" s="52" t="n">
        <v>1.35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</row>
    <row r="11" customFormat="false" ht="17.35" hidden="false" customHeight="false" outlineLevel="0" collapsed="false">
      <c r="A11" s="54" t="n">
        <v>5</v>
      </c>
      <c r="B11" s="55" t="s">
        <v>102</v>
      </c>
      <c r="C11" s="56" t="s">
        <v>103</v>
      </c>
      <c r="D11" s="57" t="n">
        <v>43879</v>
      </c>
      <c r="E11" s="58" t="s">
        <v>104</v>
      </c>
      <c r="F11" s="55" t="s">
        <v>102</v>
      </c>
      <c r="G11" s="56" t="s">
        <v>103</v>
      </c>
      <c r="H11" s="55" t="n">
        <v>35.709</v>
      </c>
      <c r="I11" s="55" t="n">
        <v>24.593</v>
      </c>
      <c r="J11" s="49"/>
      <c r="K11" s="59"/>
      <c r="L11" s="0"/>
      <c r="M11" s="61" t="s">
        <v>105</v>
      </c>
      <c r="N11" s="55"/>
      <c r="O11" s="55" t="n">
        <v>35.709</v>
      </c>
      <c r="P11" s="52" t="n">
        <v>0</v>
      </c>
      <c r="Q11" s="52" t="n">
        <v>0</v>
      </c>
      <c r="R11" s="52" t="n">
        <v>0.09</v>
      </c>
      <c r="S11" s="52" t="n">
        <v>0.09</v>
      </c>
      <c r="T11" s="52" t="n">
        <v>0.09</v>
      </c>
      <c r="U11" s="52" t="n">
        <v>0.09</v>
      </c>
      <c r="V11" s="52" t="n">
        <v>0.11</v>
      </c>
      <c r="W11" s="52" t="n">
        <v>0.11</v>
      </c>
      <c r="X11" s="52" t="n">
        <v>0.96</v>
      </c>
      <c r="Y11" s="52" t="n">
        <v>0.94</v>
      </c>
      <c r="Z11" s="53" t="n">
        <v>0.0284</v>
      </c>
      <c r="AA11" s="53" t="n">
        <v>0.0314</v>
      </c>
      <c r="AB11" s="53" t="n">
        <v>0.0102</v>
      </c>
      <c r="AC11" s="53" t="n">
        <v>0.0111</v>
      </c>
      <c r="AD11" s="53" t="n">
        <v>0.0755</v>
      </c>
      <c r="AE11" s="53" t="n">
        <v>0.0032</v>
      </c>
      <c r="AF11" s="53" t="n">
        <v>0.0031</v>
      </c>
      <c r="AG11" s="53" t="n">
        <v>0.0037</v>
      </c>
      <c r="AH11" s="53" t="n">
        <v>0.0424</v>
      </c>
      <c r="AI11" s="53" t="n">
        <v>0.0224</v>
      </c>
      <c r="AJ11" s="53" t="n">
        <v>0.0023</v>
      </c>
      <c r="AK11" s="53" t="n">
        <v>0.0083</v>
      </c>
      <c r="AL11" s="53" t="n">
        <v>0.0322</v>
      </c>
      <c r="AM11" s="53" t="n">
        <v>0.0029</v>
      </c>
      <c r="AN11" s="53" t="n">
        <v>-9999.9999</v>
      </c>
      <c r="AO11" s="53" t="n">
        <v>0.024</v>
      </c>
      <c r="AP11" s="53" t="n">
        <f aca="false">AO11</f>
        <v>0.024</v>
      </c>
      <c r="AQ11" s="53" t="n">
        <v>-9999.9999</v>
      </c>
      <c r="AR11" s="53" t="n">
        <v>0.0133</v>
      </c>
      <c r="AS11" s="53" t="n">
        <v>-9999.9999</v>
      </c>
      <c r="AT11" s="53" t="n">
        <v>0.0186</v>
      </c>
      <c r="AU11" s="53" t="n">
        <v>0.2632</v>
      </c>
      <c r="AV11" s="53" t="n">
        <f aca="false">AT11+AU11</f>
        <v>0.2818</v>
      </c>
      <c r="AW11" s="53" t="n">
        <v>0.0029</v>
      </c>
      <c r="AX11" s="53" t="s">
        <v>90</v>
      </c>
    </row>
    <row r="12" customFormat="false" ht="17.35" hidden="false" customHeight="false" outlineLevel="0" collapsed="false">
      <c r="A12" s="54" t="n">
        <v>6</v>
      </c>
      <c r="B12" s="55" t="s">
        <v>106</v>
      </c>
      <c r="C12" s="56" t="s">
        <v>107</v>
      </c>
      <c r="D12" s="57" t="n">
        <v>43880</v>
      </c>
      <c r="E12" s="58" t="s">
        <v>108</v>
      </c>
      <c r="F12" s="55" t="s">
        <v>106</v>
      </c>
      <c r="G12" s="56" t="s">
        <v>107</v>
      </c>
      <c r="H12" s="55" t="n">
        <v>35.702</v>
      </c>
      <c r="I12" s="55" t="n">
        <v>24.876</v>
      </c>
      <c r="J12" s="62"/>
      <c r="K12" s="59"/>
      <c r="L12" s="0"/>
      <c r="M12" s="60" t="s">
        <v>94</v>
      </c>
      <c r="N12" s="55"/>
      <c r="O12" s="55" t="n">
        <v>35.702</v>
      </c>
      <c r="P12" s="52" t="n">
        <v>0</v>
      </c>
      <c r="Q12" s="52" t="n">
        <v>0</v>
      </c>
      <c r="R12" s="52" t="n">
        <v>0.1</v>
      </c>
      <c r="S12" s="52" t="n">
        <v>0.1</v>
      </c>
      <c r="T12" s="52" t="n">
        <v>0.1</v>
      </c>
      <c r="U12" s="52" t="n">
        <v>0.1</v>
      </c>
      <c r="V12" s="52" t="n">
        <v>0.14</v>
      </c>
      <c r="W12" s="52" t="n">
        <v>0.14</v>
      </c>
      <c r="X12" s="52" t="n">
        <v>0.94</v>
      </c>
      <c r="Y12" s="52" t="n">
        <v>0.92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</row>
    <row r="13" customFormat="false" ht="17.35" hidden="false" customHeight="false" outlineLevel="0" collapsed="false">
      <c r="A13" s="54" t="n">
        <v>7</v>
      </c>
      <c r="B13" s="55" t="s">
        <v>109</v>
      </c>
      <c r="C13" s="56" t="s">
        <v>110</v>
      </c>
      <c r="D13" s="57" t="n">
        <v>43881</v>
      </c>
      <c r="E13" s="58" t="s">
        <v>111</v>
      </c>
      <c r="F13" s="55" t="s">
        <v>109</v>
      </c>
      <c r="G13" s="56" t="s">
        <v>110</v>
      </c>
      <c r="H13" s="55" t="n">
        <v>35.423</v>
      </c>
      <c r="I13" s="55" t="n">
        <v>29.124</v>
      </c>
      <c r="J13" s="49"/>
      <c r="K13" s="59"/>
      <c r="L13" s="0"/>
      <c r="M13" s="60" t="s">
        <v>94</v>
      </c>
      <c r="N13" s="55"/>
      <c r="O13" s="55" t="n">
        <v>35.423</v>
      </c>
      <c r="P13" s="52" t="n">
        <v>0.01</v>
      </c>
      <c r="Q13" s="52" t="n">
        <v>0.01</v>
      </c>
      <c r="R13" s="52" t="n">
        <v>1.64</v>
      </c>
      <c r="S13" s="52" t="n">
        <v>1.6</v>
      </c>
      <c r="T13" s="52" t="n">
        <v>1.63</v>
      </c>
      <c r="U13" s="52" t="n">
        <v>1.59</v>
      </c>
      <c r="V13" s="52" t="n">
        <v>0.27</v>
      </c>
      <c r="W13" s="52" t="n">
        <v>0.26</v>
      </c>
      <c r="X13" s="52" t="n">
        <v>2.88</v>
      </c>
      <c r="Y13" s="52" t="n">
        <v>2.81</v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</row>
    <row r="14" customFormat="false" ht="17.35" hidden="false" customHeight="false" outlineLevel="0" collapsed="false">
      <c r="A14" s="54" t="n">
        <v>8</v>
      </c>
      <c r="B14" s="55" t="s">
        <v>112</v>
      </c>
      <c r="C14" s="56" t="s">
        <v>113</v>
      </c>
      <c r="D14" s="57" t="n">
        <v>43881</v>
      </c>
      <c r="E14" s="58" t="s">
        <v>114</v>
      </c>
      <c r="F14" s="55" t="s">
        <v>112</v>
      </c>
      <c r="G14" s="56" t="s">
        <v>113</v>
      </c>
      <c r="H14" s="55" t="n">
        <v>34.795</v>
      </c>
      <c r="I14" s="55" t="n">
        <v>30.313</v>
      </c>
      <c r="J14" s="49"/>
      <c r="K14" s="59"/>
      <c r="L14" s="0"/>
      <c r="M14" s="61" t="s">
        <v>115</v>
      </c>
      <c r="N14" s="55"/>
      <c r="O14" s="55" t="n">
        <v>34.795</v>
      </c>
      <c r="P14" s="52" t="n">
        <v>0</v>
      </c>
      <c r="Q14" s="52" t="n">
        <v>0</v>
      </c>
      <c r="R14" s="52" t="n">
        <v>4.06</v>
      </c>
      <c r="S14" s="52" t="n">
        <v>3.97</v>
      </c>
      <c r="T14" s="52" t="n">
        <v>4.06</v>
      </c>
      <c r="U14" s="52" t="n">
        <v>3.97</v>
      </c>
      <c r="V14" s="52" t="n">
        <v>0.47</v>
      </c>
      <c r="W14" s="52" t="n">
        <v>0.46</v>
      </c>
      <c r="X14" s="52" t="n">
        <v>4.66</v>
      </c>
      <c r="Y14" s="52" t="n">
        <v>4.55</v>
      </c>
      <c r="Z14" s="53" t="n">
        <v>0.0016</v>
      </c>
      <c r="AA14" s="53" t="n">
        <v>0.0025</v>
      </c>
      <c r="AB14" s="53" t="n">
        <v>0.0012</v>
      </c>
      <c r="AC14" s="53" t="n">
        <v>0.0018</v>
      </c>
      <c r="AD14" s="53" t="n">
        <v>0.0043</v>
      </c>
      <c r="AE14" s="53" t="n">
        <v>-9999.9999</v>
      </c>
      <c r="AF14" s="53" t="n">
        <v>-9999.9999</v>
      </c>
      <c r="AG14" s="53" t="n">
        <v>0.0011</v>
      </c>
      <c r="AH14" s="53" t="n">
        <v>0.0088</v>
      </c>
      <c r="AI14" s="53" t="n">
        <v>0.0029</v>
      </c>
      <c r="AJ14" s="53" t="n">
        <v>-9999.9999</v>
      </c>
      <c r="AK14" s="53" t="n">
        <v>0.001</v>
      </c>
      <c r="AL14" s="53" t="n">
        <v>0.0134</v>
      </c>
      <c r="AM14" s="53" t="n">
        <v>-9999.9999</v>
      </c>
      <c r="AN14" s="53" t="n">
        <v>-9999.9999</v>
      </c>
      <c r="AO14" s="53" t="n">
        <v>-9999.9999</v>
      </c>
      <c r="AP14" s="53" t="n">
        <f aca="false">AO14</f>
        <v>-9999.9999</v>
      </c>
      <c r="AQ14" s="53" t="n">
        <v>-9999.9999</v>
      </c>
      <c r="AR14" s="53" t="n">
        <v>0.0032</v>
      </c>
      <c r="AS14" s="53" t="n">
        <v>-9999.9999</v>
      </c>
      <c r="AT14" s="53" t="n">
        <v>0.0046</v>
      </c>
      <c r="AU14" s="53" t="n">
        <v>0.0282</v>
      </c>
      <c r="AV14" s="53" t="n">
        <f aca="false">AT14+AU14</f>
        <v>0.0328</v>
      </c>
      <c r="AW14" s="53" t="n">
        <v>0.0018</v>
      </c>
      <c r="AX14" s="53" t="s">
        <v>90</v>
      </c>
    </row>
    <row r="15" customFormat="false" ht="17.35" hidden="false" customHeight="false" outlineLevel="0" collapsed="false">
      <c r="A15" s="54" t="n">
        <v>9</v>
      </c>
      <c r="B15" s="55" t="s">
        <v>116</v>
      </c>
      <c r="C15" s="56" t="s">
        <v>117</v>
      </c>
      <c r="D15" s="57" t="n">
        <v>43882</v>
      </c>
      <c r="E15" s="58" t="s">
        <v>118</v>
      </c>
      <c r="F15" s="55" t="s">
        <v>116</v>
      </c>
      <c r="G15" s="56" t="s">
        <v>117</v>
      </c>
      <c r="H15" s="55" t="n">
        <v>34.6</v>
      </c>
      <c r="I15" s="55" t="n">
        <v>30.15</v>
      </c>
      <c r="J15" s="62"/>
      <c r="K15" s="59"/>
      <c r="L15" s="0"/>
      <c r="M15" s="60" t="s">
        <v>94</v>
      </c>
      <c r="N15" s="55"/>
      <c r="O15" s="55" t="n">
        <v>34.6</v>
      </c>
      <c r="P15" s="52" t="n">
        <v>0.01</v>
      </c>
      <c r="Q15" s="52" t="n">
        <v>0.01</v>
      </c>
      <c r="R15" s="52" t="n">
        <v>0.38</v>
      </c>
      <c r="S15" s="52" t="n">
        <v>0.37</v>
      </c>
      <c r="T15" s="52" t="n">
        <v>0.37</v>
      </c>
      <c r="U15" s="52" t="n">
        <v>0.36</v>
      </c>
      <c r="V15" s="52" t="n">
        <v>0.12</v>
      </c>
      <c r="W15" s="52" t="n">
        <v>0.12</v>
      </c>
      <c r="X15" s="52" t="n">
        <v>1.71</v>
      </c>
      <c r="Y15" s="52" t="n">
        <v>1.67</v>
      </c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</row>
    <row r="16" customFormat="false" ht="17.35" hidden="false" customHeight="false" outlineLevel="0" collapsed="false">
      <c r="A16" s="54" t="n">
        <v>10</v>
      </c>
      <c r="B16" s="55" t="s">
        <v>119</v>
      </c>
      <c r="C16" s="56" t="s">
        <v>120</v>
      </c>
      <c r="D16" s="57" t="n">
        <v>43882</v>
      </c>
      <c r="E16" s="58" t="s">
        <v>121</v>
      </c>
      <c r="F16" s="55" t="s">
        <v>119</v>
      </c>
      <c r="G16" s="56" t="s">
        <v>120</v>
      </c>
      <c r="H16" s="55" t="n">
        <v>34.469</v>
      </c>
      <c r="I16" s="55" t="n">
        <v>30.117</v>
      </c>
      <c r="J16" s="63"/>
      <c r="K16" s="59"/>
      <c r="L16" s="0"/>
      <c r="M16" s="61" t="s">
        <v>122</v>
      </c>
      <c r="N16" s="55"/>
      <c r="O16" s="55" t="n">
        <v>34.469</v>
      </c>
      <c r="P16" s="52" t="n">
        <v>0.01</v>
      </c>
      <c r="Q16" s="52" t="n">
        <v>0.01</v>
      </c>
      <c r="R16" s="52" t="n">
        <v>0.15</v>
      </c>
      <c r="S16" s="52" t="n">
        <v>0.15</v>
      </c>
      <c r="T16" s="52" t="n">
        <v>0.14</v>
      </c>
      <c r="U16" s="52" t="n">
        <v>0.14</v>
      </c>
      <c r="V16" s="52" t="n">
        <v>0.09</v>
      </c>
      <c r="W16" s="52" t="n">
        <v>0.09</v>
      </c>
      <c r="X16" s="52" t="n">
        <v>1.56</v>
      </c>
      <c r="Y16" s="52" t="n">
        <v>1.52</v>
      </c>
      <c r="Z16" s="53" t="n">
        <v>0.0012</v>
      </c>
      <c r="AA16" s="53" t="n">
        <v>0.003</v>
      </c>
      <c r="AB16" s="53" t="n">
        <v>0.0018</v>
      </c>
      <c r="AC16" s="53" t="n">
        <v>0.0019</v>
      </c>
      <c r="AD16" s="53" t="n">
        <v>0.0094</v>
      </c>
      <c r="AE16" s="53" t="n">
        <v>-9999.9999</v>
      </c>
      <c r="AF16" s="53" t="n">
        <v>-9999.9999</v>
      </c>
      <c r="AG16" s="53" t="n">
        <v>0.0014</v>
      </c>
      <c r="AH16" s="53" t="n">
        <v>0.0064</v>
      </c>
      <c r="AI16" s="53" t="n">
        <v>0.0027</v>
      </c>
      <c r="AJ16" s="53" t="n">
        <v>-9999.9999</v>
      </c>
      <c r="AK16" s="53" t="n">
        <v>0.0012</v>
      </c>
      <c r="AL16" s="53" t="n">
        <v>0.0144</v>
      </c>
      <c r="AM16" s="53" t="n">
        <v>-9999.9999</v>
      </c>
      <c r="AN16" s="53" t="n">
        <v>-9999.9999</v>
      </c>
      <c r="AO16" s="53" t="n">
        <v>-9999.9999</v>
      </c>
      <c r="AP16" s="53" t="n">
        <f aca="false">AO16</f>
        <v>-9999.9999</v>
      </c>
      <c r="AQ16" s="53" t="n">
        <v>-9999.9999</v>
      </c>
      <c r="AR16" s="53" t="n">
        <v>0.0035</v>
      </c>
      <c r="AS16" s="53" t="n">
        <v>-9999.9999</v>
      </c>
      <c r="AT16" s="53" t="n">
        <v>0.0076</v>
      </c>
      <c r="AU16" s="53" t="n">
        <v>0.0279</v>
      </c>
      <c r="AV16" s="53" t="n">
        <f aca="false">AT16+AU16</f>
        <v>0.0355</v>
      </c>
      <c r="AW16" s="53" t="n">
        <v>0.002</v>
      </c>
      <c r="AX16" s="53" t="s">
        <v>90</v>
      </c>
    </row>
    <row r="17" customFormat="false" ht="17.35" hidden="false" customHeight="false" outlineLevel="0" collapsed="false">
      <c r="A17" s="54" t="n">
        <v>11</v>
      </c>
      <c r="B17" s="55" t="s">
        <v>123</v>
      </c>
      <c r="C17" s="56" t="s">
        <v>124</v>
      </c>
      <c r="D17" s="57" t="n">
        <v>43883</v>
      </c>
      <c r="E17" s="58" t="s">
        <v>125</v>
      </c>
      <c r="F17" s="55" t="s">
        <v>123</v>
      </c>
      <c r="G17" s="56" t="s">
        <v>124</v>
      </c>
      <c r="H17" s="55" t="n">
        <v>34.454</v>
      </c>
      <c r="I17" s="55" t="n">
        <v>30.02</v>
      </c>
      <c r="J17" s="62"/>
      <c r="K17" s="59"/>
      <c r="L17" s="0"/>
      <c r="M17" s="60" t="s">
        <v>94</v>
      </c>
      <c r="N17" s="55"/>
      <c r="O17" s="55" t="n">
        <v>34.454</v>
      </c>
      <c r="P17" s="52" t="n">
        <v>0</v>
      </c>
      <c r="Q17" s="52" t="n">
        <v>0</v>
      </c>
      <c r="R17" s="52" t="n">
        <v>1.58</v>
      </c>
      <c r="S17" s="52" t="n">
        <v>1.54</v>
      </c>
      <c r="T17" s="52" t="n">
        <v>1.58</v>
      </c>
      <c r="U17" s="52" t="n">
        <v>1.54</v>
      </c>
      <c r="V17" s="52" t="n">
        <v>0.47</v>
      </c>
      <c r="W17" s="52" t="n">
        <v>0.46</v>
      </c>
      <c r="X17" s="52" t="n">
        <v>2.94</v>
      </c>
      <c r="Y17" s="52" t="n">
        <v>2.87</v>
      </c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</row>
    <row r="18" customFormat="false" ht="17.35" hidden="false" customHeight="false" outlineLevel="0" collapsed="false">
      <c r="A18" s="54" t="n">
        <v>12</v>
      </c>
      <c r="B18" s="55" t="s">
        <v>126</v>
      </c>
      <c r="C18" s="56" t="s">
        <v>127</v>
      </c>
      <c r="D18" s="57" t="n">
        <v>43883</v>
      </c>
      <c r="E18" s="58" t="s">
        <v>128</v>
      </c>
      <c r="F18" s="55" t="s">
        <v>126</v>
      </c>
      <c r="G18" s="56" t="s">
        <v>127</v>
      </c>
      <c r="H18" s="55" t="n">
        <v>34.5</v>
      </c>
      <c r="I18" s="55" t="n">
        <v>29.83</v>
      </c>
      <c r="J18" s="63"/>
      <c r="K18" s="59"/>
      <c r="L18" s="0"/>
      <c r="M18" s="61" t="s">
        <v>129</v>
      </c>
      <c r="N18" s="55"/>
      <c r="O18" s="55" t="n">
        <v>34.5</v>
      </c>
      <c r="P18" s="52" t="n">
        <v>0.01</v>
      </c>
      <c r="Q18" s="52" t="n">
        <v>0.01</v>
      </c>
      <c r="R18" s="52" t="n">
        <v>2.05</v>
      </c>
      <c r="S18" s="52" t="n">
        <v>2</v>
      </c>
      <c r="T18" s="52" t="n">
        <v>2.04</v>
      </c>
      <c r="U18" s="52" t="n">
        <v>1.99</v>
      </c>
      <c r="V18" s="52" t="n">
        <v>0.48</v>
      </c>
      <c r="W18" s="52" t="n">
        <v>0.47</v>
      </c>
      <c r="X18" s="52" t="n">
        <v>3.06</v>
      </c>
      <c r="Y18" s="52" t="n">
        <v>2.99</v>
      </c>
      <c r="Z18" s="53" t="n">
        <v>0.0013</v>
      </c>
      <c r="AA18" s="53" t="n">
        <v>0.0024</v>
      </c>
      <c r="AB18" s="53" t="n">
        <v>0.0024</v>
      </c>
      <c r="AC18" s="53" t="n">
        <v>0.0014</v>
      </c>
      <c r="AD18" s="53" t="n">
        <v>0.0058</v>
      </c>
      <c r="AE18" s="53" t="n">
        <v>-9999.9999</v>
      </c>
      <c r="AF18" s="53" t="n">
        <v>-9999.9999</v>
      </c>
      <c r="AG18" s="53" t="n">
        <v>-9999.9999</v>
      </c>
      <c r="AH18" s="53" t="n">
        <v>0.0066</v>
      </c>
      <c r="AI18" s="53" t="n">
        <v>0.0022</v>
      </c>
      <c r="AJ18" s="53" t="n">
        <v>-9999.9999</v>
      </c>
      <c r="AK18" s="53" t="n">
        <v>-9999.9999</v>
      </c>
      <c r="AL18" s="53" t="n">
        <v>0.0094</v>
      </c>
      <c r="AM18" s="53" t="n">
        <v>-9999.9999</v>
      </c>
      <c r="AN18" s="53" t="n">
        <v>-9999.9999</v>
      </c>
      <c r="AO18" s="53" t="n">
        <v>-9999.9999</v>
      </c>
      <c r="AP18" s="53" t="n">
        <f aca="false">AO18</f>
        <v>-9999.9999</v>
      </c>
      <c r="AQ18" s="53" t="n">
        <v>-9999.9999</v>
      </c>
      <c r="AR18" s="53" t="n">
        <v>0.0026</v>
      </c>
      <c r="AS18" s="53" t="n">
        <v>-9999.9999</v>
      </c>
      <c r="AT18" s="53" t="n">
        <v>0.0046</v>
      </c>
      <c r="AU18" s="53" t="n">
        <v>0.0194</v>
      </c>
      <c r="AV18" s="53" t="n">
        <f aca="false">AT18+AU18</f>
        <v>0.024</v>
      </c>
      <c r="AW18" s="53" t="n">
        <v>0.0021</v>
      </c>
      <c r="AX18" s="53" t="s">
        <v>90</v>
      </c>
    </row>
    <row r="19" customFormat="false" ht="17.35" hidden="false" customHeight="false" outlineLevel="0" collapsed="false">
      <c r="A19" s="54" t="n">
        <v>13</v>
      </c>
      <c r="B19" s="55" t="s">
        <v>130</v>
      </c>
      <c r="C19" s="56" t="s">
        <v>131</v>
      </c>
      <c r="D19" s="57" t="n">
        <v>43883</v>
      </c>
      <c r="E19" s="58" t="s">
        <v>132</v>
      </c>
      <c r="F19" s="55" t="s">
        <v>130</v>
      </c>
      <c r="G19" s="56" t="s">
        <v>131</v>
      </c>
      <c r="H19" s="55" t="n">
        <v>35.08</v>
      </c>
      <c r="I19" s="55" t="n">
        <v>29.055</v>
      </c>
      <c r="J19" s="62"/>
      <c r="K19" s="59"/>
      <c r="L19" s="0"/>
      <c r="M19" s="60" t="s">
        <v>94</v>
      </c>
      <c r="N19" s="55"/>
      <c r="O19" s="55" t="n">
        <v>35.08</v>
      </c>
      <c r="P19" s="52" t="n">
        <v>0</v>
      </c>
      <c r="Q19" s="52" t="n">
        <v>0</v>
      </c>
      <c r="R19" s="52" t="n">
        <v>0.98</v>
      </c>
      <c r="S19" s="52" t="n">
        <v>0.96</v>
      </c>
      <c r="T19" s="52" t="n">
        <v>0.98</v>
      </c>
      <c r="U19" s="52" t="n">
        <v>0.96</v>
      </c>
      <c r="V19" s="52" t="n">
        <v>0.38</v>
      </c>
      <c r="W19" s="52" t="n">
        <v>0.37</v>
      </c>
      <c r="X19" s="52" t="n">
        <v>1.93</v>
      </c>
      <c r="Y19" s="52" t="n">
        <v>1.89</v>
      </c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</row>
    <row r="20" customFormat="false" ht="17.35" hidden="false" customHeight="false" outlineLevel="0" collapsed="false">
      <c r="A20" s="54" t="n">
        <v>14</v>
      </c>
      <c r="B20" s="55" t="s">
        <v>133</v>
      </c>
      <c r="C20" s="56" t="s">
        <v>134</v>
      </c>
      <c r="D20" s="57" t="n">
        <v>43885</v>
      </c>
      <c r="E20" s="58" t="s">
        <v>135</v>
      </c>
      <c r="F20" s="55" t="s">
        <v>133</v>
      </c>
      <c r="G20" s="56" t="s">
        <v>134</v>
      </c>
      <c r="H20" s="55" t="n">
        <v>34.788</v>
      </c>
      <c r="I20" s="55" t="n">
        <v>28.464</v>
      </c>
      <c r="J20" s="63"/>
      <c r="K20" s="59"/>
      <c r="L20" s="0"/>
      <c r="M20" s="60" t="s">
        <v>94</v>
      </c>
      <c r="N20" s="55"/>
      <c r="O20" s="55" t="n">
        <v>34.788</v>
      </c>
      <c r="P20" s="52" t="n">
        <v>0</v>
      </c>
      <c r="Q20" s="52" t="n">
        <v>0</v>
      </c>
      <c r="R20" s="52" t="n">
        <v>0.16</v>
      </c>
      <c r="S20" s="52" t="n">
        <v>0.16</v>
      </c>
      <c r="T20" s="52" t="n">
        <v>0.16</v>
      </c>
      <c r="U20" s="52" t="n">
        <v>0.16</v>
      </c>
      <c r="V20" s="52" t="n">
        <v>0.1</v>
      </c>
      <c r="W20" s="52" t="n">
        <v>0.1</v>
      </c>
      <c r="X20" s="52" t="n">
        <v>1.19</v>
      </c>
      <c r="Y20" s="52" t="n">
        <v>1.16</v>
      </c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</row>
    <row r="21" customFormat="false" ht="15" hidden="false" customHeight="false" outlineLevel="0" collapsed="false">
      <c r="A21" s="54" t="n">
        <v>15</v>
      </c>
      <c r="B21" s="55" t="s">
        <v>136</v>
      </c>
      <c r="C21" s="56" t="s">
        <v>137</v>
      </c>
      <c r="D21" s="57" t="n">
        <v>43885</v>
      </c>
      <c r="E21" s="58" t="s">
        <v>138</v>
      </c>
      <c r="F21" s="55" t="s">
        <v>136</v>
      </c>
      <c r="G21" s="56" t="s">
        <v>137</v>
      </c>
      <c r="H21" s="55" t="n">
        <v>34.775</v>
      </c>
      <c r="I21" s="55" t="n">
        <v>28.414</v>
      </c>
      <c r="J21" s="62"/>
      <c r="K21" s="59"/>
      <c r="L21" s="0"/>
      <c r="M21" s="61" t="s">
        <v>139</v>
      </c>
      <c r="N21" s="55"/>
      <c r="O21" s="55" t="n">
        <v>34.775</v>
      </c>
      <c r="P21" s="52" t="n">
        <v>0</v>
      </c>
      <c r="Q21" s="52" t="n">
        <v>0</v>
      </c>
      <c r="R21" s="52" t="n">
        <v>0.09</v>
      </c>
      <c r="S21" s="52" t="n">
        <v>0.09</v>
      </c>
      <c r="T21" s="52" t="n">
        <v>0.09</v>
      </c>
      <c r="U21" s="52" t="n">
        <v>0.09</v>
      </c>
      <c r="V21" s="52" t="n">
        <v>0.08</v>
      </c>
      <c r="W21" s="52" t="n">
        <v>0.08</v>
      </c>
      <c r="X21" s="52" t="n">
        <v>1.13</v>
      </c>
      <c r="Y21" s="52" t="n">
        <v>1.1</v>
      </c>
      <c r="Z21" s="53" t="n">
        <v>0.0022</v>
      </c>
      <c r="AA21" s="53" t="n">
        <v>0.0052</v>
      </c>
      <c r="AB21" s="53" t="n">
        <v>0.0049</v>
      </c>
      <c r="AC21" s="53" t="n">
        <v>0.0033</v>
      </c>
      <c r="AD21" s="53" t="n">
        <v>0.0039</v>
      </c>
      <c r="AE21" s="53" t="n">
        <v>-9999.9999</v>
      </c>
      <c r="AF21" s="53" t="n">
        <v>-9999.9999</v>
      </c>
      <c r="AG21" s="53" t="n">
        <v>-9999.9999</v>
      </c>
      <c r="AH21" s="53" t="n">
        <v>0.0099</v>
      </c>
      <c r="AI21" s="53" t="n">
        <v>0.0052</v>
      </c>
      <c r="AJ21" s="53" t="n">
        <v>-9999.9999</v>
      </c>
      <c r="AK21" s="53" t="n">
        <v>0.0022</v>
      </c>
      <c r="AL21" s="53" t="n">
        <v>0.0997</v>
      </c>
      <c r="AM21" s="53" t="n">
        <v>-9999.9999</v>
      </c>
      <c r="AN21" s="53" t="n">
        <v>0.004</v>
      </c>
      <c r="AO21" s="53" t="n">
        <v>0.0027</v>
      </c>
      <c r="AP21" s="53" t="n">
        <f aca="false">AN21+AO21</f>
        <v>0.0067</v>
      </c>
      <c r="AQ21" s="53" t="n">
        <v>0.0128</v>
      </c>
      <c r="AR21" s="53" t="n">
        <v>-9999.9999</v>
      </c>
      <c r="AS21" s="53" t="n">
        <v>-9999.9999</v>
      </c>
      <c r="AT21" s="53" t="n">
        <v>0.0623</v>
      </c>
      <c r="AU21" s="53" t="n">
        <v>0.0537</v>
      </c>
      <c r="AV21" s="53" t="n">
        <f aca="false">AT21+AU21</f>
        <v>0.116</v>
      </c>
      <c r="AW21" s="53" t="n">
        <v>0.0019</v>
      </c>
      <c r="AX21" s="53" t="s">
        <v>90</v>
      </c>
    </row>
    <row r="22" customFormat="false" ht="17.35" hidden="false" customHeight="false" outlineLevel="0" collapsed="false">
      <c r="A22" s="54" t="n">
        <v>16</v>
      </c>
      <c r="B22" s="55" t="s">
        <v>140</v>
      </c>
      <c r="C22" s="56" t="s">
        <v>141</v>
      </c>
      <c r="D22" s="57" t="n">
        <v>43885</v>
      </c>
      <c r="E22" s="58" t="s">
        <v>142</v>
      </c>
      <c r="F22" s="55" t="s">
        <v>140</v>
      </c>
      <c r="G22" s="56" t="s">
        <v>141</v>
      </c>
      <c r="H22" s="55" t="n">
        <v>34.768</v>
      </c>
      <c r="I22" s="55" t="n">
        <v>28.601</v>
      </c>
      <c r="J22" s="64"/>
      <c r="K22" s="59"/>
      <c r="L22" s="0"/>
      <c r="M22" s="60" t="s">
        <v>94</v>
      </c>
      <c r="N22" s="55"/>
      <c r="O22" s="55" t="n">
        <v>34.768</v>
      </c>
      <c r="P22" s="52" t="n">
        <v>0</v>
      </c>
      <c r="Q22" s="52" t="n">
        <v>0</v>
      </c>
      <c r="R22" s="52" t="n">
        <v>0.88</v>
      </c>
      <c r="S22" s="52" t="n">
        <v>0.86</v>
      </c>
      <c r="T22" s="52" t="n">
        <v>0.88</v>
      </c>
      <c r="U22" s="52" t="n">
        <v>0.86</v>
      </c>
      <c r="V22" s="52" t="n">
        <v>0.32</v>
      </c>
      <c r="W22" s="52" t="n">
        <v>0.31</v>
      </c>
      <c r="X22" s="52" t="n">
        <v>2.25</v>
      </c>
      <c r="Y22" s="52" t="n">
        <v>2.2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</row>
    <row r="23" customFormat="false" ht="17.35" hidden="false" customHeight="false" outlineLevel="0" collapsed="false">
      <c r="A23" s="54" t="n">
        <v>17</v>
      </c>
      <c r="B23" s="55" t="s">
        <v>143</v>
      </c>
      <c r="C23" s="56" t="s">
        <v>144</v>
      </c>
      <c r="D23" s="57" t="n">
        <v>43885</v>
      </c>
      <c r="E23" s="58" t="s">
        <v>145</v>
      </c>
      <c r="F23" s="55" t="s">
        <v>143</v>
      </c>
      <c r="G23" s="56" t="s">
        <v>144</v>
      </c>
      <c r="H23" s="55" t="n">
        <v>34.894</v>
      </c>
      <c r="I23" s="55" t="n">
        <v>28.393</v>
      </c>
      <c r="J23" s="63"/>
      <c r="K23" s="59"/>
      <c r="L23" s="0"/>
      <c r="M23" s="61" t="s">
        <v>146</v>
      </c>
      <c r="N23" s="55"/>
      <c r="O23" s="55" t="n">
        <v>34.894</v>
      </c>
      <c r="P23" s="52" t="n">
        <v>0</v>
      </c>
      <c r="Q23" s="52" t="n">
        <v>0</v>
      </c>
      <c r="R23" s="52" t="n">
        <v>0.06</v>
      </c>
      <c r="S23" s="52" t="n">
        <v>0.06</v>
      </c>
      <c r="T23" s="52" t="n">
        <v>0.06</v>
      </c>
      <c r="U23" s="52" t="n">
        <v>0.06</v>
      </c>
      <c r="V23" s="52" t="n">
        <v>0.1</v>
      </c>
      <c r="W23" s="52" t="n">
        <v>0.1</v>
      </c>
      <c r="X23" s="52" t="n">
        <v>1.03</v>
      </c>
      <c r="Y23" s="52" t="n">
        <v>1.01</v>
      </c>
      <c r="Z23" s="53" t="n">
        <v>0.0028</v>
      </c>
      <c r="AA23" s="53" t="n">
        <v>0.006</v>
      </c>
      <c r="AB23" s="53" t="n">
        <v>0.0039</v>
      </c>
      <c r="AC23" s="53" t="n">
        <v>0.0053</v>
      </c>
      <c r="AD23" s="53" t="n">
        <v>0.0054</v>
      </c>
      <c r="AE23" s="53" t="n">
        <v>-9999.9999</v>
      </c>
      <c r="AF23" s="53" t="n">
        <v>-9999.9999</v>
      </c>
      <c r="AG23" s="53" t="n">
        <v>-9999.9999</v>
      </c>
      <c r="AH23" s="53" t="n">
        <v>0.0138</v>
      </c>
      <c r="AI23" s="53" t="n">
        <v>0.0045</v>
      </c>
      <c r="AJ23" s="53" t="n">
        <v>-9999.9999</v>
      </c>
      <c r="AK23" s="53" t="n">
        <v>-9999.9999</v>
      </c>
      <c r="AL23" s="53" t="n">
        <v>0.0809</v>
      </c>
      <c r="AM23" s="53" t="n">
        <v>-9999.9999</v>
      </c>
      <c r="AN23" s="53" t="n">
        <v>0.0029</v>
      </c>
      <c r="AO23" s="53" t="n">
        <v>0.003</v>
      </c>
      <c r="AP23" s="53" t="n">
        <f aca="false">AN23+AO23</f>
        <v>0.0059</v>
      </c>
      <c r="AQ23" s="53" t="n">
        <v>0.0106</v>
      </c>
      <c r="AR23" s="53" t="n">
        <v>-9999.9999</v>
      </c>
      <c r="AS23" s="53" t="n">
        <v>-9999.9999</v>
      </c>
      <c r="AT23" s="53" t="n">
        <v>0.0392</v>
      </c>
      <c r="AU23" s="53" t="n">
        <v>0.0561</v>
      </c>
      <c r="AV23" s="53" t="n">
        <f aca="false">AT23+AU23</f>
        <v>0.0953</v>
      </c>
      <c r="AW23" s="53" t="n">
        <v>0.0018</v>
      </c>
      <c r="AX23" s="53" t="s">
        <v>90</v>
      </c>
    </row>
    <row r="24" customFormat="false" ht="17.35" hidden="false" customHeight="false" outlineLevel="0" collapsed="false">
      <c r="A24" s="54" t="n">
        <v>18</v>
      </c>
      <c r="B24" s="55" t="s">
        <v>147</v>
      </c>
      <c r="C24" s="56" t="s">
        <v>148</v>
      </c>
      <c r="D24" s="57" t="n">
        <v>43886</v>
      </c>
      <c r="E24" s="58" t="s">
        <v>149</v>
      </c>
      <c r="F24" s="55" t="s">
        <v>147</v>
      </c>
      <c r="G24" s="56" t="s">
        <v>148</v>
      </c>
      <c r="H24" s="55" t="n">
        <v>34.898</v>
      </c>
      <c r="I24" s="55" t="n">
        <v>28.256</v>
      </c>
      <c r="J24" s="64"/>
      <c r="K24" s="59"/>
      <c r="L24" s="0"/>
      <c r="M24" s="60" t="s">
        <v>94</v>
      </c>
      <c r="N24" s="55"/>
      <c r="O24" s="55" t="n">
        <v>34.898</v>
      </c>
      <c r="P24" s="52" t="n">
        <v>0</v>
      </c>
      <c r="Q24" s="52" t="n">
        <v>0</v>
      </c>
      <c r="R24" s="52" t="n">
        <v>0.15</v>
      </c>
      <c r="S24" s="52" t="n">
        <v>0.15</v>
      </c>
      <c r="T24" s="52" t="n">
        <v>0.15</v>
      </c>
      <c r="U24" s="52" t="n">
        <v>0.15</v>
      </c>
      <c r="V24" s="52" t="n">
        <v>0.12</v>
      </c>
      <c r="W24" s="52" t="n">
        <v>0.12</v>
      </c>
      <c r="X24" s="52" t="n">
        <v>1.04</v>
      </c>
      <c r="Y24" s="52" t="n">
        <v>1.02</v>
      </c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</row>
    <row r="25" customFormat="false" ht="17.35" hidden="false" customHeight="false" outlineLevel="0" collapsed="false">
      <c r="A25" s="54" t="n">
        <v>19</v>
      </c>
      <c r="B25" s="55" t="s">
        <v>150</v>
      </c>
      <c r="C25" s="56" t="s">
        <v>151</v>
      </c>
      <c r="D25" s="57" t="n">
        <v>43886</v>
      </c>
      <c r="E25" s="58" t="s">
        <v>152</v>
      </c>
      <c r="F25" s="55" t="s">
        <v>150</v>
      </c>
      <c r="G25" s="56" t="s">
        <v>151</v>
      </c>
      <c r="H25" s="55" t="n">
        <v>34.738</v>
      </c>
      <c r="I25" s="55" t="n">
        <v>28.8</v>
      </c>
      <c r="J25" s="63"/>
      <c r="K25" s="59"/>
      <c r="L25" s="0"/>
      <c r="M25" s="61" t="s">
        <v>153</v>
      </c>
      <c r="N25" s="55"/>
      <c r="O25" s="55" t="n">
        <v>34.738</v>
      </c>
      <c r="P25" s="52" t="n">
        <v>0.01</v>
      </c>
      <c r="Q25" s="52" t="n">
        <v>0.01</v>
      </c>
      <c r="R25" s="52" t="n">
        <v>0.08</v>
      </c>
      <c r="S25" s="52" t="n">
        <v>0.08</v>
      </c>
      <c r="T25" s="52" t="n">
        <v>0.07</v>
      </c>
      <c r="U25" s="52" t="n">
        <v>0.07</v>
      </c>
      <c r="V25" s="52" t="n">
        <v>0.06</v>
      </c>
      <c r="W25" s="52" t="n">
        <v>0.06</v>
      </c>
      <c r="X25" s="52" t="n">
        <v>0.83</v>
      </c>
      <c r="Y25" s="52" t="n">
        <v>0.81</v>
      </c>
      <c r="Z25" s="53" t="n">
        <v>0.0021</v>
      </c>
      <c r="AA25" s="53" t="n">
        <v>0.0064</v>
      </c>
      <c r="AB25" s="53" t="n">
        <v>0.0058</v>
      </c>
      <c r="AC25" s="53" t="n">
        <v>0.0039</v>
      </c>
      <c r="AD25" s="53" t="n">
        <v>0.0048</v>
      </c>
      <c r="AE25" s="53" t="n">
        <v>-9999.9999</v>
      </c>
      <c r="AF25" s="53" t="n">
        <v>-9999.9999</v>
      </c>
      <c r="AG25" s="53" t="n">
        <v>-9999.9999</v>
      </c>
      <c r="AH25" s="53" t="n">
        <v>0.0111</v>
      </c>
      <c r="AI25" s="53" t="n">
        <v>0.0053</v>
      </c>
      <c r="AJ25" s="53" t="n">
        <v>-9999.9999</v>
      </c>
      <c r="AK25" s="53" t="n">
        <v>0.0011</v>
      </c>
      <c r="AL25" s="53" t="n">
        <v>0.1089</v>
      </c>
      <c r="AM25" s="53" t="n">
        <v>-9999.9999</v>
      </c>
      <c r="AN25" s="53" t="n">
        <v>0.0049</v>
      </c>
      <c r="AO25" s="53" t="n">
        <v>0.0032</v>
      </c>
      <c r="AP25" s="53" t="n">
        <f aca="false">AN25+AO25</f>
        <v>0.0081</v>
      </c>
      <c r="AQ25" s="53" t="n">
        <v>0.0188</v>
      </c>
      <c r="AR25" s="53" t="n">
        <v>-9999.9999</v>
      </c>
      <c r="AS25" s="53" t="n">
        <v>-9999.9999</v>
      </c>
      <c r="AT25" s="53" t="n">
        <v>0.0768</v>
      </c>
      <c r="AU25" s="53" t="n">
        <v>0.0935</v>
      </c>
      <c r="AV25" s="53" t="n">
        <f aca="false">AT25+AU25</f>
        <v>0.1703</v>
      </c>
      <c r="AW25" s="53" t="n">
        <v>0.0029</v>
      </c>
      <c r="AX25" s="53" t="s">
        <v>90</v>
      </c>
    </row>
    <row r="26" customFormat="false" ht="17.35" hidden="false" customHeight="false" outlineLevel="0" collapsed="false">
      <c r="A26" s="54" t="n">
        <v>20</v>
      </c>
      <c r="B26" s="55" t="s">
        <v>154</v>
      </c>
      <c r="C26" s="56" t="s">
        <v>155</v>
      </c>
      <c r="D26" s="57" t="n">
        <v>43886</v>
      </c>
      <c r="E26" s="58" t="s">
        <v>156</v>
      </c>
      <c r="F26" s="55" t="s">
        <v>154</v>
      </c>
      <c r="G26" s="56" t="s">
        <v>155</v>
      </c>
      <c r="H26" s="55" t="n">
        <v>34.727</v>
      </c>
      <c r="I26" s="55" t="n">
        <v>29.214</v>
      </c>
      <c r="J26" s="64"/>
      <c r="K26" s="59"/>
      <c r="L26" s="0"/>
      <c r="M26" s="60" t="s">
        <v>94</v>
      </c>
      <c r="N26" s="55"/>
      <c r="O26" s="55" t="n">
        <v>34.727</v>
      </c>
      <c r="P26" s="52" t="n">
        <v>0</v>
      </c>
      <c r="Q26" s="52" t="n">
        <v>0</v>
      </c>
      <c r="R26" s="52" t="n">
        <v>1</v>
      </c>
      <c r="S26" s="52" t="n">
        <v>0.98</v>
      </c>
      <c r="T26" s="52" t="n">
        <v>1</v>
      </c>
      <c r="U26" s="52" t="n">
        <v>0.98</v>
      </c>
      <c r="V26" s="52" t="n">
        <v>0.3</v>
      </c>
      <c r="W26" s="52" t="n">
        <v>0.29</v>
      </c>
      <c r="X26" s="52" t="n">
        <v>1.85</v>
      </c>
      <c r="Y26" s="52" t="n">
        <v>1.81</v>
      </c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customFormat="false" ht="17.35" hidden="false" customHeight="false" outlineLevel="0" collapsed="false">
      <c r="A27" s="54" t="n">
        <v>21</v>
      </c>
      <c r="B27" s="55" t="s">
        <v>157</v>
      </c>
      <c r="C27" s="56" t="s">
        <v>158</v>
      </c>
      <c r="D27" s="57" t="n">
        <v>43886</v>
      </c>
      <c r="E27" s="58" t="s">
        <v>159</v>
      </c>
      <c r="F27" s="55" t="s">
        <v>157</v>
      </c>
      <c r="G27" s="56" t="s">
        <v>158</v>
      </c>
      <c r="H27" s="55" t="n">
        <v>34.637</v>
      </c>
      <c r="I27" s="55" t="n">
        <v>28.795</v>
      </c>
      <c r="J27" s="63"/>
      <c r="K27" s="59"/>
      <c r="L27" s="0"/>
      <c r="M27" s="61" t="s">
        <v>160</v>
      </c>
      <c r="N27" s="55"/>
      <c r="O27" s="55" t="n">
        <v>34.637</v>
      </c>
      <c r="P27" s="52" t="n">
        <v>0.01</v>
      </c>
      <c r="Q27" s="52" t="n">
        <v>0.01</v>
      </c>
      <c r="R27" s="52" t="n">
        <v>0.05</v>
      </c>
      <c r="S27" s="52" t="n">
        <v>0.05</v>
      </c>
      <c r="T27" s="52" t="n">
        <v>0.04</v>
      </c>
      <c r="U27" s="52" t="n">
        <v>0.04</v>
      </c>
      <c r="V27" s="52" t="n">
        <v>0.06</v>
      </c>
      <c r="W27" s="52" t="n">
        <v>0.06</v>
      </c>
      <c r="X27" s="52" t="n">
        <v>0.89</v>
      </c>
      <c r="Y27" s="52" t="n">
        <v>0.87</v>
      </c>
      <c r="Z27" s="53" t="n">
        <v>0.0024</v>
      </c>
      <c r="AA27" s="53" t="n">
        <v>0.0046</v>
      </c>
      <c r="AB27" s="53" t="n">
        <v>0.0041</v>
      </c>
      <c r="AC27" s="53" t="n">
        <v>0.0026</v>
      </c>
      <c r="AD27" s="53" t="n">
        <v>0.0042</v>
      </c>
      <c r="AE27" s="53" t="n">
        <v>-9999.9999</v>
      </c>
      <c r="AF27" s="53" t="n">
        <v>-9999.9999</v>
      </c>
      <c r="AG27" s="53" t="n">
        <v>-9999.9999</v>
      </c>
      <c r="AH27" s="53" t="n">
        <v>0.0088</v>
      </c>
      <c r="AI27" s="53" t="n">
        <v>0.0044</v>
      </c>
      <c r="AJ27" s="53" t="n">
        <v>-9999.9999</v>
      </c>
      <c r="AK27" s="53" t="n">
        <v>0.0008</v>
      </c>
      <c r="AL27" s="53" t="n">
        <v>0.0161</v>
      </c>
      <c r="AM27" s="53" t="n">
        <v>-9999.9999</v>
      </c>
      <c r="AN27" s="53" t="n">
        <v>-9999.9999</v>
      </c>
      <c r="AO27" s="53" t="n">
        <v>0.0025</v>
      </c>
      <c r="AP27" s="53" t="n">
        <f aca="false">AO27</f>
        <v>0.0025</v>
      </c>
      <c r="AQ27" s="53" t="n">
        <v>-9999.9999</v>
      </c>
      <c r="AR27" s="53" t="n">
        <v>0.0065</v>
      </c>
      <c r="AS27" s="53" t="n">
        <v>-9999.9999</v>
      </c>
      <c r="AT27" s="53" t="n">
        <v>0.0064</v>
      </c>
      <c r="AU27" s="53" t="n">
        <v>0.0575</v>
      </c>
      <c r="AV27" s="53" t="n">
        <f aca="false">AT27+AU27</f>
        <v>0.0639</v>
      </c>
      <c r="AW27" s="53" t="n">
        <v>0.0021</v>
      </c>
      <c r="AX27" s="53" t="s">
        <v>90</v>
      </c>
    </row>
    <row r="28" customFormat="false" ht="17.35" hidden="false" customHeight="false" outlineLevel="0" collapsed="false">
      <c r="A28" s="54" t="n">
        <v>22</v>
      </c>
      <c r="B28" s="55" t="s">
        <v>161</v>
      </c>
      <c r="C28" s="56" t="s">
        <v>162</v>
      </c>
      <c r="D28" s="57" t="n">
        <v>43887</v>
      </c>
      <c r="E28" s="58" t="s">
        <v>163</v>
      </c>
      <c r="F28" s="55" t="s">
        <v>161</v>
      </c>
      <c r="G28" s="56" t="s">
        <v>162</v>
      </c>
      <c r="H28" s="55" t="n">
        <v>34.529</v>
      </c>
      <c r="I28" s="55" t="n">
        <v>29.146</v>
      </c>
      <c r="J28" s="64"/>
      <c r="K28" s="59"/>
      <c r="L28" s="0"/>
      <c r="M28" s="60" t="s">
        <v>94</v>
      </c>
      <c r="N28" s="55"/>
      <c r="O28" s="55" t="n">
        <v>34.529</v>
      </c>
      <c r="P28" s="52" t="n">
        <v>0.02</v>
      </c>
      <c r="Q28" s="52" t="n">
        <v>0.02</v>
      </c>
      <c r="R28" s="52" t="n">
        <v>0.1</v>
      </c>
      <c r="S28" s="52" t="n">
        <v>0.1</v>
      </c>
      <c r="T28" s="52" t="n">
        <v>0.08</v>
      </c>
      <c r="U28" s="52" t="n">
        <v>0.08</v>
      </c>
      <c r="V28" s="52" t="n">
        <v>0.05</v>
      </c>
      <c r="W28" s="52" t="n">
        <v>0.05</v>
      </c>
      <c r="X28" s="52" t="n">
        <v>0.84</v>
      </c>
      <c r="Y28" s="52" t="n">
        <v>0.82</v>
      </c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customFormat="false" ht="17.35" hidden="false" customHeight="false" outlineLevel="0" collapsed="false">
      <c r="A29" s="54" t="n">
        <v>23</v>
      </c>
      <c r="B29" s="55" t="s">
        <v>164</v>
      </c>
      <c r="C29" s="56" t="s">
        <v>165</v>
      </c>
      <c r="D29" s="57" t="n">
        <v>43890</v>
      </c>
      <c r="E29" s="58" t="s">
        <v>166</v>
      </c>
      <c r="F29" s="55" t="s">
        <v>164</v>
      </c>
      <c r="G29" s="56" t="s">
        <v>165</v>
      </c>
      <c r="H29" s="55" t="n">
        <v>35.019</v>
      </c>
      <c r="I29" s="55" t="n">
        <v>28.718</v>
      </c>
      <c r="J29" s="63"/>
      <c r="K29" s="59"/>
      <c r="L29" s="0"/>
      <c r="M29" s="61" t="s">
        <v>167</v>
      </c>
      <c r="N29" s="55"/>
      <c r="O29" s="55" t="n">
        <v>35.019</v>
      </c>
      <c r="P29" s="52" t="n">
        <v>0.02</v>
      </c>
      <c r="Q29" s="52" t="n">
        <v>0.02</v>
      </c>
      <c r="R29" s="52" t="n">
        <v>0.82</v>
      </c>
      <c r="S29" s="52" t="n">
        <v>0.8</v>
      </c>
      <c r="T29" s="52" t="n">
        <v>0.8</v>
      </c>
      <c r="U29" s="52" t="n">
        <v>0.78</v>
      </c>
      <c r="V29" s="52" t="n">
        <v>0.07</v>
      </c>
      <c r="W29" s="52" t="n">
        <v>0.07</v>
      </c>
      <c r="X29" s="52" t="n">
        <v>1.38</v>
      </c>
      <c r="Y29" s="52" t="n">
        <v>1.35</v>
      </c>
      <c r="Z29" s="53" t="n">
        <v>-9999.9999</v>
      </c>
      <c r="AA29" s="53" t="n">
        <v>-9999.9999</v>
      </c>
      <c r="AB29" s="53" t="n">
        <v>-9999.9999</v>
      </c>
      <c r="AC29" s="53" t="n">
        <v>-9999.9999</v>
      </c>
      <c r="AD29" s="53" t="n">
        <v>0.0016</v>
      </c>
      <c r="AE29" s="53" t="n">
        <v>-9999.9999</v>
      </c>
      <c r="AF29" s="53" t="n">
        <v>-9999.9999</v>
      </c>
      <c r="AG29" s="53" t="n">
        <v>-9999.9999</v>
      </c>
      <c r="AH29" s="53" t="n">
        <v>0.0012</v>
      </c>
      <c r="AI29" s="53" t="n">
        <v>0.0013</v>
      </c>
      <c r="AJ29" s="53" t="n">
        <v>-9999.9999</v>
      </c>
      <c r="AK29" s="53" t="n">
        <v>-9999.9999</v>
      </c>
      <c r="AL29" s="53" t="n">
        <v>0.0353</v>
      </c>
      <c r="AM29" s="53" t="n">
        <v>-9999.9999</v>
      </c>
      <c r="AN29" s="53" t="n">
        <v>-9999.9999</v>
      </c>
      <c r="AO29" s="53" t="n">
        <v>-9999.9999</v>
      </c>
      <c r="AP29" s="53" t="n">
        <f aca="false">AO29</f>
        <v>-9999.9999</v>
      </c>
      <c r="AQ29" s="53" t="n">
        <v>0.005</v>
      </c>
      <c r="AR29" s="53" t="n">
        <v>-9999.9999</v>
      </c>
      <c r="AS29" s="53" t="n">
        <v>-9999.9999</v>
      </c>
      <c r="AT29" s="53" t="n">
        <v>0.0206</v>
      </c>
      <c r="AU29" s="53" t="n">
        <v>0.0169</v>
      </c>
      <c r="AV29" s="53" t="n">
        <f aca="false">AT29+AU29</f>
        <v>0.0375</v>
      </c>
      <c r="AW29" s="53" t="n">
        <v>0.002</v>
      </c>
      <c r="AX29" s="53" t="s">
        <v>90</v>
      </c>
    </row>
    <row r="30" customFormat="false" ht="17.35" hidden="false" customHeight="false" outlineLevel="0" collapsed="false">
      <c r="A30" s="54" t="n">
        <v>24</v>
      </c>
      <c r="B30" s="55" t="s">
        <v>168</v>
      </c>
      <c r="C30" s="56" t="s">
        <v>169</v>
      </c>
      <c r="D30" s="57" t="n">
        <v>43890</v>
      </c>
      <c r="E30" s="58" t="s">
        <v>170</v>
      </c>
      <c r="F30" s="55" t="s">
        <v>168</v>
      </c>
      <c r="G30" s="56" t="s">
        <v>169</v>
      </c>
      <c r="H30" s="55" t="n">
        <v>35.062</v>
      </c>
      <c r="I30" s="55" t="n">
        <v>28.675</v>
      </c>
      <c r="J30" s="64"/>
      <c r="K30" s="59"/>
      <c r="L30" s="0"/>
      <c r="M30" s="60" t="s">
        <v>94</v>
      </c>
      <c r="N30" s="55"/>
      <c r="O30" s="55" t="n">
        <v>35.062</v>
      </c>
      <c r="P30" s="52" t="n">
        <v>0.01</v>
      </c>
      <c r="Q30" s="52" t="n">
        <v>0.01</v>
      </c>
      <c r="R30" s="52" t="n">
        <v>2.37</v>
      </c>
      <c r="S30" s="52" t="n">
        <v>2.32</v>
      </c>
      <c r="T30" s="52" t="n">
        <v>2.36</v>
      </c>
      <c r="U30" s="52" t="n">
        <v>2.31</v>
      </c>
      <c r="V30" s="52" t="n">
        <v>0.1</v>
      </c>
      <c r="W30" s="52" t="n">
        <v>0.1</v>
      </c>
      <c r="X30" s="52" t="n">
        <v>2.15</v>
      </c>
      <c r="Y30" s="52" t="n">
        <v>2.1</v>
      </c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</row>
    <row r="31" customFormat="false" ht="15" hidden="false" customHeight="false" outlineLevel="0" collapsed="false">
      <c r="A31" s="54" t="n">
        <v>25</v>
      </c>
      <c r="B31" s="55" t="s">
        <v>171</v>
      </c>
      <c r="C31" s="56" t="s">
        <v>172</v>
      </c>
      <c r="D31" s="57" t="n">
        <v>43890</v>
      </c>
      <c r="E31" s="58" t="s">
        <v>173</v>
      </c>
      <c r="F31" s="55" t="s">
        <v>171</v>
      </c>
      <c r="G31" s="56" t="s">
        <v>172</v>
      </c>
      <c r="H31" s="55" t="n">
        <v>35.646</v>
      </c>
      <c r="I31" s="55" t="n">
        <v>29.038</v>
      </c>
      <c r="J31" s="64"/>
      <c r="K31" s="59"/>
      <c r="L31" s="0"/>
      <c r="M31" s="61" t="s">
        <v>174</v>
      </c>
      <c r="N31" s="55"/>
      <c r="O31" s="55" t="n">
        <v>35.646</v>
      </c>
      <c r="P31" s="52" t="n">
        <v>0.02</v>
      </c>
      <c r="Q31" s="52" t="n">
        <v>0.02</v>
      </c>
      <c r="R31" s="52" t="n">
        <v>1.02</v>
      </c>
      <c r="S31" s="52" t="n">
        <v>1</v>
      </c>
      <c r="T31" s="52" t="n">
        <v>1</v>
      </c>
      <c r="U31" s="52" t="n">
        <v>0.98</v>
      </c>
      <c r="V31" s="52" t="n">
        <v>0.13</v>
      </c>
      <c r="W31" s="52" t="n">
        <v>0.13</v>
      </c>
      <c r="X31" s="52" t="n">
        <v>1.78</v>
      </c>
      <c r="Y31" s="52" t="n">
        <v>1.74</v>
      </c>
      <c r="Z31" s="53" t="n">
        <v>0.0008</v>
      </c>
      <c r="AA31" s="53" t="n">
        <v>0.0023</v>
      </c>
      <c r="AB31" s="53" t="n">
        <v>0.0015</v>
      </c>
      <c r="AC31" s="53" t="n">
        <v>0.0011</v>
      </c>
      <c r="AD31" s="53" t="n">
        <v>0.002</v>
      </c>
      <c r="AE31" s="53" t="n">
        <v>-9999.9999</v>
      </c>
      <c r="AF31" s="53" t="n">
        <v>-9999.9999</v>
      </c>
      <c r="AG31" s="53" t="n">
        <v>-9999.9999</v>
      </c>
      <c r="AH31" s="53" t="n">
        <v>0.0031</v>
      </c>
      <c r="AI31" s="53" t="n">
        <v>0.0015</v>
      </c>
      <c r="AJ31" s="53" t="n">
        <v>-9999.9999</v>
      </c>
      <c r="AK31" s="53" t="n">
        <v>-9999.9999</v>
      </c>
      <c r="AL31" s="53" t="n">
        <v>0.0564</v>
      </c>
      <c r="AM31" s="53" t="n">
        <v>-9999.9999</v>
      </c>
      <c r="AN31" s="53" t="n">
        <v>-9999.9999</v>
      </c>
      <c r="AO31" s="53" t="n">
        <v>0.0046</v>
      </c>
      <c r="AP31" s="53" t="n">
        <f aca="false">AO31</f>
        <v>0.0046</v>
      </c>
      <c r="AQ31" s="53" t="n">
        <v>0.009</v>
      </c>
      <c r="AR31" s="53" t="n">
        <v>-9999.9999</v>
      </c>
      <c r="AS31" s="53" t="n">
        <v>-9999.9999</v>
      </c>
      <c r="AT31" s="53" t="n">
        <v>0.0427</v>
      </c>
      <c r="AU31" s="53" t="n">
        <v>0.034</v>
      </c>
      <c r="AV31" s="53" t="n">
        <f aca="false">AT31+AU31</f>
        <v>0.0767</v>
      </c>
      <c r="AW31" s="53" t="n">
        <v>0.0021</v>
      </c>
      <c r="AX31" s="53" t="s">
        <v>90</v>
      </c>
    </row>
    <row r="32" customFormat="false" ht="17.35" hidden="false" customHeight="false" outlineLevel="0" collapsed="false">
      <c r="A32" s="54" t="n">
        <v>26</v>
      </c>
      <c r="B32" s="55" t="s">
        <v>175</v>
      </c>
      <c r="C32" s="56" t="s">
        <v>176</v>
      </c>
      <c r="D32" s="57" t="n">
        <v>43890</v>
      </c>
      <c r="E32" s="58" t="s">
        <v>177</v>
      </c>
      <c r="F32" s="55" t="s">
        <v>175</v>
      </c>
      <c r="G32" s="56" t="s">
        <v>176</v>
      </c>
      <c r="H32" s="55" t="n">
        <v>35.233</v>
      </c>
      <c r="I32" s="55" t="n">
        <v>28.74</v>
      </c>
      <c r="J32" s="49"/>
      <c r="K32" s="59"/>
      <c r="L32" s="0"/>
      <c r="M32" s="60" t="s">
        <v>94</v>
      </c>
      <c r="N32" s="55"/>
      <c r="O32" s="55" t="n">
        <v>35.233</v>
      </c>
      <c r="P32" s="52" t="n">
        <v>0.01</v>
      </c>
      <c r="Q32" s="52" t="n">
        <v>0.01</v>
      </c>
      <c r="R32" s="52" t="n">
        <v>1.39</v>
      </c>
      <c r="S32" s="52" t="n">
        <v>1.36</v>
      </c>
      <c r="T32" s="52" t="n">
        <v>1.38</v>
      </c>
      <c r="U32" s="52" t="n">
        <v>1.35</v>
      </c>
      <c r="V32" s="52" t="n">
        <v>0.18</v>
      </c>
      <c r="W32" s="52" t="n">
        <v>0.18</v>
      </c>
      <c r="X32" s="52" t="n">
        <v>2.05</v>
      </c>
      <c r="Y32" s="52" t="n">
        <v>2</v>
      </c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customFormat="false" ht="15" hidden="false" customHeight="false" outlineLevel="0" collapsed="false">
      <c r="A33" s="54" t="n">
        <v>27</v>
      </c>
      <c r="B33" s="55" t="s">
        <v>178</v>
      </c>
      <c r="C33" s="56" t="s">
        <v>179</v>
      </c>
      <c r="D33" s="57" t="n">
        <v>43891</v>
      </c>
      <c r="E33" s="58" t="s">
        <v>180</v>
      </c>
      <c r="F33" s="55" t="s">
        <v>178</v>
      </c>
      <c r="G33" s="56" t="s">
        <v>179</v>
      </c>
      <c r="H33" s="55" t="n">
        <v>35.623</v>
      </c>
      <c r="I33" s="55" t="n">
        <v>28.356</v>
      </c>
      <c r="J33" s="64"/>
      <c r="K33" s="59"/>
      <c r="L33" s="0"/>
      <c r="M33" s="61" t="s">
        <v>181</v>
      </c>
      <c r="N33" s="55"/>
      <c r="O33" s="55" t="n">
        <v>35.623</v>
      </c>
      <c r="P33" s="52" t="n">
        <v>0</v>
      </c>
      <c r="Q33" s="52" t="n">
        <v>0</v>
      </c>
      <c r="R33" s="52" t="n">
        <v>0.05</v>
      </c>
      <c r="S33" s="52" t="n">
        <v>0.05</v>
      </c>
      <c r="T33" s="52" t="n">
        <v>0.05</v>
      </c>
      <c r="U33" s="52" t="n">
        <v>0.05</v>
      </c>
      <c r="V33" s="52" t="n">
        <v>0.09</v>
      </c>
      <c r="W33" s="52" t="n">
        <v>0.09</v>
      </c>
      <c r="X33" s="52" t="n">
        <v>1.06</v>
      </c>
      <c r="Y33" s="52" t="n">
        <v>1.04</v>
      </c>
      <c r="Z33" s="53" t="n">
        <v>0.0027</v>
      </c>
      <c r="AA33" s="53" t="n">
        <v>0.0041</v>
      </c>
      <c r="AB33" s="53" t="n">
        <v>0.0031</v>
      </c>
      <c r="AC33" s="53" t="n">
        <v>0.0028</v>
      </c>
      <c r="AD33" s="53" t="n">
        <v>0.0017</v>
      </c>
      <c r="AE33" s="53" t="n">
        <v>-9999.9999</v>
      </c>
      <c r="AF33" s="53" t="n">
        <v>-9999.9999</v>
      </c>
      <c r="AG33" s="53" t="n">
        <v>-9999.9999</v>
      </c>
      <c r="AH33" s="53" t="n">
        <v>0.0121</v>
      </c>
      <c r="AI33" s="53" t="n">
        <v>0.0037</v>
      </c>
      <c r="AJ33" s="53" t="n">
        <v>-9999.9999</v>
      </c>
      <c r="AK33" s="53" t="n">
        <v>-9999.9999</v>
      </c>
      <c r="AL33" s="53" t="n">
        <v>0.0764</v>
      </c>
      <c r="AM33" s="53" t="n">
        <v>-9999.9999</v>
      </c>
      <c r="AN33" s="53" t="n">
        <v>0.0037</v>
      </c>
      <c r="AO33" s="53" t="n">
        <v>0.0029</v>
      </c>
      <c r="AP33" s="53" t="n">
        <f aca="false">AN33+AO33</f>
        <v>0.0066</v>
      </c>
      <c r="AQ33" s="53" t="n">
        <v>0.0086</v>
      </c>
      <c r="AR33" s="53" t="n">
        <v>-9999.9999</v>
      </c>
      <c r="AS33" s="53" t="n">
        <v>-9999.9999</v>
      </c>
      <c r="AT33" s="53" t="n">
        <v>0.0433</v>
      </c>
      <c r="AU33" s="53" t="n">
        <v>0.0329</v>
      </c>
      <c r="AV33" s="53" t="n">
        <f aca="false">AT33+AU33</f>
        <v>0.0762</v>
      </c>
      <c r="AW33" s="53" t="n">
        <v>0.0018</v>
      </c>
      <c r="AX33" s="53" t="s">
        <v>90</v>
      </c>
    </row>
    <row r="34" customFormat="false" ht="17.35" hidden="false" customHeight="false" outlineLevel="0" collapsed="false">
      <c r="A34" s="54" t="n">
        <v>28</v>
      </c>
      <c r="B34" s="55" t="s">
        <v>182</v>
      </c>
      <c r="C34" s="56" t="s">
        <v>183</v>
      </c>
      <c r="D34" s="57" t="n">
        <v>43891</v>
      </c>
      <c r="E34" s="58" t="s">
        <v>184</v>
      </c>
      <c r="F34" s="55" t="s">
        <v>182</v>
      </c>
      <c r="G34" s="56" t="s">
        <v>183</v>
      </c>
      <c r="H34" s="55" t="n">
        <v>35.672</v>
      </c>
      <c r="I34" s="55" t="n">
        <v>28.195</v>
      </c>
      <c r="J34" s="49"/>
      <c r="K34" s="59"/>
      <c r="L34" s="0"/>
      <c r="M34" s="60" t="s">
        <v>94</v>
      </c>
      <c r="N34" s="55"/>
      <c r="O34" s="55" t="n">
        <v>35.672</v>
      </c>
      <c r="P34" s="52" t="n">
        <v>0</v>
      </c>
      <c r="Q34" s="52" t="n">
        <v>0</v>
      </c>
      <c r="R34" s="52" t="n">
        <v>0.05</v>
      </c>
      <c r="S34" s="52" t="n">
        <v>0.05</v>
      </c>
      <c r="T34" s="52" t="n">
        <v>0.05</v>
      </c>
      <c r="U34" s="52" t="n">
        <v>0.05</v>
      </c>
      <c r="V34" s="52" t="n">
        <v>0.07</v>
      </c>
      <c r="W34" s="52" t="n">
        <v>0.07</v>
      </c>
      <c r="X34" s="52" t="n">
        <v>0.96</v>
      </c>
      <c r="Y34" s="52" t="n">
        <v>0.94</v>
      </c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</row>
    <row r="35" customFormat="false" ht="15" hidden="false" customHeight="false" outlineLevel="0" collapsed="false">
      <c r="A35" s="54" t="n">
        <v>29</v>
      </c>
      <c r="B35" s="55" t="s">
        <v>185</v>
      </c>
      <c r="C35" s="56" t="s">
        <v>186</v>
      </c>
      <c r="D35" s="57" t="n">
        <v>43891</v>
      </c>
      <c r="E35" s="58" t="s">
        <v>187</v>
      </c>
      <c r="F35" s="55" t="s">
        <v>185</v>
      </c>
      <c r="G35" s="56" t="s">
        <v>186</v>
      </c>
      <c r="H35" s="55" t="n">
        <v>36.077</v>
      </c>
      <c r="I35" s="55" t="n">
        <v>27.452</v>
      </c>
      <c r="J35" s="62"/>
      <c r="K35" s="59"/>
      <c r="L35" s="0"/>
      <c r="M35" s="61" t="s">
        <v>188</v>
      </c>
      <c r="N35" s="55"/>
      <c r="O35" s="55" t="n">
        <v>36.077</v>
      </c>
      <c r="P35" s="52" t="n">
        <v>0.01</v>
      </c>
      <c r="Q35" s="52" t="n">
        <v>0.01</v>
      </c>
      <c r="R35" s="52" t="n">
        <v>0.19</v>
      </c>
      <c r="S35" s="52" t="n">
        <v>0.19</v>
      </c>
      <c r="T35" s="52" t="n">
        <v>0.18</v>
      </c>
      <c r="U35" s="52" t="n">
        <v>0.18</v>
      </c>
      <c r="V35" s="52" t="n">
        <v>0.14</v>
      </c>
      <c r="W35" s="52" t="n">
        <v>0.14</v>
      </c>
      <c r="X35" s="52" t="n">
        <v>1.06</v>
      </c>
      <c r="Y35" s="52" t="n">
        <v>1.04</v>
      </c>
      <c r="Z35" s="53" t="n">
        <v>-9999.9999</v>
      </c>
      <c r="AA35" s="53" t="n">
        <v>0.0017</v>
      </c>
      <c r="AB35" s="53" t="n">
        <v>-9999.9999</v>
      </c>
      <c r="AC35" s="53" t="n">
        <v>0.001</v>
      </c>
      <c r="AD35" s="53" t="n">
        <v>0.001</v>
      </c>
      <c r="AE35" s="53" t="n">
        <v>-9999.9999</v>
      </c>
      <c r="AF35" s="53" t="n">
        <v>-9999.9999</v>
      </c>
      <c r="AG35" s="53" t="n">
        <v>-9999.9999</v>
      </c>
      <c r="AH35" s="53" t="n">
        <v>0.0027</v>
      </c>
      <c r="AI35" s="53" t="n">
        <v>0.0012</v>
      </c>
      <c r="AJ35" s="53" t="n">
        <v>-9999.9999</v>
      </c>
      <c r="AK35" s="53" t="n">
        <v>-9999.9999</v>
      </c>
      <c r="AL35" s="53" t="n">
        <v>0.0606</v>
      </c>
      <c r="AM35" s="53" t="n">
        <v>-9999.9999</v>
      </c>
      <c r="AN35" s="53" t="n">
        <v>0.0041</v>
      </c>
      <c r="AO35" s="53" t="n">
        <v>-9999.9999</v>
      </c>
      <c r="AP35" s="53" t="n">
        <f aca="false">AN35</f>
        <v>0.0041</v>
      </c>
      <c r="AQ35" s="53" t="n">
        <v>0.0061</v>
      </c>
      <c r="AR35" s="53" t="n">
        <v>-9999.9999</v>
      </c>
      <c r="AS35" s="53" t="n">
        <v>-9999.9999</v>
      </c>
      <c r="AT35" s="53" t="n">
        <v>0.0332</v>
      </c>
      <c r="AU35" s="53" t="n">
        <v>0.0118</v>
      </c>
      <c r="AV35" s="53" t="n">
        <f aca="false">AT35+AU35</f>
        <v>0.045</v>
      </c>
      <c r="AW35" s="53" t="n">
        <v>0.0017</v>
      </c>
      <c r="AX35" s="53" t="s">
        <v>90</v>
      </c>
    </row>
    <row r="36" customFormat="false" ht="17.35" hidden="false" customHeight="false" outlineLevel="0" collapsed="false">
      <c r="A36" s="54" t="n">
        <v>30</v>
      </c>
      <c r="B36" s="55" t="s">
        <v>189</v>
      </c>
      <c r="C36" s="56" t="s">
        <v>190</v>
      </c>
      <c r="D36" s="57" t="n">
        <v>43891</v>
      </c>
      <c r="E36" s="58" t="s">
        <v>191</v>
      </c>
      <c r="F36" s="55" t="s">
        <v>189</v>
      </c>
      <c r="G36" s="56" t="s">
        <v>190</v>
      </c>
      <c r="H36" s="55" t="n">
        <v>36.077</v>
      </c>
      <c r="I36" s="55" t="n">
        <v>26.928</v>
      </c>
      <c r="J36" s="49"/>
      <c r="K36" s="59"/>
      <c r="L36" s="0"/>
      <c r="M36" s="60" t="s">
        <v>94</v>
      </c>
      <c r="N36" s="55"/>
      <c r="O36" s="55" t="n">
        <v>36.077</v>
      </c>
      <c r="P36" s="52" t="n">
        <v>0</v>
      </c>
      <c r="Q36" s="52" t="n">
        <v>0</v>
      </c>
      <c r="R36" s="52" t="n">
        <v>0.06</v>
      </c>
      <c r="S36" s="52" t="n">
        <v>0.06</v>
      </c>
      <c r="T36" s="52" t="n">
        <v>0.06</v>
      </c>
      <c r="U36" s="52" t="n">
        <v>0.06</v>
      </c>
      <c r="V36" s="52" t="n">
        <v>0.11</v>
      </c>
      <c r="W36" s="52" t="n">
        <v>0.11</v>
      </c>
      <c r="X36" s="52" t="n">
        <v>1.12</v>
      </c>
      <c r="Y36" s="52" t="n">
        <v>1.09</v>
      </c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</row>
    <row r="37" customFormat="false" ht="15" hidden="false" customHeight="false" outlineLevel="0" collapsed="false">
      <c r="A37" s="54" t="n">
        <v>31</v>
      </c>
      <c r="B37" s="55" t="s">
        <v>192</v>
      </c>
      <c r="C37" s="56" t="s">
        <v>193</v>
      </c>
      <c r="D37" s="57" t="n">
        <v>43892</v>
      </c>
      <c r="E37" s="58" t="s">
        <v>194</v>
      </c>
      <c r="F37" s="55" t="s">
        <v>192</v>
      </c>
      <c r="G37" s="56" t="s">
        <v>193</v>
      </c>
      <c r="H37" s="55" t="n">
        <v>36.071</v>
      </c>
      <c r="I37" s="55" t="n">
        <v>26.889</v>
      </c>
      <c r="J37" s="65"/>
      <c r="K37" s="59"/>
      <c r="L37" s="0"/>
      <c r="M37" s="61" t="s">
        <v>195</v>
      </c>
      <c r="N37" s="55"/>
      <c r="O37" s="55" t="n">
        <v>36.071</v>
      </c>
      <c r="P37" s="52" t="n">
        <v>0.01</v>
      </c>
      <c r="Q37" s="52" t="n">
        <v>0.01</v>
      </c>
      <c r="R37" s="52" t="n">
        <v>0.83</v>
      </c>
      <c r="S37" s="52" t="n">
        <v>0.81</v>
      </c>
      <c r="T37" s="52" t="n">
        <v>0.82</v>
      </c>
      <c r="U37" s="52" t="n">
        <v>0.8</v>
      </c>
      <c r="V37" s="52" t="n">
        <v>0.21</v>
      </c>
      <c r="W37" s="52" t="n">
        <v>0.21</v>
      </c>
      <c r="X37" s="52" t="n">
        <v>1.61</v>
      </c>
      <c r="Y37" s="52" t="n">
        <v>1.57</v>
      </c>
      <c r="Z37" s="53" t="n">
        <v>-9999.9999</v>
      </c>
      <c r="AA37" s="53" t="n">
        <v>-9999.9999</v>
      </c>
      <c r="AB37" s="53" t="n">
        <v>-9999.9999</v>
      </c>
      <c r="AC37" s="53" t="n">
        <v>-9999.9999</v>
      </c>
      <c r="AD37" s="53" t="n">
        <v>-9999.9999</v>
      </c>
      <c r="AE37" s="53" t="n">
        <v>-9999.9999</v>
      </c>
      <c r="AF37" s="53" t="n">
        <v>-9999.9999</v>
      </c>
      <c r="AG37" s="53" t="n">
        <v>-9999.9999</v>
      </c>
      <c r="AH37" s="53" t="n">
        <v>0.0016</v>
      </c>
      <c r="AI37" s="53" t="n">
        <v>0.001</v>
      </c>
      <c r="AJ37" s="53" t="n">
        <v>-9999.9999</v>
      </c>
      <c r="AK37" s="53" t="n">
        <v>-9999.9999</v>
      </c>
      <c r="AL37" s="53" t="n">
        <v>0.0447</v>
      </c>
      <c r="AM37" s="53" t="n">
        <v>-9999.9999</v>
      </c>
      <c r="AN37" s="53" t="n">
        <v>-9999.9999</v>
      </c>
      <c r="AO37" s="53" t="n">
        <v>-9999.9999</v>
      </c>
      <c r="AP37" s="53" t="n">
        <f aca="false">AO37</f>
        <v>-9999.9999</v>
      </c>
      <c r="AQ37" s="53" t="n">
        <v>0.0028</v>
      </c>
      <c r="AR37" s="53" t="n">
        <v>-9999.9999</v>
      </c>
      <c r="AS37" s="53" t="n">
        <v>-9999.9999</v>
      </c>
      <c r="AT37" s="53" t="n">
        <v>0.0134</v>
      </c>
      <c r="AU37" s="53" t="n">
        <v>0.0061</v>
      </c>
      <c r="AV37" s="53" t="n">
        <f aca="false">AT37+AU37</f>
        <v>0.0195</v>
      </c>
      <c r="AW37" s="53" t="n">
        <v>0.0014</v>
      </c>
      <c r="AX37" s="53" t="s">
        <v>90</v>
      </c>
    </row>
    <row r="38" customFormat="false" ht="17.35" hidden="false" customHeight="false" outlineLevel="0" collapsed="false">
      <c r="A38" s="54" t="n">
        <v>32</v>
      </c>
      <c r="B38" s="55" t="s">
        <v>196</v>
      </c>
      <c r="C38" s="56" t="s">
        <v>197</v>
      </c>
      <c r="D38" s="57" t="n">
        <v>43892</v>
      </c>
      <c r="E38" s="58" t="s">
        <v>198</v>
      </c>
      <c r="F38" s="55" t="s">
        <v>196</v>
      </c>
      <c r="G38" s="56" t="s">
        <v>197</v>
      </c>
      <c r="H38" s="55" t="n">
        <v>36.195</v>
      </c>
      <c r="I38" s="55" t="n">
        <v>26.3</v>
      </c>
      <c r="J38" s="49"/>
      <c r="K38" s="59"/>
      <c r="L38" s="0"/>
      <c r="M38" s="60" t="s">
        <v>94</v>
      </c>
      <c r="N38" s="55"/>
      <c r="O38" s="55" t="n">
        <v>36.195</v>
      </c>
      <c r="P38" s="52" t="n">
        <v>0</v>
      </c>
      <c r="Q38" s="52" t="n">
        <v>0</v>
      </c>
      <c r="R38" s="52" t="n">
        <v>0.05</v>
      </c>
      <c r="S38" s="52" t="n">
        <v>0.05</v>
      </c>
      <c r="T38" s="52" t="n">
        <v>0.05</v>
      </c>
      <c r="U38" s="52" t="n">
        <v>0.05</v>
      </c>
      <c r="V38" s="52" t="n">
        <v>0.14</v>
      </c>
      <c r="W38" s="52" t="n">
        <v>0.14</v>
      </c>
      <c r="X38" s="52" t="n">
        <v>0.96</v>
      </c>
      <c r="Y38" s="52" t="n">
        <v>0.94</v>
      </c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customFormat="false" ht="15" hidden="false" customHeight="false" outlineLevel="0" collapsed="false">
      <c r="A39" s="54" t="n">
        <v>33</v>
      </c>
      <c r="B39" s="55" t="s">
        <v>199</v>
      </c>
      <c r="C39" s="56" t="s">
        <v>200</v>
      </c>
      <c r="D39" s="57" t="n">
        <v>43892</v>
      </c>
      <c r="E39" s="58" t="s">
        <v>201</v>
      </c>
      <c r="F39" s="55" t="s">
        <v>199</v>
      </c>
      <c r="G39" s="56" t="s">
        <v>200</v>
      </c>
      <c r="H39" s="55" t="n">
        <v>36.172</v>
      </c>
      <c r="I39" s="55" t="n">
        <v>26.62</v>
      </c>
      <c r="J39" s="62"/>
      <c r="K39" s="59"/>
      <c r="L39" s="0"/>
      <c r="M39" s="61" t="s">
        <v>202</v>
      </c>
      <c r="N39" s="55"/>
      <c r="O39" s="55" t="n">
        <v>36.172</v>
      </c>
      <c r="P39" s="52" t="n">
        <v>0</v>
      </c>
      <c r="Q39" s="52" t="n">
        <v>0</v>
      </c>
      <c r="R39" s="52" t="n">
        <v>0.09</v>
      </c>
      <c r="S39" s="52" t="n">
        <v>0.09</v>
      </c>
      <c r="T39" s="52" t="n">
        <v>0.09</v>
      </c>
      <c r="U39" s="52" t="n">
        <v>0.09</v>
      </c>
      <c r="V39" s="52" t="n">
        <v>0.17</v>
      </c>
      <c r="W39" s="52" t="n">
        <v>0.17</v>
      </c>
      <c r="X39" s="52" t="n">
        <v>0.71</v>
      </c>
      <c r="Y39" s="52" t="n">
        <v>0.69</v>
      </c>
      <c r="Z39" s="53" t="n">
        <v>0.0013</v>
      </c>
      <c r="AA39" s="53" t="n">
        <v>0.0018</v>
      </c>
      <c r="AB39" s="53" t="n">
        <v>0.0015</v>
      </c>
      <c r="AC39" s="53" t="n">
        <v>0.0021</v>
      </c>
      <c r="AD39" s="53" t="n">
        <v>0.0012</v>
      </c>
      <c r="AE39" s="53" t="n">
        <v>-9999.9999</v>
      </c>
      <c r="AF39" s="53" t="n">
        <v>-9999.9999</v>
      </c>
      <c r="AG39" s="53" t="n">
        <v>-9999.9999</v>
      </c>
      <c r="AH39" s="53" t="n">
        <v>0.0061</v>
      </c>
      <c r="AI39" s="53" t="n">
        <v>0.0031</v>
      </c>
      <c r="AJ39" s="53" t="n">
        <v>-9999.9999</v>
      </c>
      <c r="AK39" s="53" t="n">
        <v>-9999.9999</v>
      </c>
      <c r="AL39" s="53" t="n">
        <v>0.0387</v>
      </c>
      <c r="AM39" s="53" t="n">
        <v>-9999.9999</v>
      </c>
      <c r="AN39" s="53" t="n">
        <v>-9999.9999</v>
      </c>
      <c r="AO39" s="53" t="n">
        <v>-9999.9999</v>
      </c>
      <c r="AP39" s="53" t="n">
        <f aca="false">AO39</f>
        <v>-9999.9999</v>
      </c>
      <c r="AQ39" s="53" t="n">
        <v>0.0031</v>
      </c>
      <c r="AR39" s="53" t="n">
        <v>-9999.9999</v>
      </c>
      <c r="AS39" s="53" t="n">
        <v>-9999.9999</v>
      </c>
      <c r="AT39" s="53" t="n">
        <v>0.0144</v>
      </c>
      <c r="AU39" s="53" t="n">
        <v>0.0196</v>
      </c>
      <c r="AV39" s="53" t="n">
        <f aca="false">AT39+AU39</f>
        <v>0.034</v>
      </c>
      <c r="AW39" s="53" t="n">
        <v>-9999.9999</v>
      </c>
      <c r="AX39" s="53" t="s">
        <v>90</v>
      </c>
    </row>
    <row r="40" customFormat="false" ht="17.35" hidden="false" customHeight="false" outlineLevel="0" collapsed="false">
      <c r="A40" s="54" t="n">
        <v>34</v>
      </c>
      <c r="B40" s="55" t="s">
        <v>203</v>
      </c>
      <c r="C40" s="56" t="s">
        <v>204</v>
      </c>
      <c r="D40" s="57" t="n">
        <v>43893</v>
      </c>
      <c r="E40" s="58" t="s">
        <v>205</v>
      </c>
      <c r="F40" s="55" t="s">
        <v>203</v>
      </c>
      <c r="G40" s="56" t="s">
        <v>204</v>
      </c>
      <c r="H40" s="66" t="n">
        <v>36.2</v>
      </c>
      <c r="I40" s="66" t="n">
        <v>25.942</v>
      </c>
      <c r="J40" s="62"/>
      <c r="K40" s="59"/>
      <c r="L40" s="0"/>
      <c r="M40" s="60" t="s">
        <v>94</v>
      </c>
      <c r="N40" s="66"/>
      <c r="O40" s="66" t="n">
        <v>36.2</v>
      </c>
      <c r="P40" s="52" t="n">
        <v>0.01</v>
      </c>
      <c r="Q40" s="52" t="n">
        <v>0.01</v>
      </c>
      <c r="R40" s="52" t="n">
        <v>0.07</v>
      </c>
      <c r="S40" s="52" t="n">
        <v>0.07</v>
      </c>
      <c r="T40" s="52" t="n">
        <v>0.06</v>
      </c>
      <c r="U40" s="52" t="n">
        <v>0.06</v>
      </c>
      <c r="V40" s="52" t="n">
        <v>0.16</v>
      </c>
      <c r="W40" s="52" t="n">
        <v>0.16</v>
      </c>
      <c r="X40" s="52" t="n">
        <v>0.78</v>
      </c>
      <c r="Y40" s="52" t="n">
        <v>0.76</v>
      </c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</row>
    <row r="41" customFormat="false" ht="17.35" hidden="false" customHeight="false" outlineLevel="0" collapsed="false">
      <c r="A41" s="54" t="n">
        <v>35</v>
      </c>
      <c r="B41" s="55" t="s">
        <v>206</v>
      </c>
      <c r="C41" s="56" t="s">
        <v>207</v>
      </c>
      <c r="D41" s="57" t="n">
        <v>43893</v>
      </c>
      <c r="E41" s="58" t="s">
        <v>208</v>
      </c>
      <c r="F41" s="55" t="s">
        <v>206</v>
      </c>
      <c r="G41" s="56" t="s">
        <v>207</v>
      </c>
      <c r="H41" s="55" t="n">
        <v>36.182</v>
      </c>
      <c r="I41" s="55" t="n">
        <v>26.21</v>
      </c>
      <c r="J41" s="49"/>
      <c r="K41" s="59"/>
      <c r="L41" s="0"/>
      <c r="M41" s="61" t="s">
        <v>209</v>
      </c>
      <c r="N41" s="55"/>
      <c r="O41" s="55" t="n">
        <v>36.182</v>
      </c>
      <c r="P41" s="52" t="n">
        <v>0</v>
      </c>
      <c r="Q41" s="52" t="n">
        <v>0</v>
      </c>
      <c r="R41" s="52" t="n">
        <v>0.33</v>
      </c>
      <c r="S41" s="52" t="n">
        <v>0.32</v>
      </c>
      <c r="T41" s="52" t="n">
        <v>0.33</v>
      </c>
      <c r="U41" s="52" t="n">
        <v>0.32</v>
      </c>
      <c r="V41" s="52" t="n">
        <v>0.16</v>
      </c>
      <c r="W41" s="52" t="n">
        <v>0.16</v>
      </c>
      <c r="X41" s="52" t="n">
        <v>0.89</v>
      </c>
      <c r="Y41" s="52" t="n">
        <v>0.87</v>
      </c>
      <c r="Z41" s="53" t="n">
        <v>-9999.9999</v>
      </c>
      <c r="AA41" s="53" t="n">
        <v>-9999.9999</v>
      </c>
      <c r="AB41" s="53" t="n">
        <v>-9999.9999</v>
      </c>
      <c r="AC41" s="53" t="n">
        <v>-9999.9999</v>
      </c>
      <c r="AD41" s="53" t="n">
        <v>-9999.9999</v>
      </c>
      <c r="AE41" s="53" t="n">
        <v>-9999.9999</v>
      </c>
      <c r="AF41" s="53" t="n">
        <v>-9999.9999</v>
      </c>
      <c r="AG41" s="53" t="n">
        <v>-9999.9999</v>
      </c>
      <c r="AH41" s="53" t="n">
        <v>0.0011</v>
      </c>
      <c r="AI41" s="53" t="n">
        <v>0.0011</v>
      </c>
      <c r="AJ41" s="53" t="n">
        <v>-9999.9999</v>
      </c>
      <c r="AK41" s="53" t="n">
        <v>-9999.9999</v>
      </c>
      <c r="AL41" s="53" t="n">
        <v>0.0306</v>
      </c>
      <c r="AM41" s="53" t="n">
        <v>-9999.9999</v>
      </c>
      <c r="AN41" s="53" t="n">
        <v>-9999.9999</v>
      </c>
      <c r="AO41" s="53" t="n">
        <v>-9999.9999</v>
      </c>
      <c r="AP41" s="53" t="n">
        <f aca="false">AO41</f>
        <v>-9999.9999</v>
      </c>
      <c r="AQ41" s="53" t="n">
        <v>0.0021</v>
      </c>
      <c r="AR41" s="53" t="n">
        <v>-9999.9999</v>
      </c>
      <c r="AS41" s="53" t="n">
        <v>-9999.9999</v>
      </c>
      <c r="AT41" s="53" t="n">
        <v>0.0088</v>
      </c>
      <c r="AU41" s="53" t="n">
        <v>0.0056</v>
      </c>
      <c r="AV41" s="53" t="n">
        <f aca="false">AT41+AU41</f>
        <v>0.0144</v>
      </c>
      <c r="AW41" s="53" t="n">
        <v>-9999.9999</v>
      </c>
      <c r="AX41" s="53" t="s">
        <v>90</v>
      </c>
    </row>
    <row r="42" customFormat="false" ht="17.35" hidden="false" customHeight="false" outlineLevel="0" collapsed="false">
      <c r="A42" s="54" t="n">
        <v>36</v>
      </c>
      <c r="B42" s="55" t="s">
        <v>210</v>
      </c>
      <c r="C42" s="56" t="s">
        <v>211</v>
      </c>
      <c r="D42" s="57" t="n">
        <v>43893</v>
      </c>
      <c r="E42" s="58" t="s">
        <v>212</v>
      </c>
      <c r="F42" s="55" t="s">
        <v>210</v>
      </c>
      <c r="G42" s="56" t="s">
        <v>211</v>
      </c>
      <c r="H42" s="55" t="n">
        <v>36.091</v>
      </c>
      <c r="I42" s="55" t="n">
        <v>25.689</v>
      </c>
      <c r="J42" s="49"/>
      <c r="K42" s="59"/>
      <c r="L42" s="0"/>
      <c r="M42" s="60" t="s">
        <v>94</v>
      </c>
      <c r="N42" s="55"/>
      <c r="O42" s="55" t="n">
        <v>36.091</v>
      </c>
      <c r="P42" s="52" t="n">
        <v>0</v>
      </c>
      <c r="Q42" s="52" t="n">
        <v>0</v>
      </c>
      <c r="R42" s="52" t="n">
        <v>0.08</v>
      </c>
      <c r="S42" s="52" t="n">
        <v>0.08</v>
      </c>
      <c r="T42" s="52" t="n">
        <v>0.08</v>
      </c>
      <c r="U42" s="52" t="n">
        <v>0.08</v>
      </c>
      <c r="V42" s="52" t="n">
        <v>0.16</v>
      </c>
      <c r="W42" s="52" t="n">
        <v>0.16</v>
      </c>
      <c r="X42" s="52" t="n">
        <v>0.6</v>
      </c>
      <c r="Y42" s="52" t="n">
        <v>0.59</v>
      </c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</row>
    <row r="43" customFormat="false" ht="15" hidden="false" customHeight="false" outlineLevel="0" collapsed="false">
      <c r="A43" s="54" t="n">
        <v>37</v>
      </c>
      <c r="B43" s="55" t="s">
        <v>213</v>
      </c>
      <c r="C43" s="56" t="s">
        <v>214</v>
      </c>
      <c r="D43" s="57" t="n">
        <v>43894</v>
      </c>
      <c r="E43" s="58" t="s">
        <v>215</v>
      </c>
      <c r="F43" s="55" t="s">
        <v>213</v>
      </c>
      <c r="G43" s="56" t="s">
        <v>214</v>
      </c>
      <c r="H43" s="55" t="n">
        <v>35.841</v>
      </c>
      <c r="I43" s="55" t="n">
        <v>25.061</v>
      </c>
      <c r="J43" s="64"/>
      <c r="K43" s="59"/>
      <c r="L43" s="0"/>
      <c r="M43" s="61" t="s">
        <v>216</v>
      </c>
      <c r="N43" s="55"/>
      <c r="O43" s="55" t="n">
        <v>35.841</v>
      </c>
      <c r="P43" s="52" t="n">
        <v>0</v>
      </c>
      <c r="Q43" s="52" t="n">
        <v>0</v>
      </c>
      <c r="R43" s="52" t="n">
        <v>0.95</v>
      </c>
      <c r="S43" s="52" t="n">
        <v>0.93</v>
      </c>
      <c r="T43" s="52" t="n">
        <v>0.95</v>
      </c>
      <c r="U43" s="52" t="n">
        <v>0.93</v>
      </c>
      <c r="V43" s="52" t="n">
        <v>0.23</v>
      </c>
      <c r="W43" s="52" t="n">
        <v>0.22</v>
      </c>
      <c r="X43" s="52" t="n">
        <v>1.66</v>
      </c>
      <c r="Y43" s="52" t="n">
        <v>1.62</v>
      </c>
      <c r="Z43" s="53" t="n">
        <v>-9999.9999</v>
      </c>
      <c r="AA43" s="53" t="n">
        <v>-9999.9999</v>
      </c>
      <c r="AB43" s="53" t="n">
        <v>-9999.9999</v>
      </c>
      <c r="AC43" s="53" t="n">
        <v>-9999.9999</v>
      </c>
      <c r="AD43" s="53" t="n">
        <v>-9999.9999</v>
      </c>
      <c r="AE43" s="53" t="n">
        <v>-9999.9999</v>
      </c>
      <c r="AF43" s="53" t="n">
        <v>-9999.9999</v>
      </c>
      <c r="AG43" s="53" t="n">
        <v>-9999.9999</v>
      </c>
      <c r="AH43" s="53" t="n">
        <v>0.0017</v>
      </c>
      <c r="AI43" s="53" t="n">
        <v>0.0012</v>
      </c>
      <c r="AJ43" s="53" t="n">
        <v>-9999.9999</v>
      </c>
      <c r="AK43" s="53" t="n">
        <v>-9999.9999</v>
      </c>
      <c r="AL43" s="53" t="n">
        <v>0.0242</v>
      </c>
      <c r="AM43" s="53" t="n">
        <v>-9999.9999</v>
      </c>
      <c r="AN43" s="53" t="n">
        <v>-9999.9999</v>
      </c>
      <c r="AO43" s="53" t="n">
        <v>-9999.9999</v>
      </c>
      <c r="AP43" s="53" t="n">
        <f aca="false">AO43</f>
        <v>-9999.9999</v>
      </c>
      <c r="AQ43" s="53" t="n">
        <v>0.0017</v>
      </c>
      <c r="AR43" s="53" t="n">
        <v>-9999.9999</v>
      </c>
      <c r="AS43" s="53" t="n">
        <v>-9999.9999</v>
      </c>
      <c r="AT43" s="53" t="n">
        <v>0.0071</v>
      </c>
      <c r="AU43" s="53" t="n">
        <v>0.0058</v>
      </c>
      <c r="AV43" s="53" t="n">
        <f aca="false">AT43+AU43</f>
        <v>0.0129</v>
      </c>
      <c r="AW43" s="53" t="n">
        <v>-9999.9999</v>
      </c>
      <c r="AX43" s="53" t="s">
        <v>90</v>
      </c>
    </row>
    <row r="44" customFormat="false" ht="17.35" hidden="false" customHeight="false" outlineLevel="0" collapsed="false">
      <c r="A44" s="54" t="n">
        <v>38</v>
      </c>
      <c r="B44" s="55" t="s">
        <v>217</v>
      </c>
      <c r="C44" s="56" t="s">
        <v>218</v>
      </c>
      <c r="D44" s="57" t="n">
        <v>43894</v>
      </c>
      <c r="E44" s="58" t="s">
        <v>219</v>
      </c>
      <c r="F44" s="55" t="s">
        <v>217</v>
      </c>
      <c r="G44" s="56" t="s">
        <v>218</v>
      </c>
      <c r="H44" s="55" t="n">
        <v>35.881</v>
      </c>
      <c r="I44" s="55" t="n">
        <v>25.671</v>
      </c>
      <c r="J44" s="49"/>
      <c r="K44" s="59"/>
      <c r="L44" s="0"/>
      <c r="M44" s="60" t="s">
        <v>94</v>
      </c>
      <c r="N44" s="55"/>
      <c r="O44" s="55" t="n">
        <v>35.881</v>
      </c>
      <c r="P44" s="52" t="n">
        <v>0</v>
      </c>
      <c r="Q44" s="52" t="n">
        <v>0</v>
      </c>
      <c r="R44" s="52" t="n">
        <v>1.38</v>
      </c>
      <c r="S44" s="52" t="n">
        <v>1.35</v>
      </c>
      <c r="T44" s="52" t="n">
        <v>1.38</v>
      </c>
      <c r="U44" s="52" t="n">
        <v>1.35</v>
      </c>
      <c r="V44" s="52" t="n">
        <v>0.2</v>
      </c>
      <c r="W44" s="52" t="n">
        <v>0.2</v>
      </c>
      <c r="X44" s="52" t="n">
        <v>1.85</v>
      </c>
      <c r="Y44" s="52" t="n">
        <v>1.81</v>
      </c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</row>
    <row r="45" customFormat="false" ht="15" hidden="false" customHeight="false" outlineLevel="0" collapsed="false">
      <c r="A45" s="54" t="n">
        <v>39</v>
      </c>
      <c r="B45" s="55" t="s">
        <v>220</v>
      </c>
      <c r="C45" s="67" t="s">
        <v>221</v>
      </c>
      <c r="D45" s="57" t="n">
        <v>43895</v>
      </c>
      <c r="E45" s="58" t="s">
        <v>222</v>
      </c>
      <c r="F45" s="55" t="s">
        <v>220</v>
      </c>
      <c r="G45" s="67" t="s">
        <v>221</v>
      </c>
      <c r="H45" s="55" t="n">
        <v>34.968</v>
      </c>
      <c r="I45" s="55" t="n">
        <v>25.711</v>
      </c>
      <c r="J45" s="64"/>
      <c r="K45" s="59"/>
      <c r="L45" s="0"/>
      <c r="M45" s="61" t="s">
        <v>223</v>
      </c>
      <c r="N45" s="55"/>
      <c r="O45" s="55" t="n">
        <v>34.968</v>
      </c>
      <c r="P45" s="52" t="n">
        <v>0</v>
      </c>
      <c r="Q45" s="52" t="n">
        <v>0</v>
      </c>
      <c r="R45" s="52" t="n">
        <v>0.26</v>
      </c>
      <c r="S45" s="52" t="n">
        <v>0.25</v>
      </c>
      <c r="T45" s="52" t="n">
        <v>0.26</v>
      </c>
      <c r="U45" s="52" t="n">
        <v>0.25</v>
      </c>
      <c r="V45" s="52" t="n">
        <v>0.21</v>
      </c>
      <c r="W45" s="52" t="n">
        <v>0.21</v>
      </c>
      <c r="X45" s="52" t="n">
        <v>1.08</v>
      </c>
      <c r="Y45" s="52" t="n">
        <v>1.06</v>
      </c>
      <c r="Z45" s="53" t="n">
        <v>-9999.9999</v>
      </c>
      <c r="AA45" s="53" t="n">
        <v>-9999.9999</v>
      </c>
      <c r="AB45" s="53" t="n">
        <v>-9999.9999</v>
      </c>
      <c r="AC45" s="53" t="n">
        <v>-9999.9999</v>
      </c>
      <c r="AD45" s="53" t="n">
        <v>-9999.9999</v>
      </c>
      <c r="AE45" s="53" t="n">
        <v>-9999.9999</v>
      </c>
      <c r="AF45" s="53" t="n">
        <v>-9999.9999</v>
      </c>
      <c r="AG45" s="53" t="n">
        <v>-9999.9999</v>
      </c>
      <c r="AH45" s="53" t="n">
        <v>0.0014</v>
      </c>
      <c r="AI45" s="53" t="n">
        <v>-9999.9999</v>
      </c>
      <c r="AJ45" s="53" t="n">
        <v>-9999.9999</v>
      </c>
      <c r="AK45" s="53" t="n">
        <v>-9999.9999</v>
      </c>
      <c r="AL45" s="53" t="n">
        <v>0.0234</v>
      </c>
      <c r="AM45" s="53" t="n">
        <v>-9999.9999</v>
      </c>
      <c r="AN45" s="53" t="n">
        <v>-9999.9999</v>
      </c>
      <c r="AO45" s="53" t="n">
        <v>-9999.9999</v>
      </c>
      <c r="AP45" s="53" t="n">
        <f aca="false">AO45</f>
        <v>-9999.9999</v>
      </c>
      <c r="AQ45" s="53" t="n">
        <v>0.0017</v>
      </c>
      <c r="AR45" s="53" t="n">
        <v>-9999.9999</v>
      </c>
      <c r="AS45" s="53" t="n">
        <v>-9999.9999</v>
      </c>
      <c r="AT45" s="53" t="n">
        <v>0.0065</v>
      </c>
      <c r="AU45" s="53" t="n">
        <v>0.0041</v>
      </c>
      <c r="AV45" s="53" t="n">
        <f aca="false">AT45+AU45</f>
        <v>0.0106</v>
      </c>
      <c r="AW45" s="53" t="n">
        <v>-9999.9999</v>
      </c>
      <c r="AX45" s="53" t="s">
        <v>90</v>
      </c>
    </row>
    <row r="46" customFormat="false" ht="17.35" hidden="false" customHeight="false" outlineLevel="0" collapsed="false">
      <c r="A46" s="54" t="n">
        <v>40</v>
      </c>
      <c r="B46" s="55" t="s">
        <v>224</v>
      </c>
      <c r="C46" s="56" t="s">
        <v>225</v>
      </c>
      <c r="D46" s="57" t="n">
        <v>43895</v>
      </c>
      <c r="E46" s="58" t="s">
        <v>226</v>
      </c>
      <c r="F46" s="55" t="s">
        <v>224</v>
      </c>
      <c r="G46" s="56" t="s">
        <v>225</v>
      </c>
      <c r="H46" s="55" t="n">
        <v>36.13</v>
      </c>
      <c r="I46" s="55" t="n">
        <v>25.643</v>
      </c>
      <c r="J46" s="49"/>
      <c r="K46" s="59"/>
      <c r="L46" s="0"/>
      <c r="M46" s="60" t="s">
        <v>94</v>
      </c>
      <c r="N46" s="55"/>
      <c r="O46" s="55" t="n">
        <v>36.13</v>
      </c>
      <c r="P46" s="52" t="n">
        <v>0</v>
      </c>
      <c r="Q46" s="52" t="n">
        <v>0</v>
      </c>
      <c r="R46" s="52" t="n">
        <v>0.1</v>
      </c>
      <c r="S46" s="52" t="n">
        <v>0.1</v>
      </c>
      <c r="T46" s="52" t="n">
        <v>0.1</v>
      </c>
      <c r="U46" s="52" t="n">
        <v>0.1</v>
      </c>
      <c r="V46" s="52" t="n">
        <v>0.19</v>
      </c>
      <c r="W46" s="52" t="n">
        <v>0.19</v>
      </c>
      <c r="X46" s="52" t="n">
        <v>0.81</v>
      </c>
      <c r="Y46" s="52" t="n">
        <v>0.79</v>
      </c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</row>
    <row r="47" customFormat="false" ht="15" hidden="false" customHeight="false" outlineLevel="0" collapsed="false">
      <c r="A47" s="54" t="n">
        <v>41</v>
      </c>
      <c r="B47" s="55" t="s">
        <v>227</v>
      </c>
      <c r="C47" s="56" t="s">
        <v>228</v>
      </c>
      <c r="D47" s="57" t="n">
        <v>43896</v>
      </c>
      <c r="E47" s="58" t="s">
        <v>229</v>
      </c>
      <c r="F47" s="55" t="s">
        <v>227</v>
      </c>
      <c r="G47" s="56" t="s">
        <v>228</v>
      </c>
      <c r="H47" s="55" t="n">
        <v>36.068</v>
      </c>
      <c r="I47" s="55" t="n">
        <v>25.515</v>
      </c>
      <c r="J47" s="64"/>
      <c r="K47" s="59"/>
      <c r="L47" s="0"/>
      <c r="M47" s="61" t="s">
        <v>230</v>
      </c>
      <c r="N47" s="55"/>
      <c r="O47" s="55" t="n">
        <v>36.068</v>
      </c>
      <c r="P47" s="52" t="n">
        <v>0</v>
      </c>
      <c r="Q47" s="52" t="n">
        <v>0</v>
      </c>
      <c r="R47" s="52" t="n">
        <v>0.1</v>
      </c>
      <c r="S47" s="52" t="n">
        <v>0.1</v>
      </c>
      <c r="T47" s="52" t="n">
        <v>0.1</v>
      </c>
      <c r="U47" s="52" t="n">
        <v>0.1</v>
      </c>
      <c r="V47" s="52" t="n">
        <v>0.21</v>
      </c>
      <c r="W47" s="52" t="n">
        <v>0.21</v>
      </c>
      <c r="X47" s="52" t="n">
        <v>0.9</v>
      </c>
      <c r="Y47" s="52" t="n">
        <v>0.88</v>
      </c>
      <c r="Z47" s="53" t="n">
        <v>0.0006</v>
      </c>
      <c r="AA47" s="53" t="n">
        <v>0.001</v>
      </c>
      <c r="AB47" s="53" t="n">
        <v>-9999.9999</v>
      </c>
      <c r="AC47" s="53" t="n">
        <v>-9999.9999</v>
      </c>
      <c r="AD47" s="53" t="n">
        <v>-9999.9999</v>
      </c>
      <c r="AE47" s="53" t="n">
        <v>-9999.9999</v>
      </c>
      <c r="AF47" s="53" t="n">
        <v>-9999.9999</v>
      </c>
      <c r="AG47" s="53" t="n">
        <v>-9999.9999</v>
      </c>
      <c r="AH47" s="53" t="n">
        <v>0.0025</v>
      </c>
      <c r="AI47" s="53" t="n">
        <v>-9999.9999</v>
      </c>
      <c r="AJ47" s="53" t="n">
        <v>-9999.9999</v>
      </c>
      <c r="AK47" s="53" t="n">
        <v>-9999.9999</v>
      </c>
      <c r="AL47" s="53" t="n">
        <v>0.0393</v>
      </c>
      <c r="AM47" s="53" t="n">
        <v>-9999.9999</v>
      </c>
      <c r="AN47" s="53" t="n">
        <v>-9999.9999</v>
      </c>
      <c r="AO47" s="53" t="n">
        <v>-9999.9999</v>
      </c>
      <c r="AP47" s="53" t="n">
        <f aca="false">AO47</f>
        <v>-9999.9999</v>
      </c>
      <c r="AQ47" s="53" t="n">
        <v>0.0029</v>
      </c>
      <c r="AR47" s="53" t="n">
        <v>-9999.9999</v>
      </c>
      <c r="AS47" s="53" t="n">
        <v>-9999.9999</v>
      </c>
      <c r="AT47" s="53" t="n">
        <v>0.0139</v>
      </c>
      <c r="AU47" s="53" t="n">
        <v>0.0071</v>
      </c>
      <c r="AV47" s="53" t="n">
        <f aca="false">AT47+AU47</f>
        <v>0.021</v>
      </c>
      <c r="AW47" s="53" t="n">
        <v>-9999.9999</v>
      </c>
      <c r="AX47" s="53" t="s">
        <v>90</v>
      </c>
    </row>
    <row r="48" customFormat="false" ht="17.35" hidden="false" customHeight="false" outlineLevel="0" collapsed="false">
      <c r="A48" s="54" t="n">
        <v>42</v>
      </c>
      <c r="B48" s="55" t="s">
        <v>231</v>
      </c>
      <c r="C48" s="56" t="s">
        <v>232</v>
      </c>
      <c r="D48" s="57" t="n">
        <v>43896</v>
      </c>
      <c r="E48" s="58" t="s">
        <v>233</v>
      </c>
      <c r="F48" s="55" t="s">
        <v>231</v>
      </c>
      <c r="G48" s="56" t="s">
        <v>232</v>
      </c>
      <c r="H48" s="55" t="n">
        <v>36.1</v>
      </c>
      <c r="I48" s="55" t="n">
        <v>25.604</v>
      </c>
      <c r="J48" s="49"/>
      <c r="K48" s="59"/>
      <c r="L48" s="0"/>
      <c r="M48" s="60" t="s">
        <v>94</v>
      </c>
      <c r="N48" s="55"/>
      <c r="O48" s="55" t="n">
        <v>36.1</v>
      </c>
      <c r="P48" s="52" t="n">
        <v>0.01</v>
      </c>
      <c r="Q48" s="52" t="n">
        <v>0.01</v>
      </c>
      <c r="R48" s="52" t="n">
        <v>0.52</v>
      </c>
      <c r="S48" s="52" t="n">
        <v>0.51</v>
      </c>
      <c r="T48" s="52" t="n">
        <v>0.51</v>
      </c>
      <c r="U48" s="52" t="n">
        <v>0.5</v>
      </c>
      <c r="V48" s="52" t="n">
        <v>0.23</v>
      </c>
      <c r="W48" s="52" t="n">
        <v>0.22</v>
      </c>
      <c r="X48" s="52" t="n">
        <v>1.33</v>
      </c>
      <c r="Y48" s="52" t="n">
        <v>1.3</v>
      </c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</row>
    <row r="49" customFormat="false" ht="15" hidden="false" customHeight="false" outlineLevel="0" collapsed="false">
      <c r="A49" s="54" t="n">
        <v>43</v>
      </c>
      <c r="B49" s="55" t="s">
        <v>234</v>
      </c>
      <c r="C49" s="56" t="s">
        <v>235</v>
      </c>
      <c r="D49" s="57" t="n">
        <v>43896</v>
      </c>
      <c r="E49" s="58" t="s">
        <v>236</v>
      </c>
      <c r="F49" s="55" t="s">
        <v>234</v>
      </c>
      <c r="G49" s="56" t="s">
        <v>235</v>
      </c>
      <c r="H49" s="55" t="n">
        <v>36.327</v>
      </c>
      <c r="I49" s="55" t="n">
        <v>26.203</v>
      </c>
      <c r="J49" s="64"/>
      <c r="K49" s="59"/>
      <c r="L49" s="0"/>
      <c r="M49" s="61" t="s">
        <v>237</v>
      </c>
      <c r="N49" s="55"/>
      <c r="O49" s="55" t="n">
        <v>36.327</v>
      </c>
      <c r="P49" s="52" t="n">
        <v>0</v>
      </c>
      <c r="Q49" s="52" t="n">
        <v>0</v>
      </c>
      <c r="R49" s="52" t="n">
        <v>0.11</v>
      </c>
      <c r="S49" s="52" t="n">
        <v>0.11</v>
      </c>
      <c r="T49" s="52" t="n">
        <v>0.11</v>
      </c>
      <c r="U49" s="52" t="n">
        <v>0.11</v>
      </c>
      <c r="V49" s="52" t="n">
        <v>0.2</v>
      </c>
      <c r="W49" s="52" t="n">
        <v>0.2</v>
      </c>
      <c r="X49" s="52" t="n">
        <v>0.86</v>
      </c>
      <c r="Y49" s="52" t="n">
        <v>0.84</v>
      </c>
      <c r="Z49" s="53" t="n">
        <v>-9999.9999</v>
      </c>
      <c r="AA49" s="53" t="n">
        <v>-9999.9999</v>
      </c>
      <c r="AB49" s="53" t="n">
        <v>-9999.9999</v>
      </c>
      <c r="AC49" s="53" t="n">
        <v>-9999.9999</v>
      </c>
      <c r="AD49" s="53" t="n">
        <v>-9999.9999</v>
      </c>
      <c r="AE49" s="53" t="n">
        <v>-9999.9999</v>
      </c>
      <c r="AF49" s="53" t="n">
        <v>-9999.9999</v>
      </c>
      <c r="AG49" s="53" t="n">
        <v>-9999.9999</v>
      </c>
      <c r="AH49" s="53" t="n">
        <v>0.0022</v>
      </c>
      <c r="AI49" s="53" t="n">
        <v>-9999.9999</v>
      </c>
      <c r="AJ49" s="53" t="n">
        <v>-9999.9999</v>
      </c>
      <c r="AK49" s="53" t="n">
        <v>-9999.9999</v>
      </c>
      <c r="AL49" s="53" t="n">
        <v>0.0397</v>
      </c>
      <c r="AM49" s="53" t="n">
        <v>-9999.9999</v>
      </c>
      <c r="AN49" s="53" t="n">
        <v>-9999.9999</v>
      </c>
      <c r="AO49" s="53" t="n">
        <v>-9999.9999</v>
      </c>
      <c r="AP49" s="53" t="n">
        <f aca="false">AO49</f>
        <v>-9999.9999</v>
      </c>
      <c r="AQ49" s="53" t="n">
        <v>0.0029</v>
      </c>
      <c r="AR49" s="53" t="n">
        <v>-9999.9999</v>
      </c>
      <c r="AS49" s="53" t="n">
        <v>-9999.9999</v>
      </c>
      <c r="AT49" s="53" t="n">
        <v>0.0152</v>
      </c>
      <c r="AU49" s="53" t="n">
        <v>0.0054</v>
      </c>
      <c r="AV49" s="53" t="n">
        <f aca="false">AT49+AU49</f>
        <v>0.0206</v>
      </c>
      <c r="AW49" s="53" t="n">
        <v>-9999.9999</v>
      </c>
      <c r="AX49" s="53" t="s">
        <v>90</v>
      </c>
    </row>
    <row r="50" customFormat="false" ht="17.35" hidden="false" customHeight="false" outlineLevel="0" collapsed="false">
      <c r="A50" s="54" t="n">
        <v>44</v>
      </c>
      <c r="B50" s="55" t="s">
        <v>238</v>
      </c>
      <c r="C50" s="56" t="s">
        <v>239</v>
      </c>
      <c r="D50" s="57" t="n">
        <v>43896</v>
      </c>
      <c r="E50" s="58" t="s">
        <v>240</v>
      </c>
      <c r="F50" s="55" t="s">
        <v>238</v>
      </c>
      <c r="G50" s="56" t="s">
        <v>239</v>
      </c>
      <c r="H50" s="55" t="n">
        <v>36.76</v>
      </c>
      <c r="I50" s="55" t="n">
        <v>26.439</v>
      </c>
      <c r="J50" s="49"/>
      <c r="K50" s="59"/>
      <c r="L50" s="0"/>
      <c r="M50" s="60" t="s">
        <v>94</v>
      </c>
      <c r="N50" s="55"/>
      <c r="O50" s="55" t="n">
        <v>36.76</v>
      </c>
      <c r="P50" s="52" t="n">
        <v>0.02</v>
      </c>
      <c r="Q50" s="52" t="n">
        <v>0.02</v>
      </c>
      <c r="R50" s="52" t="n">
        <v>0.5</v>
      </c>
      <c r="S50" s="52" t="n">
        <v>0.49</v>
      </c>
      <c r="T50" s="52" t="n">
        <v>0.48</v>
      </c>
      <c r="U50" s="52" t="n">
        <v>0.47</v>
      </c>
      <c r="V50" s="52" t="n">
        <v>0.26</v>
      </c>
      <c r="W50" s="52" t="n">
        <v>0.25</v>
      </c>
      <c r="X50" s="52" t="n">
        <v>1.42</v>
      </c>
      <c r="Y50" s="52" t="n">
        <v>1.39</v>
      </c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customFormat="false" ht="15" hidden="false" customHeight="false" outlineLevel="0" collapsed="false">
      <c r="A51" s="54" t="n">
        <v>45</v>
      </c>
      <c r="B51" s="55" t="s">
        <v>241</v>
      </c>
      <c r="C51" s="56" t="s">
        <v>242</v>
      </c>
      <c r="D51" s="57" t="n">
        <v>43897</v>
      </c>
      <c r="E51" s="58" t="s">
        <v>243</v>
      </c>
      <c r="F51" s="55" t="s">
        <v>241</v>
      </c>
      <c r="G51" s="56" t="s">
        <v>242</v>
      </c>
      <c r="H51" s="55" t="n">
        <v>36.733</v>
      </c>
      <c r="I51" s="55" t="n">
        <v>26.642</v>
      </c>
      <c r="J51" s="64"/>
      <c r="K51" s="59"/>
      <c r="L51" s="0"/>
      <c r="M51" s="61" t="s">
        <v>244</v>
      </c>
      <c r="N51" s="55"/>
      <c r="O51" s="55" t="n">
        <v>36.733</v>
      </c>
      <c r="P51" s="52" t="n">
        <v>0.01</v>
      </c>
      <c r="Q51" s="52" t="n">
        <v>0.01</v>
      </c>
      <c r="R51" s="52" t="n">
        <v>0.61</v>
      </c>
      <c r="S51" s="52" t="n">
        <v>0.6</v>
      </c>
      <c r="T51" s="52" t="n">
        <v>0.6</v>
      </c>
      <c r="U51" s="52" t="n">
        <v>0.59</v>
      </c>
      <c r="V51" s="52" t="n">
        <v>0.26</v>
      </c>
      <c r="W51" s="52" t="n">
        <v>0.25</v>
      </c>
      <c r="X51" s="52" t="n">
        <v>1.45</v>
      </c>
      <c r="Y51" s="52" t="n">
        <v>1.42</v>
      </c>
      <c r="Z51" s="53" t="n">
        <v>0.0008</v>
      </c>
      <c r="AA51" s="53" t="n">
        <v>0.0015</v>
      </c>
      <c r="AB51" s="53" t="n">
        <v>-9999.9999</v>
      </c>
      <c r="AC51" s="53" t="n">
        <v>0.0013</v>
      </c>
      <c r="AD51" s="53" t="n">
        <v>0.0009</v>
      </c>
      <c r="AE51" s="53" t="n">
        <v>-9999.9999</v>
      </c>
      <c r="AF51" s="53" t="n">
        <v>-9999.9999</v>
      </c>
      <c r="AG51" s="53" t="n">
        <v>-9999.9999</v>
      </c>
      <c r="AH51" s="53" t="n">
        <v>0.0043</v>
      </c>
      <c r="AI51" s="53" t="n">
        <v>0.001</v>
      </c>
      <c r="AJ51" s="53" t="n">
        <v>-9999.9999</v>
      </c>
      <c r="AK51" s="53" t="n">
        <v>-9999.9999</v>
      </c>
      <c r="AL51" s="53" t="n">
        <v>0.0397</v>
      </c>
      <c r="AM51" s="53" t="n">
        <v>-9999.9999</v>
      </c>
      <c r="AN51" s="53" t="n">
        <v>-9999.9999</v>
      </c>
      <c r="AO51" s="53" t="n">
        <v>-9999.9999</v>
      </c>
      <c r="AP51" s="53" t="n">
        <f aca="false">AO51</f>
        <v>-9999.9999</v>
      </c>
      <c r="AQ51" s="53" t="n">
        <v>0.0032</v>
      </c>
      <c r="AR51" s="53" t="n">
        <v>-9999.9999</v>
      </c>
      <c r="AS51" s="53" t="n">
        <v>-9999.9999</v>
      </c>
      <c r="AT51" s="53" t="n">
        <v>0.0144</v>
      </c>
      <c r="AU51" s="53" t="n">
        <v>0.0111</v>
      </c>
      <c r="AV51" s="53" t="n">
        <f aca="false">AT51+AU51</f>
        <v>0.0255</v>
      </c>
      <c r="AW51" s="53" t="n">
        <v>-9999.9999</v>
      </c>
      <c r="AX51" s="53" t="s">
        <v>90</v>
      </c>
    </row>
    <row r="52" customFormat="false" ht="17.35" hidden="false" customHeight="false" outlineLevel="0" collapsed="false">
      <c r="A52" s="54" t="n">
        <v>46</v>
      </c>
      <c r="B52" s="55" t="s">
        <v>245</v>
      </c>
      <c r="C52" s="56" t="s">
        <v>246</v>
      </c>
      <c r="D52" s="57" t="n">
        <v>43897</v>
      </c>
      <c r="E52" s="58" t="s">
        <v>247</v>
      </c>
      <c r="F52" s="55" t="s">
        <v>245</v>
      </c>
      <c r="G52" s="56" t="s">
        <v>246</v>
      </c>
      <c r="H52" s="55" t="n">
        <v>36.635</v>
      </c>
      <c r="I52" s="55" t="n">
        <v>27.031</v>
      </c>
      <c r="J52" s="49"/>
      <c r="K52" s="59"/>
      <c r="L52" s="0"/>
      <c r="M52" s="60" t="s">
        <v>94</v>
      </c>
      <c r="N52" s="55"/>
      <c r="O52" s="55" t="n">
        <v>36.635</v>
      </c>
      <c r="P52" s="52" t="n">
        <v>0.02</v>
      </c>
      <c r="Q52" s="52" t="n">
        <v>0.02</v>
      </c>
      <c r="R52" s="52" t="n">
        <v>0.22</v>
      </c>
      <c r="S52" s="52" t="n">
        <v>0.21</v>
      </c>
      <c r="T52" s="52" t="n">
        <v>0.2</v>
      </c>
      <c r="U52" s="52" t="n">
        <v>0.2</v>
      </c>
      <c r="V52" s="52" t="n">
        <v>0.18</v>
      </c>
      <c r="W52" s="52" t="n">
        <v>0.18</v>
      </c>
      <c r="X52" s="52" t="n">
        <v>1.24</v>
      </c>
      <c r="Y52" s="52" t="n">
        <v>1.21</v>
      </c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</row>
    <row r="53" customFormat="false" ht="15" hidden="false" customHeight="false" outlineLevel="0" collapsed="false">
      <c r="A53" s="54" t="n">
        <v>47</v>
      </c>
      <c r="B53" s="55" t="s">
        <v>248</v>
      </c>
      <c r="C53" s="56" t="s">
        <v>249</v>
      </c>
      <c r="D53" s="57" t="n">
        <v>43897</v>
      </c>
      <c r="E53" s="58" t="s">
        <v>250</v>
      </c>
      <c r="F53" s="55" t="s">
        <v>248</v>
      </c>
      <c r="G53" s="56" t="s">
        <v>249</v>
      </c>
      <c r="H53" s="55" t="n">
        <v>36.624</v>
      </c>
      <c r="I53" s="55" t="n">
        <v>27.404</v>
      </c>
      <c r="J53" s="64"/>
      <c r="K53" s="59"/>
      <c r="L53" s="0"/>
      <c r="M53" s="61" t="s">
        <v>251</v>
      </c>
      <c r="N53" s="55"/>
      <c r="O53" s="55" t="n">
        <v>36.624</v>
      </c>
      <c r="P53" s="52" t="n">
        <v>0.01</v>
      </c>
      <c r="Q53" s="52" t="n">
        <v>0.01</v>
      </c>
      <c r="R53" s="52" t="n">
        <v>0.13</v>
      </c>
      <c r="S53" s="52" t="n">
        <v>0.13</v>
      </c>
      <c r="T53" s="52" t="n">
        <v>0.12</v>
      </c>
      <c r="U53" s="52" t="n">
        <v>0.12</v>
      </c>
      <c r="V53" s="52" t="n">
        <v>0.16</v>
      </c>
      <c r="W53" s="52" t="n">
        <v>0.16</v>
      </c>
      <c r="X53" s="52" t="n">
        <v>1.04</v>
      </c>
      <c r="Y53" s="52" t="n">
        <v>1.02</v>
      </c>
      <c r="Z53" s="53" t="n">
        <v>0.006</v>
      </c>
      <c r="AA53" s="53" t="n">
        <v>0.0007</v>
      </c>
      <c r="AB53" s="53" t="n">
        <v>0.0013</v>
      </c>
      <c r="AC53" s="53" t="n">
        <v>0.0013</v>
      </c>
      <c r="AD53" s="53" t="n">
        <v>0.0011</v>
      </c>
      <c r="AE53" s="53" t="n">
        <v>-9999.9999</v>
      </c>
      <c r="AF53" s="53" t="n">
        <v>-9999.9999</v>
      </c>
      <c r="AG53" s="53" t="n">
        <v>-9999.9999</v>
      </c>
      <c r="AH53" s="53" t="n">
        <v>0.0053</v>
      </c>
      <c r="AI53" s="53" t="n">
        <v>0.0011</v>
      </c>
      <c r="AJ53" s="53" t="n">
        <v>-9999.9999</v>
      </c>
      <c r="AK53" s="53" t="n">
        <v>0.0011</v>
      </c>
      <c r="AL53" s="53" t="n">
        <v>0.0593</v>
      </c>
      <c r="AM53" s="53" t="n">
        <v>-9999.9999</v>
      </c>
      <c r="AN53" s="53" t="n">
        <v>-9999.9999</v>
      </c>
      <c r="AO53" s="53" t="n">
        <v>-9999.9999</v>
      </c>
      <c r="AP53" s="53" t="n">
        <f aca="false">AO53</f>
        <v>-9999.9999</v>
      </c>
      <c r="AQ53" s="53" t="n">
        <v>0.005</v>
      </c>
      <c r="AR53" s="53" t="n">
        <v>-9999.9999</v>
      </c>
      <c r="AS53" s="53" t="n">
        <v>-9999.9999</v>
      </c>
      <c r="AT53" s="53" t="n">
        <v>0.0264</v>
      </c>
      <c r="AU53" s="53" t="n">
        <v>0.019</v>
      </c>
      <c r="AV53" s="53" t="n">
        <f aca="false">AT53+AU53</f>
        <v>0.0454</v>
      </c>
      <c r="AW53" s="53" t="n">
        <v>-9999.9999</v>
      </c>
      <c r="AX53" s="53" t="s">
        <v>90</v>
      </c>
    </row>
    <row r="54" customFormat="false" ht="17.35" hidden="false" customHeight="false" outlineLevel="0" collapsed="false">
      <c r="A54" s="54" t="n">
        <v>48</v>
      </c>
      <c r="B54" s="55" t="s">
        <v>252</v>
      </c>
      <c r="C54" s="56" t="s">
        <v>253</v>
      </c>
      <c r="D54" s="68" t="n">
        <v>43903</v>
      </c>
      <c r="E54" s="58" t="s">
        <v>254</v>
      </c>
      <c r="F54" s="55" t="s">
        <v>252</v>
      </c>
      <c r="G54" s="56" t="s">
        <v>253</v>
      </c>
      <c r="H54" s="55" t="n">
        <v>34.952</v>
      </c>
      <c r="I54" s="55" t="n">
        <v>29.042</v>
      </c>
      <c r="J54" s="49"/>
      <c r="K54" s="59"/>
      <c r="L54" s="0"/>
      <c r="M54" s="69" t="s">
        <v>255</v>
      </c>
      <c r="N54" s="55"/>
      <c r="O54" s="55" t="n">
        <v>34.952</v>
      </c>
      <c r="P54" s="52" t="n">
        <v>0.01</v>
      </c>
      <c r="Q54" s="52" t="n">
        <v>0.01</v>
      </c>
      <c r="R54" s="52" t="n">
        <v>0.08</v>
      </c>
      <c r="S54" s="52" t="n">
        <v>0.08</v>
      </c>
      <c r="T54" s="52" t="n">
        <v>0.07</v>
      </c>
      <c r="U54" s="52" t="n">
        <v>0.07</v>
      </c>
      <c r="V54" s="52" t="n">
        <v>0.06</v>
      </c>
      <c r="W54" s="52" t="n">
        <v>0.06</v>
      </c>
      <c r="X54" s="52" t="n">
        <v>0.88</v>
      </c>
      <c r="Y54" s="52" t="n">
        <v>0.86</v>
      </c>
      <c r="Z54" s="53" t="n">
        <v>0.0017</v>
      </c>
      <c r="AA54" s="53" t="n">
        <v>0.0053</v>
      </c>
      <c r="AB54" s="53" t="n">
        <v>0.0058</v>
      </c>
      <c r="AC54" s="53" t="n">
        <v>0.0017</v>
      </c>
      <c r="AD54" s="53" t="n">
        <v>0.0019</v>
      </c>
      <c r="AE54" s="53" t="n">
        <v>-9999.9999</v>
      </c>
      <c r="AF54" s="53" t="n">
        <v>-9999.9999</v>
      </c>
      <c r="AG54" s="53" t="n">
        <v>-9999.9999</v>
      </c>
      <c r="AH54" s="53" t="n">
        <v>0.0079</v>
      </c>
      <c r="AI54" s="53" t="n">
        <v>0.0023</v>
      </c>
      <c r="AJ54" s="53" t="n">
        <v>-9999.9999</v>
      </c>
      <c r="AK54" s="53" t="n">
        <v>-9999.9999</v>
      </c>
      <c r="AL54" s="53" t="n">
        <v>0.0755</v>
      </c>
      <c r="AM54" s="53" t="n">
        <v>-9999.9999</v>
      </c>
      <c r="AN54" s="53" t="n">
        <v>-9999.9999</v>
      </c>
      <c r="AO54" s="53" t="n">
        <v>-9999.9999</v>
      </c>
      <c r="AP54" s="53" t="n">
        <f aca="false">AO54</f>
        <v>-9999.9999</v>
      </c>
      <c r="AQ54" s="53" t="n">
        <v>0.0113</v>
      </c>
      <c r="AR54" s="53" t="n">
        <v>-9999.9999</v>
      </c>
      <c r="AS54" s="53" t="n">
        <v>-9999.9999</v>
      </c>
      <c r="AT54" s="53" t="n">
        <v>0.0582</v>
      </c>
      <c r="AU54" s="53" t="n">
        <v>0.0434</v>
      </c>
      <c r="AV54" s="53" t="n">
        <f aca="false">AT54+AU54</f>
        <v>0.1016</v>
      </c>
      <c r="AW54" s="53" t="n">
        <v>-9999.9999</v>
      </c>
      <c r="AX54" s="53" t="s">
        <v>90</v>
      </c>
    </row>
    <row r="55" customFormat="false" ht="17.35" hidden="false" customHeight="false" outlineLevel="0" collapsed="false">
      <c r="A55" s="54" t="n">
        <v>49</v>
      </c>
      <c r="B55" s="55" t="s">
        <v>256</v>
      </c>
      <c r="C55" s="56" t="s">
        <v>257</v>
      </c>
      <c r="D55" s="68" t="n">
        <v>43903</v>
      </c>
      <c r="E55" s="58" t="s">
        <v>258</v>
      </c>
      <c r="F55" s="55" t="s">
        <v>256</v>
      </c>
      <c r="G55" s="56" t="s">
        <v>257</v>
      </c>
      <c r="H55" s="55" t="n">
        <v>35.071</v>
      </c>
      <c r="I55" s="55" t="n">
        <v>28.649</v>
      </c>
      <c r="J55" s="64"/>
      <c r="K55" s="59"/>
      <c r="L55" s="0"/>
      <c r="M55" s="60" t="s">
        <v>94</v>
      </c>
      <c r="N55" s="55"/>
      <c r="O55" s="55" t="n">
        <v>35.071</v>
      </c>
      <c r="P55" s="52" t="n">
        <v>0.01</v>
      </c>
      <c r="Q55" s="52" t="n">
        <v>0.01</v>
      </c>
      <c r="R55" s="52" t="n">
        <v>0.08</v>
      </c>
      <c r="S55" s="52" t="n">
        <v>0.08</v>
      </c>
      <c r="T55" s="52" t="n">
        <v>0.07</v>
      </c>
      <c r="U55" s="52" t="n">
        <v>0.07</v>
      </c>
      <c r="V55" s="52" t="n">
        <v>0.08</v>
      </c>
      <c r="W55" s="52" t="n">
        <v>0.08</v>
      </c>
      <c r="X55" s="52" t="n">
        <v>1.27</v>
      </c>
      <c r="Y55" s="52" t="n">
        <v>1.24</v>
      </c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</row>
    <row r="56" customFormat="false" ht="17.35" hidden="false" customHeight="false" outlineLevel="0" collapsed="false">
      <c r="A56" s="54" t="n">
        <v>50</v>
      </c>
      <c r="B56" s="55" t="s">
        <v>259</v>
      </c>
      <c r="C56" s="56" t="s">
        <v>260</v>
      </c>
      <c r="D56" s="68" t="n">
        <v>43903</v>
      </c>
      <c r="E56" s="58" t="s">
        <v>261</v>
      </c>
      <c r="F56" s="55" t="s">
        <v>259</v>
      </c>
      <c r="G56" s="56" t="s">
        <v>260</v>
      </c>
      <c r="H56" s="55" t="n">
        <v>35.849</v>
      </c>
      <c r="I56" s="55" t="n">
        <v>28.504</v>
      </c>
      <c r="J56" s="49"/>
      <c r="K56" s="59"/>
      <c r="L56" s="0"/>
      <c r="M56" s="61" t="s">
        <v>262</v>
      </c>
      <c r="N56" s="55"/>
      <c r="O56" s="55" t="n">
        <v>35.849</v>
      </c>
      <c r="P56" s="52" t="n">
        <v>0.01</v>
      </c>
      <c r="Q56" s="52" t="n">
        <v>0.01</v>
      </c>
      <c r="R56" s="52" t="n">
        <v>0.08</v>
      </c>
      <c r="S56" s="52" t="n">
        <v>0.08</v>
      </c>
      <c r="T56" s="52" t="n">
        <v>0.07</v>
      </c>
      <c r="U56" s="52" t="n">
        <v>0.07</v>
      </c>
      <c r="V56" s="52" t="n">
        <v>0.08</v>
      </c>
      <c r="W56" s="52" t="n">
        <v>0.08</v>
      </c>
      <c r="X56" s="52" t="n">
        <v>1.27</v>
      </c>
      <c r="Y56" s="52" t="n">
        <v>1.24</v>
      </c>
      <c r="Z56" s="53" t="n">
        <v>0.0024</v>
      </c>
      <c r="AA56" s="53" t="n">
        <v>0.0057</v>
      </c>
      <c r="AB56" s="53" t="n">
        <v>0.0044</v>
      </c>
      <c r="AC56" s="53" t="n">
        <v>0.0028</v>
      </c>
      <c r="AD56" s="53" t="n">
        <v>0.0043</v>
      </c>
      <c r="AE56" s="53" t="n">
        <v>-9999.9999</v>
      </c>
      <c r="AF56" s="53" t="n">
        <v>-9999.9999</v>
      </c>
      <c r="AG56" s="53" t="n">
        <v>-9999.9999</v>
      </c>
      <c r="AH56" s="53" t="n">
        <v>0.0108</v>
      </c>
      <c r="AI56" s="53" t="n">
        <v>0.004</v>
      </c>
      <c r="AJ56" s="53" t="n">
        <v>-9999.9999</v>
      </c>
      <c r="AK56" s="53" t="n">
        <v>0.0007</v>
      </c>
      <c r="AL56" s="53" t="n">
        <v>0.0977</v>
      </c>
      <c r="AM56" s="53" t="n">
        <v>-9999.9999</v>
      </c>
      <c r="AN56" s="53" t="n">
        <v>-9999.9999</v>
      </c>
      <c r="AO56" s="53" t="n">
        <v>-9999.9999</v>
      </c>
      <c r="AP56" s="53" t="n">
        <f aca="false">AO56</f>
        <v>-9999.9999</v>
      </c>
      <c r="AQ56" s="53" t="n">
        <v>0.0119</v>
      </c>
      <c r="AR56" s="53" t="n">
        <v>-9999.9999</v>
      </c>
      <c r="AS56" s="53" t="n">
        <v>-9999.9999</v>
      </c>
      <c r="AT56" s="53" t="n">
        <v>0.0531</v>
      </c>
      <c r="AU56" s="53" t="n">
        <v>0.0607</v>
      </c>
      <c r="AV56" s="53" t="n">
        <f aca="false">AT56+AU56</f>
        <v>0.1138</v>
      </c>
      <c r="AW56" s="53" t="n">
        <v>0.0018</v>
      </c>
      <c r="AX56" s="53" t="s">
        <v>90</v>
      </c>
    </row>
    <row r="57" customFormat="false" ht="17.35" hidden="false" customHeight="false" outlineLevel="0" collapsed="false">
      <c r="A57" s="54" t="n">
        <v>51</v>
      </c>
      <c r="B57" s="55" t="s">
        <v>263</v>
      </c>
      <c r="C57" s="56" t="s">
        <v>264</v>
      </c>
      <c r="D57" s="68" t="n">
        <v>43904</v>
      </c>
      <c r="E57" s="58" t="s">
        <v>265</v>
      </c>
      <c r="F57" s="55" t="s">
        <v>263</v>
      </c>
      <c r="G57" s="56" t="s">
        <v>264</v>
      </c>
      <c r="H57" s="55" t="n">
        <v>35.964</v>
      </c>
      <c r="I57" s="55" t="n">
        <v>28.4</v>
      </c>
      <c r="J57" s="64"/>
      <c r="K57" s="59"/>
      <c r="L57" s="0"/>
      <c r="M57" s="60" t="s">
        <v>94</v>
      </c>
      <c r="N57" s="55"/>
      <c r="O57" s="55" t="n">
        <v>35.964</v>
      </c>
      <c r="P57" s="52" t="n">
        <v>0.02</v>
      </c>
      <c r="Q57" s="52" t="n">
        <v>0.02</v>
      </c>
      <c r="R57" s="52" t="n">
        <v>1.06</v>
      </c>
      <c r="S57" s="52" t="n">
        <v>1.04</v>
      </c>
      <c r="T57" s="52" t="n">
        <v>1.04</v>
      </c>
      <c r="U57" s="52" t="n">
        <v>1.02</v>
      </c>
      <c r="V57" s="52" t="n">
        <v>0.23</v>
      </c>
      <c r="W57" s="52" t="n">
        <v>0.22</v>
      </c>
      <c r="X57" s="52" t="n">
        <v>1.71</v>
      </c>
      <c r="Y57" s="52" t="n">
        <v>1.67</v>
      </c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</row>
    <row r="58" customFormat="false" ht="17.35" hidden="false" customHeight="false" outlineLevel="0" collapsed="false">
      <c r="A58" s="54" t="n">
        <v>52</v>
      </c>
      <c r="B58" s="55" t="s">
        <v>266</v>
      </c>
      <c r="C58" s="56" t="s">
        <v>267</v>
      </c>
      <c r="D58" s="68" t="n">
        <v>43904</v>
      </c>
      <c r="E58" s="58" t="s">
        <v>268</v>
      </c>
      <c r="F58" s="55" t="s">
        <v>266</v>
      </c>
      <c r="G58" s="56" t="s">
        <v>267</v>
      </c>
      <c r="H58" s="55" t="n">
        <v>35.972</v>
      </c>
      <c r="I58" s="55" t="n">
        <v>28.062</v>
      </c>
      <c r="J58" s="49"/>
      <c r="K58" s="59"/>
      <c r="L58" s="0"/>
      <c r="M58" s="61" t="s">
        <v>269</v>
      </c>
      <c r="N58" s="55"/>
      <c r="O58" s="55" t="n">
        <v>35.972</v>
      </c>
      <c r="P58" s="52" t="n">
        <v>0.02</v>
      </c>
      <c r="Q58" s="52" t="n">
        <v>0.02</v>
      </c>
      <c r="R58" s="52" t="n">
        <v>0.12</v>
      </c>
      <c r="S58" s="52" t="n">
        <v>0.12</v>
      </c>
      <c r="T58" s="52" t="n">
        <v>0.1</v>
      </c>
      <c r="U58" s="52" t="n">
        <v>0.1</v>
      </c>
      <c r="V58" s="52" t="n">
        <v>0.09</v>
      </c>
      <c r="W58" s="52" t="n">
        <v>0.09</v>
      </c>
      <c r="X58" s="52" t="n">
        <v>1.26</v>
      </c>
      <c r="Y58" s="52" t="n">
        <v>1.23</v>
      </c>
      <c r="Z58" s="53" t="n">
        <v>0.0008</v>
      </c>
      <c r="AA58" s="53" t="n">
        <v>0.0041</v>
      </c>
      <c r="AB58" s="53" t="n">
        <v>0.002</v>
      </c>
      <c r="AC58" s="53" t="n">
        <v>0.0012</v>
      </c>
      <c r="AD58" s="53" t="n">
        <v>0.002</v>
      </c>
      <c r="AE58" s="53" t="n">
        <v>-9999.9999</v>
      </c>
      <c r="AF58" s="53" t="n">
        <v>-9999.9999</v>
      </c>
      <c r="AG58" s="53" t="n">
        <v>-9999.9999</v>
      </c>
      <c r="AH58" s="53" t="n">
        <v>0.0051</v>
      </c>
      <c r="AI58" s="53" t="n">
        <v>0.0017</v>
      </c>
      <c r="AJ58" s="53" t="n">
        <v>-9999.9999</v>
      </c>
      <c r="AK58" s="53" t="n">
        <v>-9999.9999</v>
      </c>
      <c r="AL58" s="53" t="n">
        <v>0.0685</v>
      </c>
      <c r="AM58" s="53" t="n">
        <v>-9999.9999</v>
      </c>
      <c r="AN58" s="53" t="n">
        <v>0.0053</v>
      </c>
      <c r="AO58" s="53" t="n">
        <v>0.0029</v>
      </c>
      <c r="AP58" s="53" t="n">
        <f aca="false">AN58+AO58</f>
        <v>0.0082</v>
      </c>
      <c r="AQ58" s="53" t="n">
        <v>0.011</v>
      </c>
      <c r="AR58" s="53" t="n">
        <v>-9999.9999</v>
      </c>
      <c r="AS58" s="53" t="n">
        <v>-9999.9999</v>
      </c>
      <c r="AT58" s="53" t="n">
        <v>0.0486</v>
      </c>
      <c r="AU58" s="53" t="n">
        <v>0.0429</v>
      </c>
      <c r="AV58" s="53" t="n">
        <f aca="false">AT58+AU58</f>
        <v>0.0915</v>
      </c>
      <c r="AW58" s="53" t="n">
        <v>0.0021</v>
      </c>
      <c r="AX58" s="53" t="s">
        <v>90</v>
      </c>
    </row>
    <row r="59" customFormat="false" ht="17.35" hidden="false" customHeight="false" outlineLevel="0" collapsed="false">
      <c r="A59" s="54" t="n">
        <v>53</v>
      </c>
      <c r="B59" s="55" t="s">
        <v>270</v>
      </c>
      <c r="C59" s="56" t="s">
        <v>271</v>
      </c>
      <c r="D59" s="68" t="n">
        <v>43904</v>
      </c>
      <c r="E59" s="58" t="s">
        <v>272</v>
      </c>
      <c r="F59" s="55" t="s">
        <v>270</v>
      </c>
      <c r="G59" s="56" t="s">
        <v>271</v>
      </c>
      <c r="H59" s="55" t="n">
        <v>35.989</v>
      </c>
      <c r="I59" s="55" t="n">
        <v>28.2</v>
      </c>
      <c r="J59" s="64"/>
      <c r="K59" s="59"/>
      <c r="L59" s="0"/>
      <c r="M59" s="60" t="s">
        <v>94</v>
      </c>
      <c r="N59" s="55"/>
      <c r="O59" s="55" t="n">
        <v>35.989</v>
      </c>
      <c r="P59" s="52" t="n">
        <v>0.02</v>
      </c>
      <c r="Q59" s="52" t="n">
        <v>0.02</v>
      </c>
      <c r="R59" s="52" t="n">
        <v>0.48</v>
      </c>
      <c r="S59" s="52" t="n">
        <v>0.47</v>
      </c>
      <c r="T59" s="52" t="n">
        <v>0.46</v>
      </c>
      <c r="U59" s="52" t="n">
        <v>0.45</v>
      </c>
      <c r="V59" s="52" t="n">
        <v>0.15</v>
      </c>
      <c r="W59" s="52" t="n">
        <v>0.15</v>
      </c>
      <c r="X59" s="52" t="n">
        <v>1.56</v>
      </c>
      <c r="Y59" s="52" t="n">
        <v>1.52</v>
      </c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</row>
    <row r="60" customFormat="false" ht="17.35" hidden="false" customHeight="false" outlineLevel="0" collapsed="false">
      <c r="A60" s="54" t="n">
        <v>54</v>
      </c>
      <c r="B60" s="55" t="s">
        <v>273</v>
      </c>
      <c r="C60" s="56" t="s">
        <v>274</v>
      </c>
      <c r="D60" s="68" t="n">
        <v>43904</v>
      </c>
      <c r="E60" s="58" t="s">
        <v>275</v>
      </c>
      <c r="F60" s="55" t="s">
        <v>273</v>
      </c>
      <c r="G60" s="56" t="s">
        <v>274</v>
      </c>
      <c r="H60" s="55" t="n">
        <v>36.013</v>
      </c>
      <c r="I60" s="55" t="n">
        <v>28.32</v>
      </c>
      <c r="J60" s="49"/>
      <c r="K60" s="59"/>
      <c r="L60" s="0"/>
      <c r="M60" s="61" t="s">
        <v>276</v>
      </c>
      <c r="N60" s="55"/>
      <c r="O60" s="55" t="n">
        <v>36.013</v>
      </c>
      <c r="P60" s="52" t="n">
        <v>0.02</v>
      </c>
      <c r="Q60" s="52" t="n">
        <v>0.02</v>
      </c>
      <c r="R60" s="52" t="n">
        <v>0.14</v>
      </c>
      <c r="S60" s="52" t="n">
        <v>0.14</v>
      </c>
      <c r="T60" s="52" t="n">
        <v>0.12</v>
      </c>
      <c r="U60" s="52" t="n">
        <v>0.12</v>
      </c>
      <c r="V60" s="52" t="n">
        <v>0.1</v>
      </c>
      <c r="W60" s="52" t="n">
        <v>0.1</v>
      </c>
      <c r="X60" s="52" t="n">
        <v>1.22</v>
      </c>
      <c r="Y60" s="52" t="n">
        <v>1.19</v>
      </c>
      <c r="Z60" s="53" t="n">
        <v>0.0028</v>
      </c>
      <c r="AA60" s="53" t="n">
        <v>-9999.9999</v>
      </c>
      <c r="AB60" s="53" t="n">
        <v>-9999.9999</v>
      </c>
      <c r="AC60" s="53" t="n">
        <v>0.0009</v>
      </c>
      <c r="AD60" s="53" t="n">
        <v>0.0016</v>
      </c>
      <c r="AE60" s="53" t="n">
        <v>-9999.9999</v>
      </c>
      <c r="AF60" s="53" t="n">
        <v>-9999.9999</v>
      </c>
      <c r="AG60" s="53" t="n">
        <v>-9999.9999</v>
      </c>
      <c r="AH60" s="53" t="n">
        <v>0.0046</v>
      </c>
      <c r="AI60" s="53" t="n">
        <v>0.0018</v>
      </c>
      <c r="AJ60" s="53" t="n">
        <v>-9999.9999</v>
      </c>
      <c r="AK60" s="53" t="n">
        <v>0.0017</v>
      </c>
      <c r="AL60" s="53" t="n">
        <v>0.0643</v>
      </c>
      <c r="AM60" s="53" t="n">
        <v>-9999.9999</v>
      </c>
      <c r="AN60" s="53" t="n">
        <v>0.004</v>
      </c>
      <c r="AO60" s="53" t="n">
        <v>0.0026</v>
      </c>
      <c r="AP60" s="53" t="n">
        <f aca="false">AN60+AO60</f>
        <v>0.0066</v>
      </c>
      <c r="AQ60" s="53" t="n">
        <v>0.0091</v>
      </c>
      <c r="AR60" s="53" t="n">
        <v>-9999.9999</v>
      </c>
      <c r="AS60" s="53" t="n">
        <v>-9999.9999</v>
      </c>
      <c r="AT60" s="53" t="n">
        <v>0.0397</v>
      </c>
      <c r="AU60" s="53" t="n">
        <v>0.0338</v>
      </c>
      <c r="AV60" s="53" t="n">
        <f aca="false">AT60+AU60</f>
        <v>0.0735</v>
      </c>
      <c r="AW60" s="53" t="n">
        <v>0.0025</v>
      </c>
      <c r="AX60" s="53" t="s">
        <v>90</v>
      </c>
    </row>
    <row r="61" customFormat="false" ht="17.35" hidden="false" customHeight="false" outlineLevel="0" collapsed="false">
      <c r="A61" s="54" t="n">
        <v>55</v>
      </c>
      <c r="B61" s="55" t="s">
        <v>277</v>
      </c>
      <c r="C61" s="56" t="s">
        <v>278</v>
      </c>
      <c r="D61" s="68" t="n">
        <v>43904</v>
      </c>
      <c r="E61" s="58" t="s">
        <v>279</v>
      </c>
      <c r="F61" s="55" t="s">
        <v>277</v>
      </c>
      <c r="G61" s="56" t="s">
        <v>278</v>
      </c>
      <c r="H61" s="55" t="n">
        <v>36.014</v>
      </c>
      <c r="I61" s="55" t="n">
        <v>28.232</v>
      </c>
      <c r="J61" s="64"/>
      <c r="K61" s="59"/>
      <c r="L61" s="0"/>
      <c r="M61" s="60" t="s">
        <v>94</v>
      </c>
      <c r="N61" s="55"/>
      <c r="O61" s="55" t="n">
        <v>36.014</v>
      </c>
      <c r="P61" s="52" t="n">
        <v>0.01</v>
      </c>
      <c r="Q61" s="52" t="n">
        <v>0.01</v>
      </c>
      <c r="R61" s="52" t="n">
        <v>0.08</v>
      </c>
      <c r="S61" s="52" t="n">
        <v>0.08</v>
      </c>
      <c r="T61" s="52" t="n">
        <v>0.07</v>
      </c>
      <c r="U61" s="52" t="n">
        <v>0.07</v>
      </c>
      <c r="V61" s="52" t="n">
        <v>0.07</v>
      </c>
      <c r="W61" s="52" t="n">
        <v>0.07</v>
      </c>
      <c r="X61" s="52" t="n">
        <v>1.07</v>
      </c>
      <c r="Y61" s="52" t="n">
        <v>1.05</v>
      </c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</row>
    <row r="62" customFormat="false" ht="17.35" hidden="false" customHeight="false" outlineLevel="0" collapsed="false">
      <c r="A62" s="54" t="n">
        <v>56</v>
      </c>
      <c r="B62" s="55" t="s">
        <v>280</v>
      </c>
      <c r="C62" s="56" t="s">
        <v>281</v>
      </c>
      <c r="D62" s="68" t="n">
        <v>43905</v>
      </c>
      <c r="E62" s="58" t="s">
        <v>282</v>
      </c>
      <c r="F62" s="55" t="s">
        <v>280</v>
      </c>
      <c r="G62" s="56" t="s">
        <v>281</v>
      </c>
      <c r="H62" s="55" t="n">
        <v>35.999</v>
      </c>
      <c r="I62" s="55" t="n">
        <v>28.096</v>
      </c>
      <c r="J62" s="49"/>
      <c r="K62" s="59"/>
      <c r="L62" s="0"/>
      <c r="M62" s="61" t="s">
        <v>283</v>
      </c>
      <c r="N62" s="55"/>
      <c r="O62" s="55" t="n">
        <v>35.999</v>
      </c>
      <c r="P62" s="52" t="n">
        <v>0.02</v>
      </c>
      <c r="Q62" s="52" t="n">
        <v>0.02</v>
      </c>
      <c r="R62" s="52" t="n">
        <v>0.66</v>
      </c>
      <c r="S62" s="52" t="n">
        <v>0.64</v>
      </c>
      <c r="T62" s="52" t="n">
        <v>0.64</v>
      </c>
      <c r="U62" s="52" t="n">
        <v>0.63</v>
      </c>
      <c r="V62" s="52" t="n">
        <v>0.12</v>
      </c>
      <c r="W62" s="52" t="n">
        <v>0.12</v>
      </c>
      <c r="X62" s="52" t="n">
        <v>1.53</v>
      </c>
      <c r="Y62" s="52" t="n">
        <v>1.5</v>
      </c>
      <c r="Z62" s="53" t="n">
        <v>0.0011</v>
      </c>
      <c r="AA62" s="53" t="n">
        <v>0.0031</v>
      </c>
      <c r="AB62" s="53" t="n">
        <v>0.0012</v>
      </c>
      <c r="AC62" s="53" t="n">
        <v>0.0013</v>
      </c>
      <c r="AD62" s="53" t="n">
        <v>0.0017</v>
      </c>
      <c r="AE62" s="53" t="n">
        <v>-9999.9999</v>
      </c>
      <c r="AF62" s="53" t="n">
        <v>-9999.9999</v>
      </c>
      <c r="AG62" s="53" t="n">
        <v>-9999.9999</v>
      </c>
      <c r="AH62" s="53" t="n">
        <v>0.0051</v>
      </c>
      <c r="AI62" s="53" t="n">
        <v>0.0019</v>
      </c>
      <c r="AJ62" s="53" t="n">
        <v>-9999.9999</v>
      </c>
      <c r="AK62" s="53" t="n">
        <v>-9999.9999</v>
      </c>
      <c r="AL62" s="53" t="n">
        <v>0.0531</v>
      </c>
      <c r="AM62" s="53" t="n">
        <v>-9999.9999</v>
      </c>
      <c r="AN62" s="53" t="n">
        <v>0.0042</v>
      </c>
      <c r="AO62" s="53" t="n">
        <v>0.0026</v>
      </c>
      <c r="AP62" s="53" t="n">
        <f aca="false">AN62+AO62</f>
        <v>0.0068</v>
      </c>
      <c r="AQ62" s="53" t="n">
        <v>0.0088</v>
      </c>
      <c r="AR62" s="53" t="n">
        <v>-9999.9999</v>
      </c>
      <c r="AS62" s="53" t="n">
        <v>-9999.9999</v>
      </c>
      <c r="AT62" s="53" t="n">
        <v>0.0316</v>
      </c>
      <c r="AU62" s="53" t="n">
        <v>0.0379</v>
      </c>
      <c r="AV62" s="53" t="n">
        <f aca="false">AT62+AU62</f>
        <v>0.0695</v>
      </c>
      <c r="AW62" s="53" t="n">
        <v>0.0021</v>
      </c>
      <c r="AX62" s="53" t="s">
        <v>90</v>
      </c>
    </row>
    <row r="63" customFormat="false" ht="17.35" hidden="false" customHeight="false" outlineLevel="0" collapsed="false">
      <c r="A63" s="54" t="n">
        <v>57</v>
      </c>
      <c r="B63" s="55" t="s">
        <v>284</v>
      </c>
      <c r="C63" s="56" t="s">
        <v>285</v>
      </c>
      <c r="D63" s="68" t="n">
        <v>43905</v>
      </c>
      <c r="E63" s="58" t="s">
        <v>286</v>
      </c>
      <c r="F63" s="55" t="s">
        <v>284</v>
      </c>
      <c r="G63" s="56" t="s">
        <v>285</v>
      </c>
      <c r="H63" s="55" t="n">
        <v>35.965</v>
      </c>
      <c r="I63" s="55" t="n">
        <v>28.217</v>
      </c>
      <c r="J63" s="64"/>
      <c r="K63" s="59"/>
      <c r="L63" s="0"/>
      <c r="M63" s="60" t="s">
        <v>94</v>
      </c>
      <c r="N63" s="55"/>
      <c r="O63" s="55" t="n">
        <v>35.965</v>
      </c>
      <c r="P63" s="52" t="n">
        <v>0</v>
      </c>
      <c r="Q63" s="52" t="n">
        <v>0</v>
      </c>
      <c r="R63" s="52" t="n">
        <v>0.09</v>
      </c>
      <c r="S63" s="52" t="n">
        <v>0.09</v>
      </c>
      <c r="T63" s="52" t="n">
        <v>0.09</v>
      </c>
      <c r="U63" s="52" t="n">
        <v>0.09</v>
      </c>
      <c r="V63" s="52" t="n">
        <v>0.06</v>
      </c>
      <c r="W63" s="52" t="n">
        <v>0.06</v>
      </c>
      <c r="X63" s="52" t="n">
        <v>1.11</v>
      </c>
      <c r="Y63" s="52" t="n">
        <v>1.08</v>
      </c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</row>
    <row r="64" customFormat="false" ht="17.35" hidden="false" customHeight="false" outlineLevel="0" collapsed="false">
      <c r="A64" s="54" t="n">
        <v>58</v>
      </c>
      <c r="B64" s="55" t="s">
        <v>287</v>
      </c>
      <c r="C64" s="56" t="s">
        <v>288</v>
      </c>
      <c r="D64" s="68" t="n">
        <v>43905</v>
      </c>
      <c r="E64" s="58" t="s">
        <v>289</v>
      </c>
      <c r="F64" s="55" t="s">
        <v>287</v>
      </c>
      <c r="G64" s="56" t="s">
        <v>288</v>
      </c>
      <c r="H64" s="55" t="n">
        <v>35.962</v>
      </c>
      <c r="I64" s="55" t="n">
        <v>28.604</v>
      </c>
      <c r="J64" s="49"/>
      <c r="K64" s="59"/>
      <c r="L64" s="0"/>
      <c r="M64" s="61" t="s">
        <v>290</v>
      </c>
      <c r="N64" s="55"/>
      <c r="O64" s="55" t="n">
        <v>35.962</v>
      </c>
      <c r="P64" s="52" t="n">
        <v>0.01</v>
      </c>
      <c r="Q64" s="52" t="n">
        <v>0.01</v>
      </c>
      <c r="R64" s="52" t="n">
        <v>0.08</v>
      </c>
      <c r="S64" s="52" t="n">
        <v>0.08</v>
      </c>
      <c r="T64" s="52" t="n">
        <v>0.07</v>
      </c>
      <c r="U64" s="52" t="n">
        <v>0.07</v>
      </c>
      <c r="V64" s="52" t="n">
        <v>0.07</v>
      </c>
      <c r="W64" s="52" t="n">
        <v>0.07</v>
      </c>
      <c r="X64" s="52" t="n">
        <v>1.18</v>
      </c>
      <c r="Y64" s="52" t="n">
        <v>1.15</v>
      </c>
      <c r="Z64" s="53" t="n">
        <v>0.001</v>
      </c>
      <c r="AA64" s="53" t="n">
        <v>0.0063</v>
      </c>
      <c r="AB64" s="53" t="n">
        <v>0.0046</v>
      </c>
      <c r="AC64" s="53" t="n">
        <v>0.0023</v>
      </c>
      <c r="AD64" s="53" t="n">
        <v>0.0029</v>
      </c>
      <c r="AE64" s="53" t="n">
        <v>-9999.9999</v>
      </c>
      <c r="AF64" s="53" t="n">
        <v>-9999.9999</v>
      </c>
      <c r="AG64" s="53" t="n">
        <v>-9999.9999</v>
      </c>
      <c r="AH64" s="53" t="n">
        <v>0.0098</v>
      </c>
      <c r="AI64" s="53" t="n">
        <v>0.0049</v>
      </c>
      <c r="AJ64" s="53" t="n">
        <v>-9999.9999</v>
      </c>
      <c r="AK64" s="53" t="n">
        <v>0.003</v>
      </c>
      <c r="AL64" s="53" t="n">
        <v>0.0705</v>
      </c>
      <c r="AM64" s="53" t="n">
        <v>-9999.9999</v>
      </c>
      <c r="AN64" s="53" t="n">
        <v>0.0043</v>
      </c>
      <c r="AO64" s="53" t="n">
        <v>0.0034</v>
      </c>
      <c r="AP64" s="53" t="n">
        <f aca="false">AN64+AO64</f>
        <v>0.0077</v>
      </c>
      <c r="AQ64" s="53" t="n">
        <v>-9999.9999</v>
      </c>
      <c r="AR64" s="53" t="n">
        <v>0.0202</v>
      </c>
      <c r="AS64" s="53" t="n">
        <v>-9999.9999</v>
      </c>
      <c r="AT64" s="53" t="n">
        <v>0.0469</v>
      </c>
      <c r="AU64" s="53" t="n">
        <v>0.1184</v>
      </c>
      <c r="AV64" s="53" t="n">
        <f aca="false">AT64+AU64</f>
        <v>0.1653</v>
      </c>
      <c r="AW64" s="53" t="n">
        <v>0.0025</v>
      </c>
      <c r="AX64" s="53" t="s">
        <v>90</v>
      </c>
    </row>
    <row r="65" customFormat="false" ht="17.35" hidden="false" customHeight="false" outlineLevel="0" collapsed="false">
      <c r="A65" s="54" t="n">
        <v>59</v>
      </c>
      <c r="B65" s="55" t="s">
        <v>291</v>
      </c>
      <c r="C65" s="56" t="s">
        <v>292</v>
      </c>
      <c r="D65" s="68" t="n">
        <v>43905</v>
      </c>
      <c r="E65" s="58" t="s">
        <v>293</v>
      </c>
      <c r="F65" s="55" t="s">
        <v>291</v>
      </c>
      <c r="G65" s="56" t="s">
        <v>292</v>
      </c>
      <c r="H65" s="55" t="n">
        <v>35.936</v>
      </c>
      <c r="I65" s="55" t="n">
        <v>28.403</v>
      </c>
      <c r="J65" s="64"/>
      <c r="K65" s="59"/>
      <c r="L65" s="0"/>
      <c r="M65" s="60" t="s">
        <v>94</v>
      </c>
      <c r="N65" s="55"/>
      <c r="O65" s="55" t="n">
        <v>35.936</v>
      </c>
      <c r="P65" s="52" t="n">
        <v>0.02</v>
      </c>
      <c r="Q65" s="52" t="n">
        <v>0.02</v>
      </c>
      <c r="R65" s="52" t="n">
        <v>0.57</v>
      </c>
      <c r="S65" s="52" t="n">
        <v>0.56</v>
      </c>
      <c r="T65" s="52" t="n">
        <v>0.55</v>
      </c>
      <c r="U65" s="52" t="n">
        <v>0.54</v>
      </c>
      <c r="V65" s="52" t="n">
        <v>0.13</v>
      </c>
      <c r="W65" s="52" t="n">
        <v>0.13</v>
      </c>
      <c r="X65" s="52" t="n">
        <v>1.54</v>
      </c>
      <c r="Y65" s="52" t="n">
        <v>1.5</v>
      </c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</row>
    <row r="66" customFormat="false" ht="17.35" hidden="false" customHeight="false" outlineLevel="0" collapsed="false">
      <c r="A66" s="54" t="n">
        <v>60</v>
      </c>
      <c r="B66" s="55" t="s">
        <v>294</v>
      </c>
      <c r="C66" s="56" t="s">
        <v>295</v>
      </c>
      <c r="D66" s="68" t="n">
        <v>43906</v>
      </c>
      <c r="E66" s="58" t="s">
        <v>296</v>
      </c>
      <c r="F66" s="55" t="s">
        <v>294</v>
      </c>
      <c r="G66" s="56" t="s">
        <v>295</v>
      </c>
      <c r="H66" s="55" t="n">
        <v>35.888</v>
      </c>
      <c r="I66" s="55" t="n">
        <v>28.607</v>
      </c>
      <c r="J66" s="49"/>
      <c r="K66" s="59"/>
      <c r="L66" s="0"/>
      <c r="M66" s="60" t="s">
        <v>94</v>
      </c>
      <c r="N66" s="55"/>
      <c r="O66" s="55" t="n">
        <v>35.888</v>
      </c>
      <c r="P66" s="52" t="n">
        <v>0.02</v>
      </c>
      <c r="Q66" s="52" t="n">
        <v>0.02</v>
      </c>
      <c r="R66" s="52" t="n">
        <v>1.58</v>
      </c>
      <c r="S66" s="52" t="n">
        <v>1.54</v>
      </c>
      <c r="T66" s="52" t="n">
        <v>1.56</v>
      </c>
      <c r="U66" s="52" t="n">
        <v>1.52</v>
      </c>
      <c r="V66" s="52" t="n">
        <v>0.24</v>
      </c>
      <c r="W66" s="52" t="n">
        <v>0.23</v>
      </c>
      <c r="X66" s="52" t="n">
        <v>1.98</v>
      </c>
      <c r="Y66" s="52" t="n">
        <v>1.93</v>
      </c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</row>
    <row r="67" customFormat="false" ht="17.35" hidden="false" customHeight="false" outlineLevel="0" collapsed="false">
      <c r="A67" s="54" t="n">
        <v>61</v>
      </c>
      <c r="B67" s="55" t="s">
        <v>297</v>
      </c>
      <c r="C67" s="56" t="s">
        <v>298</v>
      </c>
      <c r="D67" s="68" t="n">
        <v>43906</v>
      </c>
      <c r="E67" s="58" t="s">
        <v>299</v>
      </c>
      <c r="F67" s="55" t="s">
        <v>297</v>
      </c>
      <c r="G67" s="56" t="s">
        <v>298</v>
      </c>
      <c r="H67" s="55" t="n">
        <v>36.02</v>
      </c>
      <c r="I67" s="55" t="n">
        <v>28.92</v>
      </c>
      <c r="J67" s="49"/>
      <c r="K67" s="59"/>
      <c r="L67" s="0"/>
      <c r="M67" s="61" t="s">
        <v>300</v>
      </c>
      <c r="N67" s="55"/>
      <c r="O67" s="55" t="n">
        <v>36.02</v>
      </c>
      <c r="P67" s="52" t="n">
        <v>0.01</v>
      </c>
      <c r="Q67" s="52" t="n">
        <v>0.01</v>
      </c>
      <c r="R67" s="52" t="n">
        <v>0.07</v>
      </c>
      <c r="S67" s="52" t="n">
        <v>0.07</v>
      </c>
      <c r="T67" s="52" t="n">
        <v>0.06</v>
      </c>
      <c r="U67" s="52" t="n">
        <v>0.06</v>
      </c>
      <c r="V67" s="52" t="n">
        <v>0.03</v>
      </c>
      <c r="W67" s="52" t="n">
        <v>0.03</v>
      </c>
      <c r="X67" s="52" t="n">
        <v>0.98</v>
      </c>
      <c r="Y67" s="52" t="n">
        <v>0.96</v>
      </c>
      <c r="Z67" s="53" t="n">
        <v>0.0015</v>
      </c>
      <c r="AA67" s="53" t="n">
        <v>0.0031</v>
      </c>
      <c r="AB67" s="53" t="n">
        <v>0.0035</v>
      </c>
      <c r="AC67" s="53" t="n">
        <v>0.0023</v>
      </c>
      <c r="AD67" s="53" t="n">
        <v>0.0026</v>
      </c>
      <c r="AE67" s="53" t="n">
        <v>-9999.9999</v>
      </c>
      <c r="AF67" s="53" t="n">
        <v>-9999.9999</v>
      </c>
      <c r="AG67" s="53" t="n">
        <v>-9999.9999</v>
      </c>
      <c r="AH67" s="53" t="n">
        <v>0.0088</v>
      </c>
      <c r="AI67" s="53" t="n">
        <v>0.0029</v>
      </c>
      <c r="AJ67" s="53" t="n">
        <v>-9999.9999</v>
      </c>
      <c r="AK67" s="53" t="n">
        <v>-9999.9999</v>
      </c>
      <c r="AL67" s="53" t="n">
        <v>0.101</v>
      </c>
      <c r="AM67" s="53" t="n">
        <v>-9999.9999</v>
      </c>
      <c r="AN67" s="53" t="n">
        <v>0.0047</v>
      </c>
      <c r="AO67" s="53" t="n">
        <v>0.0031</v>
      </c>
      <c r="AP67" s="53" t="n">
        <f aca="false">AN67+AO67</f>
        <v>0.0078</v>
      </c>
      <c r="AQ67" s="53" t="n">
        <v>-9999.9999</v>
      </c>
      <c r="AR67" s="53" t="n">
        <v>0.0213</v>
      </c>
      <c r="AS67" s="53" t="n">
        <v>-9999.9999</v>
      </c>
      <c r="AT67" s="53" t="n">
        <v>0.0535</v>
      </c>
      <c r="AU67" s="53" t="n">
        <v>0.0889</v>
      </c>
      <c r="AV67" s="53" t="n">
        <f aca="false">AT67+AU67</f>
        <v>0.1424</v>
      </c>
      <c r="AW67" s="53" t="n">
        <v>0.0024</v>
      </c>
      <c r="AX67" s="53" t="s">
        <v>90</v>
      </c>
    </row>
    <row r="68" customFormat="false" ht="17.35" hidden="false" customHeight="false" outlineLevel="0" collapsed="false">
      <c r="A68" s="54" t="n">
        <v>62</v>
      </c>
      <c r="B68" s="55" t="s">
        <v>301</v>
      </c>
      <c r="C68" s="56" t="s">
        <v>302</v>
      </c>
      <c r="D68" s="68" t="n">
        <v>43907</v>
      </c>
      <c r="E68" s="58" t="s">
        <v>303</v>
      </c>
      <c r="F68" s="55" t="s">
        <v>301</v>
      </c>
      <c r="G68" s="56" t="s">
        <v>302</v>
      </c>
      <c r="H68" s="55" t="n">
        <v>35.479</v>
      </c>
      <c r="I68" s="55" t="n">
        <v>28.83</v>
      </c>
      <c r="J68" s="49"/>
      <c r="K68" s="59"/>
      <c r="L68" s="0"/>
      <c r="M68" s="60" t="s">
        <v>94</v>
      </c>
      <c r="N68" s="55"/>
      <c r="O68" s="55" t="n">
        <v>35.479</v>
      </c>
      <c r="P68" s="52" t="n">
        <v>0.01</v>
      </c>
      <c r="Q68" s="52" t="n">
        <v>0.01</v>
      </c>
      <c r="R68" s="52" t="n">
        <v>0.2</v>
      </c>
      <c r="S68" s="52" t="n">
        <v>0.2</v>
      </c>
      <c r="T68" s="52" t="n">
        <v>0.19</v>
      </c>
      <c r="U68" s="52" t="n">
        <v>0.19</v>
      </c>
      <c r="V68" s="52" t="n">
        <v>0.07</v>
      </c>
      <c r="W68" s="52" t="n">
        <v>0.07</v>
      </c>
      <c r="X68" s="52" t="n">
        <v>1.13</v>
      </c>
      <c r="Y68" s="52" t="n">
        <v>1.1</v>
      </c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</row>
    <row r="69" customFormat="false" ht="17.35" hidden="false" customHeight="false" outlineLevel="0" collapsed="false">
      <c r="A69" s="54" t="n">
        <v>63</v>
      </c>
      <c r="B69" s="55" t="s">
        <v>304</v>
      </c>
      <c r="C69" s="56" t="s">
        <v>305</v>
      </c>
      <c r="D69" s="68" t="n">
        <v>43907</v>
      </c>
      <c r="E69" s="58" t="s">
        <v>306</v>
      </c>
      <c r="F69" s="55" t="s">
        <v>304</v>
      </c>
      <c r="G69" s="56" t="s">
        <v>305</v>
      </c>
      <c r="H69" s="55" t="n">
        <v>35.188</v>
      </c>
      <c r="I69" s="55" t="n">
        <v>29.014</v>
      </c>
      <c r="J69" s="49"/>
      <c r="K69" s="59"/>
      <c r="L69" s="0"/>
      <c r="M69" s="60" t="s">
        <v>307</v>
      </c>
      <c r="N69" s="55"/>
      <c r="O69" s="55" t="n">
        <v>35.188</v>
      </c>
      <c r="P69" s="52" t="n">
        <v>0.01</v>
      </c>
      <c r="Q69" s="52" t="n">
        <v>0.01</v>
      </c>
      <c r="R69" s="52" t="n">
        <v>0.12</v>
      </c>
      <c r="S69" s="52" t="n">
        <v>0.12</v>
      </c>
      <c r="T69" s="52" t="n">
        <v>0.11</v>
      </c>
      <c r="U69" s="52" t="n">
        <v>0.11</v>
      </c>
      <c r="V69" s="52" t="n">
        <v>0</v>
      </c>
      <c r="W69" s="52" t="n">
        <v>0</v>
      </c>
      <c r="X69" s="52" t="n">
        <v>1.04</v>
      </c>
      <c r="Y69" s="52" t="n">
        <v>1.02</v>
      </c>
      <c r="Z69" s="53" t="n">
        <v>0.003</v>
      </c>
      <c r="AA69" s="53" t="n">
        <v>0.004</v>
      </c>
      <c r="AB69" s="53" t="n">
        <v>0.002</v>
      </c>
      <c r="AC69" s="53" t="n">
        <v>0.0035</v>
      </c>
      <c r="AD69" s="53" t="n">
        <v>0.0026</v>
      </c>
      <c r="AE69" s="53" t="n">
        <v>-9999.9999</v>
      </c>
      <c r="AF69" s="53" t="n">
        <v>-9999.9999</v>
      </c>
      <c r="AG69" s="53" t="n">
        <v>-9999.9999</v>
      </c>
      <c r="AH69" s="53" t="n">
        <v>0.0133</v>
      </c>
      <c r="AI69" s="53" t="n">
        <v>0.0025</v>
      </c>
      <c r="AJ69" s="53" t="n">
        <v>-9999.9999</v>
      </c>
      <c r="AK69" s="53" t="n">
        <v>-9999.9999</v>
      </c>
      <c r="AL69" s="53" t="n">
        <v>0.074</v>
      </c>
      <c r="AM69" s="53" t="n">
        <v>-9999.9999</v>
      </c>
      <c r="AN69" s="53" t="n">
        <v>0.0078</v>
      </c>
      <c r="AO69" s="53" t="n">
        <v>0.0041</v>
      </c>
      <c r="AP69" s="53" t="n">
        <f aca="false">AN69+AO69</f>
        <v>0.0119</v>
      </c>
      <c r="AQ69" s="53" t="n">
        <v>-9999.9999</v>
      </c>
      <c r="AR69" s="53" t="n">
        <v>0.0195</v>
      </c>
      <c r="AS69" s="53" t="n">
        <v>-9999.9999</v>
      </c>
      <c r="AT69" s="53" t="n">
        <v>0.0614</v>
      </c>
      <c r="AU69" s="53" t="n">
        <v>0.0877</v>
      </c>
      <c r="AV69" s="53" t="n">
        <f aca="false">AT69+AU69</f>
        <v>0.1491</v>
      </c>
      <c r="AW69" s="53" t="n">
        <v>0.0029</v>
      </c>
      <c r="AX69" s="53" t="s">
        <v>90</v>
      </c>
    </row>
    <row r="70" customFormat="false" ht="17.35" hidden="false" customHeight="false" outlineLevel="0" collapsed="false">
      <c r="A70" s="54" t="n">
        <v>64</v>
      </c>
      <c r="B70" s="55" t="s">
        <v>308</v>
      </c>
      <c r="C70" s="56" t="s">
        <v>309</v>
      </c>
      <c r="D70" s="68" t="n">
        <v>43907</v>
      </c>
      <c r="E70" s="58" t="s">
        <v>310</v>
      </c>
      <c r="F70" s="55" t="s">
        <v>308</v>
      </c>
      <c r="G70" s="56" t="s">
        <v>309</v>
      </c>
      <c r="H70" s="55" t="n">
        <v>34.184</v>
      </c>
      <c r="I70" s="55" t="n">
        <v>29.339</v>
      </c>
      <c r="J70" s="49"/>
      <c r="K70" s="59"/>
      <c r="L70" s="0"/>
      <c r="M70" s="60" t="s">
        <v>94</v>
      </c>
      <c r="N70" s="55"/>
      <c r="O70" s="55" t="n">
        <v>34.184</v>
      </c>
      <c r="P70" s="52" t="n">
        <v>0.01</v>
      </c>
      <c r="Q70" s="52" t="n">
        <v>0.01</v>
      </c>
      <c r="R70" s="52" t="n">
        <v>0.79</v>
      </c>
      <c r="S70" s="52" t="n">
        <v>0.77</v>
      </c>
      <c r="T70" s="52" t="n">
        <v>0.78</v>
      </c>
      <c r="U70" s="52" t="n">
        <v>0.76</v>
      </c>
      <c r="V70" s="52" t="n">
        <v>0.09</v>
      </c>
      <c r="W70" s="52" t="n">
        <v>0.09</v>
      </c>
      <c r="X70" s="52" t="n">
        <v>1.47</v>
      </c>
      <c r="Y70" s="52" t="n">
        <v>1.44</v>
      </c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</row>
    <row r="71" customFormat="false" ht="17.35" hidden="false" customHeight="false" outlineLevel="0" collapsed="false">
      <c r="A71" s="54" t="n">
        <v>65</v>
      </c>
      <c r="B71" s="55" t="s">
        <v>311</v>
      </c>
      <c r="C71" s="56" t="s">
        <v>312</v>
      </c>
      <c r="D71" s="68" t="n">
        <v>43907</v>
      </c>
      <c r="E71" s="58" t="s">
        <v>313</v>
      </c>
      <c r="F71" s="55" t="s">
        <v>311</v>
      </c>
      <c r="G71" s="56" t="s">
        <v>312</v>
      </c>
      <c r="H71" s="55" t="n">
        <v>34.298</v>
      </c>
      <c r="I71" s="55" t="n">
        <v>29.939</v>
      </c>
      <c r="J71" s="49"/>
      <c r="K71" s="59"/>
      <c r="L71" s="0"/>
      <c r="M71" s="60" t="s">
        <v>314</v>
      </c>
      <c r="N71" s="55"/>
      <c r="O71" s="55" t="n">
        <v>34.298</v>
      </c>
      <c r="P71" s="52" t="n">
        <v>0.01</v>
      </c>
      <c r="Q71" s="52" t="n">
        <v>0.01</v>
      </c>
      <c r="R71" s="52" t="n">
        <v>0.08</v>
      </c>
      <c r="S71" s="52" t="n">
        <v>0.08</v>
      </c>
      <c r="T71" s="52" t="n">
        <v>0.07</v>
      </c>
      <c r="U71" s="52" t="n">
        <v>0.07</v>
      </c>
      <c r="V71" s="52" t="n">
        <v>0.03</v>
      </c>
      <c r="W71" s="52" t="n">
        <v>0.03</v>
      </c>
      <c r="X71" s="52" t="n">
        <v>0.98</v>
      </c>
      <c r="Y71" s="52" t="n">
        <v>0.96</v>
      </c>
      <c r="Z71" s="53" t="n">
        <v>0.0019</v>
      </c>
      <c r="AA71" s="53" t="n">
        <v>0.0038</v>
      </c>
      <c r="AB71" s="53" t="n">
        <v>0.0042</v>
      </c>
      <c r="AC71" s="53" t="n">
        <v>0.0018</v>
      </c>
      <c r="AD71" s="53" t="n">
        <v>0.0015</v>
      </c>
      <c r="AE71" s="53" t="n">
        <v>-9999.9999</v>
      </c>
      <c r="AF71" s="53" t="n">
        <v>-9999.9999</v>
      </c>
      <c r="AG71" s="53" t="n">
        <v>-9999.9999</v>
      </c>
      <c r="AH71" s="53" t="n">
        <v>0.0094</v>
      </c>
      <c r="AI71" s="53" t="n">
        <v>0.0036</v>
      </c>
      <c r="AJ71" s="53" t="n">
        <v>-9999.9999</v>
      </c>
      <c r="AK71" s="53" t="n">
        <v>0.0016</v>
      </c>
      <c r="AL71" s="53" t="n">
        <v>0.1132</v>
      </c>
      <c r="AM71" s="53" t="n">
        <v>-9999.9999</v>
      </c>
      <c r="AN71" s="53" t="n">
        <v>0.0057</v>
      </c>
      <c r="AO71" s="53" t="n">
        <v>0.0035</v>
      </c>
      <c r="AP71" s="53" t="n">
        <f aca="false">AN71+AO71</f>
        <v>0.0092</v>
      </c>
      <c r="AQ71" s="53" t="n">
        <v>0.0123</v>
      </c>
      <c r="AR71" s="53" t="n">
        <v>-9999.9999</v>
      </c>
      <c r="AS71" s="53" t="n">
        <v>-9999.9999</v>
      </c>
      <c r="AT71" s="53" t="n">
        <v>0.0559</v>
      </c>
      <c r="AU71" s="53" t="n">
        <v>0.0581</v>
      </c>
      <c r="AV71" s="53" t="n">
        <f aca="false">AT71+AU71</f>
        <v>0.114</v>
      </c>
      <c r="AW71" s="53" t="n">
        <v>0.0017</v>
      </c>
      <c r="AX71" s="53" t="s">
        <v>90</v>
      </c>
    </row>
    <row r="72" customFormat="false" ht="17.35" hidden="false" customHeight="false" outlineLevel="0" collapsed="false">
      <c r="A72" s="54" t="n">
        <v>66</v>
      </c>
      <c r="B72" s="55" t="s">
        <v>315</v>
      </c>
      <c r="C72" s="56" t="s">
        <v>316</v>
      </c>
      <c r="D72" s="68" t="n">
        <v>43907</v>
      </c>
      <c r="E72" s="58" t="s">
        <v>317</v>
      </c>
      <c r="F72" s="55" t="s">
        <v>315</v>
      </c>
      <c r="G72" s="56" t="s">
        <v>316</v>
      </c>
      <c r="H72" s="55" t="n">
        <v>34.592</v>
      </c>
      <c r="I72" s="55" t="n">
        <v>29.461</v>
      </c>
      <c r="J72" s="49"/>
      <c r="K72" s="59"/>
      <c r="L72" s="0"/>
      <c r="M72" s="60" t="s">
        <v>94</v>
      </c>
      <c r="N72" s="55"/>
      <c r="O72" s="55" t="n">
        <v>34.592</v>
      </c>
      <c r="P72" s="52" t="n">
        <v>0.02</v>
      </c>
      <c r="Q72" s="52" t="n">
        <v>0.02</v>
      </c>
      <c r="R72" s="52" t="n">
        <v>1.16</v>
      </c>
      <c r="S72" s="52" t="n">
        <v>1.13</v>
      </c>
      <c r="T72" s="52" t="n">
        <v>1.14</v>
      </c>
      <c r="U72" s="52" t="n">
        <v>1.11</v>
      </c>
      <c r="V72" s="52" t="n">
        <v>0.11</v>
      </c>
      <c r="W72" s="52" t="n">
        <v>0.11</v>
      </c>
      <c r="X72" s="52" t="n">
        <v>1.54</v>
      </c>
      <c r="Y72" s="52" t="n">
        <v>1.5</v>
      </c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</row>
    <row r="73" customFormat="false" ht="17.35" hidden="false" customHeight="false" outlineLevel="0" collapsed="false">
      <c r="A73" s="54" t="n">
        <v>67</v>
      </c>
      <c r="B73" s="55" t="s">
        <v>318</v>
      </c>
      <c r="C73" s="56" t="s">
        <v>319</v>
      </c>
      <c r="D73" s="68" t="n">
        <v>43908</v>
      </c>
      <c r="E73" s="58" t="s">
        <v>320</v>
      </c>
      <c r="F73" s="55" t="s">
        <v>318</v>
      </c>
      <c r="G73" s="56" t="s">
        <v>319</v>
      </c>
      <c r="H73" s="55" t="n">
        <v>35.704</v>
      </c>
      <c r="I73" s="55" t="n">
        <v>29.06</v>
      </c>
      <c r="J73" s="49"/>
      <c r="K73" s="59"/>
      <c r="L73" s="0"/>
      <c r="M73" s="61" t="s">
        <v>321</v>
      </c>
      <c r="N73" s="55"/>
      <c r="O73" s="55" t="n">
        <v>35.704</v>
      </c>
      <c r="P73" s="52" t="n">
        <v>0.01</v>
      </c>
      <c r="Q73" s="52" t="n">
        <v>0.01</v>
      </c>
      <c r="R73" s="52" t="n">
        <v>0.14</v>
      </c>
      <c r="S73" s="52" t="n">
        <v>0.14</v>
      </c>
      <c r="T73" s="52" t="n">
        <v>0.13</v>
      </c>
      <c r="U73" s="52" t="n">
        <v>0.13</v>
      </c>
      <c r="V73" s="52" t="n">
        <v>0.03</v>
      </c>
      <c r="W73" s="52" t="n">
        <v>0.03</v>
      </c>
      <c r="X73" s="52" t="n">
        <v>1.01</v>
      </c>
      <c r="Y73" s="52" t="n">
        <v>0.99</v>
      </c>
      <c r="Z73" s="53" t="n">
        <v>-9999.9999</v>
      </c>
      <c r="AA73" s="53" t="n">
        <v>-9999.9999</v>
      </c>
      <c r="AB73" s="53" t="n">
        <v>0.0013</v>
      </c>
      <c r="AC73" s="53" t="n">
        <v>0.0008</v>
      </c>
      <c r="AD73" s="53" t="n">
        <v>0.0009</v>
      </c>
      <c r="AE73" s="53" t="n">
        <v>-9999.9999</v>
      </c>
      <c r="AF73" s="53" t="n">
        <v>-9999.9999</v>
      </c>
      <c r="AG73" s="53" t="n">
        <v>-9999.9999</v>
      </c>
      <c r="AH73" s="53" t="n">
        <v>0.0046</v>
      </c>
      <c r="AI73" s="53" t="n">
        <v>0.0008</v>
      </c>
      <c r="AJ73" s="53" t="n">
        <v>-9999.9999</v>
      </c>
      <c r="AK73" s="53" t="n">
        <v>-9999.9999</v>
      </c>
      <c r="AL73" s="53" t="n">
        <v>0.0959</v>
      </c>
      <c r="AM73" s="53" t="n">
        <v>-9999.9999</v>
      </c>
      <c r="AN73" s="53" t="n">
        <v>0.0031</v>
      </c>
      <c r="AO73" s="53" t="n">
        <v>0.0022</v>
      </c>
      <c r="AP73" s="53" t="n">
        <f aca="false">AN73+AO73</f>
        <v>0.0053</v>
      </c>
      <c r="AQ73" s="53" t="n">
        <v>0.0093</v>
      </c>
      <c r="AR73" s="53" t="n">
        <v>-9999.9999</v>
      </c>
      <c r="AS73" s="53" t="n">
        <v>-9999.9999</v>
      </c>
      <c r="AT73" s="53" t="n">
        <v>0.0314</v>
      </c>
      <c r="AU73" s="53" t="n">
        <v>0.0267</v>
      </c>
      <c r="AV73" s="53" t="n">
        <f aca="false">AT73+AU73</f>
        <v>0.0581</v>
      </c>
      <c r="AW73" s="53" t="n">
        <v>0.0025</v>
      </c>
      <c r="AX73" s="53" t="s">
        <v>90</v>
      </c>
    </row>
    <row r="74" customFormat="false" ht="17.35" hidden="false" customHeight="false" outlineLevel="0" collapsed="false">
      <c r="A74" s="54" t="n">
        <v>68</v>
      </c>
      <c r="B74" s="55" t="s">
        <v>322</v>
      </c>
      <c r="C74" s="56" t="s">
        <v>323</v>
      </c>
      <c r="D74" s="68" t="n">
        <v>43908</v>
      </c>
      <c r="E74" s="58" t="s">
        <v>324</v>
      </c>
      <c r="F74" s="55" t="s">
        <v>322</v>
      </c>
      <c r="G74" s="56" t="s">
        <v>323</v>
      </c>
      <c r="H74" s="55" t="n">
        <v>35.812</v>
      </c>
      <c r="I74" s="55" t="n">
        <v>28.836</v>
      </c>
      <c r="J74" s="49"/>
      <c r="K74" s="59"/>
      <c r="L74" s="0"/>
      <c r="M74" s="60" t="s">
        <v>94</v>
      </c>
      <c r="N74" s="55"/>
      <c r="O74" s="55" t="n">
        <v>35.812</v>
      </c>
      <c r="P74" s="52" t="n">
        <v>0.01</v>
      </c>
      <c r="Q74" s="52" t="n">
        <v>0.01</v>
      </c>
      <c r="R74" s="52" t="n">
        <v>0.08</v>
      </c>
      <c r="S74" s="52" t="n">
        <v>0.08</v>
      </c>
      <c r="T74" s="52" t="n">
        <v>0.07</v>
      </c>
      <c r="U74" s="52" t="n">
        <v>0.07</v>
      </c>
      <c r="V74" s="52" t="n">
        <v>0</v>
      </c>
      <c r="W74" s="52" t="n">
        <v>0</v>
      </c>
      <c r="X74" s="52" t="n">
        <v>0.96</v>
      </c>
      <c r="Y74" s="52" t="n">
        <v>0.94</v>
      </c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</row>
    <row r="75" customFormat="false" ht="17.35" hidden="false" customHeight="false" outlineLevel="0" collapsed="false">
      <c r="A75" s="54" t="n">
        <v>69</v>
      </c>
      <c r="B75" s="55" t="s">
        <v>325</v>
      </c>
      <c r="C75" s="56" t="s">
        <v>326</v>
      </c>
      <c r="D75" s="68" t="n">
        <v>43908</v>
      </c>
      <c r="E75" s="58" t="s">
        <v>327</v>
      </c>
      <c r="F75" s="55" t="s">
        <v>325</v>
      </c>
      <c r="G75" s="56" t="s">
        <v>326</v>
      </c>
      <c r="H75" s="55" t="n">
        <v>35.66</v>
      </c>
      <c r="I75" s="55" t="n">
        <v>28.758</v>
      </c>
      <c r="J75" s="49"/>
      <c r="K75" s="59"/>
      <c r="L75" s="0"/>
      <c r="M75" s="70" t="s">
        <v>328</v>
      </c>
      <c r="N75" s="55"/>
      <c r="O75" s="55" t="n">
        <v>35.66</v>
      </c>
      <c r="P75" s="52" t="n">
        <v>0.01</v>
      </c>
      <c r="Q75" s="52" t="n">
        <v>0.01</v>
      </c>
      <c r="R75" s="52" t="n">
        <v>1.23</v>
      </c>
      <c r="S75" s="52" t="n">
        <v>1.2</v>
      </c>
      <c r="T75" s="52" t="n">
        <v>1.22</v>
      </c>
      <c r="U75" s="52" t="n">
        <v>1.19</v>
      </c>
      <c r="V75" s="52" t="n">
        <v>0.16</v>
      </c>
      <c r="W75" s="52" t="n">
        <v>0.16</v>
      </c>
      <c r="X75" s="52" t="n">
        <v>1.72</v>
      </c>
      <c r="Y75" s="52" t="n">
        <v>1.68</v>
      </c>
      <c r="Z75" s="53" t="n">
        <v>0.0033</v>
      </c>
      <c r="AA75" s="53" t="n">
        <v>0.0057</v>
      </c>
      <c r="AB75" s="53" t="n">
        <v>0.0049</v>
      </c>
      <c r="AC75" s="53" t="n">
        <v>0.0023</v>
      </c>
      <c r="AD75" s="53" t="n">
        <v>0.0019</v>
      </c>
      <c r="AE75" s="53" t="n">
        <v>-9999.9999</v>
      </c>
      <c r="AF75" s="53" t="n">
        <v>-9999.9999</v>
      </c>
      <c r="AG75" s="53" t="n">
        <v>-9999.9999</v>
      </c>
      <c r="AH75" s="53" t="n">
        <v>0.0119</v>
      </c>
      <c r="AI75" s="53" t="n">
        <v>0.0032</v>
      </c>
      <c r="AJ75" s="53" t="n">
        <v>-9999.9999</v>
      </c>
      <c r="AK75" s="53" t="n">
        <v>0.0009</v>
      </c>
      <c r="AL75" s="53" t="n">
        <v>0.107</v>
      </c>
      <c r="AM75" s="53" t="n">
        <v>-9999.9999</v>
      </c>
      <c r="AN75" s="53" t="n">
        <v>0.0042</v>
      </c>
      <c r="AO75" s="53" t="n">
        <v>0.003</v>
      </c>
      <c r="AP75" s="53" t="n">
        <f aca="false">AN75+AO75</f>
        <v>0.0072</v>
      </c>
      <c r="AQ75" s="53" t="n">
        <v>0.0148</v>
      </c>
      <c r="AR75" s="53" t="n">
        <v>-9999.9999</v>
      </c>
      <c r="AS75" s="53" t="n">
        <v>-9999.9999</v>
      </c>
      <c r="AT75" s="53" t="n">
        <v>0.052</v>
      </c>
      <c r="AU75" s="53" t="n">
        <v>0.0708</v>
      </c>
      <c r="AV75" s="53" t="n">
        <f aca="false">AT75+AU75</f>
        <v>0.1228</v>
      </c>
      <c r="AW75" s="53" t="n">
        <v>0.0021</v>
      </c>
      <c r="AX75" s="53" t="s">
        <v>90</v>
      </c>
    </row>
    <row r="76" customFormat="false" ht="17.35" hidden="false" customHeight="false" outlineLevel="0" collapsed="false">
      <c r="A76" s="54" t="n">
        <v>70</v>
      </c>
      <c r="B76" s="55" t="s">
        <v>329</v>
      </c>
      <c r="C76" s="56" t="s">
        <v>330</v>
      </c>
      <c r="D76" s="68" t="n">
        <v>43909</v>
      </c>
      <c r="E76" s="58" t="s">
        <v>331</v>
      </c>
      <c r="F76" s="55" t="s">
        <v>329</v>
      </c>
      <c r="G76" s="56" t="s">
        <v>330</v>
      </c>
      <c r="H76" s="55" t="n">
        <v>35.794</v>
      </c>
      <c r="I76" s="55" t="n">
        <v>28.156</v>
      </c>
      <c r="J76" s="49"/>
      <c r="K76" s="59"/>
      <c r="L76" s="0"/>
      <c r="M76" s="60" t="s">
        <v>94</v>
      </c>
      <c r="N76" s="55"/>
      <c r="O76" s="55" t="n">
        <v>35.794</v>
      </c>
      <c r="P76" s="52" t="n">
        <v>0</v>
      </c>
      <c r="Q76" s="52" t="n">
        <v>0</v>
      </c>
      <c r="R76" s="52" t="n">
        <v>0.79</v>
      </c>
      <c r="S76" s="52" t="n">
        <v>0.77</v>
      </c>
      <c r="T76" s="52" t="n">
        <v>0.79</v>
      </c>
      <c r="U76" s="52" t="n">
        <v>0.77</v>
      </c>
      <c r="V76" s="52" t="n">
        <v>0.04</v>
      </c>
      <c r="W76" s="52" t="n">
        <v>0.04</v>
      </c>
      <c r="X76" s="52" t="n">
        <v>1.4</v>
      </c>
      <c r="Y76" s="52" t="n">
        <v>1.37</v>
      </c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</row>
    <row r="77" customFormat="false" ht="17.35" hidden="false" customHeight="false" outlineLevel="0" collapsed="false">
      <c r="A77" s="54" t="n">
        <v>71</v>
      </c>
      <c r="B77" s="55" t="s">
        <v>332</v>
      </c>
      <c r="C77" s="56" t="s">
        <v>333</v>
      </c>
      <c r="D77" s="68" t="n">
        <v>43909</v>
      </c>
      <c r="E77" s="58" t="s">
        <v>334</v>
      </c>
      <c r="F77" s="55" t="s">
        <v>332</v>
      </c>
      <c r="G77" s="56" t="s">
        <v>333</v>
      </c>
      <c r="H77" s="55" t="n">
        <v>35.987</v>
      </c>
      <c r="I77" s="55" t="n">
        <v>26.366</v>
      </c>
      <c r="J77" s="49"/>
      <c r="K77" s="59"/>
      <c r="L77" s="0"/>
      <c r="M77" s="60" t="s">
        <v>335</v>
      </c>
      <c r="N77" s="55"/>
      <c r="O77" s="55" t="n">
        <v>35.987</v>
      </c>
      <c r="P77" s="52" t="n">
        <v>0.01</v>
      </c>
      <c r="Q77" s="52" t="n">
        <v>0.01</v>
      </c>
      <c r="R77" s="52" t="n">
        <v>0.96</v>
      </c>
      <c r="S77" s="52" t="n">
        <v>0.94</v>
      </c>
      <c r="T77" s="52" t="n">
        <v>0.95</v>
      </c>
      <c r="U77" s="52" t="n">
        <v>0.93</v>
      </c>
      <c r="V77" s="52" t="n">
        <v>0.09</v>
      </c>
      <c r="W77" s="52" t="n">
        <v>0.09</v>
      </c>
      <c r="X77" s="52" t="n">
        <v>2.25</v>
      </c>
      <c r="Y77" s="52" t="n">
        <v>2.2</v>
      </c>
      <c r="Z77" s="53" t="n">
        <v>-9999.9999</v>
      </c>
      <c r="AA77" s="53" t="n">
        <v>0.0071</v>
      </c>
      <c r="AB77" s="53" t="n">
        <v>0.0092</v>
      </c>
      <c r="AC77" s="53" t="n">
        <v>0.0038</v>
      </c>
      <c r="AD77" s="53" t="n">
        <v>0.0199</v>
      </c>
      <c r="AE77" s="53" t="n">
        <v>-9999.9999</v>
      </c>
      <c r="AF77" s="53" t="n">
        <v>-9999.9999</v>
      </c>
      <c r="AG77" s="53" t="n">
        <v>-9999.9999</v>
      </c>
      <c r="AH77" s="53" t="n">
        <v>0.0259</v>
      </c>
      <c r="AI77" s="53" t="n">
        <v>0.0063</v>
      </c>
      <c r="AJ77" s="53" t="n">
        <v>0.0049</v>
      </c>
      <c r="AK77" s="53" t="n">
        <v>0.0117</v>
      </c>
      <c r="AL77" s="53" t="n">
        <v>0.1389</v>
      </c>
      <c r="AM77" s="53" t="n">
        <v>-9999.9999</v>
      </c>
      <c r="AN77" s="53" t="n">
        <v>-9999.9999</v>
      </c>
      <c r="AO77" s="53" t="n">
        <v>-9999.9999</v>
      </c>
      <c r="AP77" s="53" t="n">
        <f aca="false">AO77</f>
        <v>-9999.9999</v>
      </c>
      <c r="AQ77" s="53" t="n">
        <v>-9999.9999</v>
      </c>
      <c r="AR77" s="53" t="n">
        <v>0.0217</v>
      </c>
      <c r="AS77" s="53" t="n">
        <v>-9999.9999</v>
      </c>
      <c r="AT77" s="53" t="n">
        <v>0.0555</v>
      </c>
      <c r="AU77" s="53" t="n">
        <v>0.1487</v>
      </c>
      <c r="AV77" s="53" t="n">
        <f aca="false">AT77+AU77</f>
        <v>0.2042</v>
      </c>
      <c r="AW77" s="53" t="n">
        <v>0.015</v>
      </c>
      <c r="AX77" s="53" t="s">
        <v>90</v>
      </c>
    </row>
    <row r="78" customFormat="false" ht="17.35" hidden="false" customHeight="false" outlineLevel="0" collapsed="false">
      <c r="A78" s="54" t="n">
        <v>72</v>
      </c>
      <c r="B78" s="55" t="s">
        <v>336</v>
      </c>
      <c r="C78" s="56" t="s">
        <v>337</v>
      </c>
      <c r="D78" s="68" t="n">
        <v>43909</v>
      </c>
      <c r="E78" s="58" t="s">
        <v>338</v>
      </c>
      <c r="F78" s="55" t="s">
        <v>336</v>
      </c>
      <c r="G78" s="56" t="s">
        <v>337</v>
      </c>
      <c r="H78" s="55" t="n">
        <v>36.063</v>
      </c>
      <c r="I78" s="55" t="n">
        <v>27.089</v>
      </c>
      <c r="J78" s="49"/>
      <c r="K78" s="59"/>
      <c r="L78" s="0"/>
      <c r="M78" s="60" t="s">
        <v>94</v>
      </c>
      <c r="N78" s="55"/>
      <c r="O78" s="55" t="n">
        <v>36.063</v>
      </c>
      <c r="P78" s="52" t="n">
        <v>0.02</v>
      </c>
      <c r="Q78" s="52" t="n">
        <v>0.02</v>
      </c>
      <c r="R78" s="52" t="n">
        <v>0.28</v>
      </c>
      <c r="S78" s="52" t="n">
        <v>0.27</v>
      </c>
      <c r="T78" s="52" t="n">
        <v>0.26</v>
      </c>
      <c r="U78" s="52" t="n">
        <v>0.25</v>
      </c>
      <c r="V78" s="52" t="n">
        <v>0</v>
      </c>
      <c r="W78" s="52" t="n">
        <v>0</v>
      </c>
      <c r="X78" s="52" t="n">
        <v>1.11</v>
      </c>
      <c r="Y78" s="52" t="n">
        <v>1.08</v>
      </c>
      <c r="Z78" s="53" t="n">
        <v>0.0031</v>
      </c>
      <c r="AA78" s="53" t="n">
        <v>0.0064</v>
      </c>
      <c r="AB78" s="53" t="n">
        <v>0.0047</v>
      </c>
      <c r="AC78" s="53" t="n">
        <v>0.0031</v>
      </c>
      <c r="AD78" s="53" t="n">
        <v>0.0042</v>
      </c>
      <c r="AE78" s="53" t="n">
        <v>-9999.9999</v>
      </c>
      <c r="AF78" s="53" t="n">
        <v>-9999.9999</v>
      </c>
      <c r="AG78" s="53" t="n">
        <v>0.0032</v>
      </c>
      <c r="AH78" s="53" t="n">
        <v>0.0166</v>
      </c>
      <c r="AI78" s="53" t="n">
        <v>0.0026</v>
      </c>
      <c r="AJ78" s="53" t="n">
        <v>-9999.9999</v>
      </c>
      <c r="AK78" s="53" t="n">
        <v>-9999.9999</v>
      </c>
      <c r="AL78" s="53" t="n">
        <v>0.0886</v>
      </c>
      <c r="AM78" s="53" t="n">
        <v>-9999.9999</v>
      </c>
      <c r="AN78" s="53" t="n">
        <v>-9999.9999</v>
      </c>
      <c r="AO78" s="53" t="n">
        <v>-9999.9999</v>
      </c>
      <c r="AP78" s="53" t="n">
        <f aca="false">AO78</f>
        <v>-9999.9999</v>
      </c>
      <c r="AQ78" s="53" t="n">
        <v>0.016</v>
      </c>
      <c r="AR78" s="53" t="n">
        <v>-9999.9999</v>
      </c>
      <c r="AS78" s="53" t="n">
        <v>-9999.9999</v>
      </c>
      <c r="AT78" s="53" t="n">
        <v>0.0653</v>
      </c>
      <c r="AU78" s="53" t="n">
        <v>0.0814</v>
      </c>
      <c r="AV78" s="53" t="n">
        <f aca="false">AT78+AU78</f>
        <v>0.1467</v>
      </c>
      <c r="AW78" s="53" t="n">
        <v>0.0029</v>
      </c>
      <c r="AX78" s="53" t="s">
        <v>90</v>
      </c>
    </row>
    <row r="79" customFormat="false" ht="17.35" hidden="false" customHeight="false" outlineLevel="0" collapsed="false">
      <c r="A79" s="54" t="n">
        <v>73</v>
      </c>
      <c r="B79" s="55" t="s">
        <v>339</v>
      </c>
      <c r="C79" s="56" t="s">
        <v>340</v>
      </c>
      <c r="D79" s="68" t="n">
        <v>43909</v>
      </c>
      <c r="E79" s="58" t="s">
        <v>341</v>
      </c>
      <c r="F79" s="55" t="s">
        <v>339</v>
      </c>
      <c r="G79" s="56" t="s">
        <v>340</v>
      </c>
      <c r="H79" s="55" t="n">
        <v>35.782</v>
      </c>
      <c r="I79" s="55" t="n">
        <v>25.024</v>
      </c>
      <c r="J79" s="49"/>
      <c r="K79" s="59"/>
      <c r="L79" s="0"/>
      <c r="M79" s="61" t="s">
        <v>342</v>
      </c>
      <c r="N79" s="55"/>
      <c r="O79" s="55" t="n">
        <v>35.782</v>
      </c>
      <c r="P79" s="52" t="n">
        <v>0</v>
      </c>
      <c r="Q79" s="52" t="n">
        <v>0</v>
      </c>
      <c r="R79" s="52" t="n">
        <v>0.11</v>
      </c>
      <c r="S79" s="52" t="n">
        <v>0.11</v>
      </c>
      <c r="T79" s="52" t="n">
        <v>0.11</v>
      </c>
      <c r="U79" s="52" t="n">
        <v>0.11</v>
      </c>
      <c r="V79" s="52" t="n">
        <v>0</v>
      </c>
      <c r="W79" s="52" t="n">
        <v>0</v>
      </c>
      <c r="X79" s="52" t="n">
        <v>0.78</v>
      </c>
      <c r="Y79" s="52" t="n">
        <v>0.76</v>
      </c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</row>
    <row r="80" customFormat="false" ht="17.35" hidden="false" customHeight="false" outlineLevel="0" collapsed="false">
      <c r="A80" s="54" t="n">
        <v>74</v>
      </c>
      <c r="B80" s="55" t="s">
        <v>343</v>
      </c>
      <c r="C80" s="56" t="s">
        <v>344</v>
      </c>
      <c r="D80" s="68" t="n">
        <v>43910</v>
      </c>
      <c r="E80" s="58" t="s">
        <v>345</v>
      </c>
      <c r="F80" s="55" t="s">
        <v>343</v>
      </c>
      <c r="G80" s="56" t="s">
        <v>344</v>
      </c>
      <c r="H80" s="55" t="n">
        <v>35.803</v>
      </c>
      <c r="I80" s="55" t="n">
        <v>23.97</v>
      </c>
      <c r="M80" s="60" t="s">
        <v>94</v>
      </c>
      <c r="N80" s="55"/>
      <c r="O80" s="55" t="n">
        <v>35.803</v>
      </c>
      <c r="P80" s="52" t="n">
        <v>0.01</v>
      </c>
      <c r="Q80" s="52" t="n">
        <v>0.01</v>
      </c>
      <c r="R80" s="52" t="n">
        <v>0.82</v>
      </c>
      <c r="S80" s="52" t="n">
        <v>0.8</v>
      </c>
      <c r="T80" s="52" t="n">
        <v>0.81</v>
      </c>
      <c r="U80" s="52" t="n">
        <v>0.79</v>
      </c>
      <c r="V80" s="52" t="n">
        <v>0.08</v>
      </c>
      <c r="W80" s="52" t="n">
        <v>0.08</v>
      </c>
      <c r="X80" s="52" t="n">
        <v>1.45</v>
      </c>
      <c r="Y80" s="52" t="n">
        <v>1.42</v>
      </c>
      <c r="Z80" s="53" t="n">
        <v>0.0021</v>
      </c>
      <c r="AA80" s="53" t="n">
        <v>0.0045</v>
      </c>
      <c r="AB80" s="53" t="n">
        <v>0.0029</v>
      </c>
      <c r="AC80" s="53" t="n">
        <v>0.0027</v>
      </c>
      <c r="AD80" s="53" t="n">
        <v>0.0051</v>
      </c>
      <c r="AE80" s="53" t="n">
        <v>-9999.9999</v>
      </c>
      <c r="AF80" s="53" t="n">
        <v>-9999.9999</v>
      </c>
      <c r="AG80" s="53" t="n">
        <v>-9999.9999</v>
      </c>
      <c r="AH80" s="53" t="n">
        <v>0.0018</v>
      </c>
      <c r="AI80" s="53" t="n">
        <v>-9999.9999</v>
      </c>
      <c r="AJ80" s="53" t="n">
        <v>-9999.9999</v>
      </c>
      <c r="AK80" s="53" t="n">
        <v>-9999.9999</v>
      </c>
      <c r="AL80" s="53" t="n">
        <v>0.1124</v>
      </c>
      <c r="AM80" s="53" t="n">
        <v>-9999.9999</v>
      </c>
      <c r="AN80" s="53" t="n">
        <v>-9999.9999</v>
      </c>
      <c r="AO80" s="53" t="n">
        <v>-9999.9999</v>
      </c>
      <c r="AP80" s="53" t="n">
        <f aca="false">AO80</f>
        <v>-9999.9999</v>
      </c>
      <c r="AQ80" s="53" t="n">
        <v>0.0136</v>
      </c>
      <c r="AR80" s="53" t="n">
        <v>-9999.9999</v>
      </c>
      <c r="AS80" s="53" t="n">
        <v>-9999.9999</v>
      </c>
      <c r="AT80" s="53" t="n">
        <v>0.0529</v>
      </c>
      <c r="AU80" s="53" t="n">
        <v>0.0535</v>
      </c>
      <c r="AV80" s="53" t="n">
        <f aca="false">AT80+AU80</f>
        <v>0.1064</v>
      </c>
      <c r="AW80" s="53" t="n">
        <v>0.0021</v>
      </c>
      <c r="AX80" s="53" t="s">
        <v>90</v>
      </c>
    </row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2021-02-04T14:41:29Z</dcterms:created>
  <dc:creator>Sandrine HILLION, Brest IRD, 02 98 22 46 64</dc:creator>
  <dc:description/>
  <dc:language>fr-FR</dc:language>
  <cp:lastModifiedBy/>
  <dcterms:modified xsi:type="dcterms:W3CDTF">2022-09-29T12:02:40Z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IRD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