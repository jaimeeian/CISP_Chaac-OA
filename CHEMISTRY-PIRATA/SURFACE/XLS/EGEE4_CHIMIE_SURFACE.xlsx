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face" sheetId="1" state="visible" r:id="rId2"/>
  </sheets>
  <definedNames>
    <definedName function="false" hidden="false" name="H" vbProcedure="false">#REF!</definedName>
    <definedName function="false" hidden="false" name="H___0" vbProcedure="false">surface!#ref!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<sst xmlns="http://schemas.openxmlformats.org/spreadsheetml/2006/main" count="132" uniqueCount="97">
  <si>
    <t xml:space="preserve">CAMPAGNE EGEE 4</t>
  </si>
  <si>
    <t xml:space="preserve">ECHANTILLONS DE SURFACE </t>
  </si>
  <si>
    <t xml:space="preserve">Ces échantillons de surface sont prélevés à partir du thermosalinographe quand il n'y a pas de station CTD.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</si>
  <si>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</si>
  <si>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</si>
  <si>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</si>
  <si>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</si>
  <si>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</si>
  <si>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</si>
  <si>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</si>
  <si>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</si>
  <si>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</si>
  <si>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</si>
  <si>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</si>
  <si>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</si>
  <si>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</si>
  <si>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</si>
  <si>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</si>
  <si>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</si>
  <si>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</si>
  <si>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</si>
  <si>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</si>
  <si>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</si>
  <si>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</si>
  <si>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</si>
  <si>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</si>
  <si>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</si>
  <si>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</si>
  <si>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Tsgraph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</si>
  <si>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</si>
  <si>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</si>
  <si>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</si>
  <si>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</si>
  <si>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</si>
  <si>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</si>
  <si>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</si>
  <si>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</si>
  <si>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</si>
  <si>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</si>
  <si>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</si>
  <si>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</si>
  <si>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</si>
  <si>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</si>
  <si>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</si>
  <si>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</si>
  <si>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</si>
  <si>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</si>
  <si>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</si>
  <si>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</si>
  <si>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</si>
  <si>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</si>
  <si>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</si>
  <si>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</si>
  <si>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</si>
  <si>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 échantillon de surface</t>
  </si>
  <si>
    <t xml:space="preserve">Latitude prévue</t>
  </si>
  <si>
    <t xml:space="preserve">Longitude prévue</t>
  </si>
  <si>
    <t xml:space="preserve">Date </t>
  </si>
  <si>
    <t xml:space="preserve">Heure TU</t>
  </si>
  <si>
    <t xml:space="preserve">Latitude </t>
  </si>
  <si>
    <t xml:space="preserve">Longitude </t>
  </si>
  <si>
    <t xml:space="preserve">SSS</t>
  </si>
  <si>
    <t xml:space="preserve">SST</t>
  </si>
  <si>
    <t xml:space="preserve">Numéro Flacon Salinité</t>
  </si>
  <si>
    <t xml:space="preserve">Numéro Flacon Sels Nut</t>
  </si>
  <si>
    <t xml:space="preserve">Numéro Flacon CO2</t>
  </si>
  <si>
    <t xml:space="preserve">Numéro Flacon Pigments</t>
  </si>
  <si>
    <t xml:space="preserve">Commentaires</t>
  </si>
  <si>
    <t xml:space="preserve">Résultats analyses SSS</t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</si>
  <si>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
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</si>
  <si>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</si>
  <si>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</si>
  <si>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</si>
  <si>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</si>
  <si>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</si>
  <si>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</si>
  <si>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</si>
  <si>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</si>
  <si>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</si>
  <si>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</si>
  <si>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11h00</t>
  </si>
  <si>
    <t xml:space="preserve">05°00,532 N</t>
  </si>
  <si>
    <t xml:space="preserve">12°33,873 W</t>
  </si>
  <si>
    <t xml:space="preserve"> </t>
  </si>
  <si>
    <t xml:space="preserve">S1</t>
  </si>
  <si>
    <t xml:space="preserve">18h01</t>
  </si>
  <si>
    <t xml:space="preserve">04°00,630 N</t>
  </si>
  <si>
    <t xml:space="preserve">11°50,263 W</t>
  </si>
  <si>
    <t xml:space="preserve">S2</t>
  </si>
  <si>
    <t xml:space="preserve">00h08</t>
  </si>
  <si>
    <t xml:space="preserve">03°09,940 N</t>
  </si>
  <si>
    <t xml:space="preserve">11°13,324 W</t>
  </si>
  <si>
    <t xml:space="preserve">S3</t>
  </si>
  <si>
    <t xml:space="preserve">09h00</t>
  </si>
  <si>
    <t xml:space="preserve">01°59,253 N</t>
  </si>
  <si>
    <t xml:space="preserve">10°21,470 W</t>
  </si>
  <si>
    <t xml:space="preserve">S4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</si>
</sst>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/m/yy;@"/>
    <numFmt numFmtId="166" formatCode="h:mm;@"/>
    <numFmt numFmtId="167" formatCode="0"/>
    <numFmt numFmtId="168" formatCode="0.0000"/>
    <numFmt numFmtId="169" formatCode="0.00"/>
    <numFmt numFmtId="170" formatCode="dd/mm/yyyy"/>
    <numFmt numFmtId="171" formatCode="hh\hmm"/>
  </numFmts>
  <fonts count="1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vertAlign val="subscript"/>
      <sz val="10"/>
      <name val="Arial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7" activeCellId="0" sqref="O7"/>
    </sheetView>
  </sheetViews>
  <sheetFormatPr defaultColWidth="11.00390625" defaultRowHeight="12.8" zeroHeight="false" outlineLevelRow="0" outlineLevelCol="0"/>
  <cols>
    <col collapsed="false" customWidth="true" hidden="false" outlineLevel="0" max="1" min="1" style="1" width="11.3"/>
    <col collapsed="false" customWidth="true" hidden="false" outlineLevel="0" max="2" min="2" style="2" width="10.12"/>
    <col collapsed="false" customWidth="true" hidden="false" outlineLevel="0" max="3" min="3" style="2" width="9.71"/>
    <col collapsed="false" customWidth="true" hidden="false" outlineLevel="0" max="4" min="4" style="2" width="11.99"/>
    <col collapsed="false" customWidth="true" hidden="false" outlineLevel="0" max="5" min="5" style="3" width="7.57"/>
    <col collapsed="false" customWidth="true" hidden="false" outlineLevel="0" max="6" min="6" style="3" width="11.71"/>
    <col collapsed="false" customWidth="true" hidden="false" outlineLevel="0" max="7" min="7" style="3" width="13.02"/>
    <col collapsed="false" customWidth="true" hidden="false" outlineLevel="0" max="8" min="8" style="1" width="7.29"/>
    <col collapsed="false" customWidth="true" hidden="false" outlineLevel="0" max="9" min="9" style="1" width="7.71"/>
    <col collapsed="false" customWidth="true" hidden="false" outlineLevel="0" max="10" min="10" style="4" width="8.86"/>
    <col collapsed="false" customWidth="true" hidden="false" outlineLevel="0" max="11" min="11" style="4" width="8.57"/>
    <col collapsed="false" customWidth="true" hidden="false" outlineLevel="0" max="12" min="12" style="4" width="8.29"/>
    <col collapsed="false" customWidth="true" hidden="false" outlineLevel="0" max="13" min="13" style="5" width="9.71"/>
    <col collapsed="false" customWidth="true" hidden="false" outlineLevel="0" max="14" min="14" style="1" width="18.71"/>
    <col collapsed="false" customWidth="false" hidden="false" outlineLevel="0" max="17" min="15" style="1" width="10.99"/>
    <col collapsed="false" customWidth="true" hidden="false" outlineLevel="0" max="18" min="18" style="1" width="10.71"/>
    <col collapsed="false" customWidth="false" hidden="false" outlineLevel="0" max="19" min="19" style="1" width="10.99"/>
    <col collapsed="false" customWidth="true" hidden="false" outlineLevel="0" max="22" min="20" style="1" width="10"/>
    <col collapsed="false" customWidth="false" hidden="false" outlineLevel="0" max="25" min="23" style="1" width="10.99"/>
    <col collapsed="false" customWidth="true" hidden="false" outlineLevel="0" max="26" min="26" style="1" width="13.57"/>
    <col collapsed="false" customWidth="true" hidden="false" outlineLevel="0" max="27" min="27" style="1" width="16.57"/>
    <col collapsed="false" customWidth="true" hidden="false" outlineLevel="0" max="28" min="28" style="1" width="9.13"/>
    <col collapsed="false" customWidth="true" hidden="false" outlineLevel="0" max="29" min="29" style="1" width="26.13"/>
    <col collapsed="false" customWidth="true" hidden="false" outlineLevel="0" max="30" min="30" style="1" width="12.71"/>
    <col collapsed="false" customWidth="true" hidden="false" outlineLevel="0" max="31" min="31" style="1" width="11.14"/>
    <col collapsed="false" customWidth="true" hidden="false" outlineLevel="0" max="32" min="32" style="1" width="14.28"/>
    <col collapsed="false" customWidth="true" hidden="false" outlineLevel="0" max="33" min="33" style="1" width="11.99"/>
    <col collapsed="false" customWidth="true" hidden="false" outlineLevel="0" max="34" min="34" style="1" width="26.59"/>
    <col collapsed="false" customWidth="true" hidden="false" outlineLevel="0" max="35" min="35" style="1" width="14.43"/>
    <col collapsed="false" customWidth="true" hidden="false" outlineLevel="0" max="36" min="36" style="1" width="11.14"/>
    <col collapsed="false" customWidth="true" hidden="false" outlineLevel="0" max="37" min="37" style="1" width="12.29"/>
    <col collapsed="false" customWidth="true" hidden="false" outlineLevel="0" max="38" min="38" style="1" width="11.14"/>
    <col collapsed="false" customWidth="true" hidden="false" outlineLevel="0" max="39" min="39" style="1" width="6.28"/>
    <col collapsed="false" customWidth="true" hidden="false" outlineLevel="0" max="40" min="40" style="1" width="19.42"/>
    <col collapsed="false" customWidth="true" hidden="false" outlineLevel="0" max="41" min="41" style="1" width="12.86"/>
    <col collapsed="false" customWidth="true" hidden="false" outlineLevel="0" max="42" min="42" style="1" width="17.59"/>
    <col collapsed="false" customWidth="true" hidden="false" outlineLevel="0" max="43" min="43" style="1" width="14.43"/>
    <col collapsed="false" customWidth="true" hidden="false" outlineLevel="0" max="44" min="44" style="1" width="13.57"/>
    <col collapsed="false" customWidth="true" hidden="false" outlineLevel="0" max="45" min="45" style="1" width="13.7"/>
    <col collapsed="false" customWidth="true" hidden="false" outlineLevel="0" max="46" min="46" style="1" width="19.71"/>
    <col collapsed="false" customWidth="true" hidden="false" outlineLevel="0" max="47" min="47" style="1" width="13.14"/>
    <col collapsed="false" customWidth="true" hidden="false" outlineLevel="0" max="48" min="48" style="1" width="17.4"/>
    <col collapsed="false" customWidth="true" hidden="false" outlineLevel="0" max="49" min="49" style="1" width="13.29"/>
    <col collapsed="false" customWidth="true" hidden="false" outlineLevel="0" max="50" min="50" style="1" width="12.42"/>
    <col collapsed="false" customWidth="false" hidden="false" outlineLevel="0" max="1023" min="51" style="1" width="10.99"/>
  </cols>
  <sheetData>
    <row r="1" customFormat="false" ht="17.35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7.35" hidden="false" customHeight="false" outlineLevel="0" collapsed="false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="8" customFormat="true" ht="25.5" hidden="false" customHeight="true" outlineLevel="0" collapsed="false">
      <c r="A3" s="8" t="s">
        <v>2</v>
      </c>
      <c r="B3" s="9"/>
      <c r="C3" s="9"/>
      <c r="D3" s="9"/>
      <c r="E3" s="10"/>
      <c r="F3" s="10"/>
      <c r="G3" s="10"/>
      <c r="M3" s="11"/>
      <c r="AMJ3" s="0"/>
    </row>
    <row r="4" s="8" customFormat="true" ht="25.5" hidden="false" customHeight="true" outlineLevel="0" collapsed="false">
      <c r="B4" s="9"/>
      <c r="C4" s="9"/>
      <c r="D4" s="9"/>
      <c r="E4" s="10"/>
      <c r="F4" s="10"/>
      <c r="G4" s="10"/>
      <c r="M4" s="11"/>
      <c r="Z4" s="12" t="s">
        <v>3</v>
      </c>
      <c r="AA4" s="12" t="s">
        <v>4</v>
      </c>
      <c r="AB4" s="12" t="s">
        <v>5</v>
      </c>
      <c r="AC4" s="13" t="s">
        <v>6</v>
      </c>
      <c r="AD4" s="12" t="s">
        <v>7</v>
      </c>
      <c r="AE4" s="12" t="s">
        <v>8</v>
      </c>
      <c r="AF4" s="12" t="s">
        <v>9</v>
      </c>
      <c r="AG4" s="12" t="s">
        <v>10</v>
      </c>
      <c r="AH4" s="13" t="s">
        <v>11</v>
      </c>
      <c r="AI4" s="12" t="s">
        <v>12</v>
      </c>
      <c r="AJ4" s="12" t="s">
        <v>13</v>
      </c>
      <c r="AK4" s="12" t="s">
        <v>14</v>
      </c>
      <c r="AL4" s="12" t="s">
        <v>15</v>
      </c>
      <c r="AM4" s="12" t="s">
        <v>16</v>
      </c>
      <c r="AN4" s="13" t="s">
        <v>17</v>
      </c>
      <c r="AO4" s="13" t="s">
        <v>18</v>
      </c>
      <c r="AP4" s="13" t="s">
        <v>19</v>
      </c>
      <c r="AQ4" s="12" t="s">
        <v>20</v>
      </c>
      <c r="AR4" s="12" t="s">
        <v>21</v>
      </c>
      <c r="AS4" s="14" t="s">
        <v>22</v>
      </c>
      <c r="AT4" s="12" t="s">
        <v>23</v>
      </c>
      <c r="AU4" s="12" t="s">
        <v>24</v>
      </c>
      <c r="AV4" s="15" t="s">
        <v>25</v>
      </c>
      <c r="AW4" s="12" t="s">
        <v>26</v>
      </c>
      <c r="AX4" s="16" t="s">
        <v>27</v>
      </c>
      <c r="AMJ4" s="0"/>
    </row>
    <row r="5" s="17" customFormat="true" ht="25.5" hidden="false" customHeight="true" outlineLevel="0" collapsed="false">
      <c r="B5" s="18"/>
      <c r="C5" s="18"/>
      <c r="D5" s="18"/>
      <c r="E5" s="19"/>
      <c r="F5" s="19"/>
      <c r="G5" s="19"/>
      <c r="H5" s="20"/>
      <c r="I5" s="21" t="s">
        <v>28</v>
      </c>
      <c r="M5" s="22"/>
      <c r="P5" s="23"/>
      <c r="Q5" s="23"/>
      <c r="R5" s="23"/>
      <c r="S5" s="23"/>
      <c r="T5" s="24"/>
      <c r="U5" s="24"/>
      <c r="V5" s="23"/>
      <c r="W5" s="23"/>
      <c r="X5" s="23"/>
      <c r="Y5" s="23"/>
      <c r="Z5" s="12" t="s">
        <v>29</v>
      </c>
      <c r="AA5" s="12" t="s">
        <v>30</v>
      </c>
      <c r="AB5" s="12" t="s">
        <v>31</v>
      </c>
      <c r="AC5" s="12" t="s">
        <v>32</v>
      </c>
      <c r="AD5" s="12" t="s">
        <v>33</v>
      </c>
      <c r="AE5" s="25" t="s">
        <v>34</v>
      </c>
      <c r="AF5" s="12" t="s">
        <v>35</v>
      </c>
      <c r="AG5" s="25" t="s">
        <v>36</v>
      </c>
      <c r="AH5" s="12" t="s">
        <v>37</v>
      </c>
      <c r="AI5" s="12" t="s">
        <v>38</v>
      </c>
      <c r="AJ5" s="12" t="s">
        <v>39</v>
      </c>
      <c r="AK5" s="12" t="s">
        <v>40</v>
      </c>
      <c r="AL5" s="12" t="s">
        <v>41</v>
      </c>
      <c r="AM5" s="26" t="s">
        <v>42</v>
      </c>
      <c r="AN5" s="12" t="s">
        <v>43</v>
      </c>
      <c r="AO5" s="12" t="s">
        <v>44</v>
      </c>
      <c r="AP5" s="27" t="s">
        <v>45</v>
      </c>
      <c r="AQ5" s="25" t="s">
        <v>46</v>
      </c>
      <c r="AR5" s="25" t="s">
        <v>47</v>
      </c>
      <c r="AS5" s="28" t="s">
        <v>48</v>
      </c>
      <c r="AT5" s="12" t="s">
        <v>49</v>
      </c>
      <c r="AU5" s="12" t="s">
        <v>50</v>
      </c>
      <c r="AV5" s="29" t="s">
        <v>51</v>
      </c>
      <c r="AW5" s="12" t="s">
        <v>52</v>
      </c>
      <c r="AX5" s="30" t="s">
        <v>53</v>
      </c>
      <c r="AMJ5" s="0"/>
    </row>
    <row r="6" customFormat="false" ht="45.75" hidden="false" customHeight="true" outlineLevel="0" collapsed="false">
      <c r="A6" s="31" t="s">
        <v>54</v>
      </c>
      <c r="B6" s="31" t="s">
        <v>55</v>
      </c>
      <c r="C6" s="31" t="s">
        <v>56</v>
      </c>
      <c r="D6" s="32" t="s">
        <v>57</v>
      </c>
      <c r="E6" s="33" t="s">
        <v>58</v>
      </c>
      <c r="F6" s="31" t="s">
        <v>59</v>
      </c>
      <c r="G6" s="31" t="s">
        <v>60</v>
      </c>
      <c r="H6" s="31" t="s">
        <v>61</v>
      </c>
      <c r="I6" s="31" t="s">
        <v>62</v>
      </c>
      <c r="J6" s="31" t="s">
        <v>63</v>
      </c>
      <c r="K6" s="31" t="s">
        <v>64</v>
      </c>
      <c r="L6" s="31" t="s">
        <v>65</v>
      </c>
      <c r="M6" s="31" t="s">
        <v>66</v>
      </c>
      <c r="N6" s="31" t="s">
        <v>67</v>
      </c>
      <c r="O6" s="31" t="s">
        <v>68</v>
      </c>
      <c r="P6" s="34" t="s">
        <v>69</v>
      </c>
      <c r="Q6" s="34" t="s">
        <v>70</v>
      </c>
      <c r="R6" s="34" t="s">
        <v>71</v>
      </c>
      <c r="S6" s="34" t="s">
        <v>72</v>
      </c>
      <c r="T6" s="34" t="s">
        <v>73</v>
      </c>
      <c r="U6" s="34" t="s">
        <v>74</v>
      </c>
      <c r="V6" s="34" t="s">
        <v>75</v>
      </c>
      <c r="W6" s="34" t="s">
        <v>76</v>
      </c>
      <c r="X6" s="34" t="s">
        <v>77</v>
      </c>
      <c r="Y6" s="34" t="s">
        <v>78</v>
      </c>
      <c r="Z6" s="12" t="s">
        <v>79</v>
      </c>
      <c r="AA6" s="12" t="s">
        <v>79</v>
      </c>
      <c r="AB6" s="12" t="s">
        <v>79</v>
      </c>
      <c r="AC6" s="12" t="s">
        <v>79</v>
      </c>
      <c r="AD6" s="12" t="s">
        <v>79</v>
      </c>
      <c r="AE6" s="12" t="s">
        <v>79</v>
      </c>
      <c r="AF6" s="12" t="s">
        <v>79</v>
      </c>
      <c r="AG6" s="12" t="s">
        <v>79</v>
      </c>
      <c r="AH6" s="12" t="s">
        <v>79</v>
      </c>
      <c r="AI6" s="12" t="s">
        <v>79</v>
      </c>
      <c r="AJ6" s="12" t="s">
        <v>79</v>
      </c>
      <c r="AK6" s="12" t="s">
        <v>79</v>
      </c>
      <c r="AL6" s="12" t="s">
        <v>79</v>
      </c>
      <c r="AM6" s="12" t="s">
        <v>79</v>
      </c>
      <c r="AN6" s="12" t="s">
        <v>79</v>
      </c>
      <c r="AO6" s="12" t="s">
        <v>79</v>
      </c>
      <c r="AP6" s="12" t="s">
        <v>79</v>
      </c>
      <c r="AQ6" s="12" t="s">
        <v>79</v>
      </c>
      <c r="AR6" s="12" t="s">
        <v>79</v>
      </c>
      <c r="AS6" s="12" t="s">
        <v>79</v>
      </c>
      <c r="AT6" s="12" t="s">
        <v>79</v>
      </c>
      <c r="AU6" s="12" t="s">
        <v>79</v>
      </c>
      <c r="AV6" s="12" t="s">
        <v>79</v>
      </c>
      <c r="AW6" s="12" t="s">
        <v>79</v>
      </c>
      <c r="AX6" s="12" t="s">
        <v>79</v>
      </c>
    </row>
    <row r="7" customFormat="false" ht="13.8" hidden="false" customHeight="false" outlineLevel="0" collapsed="false">
      <c r="A7" s="35" t="n">
        <v>1</v>
      </c>
      <c r="B7" s="36"/>
      <c r="C7" s="36"/>
      <c r="D7" s="37" t="n">
        <v>39040</v>
      </c>
      <c r="E7" s="38" t="s">
        <v>80</v>
      </c>
      <c r="F7" s="39" t="s">
        <v>81</v>
      </c>
      <c r="G7" s="39" t="s">
        <v>82</v>
      </c>
      <c r="H7" s="40" t="n">
        <v>34.062</v>
      </c>
      <c r="I7" s="41" t="n">
        <v>28.795</v>
      </c>
      <c r="J7" s="42" t="s">
        <v>83</v>
      </c>
      <c r="K7" s="43" t="s">
        <v>84</v>
      </c>
      <c r="L7" s="41" t="n">
        <v>100</v>
      </c>
      <c r="M7" s="36"/>
      <c r="N7" s="44" t="s">
        <v>83</v>
      </c>
      <c r="O7" s="45" t="s">
        <v>83</v>
      </c>
      <c r="P7" s="46" t="n">
        <v>0</v>
      </c>
      <c r="Q7" s="47" t="n">
        <v>0</v>
      </c>
      <c r="R7" s="47" t="n">
        <v>0.13</v>
      </c>
      <c r="S7" s="47" t="n">
        <v>0.127034623169282</v>
      </c>
      <c r="T7" s="47" t="n">
        <f aca="false">SUM(P7,R7)</f>
        <v>0.13</v>
      </c>
      <c r="U7" s="47" t="n">
        <f aca="false">SUM(Q7,S7)</f>
        <v>0.127034623169282</v>
      </c>
      <c r="V7" s="47" t="n">
        <v>0.026</v>
      </c>
      <c r="W7" s="47" t="n">
        <v>0.0254069246338564</v>
      </c>
      <c r="X7" s="47" t="n">
        <v>0.85</v>
      </c>
      <c r="Y7" s="48" t="n">
        <v>0.830610997645306</v>
      </c>
      <c r="Z7" s="49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</row>
    <row r="8" customFormat="false" ht="13.8" hidden="false" customHeight="false" outlineLevel="0" collapsed="false">
      <c r="A8" s="35" t="n">
        <f aca="false">A7+1</f>
        <v>2</v>
      </c>
      <c r="B8" s="36"/>
      <c r="C8" s="36"/>
      <c r="D8" s="51" t="n">
        <v>39040</v>
      </c>
      <c r="E8" s="52" t="s">
        <v>85</v>
      </c>
      <c r="F8" s="39" t="s">
        <v>86</v>
      </c>
      <c r="G8" s="39" t="s">
        <v>87</v>
      </c>
      <c r="H8" s="42" t="n">
        <v>34.497</v>
      </c>
      <c r="I8" s="53" t="n">
        <v>28.67</v>
      </c>
      <c r="J8" s="42" t="s">
        <v>83</v>
      </c>
      <c r="K8" s="54" t="s">
        <v>88</v>
      </c>
      <c r="L8" s="53" t="n">
        <v>101</v>
      </c>
      <c r="M8" s="36"/>
      <c r="N8" s="44" t="s">
        <v>83</v>
      </c>
      <c r="O8" s="45" t="s">
        <v>83</v>
      </c>
      <c r="P8" s="46" t="n">
        <v>0</v>
      </c>
      <c r="Q8" s="47" t="n">
        <v>0</v>
      </c>
      <c r="R8" s="55" t="n">
        <v>0.15</v>
      </c>
      <c r="S8" s="47" t="n">
        <v>0.146578411349172</v>
      </c>
      <c r="T8" s="47" t="n">
        <f aca="false">SUM(P8,R8)</f>
        <v>0.15</v>
      </c>
      <c r="U8" s="47" t="n">
        <f aca="false">SUM(Q8,S8)</f>
        <v>0.146578411349172</v>
      </c>
      <c r="V8" s="47" t="n">
        <v>0.02</v>
      </c>
      <c r="W8" s="47" t="n">
        <v>0.0195437881798895</v>
      </c>
      <c r="X8" s="47" t="n">
        <v>0.76</v>
      </c>
      <c r="Y8" s="48" t="n">
        <v>0.742663950835803</v>
      </c>
      <c r="Z8" s="49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</row>
    <row r="9" customFormat="false" ht="13.8" hidden="false" customHeight="false" outlineLevel="0" collapsed="false">
      <c r="A9" s="35" t="n">
        <f aca="false">A8+1</f>
        <v>3</v>
      </c>
      <c r="B9" s="36"/>
      <c r="C9" s="36"/>
      <c r="D9" s="51" t="n">
        <v>39041</v>
      </c>
      <c r="E9" s="52" t="s">
        <v>89</v>
      </c>
      <c r="F9" s="39" t="s">
        <v>90</v>
      </c>
      <c r="G9" s="39" t="s">
        <v>91</v>
      </c>
      <c r="H9" s="42" t="n">
        <v>34.955</v>
      </c>
      <c r="I9" s="53" t="n">
        <v>28.319</v>
      </c>
      <c r="J9" s="42" t="s">
        <v>83</v>
      </c>
      <c r="K9" s="54" t="s">
        <v>92</v>
      </c>
      <c r="L9" s="53" t="n">
        <v>102</v>
      </c>
      <c r="M9" s="36"/>
      <c r="N9" s="44" t="s">
        <v>83</v>
      </c>
      <c r="O9" s="45" t="s">
        <v>83</v>
      </c>
      <c r="P9" s="46" t="n">
        <v>0</v>
      </c>
      <c r="Q9" s="47" t="n">
        <v>0</v>
      </c>
      <c r="R9" s="55" t="n">
        <v>0.13</v>
      </c>
      <c r="S9" s="47" t="n">
        <v>0.127034623169282</v>
      </c>
      <c r="T9" s="47" t="n">
        <f aca="false">SUM(P9,R9)</f>
        <v>0.13</v>
      </c>
      <c r="U9" s="47" t="n">
        <f aca="false">SUM(Q9,S9)</f>
        <v>0.127034623169282</v>
      </c>
      <c r="V9" s="47" t="n">
        <v>0.029</v>
      </c>
      <c r="W9" s="47" t="n">
        <v>0.0283384928608398</v>
      </c>
      <c r="X9" s="47" t="n">
        <v>0.66</v>
      </c>
      <c r="Y9" s="48" t="n">
        <v>0.644945009936355</v>
      </c>
      <c r="Z9" s="49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</row>
    <row r="10" customFormat="false" ht="13.8" hidden="false" customHeight="false" outlineLevel="0" collapsed="false">
      <c r="A10" s="35" t="n">
        <f aca="false">A9+1</f>
        <v>4</v>
      </c>
      <c r="B10" s="36"/>
      <c r="C10" s="36"/>
      <c r="D10" s="51" t="n">
        <v>39041</v>
      </c>
      <c r="E10" s="52" t="s">
        <v>93</v>
      </c>
      <c r="F10" s="39" t="s">
        <v>94</v>
      </c>
      <c r="G10" s="39" t="s">
        <v>95</v>
      </c>
      <c r="H10" s="42" t="n">
        <v>35.611</v>
      </c>
      <c r="I10" s="53" t="n">
        <v>27.083</v>
      </c>
      <c r="J10" s="42" t="s">
        <v>83</v>
      </c>
      <c r="K10" s="54" t="s">
        <v>96</v>
      </c>
      <c r="L10" s="53" t="n">
        <v>103</v>
      </c>
      <c r="M10" s="36"/>
      <c r="N10" s="44" t="s">
        <v>83</v>
      </c>
      <c r="O10" s="45" t="s">
        <v>83</v>
      </c>
      <c r="P10" s="56" t="n">
        <v>0</v>
      </c>
      <c r="Q10" s="57" t="n">
        <v>0</v>
      </c>
      <c r="R10" s="58" t="n">
        <v>0.14</v>
      </c>
      <c r="S10" s="57" t="n">
        <v>0.136806517259227</v>
      </c>
      <c r="T10" s="47" t="n">
        <f aca="false">SUM(P10,R10)</f>
        <v>0.14</v>
      </c>
      <c r="U10" s="47" t="n">
        <f aca="false">SUM(Q10,S10)</f>
        <v>0.136806517259227</v>
      </c>
      <c r="V10" s="57" t="n">
        <v>0.087</v>
      </c>
      <c r="W10" s="57" t="n">
        <v>0.0850154785825195</v>
      </c>
      <c r="X10" s="57" t="n">
        <v>0.69</v>
      </c>
      <c r="Y10" s="59" t="n">
        <v>0.674260692206189</v>
      </c>
      <c r="Z10" s="49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</row>
  </sheetData>
  <mergeCells count="6">
    <mergeCell ref="A1:M1"/>
    <mergeCell ref="A2:M2"/>
    <mergeCell ref="P5:Q5"/>
    <mergeCell ref="R5:S5"/>
    <mergeCell ref="V5:W5"/>
    <mergeCell ref="X5:Y5"/>
  </mergeCells>
  <printOptions headings="false" gridLines="false" gridLinesSet="true" horizontalCentered="false" verticalCentered="false"/>
  <pageMargins left="0.0784722222222222" right="0.0784722222222222" top="0.354166666666667" bottom="0.354166666666667" header="0.511805555555555" footer="0.511805555555555"/>
  <pageSetup paperSize="77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2004-02-17T15:14:19Z</dcterms:created>
  <dc:creator>fmarin</dc:creator>
  <dc:description/>
  <dc:language>fr-FR</dc:language>
  <cp:lastModifiedBy/>
  <cp:lastPrinted>2012-03-24T09:32:01Z</cp:lastPrinted>
  <dcterms:modified xsi:type="dcterms:W3CDTF">2022-09-29T15:25:47Z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