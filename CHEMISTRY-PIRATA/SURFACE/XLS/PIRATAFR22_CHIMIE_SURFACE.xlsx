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<sst xmlns="http://schemas.openxmlformats.org/spreadsheetml/2006/main" count="330" uniqueCount="241">
  <si>
    <t xml:space="preserve">CAMPAGNE PIRATA FR 22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</si>
  <si>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</si>
  <si>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</si>
  <si>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</si>
  <si>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</si>
  <si>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</si>
  <si>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</si>
  <si>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</si>
  <si>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</si>
  <si>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</si>
  <si>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</si>
  <si>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</si>
  <si>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</si>
  <si>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</si>
  <si>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</si>
  <si>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</si>
  <si>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</si>
  <si>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</si>
  <si>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</si>
  <si>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</si>
  <si>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</si>
  <si>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</si>
  <si>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</si>
  <si>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</si>
  <si>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</si>
  <si>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</si>
  <si>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</si>
  <si>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</si>
  <si>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</si>
  <si>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</si>
  <si>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</si>
  <si>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</si>
  <si>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</si>
  <si>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</si>
  <si>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</si>
  <si>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</si>
  <si>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</si>
  <si>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</si>
  <si>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</si>
  <si>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</si>
  <si>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</si>
  <si>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</si>
  <si>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</si>
  <si>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</si>
  <si>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</si>
  <si>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</si>
  <si>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</si>
  <si>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</si>
  <si>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</si>
  <si>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</si>
  <si>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</si>
  <si>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</si>
  <si>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</si>
  <si>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</si>
  <si>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</si>
  <si>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</si>
  <si>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</si>
  <si>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</si>
  <si>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</si>
  <si>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</si>
  <si>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</si>
  <si>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</si>
  <si>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</si>
  <si>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</si>
  <si>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</si>
  <si>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</si>
  <si>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</si>
  <si>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</si>
  <si>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</si>
  <si>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</si>
  <si>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</si>
  <si>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</si>
  <si>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</si>
  <si>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</si>
  <si>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</si>
  <si>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</si>
  <si>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</si>
  <si>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</si>
  <si>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</si>
  <si>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</si>
  <si>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17h10</t>
  </si>
  <si>
    <t xml:space="preserve">13°58.00 N</t>
  </si>
  <si>
    <t xml:space="preserve">17°38.00 W</t>
  </si>
  <si>
    <t xml:space="preserve">K1</t>
  </si>
  <si>
    <t xml:space="preserve">Surf1</t>
  </si>
  <si>
    <t xml:space="preserve">S1</t>
  </si>
  <si>
    <t xml:space="preserve"> </t>
  </si>
  <si>
    <t xml:space="preserve">35.640</t>
  </si>
  <si>
    <t xml:space="preserve">05h30</t>
  </si>
  <si>
    <t xml:space="preserve">11°59.00 N</t>
  </si>
  <si>
    <t xml:space="preserve">18°27.00 W</t>
  </si>
  <si>
    <t xml:space="preserve">K2</t>
  </si>
  <si>
    <t xml:space="preserve">Surf2</t>
  </si>
  <si>
    <t xml:space="preserve">S2</t>
  </si>
  <si>
    <t xml:space="preserve">35.580</t>
  </si>
  <si>
    <t xml:space="preserve">20h05</t>
  </si>
  <si>
    <t xml:space="preserve">10°00.00 N</t>
  </si>
  <si>
    <t xml:space="preserve">19°11.00 W</t>
  </si>
  <si>
    <t xml:space="preserve">K3</t>
  </si>
  <si>
    <t xml:space="preserve">Surf3</t>
  </si>
  <si>
    <t xml:space="preserve">S3</t>
  </si>
  <si>
    <t xml:space="preserve">35.591</t>
  </si>
  <si>
    <t xml:space="preserve">08h00</t>
  </si>
  <si>
    <t xml:space="preserve">7°59.00 N</t>
  </si>
  <si>
    <t xml:space="preserve">19°58.00 W</t>
  </si>
  <si>
    <t xml:space="preserve">K4</t>
  </si>
  <si>
    <t xml:space="preserve">Surf4</t>
  </si>
  <si>
    <t xml:space="preserve">S4</t>
  </si>
  <si>
    <t xml:space="preserve">35.752</t>
  </si>
  <si>
    <t xml:space="preserve">20h18</t>
  </si>
  <si>
    <t xml:space="preserve">5°59.00 N</t>
  </si>
  <si>
    <t xml:space="preserve">20°43.00 W</t>
  </si>
  <si>
    <t xml:space="preserve">K5</t>
  </si>
  <si>
    <t xml:space="preserve">Surf5</t>
  </si>
  <si>
    <t xml:space="preserve">S5</t>
  </si>
  <si>
    <t xml:space="preserve">35.702</t>
  </si>
  <si>
    <t xml:space="preserve">08h38</t>
  </si>
  <si>
    <t xml:space="preserve">4°00.00 N</t>
  </si>
  <si>
    <t xml:space="preserve">21°29.00 W</t>
  </si>
  <si>
    <t xml:space="preserve">K7</t>
  </si>
  <si>
    <t xml:space="preserve">Surf6</t>
  </si>
  <si>
    <t xml:space="preserve">S6</t>
  </si>
  <si>
    <t xml:space="preserve">34.626</t>
  </si>
  <si>
    <t xml:space="preserve">21h13</t>
  </si>
  <si>
    <t xml:space="preserve">1°59.00 N</t>
  </si>
  <si>
    <t xml:space="preserve">22°14.80 W</t>
  </si>
  <si>
    <t xml:space="preserve">K8</t>
  </si>
  <si>
    <t xml:space="preserve">Surf7</t>
  </si>
  <si>
    <t xml:space="preserve">35.155</t>
  </si>
  <si>
    <t xml:space="preserve">18h00</t>
  </si>
  <si>
    <t xml:space="preserve">0°00.00 N</t>
  </si>
  <si>
    <t xml:space="preserve">20°00.00 W</t>
  </si>
  <si>
    <t xml:space="preserve">K10</t>
  </si>
  <si>
    <t xml:space="preserve">Surf8</t>
  </si>
  <si>
    <t xml:space="preserve">06h36</t>
  </si>
  <si>
    <t xml:space="preserve">18°00.00 W</t>
  </si>
  <si>
    <t xml:space="preserve">K11</t>
  </si>
  <si>
    <t xml:space="preserve">Surf9</t>
  </si>
  <si>
    <t xml:space="preserve">18h30</t>
  </si>
  <si>
    <t xml:space="preserve">16°00.00 W</t>
  </si>
  <si>
    <t xml:space="preserve">K12</t>
  </si>
  <si>
    <t xml:space="preserve">Surf10</t>
  </si>
  <si>
    <t xml:space="preserve">06h14</t>
  </si>
  <si>
    <t xml:space="preserve">14°00.00 W</t>
  </si>
  <si>
    <t xml:space="preserve">K14</t>
  </si>
  <si>
    <t xml:space="preserve">Surf11</t>
  </si>
  <si>
    <t xml:space="preserve">17h31</t>
  </si>
  <si>
    <t xml:space="preserve">12°00.00 W</t>
  </si>
  <si>
    <t xml:space="preserve">K15</t>
  </si>
  <si>
    <t xml:space="preserve">Surf12</t>
  </si>
  <si>
    <t xml:space="preserve">10h17</t>
  </si>
  <si>
    <t xml:space="preserve">8°00.00 W</t>
  </si>
  <si>
    <t xml:space="preserve">K17</t>
  </si>
  <si>
    <t xml:space="preserve">Surf13</t>
  </si>
  <si>
    <t xml:space="preserve">18h20</t>
  </si>
  <si>
    <t xml:space="preserve">4°37.00 N</t>
  </si>
  <si>
    <t xml:space="preserve">6°00.00 W</t>
  </si>
  <si>
    <t xml:space="preserve">Surf14</t>
  </si>
  <si>
    <t xml:space="preserve">13h39</t>
  </si>
  <si>
    <t xml:space="preserve">3°59.00 N</t>
  </si>
  <si>
    <t xml:space="preserve">5°59.00 W</t>
  </si>
  <si>
    <t xml:space="preserve">S15</t>
  </si>
  <si>
    <t xml:space="preserve">15h36</t>
  </si>
  <si>
    <t xml:space="preserve">9°13.00 W</t>
  </si>
  <si>
    <t xml:space="preserve">S16</t>
  </si>
  <si>
    <t xml:space="preserve">11h08</t>
  </si>
  <si>
    <t xml:space="preserve">7°57.00 S</t>
  </si>
  <si>
    <t xml:space="preserve">8°15.00 W</t>
  </si>
  <si>
    <t xml:space="preserve">G1</t>
  </si>
  <si>
    <t xml:space="preserve">S17</t>
  </si>
  <si>
    <t xml:space="preserve">02h41</t>
  </si>
  <si>
    <t xml:space="preserve">5°58.00 S</t>
  </si>
  <si>
    <t xml:space="preserve">6°33.00 W</t>
  </si>
  <si>
    <t xml:space="preserve">G2</t>
  </si>
  <si>
    <t xml:space="preserve">S18</t>
  </si>
  <si>
    <t xml:space="preserve">20h13</t>
  </si>
  <si>
    <t xml:space="preserve">4°00.00 S</t>
  </si>
  <si>
    <t xml:space="preserve">4°51.00 W</t>
  </si>
  <si>
    <t xml:space="preserve">G3</t>
  </si>
  <si>
    <t xml:space="preserve">S19</t>
  </si>
  <si>
    <t xml:space="preserve">18h48</t>
  </si>
  <si>
    <t xml:space="preserve">3°55.70 N</t>
  </si>
  <si>
    <t xml:space="preserve">3°15.80 W</t>
  </si>
  <si>
    <t xml:space="preserve">J24</t>
  </si>
  <si>
    <t xml:space="preserve">S20</t>
  </si>
  <si>
    <t xml:space="preserve">2 litres</t>
  </si>
  <si>
    <t xml:space="preserve">08h29</t>
  </si>
  <si>
    <t xml:space="preserve">1°55.60 N</t>
  </si>
  <si>
    <t xml:space="preserve">2°09.70 W</t>
  </si>
  <si>
    <t xml:space="preserve">Coriolis 502</t>
  </si>
  <si>
    <t xml:space="preserve">S21</t>
  </si>
  <si>
    <t xml:space="preserve">23h30</t>
  </si>
  <si>
    <t xml:space="preserve">0°01.10 S</t>
  </si>
  <si>
    <t xml:space="preserve">1°05.40 W</t>
  </si>
  <si>
    <t xml:space="preserve">Coriolis 501</t>
  </si>
  <si>
    <t xml:space="preserve">S22</t>
  </si>
  <si>
    <t xml:space="preserve"> 2 litres</t>
  </si>
  <si>
    <t xml:space="preserve">10h41</t>
  </si>
  <si>
    <t xml:space="preserve">0°47.00 N</t>
  </si>
  <si>
    <t xml:space="preserve">2°04.00 E </t>
  </si>
  <si>
    <t xml:space="preserve">Coriolis 503 </t>
  </si>
  <si>
    <t xml:space="preserve">S23</t>
  </si>
  <si>
    <t xml:space="preserve">2litres</t>
  </si>
  <si>
    <t xml:space="preserve">02h34</t>
  </si>
  <si>
    <t xml:space="preserve">0°19.90 S</t>
  </si>
  <si>
    <t xml:space="preserve">3°59.00 E</t>
  </si>
  <si>
    <t xml:space="preserve">Coriolis 500</t>
  </si>
  <si>
    <t xml:space="preserve">S24</t>
  </si>
  <si>
    <t xml:space="preserve">21h03</t>
  </si>
  <si>
    <t xml:space="preserve">1°25.00 N</t>
  </si>
  <si>
    <t xml:space="preserve">4°54.00 E</t>
  </si>
  <si>
    <t xml:space="preserve">S25</t>
  </si>
  <si>
    <t xml:space="preserve">02h54</t>
  </si>
  <si>
    <t xml:space="preserve">1°47.00 N</t>
  </si>
  <si>
    <t xml:space="preserve">3°57.00 E</t>
  </si>
  <si>
    <t xml:space="preserve">S26</t>
  </si>
  <si>
    <t xml:space="preserve">09h10</t>
  </si>
  <si>
    <t xml:space="preserve">2°11.00 N</t>
  </si>
  <si>
    <t xml:space="preserve">2°54.00 E</t>
  </si>
  <si>
    <t xml:space="preserve">S27</t>
  </si>
  <si>
    <t xml:space="preserve">15h20</t>
  </si>
  <si>
    <t xml:space="preserve">2°33.70 N</t>
  </si>
  <si>
    <t xml:space="preserve">1°54.40 E</t>
  </si>
  <si>
    <t xml:space="preserve">S28</t>
  </si>
  <si>
    <t xml:space="preserve">20h56</t>
  </si>
  <si>
    <t xml:space="preserve">2°54.50 N</t>
  </si>
  <si>
    <t xml:space="preserve">0°59.36 E</t>
  </si>
  <si>
    <t xml:space="preserve">S29</t>
  </si>
  <si>
    <t xml:space="preserve">03h19</t>
  </si>
  <si>
    <t xml:space="preserve">3°17.60 N</t>
  </si>
  <si>
    <t xml:space="preserve">0°01.00 W</t>
  </si>
  <si>
    <t xml:space="preserve">K6</t>
  </si>
  <si>
    <t xml:space="preserve">S30</t>
  </si>
  <si>
    <t xml:space="preserve">09h45</t>
  </si>
  <si>
    <t xml:space="preserve">3°39.84 N</t>
  </si>
  <si>
    <t xml:space="preserve">1°04.20 W</t>
  </si>
  <si>
    <t xml:space="preserve">S31</t>
  </si>
  <si>
    <t xml:space="preserve">16h55</t>
  </si>
  <si>
    <t xml:space="preserve">4°02.70 N</t>
  </si>
  <si>
    <t xml:space="preserve">2°01.10 W</t>
  </si>
  <si>
    <t xml:space="preserve">S32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</si>
</sst>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;@"/>
    <numFmt numFmtId="171" formatCode="hh\hmm"/>
    <numFmt numFmtId="172" formatCode="hh:mm"/>
    <numFmt numFmtId="173" formatCode="0.000"/>
  </numFmts>
  <fonts count="1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name val="Times New Roman"/>
      <family val="1"/>
      <charset val="1"/>
    </font>
    <font>
      <sz val="9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7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19.86"/>
    <col collapsed="false" customWidth="true" hidden="false" outlineLevel="0" max="5" min="5" style="3" width="7.57"/>
    <col collapsed="false" customWidth="true" hidden="false" outlineLevel="0" max="6" min="6" style="3" width="9.85"/>
    <col collapsed="false" customWidth="true" hidden="false" outlineLevel="0" max="7" min="7" style="3" width="10.29"/>
    <col collapsed="false" customWidth="true" hidden="false" outlineLevel="0" max="8" min="8" style="1" width="5.86"/>
    <col collapsed="false" customWidth="true" hidden="false" outlineLevel="0" max="9" min="9" style="1" width="5.7"/>
    <col collapsed="false" customWidth="true" hidden="false" outlineLevel="0" max="10" min="10" style="4" width="8.86"/>
    <col collapsed="false" customWidth="true" hidden="false" outlineLevel="0" max="11" min="11" style="4" width="8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15.57"/>
    <col collapsed="false" customWidth="false" hidden="false" outlineLevel="0" max="15" min="15" style="1" width="10.99"/>
    <col collapsed="false" customWidth="true" hidden="false" outlineLevel="0" max="16" min="16" style="1" width="9.85"/>
    <col collapsed="false" customWidth="false" hidden="false" outlineLevel="0" max="17" min="17" style="1" width="10.99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4" t="s">
        <v>34</v>
      </c>
      <c r="AF5" s="12" t="s">
        <v>35</v>
      </c>
      <c r="AG5" s="24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5" t="s">
        <v>42</v>
      </c>
      <c r="AN5" s="12" t="s">
        <v>43</v>
      </c>
      <c r="AO5" s="12" t="s">
        <v>44</v>
      </c>
      <c r="AP5" s="26" t="s">
        <v>45</v>
      </c>
      <c r="AQ5" s="24" t="s">
        <v>46</v>
      </c>
      <c r="AR5" s="24" t="s">
        <v>47</v>
      </c>
      <c r="AS5" s="27" t="s">
        <v>48</v>
      </c>
      <c r="AT5" s="12" t="s">
        <v>49</v>
      </c>
      <c r="AU5" s="12" t="s">
        <v>50</v>
      </c>
      <c r="AV5" s="28" t="s">
        <v>51</v>
      </c>
      <c r="AW5" s="12" t="s">
        <v>52</v>
      </c>
      <c r="AX5" s="29" t="s">
        <v>53</v>
      </c>
      <c r="AMJ5" s="0"/>
    </row>
    <row r="6" customFormat="false" ht="45.75" hidden="false" customHeight="true" outlineLevel="0" collapsed="false">
      <c r="A6" s="30" t="s">
        <v>54</v>
      </c>
      <c r="B6" s="30" t="s">
        <v>55</v>
      </c>
      <c r="C6" s="30" t="s">
        <v>56</v>
      </c>
      <c r="D6" s="31" t="s">
        <v>57</v>
      </c>
      <c r="E6" s="32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3" t="s">
        <v>69</v>
      </c>
      <c r="Q6" s="33" t="s">
        <v>70</v>
      </c>
      <c r="R6" s="33" t="s">
        <v>71</v>
      </c>
      <c r="S6" s="33" t="s">
        <v>72</v>
      </c>
      <c r="T6" s="33" t="s">
        <v>73</v>
      </c>
      <c r="U6" s="33" t="s">
        <v>74</v>
      </c>
      <c r="V6" s="33" t="s">
        <v>75</v>
      </c>
      <c r="W6" s="33" t="s">
        <v>76</v>
      </c>
      <c r="X6" s="33" t="s">
        <v>77</v>
      </c>
      <c r="Y6" s="33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20.1" hidden="false" customHeight="true" outlineLevel="0" collapsed="false">
      <c r="A7" s="34" t="n">
        <v>1</v>
      </c>
      <c r="B7" s="35" t="n">
        <v>14</v>
      </c>
      <c r="C7" s="35" t="n">
        <v>-17.44</v>
      </c>
      <c r="D7" s="36" t="n">
        <v>40989</v>
      </c>
      <c r="E7" s="37" t="s">
        <v>80</v>
      </c>
      <c r="F7" s="38" t="s">
        <v>81</v>
      </c>
      <c r="G7" s="38" t="s">
        <v>82</v>
      </c>
      <c r="H7" s="39" t="n">
        <v>35.69</v>
      </c>
      <c r="I7" s="39" t="n">
        <v>20.3</v>
      </c>
      <c r="J7" s="39" t="s">
        <v>83</v>
      </c>
      <c r="K7" s="40" t="s">
        <v>84</v>
      </c>
      <c r="L7" s="39" t="n">
        <v>418</v>
      </c>
      <c r="M7" s="41" t="s">
        <v>85</v>
      </c>
      <c r="N7" s="42" t="s">
        <v>86</v>
      </c>
      <c r="O7" s="43" t="s">
        <v>87</v>
      </c>
      <c r="P7" s="44" t="n">
        <v>0.79</v>
      </c>
      <c r="Q7" s="44" t="n">
        <v>0.77</v>
      </c>
      <c r="R7" s="44" t="n">
        <v>8.7</v>
      </c>
      <c r="S7" s="44" t="n">
        <v>8.5</v>
      </c>
      <c r="T7" s="44" t="n">
        <f aca="false">SUM(P7,R7)</f>
        <v>9.49</v>
      </c>
      <c r="U7" s="44" t="n">
        <f aca="false">SUM(Q7,S7)</f>
        <v>9.27</v>
      </c>
      <c r="V7" s="44" t="n">
        <v>0.87</v>
      </c>
      <c r="W7" s="44" t="n">
        <v>0.85</v>
      </c>
      <c r="X7" s="44" t="n">
        <v>3.28</v>
      </c>
      <c r="Y7" s="44" t="n">
        <v>3.21</v>
      </c>
      <c r="Z7" s="45" t="n">
        <v>0.1491</v>
      </c>
      <c r="AA7" s="45" t="n">
        <v>0.2638</v>
      </c>
      <c r="AB7" s="45" t="n">
        <v>0.0365</v>
      </c>
      <c r="AC7" s="45" t="n">
        <v>0.0399</v>
      </c>
      <c r="AD7" s="45" t="n">
        <v>0.3599</v>
      </c>
      <c r="AE7" s="45" t="n">
        <v>0.0352</v>
      </c>
      <c r="AF7" s="45" t="n">
        <v>0.0886</v>
      </c>
      <c r="AG7" s="45" t="n">
        <v>0.0223</v>
      </c>
      <c r="AH7" s="45" t="n">
        <v>0.4101</v>
      </c>
      <c r="AI7" s="45" t="n">
        <v>0.0867</v>
      </c>
      <c r="AJ7" s="45" t="n">
        <v>0.1559</v>
      </c>
      <c r="AK7" s="45" t="n">
        <v>0.0236</v>
      </c>
      <c r="AL7" s="45" t="n">
        <v>0.0248</v>
      </c>
      <c r="AM7" s="45"/>
      <c r="AN7" s="45" t="n">
        <v>-99999</v>
      </c>
      <c r="AO7" s="45" t="n">
        <v>0.2735</v>
      </c>
      <c r="AP7" s="45"/>
      <c r="AQ7" s="45" t="n">
        <v>-99999</v>
      </c>
      <c r="AR7" s="45" t="n">
        <v>0.083</v>
      </c>
      <c r="AS7" s="45" t="n">
        <v>-99999</v>
      </c>
      <c r="AT7" s="45" t="n">
        <v>-99999</v>
      </c>
      <c r="AU7" s="45" t="n">
        <v>2.0131</v>
      </c>
      <c r="AV7" s="45"/>
      <c r="AW7" s="45" t="n">
        <v>0.0629</v>
      </c>
      <c r="AX7" s="46"/>
    </row>
    <row r="8" customFormat="false" ht="20.1" hidden="false" customHeight="true" outlineLevel="0" collapsed="false">
      <c r="A8" s="34" t="n">
        <f aca="false">A7+1</f>
        <v>2</v>
      </c>
      <c r="B8" s="35" t="n">
        <v>12</v>
      </c>
      <c r="C8" s="35" t="n">
        <v>-18.27</v>
      </c>
      <c r="D8" s="36" t="n">
        <v>40990</v>
      </c>
      <c r="E8" s="37" t="s">
        <v>88</v>
      </c>
      <c r="F8" s="38" t="s">
        <v>89</v>
      </c>
      <c r="G8" s="38" t="s">
        <v>90</v>
      </c>
      <c r="H8" s="39" t="n">
        <v>35.59</v>
      </c>
      <c r="I8" s="39" t="n">
        <v>23.49</v>
      </c>
      <c r="J8" s="39" t="s">
        <v>91</v>
      </c>
      <c r="K8" s="40" t="s">
        <v>92</v>
      </c>
      <c r="L8" s="39" t="n">
        <v>419</v>
      </c>
      <c r="M8" s="41" t="s">
        <v>93</v>
      </c>
      <c r="N8" s="42"/>
      <c r="O8" s="43" t="s">
        <v>94</v>
      </c>
      <c r="P8" s="44" t="n">
        <v>0.03</v>
      </c>
      <c r="Q8" s="44" t="n">
        <v>0.03</v>
      </c>
      <c r="R8" s="44" t="n">
        <v>0.19</v>
      </c>
      <c r="S8" s="44" t="n">
        <v>0.19</v>
      </c>
      <c r="T8" s="44" t="n">
        <f aca="false">SUM(P8,R8)</f>
        <v>0.22</v>
      </c>
      <c r="U8" s="44" t="n">
        <f aca="false">SUM(Q8,S8)</f>
        <v>0.22</v>
      </c>
      <c r="V8" s="44" t="n">
        <v>0.27</v>
      </c>
      <c r="W8" s="44" t="n">
        <v>0.26</v>
      </c>
      <c r="X8" s="44" t="n">
        <v>1.17</v>
      </c>
      <c r="Y8" s="44" t="n">
        <v>1.14</v>
      </c>
      <c r="Z8" s="45" t="n">
        <v>0.0209</v>
      </c>
      <c r="AA8" s="45" t="n">
        <v>0.0312</v>
      </c>
      <c r="AB8" s="45" t="n">
        <v>0.0145</v>
      </c>
      <c r="AC8" s="45" t="n">
        <v>0.0093</v>
      </c>
      <c r="AD8" s="45" t="n">
        <v>0.045</v>
      </c>
      <c r="AE8" s="45" t="n">
        <v>0.0075</v>
      </c>
      <c r="AF8" s="45" t="n">
        <v>0.0115</v>
      </c>
      <c r="AG8" s="45" t="n">
        <v>0.003</v>
      </c>
      <c r="AH8" s="45" t="n">
        <v>0.0545</v>
      </c>
      <c r="AI8" s="45" t="n">
        <v>0.0132</v>
      </c>
      <c r="AJ8" s="45" t="n">
        <v>0.1505</v>
      </c>
      <c r="AK8" s="45" t="n">
        <v>0.0125</v>
      </c>
      <c r="AL8" s="45" t="n">
        <v>0.1135</v>
      </c>
      <c r="AM8" s="45"/>
      <c r="AN8" s="45" t="n">
        <v>-99999</v>
      </c>
      <c r="AO8" s="45" t="n">
        <v>0.0463</v>
      </c>
      <c r="AP8" s="45"/>
      <c r="AQ8" s="45" t="n">
        <v>-99999</v>
      </c>
      <c r="AR8" s="45" t="n">
        <v>0.0655</v>
      </c>
      <c r="AS8" s="45" t="n">
        <v>0.0355</v>
      </c>
      <c r="AT8" s="45" t="n">
        <v>-99999</v>
      </c>
      <c r="AU8" s="45" t="n">
        <v>0.387</v>
      </c>
      <c r="AV8" s="45"/>
      <c r="AW8" s="45" t="n">
        <v>0.105</v>
      </c>
      <c r="AX8" s="46"/>
    </row>
    <row r="9" customFormat="false" ht="20.1" hidden="false" customHeight="true" outlineLevel="0" collapsed="false">
      <c r="A9" s="34" t="n">
        <f aca="false">A8+1</f>
        <v>3</v>
      </c>
      <c r="B9" s="35" t="n">
        <v>10</v>
      </c>
      <c r="C9" s="35" t="n">
        <v>-19.135</v>
      </c>
      <c r="D9" s="36" t="n">
        <v>40990</v>
      </c>
      <c r="E9" s="37" t="s">
        <v>95</v>
      </c>
      <c r="F9" s="38" t="s">
        <v>96</v>
      </c>
      <c r="G9" s="38" t="s">
        <v>97</v>
      </c>
      <c r="H9" s="39" t="n">
        <v>35.6</v>
      </c>
      <c r="I9" s="39" t="n">
        <v>24.84</v>
      </c>
      <c r="J9" s="39" t="s">
        <v>98</v>
      </c>
      <c r="K9" s="47" t="s">
        <v>99</v>
      </c>
      <c r="L9" s="39" t="n">
        <v>420</v>
      </c>
      <c r="M9" s="41" t="s">
        <v>100</v>
      </c>
      <c r="N9" s="42" t="s">
        <v>86</v>
      </c>
      <c r="O9" s="43" t="s">
        <v>101</v>
      </c>
      <c r="P9" s="44" t="n">
        <v>0.03</v>
      </c>
      <c r="Q9" s="44" t="n">
        <v>0.03</v>
      </c>
      <c r="R9" s="44" t="n">
        <v>0.15</v>
      </c>
      <c r="S9" s="44" t="n">
        <v>0.15</v>
      </c>
      <c r="T9" s="44" t="n">
        <f aca="false">SUM(P9,R9)</f>
        <v>0.18</v>
      </c>
      <c r="U9" s="44" t="n">
        <f aca="false">SUM(Q9,S9)</f>
        <v>0.18</v>
      </c>
      <c r="V9" s="44" t="n">
        <v>0.15</v>
      </c>
      <c r="W9" s="44" t="n">
        <v>0.15</v>
      </c>
      <c r="X9" s="44" t="n">
        <v>0.62</v>
      </c>
      <c r="Y9" s="44" t="n">
        <v>0.61</v>
      </c>
      <c r="Z9" s="45" t="n">
        <v>0.0096</v>
      </c>
      <c r="AA9" s="45" t="n">
        <v>0.0144</v>
      </c>
      <c r="AB9" s="45" t="n">
        <v>0.0089</v>
      </c>
      <c r="AC9" s="45" t="n">
        <v>0.007</v>
      </c>
      <c r="AD9" s="45" t="n">
        <v>0.0147</v>
      </c>
      <c r="AE9" s="45" t="n">
        <v>-99999</v>
      </c>
      <c r="AF9" s="45" t="n">
        <v>0.0015</v>
      </c>
      <c r="AG9" s="45" t="n">
        <v>0.002</v>
      </c>
      <c r="AH9" s="45" t="n">
        <v>0.0334</v>
      </c>
      <c r="AI9" s="45" t="n">
        <v>0.0089</v>
      </c>
      <c r="AJ9" s="45" t="n">
        <v>0.0302</v>
      </c>
      <c r="AK9" s="45" t="n">
        <v>0.0028</v>
      </c>
      <c r="AL9" s="45" t="n">
        <v>0.1311</v>
      </c>
      <c r="AM9" s="45"/>
      <c r="AN9" s="45" t="n">
        <v>-99999</v>
      </c>
      <c r="AO9" s="45" t="n">
        <v>0.0163</v>
      </c>
      <c r="AP9" s="45"/>
      <c r="AQ9" s="45" t="n">
        <v>-99999</v>
      </c>
      <c r="AR9" s="45" t="n">
        <v>0.0298</v>
      </c>
      <c r="AS9" s="45" t="n">
        <v>0.0029</v>
      </c>
      <c r="AT9" s="45" t="n">
        <v>0.0277</v>
      </c>
      <c r="AU9" s="45" t="n">
        <v>0.1706</v>
      </c>
      <c r="AV9" s="45"/>
      <c r="AW9" s="45" t="n">
        <v>0.0452</v>
      </c>
      <c r="AX9" s="46"/>
    </row>
    <row r="10" customFormat="false" ht="20.1" hidden="false" customHeight="true" outlineLevel="0" collapsed="false">
      <c r="A10" s="34" t="n">
        <f aca="false">A9+1</f>
        <v>4</v>
      </c>
      <c r="B10" s="35" t="n">
        <v>8</v>
      </c>
      <c r="C10" s="35" t="n">
        <v>-19.597</v>
      </c>
      <c r="D10" s="36" t="n">
        <v>40991</v>
      </c>
      <c r="E10" s="37" t="s">
        <v>102</v>
      </c>
      <c r="F10" s="38" t="s">
        <v>103</v>
      </c>
      <c r="G10" s="38" t="s">
        <v>104</v>
      </c>
      <c r="H10" s="39" t="n">
        <v>35.76</v>
      </c>
      <c r="I10" s="39" t="n">
        <v>25.97</v>
      </c>
      <c r="J10" s="39" t="s">
        <v>105</v>
      </c>
      <c r="K10" s="41" t="s">
        <v>106</v>
      </c>
      <c r="L10" s="39" t="n">
        <v>421</v>
      </c>
      <c r="M10" s="41" t="s">
        <v>107</v>
      </c>
      <c r="N10" s="42" t="s">
        <v>86</v>
      </c>
      <c r="O10" s="43" t="s">
        <v>108</v>
      </c>
      <c r="P10" s="44" t="n">
        <v>0.03</v>
      </c>
      <c r="Q10" s="44" t="n">
        <v>0.03</v>
      </c>
      <c r="R10" s="44" t="n">
        <v>0.14</v>
      </c>
      <c r="S10" s="44" t="n">
        <v>0.14</v>
      </c>
      <c r="T10" s="44" t="n">
        <f aca="false">SUM(P10,R10)</f>
        <v>0.17</v>
      </c>
      <c r="U10" s="44" t="n">
        <f aca="false">SUM(Q10,S10)</f>
        <v>0.17</v>
      </c>
      <c r="V10" s="44" t="n">
        <v>0.12</v>
      </c>
      <c r="W10" s="44" t="n">
        <v>0.12</v>
      </c>
      <c r="X10" s="44" t="n">
        <v>0.49</v>
      </c>
      <c r="Y10" s="44" t="n">
        <v>0.48</v>
      </c>
      <c r="Z10" s="45" t="n">
        <v>0.013</v>
      </c>
      <c r="AA10" s="45" t="n">
        <v>0.0199</v>
      </c>
      <c r="AB10" s="45" t="n">
        <v>0.0096</v>
      </c>
      <c r="AC10" s="45" t="n">
        <v>0.0093</v>
      </c>
      <c r="AD10" s="45" t="n">
        <v>0.0193</v>
      </c>
      <c r="AE10" s="45" t="n">
        <v>0.003</v>
      </c>
      <c r="AF10" s="45" t="n">
        <v>0.0007</v>
      </c>
      <c r="AG10" s="45" t="n">
        <v>0.0017</v>
      </c>
      <c r="AH10" s="45" t="n">
        <v>0.0381</v>
      </c>
      <c r="AI10" s="45" t="n">
        <v>0.0113</v>
      </c>
      <c r="AJ10" s="45" t="n">
        <v>-99999</v>
      </c>
      <c r="AK10" s="45" t="n">
        <v>-99999</v>
      </c>
      <c r="AL10" s="45" t="n">
        <v>0.0935</v>
      </c>
      <c r="AM10" s="45"/>
      <c r="AN10" s="45" t="n">
        <v>0.0065</v>
      </c>
      <c r="AO10" s="45" t="n">
        <v>0.0121</v>
      </c>
      <c r="AP10" s="45"/>
      <c r="AQ10" s="45" t="n">
        <v>-99999</v>
      </c>
      <c r="AR10" s="45" t="n">
        <v>0.0292</v>
      </c>
      <c r="AS10" s="45" t="n">
        <v>-99999</v>
      </c>
      <c r="AT10" s="45" t="n">
        <v>0.0605</v>
      </c>
      <c r="AU10" s="45" t="n">
        <v>0.1979</v>
      </c>
      <c r="AV10" s="45"/>
      <c r="AW10" s="45" t="n">
        <v>0.0103</v>
      </c>
      <c r="AX10" s="46"/>
    </row>
    <row r="11" customFormat="false" ht="20.1" hidden="false" customHeight="true" outlineLevel="0" collapsed="false">
      <c r="A11" s="34" t="n">
        <f aca="false">A10+1</f>
        <v>5</v>
      </c>
      <c r="B11" s="35" t="n">
        <v>6</v>
      </c>
      <c r="C11" s="35" t="n">
        <v>-20.458</v>
      </c>
      <c r="D11" s="36" t="n">
        <v>40991</v>
      </c>
      <c r="E11" s="37" t="s">
        <v>109</v>
      </c>
      <c r="F11" s="38" t="s">
        <v>110</v>
      </c>
      <c r="G11" s="38" t="s">
        <v>111</v>
      </c>
      <c r="H11" s="39" t="n">
        <v>35.72</v>
      </c>
      <c r="I11" s="39" t="n">
        <v>27.94</v>
      </c>
      <c r="J11" s="39" t="s">
        <v>112</v>
      </c>
      <c r="K11" s="41" t="s">
        <v>113</v>
      </c>
      <c r="L11" s="39" t="n">
        <v>422</v>
      </c>
      <c r="M11" s="41" t="s">
        <v>114</v>
      </c>
      <c r="N11" s="42" t="s">
        <v>86</v>
      </c>
      <c r="O11" s="43" t="s">
        <v>115</v>
      </c>
      <c r="P11" s="44" t="n">
        <v>0.02</v>
      </c>
      <c r="Q11" s="44" t="n">
        <v>0.02</v>
      </c>
      <c r="R11" s="44" t="n">
        <v>0.13</v>
      </c>
      <c r="S11" s="44" t="n">
        <v>0.13</v>
      </c>
      <c r="T11" s="44" t="n">
        <f aca="false">SUM(P11,R11)</f>
        <v>0.15</v>
      </c>
      <c r="U11" s="44" t="n">
        <f aca="false">SUM(Q11,S11)</f>
        <v>0.15</v>
      </c>
      <c r="V11" s="44" t="n">
        <v>0.09</v>
      </c>
      <c r="W11" s="44" t="n">
        <v>0.09</v>
      </c>
      <c r="X11" s="44" t="n">
        <v>0.88</v>
      </c>
      <c r="Y11" s="44" t="n">
        <v>0.86</v>
      </c>
      <c r="Z11" s="45" t="n">
        <v>0.0077</v>
      </c>
      <c r="AA11" s="45" t="n">
        <v>0.0146</v>
      </c>
      <c r="AB11" s="45" t="n">
        <v>0.0106</v>
      </c>
      <c r="AC11" s="45" t="n">
        <v>0.0067</v>
      </c>
      <c r="AD11" s="45" t="n">
        <v>0.0093</v>
      </c>
      <c r="AE11" s="45" t="n">
        <v>-99999</v>
      </c>
      <c r="AF11" s="45" t="n">
        <v>-99999</v>
      </c>
      <c r="AG11" s="45" t="n">
        <v>0.002</v>
      </c>
      <c r="AH11" s="45" t="n">
        <v>0.031</v>
      </c>
      <c r="AI11" s="45" t="n">
        <v>0.0124</v>
      </c>
      <c r="AJ11" s="45" t="n">
        <v>0.0056</v>
      </c>
      <c r="AK11" s="45" t="n">
        <v>0.0021</v>
      </c>
      <c r="AL11" s="45" t="n">
        <v>0.2102</v>
      </c>
      <c r="AM11" s="45"/>
      <c r="AN11" s="45" t="n">
        <v>0.0059</v>
      </c>
      <c r="AO11" s="45" t="n">
        <v>0.0114</v>
      </c>
      <c r="AP11" s="45"/>
      <c r="AQ11" s="45" t="n">
        <v>-99999</v>
      </c>
      <c r="AR11" s="45" t="n">
        <v>0.0386</v>
      </c>
      <c r="AS11" s="45" t="n">
        <v>0.001</v>
      </c>
      <c r="AT11" s="45" t="n">
        <v>0.0924</v>
      </c>
      <c r="AU11" s="45" t="n">
        <v>0.1656</v>
      </c>
      <c r="AV11" s="45"/>
      <c r="AW11" s="45" t="n">
        <v>0.0087</v>
      </c>
      <c r="AX11" s="46"/>
    </row>
    <row r="12" customFormat="false" ht="20.1" hidden="false" customHeight="true" outlineLevel="0" collapsed="false">
      <c r="A12" s="34" t="n">
        <f aca="false">A11+1</f>
        <v>6</v>
      </c>
      <c r="B12" s="35" t="n">
        <v>4</v>
      </c>
      <c r="C12" s="35" t="n">
        <v>-21.296</v>
      </c>
      <c r="D12" s="36" t="n">
        <v>40992</v>
      </c>
      <c r="E12" s="37" t="s">
        <v>116</v>
      </c>
      <c r="F12" s="48" t="s">
        <v>117</v>
      </c>
      <c r="G12" s="48" t="s">
        <v>118</v>
      </c>
      <c r="H12" s="39" t="n">
        <v>34.64</v>
      </c>
      <c r="I12" s="39" t="n">
        <v>28.93</v>
      </c>
      <c r="J12" s="39" t="s">
        <v>119</v>
      </c>
      <c r="K12" s="41" t="s">
        <v>120</v>
      </c>
      <c r="L12" s="39" t="n">
        <v>423</v>
      </c>
      <c r="M12" s="41" t="s">
        <v>121</v>
      </c>
      <c r="N12" s="42" t="s">
        <v>86</v>
      </c>
      <c r="O12" s="43" t="s">
        <v>122</v>
      </c>
      <c r="P12" s="44" t="n">
        <v>0.05</v>
      </c>
      <c r="Q12" s="44" t="n">
        <v>0.04</v>
      </c>
      <c r="R12" s="44" t="n">
        <v>0.14</v>
      </c>
      <c r="S12" s="44" t="n">
        <v>0.13</v>
      </c>
      <c r="T12" s="44" t="n">
        <f aca="false">SUM(P12,R12)</f>
        <v>0.19</v>
      </c>
      <c r="U12" s="44" t="n">
        <f aca="false">SUM(Q12,S12)</f>
        <v>0.17</v>
      </c>
      <c r="V12" s="44" t="n">
        <v>0.01</v>
      </c>
      <c r="W12" s="44" t="n">
        <v>0.01</v>
      </c>
      <c r="X12" s="44" t="n">
        <v>0.95</v>
      </c>
      <c r="Y12" s="44" t="n">
        <v>0.93</v>
      </c>
      <c r="Z12" s="45" t="n">
        <v>0.0143</v>
      </c>
      <c r="AA12" s="45" t="n">
        <v>0.0239</v>
      </c>
      <c r="AB12" s="45" t="n">
        <v>0.0174</v>
      </c>
      <c r="AC12" s="45" t="n">
        <v>0.0117</v>
      </c>
      <c r="AD12" s="45" t="n">
        <v>0.0168</v>
      </c>
      <c r="AE12" s="45" t="n">
        <v>-99999</v>
      </c>
      <c r="AF12" s="45" t="n">
        <v>-99999</v>
      </c>
      <c r="AG12" s="45" t="n">
        <v>0.0031</v>
      </c>
      <c r="AH12" s="45" t="n">
        <v>0.0474</v>
      </c>
      <c r="AI12" s="45" t="n">
        <v>0.0127</v>
      </c>
      <c r="AJ12" s="45" t="n">
        <v>0.0029</v>
      </c>
      <c r="AK12" s="45" t="n">
        <v>0.0014</v>
      </c>
      <c r="AL12" s="45" t="n">
        <v>0.1733</v>
      </c>
      <c r="AM12" s="45"/>
      <c r="AN12" s="45" t="n">
        <v>0.0104</v>
      </c>
      <c r="AO12" s="45" t="n">
        <v>0.0143</v>
      </c>
      <c r="AP12" s="45"/>
      <c r="AQ12" s="45" t="n">
        <v>0.0402</v>
      </c>
      <c r="AR12" s="45" t="n">
        <v>-99999</v>
      </c>
      <c r="AS12" s="45" t="n">
        <v>-99999</v>
      </c>
      <c r="AT12" s="45" t="n">
        <v>0.1268</v>
      </c>
      <c r="AU12" s="45" t="n">
        <v>0.2384</v>
      </c>
      <c r="AV12" s="45"/>
      <c r="AW12" s="45" t="n">
        <v>0.0069</v>
      </c>
      <c r="AX12" s="46"/>
    </row>
    <row r="13" customFormat="false" ht="20.1" hidden="false" customHeight="true" outlineLevel="0" collapsed="false">
      <c r="A13" s="34" t="n">
        <f aca="false">A12+1</f>
        <v>7</v>
      </c>
      <c r="B13" s="35" t="n">
        <v>2</v>
      </c>
      <c r="C13" s="35" t="n">
        <v>-22.15</v>
      </c>
      <c r="D13" s="36" t="n">
        <v>40992</v>
      </c>
      <c r="E13" s="37" t="s">
        <v>123</v>
      </c>
      <c r="F13" s="48" t="s">
        <v>124</v>
      </c>
      <c r="G13" s="48" t="s">
        <v>125</v>
      </c>
      <c r="H13" s="39" t="n">
        <v>35.19</v>
      </c>
      <c r="I13" s="39" t="n">
        <v>28.24</v>
      </c>
      <c r="J13" s="39" t="s">
        <v>126</v>
      </c>
      <c r="K13" s="41" t="s">
        <v>127</v>
      </c>
      <c r="L13" s="39" t="n">
        <v>424</v>
      </c>
      <c r="M13" s="41" t="s">
        <v>127</v>
      </c>
      <c r="N13" s="42" t="s">
        <v>86</v>
      </c>
      <c r="O13" s="43" t="s">
        <v>128</v>
      </c>
      <c r="P13" s="44" t="n">
        <v>0.01</v>
      </c>
      <c r="Q13" s="44" t="n">
        <v>0.01</v>
      </c>
      <c r="R13" s="44" t="n">
        <v>0.13</v>
      </c>
      <c r="S13" s="44" t="n">
        <v>0.12</v>
      </c>
      <c r="T13" s="44" t="n">
        <f aca="false">SUM(P13,R13)</f>
        <v>0.14</v>
      </c>
      <c r="U13" s="44" t="n">
        <f aca="false">SUM(Q13,S13)</f>
        <v>0.13</v>
      </c>
      <c r="V13" s="44" t="n">
        <v>0.06</v>
      </c>
      <c r="W13" s="44" t="n">
        <v>0.06</v>
      </c>
      <c r="X13" s="44" t="n">
        <v>1.1</v>
      </c>
      <c r="Y13" s="44" t="n">
        <v>1.07</v>
      </c>
      <c r="Z13" s="45" t="n">
        <v>0.0142</v>
      </c>
      <c r="AA13" s="45" t="n">
        <v>0.0144</v>
      </c>
      <c r="AB13" s="45" t="n">
        <v>0.0034</v>
      </c>
      <c r="AC13" s="45" t="n">
        <v>0.0104</v>
      </c>
      <c r="AD13" s="45" t="n">
        <v>0.0118</v>
      </c>
      <c r="AE13" s="45" t="n">
        <v>-99999</v>
      </c>
      <c r="AF13" s="45" t="n">
        <v>-99999</v>
      </c>
      <c r="AG13" s="45" t="n">
        <v>0.0017</v>
      </c>
      <c r="AH13" s="45" t="n">
        <v>0.0506</v>
      </c>
      <c r="AI13" s="45" t="n">
        <v>0.0198</v>
      </c>
      <c r="AJ13" s="45" t="n">
        <v>0.002</v>
      </c>
      <c r="AK13" s="45" t="n">
        <v>0.0024</v>
      </c>
      <c r="AL13" s="45" t="n">
        <v>0.1392</v>
      </c>
      <c r="AM13" s="45"/>
      <c r="AN13" s="45" t="n">
        <v>0.0038</v>
      </c>
      <c r="AO13" s="45" t="n">
        <v>0.0068</v>
      </c>
      <c r="AP13" s="45"/>
      <c r="AQ13" s="45" t="n">
        <v>-99999</v>
      </c>
      <c r="AR13" s="45" t="n">
        <v>0.026</v>
      </c>
      <c r="AS13" s="45" t="n">
        <v>-99999</v>
      </c>
      <c r="AT13" s="45" t="n">
        <v>0.0538</v>
      </c>
      <c r="AU13" s="45" t="n">
        <v>0.1437</v>
      </c>
      <c r="AV13" s="45"/>
      <c r="AW13" s="45" t="n">
        <v>0.0046</v>
      </c>
      <c r="AX13" s="46"/>
    </row>
    <row r="14" customFormat="false" ht="20.1" hidden="false" customHeight="true" outlineLevel="0" collapsed="false">
      <c r="A14" s="34" t="n">
        <f aca="false">A13+1</f>
        <v>8</v>
      </c>
      <c r="B14" s="49" t="n">
        <v>0</v>
      </c>
      <c r="C14" s="49" t="n">
        <v>-20</v>
      </c>
      <c r="D14" s="36" t="n">
        <v>40994</v>
      </c>
      <c r="E14" s="37" t="s">
        <v>129</v>
      </c>
      <c r="F14" s="48" t="s">
        <v>130</v>
      </c>
      <c r="G14" s="48" t="s">
        <v>131</v>
      </c>
      <c r="H14" s="39" t="n">
        <v>35.85</v>
      </c>
      <c r="I14" s="39" t="n">
        <v>27.81</v>
      </c>
      <c r="J14" s="39" t="s">
        <v>132</v>
      </c>
      <c r="K14" s="41" t="s">
        <v>133</v>
      </c>
      <c r="L14" s="39" t="n">
        <v>426</v>
      </c>
      <c r="M14" s="41" t="s">
        <v>133</v>
      </c>
      <c r="N14" s="42" t="s">
        <v>86</v>
      </c>
      <c r="O14" s="50" t="n">
        <v>35.851</v>
      </c>
      <c r="P14" s="44" t="n">
        <v>0.03</v>
      </c>
      <c r="Q14" s="44" t="n">
        <v>0.03</v>
      </c>
      <c r="R14" s="44" t="n">
        <v>0.16</v>
      </c>
      <c r="S14" s="44" t="n">
        <v>0.15</v>
      </c>
      <c r="T14" s="44" t="n">
        <f aca="false">SUM(P14,R14)</f>
        <v>0.19</v>
      </c>
      <c r="U14" s="44" t="n">
        <f aca="false">SUM(Q14,S14)</f>
        <v>0.18</v>
      </c>
      <c r="V14" s="44" t="n">
        <v>0.1</v>
      </c>
      <c r="W14" s="44" t="n">
        <v>0.1</v>
      </c>
      <c r="X14" s="44" t="n">
        <v>1.02</v>
      </c>
      <c r="Y14" s="44" t="n">
        <v>1</v>
      </c>
      <c r="Z14" s="45" t="n">
        <v>0.0084</v>
      </c>
      <c r="AA14" s="45" t="n">
        <v>0.0139</v>
      </c>
      <c r="AB14" s="45" t="n">
        <v>0.0084</v>
      </c>
      <c r="AC14" s="45" t="n">
        <v>0.0094</v>
      </c>
      <c r="AD14" s="45" t="n">
        <v>0.0113</v>
      </c>
      <c r="AE14" s="45" t="n">
        <v>-99999</v>
      </c>
      <c r="AF14" s="45" t="n">
        <v>-99999</v>
      </c>
      <c r="AG14" s="45" t="n">
        <v>0.0015</v>
      </c>
      <c r="AH14" s="45" t="n">
        <v>0.0275</v>
      </c>
      <c r="AI14" s="45" t="n">
        <v>0.008</v>
      </c>
      <c r="AJ14" s="45" t="n">
        <v>-99999</v>
      </c>
      <c r="AK14" s="45" t="n">
        <v>-99999</v>
      </c>
      <c r="AL14" s="45" t="n">
        <v>0.1618</v>
      </c>
      <c r="AM14" s="45"/>
      <c r="AN14" s="45" t="n">
        <v>0.0075</v>
      </c>
      <c r="AO14" s="45" t="n">
        <v>0.0078</v>
      </c>
      <c r="AP14" s="45"/>
      <c r="AQ14" s="45" t="n">
        <v>0.028</v>
      </c>
      <c r="AR14" s="45" t="n">
        <v>-99999</v>
      </c>
      <c r="AS14" s="45" t="n">
        <v>-99999</v>
      </c>
      <c r="AT14" s="45" t="n">
        <v>0.089</v>
      </c>
      <c r="AU14" s="45" t="n">
        <v>0.1188</v>
      </c>
      <c r="AV14" s="45"/>
      <c r="AW14" s="45" t="n">
        <v>0.0036</v>
      </c>
      <c r="AX14" s="46"/>
    </row>
    <row r="15" customFormat="false" ht="20.1" hidden="false" customHeight="true" outlineLevel="0" collapsed="false">
      <c r="A15" s="34" t="n">
        <f aca="false">A14+1</f>
        <v>9</v>
      </c>
      <c r="B15" s="49" t="n">
        <v>0</v>
      </c>
      <c r="C15" s="51" t="n">
        <v>-18</v>
      </c>
      <c r="D15" s="36" t="n">
        <v>40995</v>
      </c>
      <c r="E15" s="37" t="s">
        <v>134</v>
      </c>
      <c r="F15" s="48" t="s">
        <v>130</v>
      </c>
      <c r="G15" s="48" t="s">
        <v>135</v>
      </c>
      <c r="H15" s="39" t="n">
        <v>35.67</v>
      </c>
      <c r="I15" s="39" t="n">
        <v>27.58</v>
      </c>
      <c r="J15" s="39" t="s">
        <v>136</v>
      </c>
      <c r="K15" s="41" t="s">
        <v>137</v>
      </c>
      <c r="L15" s="39" t="n">
        <v>427</v>
      </c>
      <c r="M15" s="41" t="s">
        <v>137</v>
      </c>
      <c r="N15" s="52" t="s">
        <v>86</v>
      </c>
      <c r="O15" s="50" t="n">
        <v>35.668</v>
      </c>
      <c r="P15" s="44" t="n">
        <v>0.04</v>
      </c>
      <c r="Q15" s="44" t="n">
        <v>0.04</v>
      </c>
      <c r="R15" s="44" t="n">
        <v>0.17</v>
      </c>
      <c r="S15" s="44" t="n">
        <v>0.17</v>
      </c>
      <c r="T15" s="44" t="n">
        <f aca="false">SUM(P15,R15)</f>
        <v>0.21</v>
      </c>
      <c r="U15" s="44" t="n">
        <f aca="false">SUM(Q15,S15)</f>
        <v>0.21</v>
      </c>
      <c r="V15" s="44" t="n">
        <v>0.1</v>
      </c>
      <c r="W15" s="44" t="n">
        <v>0.09</v>
      </c>
      <c r="X15" s="44" t="n">
        <v>0.77</v>
      </c>
      <c r="Y15" s="44" t="n">
        <v>0.75</v>
      </c>
      <c r="Z15" s="45" t="n">
        <v>0.0076</v>
      </c>
      <c r="AA15" s="45" t="n">
        <v>0.0104</v>
      </c>
      <c r="AB15" s="45" t="n">
        <v>0.0042</v>
      </c>
      <c r="AC15" s="45" t="n">
        <v>0.0073</v>
      </c>
      <c r="AD15" s="45" t="n">
        <v>0.0076</v>
      </c>
      <c r="AE15" s="45" t="n">
        <v>-99999</v>
      </c>
      <c r="AF15" s="45" t="n">
        <v>-99999</v>
      </c>
      <c r="AG15" s="45" t="n">
        <v>0.0009</v>
      </c>
      <c r="AH15" s="45" t="n">
        <v>0.0236</v>
      </c>
      <c r="AI15" s="45" t="n">
        <v>0.0062</v>
      </c>
      <c r="AJ15" s="45" t="n">
        <v>0.0012</v>
      </c>
      <c r="AK15" s="45" t="n">
        <v>0.0009</v>
      </c>
      <c r="AL15" s="45" t="n">
        <v>0.1085</v>
      </c>
      <c r="AM15" s="45"/>
      <c r="AN15" s="45" t="n">
        <v>0.0088</v>
      </c>
      <c r="AO15" s="45" t="n">
        <v>0.0074</v>
      </c>
      <c r="AP15" s="45"/>
      <c r="AQ15" s="45" t="n">
        <v>0.0237</v>
      </c>
      <c r="AR15" s="45" t="n">
        <v>-99999</v>
      </c>
      <c r="AS15" s="45" t="n">
        <v>-99999</v>
      </c>
      <c r="AT15" s="45" t="n">
        <v>0.0944</v>
      </c>
      <c r="AU15" s="45" t="n">
        <v>0.0899</v>
      </c>
      <c r="AV15" s="45"/>
      <c r="AW15" s="45" t="n">
        <v>0.0032</v>
      </c>
      <c r="AX15" s="46"/>
    </row>
    <row r="16" customFormat="false" ht="20.1" hidden="false" customHeight="true" outlineLevel="0" collapsed="false">
      <c r="A16" s="34" t="n">
        <f aca="false">A15+1</f>
        <v>10</v>
      </c>
      <c r="B16" s="49" t="n">
        <v>0</v>
      </c>
      <c r="C16" s="51" t="n">
        <v>-16</v>
      </c>
      <c r="D16" s="36" t="n">
        <v>40995</v>
      </c>
      <c r="E16" s="37" t="s">
        <v>138</v>
      </c>
      <c r="F16" s="48" t="s">
        <v>130</v>
      </c>
      <c r="G16" s="48" t="s">
        <v>139</v>
      </c>
      <c r="H16" s="39" t="n">
        <v>35.99</v>
      </c>
      <c r="I16" s="39" t="n">
        <v>27.59</v>
      </c>
      <c r="J16" s="39" t="s">
        <v>140</v>
      </c>
      <c r="K16" s="41" t="s">
        <v>141</v>
      </c>
      <c r="L16" s="39" t="n">
        <v>428</v>
      </c>
      <c r="M16" s="41" t="s">
        <v>141</v>
      </c>
      <c r="N16" s="42" t="s">
        <v>86</v>
      </c>
      <c r="O16" s="50" t="n">
        <v>35.992</v>
      </c>
      <c r="P16" s="44" t="n">
        <v>0.01</v>
      </c>
      <c r="Q16" s="44" t="n">
        <v>0.01</v>
      </c>
      <c r="R16" s="44" t="n">
        <v>0.12</v>
      </c>
      <c r="S16" s="44" t="n">
        <v>0.12</v>
      </c>
      <c r="T16" s="44" t="n">
        <f aca="false">SUM(P16,R16)</f>
        <v>0.13</v>
      </c>
      <c r="U16" s="44" t="n">
        <f aca="false">SUM(Q16,S16)</f>
        <v>0.13</v>
      </c>
      <c r="V16" s="44" t="n">
        <v>0.09</v>
      </c>
      <c r="W16" s="44" t="n">
        <v>0.09</v>
      </c>
      <c r="X16" s="44" t="n">
        <v>1.08</v>
      </c>
      <c r="Y16" s="44" t="n">
        <v>1.06</v>
      </c>
      <c r="Z16" s="45" t="n">
        <v>0.0048</v>
      </c>
      <c r="AA16" s="45" t="n">
        <v>0.0087</v>
      </c>
      <c r="AB16" s="45" t="n">
        <v>0.0049</v>
      </c>
      <c r="AC16" s="45" t="n">
        <v>0.0061</v>
      </c>
      <c r="AD16" s="45" t="n">
        <v>0.0083</v>
      </c>
      <c r="AE16" s="45" t="n">
        <v>-99999</v>
      </c>
      <c r="AF16" s="45" t="n">
        <v>-99999</v>
      </c>
      <c r="AG16" s="45" t="n">
        <v>0.0012</v>
      </c>
      <c r="AH16" s="45" t="n">
        <v>0.015</v>
      </c>
      <c r="AI16" s="45" t="n">
        <v>0.0072</v>
      </c>
      <c r="AJ16" s="45" t="n">
        <v>0.0009</v>
      </c>
      <c r="AK16" s="45" t="n">
        <v>0.0014</v>
      </c>
      <c r="AL16" s="45" t="n">
        <v>0.1157</v>
      </c>
      <c r="AM16" s="45"/>
      <c r="AN16" s="45" t="n">
        <v>0.0043</v>
      </c>
      <c r="AO16" s="45" t="n">
        <v>0.0061</v>
      </c>
      <c r="AP16" s="45"/>
      <c r="AQ16" s="45" t="n">
        <v>-99999</v>
      </c>
      <c r="AR16" s="45" t="n">
        <v>0.0165</v>
      </c>
      <c r="AS16" s="45" t="n">
        <v>-99999</v>
      </c>
      <c r="AT16" s="45" t="n">
        <v>0.0722</v>
      </c>
      <c r="AU16" s="45" t="n">
        <v>0.0693</v>
      </c>
      <c r="AV16" s="45"/>
      <c r="AW16" s="45" t="n">
        <v>0.0026</v>
      </c>
      <c r="AX16" s="46"/>
    </row>
    <row r="17" customFormat="false" ht="20.1" hidden="false" customHeight="true" outlineLevel="0" collapsed="false">
      <c r="A17" s="34" t="n">
        <f aca="false">A16+1</f>
        <v>11</v>
      </c>
      <c r="B17" s="49" t="n">
        <v>0</v>
      </c>
      <c r="C17" s="51" t="n">
        <v>-14</v>
      </c>
      <c r="D17" s="36" t="n">
        <v>40996</v>
      </c>
      <c r="E17" s="37" t="s">
        <v>142</v>
      </c>
      <c r="F17" s="48" t="s">
        <v>130</v>
      </c>
      <c r="G17" s="48" t="s">
        <v>143</v>
      </c>
      <c r="H17" s="39" t="n">
        <v>36.03</v>
      </c>
      <c r="I17" s="39" t="n">
        <v>27.46</v>
      </c>
      <c r="J17" s="39" t="s">
        <v>144</v>
      </c>
      <c r="K17" s="41" t="s">
        <v>145</v>
      </c>
      <c r="L17" s="39" t="n">
        <v>429</v>
      </c>
      <c r="M17" s="41" t="s">
        <v>145</v>
      </c>
      <c r="N17" s="42" t="s">
        <v>86</v>
      </c>
      <c r="O17" s="50" t="n">
        <v>36.021</v>
      </c>
      <c r="P17" s="44" t="n">
        <v>0.03</v>
      </c>
      <c r="Q17" s="44" t="n">
        <v>0.03</v>
      </c>
      <c r="R17" s="44" t="n">
        <v>0.15</v>
      </c>
      <c r="S17" s="44" t="n">
        <v>0.14</v>
      </c>
      <c r="T17" s="44" t="n">
        <f aca="false">SUM(P17,R17)</f>
        <v>0.18</v>
      </c>
      <c r="U17" s="44" t="n">
        <f aca="false">SUM(Q17,S17)</f>
        <v>0.17</v>
      </c>
      <c r="V17" s="44" t="n">
        <v>0.13</v>
      </c>
      <c r="W17" s="44" t="n">
        <v>0.13</v>
      </c>
      <c r="X17" s="44" t="n">
        <v>0.89</v>
      </c>
      <c r="Y17" s="44" t="n">
        <v>0.87</v>
      </c>
      <c r="Z17" s="45" t="n">
        <v>0.0052</v>
      </c>
      <c r="AA17" s="45" t="n">
        <v>0.0111</v>
      </c>
      <c r="AB17" s="45" t="n">
        <v>0.0051</v>
      </c>
      <c r="AC17" s="45" t="n">
        <v>0.0063</v>
      </c>
      <c r="AD17" s="45" t="n">
        <v>0.0107</v>
      </c>
      <c r="AE17" s="45" t="n">
        <v>-99999</v>
      </c>
      <c r="AF17" s="45" t="n">
        <v>-99999</v>
      </c>
      <c r="AG17" s="45" t="n">
        <v>0.0016</v>
      </c>
      <c r="AH17" s="45" t="n">
        <v>0.0167</v>
      </c>
      <c r="AI17" s="45" t="n">
        <v>0.006</v>
      </c>
      <c r="AJ17" s="45" t="n">
        <v>0.0017</v>
      </c>
      <c r="AK17" s="45" t="n">
        <v>0.0014</v>
      </c>
      <c r="AL17" s="45" t="n">
        <v>0.1166</v>
      </c>
      <c r="AM17" s="45"/>
      <c r="AN17" s="45" t="n">
        <v>0.0066</v>
      </c>
      <c r="AO17" s="45" t="n">
        <v>0.0066</v>
      </c>
      <c r="AP17" s="45"/>
      <c r="AQ17" s="45" t="n">
        <v>-99999</v>
      </c>
      <c r="AR17" s="45" t="n">
        <v>0.0216</v>
      </c>
      <c r="AS17" s="45" t="n">
        <v>0.0012</v>
      </c>
      <c r="AT17" s="45" t="n">
        <v>0.0827</v>
      </c>
      <c r="AU17" s="45" t="n">
        <v>0.0826</v>
      </c>
      <c r="AV17" s="45"/>
      <c r="AW17" s="45" t="n">
        <v>0.0037</v>
      </c>
      <c r="AX17" s="46"/>
    </row>
    <row r="18" customFormat="false" ht="20.1" hidden="false" customHeight="true" outlineLevel="0" collapsed="false">
      <c r="A18" s="34" t="n">
        <f aca="false">A17+1</f>
        <v>12</v>
      </c>
      <c r="B18" s="49" t="n">
        <v>0</v>
      </c>
      <c r="C18" s="51" t="n">
        <v>-12</v>
      </c>
      <c r="D18" s="36" t="n">
        <v>40996</v>
      </c>
      <c r="E18" s="37" t="s">
        <v>146</v>
      </c>
      <c r="F18" s="48" t="s">
        <v>130</v>
      </c>
      <c r="G18" s="48" t="s">
        <v>147</v>
      </c>
      <c r="H18" s="39" t="n">
        <v>35.81</v>
      </c>
      <c r="I18" s="39" t="n">
        <v>28.34</v>
      </c>
      <c r="J18" s="41" t="s">
        <v>148</v>
      </c>
      <c r="K18" s="41" t="s">
        <v>149</v>
      </c>
      <c r="L18" s="39" t="n">
        <v>430</v>
      </c>
      <c r="M18" s="41" t="s">
        <v>149</v>
      </c>
      <c r="N18" s="42"/>
      <c r="O18" s="50" t="n">
        <v>35.799</v>
      </c>
      <c r="P18" s="44" t="n">
        <v>0.03</v>
      </c>
      <c r="Q18" s="44" t="n">
        <v>0.03</v>
      </c>
      <c r="R18" s="44" t="n">
        <v>0.17</v>
      </c>
      <c r="S18" s="44" t="n">
        <v>0.16</v>
      </c>
      <c r="T18" s="44" t="n">
        <f aca="false">SUM(P18,R18)</f>
        <v>0.2</v>
      </c>
      <c r="U18" s="44" t="n">
        <f aca="false">SUM(Q18,S18)</f>
        <v>0.19</v>
      </c>
      <c r="V18" s="44" t="n">
        <v>0.06</v>
      </c>
      <c r="W18" s="44" t="n">
        <v>0.06</v>
      </c>
      <c r="X18" s="44" t="n">
        <v>0.82</v>
      </c>
      <c r="Y18" s="44" t="n">
        <v>0.8</v>
      </c>
      <c r="Z18" s="45" t="n">
        <v>0.0046</v>
      </c>
      <c r="AA18" s="45" t="n">
        <v>0.012</v>
      </c>
      <c r="AB18" s="45" t="n">
        <v>0.0069</v>
      </c>
      <c r="AC18" s="45" t="n">
        <v>0.006</v>
      </c>
      <c r="AD18" s="45" t="n">
        <v>0.0115</v>
      </c>
      <c r="AE18" s="45" t="n">
        <v>-99999</v>
      </c>
      <c r="AF18" s="45" t="n">
        <v>-99999</v>
      </c>
      <c r="AG18" s="45" t="n">
        <v>0.0021</v>
      </c>
      <c r="AH18" s="45" t="n">
        <v>0.0176</v>
      </c>
      <c r="AI18" s="45" t="n">
        <v>0.0075</v>
      </c>
      <c r="AJ18" s="45" t="n">
        <v>0.0017</v>
      </c>
      <c r="AK18" s="45" t="n">
        <v>0.0022</v>
      </c>
      <c r="AL18" s="45" t="n">
        <v>0.129</v>
      </c>
      <c r="AM18" s="45"/>
      <c r="AN18" s="45" t="n">
        <v>0.0044</v>
      </c>
      <c r="AO18" s="45" t="n">
        <v>0.0044</v>
      </c>
      <c r="AP18" s="45"/>
      <c r="AQ18" s="45" t="n">
        <v>0.0246</v>
      </c>
      <c r="AR18" s="45" t="n">
        <v>-99999</v>
      </c>
      <c r="AS18" s="45" t="n">
        <v>-99999</v>
      </c>
      <c r="AT18" s="45" t="n">
        <v>0.0698</v>
      </c>
      <c r="AU18" s="45" t="n">
        <v>0.1139</v>
      </c>
      <c r="AV18" s="45"/>
      <c r="AW18" s="45" t="n">
        <v>0.004</v>
      </c>
      <c r="AX18" s="46"/>
    </row>
    <row r="19" customFormat="false" ht="20.1" hidden="false" customHeight="true" outlineLevel="0" collapsed="false">
      <c r="A19" s="34" t="n">
        <f aca="false">A18+1</f>
        <v>13</v>
      </c>
      <c r="B19" s="49" t="n">
        <v>0</v>
      </c>
      <c r="C19" s="53" t="n">
        <v>-8</v>
      </c>
      <c r="D19" s="36" t="n">
        <v>40998</v>
      </c>
      <c r="E19" s="37" t="s">
        <v>150</v>
      </c>
      <c r="F19" s="48" t="s">
        <v>130</v>
      </c>
      <c r="G19" s="48" t="s">
        <v>151</v>
      </c>
      <c r="H19" s="39" t="n">
        <v>35.34</v>
      </c>
      <c r="I19" s="39" t="n">
        <v>28.13</v>
      </c>
      <c r="J19" s="39" t="s">
        <v>152</v>
      </c>
      <c r="K19" s="39" t="s">
        <v>153</v>
      </c>
      <c r="L19" s="39" t="n">
        <v>432</v>
      </c>
      <c r="M19" s="4" t="s">
        <v>153</v>
      </c>
      <c r="N19" s="42"/>
      <c r="O19" s="50" t="n">
        <v>35.338</v>
      </c>
      <c r="P19" s="44" t="n">
        <v>0.04</v>
      </c>
      <c r="Q19" s="44" t="n">
        <v>0.04</v>
      </c>
      <c r="R19" s="44" t="n">
        <v>0.15</v>
      </c>
      <c r="S19" s="44" t="n">
        <v>0.14</v>
      </c>
      <c r="T19" s="44" t="n">
        <f aca="false">SUM(P19,R19)</f>
        <v>0.19</v>
      </c>
      <c r="U19" s="44" t="n">
        <f aca="false">SUM(Q19,S19)</f>
        <v>0.18</v>
      </c>
      <c r="V19" s="44" t="n">
        <v>0.07</v>
      </c>
      <c r="W19" s="44" t="n">
        <v>0.07</v>
      </c>
      <c r="X19" s="44" t="n">
        <v>0.66</v>
      </c>
      <c r="Y19" s="44" t="n">
        <v>0.64</v>
      </c>
      <c r="Z19" s="45" t="n">
        <v>0.0062</v>
      </c>
      <c r="AA19" s="45" t="n">
        <v>0.0107</v>
      </c>
      <c r="AB19" s="45" t="n">
        <v>0.0067</v>
      </c>
      <c r="AC19" s="45" t="n">
        <v>0.0066</v>
      </c>
      <c r="AD19" s="45" t="n">
        <v>0.0078</v>
      </c>
      <c r="AE19" s="45" t="n">
        <v>-99999</v>
      </c>
      <c r="AF19" s="45" t="n">
        <v>-99999</v>
      </c>
      <c r="AG19" s="45" t="n">
        <v>0.0022</v>
      </c>
      <c r="AH19" s="45" t="n">
        <v>0.018</v>
      </c>
      <c r="AI19" s="45" t="n">
        <v>0.0109</v>
      </c>
      <c r="AJ19" s="45" t="n">
        <v>0.001</v>
      </c>
      <c r="AK19" s="45" t="n">
        <v>0.005</v>
      </c>
      <c r="AL19" s="45" t="n">
        <v>0.1208</v>
      </c>
      <c r="AM19" s="45"/>
      <c r="AN19" s="45" t="n">
        <v>0.0075</v>
      </c>
      <c r="AO19" s="45" t="n">
        <v>0.0072</v>
      </c>
      <c r="AP19" s="45"/>
      <c r="AQ19" s="45" t="n">
        <v>0.0243</v>
      </c>
      <c r="AR19" s="45" t="n">
        <v>-99999</v>
      </c>
      <c r="AS19" s="45" t="n">
        <v>-99999</v>
      </c>
      <c r="AT19" s="45" t="n">
        <v>0.093</v>
      </c>
      <c r="AU19" s="45" t="n">
        <v>0.1075</v>
      </c>
      <c r="AV19" s="45"/>
      <c r="AW19" s="45" t="n">
        <v>0.0032</v>
      </c>
      <c r="AX19" s="46"/>
    </row>
    <row r="20" customFormat="false" ht="20.1" hidden="false" customHeight="true" outlineLevel="0" collapsed="false">
      <c r="A20" s="34" t="n">
        <f aca="false">A19+1</f>
        <v>14</v>
      </c>
      <c r="B20" s="49" t="n">
        <v>4.35</v>
      </c>
      <c r="C20" s="53" t="n">
        <v>-6</v>
      </c>
      <c r="D20" s="36" t="n">
        <v>41000</v>
      </c>
      <c r="E20" s="37" t="s">
        <v>154</v>
      </c>
      <c r="F20" s="48" t="s">
        <v>155</v>
      </c>
      <c r="G20" s="48" t="s">
        <v>156</v>
      </c>
      <c r="H20" s="39" t="n">
        <v>35.11</v>
      </c>
      <c r="I20" s="39" t="n">
        <v>29.11</v>
      </c>
      <c r="J20" s="41" t="s">
        <v>144</v>
      </c>
      <c r="K20" s="41" t="s">
        <v>157</v>
      </c>
      <c r="L20" s="39" t="n">
        <v>435</v>
      </c>
      <c r="M20" s="41" t="s">
        <v>157</v>
      </c>
      <c r="N20" s="42"/>
      <c r="O20" s="50" t="n">
        <v>35.106</v>
      </c>
      <c r="P20" s="44" t="n">
        <v>0</v>
      </c>
      <c r="Q20" s="44" t="n">
        <v>0</v>
      </c>
      <c r="R20" s="44" t="n">
        <v>0.1</v>
      </c>
      <c r="S20" s="44" t="n">
        <v>0.1</v>
      </c>
      <c r="T20" s="44" t="n">
        <f aca="false">SUM(P20,R20)</f>
        <v>0.1</v>
      </c>
      <c r="U20" s="44" t="n">
        <f aca="false">SUM(Q20,S20)</f>
        <v>0.1</v>
      </c>
      <c r="V20" s="44" t="n">
        <v>0.08</v>
      </c>
      <c r="W20" s="44" t="n">
        <v>0.08</v>
      </c>
      <c r="X20" s="44" t="n">
        <v>0.96</v>
      </c>
      <c r="Y20" s="44" t="n">
        <v>0.94</v>
      </c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6"/>
    </row>
    <row r="21" customFormat="false" ht="13.8" hidden="false" customHeight="false" outlineLevel="0" collapsed="false">
      <c r="A21" s="34" t="n">
        <v>15</v>
      </c>
      <c r="B21" s="54" t="n">
        <v>4</v>
      </c>
      <c r="C21" s="49" t="n">
        <v>-5.56</v>
      </c>
      <c r="D21" s="55" t="n">
        <v>41005</v>
      </c>
      <c r="E21" s="56" t="s">
        <v>158</v>
      </c>
      <c r="F21" s="57" t="s">
        <v>159</v>
      </c>
      <c r="G21" s="57" t="s">
        <v>160</v>
      </c>
      <c r="H21" s="58" t="n">
        <v>34.99</v>
      </c>
      <c r="I21" s="58" t="n">
        <v>29.1</v>
      </c>
      <c r="J21" s="39" t="s">
        <v>83</v>
      </c>
      <c r="K21" s="59" t="s">
        <v>161</v>
      </c>
      <c r="L21" s="58" t="n">
        <v>523</v>
      </c>
      <c r="M21" s="60" t="s">
        <v>161</v>
      </c>
      <c r="N21" s="61" t="s">
        <v>86</v>
      </c>
      <c r="O21" s="39" t="n">
        <v>34.9557</v>
      </c>
      <c r="P21" s="44" t="n">
        <v>0.01</v>
      </c>
      <c r="Q21" s="44" t="n">
        <v>0.01</v>
      </c>
      <c r="R21" s="44" t="n">
        <v>0.1</v>
      </c>
      <c r="S21" s="44" t="n">
        <v>0.1</v>
      </c>
      <c r="T21" s="44" t="n">
        <f aca="false">SUM(P21,R21)</f>
        <v>0.11</v>
      </c>
      <c r="U21" s="44" t="n">
        <f aca="false">SUM(Q21,S21)</f>
        <v>0.11</v>
      </c>
      <c r="V21" s="44" t="n">
        <v>0.03</v>
      </c>
      <c r="W21" s="44" t="n">
        <v>0.03</v>
      </c>
      <c r="X21" s="44" t="n">
        <v>0.92</v>
      </c>
      <c r="Y21" s="44" t="n">
        <v>0.9</v>
      </c>
      <c r="Z21" s="45" t="n">
        <v>0.007</v>
      </c>
      <c r="AA21" s="45" t="n">
        <v>0.0124</v>
      </c>
      <c r="AB21" s="45" t="n">
        <v>0.0075</v>
      </c>
      <c r="AC21" s="45" t="n">
        <v>0.0052</v>
      </c>
      <c r="AD21" s="45" t="n">
        <v>0.0103</v>
      </c>
      <c r="AE21" s="45" t="n">
        <v>-99999</v>
      </c>
      <c r="AF21" s="45" t="n">
        <v>-99999</v>
      </c>
      <c r="AG21" s="45" t="n">
        <v>0.0022</v>
      </c>
      <c r="AH21" s="45" t="n">
        <v>0.0254</v>
      </c>
      <c r="AI21" s="45" t="n">
        <v>0.0167</v>
      </c>
      <c r="AJ21" s="45" t="n">
        <v>-99999</v>
      </c>
      <c r="AK21" s="45" t="n">
        <v>0.0028</v>
      </c>
      <c r="AL21" s="45" t="n">
        <v>0.1428</v>
      </c>
      <c r="AM21" s="45"/>
      <c r="AN21" s="45" t="n">
        <v>0.0072</v>
      </c>
      <c r="AO21" s="45" t="n">
        <v>0.0267</v>
      </c>
      <c r="AP21" s="45"/>
      <c r="AQ21" s="45" t="n">
        <v>-99999</v>
      </c>
      <c r="AR21" s="45" t="n">
        <v>0.0267</v>
      </c>
      <c r="AS21" s="45" t="n">
        <v>-99999</v>
      </c>
      <c r="AT21" s="45" t="n">
        <v>0.0919</v>
      </c>
      <c r="AU21" s="45" t="n">
        <v>0.1281</v>
      </c>
      <c r="AV21" s="45"/>
      <c r="AW21" s="45" t="n">
        <v>0.0035</v>
      </c>
      <c r="AX21" s="46"/>
    </row>
    <row r="22" customFormat="false" ht="13.8" hidden="false" customHeight="false" outlineLevel="0" collapsed="false">
      <c r="A22" s="34" t="n">
        <f aca="false">A21+1</f>
        <v>16</v>
      </c>
      <c r="B22" s="54" t="n">
        <v>2</v>
      </c>
      <c r="C22" s="49" t="n">
        <v>-9.12</v>
      </c>
      <c r="D22" s="55" t="n">
        <v>41006</v>
      </c>
      <c r="E22" s="56" t="s">
        <v>162</v>
      </c>
      <c r="F22" s="57" t="s">
        <v>124</v>
      </c>
      <c r="G22" s="57" t="s">
        <v>163</v>
      </c>
      <c r="H22" s="58" t="n">
        <v>34.8</v>
      </c>
      <c r="I22" s="58" t="n">
        <v>29.44</v>
      </c>
      <c r="J22" s="39" t="s">
        <v>91</v>
      </c>
      <c r="K22" s="59" t="s">
        <v>164</v>
      </c>
      <c r="L22" s="58" t="n">
        <v>534</v>
      </c>
      <c r="M22" s="60" t="s">
        <v>164</v>
      </c>
      <c r="N22" s="61"/>
      <c r="O22" s="39" t="n">
        <v>34.9624</v>
      </c>
      <c r="P22" s="44" t="n">
        <v>0</v>
      </c>
      <c r="Q22" s="44" t="n">
        <v>0</v>
      </c>
      <c r="R22" s="44" t="n">
        <v>0.11</v>
      </c>
      <c r="S22" s="44" t="n">
        <v>0.11</v>
      </c>
      <c r="T22" s="44" t="n">
        <f aca="false">SUM(P22,R22)</f>
        <v>0.11</v>
      </c>
      <c r="U22" s="44" t="n">
        <f aca="false">SUM(Q22,S22)</f>
        <v>0.11</v>
      </c>
      <c r="V22" s="44" t="n">
        <v>0.01</v>
      </c>
      <c r="W22" s="44" t="n">
        <v>0.01</v>
      </c>
      <c r="X22" s="44" t="n">
        <v>0.65</v>
      </c>
      <c r="Y22" s="44" t="n">
        <v>0.64</v>
      </c>
      <c r="Z22" s="45" t="n">
        <v>0.0048</v>
      </c>
      <c r="AA22" s="45" t="n">
        <v>0.0085</v>
      </c>
      <c r="AB22" s="45" t="n">
        <v>0.0052</v>
      </c>
      <c r="AC22" s="45" t="n">
        <v>0.0041</v>
      </c>
      <c r="AD22" s="45" t="n">
        <v>0.0051</v>
      </c>
      <c r="AE22" s="45" t="n">
        <v>-99999</v>
      </c>
      <c r="AF22" s="45" t="n">
        <v>-99999</v>
      </c>
      <c r="AG22" s="45" t="n">
        <v>0.0019</v>
      </c>
      <c r="AH22" s="45" t="n">
        <v>0.0197</v>
      </c>
      <c r="AI22" s="45" t="n">
        <v>0.0113</v>
      </c>
      <c r="AJ22" s="45" t="n">
        <v>0</v>
      </c>
      <c r="AK22" s="45" t="n">
        <v>0.0024</v>
      </c>
      <c r="AL22" s="45" t="n">
        <v>0.1203</v>
      </c>
      <c r="AM22" s="45"/>
      <c r="AN22" s="45" t="n">
        <v>0.0039</v>
      </c>
      <c r="AO22" s="45" t="n">
        <v>0.0039</v>
      </c>
      <c r="AP22" s="45"/>
      <c r="AQ22" s="45" t="n">
        <v>-99999</v>
      </c>
      <c r="AR22" s="45" t="n">
        <v>0.0175</v>
      </c>
      <c r="AS22" s="45" t="n">
        <v>-99999</v>
      </c>
      <c r="AT22" s="45" t="n">
        <v>0.0764</v>
      </c>
      <c r="AU22" s="45" t="n">
        <v>0.0704</v>
      </c>
      <c r="AV22" s="45"/>
      <c r="AW22" s="45" t="n">
        <v>0.0026</v>
      </c>
      <c r="AX22" s="46"/>
    </row>
    <row r="23" customFormat="false" ht="13.8" hidden="false" customHeight="false" outlineLevel="0" collapsed="false">
      <c r="A23" s="34" t="n">
        <f aca="false">A22+1</f>
        <v>17</v>
      </c>
      <c r="B23" s="49" t="n">
        <v>-8</v>
      </c>
      <c r="C23" s="49" t="n">
        <v>-8</v>
      </c>
      <c r="D23" s="55" t="n">
        <v>41013</v>
      </c>
      <c r="E23" s="56" t="s">
        <v>165</v>
      </c>
      <c r="F23" s="57" t="s">
        <v>166</v>
      </c>
      <c r="G23" s="57" t="s">
        <v>167</v>
      </c>
      <c r="H23" s="58" t="n">
        <v>36.32</v>
      </c>
      <c r="I23" s="58" t="n">
        <v>27.44</v>
      </c>
      <c r="J23" s="39" t="s">
        <v>168</v>
      </c>
      <c r="K23" s="62" t="s">
        <v>169</v>
      </c>
      <c r="L23" s="58" t="n">
        <v>451</v>
      </c>
      <c r="M23" s="60" t="s">
        <v>169</v>
      </c>
      <c r="N23" s="61" t="s">
        <v>86</v>
      </c>
      <c r="O23" s="39" t="n">
        <v>36.3275</v>
      </c>
      <c r="P23" s="44" t="n">
        <v>0</v>
      </c>
      <c r="Q23" s="44" t="n">
        <v>0</v>
      </c>
      <c r="R23" s="44" t="n">
        <v>0.12</v>
      </c>
      <c r="S23" s="44" t="n">
        <v>0.11</v>
      </c>
      <c r="T23" s="44" t="n">
        <f aca="false">SUM(P23,R23)</f>
        <v>0.12</v>
      </c>
      <c r="U23" s="44" t="n">
        <f aca="false">SUM(Q23,S23)</f>
        <v>0.11</v>
      </c>
      <c r="V23" s="44" t="n">
        <v>0.16</v>
      </c>
      <c r="W23" s="44" t="n">
        <v>0.16</v>
      </c>
      <c r="X23" s="44" t="n">
        <v>0.82</v>
      </c>
      <c r="Y23" s="44" t="n">
        <v>0.8</v>
      </c>
      <c r="Z23" s="45" t="n">
        <v>0.005</v>
      </c>
      <c r="AA23" s="45" t="n">
        <v>0.0057</v>
      </c>
      <c r="AB23" s="45" t="n">
        <v>0.0022</v>
      </c>
      <c r="AC23" s="45" t="n">
        <v>0.0037</v>
      </c>
      <c r="AD23" s="45" t="n">
        <v>0.0029</v>
      </c>
      <c r="AE23" s="45" t="n">
        <v>-99999</v>
      </c>
      <c r="AF23" s="45" t="n">
        <v>-99999</v>
      </c>
      <c r="AG23" s="45" t="n">
        <v>0.0005</v>
      </c>
      <c r="AH23" s="45" t="n">
        <v>0.0172</v>
      </c>
      <c r="AI23" s="45" t="n">
        <v>0.008</v>
      </c>
      <c r="AJ23" s="45" t="n">
        <v>0.0006</v>
      </c>
      <c r="AK23" s="45" t="n">
        <v>0.0065</v>
      </c>
      <c r="AL23" s="45" t="n">
        <v>0.0949</v>
      </c>
      <c r="AM23" s="45"/>
      <c r="AN23" s="45" t="n">
        <v>0.0052</v>
      </c>
      <c r="AO23" s="45" t="n">
        <v>0.0044</v>
      </c>
      <c r="AP23" s="45"/>
      <c r="AQ23" s="45" t="n">
        <v>0.0145</v>
      </c>
      <c r="AR23" s="45" t="n">
        <v>-99999</v>
      </c>
      <c r="AS23" s="45" t="n">
        <v>-99999</v>
      </c>
      <c r="AT23" s="45" t="n">
        <v>0.0737</v>
      </c>
      <c r="AU23" s="45" t="n">
        <v>0.0516</v>
      </c>
      <c r="AV23" s="45"/>
      <c r="AW23" s="45" t="n">
        <v>0.0017</v>
      </c>
      <c r="AX23" s="46"/>
    </row>
    <row r="24" customFormat="false" ht="13.8" hidden="false" customHeight="false" outlineLevel="0" collapsed="false">
      <c r="A24" s="34" t="n">
        <f aca="false">A23+1</f>
        <v>18</v>
      </c>
      <c r="B24" s="49" t="n">
        <v>-6</v>
      </c>
      <c r="C24" s="49" t="n">
        <v>-6.34</v>
      </c>
      <c r="D24" s="55" t="n">
        <v>41014</v>
      </c>
      <c r="E24" s="56" t="s">
        <v>170</v>
      </c>
      <c r="F24" s="57" t="s">
        <v>171</v>
      </c>
      <c r="G24" s="57" t="s">
        <v>172</v>
      </c>
      <c r="H24" s="58" t="n">
        <v>36.132</v>
      </c>
      <c r="I24" s="58" t="n">
        <v>27.77</v>
      </c>
      <c r="J24" s="39" t="s">
        <v>173</v>
      </c>
      <c r="K24" s="60" t="s">
        <v>174</v>
      </c>
      <c r="L24" s="58" t="n">
        <v>442</v>
      </c>
      <c r="M24" s="60" t="s">
        <v>174</v>
      </c>
      <c r="N24" s="61" t="s">
        <v>86</v>
      </c>
      <c r="O24" s="39" t="n">
        <v>36.0962</v>
      </c>
      <c r="P24" s="44" t="n">
        <v>0.01</v>
      </c>
      <c r="Q24" s="44" t="n">
        <v>0.01</v>
      </c>
      <c r="R24" s="44" t="n">
        <v>0.1</v>
      </c>
      <c r="S24" s="44" t="n">
        <v>0.1</v>
      </c>
      <c r="T24" s="44" t="n">
        <f aca="false">SUM(P24,R24)</f>
        <v>0.11</v>
      </c>
      <c r="U24" s="44" t="n">
        <f aca="false">SUM(Q24,S24)</f>
        <v>0.11</v>
      </c>
      <c r="V24" s="44" t="n">
        <v>0.13</v>
      </c>
      <c r="W24" s="44" t="n">
        <v>0.12</v>
      </c>
      <c r="X24" s="44" t="n">
        <v>0.74</v>
      </c>
      <c r="Y24" s="44" t="n">
        <v>0.72</v>
      </c>
      <c r="Z24" s="45" t="n">
        <v>0.0044</v>
      </c>
      <c r="AA24" s="45" t="n">
        <v>0.0083</v>
      </c>
      <c r="AB24" s="45" t="n">
        <v>0.0039</v>
      </c>
      <c r="AC24" s="45" t="n">
        <v>0.0041</v>
      </c>
      <c r="AD24" s="45" t="n">
        <v>0.0052</v>
      </c>
      <c r="AE24" s="45" t="n">
        <v>-99999</v>
      </c>
      <c r="AF24" s="45" t="n">
        <v>-99999</v>
      </c>
      <c r="AG24" s="45" t="n">
        <v>0.001</v>
      </c>
      <c r="AH24" s="45" t="n">
        <v>0.0174</v>
      </c>
      <c r="AI24" s="45" t="n">
        <v>0.0046</v>
      </c>
      <c r="AJ24" s="45" t="n">
        <v>0.0009</v>
      </c>
      <c r="AK24" s="45" t="n">
        <v>0.0816</v>
      </c>
      <c r="AL24" s="45" t="n">
        <v>-99999</v>
      </c>
      <c r="AM24" s="45"/>
      <c r="AN24" s="45" t="n">
        <v>0.004</v>
      </c>
      <c r="AO24" s="45" t="n">
        <v>0.004</v>
      </c>
      <c r="AP24" s="45"/>
      <c r="AQ24" s="45" t="n">
        <v>-99999</v>
      </c>
      <c r="AR24" s="45" t="n">
        <v>0.0169</v>
      </c>
      <c r="AS24" s="45" t="n">
        <v>-99999</v>
      </c>
      <c r="AT24" s="45" t="n">
        <v>0.0726</v>
      </c>
      <c r="AU24" s="45" t="n">
        <v>0.059</v>
      </c>
      <c r="AV24" s="45"/>
      <c r="AW24" s="45" t="n">
        <v>0.0032</v>
      </c>
      <c r="AX24" s="46"/>
    </row>
    <row r="25" customFormat="false" ht="13.8" hidden="false" customHeight="false" outlineLevel="0" collapsed="false">
      <c r="A25" s="34" t="n">
        <f aca="false">A24+1</f>
        <v>19</v>
      </c>
      <c r="B25" s="49" t="n">
        <v>-4</v>
      </c>
      <c r="C25" s="49" t="n">
        <v>-4</v>
      </c>
      <c r="D25" s="55" t="n">
        <v>41014</v>
      </c>
      <c r="E25" s="56" t="s">
        <v>175</v>
      </c>
      <c r="F25" s="57" t="s">
        <v>176</v>
      </c>
      <c r="G25" s="57" t="s">
        <v>177</v>
      </c>
      <c r="H25" s="58" t="n">
        <v>35.36</v>
      </c>
      <c r="I25" s="58" t="n">
        <v>28.23</v>
      </c>
      <c r="J25" s="39" t="s">
        <v>178</v>
      </c>
      <c r="K25" s="60" t="s">
        <v>179</v>
      </c>
      <c r="L25" s="58" t="n">
        <v>443</v>
      </c>
      <c r="M25" s="60" t="s">
        <v>179</v>
      </c>
      <c r="N25" s="61" t="s">
        <v>86</v>
      </c>
      <c r="O25" s="39" t="n">
        <v>35.3662</v>
      </c>
      <c r="P25" s="44" t="n">
        <v>0.06</v>
      </c>
      <c r="Q25" s="44" t="n">
        <v>0.06</v>
      </c>
      <c r="R25" s="44" t="n">
        <v>0.12</v>
      </c>
      <c r="S25" s="44" t="n">
        <v>0.12</v>
      </c>
      <c r="T25" s="44" t="n">
        <f aca="false">SUM(P25,R25)</f>
        <v>0.18</v>
      </c>
      <c r="U25" s="44" t="n">
        <f aca="false">SUM(Q25,S25)</f>
        <v>0.18</v>
      </c>
      <c r="V25" s="44" t="n">
        <v>0.06</v>
      </c>
      <c r="W25" s="44" t="n">
        <v>0.06</v>
      </c>
      <c r="X25" s="44" t="n">
        <v>0.68</v>
      </c>
      <c r="Y25" s="44" t="n">
        <v>0.66</v>
      </c>
      <c r="Z25" s="45" t="n">
        <v>0.0088</v>
      </c>
      <c r="AA25" s="45" t="n">
        <v>0.0143</v>
      </c>
      <c r="AB25" s="45" t="n">
        <v>0.0093</v>
      </c>
      <c r="AC25" s="45" t="n">
        <v>0.0095</v>
      </c>
      <c r="AD25" s="45" t="n">
        <v>0.0073</v>
      </c>
      <c r="AE25" s="45" t="n">
        <v>-99999</v>
      </c>
      <c r="AF25" s="45" t="n">
        <v>-99999</v>
      </c>
      <c r="AG25" s="45" t="n">
        <v>0.0014</v>
      </c>
      <c r="AH25" s="45" t="n">
        <v>0.0305</v>
      </c>
      <c r="AI25" s="45" t="n">
        <v>0.0105</v>
      </c>
      <c r="AJ25" s="45" t="n">
        <v>-99999</v>
      </c>
      <c r="AK25" s="45" t="n">
        <v>0.0021</v>
      </c>
      <c r="AL25" s="45" t="n">
        <v>0.1462</v>
      </c>
      <c r="AM25" s="45"/>
      <c r="AN25" s="45" t="n">
        <v>0.006</v>
      </c>
      <c r="AO25" s="45" t="n">
        <v>0.006</v>
      </c>
      <c r="AP25" s="45"/>
      <c r="AQ25" s="45" t="n">
        <v>-99999</v>
      </c>
      <c r="AR25" s="45" t="n">
        <v>0.0279</v>
      </c>
      <c r="AS25" s="45" t="n">
        <v>-99999</v>
      </c>
      <c r="AT25" s="45" t="n">
        <v>0.099</v>
      </c>
      <c r="AU25" s="45" t="n">
        <v>0.1133</v>
      </c>
      <c r="AV25" s="45"/>
      <c r="AW25" s="45" t="n">
        <v>0.0033</v>
      </c>
      <c r="AX25" s="46"/>
    </row>
    <row r="26" customFormat="false" ht="13.8" hidden="false" customHeight="false" outlineLevel="0" collapsed="false">
      <c r="A26" s="34" t="n">
        <v>20</v>
      </c>
      <c r="B26" s="63" t="n">
        <v>4</v>
      </c>
      <c r="C26" s="63" t="n">
        <v>-3</v>
      </c>
      <c r="D26" s="55" t="n">
        <v>41020</v>
      </c>
      <c r="E26" s="56" t="s">
        <v>180</v>
      </c>
      <c r="F26" s="57" t="s">
        <v>181</v>
      </c>
      <c r="G26" s="57" t="s">
        <v>182</v>
      </c>
      <c r="H26" s="58" t="n">
        <v>34.714</v>
      </c>
      <c r="I26" s="58" t="n">
        <v>29.567</v>
      </c>
      <c r="J26" s="39" t="s">
        <v>183</v>
      </c>
      <c r="K26" s="60" t="s">
        <v>184</v>
      </c>
      <c r="L26" s="64" t="n">
        <v>400</v>
      </c>
      <c r="M26" s="60" t="s">
        <v>184</v>
      </c>
      <c r="N26" s="61" t="s">
        <v>185</v>
      </c>
      <c r="O26" s="39" t="n">
        <v>34.6253</v>
      </c>
      <c r="P26" s="44" t="n">
        <v>0</v>
      </c>
      <c r="Q26" s="44" t="n">
        <v>0</v>
      </c>
      <c r="R26" s="44" t="n">
        <v>0.14</v>
      </c>
      <c r="S26" s="44" t="n">
        <v>0.13</v>
      </c>
      <c r="T26" s="44" t="n">
        <f aca="false">SUM(P26,R26)</f>
        <v>0.14</v>
      </c>
      <c r="U26" s="44" t="n">
        <f aca="false">SUM(Q26,S26)</f>
        <v>0.13</v>
      </c>
      <c r="V26" s="44" t="n">
        <v>0.04</v>
      </c>
      <c r="W26" s="44" t="n">
        <v>0.04</v>
      </c>
      <c r="X26" s="44" t="n">
        <v>0.87</v>
      </c>
      <c r="Y26" s="44" t="n">
        <v>0.85</v>
      </c>
      <c r="Z26" s="45" t="n">
        <v>0.0072</v>
      </c>
      <c r="AA26" s="45" t="n">
        <v>0.0081</v>
      </c>
      <c r="AB26" s="45" t="n">
        <v>0.0044</v>
      </c>
      <c r="AC26" s="45" t="n">
        <v>0.0064</v>
      </c>
      <c r="AD26" s="45" t="n">
        <v>0.0082</v>
      </c>
      <c r="AE26" s="45" t="n">
        <v>-99999</v>
      </c>
      <c r="AF26" s="45" t="n">
        <v>-99999</v>
      </c>
      <c r="AG26" s="45" t="n">
        <v>0.0016</v>
      </c>
      <c r="AH26" s="45" t="n">
        <v>0.0255</v>
      </c>
      <c r="AI26" s="45" t="n">
        <v>0.01</v>
      </c>
      <c r="AJ26" s="45" t="n">
        <v>-99999</v>
      </c>
      <c r="AK26" s="45" t="n">
        <v>0.0017</v>
      </c>
      <c r="AL26" s="45" t="n">
        <v>0.1412</v>
      </c>
      <c r="AM26" s="45"/>
      <c r="AN26" s="45" t="n">
        <v>0.0056</v>
      </c>
      <c r="AO26" s="45" t="n">
        <v>0.0056</v>
      </c>
      <c r="AP26" s="45"/>
      <c r="AQ26" s="45" t="n">
        <v>-99999</v>
      </c>
      <c r="AR26" s="45" t="n">
        <v>0.0268</v>
      </c>
      <c r="AS26" s="45" t="n">
        <v>-99999</v>
      </c>
      <c r="AT26" s="45" t="n">
        <v>0.0825</v>
      </c>
      <c r="AU26" s="45" t="n">
        <v>0.1089</v>
      </c>
      <c r="AV26" s="45"/>
      <c r="AW26" s="45" t="n">
        <v>0.0031</v>
      </c>
      <c r="AX26" s="46"/>
    </row>
    <row r="27" customFormat="false" ht="13.8" hidden="false" customHeight="false" outlineLevel="0" collapsed="false">
      <c r="A27" s="34" t="n">
        <f aca="false">A26+1</f>
        <v>21</v>
      </c>
      <c r="B27" s="63" t="n">
        <v>2</v>
      </c>
      <c r="C27" s="63" t="n">
        <v>-2</v>
      </c>
      <c r="D27" s="55" t="n">
        <v>41021</v>
      </c>
      <c r="E27" s="56" t="s">
        <v>186</v>
      </c>
      <c r="F27" s="57" t="s">
        <v>187</v>
      </c>
      <c r="G27" s="57" t="s">
        <v>188</v>
      </c>
      <c r="H27" s="58" t="n">
        <v>34.524</v>
      </c>
      <c r="I27" s="58" t="n">
        <v>29.216</v>
      </c>
      <c r="J27" s="39" t="s">
        <v>189</v>
      </c>
      <c r="K27" s="60" t="s">
        <v>190</v>
      </c>
      <c r="L27" s="64" t="n">
        <v>401</v>
      </c>
      <c r="M27" s="60" t="s">
        <v>190</v>
      </c>
      <c r="N27" s="61" t="s">
        <v>185</v>
      </c>
      <c r="O27" s="65" t="n">
        <v>34.524</v>
      </c>
      <c r="P27" s="44" t="n">
        <v>0</v>
      </c>
      <c r="Q27" s="44" t="n">
        <v>0</v>
      </c>
      <c r="R27" s="44" t="n">
        <v>0.09</v>
      </c>
      <c r="S27" s="44" t="n">
        <v>0.09</v>
      </c>
      <c r="T27" s="44" t="n">
        <f aca="false">SUM(P27,R27)</f>
        <v>0.09</v>
      </c>
      <c r="U27" s="44" t="n">
        <f aca="false">SUM(Q27,S27)</f>
        <v>0.09</v>
      </c>
      <c r="V27" s="44" t="n">
        <v>0.04</v>
      </c>
      <c r="W27" s="44" t="n">
        <v>0.04</v>
      </c>
      <c r="X27" s="44" t="n">
        <v>1</v>
      </c>
      <c r="Y27" s="44" t="n">
        <v>0.98</v>
      </c>
      <c r="Z27" s="45" t="n">
        <v>0.0044</v>
      </c>
      <c r="AA27" s="45" t="n">
        <v>0.0065</v>
      </c>
      <c r="AB27" s="45" t="n">
        <v>0.0034</v>
      </c>
      <c r="AC27" s="45" t="n">
        <v>0.0047</v>
      </c>
      <c r="AD27" s="45" t="n">
        <v>0.0052</v>
      </c>
      <c r="AE27" s="45" t="n">
        <v>-99999</v>
      </c>
      <c r="AF27" s="45" t="n">
        <v>-99999</v>
      </c>
      <c r="AG27" s="45" t="n">
        <v>0.0014</v>
      </c>
      <c r="AH27" s="45" t="n">
        <v>0.0168</v>
      </c>
      <c r="AI27" s="45" t="n">
        <v>0.0068</v>
      </c>
      <c r="AJ27" s="45" t="n">
        <v>0</v>
      </c>
      <c r="AK27" s="45" t="n">
        <v>0.0013</v>
      </c>
      <c r="AL27" s="45" t="n">
        <v>0.1019</v>
      </c>
      <c r="AM27" s="45"/>
      <c r="AN27" s="45" t="n">
        <v>0.0043</v>
      </c>
      <c r="AO27" s="45" t="n">
        <v>0.0043</v>
      </c>
      <c r="AP27" s="45"/>
      <c r="AQ27" s="45" t="n">
        <v>0.0166</v>
      </c>
      <c r="AR27" s="45" t="n">
        <v>-99999</v>
      </c>
      <c r="AS27" s="45" t="n">
        <v>0.0638</v>
      </c>
      <c r="AT27" s="45" t="n">
        <v>0.0675</v>
      </c>
      <c r="AU27" s="45" t="n">
        <v>0.0024</v>
      </c>
      <c r="AV27" s="45"/>
      <c r="AW27" s="45" t="n">
        <v>-99999</v>
      </c>
      <c r="AX27" s="46"/>
    </row>
    <row r="28" customFormat="false" ht="13.8" hidden="false" customHeight="false" outlineLevel="0" collapsed="false">
      <c r="A28" s="34" t="n">
        <f aca="false">A27+1</f>
        <v>22</v>
      </c>
      <c r="B28" s="63" t="n">
        <v>0</v>
      </c>
      <c r="C28" s="63" t="n">
        <v>-1</v>
      </c>
      <c r="D28" s="55" t="n">
        <v>41021</v>
      </c>
      <c r="E28" s="56" t="s">
        <v>191</v>
      </c>
      <c r="F28" s="57" t="s">
        <v>192</v>
      </c>
      <c r="G28" s="57" t="s">
        <v>193</v>
      </c>
      <c r="H28" s="58" t="n">
        <v>34.44</v>
      </c>
      <c r="I28" s="58" t="n">
        <v>29.03</v>
      </c>
      <c r="J28" s="39" t="s">
        <v>194</v>
      </c>
      <c r="K28" s="60" t="s">
        <v>195</v>
      </c>
      <c r="L28" s="64" t="n">
        <v>402</v>
      </c>
      <c r="M28" s="60" t="s">
        <v>195</v>
      </c>
      <c r="N28" s="61" t="s">
        <v>196</v>
      </c>
      <c r="O28" s="39" t="n">
        <v>34.4447</v>
      </c>
      <c r="P28" s="44" t="n">
        <v>0.05</v>
      </c>
      <c r="Q28" s="44" t="n">
        <v>0.05</v>
      </c>
      <c r="R28" s="44" t="n">
        <v>0.13</v>
      </c>
      <c r="S28" s="44" t="n">
        <v>0.13</v>
      </c>
      <c r="T28" s="44" t="n">
        <f aca="false">SUM(P28,R28)</f>
        <v>0.18</v>
      </c>
      <c r="U28" s="44" t="n">
        <f aca="false">SUM(Q28,S28)</f>
        <v>0.18</v>
      </c>
      <c r="V28" s="44" t="n">
        <v>0.01</v>
      </c>
      <c r="W28" s="44" t="n">
        <v>0.01</v>
      </c>
      <c r="X28" s="44" t="n">
        <v>0.96</v>
      </c>
      <c r="Y28" s="44" t="n">
        <v>0.94</v>
      </c>
      <c r="Z28" s="45" t="n">
        <v>0.0095</v>
      </c>
      <c r="AA28" s="45" t="n">
        <v>0.0115</v>
      </c>
      <c r="AB28" s="45" t="n">
        <v>0.0094</v>
      </c>
      <c r="AC28" s="45" t="n">
        <v>0.0087</v>
      </c>
      <c r="AD28" s="45" t="n">
        <v>0.0059</v>
      </c>
      <c r="AE28" s="45" t="n">
        <v>0.0014</v>
      </c>
      <c r="AF28" s="45" t="n">
        <v>-99999</v>
      </c>
      <c r="AG28" s="45" t="n">
        <v>0.0015</v>
      </c>
      <c r="AH28" s="45" t="n">
        <v>0.0321</v>
      </c>
      <c r="AI28" s="45" t="n">
        <v>0.0081</v>
      </c>
      <c r="AJ28" s="45" t="n">
        <v>0.001</v>
      </c>
      <c r="AK28" s="45" t="n">
        <v>0.0016</v>
      </c>
      <c r="AL28" s="45" t="n">
        <v>0.1312</v>
      </c>
      <c r="AM28" s="45"/>
      <c r="AN28" s="45" t="n">
        <v>0.0142</v>
      </c>
      <c r="AO28" s="45" t="n">
        <v>0.0142</v>
      </c>
      <c r="AP28" s="45"/>
      <c r="AQ28" s="45" t="n">
        <v>0.0274</v>
      </c>
      <c r="AR28" s="45" t="n">
        <v>-99999</v>
      </c>
      <c r="AS28" s="45" t="n">
        <v>-99999</v>
      </c>
      <c r="AT28" s="45" t="n">
        <v>0.1072</v>
      </c>
      <c r="AU28" s="45" t="n">
        <v>0.1141</v>
      </c>
      <c r="AV28" s="45"/>
      <c r="AW28" s="45" t="n">
        <v>0.0033</v>
      </c>
      <c r="AX28" s="46"/>
    </row>
    <row r="29" customFormat="false" ht="13.8" hidden="false" customHeight="false" outlineLevel="0" collapsed="false">
      <c r="A29" s="34" t="n">
        <f aca="false">A28+1</f>
        <v>23</v>
      </c>
      <c r="B29" s="49" t="n">
        <v>0.5</v>
      </c>
      <c r="C29" s="49" t="n">
        <v>2</v>
      </c>
      <c r="D29" s="55" t="n">
        <v>41025</v>
      </c>
      <c r="E29" s="56" t="s">
        <v>197</v>
      </c>
      <c r="F29" s="57" t="s">
        <v>198</v>
      </c>
      <c r="G29" s="57" t="s">
        <v>199</v>
      </c>
      <c r="H29" s="58" t="n">
        <v>34.38</v>
      </c>
      <c r="I29" s="58" t="n">
        <v>29.43</v>
      </c>
      <c r="J29" s="39" t="s">
        <v>200</v>
      </c>
      <c r="K29" s="60" t="s">
        <v>201</v>
      </c>
      <c r="L29" s="66"/>
      <c r="M29" s="60" t="s">
        <v>201</v>
      </c>
      <c r="N29" s="61" t="s">
        <v>202</v>
      </c>
      <c r="O29" s="39" t="n">
        <v>34.3707</v>
      </c>
      <c r="P29" s="44" t="n">
        <v>0.04</v>
      </c>
      <c r="Q29" s="44" t="n">
        <v>0.04</v>
      </c>
      <c r="R29" s="44" t="n">
        <v>0.13</v>
      </c>
      <c r="S29" s="44" t="n">
        <v>0.12</v>
      </c>
      <c r="T29" s="44" t="n">
        <f aca="false">SUM(P29,R29)</f>
        <v>0.17</v>
      </c>
      <c r="U29" s="44" t="n">
        <f aca="false">SUM(Q29,S29)</f>
        <v>0.16</v>
      </c>
      <c r="V29" s="44" t="n">
        <v>0.04</v>
      </c>
      <c r="W29" s="44" t="n">
        <v>0.03</v>
      </c>
      <c r="X29" s="44" t="n">
        <v>1.1</v>
      </c>
      <c r="Y29" s="44" t="n">
        <v>1.07</v>
      </c>
      <c r="Z29" s="45" t="n">
        <v>0.0046</v>
      </c>
      <c r="AA29" s="45" t="n">
        <v>0.0065</v>
      </c>
      <c r="AB29" s="45" t="n">
        <v>0.0058</v>
      </c>
      <c r="AC29" s="45" t="n">
        <v>0.0038</v>
      </c>
      <c r="AD29" s="45" t="n">
        <v>0.0048</v>
      </c>
      <c r="AE29" s="45" t="n">
        <v>0.0007</v>
      </c>
      <c r="AF29" s="45" t="n">
        <v>-99999</v>
      </c>
      <c r="AG29" s="45" t="n">
        <v>0.001</v>
      </c>
      <c r="AH29" s="45" t="n">
        <v>0.0184</v>
      </c>
      <c r="AI29" s="45" t="n">
        <v>0.0112</v>
      </c>
      <c r="AJ29" s="45" t="n">
        <v>0</v>
      </c>
      <c r="AK29" s="45" t="n">
        <v>0.0069</v>
      </c>
      <c r="AL29" s="45" t="n">
        <v>0.1025</v>
      </c>
      <c r="AM29" s="45"/>
      <c r="AN29" s="45" t="n">
        <v>0.0048</v>
      </c>
      <c r="AO29" s="45" t="n">
        <v>0.0048</v>
      </c>
      <c r="AP29" s="45"/>
      <c r="AQ29" s="45" t="n">
        <v>0.0169</v>
      </c>
      <c r="AR29" s="45" t="n">
        <v>-99999</v>
      </c>
      <c r="AS29" s="45" t="n">
        <v>-99999</v>
      </c>
      <c r="AT29" s="45" t="n">
        <v>0.0787</v>
      </c>
      <c r="AU29" s="45" t="n">
        <v>0.068</v>
      </c>
      <c r="AV29" s="45"/>
      <c r="AW29" s="45" t="n">
        <v>0.0026</v>
      </c>
      <c r="AX29" s="46"/>
    </row>
    <row r="30" customFormat="false" ht="13.8" hidden="false" customHeight="false" outlineLevel="0" collapsed="false">
      <c r="A30" s="34" t="n">
        <f aca="false">A29+1</f>
        <v>24</v>
      </c>
      <c r="B30" s="49" t="n">
        <v>-0.2</v>
      </c>
      <c r="C30" s="49" t="n">
        <v>4</v>
      </c>
      <c r="D30" s="55" t="n">
        <v>41026</v>
      </c>
      <c r="E30" s="56" t="s">
        <v>203</v>
      </c>
      <c r="F30" s="57" t="s">
        <v>204</v>
      </c>
      <c r="G30" s="57" t="s">
        <v>205</v>
      </c>
      <c r="H30" s="58" t="n">
        <v>33.826</v>
      </c>
      <c r="I30" s="58" t="n">
        <v>28.92</v>
      </c>
      <c r="J30" s="39" t="s">
        <v>206</v>
      </c>
      <c r="K30" s="60" t="s">
        <v>207</v>
      </c>
      <c r="L30" s="66"/>
      <c r="M30" s="60" t="s">
        <v>207</v>
      </c>
      <c r="N30" s="61" t="s">
        <v>202</v>
      </c>
      <c r="O30" s="65" t="n">
        <v>33.833</v>
      </c>
      <c r="P30" s="44" t="n">
        <v>0.05</v>
      </c>
      <c r="Q30" s="44" t="n">
        <v>0.05</v>
      </c>
      <c r="R30" s="44" t="n">
        <v>0.14</v>
      </c>
      <c r="S30" s="44" t="n">
        <v>0.13</v>
      </c>
      <c r="T30" s="44" t="n">
        <f aca="false">SUM(P30,R30)</f>
        <v>0.19</v>
      </c>
      <c r="U30" s="44" t="n">
        <f aca="false">SUM(Q30,S30)</f>
        <v>0.18</v>
      </c>
      <c r="V30" s="44" t="n">
        <v>0.06</v>
      </c>
      <c r="W30" s="44" t="n">
        <v>0.05</v>
      </c>
      <c r="X30" s="44" t="n">
        <v>1.48</v>
      </c>
      <c r="Y30" s="44" t="n">
        <v>1.45</v>
      </c>
      <c r="Z30" s="45" t="n">
        <v>0.007</v>
      </c>
      <c r="AA30" s="45" t="n">
        <v>0.0094</v>
      </c>
      <c r="AB30" s="45" t="n">
        <v>0.0058</v>
      </c>
      <c r="AC30" s="45" t="n">
        <v>0.0058</v>
      </c>
      <c r="AD30" s="45" t="n">
        <v>0.0076</v>
      </c>
      <c r="AE30" s="45" t="n">
        <v>-99999</v>
      </c>
      <c r="AF30" s="45" t="n">
        <v>-99999</v>
      </c>
      <c r="AG30" s="45" t="n">
        <v>0.0008</v>
      </c>
      <c r="AH30" s="45" t="n">
        <v>0.0255</v>
      </c>
      <c r="AI30" s="45" t="n">
        <v>0.0076</v>
      </c>
      <c r="AJ30" s="45" t="n">
        <v>-99999</v>
      </c>
      <c r="AK30" s="45" t="n">
        <v>0.0005</v>
      </c>
      <c r="AL30" s="45" t="n">
        <v>0.1009</v>
      </c>
      <c r="AM30" s="45"/>
      <c r="AN30" s="45" t="n">
        <v>0.0085</v>
      </c>
      <c r="AO30" s="45" t="n">
        <v>0.0085</v>
      </c>
      <c r="AP30" s="45"/>
      <c r="AQ30" s="45" t="n">
        <v>0.0303</v>
      </c>
      <c r="AR30" s="45" t="n">
        <v>-99999</v>
      </c>
      <c r="AS30" s="45" t="n">
        <v>-99999</v>
      </c>
      <c r="AT30" s="45" t="n">
        <v>0.0852</v>
      </c>
      <c r="AU30" s="45" t="n">
        <v>0.1337</v>
      </c>
      <c r="AV30" s="45"/>
      <c r="AW30" s="45" t="n">
        <v>0.0033</v>
      </c>
      <c r="AX30" s="46"/>
    </row>
    <row r="31" customFormat="false" ht="13.8" hidden="false" customHeight="false" outlineLevel="0" collapsed="false">
      <c r="A31" s="34" t="n">
        <f aca="false">A30+1</f>
        <v>25</v>
      </c>
      <c r="B31" s="49" t="n">
        <v>1.28</v>
      </c>
      <c r="C31" s="49" t="n">
        <v>5</v>
      </c>
      <c r="D31" s="55" t="n">
        <v>41027</v>
      </c>
      <c r="E31" s="56" t="s">
        <v>208</v>
      </c>
      <c r="F31" s="57" t="s">
        <v>209</v>
      </c>
      <c r="G31" s="57" t="s">
        <v>210</v>
      </c>
      <c r="H31" s="58" t="n">
        <v>33.715</v>
      </c>
      <c r="I31" s="58" t="n">
        <v>29.27</v>
      </c>
      <c r="J31" s="39" t="s">
        <v>83</v>
      </c>
      <c r="K31" s="60" t="s">
        <v>211</v>
      </c>
      <c r="L31" s="64" t="n">
        <v>410</v>
      </c>
      <c r="M31" s="60" t="s">
        <v>211</v>
      </c>
      <c r="N31" s="61" t="s">
        <v>202</v>
      </c>
      <c r="O31" s="39" t="n">
        <v>33.7465</v>
      </c>
      <c r="P31" s="44" t="n">
        <v>0.05</v>
      </c>
      <c r="Q31" s="44" t="n">
        <v>0.05</v>
      </c>
      <c r="R31" s="44" t="n">
        <v>0.14</v>
      </c>
      <c r="S31" s="44" t="n">
        <v>0.14</v>
      </c>
      <c r="T31" s="44" t="n">
        <f aca="false">SUM(P31,R31)</f>
        <v>0.19</v>
      </c>
      <c r="U31" s="44" t="n">
        <f aca="false">SUM(Q31,S31)</f>
        <v>0.19</v>
      </c>
      <c r="V31" s="44" t="n">
        <v>0.02</v>
      </c>
      <c r="W31" s="44" t="n">
        <v>0.02</v>
      </c>
      <c r="X31" s="44" t="n">
        <v>1.24</v>
      </c>
      <c r="Y31" s="44" t="n">
        <v>1.21</v>
      </c>
      <c r="Z31" s="45" t="n">
        <v>0.0045</v>
      </c>
      <c r="AA31" s="45" t="n">
        <v>0.0061</v>
      </c>
      <c r="AB31" s="45" t="n">
        <v>0.003</v>
      </c>
      <c r="AC31" s="45" t="n">
        <v>0.0045</v>
      </c>
      <c r="AD31" s="45" t="n">
        <v>0.0065</v>
      </c>
      <c r="AE31" s="45" t="n">
        <v>-99999</v>
      </c>
      <c r="AF31" s="45" t="n">
        <v>-99999</v>
      </c>
      <c r="AG31" s="45" t="n">
        <v>0.0008</v>
      </c>
      <c r="AH31" s="45" t="n">
        <v>0.0168</v>
      </c>
      <c r="AI31" s="45" t="n">
        <v>0.0076</v>
      </c>
      <c r="AJ31" s="45" t="n">
        <v>-99999</v>
      </c>
      <c r="AK31" s="45" t="n">
        <v>0.0008</v>
      </c>
      <c r="AL31" s="45" t="n">
        <v>0.1091</v>
      </c>
      <c r="AM31" s="45"/>
      <c r="AN31" s="45" t="n">
        <v>0.0056</v>
      </c>
      <c r="AO31" s="45" t="n">
        <v>0.0056</v>
      </c>
      <c r="AP31" s="45"/>
      <c r="AQ31" s="45" t="n">
        <v>0.0207</v>
      </c>
      <c r="AR31" s="45" t="n">
        <v>-99999</v>
      </c>
      <c r="AS31" s="45" t="n">
        <v>-99999</v>
      </c>
      <c r="AT31" s="45" t="n">
        <v>0.0487</v>
      </c>
      <c r="AU31" s="45" t="n">
        <v>0.0886</v>
      </c>
      <c r="AV31" s="45"/>
      <c r="AW31" s="45" t="n">
        <v>0.0019</v>
      </c>
      <c r="AX31" s="46"/>
    </row>
    <row r="32" customFormat="false" ht="13.8" hidden="false" customHeight="false" outlineLevel="0" collapsed="false">
      <c r="A32" s="34" t="n">
        <f aca="false">A31+1</f>
        <v>26</v>
      </c>
      <c r="B32" s="49" t="n">
        <v>1.56</v>
      </c>
      <c r="C32" s="49" t="n">
        <v>4</v>
      </c>
      <c r="D32" s="55" t="n">
        <v>41028</v>
      </c>
      <c r="E32" s="56" t="s">
        <v>212</v>
      </c>
      <c r="F32" s="57" t="s">
        <v>213</v>
      </c>
      <c r="G32" s="57" t="s">
        <v>214</v>
      </c>
      <c r="H32" s="58" t="n">
        <v>34.203</v>
      </c>
      <c r="I32" s="58" t="n">
        <v>29.39</v>
      </c>
      <c r="J32" s="39" t="s">
        <v>91</v>
      </c>
      <c r="K32" s="60" t="s">
        <v>215</v>
      </c>
      <c r="L32" s="64" t="n">
        <v>411</v>
      </c>
      <c r="M32" s="60" t="s">
        <v>215</v>
      </c>
      <c r="N32" s="61" t="s">
        <v>202</v>
      </c>
      <c r="O32" s="39" t="n">
        <v>34.204</v>
      </c>
      <c r="P32" s="44" t="n">
        <v>0</v>
      </c>
      <c r="Q32" s="44" t="n">
        <v>0</v>
      </c>
      <c r="R32" s="44" t="n">
        <v>0.1</v>
      </c>
      <c r="S32" s="44" t="n">
        <v>0.1</v>
      </c>
      <c r="T32" s="44" t="n">
        <f aca="false">SUM(P32,R32)</f>
        <v>0.1</v>
      </c>
      <c r="U32" s="44" t="n">
        <f aca="false">SUM(Q32,S32)</f>
        <v>0.1</v>
      </c>
      <c r="V32" s="44" t="n">
        <v>0.01</v>
      </c>
      <c r="W32" s="44" t="n">
        <v>0.01</v>
      </c>
      <c r="X32" s="44" t="n">
        <v>0.98</v>
      </c>
      <c r="Y32" s="44" t="n">
        <v>0.96</v>
      </c>
      <c r="Z32" s="45" t="n">
        <v>0.0047</v>
      </c>
      <c r="AA32" s="45" t="n">
        <v>0.0063</v>
      </c>
      <c r="AB32" s="45" t="n">
        <v>0.0046</v>
      </c>
      <c r="AC32" s="45" t="n">
        <v>0.0042</v>
      </c>
      <c r="AD32" s="45" t="n">
        <v>0.0046</v>
      </c>
      <c r="AE32" s="45" t="n">
        <v>-99999</v>
      </c>
      <c r="AF32" s="45" t="n">
        <v>-99999</v>
      </c>
      <c r="AG32" s="45" t="n">
        <v>0.0009</v>
      </c>
      <c r="AH32" s="45" t="n">
        <v>0.0171</v>
      </c>
      <c r="AI32" s="45" t="n">
        <v>0.0063</v>
      </c>
      <c r="AJ32" s="45" t="n">
        <v>-99999</v>
      </c>
      <c r="AK32" s="45" t="n">
        <v>0.0005</v>
      </c>
      <c r="AL32" s="45" t="n">
        <v>0.0946</v>
      </c>
      <c r="AM32" s="45"/>
      <c r="AN32" s="45" t="n">
        <v>0.0054</v>
      </c>
      <c r="AO32" s="45" t="n">
        <v>0.0054</v>
      </c>
      <c r="AP32" s="45"/>
      <c r="AQ32" s="45" t="n">
        <v>0.0161</v>
      </c>
      <c r="AR32" s="45" t="n">
        <v>-99999</v>
      </c>
      <c r="AS32" s="45" t="n">
        <v>-99999</v>
      </c>
      <c r="AT32" s="45" t="n">
        <v>0.0517</v>
      </c>
      <c r="AU32" s="45" t="n">
        <v>0.0681</v>
      </c>
      <c r="AV32" s="45"/>
      <c r="AW32" s="45" t="n">
        <v>0.0012</v>
      </c>
      <c r="AX32" s="46"/>
    </row>
    <row r="33" customFormat="false" ht="13.8" hidden="false" customHeight="false" outlineLevel="0" collapsed="false">
      <c r="A33" s="34" t="n">
        <f aca="false">A32+1</f>
        <v>27</v>
      </c>
      <c r="B33" s="49" t="n">
        <v>2.24</v>
      </c>
      <c r="C33" s="49" t="n">
        <v>3</v>
      </c>
      <c r="D33" s="55" t="n">
        <v>41028</v>
      </c>
      <c r="E33" s="56" t="s">
        <v>216</v>
      </c>
      <c r="F33" s="57" t="s">
        <v>217</v>
      </c>
      <c r="G33" s="57" t="s">
        <v>218</v>
      </c>
      <c r="H33" s="58" t="n">
        <v>34.49</v>
      </c>
      <c r="I33" s="58" t="n">
        <v>29.44</v>
      </c>
      <c r="J33" s="39" t="s">
        <v>98</v>
      </c>
      <c r="K33" s="60" t="s">
        <v>219</v>
      </c>
      <c r="L33" s="64" t="n">
        <v>412</v>
      </c>
      <c r="M33" s="60" t="s">
        <v>219</v>
      </c>
      <c r="N33" s="61" t="s">
        <v>202</v>
      </c>
      <c r="O33" s="39"/>
      <c r="P33" s="44" t="n">
        <v>0.06</v>
      </c>
      <c r="Q33" s="44" t="n">
        <v>0.06</v>
      </c>
      <c r="R33" s="44" t="n">
        <v>0.14</v>
      </c>
      <c r="S33" s="44" t="n">
        <v>0.14</v>
      </c>
      <c r="T33" s="44" t="n">
        <f aca="false">SUM(P33,R33)</f>
        <v>0.2</v>
      </c>
      <c r="U33" s="44" t="n">
        <f aca="false">SUM(Q33,S33)</f>
        <v>0.2</v>
      </c>
      <c r="V33" s="44" t="n">
        <v>0.02</v>
      </c>
      <c r="W33" s="44" t="n">
        <v>0.02</v>
      </c>
      <c r="X33" s="44" t="n">
        <v>0.85</v>
      </c>
      <c r="Y33" s="44" t="n">
        <v>0.83</v>
      </c>
      <c r="Z33" s="45" t="n">
        <v>0.0043</v>
      </c>
      <c r="AA33" s="45" t="n">
        <v>0.0059</v>
      </c>
      <c r="AB33" s="45" t="n">
        <v>0.004</v>
      </c>
      <c r="AC33" s="45" t="n">
        <v>0.004</v>
      </c>
      <c r="AD33" s="45" t="n">
        <v>0.0041</v>
      </c>
      <c r="AE33" s="45" t="n">
        <v>-99999</v>
      </c>
      <c r="AF33" s="45" t="n">
        <v>-99999</v>
      </c>
      <c r="AG33" s="45" t="n">
        <v>0.001</v>
      </c>
      <c r="AH33" s="45" t="n">
        <v>0.0177</v>
      </c>
      <c r="AI33" s="45" t="n">
        <v>0.0114</v>
      </c>
      <c r="AJ33" s="45" t="n">
        <v>-99999</v>
      </c>
      <c r="AK33" s="45" t="n">
        <v>0.0035</v>
      </c>
      <c r="AL33" s="45" t="n">
        <v>0.1055</v>
      </c>
      <c r="AM33" s="45"/>
      <c r="AN33" s="45" t="n">
        <v>0.0047</v>
      </c>
      <c r="AO33" s="45" t="n">
        <v>0.0047</v>
      </c>
      <c r="AP33" s="45"/>
      <c r="AQ33" s="45" t="n">
        <v>0.0169</v>
      </c>
      <c r="AR33" s="45" t="n">
        <v>-99999</v>
      </c>
      <c r="AS33" s="45" t="n">
        <v>-99999</v>
      </c>
      <c r="AT33" s="45" t="n">
        <v>0.0716</v>
      </c>
      <c r="AU33" s="45" t="n">
        <v>0.0752</v>
      </c>
      <c r="AV33" s="45"/>
      <c r="AW33" s="45" t="n">
        <v>0.0016</v>
      </c>
      <c r="AX33" s="46"/>
    </row>
    <row r="34" customFormat="false" ht="13.8" hidden="false" customHeight="false" outlineLevel="0" collapsed="false">
      <c r="A34" s="34" t="n">
        <f aca="false">A33+1</f>
        <v>28</v>
      </c>
      <c r="B34" s="49" t="n">
        <v>2.52</v>
      </c>
      <c r="C34" s="49" t="n">
        <v>2</v>
      </c>
      <c r="D34" s="55" t="n">
        <v>41028</v>
      </c>
      <c r="E34" s="56" t="s">
        <v>220</v>
      </c>
      <c r="F34" s="57" t="s">
        <v>221</v>
      </c>
      <c r="G34" s="57" t="s">
        <v>222</v>
      </c>
      <c r="H34" s="58" t="n">
        <v>34.776</v>
      </c>
      <c r="I34" s="58" t="n">
        <v>29.655</v>
      </c>
      <c r="J34" s="39" t="s">
        <v>105</v>
      </c>
      <c r="K34" s="60" t="s">
        <v>223</v>
      </c>
      <c r="L34" s="64" t="n">
        <v>413</v>
      </c>
      <c r="M34" s="60" t="s">
        <v>223</v>
      </c>
      <c r="N34" s="61" t="s">
        <v>202</v>
      </c>
      <c r="O34" s="39"/>
      <c r="P34" s="44" t="n">
        <v>0.05</v>
      </c>
      <c r="Q34" s="44" t="n">
        <v>0.04</v>
      </c>
      <c r="R34" s="44" t="n">
        <v>0.15</v>
      </c>
      <c r="S34" s="44" t="n">
        <v>0.14</v>
      </c>
      <c r="T34" s="44" t="n">
        <f aca="false">SUM(P34,R34)</f>
        <v>0.2</v>
      </c>
      <c r="U34" s="44" t="n">
        <f aca="false">SUM(Q34,S34)</f>
        <v>0.18</v>
      </c>
      <c r="V34" s="44" t="n">
        <v>0</v>
      </c>
      <c r="W34" s="44" t="n">
        <v>0</v>
      </c>
      <c r="X34" s="44" t="n">
        <v>0.92</v>
      </c>
      <c r="Y34" s="44" t="n">
        <v>0.9</v>
      </c>
      <c r="Z34" s="45" t="n">
        <v>0.0033</v>
      </c>
      <c r="AA34" s="45" t="n">
        <v>0.0049</v>
      </c>
      <c r="AB34" s="45" t="n">
        <v>0.0034</v>
      </c>
      <c r="AC34" s="45" t="n">
        <v>0.0037</v>
      </c>
      <c r="AD34" s="45" t="n">
        <v>0.005</v>
      </c>
      <c r="AE34" s="45" t="n">
        <v>-99999</v>
      </c>
      <c r="AF34" s="45" t="n">
        <v>-99999</v>
      </c>
      <c r="AG34" s="45" t="n">
        <v>0.0011</v>
      </c>
      <c r="AH34" s="45" t="n">
        <v>0.0139</v>
      </c>
      <c r="AI34" s="45" t="n">
        <v>0.0095</v>
      </c>
      <c r="AJ34" s="45" t="n">
        <v>-99999</v>
      </c>
      <c r="AK34" s="45" t="n">
        <v>0.0016</v>
      </c>
      <c r="AL34" s="45" t="n">
        <v>0.1024</v>
      </c>
      <c r="AM34" s="45"/>
      <c r="AN34" s="45" t="n">
        <v>0.0036</v>
      </c>
      <c r="AO34" s="45" t="n">
        <v>0.0036</v>
      </c>
      <c r="AP34" s="45"/>
      <c r="AQ34" s="45" t="n">
        <v>0.0134</v>
      </c>
      <c r="AR34" s="45" t="n">
        <v>-99999</v>
      </c>
      <c r="AS34" s="45" t="n">
        <v>-99999</v>
      </c>
      <c r="AT34" s="45" t="n">
        <v>0.0551</v>
      </c>
      <c r="AU34" s="45" t="n">
        <v>0.0604</v>
      </c>
      <c r="AV34" s="45"/>
      <c r="AW34" s="45" t="n">
        <v>0.0012</v>
      </c>
      <c r="AX34" s="46"/>
    </row>
    <row r="35" customFormat="false" ht="13.8" hidden="false" customHeight="false" outlineLevel="0" collapsed="false">
      <c r="A35" s="34" t="n">
        <f aca="false">A34+1</f>
        <v>29</v>
      </c>
      <c r="B35" s="49" t="n">
        <v>3.2</v>
      </c>
      <c r="C35" s="49" t="n">
        <v>1</v>
      </c>
      <c r="D35" s="55" t="n">
        <v>41028</v>
      </c>
      <c r="E35" s="56" t="s">
        <v>224</v>
      </c>
      <c r="F35" s="57" t="s">
        <v>225</v>
      </c>
      <c r="G35" s="57" t="s">
        <v>226</v>
      </c>
      <c r="H35" s="58" t="n">
        <v>34.743</v>
      </c>
      <c r="I35" s="58" t="n">
        <v>29.573</v>
      </c>
      <c r="J35" s="39" t="s">
        <v>112</v>
      </c>
      <c r="K35" s="60" t="s">
        <v>227</v>
      </c>
      <c r="L35" s="64" t="n">
        <v>414</v>
      </c>
      <c r="M35" s="60" t="s">
        <v>227</v>
      </c>
      <c r="N35" s="61" t="s">
        <v>202</v>
      </c>
      <c r="O35" s="39"/>
      <c r="P35" s="44" t="n">
        <v>0.05</v>
      </c>
      <c r="Q35" s="44" t="n">
        <v>0.05</v>
      </c>
      <c r="R35" s="44" t="n">
        <v>0.14</v>
      </c>
      <c r="S35" s="44" t="n">
        <v>0.14</v>
      </c>
      <c r="T35" s="44" t="n">
        <f aca="false">SUM(P35,R35)</f>
        <v>0.19</v>
      </c>
      <c r="U35" s="44" t="n">
        <f aca="false">SUM(Q35,S35)</f>
        <v>0.19</v>
      </c>
      <c r="V35" s="44" t="n">
        <v>0</v>
      </c>
      <c r="W35" s="44" t="n">
        <v>0</v>
      </c>
      <c r="X35" s="44" t="n">
        <v>0.85</v>
      </c>
      <c r="Y35" s="44" t="n">
        <v>0.83</v>
      </c>
      <c r="Z35" s="45" t="n">
        <v>0.0047</v>
      </c>
      <c r="AA35" s="45" t="n">
        <v>0.0065</v>
      </c>
      <c r="AB35" s="45" t="n">
        <v>0.0033</v>
      </c>
      <c r="AC35" s="45" t="n">
        <v>0.004</v>
      </c>
      <c r="AD35" s="45" t="n">
        <v>0.0061</v>
      </c>
      <c r="AE35" s="45" t="n">
        <v>-99999</v>
      </c>
      <c r="AF35" s="45" t="n">
        <v>-99999</v>
      </c>
      <c r="AG35" s="45" t="n">
        <v>0.001</v>
      </c>
      <c r="AH35" s="45" t="n">
        <v>0.0171</v>
      </c>
      <c r="AI35" s="45" t="n">
        <v>0.0071</v>
      </c>
      <c r="AJ35" s="45" t="n">
        <v>-99999</v>
      </c>
      <c r="AK35" s="45" t="n">
        <v>-99999</v>
      </c>
      <c r="AL35" s="45" t="n">
        <v>0.1126</v>
      </c>
      <c r="AM35" s="45"/>
      <c r="AN35" s="45" t="n">
        <v>0.0045</v>
      </c>
      <c r="AO35" s="45" t="n">
        <v>0.0049</v>
      </c>
      <c r="AP35" s="45"/>
      <c r="AQ35" s="45" t="n">
        <v>0.0182</v>
      </c>
      <c r="AR35" s="45" t="n">
        <v>-99999</v>
      </c>
      <c r="AS35" s="45" t="n">
        <v>-99999</v>
      </c>
      <c r="AT35" s="45" t="n">
        <v>0.0524</v>
      </c>
      <c r="AU35" s="45" t="n">
        <v>0.0683</v>
      </c>
      <c r="AV35" s="45"/>
      <c r="AW35" s="45" t="n">
        <v>0.0016</v>
      </c>
      <c r="AX35" s="46"/>
    </row>
    <row r="36" customFormat="false" ht="13.8" hidden="false" customHeight="false" outlineLevel="0" collapsed="false">
      <c r="A36" s="34" t="n">
        <f aca="false">A35+1</f>
        <v>30</v>
      </c>
      <c r="B36" s="49" t="n">
        <v>3.48</v>
      </c>
      <c r="C36" s="49" t="n">
        <v>0</v>
      </c>
      <c r="D36" s="55" t="n">
        <v>41029</v>
      </c>
      <c r="E36" s="56" t="s">
        <v>228</v>
      </c>
      <c r="F36" s="57" t="s">
        <v>229</v>
      </c>
      <c r="G36" s="57" t="s">
        <v>230</v>
      </c>
      <c r="H36" s="58" t="n">
        <v>34.628</v>
      </c>
      <c r="I36" s="58" t="n">
        <v>29.501</v>
      </c>
      <c r="J36" s="39" t="s">
        <v>231</v>
      </c>
      <c r="K36" s="60" t="s">
        <v>232</v>
      </c>
      <c r="L36" s="64" t="n">
        <v>415</v>
      </c>
      <c r="M36" s="60" t="s">
        <v>232</v>
      </c>
      <c r="N36" s="61" t="s">
        <v>202</v>
      </c>
      <c r="O36" s="39"/>
      <c r="P36" s="44" t="n">
        <v>0</v>
      </c>
      <c r="Q36" s="44" t="n">
        <v>0</v>
      </c>
      <c r="R36" s="44" t="n">
        <v>0.11</v>
      </c>
      <c r="S36" s="44" t="n">
        <v>0.1</v>
      </c>
      <c r="T36" s="44" t="n">
        <f aca="false">SUM(P36,R36)</f>
        <v>0.11</v>
      </c>
      <c r="U36" s="44" t="n">
        <f aca="false">SUM(Q36,S36)</f>
        <v>0.1</v>
      </c>
      <c r="V36" s="44" t="n">
        <v>0</v>
      </c>
      <c r="W36" s="44" t="n">
        <v>0</v>
      </c>
      <c r="X36" s="44" t="n">
        <v>0.76</v>
      </c>
      <c r="Y36" s="44" t="n">
        <v>0.74</v>
      </c>
      <c r="Z36" s="45" t="n">
        <v>0.0042</v>
      </c>
      <c r="AA36" s="45" t="n">
        <v>0.0057</v>
      </c>
      <c r="AB36" s="45" t="n">
        <v>0.003</v>
      </c>
      <c r="AC36" s="45" t="n">
        <v>0.0032</v>
      </c>
      <c r="AD36" s="45" t="n">
        <v>0.003</v>
      </c>
      <c r="AE36" s="45" t="n">
        <v>-99999</v>
      </c>
      <c r="AF36" s="45" t="n">
        <v>-99999</v>
      </c>
      <c r="AG36" s="45" t="n">
        <v>0.0012</v>
      </c>
      <c r="AH36" s="45" t="n">
        <v>0.0178</v>
      </c>
      <c r="AI36" s="45" t="n">
        <v>0.0062</v>
      </c>
      <c r="AJ36" s="45" t="n">
        <v>-99999</v>
      </c>
      <c r="AK36" s="45" t="n">
        <v>0.0004</v>
      </c>
      <c r="AL36" s="45" t="n">
        <v>0.0997</v>
      </c>
      <c r="AM36" s="45"/>
      <c r="AN36" s="45" t="n">
        <v>0.0057</v>
      </c>
      <c r="AO36" s="45" t="n">
        <v>0.0057</v>
      </c>
      <c r="AP36" s="45"/>
      <c r="AQ36" s="45" t="n">
        <v>0.0177</v>
      </c>
      <c r="AR36" s="45" t="n">
        <v>-99999</v>
      </c>
      <c r="AS36" s="45" t="n">
        <v>-99999</v>
      </c>
      <c r="AT36" s="45" t="n">
        <v>0.0651</v>
      </c>
      <c r="AU36" s="45" t="n">
        <v>0.0653</v>
      </c>
      <c r="AV36" s="45"/>
      <c r="AW36" s="45" t="n">
        <v>0.0013</v>
      </c>
      <c r="AX36" s="46"/>
    </row>
    <row r="37" customFormat="false" ht="13.8" hidden="false" customHeight="false" outlineLevel="0" collapsed="false">
      <c r="A37" s="34" t="n">
        <f aca="false">A36+1</f>
        <v>31</v>
      </c>
      <c r="B37" s="49" t="n">
        <v>4.16</v>
      </c>
      <c r="C37" s="49" t="n">
        <v>-1</v>
      </c>
      <c r="D37" s="55" t="n">
        <v>41029</v>
      </c>
      <c r="E37" s="56" t="s">
        <v>233</v>
      </c>
      <c r="F37" s="57" t="s">
        <v>234</v>
      </c>
      <c r="G37" s="57" t="s">
        <v>235</v>
      </c>
      <c r="H37" s="58" t="n">
        <v>34.747</v>
      </c>
      <c r="I37" s="58" t="n">
        <v>29.547</v>
      </c>
      <c r="J37" s="39" t="s">
        <v>119</v>
      </c>
      <c r="K37" s="60" t="s">
        <v>236</v>
      </c>
      <c r="L37" s="64" t="n">
        <v>416</v>
      </c>
      <c r="M37" s="60" t="s">
        <v>236</v>
      </c>
      <c r="N37" s="61" t="s">
        <v>202</v>
      </c>
      <c r="O37" s="39"/>
      <c r="P37" s="44" t="n">
        <v>0.04</v>
      </c>
      <c r="Q37" s="44" t="n">
        <v>0.04</v>
      </c>
      <c r="R37" s="44" t="n">
        <v>0.16</v>
      </c>
      <c r="S37" s="44" t="n">
        <v>0.15</v>
      </c>
      <c r="T37" s="44" t="n">
        <f aca="false">SUM(P37,R37)</f>
        <v>0.2</v>
      </c>
      <c r="U37" s="44" t="n">
        <f aca="false">SUM(Q37,S37)</f>
        <v>0.19</v>
      </c>
      <c r="V37" s="44" t="n">
        <v>0</v>
      </c>
      <c r="W37" s="44" t="n">
        <v>0</v>
      </c>
      <c r="X37" s="44" t="n">
        <v>0.67</v>
      </c>
      <c r="Y37" s="44" t="n">
        <v>0.65</v>
      </c>
      <c r="Z37" s="45" t="n">
        <v>0.0043</v>
      </c>
      <c r="AA37" s="45" t="n">
        <v>0.0059</v>
      </c>
      <c r="AB37" s="45" t="n">
        <v>0.0029</v>
      </c>
      <c r="AC37" s="45" t="n">
        <v>0.0045</v>
      </c>
      <c r="AD37" s="45" t="n">
        <v>0.0039</v>
      </c>
      <c r="AE37" s="45" t="n">
        <v>-99999</v>
      </c>
      <c r="AF37" s="45" t="n">
        <v>-99999</v>
      </c>
      <c r="AG37" s="45" t="n">
        <v>0.0011</v>
      </c>
      <c r="AH37" s="45" t="n">
        <v>0.0176</v>
      </c>
      <c r="AI37" s="45" t="n">
        <v>0.0106</v>
      </c>
      <c r="AJ37" s="45" t="n">
        <v>-99999</v>
      </c>
      <c r="AK37" s="45" t="n">
        <v>0.0047</v>
      </c>
      <c r="AL37" s="45" t="n">
        <v>0.109</v>
      </c>
      <c r="AM37" s="45"/>
      <c r="AN37" s="45" t="n">
        <v>0.0057</v>
      </c>
      <c r="AO37" s="45" t="n">
        <v>0.0057</v>
      </c>
      <c r="AP37" s="45"/>
      <c r="AQ37" s="45" t="n">
        <v>0.0183</v>
      </c>
      <c r="AR37" s="45" t="n">
        <v>-99999</v>
      </c>
      <c r="AS37" s="45" t="n">
        <v>-99999</v>
      </c>
      <c r="AT37" s="45" t="n">
        <v>0.0705</v>
      </c>
      <c r="AU37" s="45" t="n">
        <v>0.077</v>
      </c>
      <c r="AV37" s="45"/>
      <c r="AW37" s="45" t="n">
        <v>0.0015</v>
      </c>
      <c r="AX37" s="46"/>
    </row>
    <row r="38" customFormat="false" ht="13.8" hidden="false" customHeight="false" outlineLevel="0" collapsed="false">
      <c r="A38" s="34" t="n">
        <f aca="false">A37+1</f>
        <v>32</v>
      </c>
      <c r="B38" s="49" t="n">
        <v>4.44</v>
      </c>
      <c r="C38" s="49" t="n">
        <v>-2</v>
      </c>
      <c r="D38" s="55" t="n">
        <v>41029</v>
      </c>
      <c r="E38" s="56" t="s">
        <v>237</v>
      </c>
      <c r="F38" s="57" t="s">
        <v>238</v>
      </c>
      <c r="G38" s="57" t="s">
        <v>239</v>
      </c>
      <c r="H38" s="58" t="n">
        <v>34.858</v>
      </c>
      <c r="I38" s="58" t="n">
        <v>29.853</v>
      </c>
      <c r="J38" s="39" t="s">
        <v>126</v>
      </c>
      <c r="K38" s="60" t="s">
        <v>240</v>
      </c>
      <c r="L38" s="64" t="n">
        <v>417</v>
      </c>
      <c r="M38" s="60" t="s">
        <v>240</v>
      </c>
      <c r="N38" s="61" t="s">
        <v>202</v>
      </c>
      <c r="O38" s="39"/>
      <c r="P38" s="44" t="n">
        <v>0</v>
      </c>
      <c r="Q38" s="44" t="n">
        <v>0</v>
      </c>
      <c r="R38" s="44" t="n">
        <v>0.11</v>
      </c>
      <c r="S38" s="44" t="n">
        <v>0.11</v>
      </c>
      <c r="T38" s="44" t="n">
        <f aca="false">SUM(P38,R38)</f>
        <v>0.11</v>
      </c>
      <c r="U38" s="44" t="n">
        <f aca="false">SUM(Q38,S38)</f>
        <v>0.11</v>
      </c>
      <c r="V38" s="44" t="n">
        <v>0</v>
      </c>
      <c r="W38" s="44" t="n">
        <v>0</v>
      </c>
      <c r="X38" s="44" t="n">
        <v>0.65</v>
      </c>
      <c r="Y38" s="44" t="n">
        <v>0.64</v>
      </c>
      <c r="Z38" s="45" t="n">
        <v>0.0041</v>
      </c>
      <c r="AA38" s="45" t="n">
        <v>0.0065</v>
      </c>
      <c r="AB38" s="45" t="n">
        <v>0.0047</v>
      </c>
      <c r="AC38" s="45" t="n">
        <v>0.0038</v>
      </c>
      <c r="AD38" s="45" t="n">
        <v>0.0043</v>
      </c>
      <c r="AE38" s="45" t="n">
        <v>-99999</v>
      </c>
      <c r="AF38" s="45" t="n">
        <v>-99999</v>
      </c>
      <c r="AG38" s="45" t="n">
        <v>0.0011</v>
      </c>
      <c r="AH38" s="45" t="n">
        <v>0.0172</v>
      </c>
      <c r="AI38" s="45" t="n">
        <v>0.0089</v>
      </c>
      <c r="AJ38" s="45" t="n">
        <v>-99999</v>
      </c>
      <c r="AK38" s="45" t="n">
        <v>0.0011</v>
      </c>
      <c r="AL38" s="45" t="n">
        <v>0.1274</v>
      </c>
      <c r="AM38" s="45"/>
      <c r="AN38" s="45" t="n">
        <v>0.0044</v>
      </c>
      <c r="AO38" s="45" t="n">
        <v>0.0044</v>
      </c>
      <c r="AP38" s="45"/>
      <c r="AQ38" s="45" t="n">
        <v>0.0188</v>
      </c>
      <c r="AR38" s="45" t="n">
        <v>-99999</v>
      </c>
      <c r="AS38" s="45" t="n">
        <v>-99999</v>
      </c>
      <c r="AT38" s="45" t="n">
        <v>0.0572</v>
      </c>
      <c r="AU38" s="45" t="n">
        <v>0.0784</v>
      </c>
      <c r="AV38" s="45"/>
      <c r="AW38" s="45" t="n">
        <v>0.0014</v>
      </c>
      <c r="AX38" s="46"/>
    </row>
    <row r="39" customFormat="false" ht="12.8" hidden="false" customHeight="false" outlineLevel="0" collapsed="false">
      <c r="D39" s="67"/>
      <c r="E39" s="1"/>
      <c r="F39" s="1"/>
      <c r="G39" s="1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</row>
    <row r="40" customFormat="false" ht="12.8" hidden="false" customHeight="false" outlineLevel="0" collapsed="false">
      <c r="D40" s="67"/>
      <c r="E40" s="1"/>
      <c r="F40" s="1"/>
      <c r="G40" s="1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</row>
    <row r="41" customFormat="false" ht="12.8" hidden="false" customHeight="false" outlineLevel="0" collapsed="false">
      <c r="D41" s="67"/>
      <c r="E41" s="1"/>
      <c r="F41" s="1"/>
      <c r="G41" s="1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</row>
    <row r="42" customFormat="false" ht="12.8" hidden="false" customHeight="false" outlineLevel="0" collapsed="false">
      <c r="D42" s="68"/>
      <c r="E42" s="1"/>
      <c r="F42" s="1"/>
      <c r="G42" s="1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</row>
    <row r="43" customFormat="false" ht="12.8" hidden="false" customHeight="false" outlineLevel="0" collapsed="false">
      <c r="D43" s="67"/>
      <c r="E43" s="1"/>
      <c r="F43" s="1"/>
      <c r="G43" s="1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</row>
    <row r="44" customFormat="false" ht="12.8" hidden="false" customHeight="false" outlineLevel="0" collapsed="false"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</row>
    <row r="45" customFormat="false" ht="12.8" hidden="false" customHeight="false" outlineLevel="0" collapsed="false"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</row>
    <row r="46" customFormat="false" ht="12.8" hidden="false" customHeight="false" outlineLevel="0" collapsed="false">
      <c r="D46" s="69"/>
    </row>
    <row r="47" customFormat="false" ht="12.8" hidden="false" customHeight="false" outlineLevel="0" collapsed="false">
      <c r="D47" s="69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2022-09-29T14:52:35Z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